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使い方" sheetId="1" state="visible" r:id="rId1"/>
    <sheet xmlns:r="http://schemas.openxmlformats.org/officeDocument/2006/relationships" name="月次締め" sheetId="2" state="visible" r:id="rId2"/>
    <sheet xmlns:r="http://schemas.openxmlformats.org/officeDocument/2006/relationships" name="入力_業務" sheetId="3" state="visible" r:id="rId3"/>
    <sheet xmlns:r="http://schemas.openxmlformats.org/officeDocument/2006/relationships" name="入力_貸付" sheetId="4" state="visible" r:id="rId4"/>
    <sheet xmlns:r="http://schemas.openxmlformats.org/officeDocument/2006/relationships" name="費用収益表_業務合計" sheetId="5" state="visible" r:id="rId5"/>
    <sheet xmlns:r="http://schemas.openxmlformats.org/officeDocument/2006/relationships" name="費用収益表_業務短期" sheetId="6" state="visible" r:id="rId6"/>
    <sheet xmlns:r="http://schemas.openxmlformats.org/officeDocument/2006/relationships" name="費用収益表_業務長期" sheetId="7" state="visible" r:id="rId7"/>
    <sheet xmlns:r="http://schemas.openxmlformats.org/officeDocument/2006/relationships" name="費用収益表_貸付" sheetId="8" state="visible" r:id="rId8"/>
    <sheet xmlns:r="http://schemas.openxmlformats.org/officeDocument/2006/relationships" name="給付区分別" sheetId="9" state="visible" r:id="rId9"/>
    <sheet xmlns:r="http://schemas.openxmlformats.org/officeDocument/2006/relationships" name="科目表" sheetId="10" state="visible" r:id="rId10"/>
    <sheet xmlns:r="http://schemas.openxmlformats.org/officeDocument/2006/relationships" name="検算" sheetId="11" state="visible" r:id="rId11"/>
    <sheet xmlns:r="http://schemas.openxmlformats.org/officeDocument/2006/relationships" name="旧表照合" sheetId="12" state="visible" r:id="rId12"/>
  </sheets>
  <definedNames>
    <definedName name="年度">'月次締め'!$C$4</definedName>
    <definedName name="締月">'月次締め'!$C$6</definedName>
    <definedName name="_xlnm._FilterDatabase" localSheetId="2" hidden="1">'入力_業務'!$A$4:$R$1604</definedName>
    <definedName name="_xlnm.Print_Titles" localSheetId="2">'入力_業務'!$4:$4</definedName>
    <definedName name="_xlnm._FilterDatabase" localSheetId="3" hidden="1">'入力_貸付'!$A$4:$K$404</definedName>
    <definedName name="_xlnm.Print_Titles" localSheetId="3">'入力_貸付'!$4:$4</definedName>
    <definedName name="_xlnm.Print_Titles" localSheetId="4">'費用収益表_業務合計'!$1:$3</definedName>
    <definedName name="_xlnm.Print_Area" localSheetId="4">'費用収益表_業務合計'!$A$1:$W$62</definedName>
    <definedName name="_xlnm.Print_Titles" localSheetId="5">'費用収益表_業務短期'!$1:$3</definedName>
    <definedName name="_xlnm.Print_Area" localSheetId="5">'費用収益表_業務短期'!$A$1:$W$62</definedName>
    <definedName name="_xlnm.Print_Titles" localSheetId="6">'費用収益表_業務長期'!$1:$3</definedName>
    <definedName name="_xlnm.Print_Area" localSheetId="6">'費用収益表_業務長期'!$A$1:$W$62</definedName>
    <definedName name="_xlnm.Print_Titles" localSheetId="7">'費用収益表_貸付'!$1:$3</definedName>
    <definedName name="_xlnm.Print_Area" localSheetId="7">'費用収益表_貸付'!$A$1:$W$55</definedName>
  </definedNames>
  <calcPr calcId="124519" fullCalcOnLoad="1" refMode="A1" iterate="0" iterateCount="100" iterateDelta="0.001"/>
</workbook>
</file>

<file path=xl/styles.xml><?xml version="1.0" encoding="utf-8"?>
<styleSheet xmlns="http://schemas.openxmlformats.org/spreadsheetml/2006/main">
  <numFmts count="15">
    <numFmt numFmtId="164" formatCode="[$-409]#,##0_);[RED]\(#,##0\)"/>
    <numFmt numFmtId="165" formatCode="&quot;令和&quot;#&quot;年度&quot;"/>
    <numFmt numFmtId="166" formatCode="#,##0_ "/>
    <numFmt numFmtId="167" formatCode="[$-409]General"/>
    <numFmt numFmtId="168" formatCode="#,##0;&quot;▲ &quot;#,##0"/>
    <numFmt numFmtId="169" formatCode="#,##0_ ;[RED]\-#,##0\ "/>
    <numFmt numFmtId="170" formatCode="#,##0;&quot;△ &quot;#,##0"/>
    <numFmt numFmtId="171" formatCode="0_);[RED]\(0\)"/>
    <numFmt numFmtId="172" formatCode="#,##0;[Red]-#,##0;&quot;-&quot;"/>
    <numFmt numFmtId="173" formatCode="#,##0;[Red]-#,##0;0"/>
    <numFmt numFmtId="174" formatCode="yyyy-mm-dd"/>
    <numFmt numFmtId="175" formatCode="yyyy/mm/dd"/>
    <numFmt numFmtId="176" formatCode="#,##0;[Red]-#,##0"/>
    <numFmt numFmtId="177" formatCode="#,##0;-#,##0"/>
    <numFmt numFmtId="178" formatCode="#,##0;-#,##0;;"/>
  </numFmts>
  <fonts count="62">
    <font>
      <name val="ＭＳ Ｐゴシック"/>
      <charset val="128"/>
      <family val="3"/>
      <sz val="11"/>
    </font>
    <font>
      <name val="Arial"/>
      <family val="0"/>
      <sz val="10"/>
    </font>
    <font>
      <name val="Arial"/>
      <family val="0"/>
      <sz val="10"/>
    </font>
    <font>
      <name val="Arial"/>
      <family val="0"/>
      <sz val="10"/>
    </font>
    <font>
      <name val="ＭＳ Ｐゴシック"/>
      <charset val="128"/>
      <family val="3"/>
      <sz val="16"/>
    </font>
    <font>
      <name val="ＭＳ Ｐゴシック"/>
      <charset val="128"/>
      <family val="3"/>
      <b val="1"/>
      <sz val="16"/>
    </font>
    <font>
      <name val="WenQuanYi Zen Hei"/>
      <family val="2"/>
      <b val="1"/>
      <sz val="16"/>
    </font>
    <font>
      <name val="WenQuanYi Zen Hei"/>
      <family val="2"/>
      <b val="1"/>
      <sz val="14"/>
    </font>
    <font>
      <name val="WenQuanYi Zen Hei"/>
      <family val="2"/>
      <sz val="11"/>
    </font>
    <font>
      <name val="WenQuanYi Zen Hei"/>
      <family val="2"/>
      <sz val="9"/>
    </font>
    <font>
      <name val="ＭＳ Ｐゴシック"/>
      <charset val="128"/>
      <family val="3"/>
      <sz val="9"/>
    </font>
    <font>
      <name val="ＭＳ Ｐゴシック"/>
      <charset val="128"/>
      <family val="3"/>
      <color rgb="FF800080"/>
      <sz val="10"/>
    </font>
    <font>
      <name val="ＭＳ Ｐゴシック"/>
      <charset val="128"/>
      <family val="3"/>
      <color rgb="FF0000FF"/>
      <sz val="10"/>
    </font>
    <font>
      <name val="WenQuanYi Zen Hei"/>
      <family val="2"/>
      <sz val="8"/>
    </font>
    <font>
      <name val="WenQuanYi Zen Hei"/>
      <family val="2"/>
      <sz val="10"/>
    </font>
    <font>
      <name val="ＭＳ Ｐゴシック"/>
      <charset val="128"/>
      <family val="3"/>
      <sz val="8"/>
    </font>
    <font>
      <name val="ＭＳ Ｐゴシック"/>
      <charset val="128"/>
      <family val="3"/>
      <sz val="10"/>
    </font>
    <font>
      <name val="ＭＳ Ｐゴシック"/>
      <charset val="128"/>
      <family val="3"/>
      <b val="1"/>
      <sz val="10"/>
    </font>
    <font>
      <name val="ＭＳ Ｐゴシック"/>
      <charset val="128"/>
      <family val="3"/>
      <color rgb="FF0000FF"/>
      <sz val="11"/>
    </font>
    <font>
      <name val="ＭＳ Ｐゴシック"/>
      <charset val="128"/>
      <family val="3"/>
      <color rgb="FF800080"/>
      <sz val="11"/>
    </font>
    <font>
      <name val="WenQuanYi Zen Hei"/>
      <family val="2"/>
      <color rgb="FF0000FF"/>
      <sz val="10"/>
    </font>
    <font>
      <name val="WenQuanYi Zen Hei"/>
      <family val="2"/>
      <color rgb="FF000000"/>
      <sz val="10"/>
    </font>
    <font>
      <name val="WenQuanYi Zen Hei"/>
      <family val="2"/>
      <b val="1"/>
      <color rgb="FFFF0000"/>
      <sz val="9"/>
    </font>
    <font>
      <name val="MS P ゴシック"/>
      <charset val="128"/>
      <family val="3"/>
      <b val="1"/>
      <color rgb="FFFF0000"/>
      <sz val="9"/>
    </font>
    <font>
      <name val="WenQuanYi Zen Hei"/>
      <family val="2"/>
      <color rgb="FF000000"/>
      <sz val="9"/>
    </font>
    <font>
      <name val="ＭＳ Ｐゴシック"/>
      <charset val="128"/>
      <family val="3"/>
      <color rgb="FF000000"/>
      <sz val="8"/>
    </font>
    <font>
      <name val="WenQuanYi Zen Hei"/>
      <family val="2"/>
      <color rgb="FF000000"/>
      <sz val="8"/>
    </font>
    <font>
      <name val="ＭＳ Ｐゴシック"/>
      <charset val="128"/>
      <family val="3"/>
      <b val="1"/>
      <color rgb="FF0000FF"/>
      <sz val="16"/>
    </font>
    <font>
      <name val="ＭＳ Ｐゴシック"/>
      <charset val="128"/>
      <family val="3"/>
      <color rgb="FF339966"/>
      <sz val="10"/>
    </font>
    <font>
      <name val="ＭＳ Ｐゴシック"/>
      <charset val="128"/>
      <family val="3"/>
      <color rgb="FFFF0000"/>
      <sz val="10"/>
    </font>
    <font>
      <name val="ＭＳ Ｐゴシック"/>
      <charset val="128"/>
      <family val="3"/>
      <color rgb="FFFF0000"/>
      <sz val="11"/>
    </font>
    <font>
      <name val="WenQuanYi Zen Hei"/>
      <family val="2"/>
      <b val="1"/>
      <color rgb="FF000000"/>
      <sz val="9"/>
    </font>
    <font>
      <name val="ＭＳ Ｐゴシック"/>
      <charset val="128"/>
      <family val="3"/>
      <b val="1"/>
      <color rgb="FF000000"/>
      <sz val="9"/>
    </font>
    <font>
      <name val="MS P ゴシック"/>
      <charset val="128"/>
      <family val="3"/>
      <b val="1"/>
      <color rgb="FF000000"/>
      <sz val="9"/>
    </font>
    <font>
      <name val="ＭＳ Ｐゴシック"/>
      <charset val="128"/>
      <family val="3"/>
      <color rgb="FF008000"/>
      <sz val="10"/>
    </font>
    <font>
      <name val="ＭＳ Ｐゴシック"/>
      <charset val="128"/>
      <family val="3"/>
      <color rgb="FF339966"/>
      <sz val="11"/>
    </font>
    <font>
      <name val="ＭＳ Ｐゴシック"/>
      <charset val="128"/>
      <family val="3"/>
      <color rgb="FF008000"/>
      <sz val="11"/>
    </font>
    <font>
      <name val="ＭＳ Ｐゴシック"/>
      <charset val="128"/>
      <family val="3"/>
      <color rgb="FF0066CC"/>
      <sz val="10"/>
    </font>
    <font>
      <name val="ＭＳ Ｐゴシック"/>
      <charset val="128"/>
      <family val="3"/>
      <color rgb="FF000000"/>
      <sz val="10"/>
    </font>
    <font>
      <name val="MS P ゴシック"/>
      <charset val="128"/>
      <family val="3"/>
      <color rgb="FF000000"/>
      <sz val="9"/>
    </font>
    <font>
      <name val="Meiryo UI"/>
      <color rgb="00000000"/>
      <sz val="10"/>
    </font>
    <font>
      <name val="Meiryo UI"/>
      <b val="1"/>
      <color rgb="001F3864"/>
      <sz val="11"/>
    </font>
    <font>
      <name val="Meiryo UI"/>
      <b val="1"/>
      <color rgb="00FFFFFF"/>
      <sz val="10"/>
    </font>
    <font>
      <name val="Meiryo UI"/>
      <b val="1"/>
      <color rgb="00000000"/>
      <sz val="10"/>
    </font>
    <font>
      <name val="Meiryo UI"/>
      <color rgb="00A6A6A6"/>
      <sz val="8"/>
    </font>
    <font>
      <name val="Meiryo UI"/>
      <color rgb="007F7F7F"/>
      <sz val="8"/>
    </font>
    <font>
      <name val="Meiryo UI"/>
      <b val="1"/>
      <color rgb="00548235"/>
      <sz val="9"/>
    </font>
    <font>
      <name val="Meiryo UI"/>
      <b val="1"/>
      <color rgb="00FFFFFF"/>
      <sz val="9"/>
    </font>
    <font>
      <name val="Meiryo UI"/>
      <b val="1"/>
      <color rgb="00FFFFFF"/>
      <sz val="14"/>
    </font>
    <font>
      <name val="Meiryo UI"/>
      <color rgb="00FFFFFF"/>
      <sz val="8"/>
    </font>
    <font>
      <name val="Meiryo UI"/>
      <color rgb="00548235"/>
      <sz val="10"/>
    </font>
    <font>
      <name val="Meiryo UI"/>
      <color rgb="000000FF"/>
      <sz val="10"/>
    </font>
    <font>
      <name val="Meiryo UI"/>
      <b val="1"/>
      <color rgb="000000FF"/>
      <sz val="10"/>
    </font>
    <font>
      <name val="Meiryo UI"/>
      <color rgb="007F7F7F"/>
      <sz val="9"/>
    </font>
    <font>
      <name val="Meiryo UI"/>
      <b val="1"/>
      <color rgb="000000FF"/>
      <sz val="12"/>
    </font>
    <font>
      <name val="Meiryo UI"/>
      <b val="1"/>
      <color rgb="000000FF"/>
      <sz val="13"/>
    </font>
    <font>
      <name val="Meiryo UI"/>
      <b val="1"/>
      <color rgb="00FFFFFF"/>
      <sz val="11"/>
    </font>
    <font>
      <name val="Meiryo UI"/>
      <color rgb="00404040"/>
      <sz val="10"/>
    </font>
    <font>
      <name val="Meiryo UI"/>
      <b val="1"/>
      <color rgb="000000FF"/>
      <sz val="11"/>
    </font>
    <font>
      <name val="Meiryo UI"/>
      <color rgb="00000000"/>
      <sz val="9"/>
    </font>
    <font>
      <name val="Meiryo UI"/>
      <b val="1"/>
      <color rgb="001F3864"/>
      <sz val="10"/>
    </font>
    <font>
      <name val="Meiryo UI"/>
      <b val="1"/>
      <color rgb="00000000"/>
      <sz val="11"/>
    </font>
  </fonts>
  <fills count="18">
    <fill>
      <patternFill/>
    </fill>
    <fill>
      <patternFill patternType="gray125"/>
    </fill>
    <fill>
      <patternFill patternType="solid">
        <fgColor rgb="FFCC99FF"/>
        <bgColor rgb="FF9999FF"/>
      </patternFill>
    </fill>
    <fill>
      <patternFill patternType="solid">
        <fgColor rgb="FFCCFFFF"/>
        <bgColor rgb="FFCCFFFF"/>
      </patternFill>
    </fill>
    <fill>
      <patternFill patternType="solid">
        <fgColor rgb="FFFF6600"/>
        <bgColor rgb="FFFF9900"/>
      </patternFill>
    </fill>
    <fill>
      <patternFill patternType="solid">
        <fgColor rgb="FFCCFFCC"/>
        <bgColor rgb="FFCCFFFF"/>
      </patternFill>
    </fill>
    <fill>
      <patternFill patternType="solid">
        <fgColor rgb="FF99CCFF"/>
        <bgColor rgb="FFCCCCFF"/>
      </patternFill>
    </fill>
    <fill>
      <patternFill patternType="solid">
        <fgColor rgb="FFFFFF00"/>
        <bgColor rgb="FFFFFF00"/>
      </patternFill>
    </fill>
    <fill>
      <patternFill patternType="solid">
        <fgColor rgb="FFFFFF99"/>
        <bgColor rgb="FFCCFFCC"/>
      </patternFill>
    </fill>
    <fill>
      <patternFill patternType="solid">
        <fgColor rgb="FFFFFFFF"/>
        <bgColor rgb="FFFFDFDF"/>
      </patternFill>
    </fill>
    <fill>
      <patternFill patternType="solid">
        <fgColor rgb="FF99CC00"/>
        <bgColor rgb="FFFFCC00"/>
      </patternFill>
    </fill>
    <fill>
      <patternFill patternType="solid">
        <fgColor rgb="FFFF99CC"/>
        <bgColor rgb="FFFF8080"/>
      </patternFill>
    </fill>
    <fill>
      <patternFill patternType="solid">
        <fgColor rgb="FFFFDFDF"/>
        <bgColor rgb="FFFFFFFF"/>
      </patternFill>
    </fill>
    <fill>
      <patternFill patternType="solid">
        <fgColor rgb="001F3864"/>
      </patternFill>
    </fill>
    <fill>
      <patternFill patternType="solid">
        <fgColor rgb="00F2F2F2"/>
      </patternFill>
    </fill>
    <fill>
      <patternFill patternType="solid">
        <fgColor rgb="00548235"/>
      </patternFill>
    </fill>
    <fill>
      <patternFill patternType="solid">
        <fgColor rgb="00FFF2CC"/>
      </patternFill>
    </fill>
    <fill>
      <patternFill patternType="solid">
        <fgColor rgb="002E75B6"/>
      </patternFill>
    </fill>
  </fills>
  <borders count="41">
    <border>
      <left/>
      <right/>
      <top/>
      <bottom/>
      <diagonal/>
    </border>
    <border>
      <left/>
      <right/>
      <top/>
      <bottom style="thin"/>
      <diagonal/>
    </border>
    <border>
      <left style="thin"/>
      <right style="thin"/>
      <top style="thin"/>
      <bottom style="thin"/>
      <diagonal/>
    </border>
    <border>
      <left style="thin"/>
      <right style="thin"/>
      <top style="thin"/>
      <bottom style="dashed"/>
      <diagonal/>
    </border>
    <border>
      <left style="thin"/>
      <right style="thin"/>
      <top style="dashed"/>
      <bottom style="dashed"/>
      <diagonal/>
    </border>
    <border>
      <left style="thin"/>
      <right style="thin"/>
      <top style="dashed"/>
      <bottom style="thin"/>
      <diagonal/>
    </border>
    <border>
      <left/>
      <right style="thin"/>
      <top style="thin"/>
      <bottom style="thin"/>
      <diagonal/>
    </border>
    <border>
      <left style="thin"/>
      <right style="thin"/>
      <top style="dashed"/>
      <bottom/>
      <diagonal/>
    </border>
    <border>
      <left style="thin"/>
      <right style="thin"/>
      <top/>
      <bottom style="thin"/>
      <diagonal/>
    </border>
    <border>
      <left style="thin"/>
      <right/>
      <top style="thin"/>
      <bottom style="thin"/>
      <diagonal/>
    </border>
    <border>
      <left style="thin"/>
      <right style="thin"/>
      <top style="thin"/>
      <bottom/>
      <diagonal/>
    </border>
    <border>
      <left style="thin"/>
      <right style="thin"/>
      <top/>
      <bottom style="dashed"/>
      <diagonal/>
    </border>
    <border>
      <left style="thin"/>
      <right/>
      <top/>
      <bottom/>
      <diagonal/>
    </border>
    <border>
      <left/>
      <right/>
      <top style="thin"/>
      <bottom style="thin"/>
      <diagonal/>
    </border>
    <border>
      <left/>
      <right/>
      <top/>
      <bottom style="medium"/>
      <diagonal/>
    </border>
    <border>
      <left style="medium"/>
      <right style="medium"/>
      <top style="medium"/>
      <bottom style="medium"/>
      <diagonal/>
    </border>
    <border>
      <left style="thin"/>
      <right style="thin"/>
      <top/>
      <bottom/>
      <diagonal/>
    </border>
    <border>
      <left style="thin"/>
      <right style="thin"/>
      <top style="thin"/>
      <bottom style="dotted"/>
      <diagonal/>
    </border>
    <border>
      <left style="thin"/>
      <right style="thin"/>
      <top style="dotted"/>
      <bottom style="dotted"/>
      <diagonal/>
    </border>
    <border>
      <left style="thin"/>
      <right style="thin"/>
      <top style="dotted"/>
      <bottom style="thin"/>
      <diagonal/>
    </border>
    <border>
      <left style="thin"/>
      <right style="thin"/>
      <top style="thin"/>
      <bottom style="medium">
        <color rgb="FFFF00FF"/>
      </bottom>
      <diagonal/>
    </border>
    <border>
      <left/>
      <right style="thin"/>
      <top style="dotted"/>
      <bottom style="thin"/>
      <diagonal/>
    </border>
    <border>
      <left/>
      <right style="thin"/>
      <top/>
      <bottom style="thin"/>
      <diagonal/>
    </border>
    <border>
      <left/>
      <right style="thin"/>
      <top/>
      <bottom/>
      <diagonal/>
    </border>
    <border>
      <left style="medium">
        <color rgb="FFFF00FF"/>
      </left>
      <right style="medium">
        <color rgb="FFFF00FF"/>
      </right>
      <top style="medium">
        <color rgb="FFFF00FF"/>
      </top>
      <bottom style="medium">
        <color rgb="FFFF00FF"/>
      </bottom>
      <diagonal/>
    </border>
    <border>
      <left style="thin"/>
      <right style="thin"/>
      <top style="medium">
        <color rgb="FFFF00FF"/>
      </top>
      <bottom style="dashed"/>
      <diagonal/>
    </border>
    <border>
      <left/>
      <right/>
      <top style="thin"/>
      <bottom/>
      <diagonal/>
    </border>
    <border>
      <left/>
      <right style="thin"/>
      <top style="thin"/>
      <bottom/>
      <diagonal/>
    </border>
    <border>
      <left style="thin"/>
      <right/>
      <top/>
      <bottom style="thin"/>
      <diagonal/>
    </border>
    <border>
      <left/>
      <right/>
      <top style="medium"/>
      <bottom/>
      <diagonal/>
    </border>
    <border>
      <left/>
      <right style="medium"/>
      <top style="medium"/>
      <bottom/>
      <diagonal/>
    </border>
    <border>
      <left/>
      <right style="medium"/>
      <top style="medium"/>
      <bottom style="medium"/>
      <diagonal/>
    </border>
    <border/>
    <border>
      <bottom style="thin">
        <color rgb="001F3864"/>
      </bottom>
    </border>
    <border>
      <left style="thin">
        <color rgb="00BFBFBF"/>
      </left>
      <right style="thin">
        <color rgb="00BFBFBF"/>
      </right>
      <top style="thin">
        <color rgb="00BFBFBF"/>
      </top>
      <bottom style="thin">
        <color rgb="00BFBFBF"/>
      </bottom>
    </border>
    <border>
      <bottom style="hair">
        <color rgb="00BFBFBF"/>
      </bottom>
    </border>
    <border>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7">
    <xf numFmtId="0" fontId="0" fillId="0" borderId="0" applyAlignment="1">
      <alignment horizontal="general" vertical="bottom"/>
    </xf>
    <xf numFmtId="43" fontId="3" fillId="0" borderId="0"/>
    <xf numFmtId="164" fontId="0" fillId="0" borderId="0"/>
    <xf numFmtId="44" fontId="3" fillId="0" borderId="0"/>
    <xf numFmtId="42" fontId="3" fillId="0" borderId="0"/>
    <xf numFmtId="9" fontId="3" fillId="0" borderId="0"/>
    <xf numFmtId="164" fontId="0" fillId="0" borderId="0"/>
  </cellStyleXfs>
  <cellXfs count="445">
    <xf numFmtId="0" fontId="0" fillId="0" borderId="0" applyAlignment="1" pivotButton="0" quotePrefix="0" xfId="0">
      <alignment horizontal="general" vertical="bottom"/>
    </xf>
    <xf numFmtId="164" fontId="0" fillId="0" borderId="0" applyAlignment="1" pivotButton="0" quotePrefix="0" xfId="16">
      <alignment horizontal="general" vertical="bottom"/>
    </xf>
    <xf numFmtId="164" fontId="4" fillId="0" borderId="0" applyAlignment="1" pivotButton="0" quotePrefix="0" xfId="16">
      <alignment horizontal="general" vertical="bottom"/>
    </xf>
    <xf numFmtId="165" fontId="5" fillId="2" borderId="0" applyAlignment="1" pivotButton="0" quotePrefix="0" xfId="16">
      <alignment horizontal="center" vertical="bottom" shrinkToFit="1"/>
    </xf>
    <xf numFmtId="164" fontId="6" fillId="2" borderId="0" applyAlignment="1" pivotButton="0" quotePrefix="0" xfId="16">
      <alignment horizontal="left" vertical="center"/>
    </xf>
    <xf numFmtId="164" fontId="0" fillId="2" borderId="0" applyAlignment="1" pivotButton="0" quotePrefix="0" xfId="16">
      <alignment horizontal="general" vertical="bottom"/>
    </xf>
    <xf numFmtId="164" fontId="7" fillId="0" borderId="1" applyAlignment="1" pivotButton="0" quotePrefix="0" xfId="16">
      <alignment horizontal="center" vertical="center"/>
    </xf>
    <xf numFmtId="164" fontId="0" fillId="0" borderId="0" applyAlignment="1" pivotButton="0" quotePrefix="0" xfId="16">
      <alignment horizontal="general" vertical="center"/>
    </xf>
    <xf numFmtId="164" fontId="8" fillId="0" borderId="2" applyAlignment="1" pivotButton="0" quotePrefix="0" xfId="16">
      <alignment horizontal="center" vertical="center"/>
    </xf>
    <xf numFmtId="164" fontId="9" fillId="0" borderId="2" applyAlignment="1" pivotButton="0" quotePrefix="0" xfId="16">
      <alignment horizontal="center" vertical="center"/>
    </xf>
    <xf numFmtId="164" fontId="8" fillId="0" borderId="2" applyAlignment="1" pivotButton="0" quotePrefix="0" xfId="16">
      <alignment horizontal="general" vertical="center"/>
    </xf>
    <xf numFmtId="164" fontId="11" fillId="0" borderId="2" applyAlignment="1" pivotButton="0" quotePrefix="0" xfId="16">
      <alignment horizontal="general" vertical="bottom"/>
    </xf>
    <xf numFmtId="164" fontId="12" fillId="3" borderId="2" applyAlignment="1" pivotButton="0" quotePrefix="0" xfId="16">
      <alignment horizontal="general" vertical="bottom"/>
    </xf>
    <xf numFmtId="164" fontId="11" fillId="3" borderId="2" applyAlignment="1" pivotButton="0" quotePrefix="0" xfId="16">
      <alignment horizontal="general" vertical="bottom"/>
    </xf>
    <xf numFmtId="164" fontId="13" fillId="0" borderId="2" applyAlignment="1" pivotButton="0" quotePrefix="0" xfId="16">
      <alignment horizontal="center" vertical="center" wrapText="1"/>
    </xf>
    <xf numFmtId="164" fontId="14" fillId="0" borderId="3" applyAlignment="1" pivotButton="0" quotePrefix="0" xfId="16">
      <alignment horizontal="general" vertical="center"/>
    </xf>
    <xf numFmtId="164" fontId="11" fillId="0" borderId="3" applyAlignment="1" pivotButton="0" quotePrefix="0" xfId="16">
      <alignment horizontal="general" vertical="bottom"/>
    </xf>
    <xf numFmtId="164" fontId="12" fillId="0" borderId="3" applyAlignment="1" pivotButton="0" quotePrefix="0" xfId="16">
      <alignment horizontal="general" vertical="bottom"/>
    </xf>
    <xf numFmtId="164" fontId="14" fillId="0" borderId="4" applyAlignment="1" pivotButton="0" quotePrefix="0" xfId="16">
      <alignment horizontal="general" vertical="center"/>
    </xf>
    <xf numFmtId="164" fontId="11" fillId="0" borderId="4" applyAlignment="1" pivotButton="0" quotePrefix="0" xfId="16">
      <alignment horizontal="general" vertical="bottom"/>
    </xf>
    <xf numFmtId="164" fontId="12" fillId="0" borderId="4" applyAlignment="1" pivotButton="0" quotePrefix="0" xfId="16">
      <alignment horizontal="general" vertical="bottom"/>
    </xf>
    <xf numFmtId="164" fontId="13" fillId="0" borderId="4" applyAlignment="1" pivotButton="0" quotePrefix="0" xfId="16">
      <alignment horizontal="general" vertical="center"/>
    </xf>
    <xf numFmtId="164" fontId="13" fillId="0" borderId="5" applyAlignment="1" pivotButton="0" quotePrefix="0" xfId="16">
      <alignment horizontal="general" vertical="center"/>
    </xf>
    <xf numFmtId="164" fontId="11" fillId="0" borderId="5" applyAlignment="1" pivotButton="0" quotePrefix="0" xfId="16">
      <alignment horizontal="general" vertical="bottom"/>
    </xf>
    <xf numFmtId="164" fontId="12" fillId="0" borderId="5" applyAlignment="1" pivotButton="0" quotePrefix="0" xfId="16">
      <alignment horizontal="general" vertical="bottom"/>
    </xf>
    <xf numFmtId="164" fontId="14" fillId="0" borderId="6" applyAlignment="1" pivotButton="0" quotePrefix="0" xfId="16">
      <alignment horizontal="center" vertical="center"/>
    </xf>
    <xf numFmtId="164" fontId="12" fillId="0" borderId="2" applyAlignment="1" pivotButton="0" quotePrefix="0" xfId="16">
      <alignment horizontal="general" vertical="bottom"/>
    </xf>
    <xf numFmtId="164" fontId="8" fillId="0" borderId="2" applyAlignment="1" pivotButton="0" quotePrefix="0" xfId="16">
      <alignment horizontal="left" vertical="center" wrapText="1"/>
    </xf>
    <xf numFmtId="164" fontId="15" fillId="0" borderId="0" applyAlignment="1" pivotButton="0" quotePrefix="0" xfId="16">
      <alignment horizontal="general" vertical="bottom"/>
    </xf>
    <xf numFmtId="164" fontId="16" fillId="0" borderId="0" applyAlignment="1" pivotButton="0" quotePrefix="0" xfId="16">
      <alignment horizontal="general" vertical="bottom"/>
    </xf>
    <xf numFmtId="164" fontId="14" fillId="0" borderId="2" applyAlignment="1" pivotButton="0" quotePrefix="0" xfId="16">
      <alignment horizontal="center" vertical="center" wrapText="1"/>
    </xf>
    <xf numFmtId="164" fontId="15" fillId="0" borderId="0" applyAlignment="1" pivotButton="0" quotePrefix="0" xfId="16">
      <alignment horizontal="center" vertical="bottom"/>
    </xf>
    <xf numFmtId="164" fontId="14" fillId="0" borderId="7" applyAlignment="1" pivotButton="0" quotePrefix="0" xfId="16">
      <alignment horizontal="general" vertical="center"/>
    </xf>
    <xf numFmtId="164" fontId="14" fillId="0" borderId="5" applyAlignment="1" pivotButton="0" quotePrefix="0" xfId="16">
      <alignment horizontal="general" vertical="center"/>
    </xf>
    <xf numFmtId="164" fontId="12" fillId="3" borderId="8" applyAlignment="1" pivotButton="0" quotePrefix="0" xfId="16">
      <alignment horizontal="general" vertical="bottom"/>
    </xf>
    <xf numFmtId="0" fontId="8" fillId="0" borderId="2" applyAlignment="1" pivotButton="0" quotePrefix="0" xfId="0">
      <alignment horizontal="left" vertical="center"/>
    </xf>
    <xf numFmtId="164" fontId="8" fillId="0" borderId="2" applyAlignment="1" pivotButton="0" quotePrefix="0" xfId="16">
      <alignment horizontal="left" vertical="center"/>
    </xf>
    <xf numFmtId="164" fontId="8" fillId="0" borderId="9" applyAlignment="1" pivotButton="0" quotePrefix="0" xfId="16">
      <alignment horizontal="center" vertical="center" textRotation="255" wrapText="1"/>
    </xf>
    <xf numFmtId="164" fontId="9" fillId="0" borderId="10" applyAlignment="1" pivotButton="0" quotePrefix="0" xfId="16">
      <alignment horizontal="general" vertical="center"/>
    </xf>
    <xf numFmtId="164" fontId="8" fillId="0" borderId="3" applyAlignment="1" pivotButton="0" quotePrefix="0" xfId="16">
      <alignment horizontal="general" vertical="center"/>
    </xf>
    <xf numFmtId="164" fontId="12" fillId="0" borderId="11" applyAlignment="1" pivotButton="0" quotePrefix="0" xfId="16">
      <alignment horizontal="general" vertical="bottom"/>
    </xf>
    <xf numFmtId="164" fontId="11" fillId="0" borderId="4" applyAlignment="1" pivotButton="0" quotePrefix="0" xfId="16">
      <alignment horizontal="right" vertical="center"/>
    </xf>
    <xf numFmtId="164" fontId="12" fillId="0" borderId="4" applyAlignment="1" pivotButton="0" quotePrefix="0" xfId="16">
      <alignment horizontal="right" vertical="center"/>
    </xf>
    <xf numFmtId="164" fontId="8" fillId="0" borderId="4" applyAlignment="1" pivotButton="0" quotePrefix="0" xfId="16">
      <alignment horizontal="general" vertical="center" shrinkToFit="1"/>
    </xf>
    <xf numFmtId="164" fontId="8" fillId="0" borderId="4" applyAlignment="1" pivotButton="0" quotePrefix="0" xfId="16">
      <alignment horizontal="general" vertical="center"/>
    </xf>
    <xf numFmtId="164" fontId="8" fillId="0" borderId="7" applyAlignment="1" pivotButton="0" quotePrefix="0" xfId="16">
      <alignment horizontal="general" vertical="center"/>
    </xf>
    <xf numFmtId="164" fontId="12" fillId="0" borderId="8" applyAlignment="1" pivotButton="0" quotePrefix="0" xfId="16">
      <alignment horizontal="general" vertical="bottom"/>
    </xf>
    <xf numFmtId="164" fontId="11" fillId="0" borderId="8" applyAlignment="1" pivotButton="0" quotePrefix="0" xfId="16">
      <alignment horizontal="general" vertical="bottom"/>
    </xf>
    <xf numFmtId="164" fontId="14" fillId="0" borderId="2" applyAlignment="1" pivotButton="0" quotePrefix="0" xfId="16">
      <alignment horizontal="general" vertical="center"/>
    </xf>
    <xf numFmtId="164" fontId="8" fillId="0" borderId="0" applyAlignment="1" pivotButton="0" quotePrefix="0" xfId="16">
      <alignment horizontal="general" vertical="bottom"/>
    </xf>
    <xf numFmtId="164" fontId="8" fillId="4" borderId="2" applyAlignment="1" pivotButton="0" quotePrefix="0" xfId="16">
      <alignment horizontal="center" vertical="center"/>
    </xf>
    <xf numFmtId="164" fontId="16" fillId="4" borderId="2" applyAlignment="1" pivotButton="0" quotePrefix="0" xfId="16">
      <alignment horizontal="general" vertical="bottom"/>
    </xf>
    <xf numFmtId="164" fontId="17" fillId="4" borderId="2" applyAlignment="1" pivotButton="0" quotePrefix="0" xfId="16">
      <alignment horizontal="general" vertical="bottom"/>
    </xf>
    <xf numFmtId="164" fontId="16" fillId="4" borderId="12" applyAlignment="1" pivotButton="0" quotePrefix="0" xfId="16">
      <alignment horizontal="general" vertical="bottom"/>
    </xf>
    <xf numFmtId="164" fontId="0" fillId="4" borderId="0" applyAlignment="1" pivotButton="0" quotePrefix="0" xfId="16">
      <alignment horizontal="general" vertical="bottom"/>
    </xf>
    <xf numFmtId="164" fontId="7" fillId="0" borderId="13" applyAlignment="1" pivotButton="0" quotePrefix="0" xfId="16">
      <alignment horizontal="center" vertical="center"/>
    </xf>
    <xf numFmtId="164" fontId="9" fillId="0" borderId="2" applyAlignment="1" pivotButton="0" quotePrefix="0" xfId="16">
      <alignment horizontal="general" vertical="center" shrinkToFit="1"/>
    </xf>
    <xf numFmtId="164" fontId="11" fillId="0" borderId="10" applyAlignment="1" pivotButton="0" quotePrefix="0" xfId="16">
      <alignment horizontal="general" vertical="bottom" shrinkToFit="1"/>
    </xf>
    <xf numFmtId="164" fontId="12" fillId="0" borderId="10" applyAlignment="1" pivotButton="0" quotePrefix="0" xfId="16">
      <alignment horizontal="general" vertical="bottom" shrinkToFit="1"/>
    </xf>
    <xf numFmtId="164" fontId="16" fillId="0" borderId="10" applyAlignment="1" pivotButton="0" quotePrefix="0" xfId="16">
      <alignment horizontal="general" vertical="bottom" shrinkToFit="1"/>
    </xf>
    <xf numFmtId="164" fontId="0" fillId="0" borderId="0" applyAlignment="1" pivotButton="0" quotePrefix="0" xfId="16">
      <alignment horizontal="general" vertical="bottom" shrinkToFit="1"/>
    </xf>
    <xf numFmtId="164" fontId="14" fillId="0" borderId="2" applyAlignment="1" pivotButton="0" quotePrefix="0" xfId="16">
      <alignment horizontal="general" vertical="center" shrinkToFit="1"/>
    </xf>
    <xf numFmtId="164" fontId="16" fillId="0" borderId="2" applyAlignment="1" pivotButton="0" quotePrefix="0" xfId="16">
      <alignment horizontal="general" vertical="bottom" shrinkToFit="1"/>
    </xf>
    <xf numFmtId="164" fontId="14" fillId="0" borderId="2" applyAlignment="1" pivotButton="0" quotePrefix="0" xfId="16">
      <alignment horizontal="left" vertical="center" shrinkToFit="1"/>
    </xf>
    <xf numFmtId="164" fontId="14" fillId="0" borderId="2" applyAlignment="1" pivotButton="0" quotePrefix="0" xfId="16">
      <alignment horizontal="center" vertical="center" shrinkToFit="1"/>
    </xf>
    <xf numFmtId="164" fontId="12" fillId="0" borderId="2" applyAlignment="1" pivotButton="0" quotePrefix="0" xfId="16">
      <alignment horizontal="general" vertical="bottom" shrinkToFit="1"/>
    </xf>
    <xf numFmtId="164" fontId="18" fillId="0" borderId="0" applyAlignment="1" pivotButton="0" quotePrefix="0" xfId="16">
      <alignment horizontal="general" vertical="bottom"/>
    </xf>
    <xf numFmtId="164" fontId="12" fillId="0" borderId="14" applyAlignment="1" pivotButton="0" quotePrefix="0" xfId="16">
      <alignment horizontal="general" vertical="bottom" shrinkToFit="1"/>
    </xf>
    <xf numFmtId="164" fontId="14" fillId="5" borderId="15" applyAlignment="1" pivotButton="0" quotePrefix="0" xfId="16">
      <alignment horizontal="center" vertical="center" shrinkToFit="1"/>
    </xf>
    <xf numFmtId="164" fontId="12" fillId="0" borderId="15" applyAlignment="1" pivotButton="0" quotePrefix="0" xfId="16">
      <alignment horizontal="general" vertical="bottom" shrinkToFit="1"/>
    </xf>
    <xf numFmtId="164" fontId="16" fillId="0" borderId="15" applyAlignment="1" pivotButton="0" quotePrefix="0" xfId="16">
      <alignment horizontal="general" vertical="bottom" shrinkToFit="1"/>
    </xf>
    <xf numFmtId="164" fontId="14" fillId="0" borderId="0" applyAlignment="1" pivotButton="0" quotePrefix="0" xfId="16">
      <alignment horizontal="general" vertical="bottom"/>
    </xf>
    <xf numFmtId="164" fontId="19" fillId="0" borderId="0" applyAlignment="1" pivotButton="0" quotePrefix="0" xfId="16">
      <alignment horizontal="general" vertical="bottom"/>
    </xf>
    <xf numFmtId="164" fontId="20" fillId="0" borderId="0" applyAlignment="1" pivotButton="0" quotePrefix="0" xfId="16">
      <alignment horizontal="center" vertical="bottom"/>
    </xf>
    <xf numFmtId="166" fontId="18" fillId="0" borderId="0" applyAlignment="1" pivotButton="0" quotePrefix="0" xfId="0">
      <alignment horizontal="general" vertical="bottom"/>
    </xf>
    <xf numFmtId="165" fontId="27" fillId="6" borderId="0" applyAlignment="1" pivotButton="0" quotePrefix="0" xfId="16">
      <alignment horizontal="center" vertical="bottom" shrinkToFit="1"/>
    </xf>
    <xf numFmtId="164" fontId="6" fillId="6" borderId="0" applyAlignment="1" pivotButton="0" quotePrefix="0" xfId="16">
      <alignment horizontal="left" vertical="center"/>
    </xf>
    <xf numFmtId="164" fontId="0" fillId="6" borderId="0" applyAlignment="1" pivotButton="0" quotePrefix="0" xfId="16">
      <alignment horizontal="general" vertical="bottom"/>
    </xf>
    <xf numFmtId="164" fontId="9" fillId="7" borderId="2" applyAlignment="1" pivotButton="0" quotePrefix="0" xfId="16">
      <alignment horizontal="center" vertical="center"/>
    </xf>
    <xf numFmtId="164" fontId="16" fillId="0" borderId="2" applyAlignment="1" pivotButton="0" quotePrefix="0" xfId="16">
      <alignment horizontal="general" vertical="bottom"/>
    </xf>
    <xf numFmtId="164" fontId="28" fillId="0" borderId="2" applyAlignment="1" pivotButton="0" quotePrefix="0" xfId="16">
      <alignment horizontal="general" vertical="bottom"/>
    </xf>
    <xf numFmtId="164" fontId="29" fillId="0" borderId="2" applyAlignment="1" pivotButton="0" quotePrefix="0" xfId="16">
      <alignment horizontal="general" vertical="bottom"/>
    </xf>
    <xf numFmtId="164" fontId="16" fillId="3" borderId="2" applyAlignment="1" pivotButton="0" quotePrefix="0" xfId="16">
      <alignment horizontal="general" vertical="bottom"/>
    </xf>
    <xf numFmtId="164" fontId="16" fillId="0" borderId="3" applyAlignment="1" pivotButton="0" quotePrefix="0" xfId="16">
      <alignment horizontal="general" vertical="bottom"/>
    </xf>
    <xf numFmtId="164" fontId="28" fillId="0" borderId="3" applyAlignment="1" pivotButton="0" quotePrefix="0" xfId="16">
      <alignment horizontal="general" vertical="bottom"/>
    </xf>
    <xf numFmtId="164" fontId="29" fillId="0" borderId="3" applyAlignment="1" pivotButton="0" quotePrefix="0" xfId="16">
      <alignment horizontal="general" vertical="bottom"/>
    </xf>
    <xf numFmtId="164" fontId="16" fillId="0" borderId="4" applyAlignment="1" pivotButton="0" quotePrefix="0" xfId="16">
      <alignment horizontal="general" vertical="bottom"/>
    </xf>
    <xf numFmtId="164" fontId="28" fillId="0" borderId="4" applyAlignment="1" pivotButton="0" quotePrefix="0" xfId="16">
      <alignment horizontal="general" vertical="bottom"/>
    </xf>
    <xf numFmtId="164" fontId="29" fillId="0" borderId="4" applyAlignment="1" pivotButton="0" quotePrefix="0" xfId="16">
      <alignment horizontal="general" vertical="bottom"/>
    </xf>
    <xf numFmtId="164" fontId="12" fillId="8" borderId="5" applyAlignment="1" pivotButton="0" quotePrefix="0" xfId="16">
      <alignment horizontal="general" vertical="bottom"/>
    </xf>
    <xf numFmtId="164" fontId="16" fillId="8" borderId="5" applyAlignment="1" pivotButton="0" quotePrefix="0" xfId="16">
      <alignment horizontal="general" vertical="bottom"/>
    </xf>
    <xf numFmtId="164" fontId="16" fillId="0" borderId="5" applyAlignment="1" pivotButton="0" quotePrefix="0" xfId="16">
      <alignment horizontal="general" vertical="bottom"/>
    </xf>
    <xf numFmtId="164" fontId="12" fillId="9" borderId="5" applyAlignment="1" pivotButton="0" quotePrefix="0" xfId="16">
      <alignment horizontal="general" vertical="bottom"/>
    </xf>
    <xf numFmtId="164" fontId="12" fillId="9" borderId="2" applyAlignment="1" pivotButton="0" quotePrefix="0" xfId="16">
      <alignment horizontal="general" vertical="bottom"/>
    </xf>
    <xf numFmtId="164" fontId="28" fillId="9" borderId="2" applyAlignment="1" pivotButton="0" quotePrefix="0" xfId="16">
      <alignment horizontal="general" vertical="bottom"/>
    </xf>
    <xf numFmtId="164" fontId="29" fillId="9" borderId="2" applyAlignment="1" pivotButton="0" quotePrefix="0" xfId="16">
      <alignment horizontal="general" vertical="bottom"/>
    </xf>
    <xf numFmtId="164" fontId="14" fillId="0" borderId="10" applyAlignment="1" pivotButton="0" quotePrefix="0" xfId="16">
      <alignment horizontal="general" vertical="center"/>
    </xf>
    <xf numFmtId="164" fontId="16" fillId="0" borderId="10" applyAlignment="1" pivotButton="0" quotePrefix="0" xfId="16">
      <alignment horizontal="general" vertical="bottom"/>
    </xf>
    <xf numFmtId="164" fontId="28" fillId="0" borderId="10" applyAlignment="1" pivotButton="0" quotePrefix="0" xfId="16">
      <alignment horizontal="general" vertical="bottom"/>
    </xf>
    <xf numFmtId="164" fontId="28" fillId="9" borderId="10" applyAlignment="1" pivotButton="0" quotePrefix="0" xfId="16">
      <alignment horizontal="general" vertical="bottom"/>
    </xf>
    <xf numFmtId="164" fontId="29" fillId="9" borderId="10" applyAlignment="1" pivotButton="0" quotePrefix="0" xfId="16">
      <alignment horizontal="general" vertical="bottom"/>
    </xf>
    <xf numFmtId="164" fontId="12" fillId="0" borderId="10" applyAlignment="1" pivotButton="0" quotePrefix="0" xfId="16">
      <alignment horizontal="general" vertical="bottom"/>
    </xf>
    <xf numFmtId="164" fontId="12" fillId="9" borderId="10" applyAlignment="1" pivotButton="0" quotePrefix="0" xfId="16">
      <alignment horizontal="general" vertical="bottom"/>
    </xf>
    <xf numFmtId="164" fontId="28" fillId="9" borderId="4" applyAlignment="1" pivotButton="0" quotePrefix="0" xfId="16">
      <alignment horizontal="general" vertical="bottom"/>
    </xf>
    <xf numFmtId="164" fontId="29" fillId="9" borderId="4" applyAlignment="1" pivotButton="0" quotePrefix="0" xfId="16">
      <alignment horizontal="general" vertical="bottom"/>
    </xf>
    <xf numFmtId="164" fontId="12" fillId="9" borderId="4" applyAlignment="1" pivotButton="0" quotePrefix="0" xfId="16">
      <alignment horizontal="general" vertical="bottom"/>
    </xf>
    <xf numFmtId="164" fontId="16" fillId="0" borderId="7" applyAlignment="1" pivotButton="0" quotePrefix="0" xfId="16">
      <alignment horizontal="general" vertical="bottom"/>
    </xf>
    <xf numFmtId="164" fontId="28" fillId="0" borderId="7" applyAlignment="1" pivotButton="0" quotePrefix="0" xfId="16">
      <alignment horizontal="general" vertical="bottom"/>
    </xf>
    <xf numFmtId="164" fontId="28" fillId="9" borderId="7" applyAlignment="1" pivotButton="0" quotePrefix="0" xfId="16">
      <alignment horizontal="general" vertical="bottom"/>
    </xf>
    <xf numFmtId="164" fontId="29" fillId="9" borderId="7" applyAlignment="1" pivotButton="0" quotePrefix="0" xfId="16">
      <alignment horizontal="general" vertical="bottom"/>
    </xf>
    <xf numFmtId="164" fontId="28" fillId="0" borderId="5" applyAlignment="1" pivotButton="0" quotePrefix="0" xfId="16">
      <alignment horizontal="general" vertical="bottom"/>
    </xf>
    <xf numFmtId="164" fontId="28" fillId="9" borderId="5" applyAlignment="1" pivotButton="0" quotePrefix="0" xfId="16">
      <alignment horizontal="general" vertical="bottom"/>
    </xf>
    <xf numFmtId="164" fontId="29" fillId="9" borderId="5" applyAlignment="1" pivotButton="0" quotePrefix="0" xfId="16">
      <alignment horizontal="general" vertical="bottom"/>
    </xf>
    <xf numFmtId="164" fontId="12" fillId="9" borderId="8" applyAlignment="1" pivotButton="0" quotePrefix="0" xfId="16">
      <alignment horizontal="general" vertical="bottom"/>
    </xf>
    <xf numFmtId="164" fontId="29" fillId="8" borderId="2" applyAlignment="1" pivotButton="0" quotePrefix="0" xfId="16">
      <alignment horizontal="general" vertical="bottom"/>
    </xf>
    <xf numFmtId="164" fontId="29" fillId="3" borderId="8" applyAlignment="1" pivotButton="0" quotePrefix="0" xfId="16">
      <alignment horizontal="general" vertical="bottom"/>
    </xf>
    <xf numFmtId="164" fontId="29" fillId="3" borderId="2" applyAlignment="1" pivotButton="0" quotePrefix="0" xfId="16">
      <alignment horizontal="general" vertical="bottom"/>
    </xf>
    <xf numFmtId="164" fontId="8" fillId="0" borderId="16" applyAlignment="1" pivotButton="0" quotePrefix="0" xfId="16">
      <alignment horizontal="general" vertical="center"/>
    </xf>
    <xf numFmtId="164" fontId="16" fillId="0" borderId="16" applyAlignment="1" pivotButton="0" quotePrefix="0" xfId="16">
      <alignment horizontal="general" vertical="bottom"/>
    </xf>
    <xf numFmtId="164" fontId="28" fillId="0" borderId="16" applyAlignment="1" pivotButton="0" quotePrefix="0" xfId="16">
      <alignment horizontal="general" vertical="bottom"/>
    </xf>
    <xf numFmtId="164" fontId="29" fillId="8" borderId="16" applyAlignment="1" pivotButton="0" quotePrefix="0" xfId="16">
      <alignment horizontal="general" vertical="bottom"/>
    </xf>
    <xf numFmtId="164" fontId="16" fillId="0" borderId="4" applyAlignment="1" pivotButton="0" quotePrefix="0" xfId="16">
      <alignment horizontal="general" vertical="center"/>
    </xf>
    <xf numFmtId="164" fontId="29" fillId="0" borderId="4" applyAlignment="1" pivotButton="0" quotePrefix="0" xfId="16">
      <alignment horizontal="center" vertical="center"/>
    </xf>
    <xf numFmtId="164" fontId="12" fillId="0" borderId="4" applyAlignment="1" pivotButton="0" quotePrefix="0" xfId="16">
      <alignment horizontal="general" vertical="center"/>
    </xf>
    <xf numFmtId="164" fontId="29" fillId="8" borderId="4" applyAlignment="1" pivotButton="0" quotePrefix="0" xfId="16">
      <alignment horizontal="general" vertical="bottom"/>
    </xf>
    <xf numFmtId="164" fontId="16" fillId="8" borderId="4" applyAlignment="1" pivotButton="0" quotePrefix="0" xfId="16">
      <alignment horizontal="general" vertical="bottom"/>
    </xf>
    <xf numFmtId="164" fontId="8" fillId="0" borderId="8" applyAlignment="1" pivotButton="0" quotePrefix="0" xfId="16">
      <alignment horizontal="general" vertical="center"/>
    </xf>
    <xf numFmtId="164" fontId="16" fillId="0" borderId="8" applyAlignment="1" pivotButton="0" quotePrefix="0" xfId="16">
      <alignment horizontal="general" vertical="bottom"/>
    </xf>
    <xf numFmtId="164" fontId="29" fillId="8" borderId="8" applyAlignment="1" pivotButton="0" quotePrefix="0" xfId="16">
      <alignment horizontal="general" vertical="bottom"/>
    </xf>
    <xf numFmtId="164" fontId="29" fillId="0" borderId="5" applyAlignment="1" pivotButton="0" quotePrefix="0" xfId="16">
      <alignment horizontal="general" vertical="bottom"/>
    </xf>
    <xf numFmtId="164" fontId="16" fillId="8" borderId="2" applyAlignment="1" pivotButton="0" quotePrefix="0" xfId="16">
      <alignment horizontal="general" vertical="bottom"/>
    </xf>
    <xf numFmtId="164" fontId="8" fillId="0" borderId="0" applyAlignment="1" pivotButton="0" quotePrefix="0" xfId="16">
      <alignment horizontal="center" vertical="bottom"/>
    </xf>
    <xf numFmtId="164" fontId="8" fillId="0" borderId="2" applyAlignment="1" pivotButton="0" quotePrefix="0" xfId="16">
      <alignment horizontal="center" vertical="center" shrinkToFit="1"/>
    </xf>
    <xf numFmtId="164" fontId="9" fillId="0" borderId="2" applyAlignment="1" pivotButton="0" quotePrefix="0" xfId="16">
      <alignment horizontal="general" vertical="center"/>
    </xf>
    <xf numFmtId="164" fontId="29" fillId="0" borderId="10" applyAlignment="1" pivotButton="0" quotePrefix="0" xfId="16">
      <alignment horizontal="general" vertical="bottom"/>
    </xf>
    <xf numFmtId="164" fontId="28" fillId="0" borderId="10" applyAlignment="1" pivotButton="0" quotePrefix="0" xfId="16">
      <alignment horizontal="general" vertical="bottom" shrinkToFit="1"/>
    </xf>
    <xf numFmtId="167" fontId="30" fillId="0" borderId="2" applyAlignment="1" pivotButton="0" quotePrefix="0" xfId="16">
      <alignment horizontal="center" vertical="bottom" shrinkToFit="1"/>
    </xf>
    <xf numFmtId="164" fontId="28" fillId="0" borderId="2" applyAlignment="1" pivotButton="0" quotePrefix="0" xfId="16">
      <alignment horizontal="general" vertical="bottom" shrinkToFit="1"/>
    </xf>
    <xf numFmtId="164" fontId="29" fillId="8" borderId="2" applyAlignment="1" pivotButton="0" quotePrefix="0" xfId="16">
      <alignment horizontal="center" vertical="center"/>
    </xf>
    <xf numFmtId="164" fontId="29" fillId="0" borderId="2" applyAlignment="1" pivotButton="0" quotePrefix="0" xfId="16">
      <alignment horizontal="center" vertical="center"/>
    </xf>
    <xf numFmtId="164" fontId="14" fillId="0" borderId="2" applyAlignment="1" pivotButton="0" quotePrefix="0" xfId="16">
      <alignment horizontal="center" vertical="center"/>
    </xf>
    <xf numFmtId="164" fontId="14" fillId="5" borderId="15" applyAlignment="1" pivotButton="0" quotePrefix="0" xfId="16">
      <alignment horizontal="center" vertical="center"/>
    </xf>
    <xf numFmtId="164" fontId="12" fillId="0" borderId="15" applyAlignment="1" pivotButton="0" quotePrefix="0" xfId="16">
      <alignment horizontal="general" vertical="bottom"/>
    </xf>
    <xf numFmtId="164" fontId="30" fillId="0" borderId="0" applyAlignment="1" pivotButton="0" quotePrefix="0" xfId="16">
      <alignment horizontal="general" vertical="bottom"/>
    </xf>
    <xf numFmtId="164" fontId="28" fillId="0" borderId="0" applyAlignment="1" pivotButton="0" quotePrefix="0" xfId="16">
      <alignment horizontal="general" vertical="bottom"/>
    </xf>
    <xf numFmtId="164" fontId="29" fillId="0" borderId="0" applyAlignment="1" pivotButton="0" quotePrefix="0" xfId="16">
      <alignment horizontal="general" vertical="bottom"/>
    </xf>
    <xf numFmtId="0" fontId="18" fillId="0" borderId="0" applyAlignment="1" pivotButton="0" quotePrefix="0" xfId="0">
      <alignment horizontal="general" vertical="bottom"/>
    </xf>
    <xf numFmtId="0" fontId="20" fillId="0" borderId="0" applyAlignment="1" pivotButton="0" quotePrefix="0" xfId="0">
      <alignment horizontal="center" vertical="bottom"/>
    </xf>
    <xf numFmtId="165" fontId="27" fillId="10" borderId="0" applyAlignment="1" pivotButton="0" quotePrefix="0" xfId="16">
      <alignment horizontal="center" vertical="bottom" shrinkToFit="1"/>
    </xf>
    <xf numFmtId="164" fontId="6" fillId="10" borderId="0" applyAlignment="1" pivotButton="0" quotePrefix="0" xfId="16">
      <alignment horizontal="left" vertical="center"/>
    </xf>
    <xf numFmtId="164" fontId="0" fillId="10" borderId="0" applyAlignment="1" pivotButton="0" quotePrefix="0" xfId="16">
      <alignment horizontal="general" vertical="bottom"/>
    </xf>
    <xf numFmtId="164" fontId="5" fillId="10" borderId="0" applyAlignment="1" pivotButton="0" quotePrefix="0" xfId="16">
      <alignment horizontal="center" vertical="center"/>
    </xf>
    <xf numFmtId="164" fontId="8" fillId="0" borderId="0" applyAlignment="1" pivotButton="0" quotePrefix="0" xfId="16">
      <alignment horizontal="general" vertical="center"/>
    </xf>
    <xf numFmtId="164" fontId="13" fillId="0" borderId="16" applyAlignment="1" pivotButton="0" quotePrefix="0" xfId="16">
      <alignment horizontal="general" vertical="center"/>
    </xf>
    <xf numFmtId="164" fontId="28" fillId="9" borderId="3" applyAlignment="1" pivotButton="0" quotePrefix="0" xfId="16">
      <alignment horizontal="general" vertical="bottom"/>
    </xf>
    <xf numFmtId="164" fontId="12" fillId="9" borderId="17" applyAlignment="1" pivotButton="0" quotePrefix="0" xfId="16">
      <alignment horizontal="general" vertical="bottom"/>
    </xf>
    <xf numFmtId="164" fontId="12" fillId="9" borderId="18" applyAlignment="1" pivotButton="0" quotePrefix="0" xfId="16">
      <alignment horizontal="general" vertical="bottom"/>
    </xf>
    <xf numFmtId="164" fontId="12" fillId="0" borderId="7" applyAlignment="1" pivotButton="0" quotePrefix="0" xfId="16">
      <alignment horizontal="general" vertical="bottom"/>
    </xf>
    <xf numFmtId="164" fontId="29" fillId="0" borderId="7" applyAlignment="1" pivotButton="0" quotePrefix="0" xfId="16">
      <alignment horizontal="general" vertical="bottom"/>
    </xf>
    <xf numFmtId="164" fontId="12" fillId="9" borderId="19" applyAlignment="1" pivotButton="0" quotePrefix="0" xfId="16">
      <alignment horizontal="general" vertical="bottom"/>
    </xf>
    <xf numFmtId="164" fontId="16" fillId="0" borderId="4" applyAlignment="1" pivotButton="0" quotePrefix="0" xfId="16">
      <alignment horizontal="right" vertical="center"/>
    </xf>
    <xf numFmtId="164" fontId="12" fillId="0" borderId="3" applyAlignment="1" pivotButton="0" quotePrefix="0" xfId="16">
      <alignment horizontal="right" vertical="center"/>
    </xf>
    <xf numFmtId="164" fontId="29" fillId="8" borderId="5" applyAlignment="1" pivotButton="0" quotePrefix="0" xfId="16">
      <alignment horizontal="general" vertical="bottom"/>
    </xf>
    <xf numFmtId="164" fontId="34" fillId="8" borderId="2" applyAlignment="1" pivotButton="0" quotePrefix="0" xfId="16">
      <alignment horizontal="general" vertical="bottom"/>
    </xf>
    <xf numFmtId="164" fontId="29" fillId="0" borderId="2" applyAlignment="1" pivotButton="0" quotePrefix="0" xfId="16">
      <alignment horizontal="general" vertical="bottom" shrinkToFit="1"/>
    </xf>
    <xf numFmtId="167" fontId="16" fillId="0" borderId="2" applyAlignment="1" pivotButton="0" quotePrefix="0" xfId="16">
      <alignment horizontal="center" vertical="bottom" shrinkToFit="1"/>
    </xf>
    <xf numFmtId="167" fontId="0" fillId="0" borderId="2" applyAlignment="1" pivotButton="0" quotePrefix="0" xfId="16">
      <alignment horizontal="center" vertical="bottom" shrinkToFit="1"/>
    </xf>
    <xf numFmtId="164" fontId="28" fillId="0" borderId="2" applyAlignment="1" pivotButton="0" quotePrefix="0" xfId="20">
      <alignment horizontal="general" vertical="bottom" shrinkToFit="1"/>
    </xf>
    <xf numFmtId="164" fontId="34" fillId="8" borderId="2" applyAlignment="1" pivotButton="0" quotePrefix="0" xfId="16">
      <alignment horizontal="center" vertical="center" shrinkToFit="1"/>
    </xf>
    <xf numFmtId="164" fontId="16" fillId="0" borderId="2" applyAlignment="1" pivotButton="0" quotePrefix="0" xfId="16">
      <alignment horizontal="center" vertical="center" shrinkToFit="1"/>
    </xf>
    <xf numFmtId="164" fontId="35" fillId="0" borderId="0" applyAlignment="1" pivotButton="0" quotePrefix="0" xfId="16">
      <alignment horizontal="general" vertical="bottom"/>
    </xf>
    <xf numFmtId="164" fontId="36" fillId="0" borderId="0" applyAlignment="1" pivotButton="0" quotePrefix="0" xfId="16">
      <alignment horizontal="general" vertical="bottom"/>
    </xf>
    <xf numFmtId="164" fontId="18" fillId="0" borderId="0" applyAlignment="1" pivotButton="0" quotePrefix="0" xfId="0">
      <alignment horizontal="general" vertical="bottom"/>
    </xf>
    <xf numFmtId="0" fontId="0" fillId="0" borderId="0" applyAlignment="1" pivotButton="0" quotePrefix="0" xfId="0">
      <alignment horizontal="right"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165" fontId="27" fillId="11" borderId="0" applyAlignment="1" pivotButton="0" quotePrefix="0" xfId="0">
      <alignment horizontal="center" vertical="bottom" shrinkToFit="1"/>
    </xf>
    <xf numFmtId="0" fontId="6" fillId="11" borderId="0" applyAlignment="1" pivotButton="0" quotePrefix="0" xfId="0">
      <alignment horizontal="left" vertical="center"/>
    </xf>
    <xf numFmtId="0" fontId="0" fillId="11" borderId="0" applyAlignment="1" pivotButton="0" quotePrefix="0" xfId="0">
      <alignment horizontal="general" vertical="bottom"/>
    </xf>
    <xf numFmtId="0" fontId="0" fillId="9" borderId="0" applyAlignment="1" pivotButton="0" quotePrefix="0" xfId="0">
      <alignment horizontal="general" vertical="bottom"/>
    </xf>
    <xf numFmtId="0" fontId="0" fillId="9" borderId="0" applyAlignment="1" pivotButton="0" quotePrefix="0" xfId="0">
      <alignment horizontal="general" vertical="bottom"/>
    </xf>
    <xf numFmtId="0" fontId="7" fillId="0" borderId="1"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general" vertical="center"/>
    </xf>
    <xf numFmtId="0" fontId="0" fillId="0" borderId="0" applyAlignment="1" pivotButton="0" quotePrefix="0" xfId="0">
      <alignment horizontal="right" vertical="center"/>
    </xf>
    <xf numFmtId="0" fontId="8" fillId="0" borderId="2" applyAlignment="1" pivotButton="0" quotePrefix="0" xfId="0">
      <alignment horizontal="center" vertical="center"/>
    </xf>
    <xf numFmtId="0" fontId="8" fillId="0" borderId="2" applyAlignment="1" pivotButton="0" quotePrefix="0" xfId="0">
      <alignment horizontal="center" vertical="center"/>
    </xf>
    <xf numFmtId="0" fontId="8" fillId="6" borderId="2" applyAlignment="1" pivotButton="0" quotePrefix="0" xfId="0">
      <alignment horizontal="center" vertical="center"/>
    </xf>
    <xf numFmtId="0" fontId="9" fillId="0" borderId="2" applyAlignment="1" pivotButton="0" quotePrefix="0" xfId="0">
      <alignment horizontal="right" vertical="center"/>
    </xf>
    <xf numFmtId="0" fontId="13" fillId="0" borderId="8" applyAlignment="1" pivotButton="0" quotePrefix="0" xfId="0">
      <alignment horizontal="center" vertical="center" wrapText="1"/>
    </xf>
    <xf numFmtId="0" fontId="14" fillId="0" borderId="8" applyAlignment="1" pivotButton="0" quotePrefix="0" xfId="0">
      <alignment horizontal="general" vertical="center"/>
    </xf>
    <xf numFmtId="166" fontId="37" fillId="0" borderId="8" applyAlignment="1" pivotButton="0" quotePrefix="0" xfId="0">
      <alignment horizontal="general" vertical="bottom"/>
    </xf>
    <xf numFmtId="166" fontId="37" fillId="6" borderId="8" applyAlignment="1" pivotButton="0" quotePrefix="0" xfId="0">
      <alignment horizontal="general" vertical="bottom"/>
    </xf>
    <xf numFmtId="166" fontId="12" fillId="6" borderId="8" applyAlignment="1" pivotButton="0" quotePrefix="0" xfId="0">
      <alignment horizontal="general" vertical="bottom"/>
    </xf>
    <xf numFmtId="166" fontId="12" fillId="8" borderId="8" applyAlignment="1" pivotButton="0" quotePrefix="0" xfId="0">
      <alignment horizontal="right" vertical="bottom"/>
    </xf>
    <xf numFmtId="166" fontId="12" fillId="0" borderId="16" applyAlignment="1" pivotButton="0" quotePrefix="0" xfId="0">
      <alignment horizontal="general" vertical="bottom"/>
    </xf>
    <xf numFmtId="166" fontId="16" fillId="0" borderId="8" applyAlignment="1" pivotButton="0" quotePrefix="0" xfId="0">
      <alignment horizontal="general" vertical="bottom"/>
    </xf>
    <xf numFmtId="166" fontId="29" fillId="0" borderId="8" applyAlignment="1" pivotButton="0" quotePrefix="0" xfId="0">
      <alignment horizontal="general" vertical="bottom"/>
    </xf>
    <xf numFmtId="166" fontId="12" fillId="0" borderId="8" applyAlignment="1" pivotButton="0" quotePrefix="0" xfId="0">
      <alignment horizontal="general" vertical="bottom"/>
    </xf>
    <xf numFmtId="168" fontId="12" fillId="0" borderId="8" applyAlignment="1" pivotButton="0" quotePrefix="0" xfId="0">
      <alignment horizontal="general" vertical="bottom"/>
    </xf>
    <xf numFmtId="0" fontId="14" fillId="0" borderId="19" applyAlignment="1" pivotButton="0" quotePrefix="0" xfId="0">
      <alignment horizontal="general" vertical="center"/>
    </xf>
    <xf numFmtId="166" fontId="12" fillId="8" borderId="19" applyAlignment="1" pivotButton="0" quotePrefix="0" xfId="0">
      <alignment horizontal="general" vertical="bottom"/>
    </xf>
    <xf numFmtId="166" fontId="29" fillId="0" borderId="19" applyAlignment="1" pivotButton="0" quotePrefix="0" xfId="0">
      <alignment horizontal="right" vertical="bottom"/>
    </xf>
    <xf numFmtId="166" fontId="12" fillId="0" borderId="20" applyAlignment="1" pivotButton="0" quotePrefix="0" xfId="0">
      <alignment horizontal="general" vertical="bottom"/>
    </xf>
    <xf numFmtId="166" fontId="16" fillId="0" borderId="21" applyAlignment="1" pivotButton="0" quotePrefix="0" xfId="0">
      <alignment horizontal="general" vertical="bottom"/>
    </xf>
    <xf numFmtId="166" fontId="29" fillId="0" borderId="22" applyAlignment="1" pivotButton="0" quotePrefix="0" xfId="0">
      <alignment horizontal="general" vertical="bottom"/>
    </xf>
    <xf numFmtId="166" fontId="12" fillId="0" borderId="23" applyAlignment="1" pivotButton="0" quotePrefix="0" xfId="0">
      <alignment horizontal="general" vertical="bottom"/>
    </xf>
    <xf numFmtId="168" fontId="12" fillId="0" borderId="16" applyAlignment="1" pivotButton="0" quotePrefix="0" xfId="0">
      <alignment horizontal="general" vertical="bottom"/>
    </xf>
    <xf numFmtId="0" fontId="14" fillId="0" borderId="6" applyAlignment="1" pivotButton="0" quotePrefix="0" xfId="0">
      <alignment horizontal="center" vertical="center"/>
    </xf>
    <xf numFmtId="166" fontId="12" fillId="0" borderId="2" applyAlignment="1" pivotButton="0" quotePrefix="0" xfId="0">
      <alignment horizontal="general" vertical="bottom"/>
    </xf>
    <xf numFmtId="166" fontId="12" fillId="0" borderId="2" applyAlignment="1" pivotButton="0" quotePrefix="0" xfId="0">
      <alignment horizontal="right" vertical="bottom"/>
    </xf>
    <xf numFmtId="166" fontId="12" fillId="12" borderId="24" applyAlignment="1" pivotButton="0" quotePrefix="0" xfId="0">
      <alignment horizontal="general" vertical="bottom"/>
    </xf>
    <xf numFmtId="166" fontId="12" fillId="0" borderId="6" applyAlignment="1" pivotButton="0" quotePrefix="0" xfId="0">
      <alignment horizontal="general" vertical="bottom"/>
    </xf>
    <xf numFmtId="166" fontId="12" fillId="0" borderId="1" applyAlignment="1" pivotButton="0" quotePrefix="0" xfId="0">
      <alignment horizontal="general" vertical="bottom"/>
    </xf>
    <xf numFmtId="168" fontId="12" fillId="12" borderId="24" applyAlignment="1" pivotButton="0" quotePrefix="0" xfId="0">
      <alignment horizontal="general" vertical="bottom"/>
    </xf>
    <xf numFmtId="0" fontId="8" fillId="0" borderId="2" applyAlignment="1" pivotButton="0" quotePrefix="0" xfId="0">
      <alignment horizontal="general" vertical="center"/>
    </xf>
    <xf numFmtId="166" fontId="29" fillId="6" borderId="2" applyAlignment="1" pivotButton="0" quotePrefix="0" xfId="0">
      <alignment horizontal="general" vertical="bottom"/>
    </xf>
    <xf numFmtId="166" fontId="28" fillId="6" borderId="2" applyAlignment="1" pivotButton="0" quotePrefix="0" xfId="0">
      <alignment horizontal="general" vertical="bottom"/>
    </xf>
    <xf numFmtId="166" fontId="16" fillId="6" borderId="2" applyAlignment="1" pivotButton="0" quotePrefix="0" xfId="0">
      <alignment horizontal="general" vertical="bottom"/>
    </xf>
    <xf numFmtId="166" fontId="38" fillId="6" borderId="2" applyAlignment="1" pivotButton="0" quotePrefix="0" xfId="0">
      <alignment horizontal="general" vertical="bottom"/>
    </xf>
    <xf numFmtId="166" fontId="29" fillId="6" borderId="2" applyAlignment="1" pivotButton="0" quotePrefix="0" xfId="0">
      <alignment horizontal="right" vertical="bottom"/>
    </xf>
    <xf numFmtId="166" fontId="16" fillId="0" borderId="6" applyAlignment="1" pivotButton="0" quotePrefix="0" xfId="0">
      <alignment horizontal="general" vertical="bottom"/>
    </xf>
    <xf numFmtId="166" fontId="29" fillId="0" borderId="1" applyAlignment="1" pivotButton="0" quotePrefix="0" xfId="0">
      <alignment horizontal="general" vertical="bottom"/>
    </xf>
    <xf numFmtId="0" fontId="14" fillId="0" borderId="9" applyAlignment="1" pivotButton="0" quotePrefix="0" xfId="0">
      <alignment horizontal="center" vertical="center" wrapText="1"/>
    </xf>
    <xf numFmtId="0" fontId="14" fillId="0" borderId="10" applyAlignment="1" pivotButton="0" quotePrefix="0" xfId="0">
      <alignment horizontal="general" vertical="center"/>
    </xf>
    <xf numFmtId="166" fontId="16" fillId="0" borderId="3" applyAlignment="1" pivotButton="0" quotePrefix="0" xfId="0">
      <alignment horizontal="general" vertical="bottom"/>
    </xf>
    <xf numFmtId="166" fontId="29" fillId="0" borderId="3" applyAlignment="1" pivotButton="0" quotePrefix="0" xfId="0">
      <alignment horizontal="general" vertical="bottom"/>
    </xf>
    <xf numFmtId="166" fontId="12" fillId="0" borderId="11" applyAlignment="1" pivotButton="0" quotePrefix="0" xfId="0">
      <alignment horizontal="general" vertical="bottom"/>
    </xf>
    <xf numFmtId="168" fontId="12" fillId="0" borderId="11" applyAlignment="1" pivotButton="0" quotePrefix="0" xfId="0">
      <alignment horizontal="general" vertical="bottom"/>
    </xf>
    <xf numFmtId="0" fontId="14" fillId="0" borderId="4" applyAlignment="1" pivotButton="0" quotePrefix="0" xfId="0">
      <alignment horizontal="general" vertical="center"/>
    </xf>
    <xf numFmtId="166" fontId="12" fillId="0" borderId="4" applyAlignment="1" pivotButton="0" quotePrefix="0" xfId="0">
      <alignment horizontal="general" vertical="bottom"/>
    </xf>
    <xf numFmtId="166" fontId="16" fillId="0" borderId="4" applyAlignment="1" pivotButton="0" quotePrefix="0" xfId="0">
      <alignment horizontal="general" vertical="bottom"/>
    </xf>
    <xf numFmtId="166" fontId="29" fillId="0" borderId="4" applyAlignment="1" pivotButton="0" quotePrefix="0" xfId="0">
      <alignment horizontal="general" vertical="bottom"/>
    </xf>
    <xf numFmtId="166" fontId="12" fillId="0" borderId="4" applyAlignment="1" pivotButton="0" quotePrefix="0" xfId="0">
      <alignment horizontal="general" vertical="bottom"/>
    </xf>
    <xf numFmtId="168" fontId="12" fillId="0" borderId="4" applyAlignment="1" pivotButton="0" quotePrefix="0" xfId="0">
      <alignment horizontal="general" vertical="bottom"/>
    </xf>
    <xf numFmtId="166" fontId="0" fillId="0" borderId="0" applyAlignment="1" pivotButton="0" quotePrefix="0" xfId="0">
      <alignment horizontal="general" vertical="bottom"/>
    </xf>
    <xf numFmtId="166" fontId="34" fillId="8" borderId="4" applyAlignment="1" pivotButton="0" quotePrefix="0" xfId="0">
      <alignment horizontal="general" vertical="bottom"/>
    </xf>
    <xf numFmtId="166" fontId="29" fillId="8" borderId="4" applyAlignment="1" pivotButton="0" quotePrefix="0" xfId="0">
      <alignment horizontal="general" vertical="bottom"/>
    </xf>
    <xf numFmtId="166" fontId="16" fillId="8" borderId="4" applyAlignment="1" pivotButton="0" quotePrefix="0" xfId="0">
      <alignment horizontal="general" vertical="bottom"/>
    </xf>
    <xf numFmtId="166" fontId="29" fillId="8" borderId="4" applyAlignment="1" pivotButton="0" quotePrefix="0" xfId="0">
      <alignment horizontal="right" vertical="bottom"/>
    </xf>
    <xf numFmtId="0" fontId="14" fillId="0" borderId="8" applyAlignment="1" pivotButton="0" quotePrefix="0" xfId="0">
      <alignment horizontal="general" vertical="center"/>
    </xf>
    <xf numFmtId="166" fontId="29" fillId="0" borderId="8" applyAlignment="1" pivotButton="0" quotePrefix="0" xfId="0">
      <alignment horizontal="general" vertical="bottom"/>
    </xf>
    <xf numFmtId="166" fontId="16" fillId="0" borderId="8" applyAlignment="1" pivotButton="0" quotePrefix="0" xfId="0">
      <alignment horizontal="general" vertical="bottom"/>
    </xf>
    <xf numFmtId="166" fontId="38" fillId="0" borderId="8" applyAlignment="1" pivotButton="0" quotePrefix="0" xfId="0">
      <alignment horizontal="general" vertical="bottom"/>
    </xf>
    <xf numFmtId="166" fontId="28" fillId="0" borderId="8" applyAlignment="1" pivotButton="0" quotePrefix="0" xfId="0">
      <alignment horizontal="general" vertical="bottom"/>
    </xf>
    <xf numFmtId="166" fontId="28" fillId="0" borderId="8" applyAlignment="1" pivotButton="0" quotePrefix="0" xfId="0">
      <alignment horizontal="general" vertical="bottom"/>
    </xf>
    <xf numFmtId="166" fontId="28" fillId="0" borderId="5" applyAlignment="1" pivotButton="0" quotePrefix="0" xfId="0">
      <alignment horizontal="general" vertical="bottom"/>
    </xf>
    <xf numFmtId="166" fontId="29" fillId="0" borderId="8" applyAlignment="1" pivotButton="0" quotePrefix="0" xfId="0">
      <alignment horizontal="right" vertical="bottom"/>
    </xf>
    <xf numFmtId="166" fontId="12" fillId="0" borderId="16" applyAlignment="1" pivotButton="0" quotePrefix="0" xfId="0">
      <alignment horizontal="general" vertical="bottom"/>
    </xf>
    <xf numFmtId="0" fontId="14" fillId="0" borderId="6" applyAlignment="1" pivotButton="0" quotePrefix="0" xfId="0">
      <alignment horizontal="center" vertical="center"/>
    </xf>
    <xf numFmtId="166" fontId="37" fillId="0" borderId="2" applyAlignment="1" pivotButton="0" quotePrefix="0" xfId="0">
      <alignment horizontal="general" vertical="bottom"/>
    </xf>
    <xf numFmtId="166" fontId="37" fillId="0" borderId="2" applyAlignment="1" pivotButton="0" quotePrefix="0" xfId="0">
      <alignment horizontal="general" vertical="bottom"/>
    </xf>
    <xf numFmtId="166" fontId="37" fillId="0" borderId="9" applyAlignment="1" pivotButton="0" quotePrefix="0" xfId="0">
      <alignment horizontal="right" vertical="bottom"/>
    </xf>
    <xf numFmtId="166" fontId="29" fillId="8" borderId="2" applyAlignment="1" pivotButton="0" quotePrefix="0" xfId="0">
      <alignment horizontal="general" vertical="bottom"/>
    </xf>
    <xf numFmtId="166" fontId="12" fillId="6" borderId="2" applyAlignment="1" pivotButton="0" quotePrefix="0" xfId="0">
      <alignment horizontal="general" vertical="bottom"/>
    </xf>
    <xf numFmtId="166" fontId="16" fillId="0" borderId="6" applyAlignment="1" pivotButton="0" quotePrefix="0" xfId="0">
      <alignment horizontal="general" vertical="bottom"/>
    </xf>
    <xf numFmtId="166" fontId="29" fillId="0" borderId="1" applyAlignment="1" pivotButton="0" quotePrefix="0" xfId="0">
      <alignment horizontal="general" vertical="bottom"/>
    </xf>
    <xf numFmtId="0" fontId="8" fillId="0" borderId="9" applyAlignment="1" pivotButton="0" quotePrefix="0" xfId="0">
      <alignment horizontal="general" vertical="center"/>
    </xf>
    <xf numFmtId="0" fontId="0" fillId="0" borderId="6" applyAlignment="1" pivotButton="0" quotePrefix="0" xfId="0">
      <alignment horizontal="general" vertical="center"/>
    </xf>
    <xf numFmtId="166" fontId="29" fillId="0" borderId="2" applyAlignment="1" pivotButton="0" quotePrefix="0" xfId="0">
      <alignment horizontal="general" vertical="bottom"/>
    </xf>
    <xf numFmtId="166" fontId="29" fillId="6" borderId="9" applyAlignment="1" pivotButton="0" quotePrefix="0" xfId="0">
      <alignment horizontal="right" vertical="bottom"/>
    </xf>
    <xf numFmtId="166" fontId="16" fillId="0" borderId="2" applyAlignment="1" pivotButton="0" quotePrefix="0" xfId="0">
      <alignment horizontal="general" vertical="bottom"/>
    </xf>
    <xf numFmtId="0" fontId="8" fillId="0" borderId="9" applyAlignment="1" pivotButton="0" quotePrefix="0" xfId="0">
      <alignment horizontal="center" vertical="center" textRotation="255" wrapText="1"/>
    </xf>
    <xf numFmtId="0" fontId="8" fillId="0" borderId="3" applyAlignment="1" pivotButton="0" quotePrefix="0" xfId="0">
      <alignment horizontal="general" vertical="center"/>
    </xf>
    <xf numFmtId="166" fontId="16" fillId="6" borderId="3" applyAlignment="1" pivotButton="0" quotePrefix="0" xfId="0">
      <alignment horizontal="general" vertical="bottom"/>
    </xf>
    <xf numFmtId="166" fontId="38" fillId="6" borderId="3" applyAlignment="1" pivotButton="0" quotePrefix="0" xfId="0">
      <alignment horizontal="general" vertical="bottom"/>
    </xf>
    <xf numFmtId="166" fontId="28" fillId="6" borderId="3" applyAlignment="1" pivotButton="0" quotePrefix="0" xfId="0">
      <alignment horizontal="general" vertical="bottom"/>
    </xf>
    <xf numFmtId="166" fontId="29" fillId="8" borderId="3" applyAlignment="1" pivotButton="0" quotePrefix="0" xfId="0">
      <alignment horizontal="right" vertical="bottom"/>
    </xf>
    <xf numFmtId="166" fontId="12" fillId="0" borderId="11" applyAlignment="1" pivotButton="0" quotePrefix="0" xfId="0">
      <alignment horizontal="general" vertical="bottom"/>
    </xf>
    <xf numFmtId="166" fontId="16" fillId="0" borderId="3" applyAlignment="1" pivotButton="0" quotePrefix="0" xfId="0">
      <alignment horizontal="right" vertical="center"/>
    </xf>
    <xf numFmtId="166" fontId="29" fillId="0" borderId="3" applyAlignment="1" pivotButton="0" quotePrefix="0" xfId="0">
      <alignment horizontal="right" vertical="center"/>
    </xf>
    <xf numFmtId="166" fontId="12" fillId="0" borderId="25" applyAlignment="1" pivotButton="0" quotePrefix="0" xfId="0">
      <alignment horizontal="right" vertical="center"/>
    </xf>
    <xf numFmtId="168" fontId="12" fillId="0" borderId="11" applyAlignment="1" pivotButton="0" quotePrefix="0" xfId="0">
      <alignment horizontal="right" vertical="center"/>
    </xf>
    <xf numFmtId="0" fontId="8" fillId="0" borderId="16" applyAlignment="1" pivotButton="0" quotePrefix="0" xfId="0">
      <alignment horizontal="general" vertical="center" shrinkToFit="1"/>
    </xf>
    <xf numFmtId="166" fontId="16" fillId="8" borderId="16" applyAlignment="1" pivotButton="0" quotePrefix="0" xfId="0">
      <alignment horizontal="general" vertical="bottom"/>
    </xf>
    <xf numFmtId="0" fontId="8" fillId="0" borderId="4" applyAlignment="1" pivotButton="0" quotePrefix="0" xfId="0">
      <alignment horizontal="general" vertical="center"/>
    </xf>
    <xf numFmtId="166" fontId="16" fillId="6" borderId="4" applyAlignment="1" pivotButton="0" quotePrefix="0" xfId="0">
      <alignment horizontal="general" vertical="bottom"/>
    </xf>
    <xf numFmtId="166" fontId="38" fillId="6" borderId="4" applyAlignment="1" pivotButton="0" quotePrefix="0" xfId="0">
      <alignment horizontal="general" vertical="bottom"/>
    </xf>
    <xf numFmtId="166" fontId="28" fillId="6" borderId="4" applyAlignment="1" pivotButton="0" quotePrefix="0" xfId="0">
      <alignment horizontal="general" vertical="bottom"/>
    </xf>
    <xf numFmtId="166" fontId="29" fillId="6" borderId="4" applyAlignment="1" pivotButton="0" quotePrefix="0" xfId="0">
      <alignment horizontal="right" vertical="bottom"/>
    </xf>
    <xf numFmtId="0" fontId="14" fillId="0" borderId="4" applyAlignment="1" pivotButton="0" quotePrefix="0" xfId="0">
      <alignment horizontal="general" vertical="center" shrinkToFit="1"/>
    </xf>
    <xf numFmtId="0" fontId="30" fillId="8" borderId="0" applyAlignment="1" pivotButton="0" quotePrefix="0" xfId="0">
      <alignment horizontal="general" vertical="bottom"/>
    </xf>
    <xf numFmtId="0" fontId="9" fillId="0" borderId="4" applyAlignment="1" pivotButton="0" quotePrefix="0" xfId="0">
      <alignment horizontal="general" vertical="center" shrinkToFit="1"/>
    </xf>
    <xf numFmtId="169" fontId="29" fillId="8" borderId="4" applyAlignment="1" pivotButton="0" quotePrefix="0" xfId="16">
      <alignment horizontal="general" vertical="bottom"/>
    </xf>
    <xf numFmtId="166" fontId="12" fillId="0" borderId="7" applyAlignment="1" pivotButton="0" quotePrefix="0" xfId="0">
      <alignment horizontal="general" vertical="bottom"/>
    </xf>
    <xf numFmtId="166" fontId="16" fillId="0" borderId="4" applyAlignment="1" pivotButton="0" quotePrefix="0" xfId="0">
      <alignment horizontal="general" vertical="bottom"/>
    </xf>
    <xf numFmtId="166" fontId="29" fillId="0" borderId="7" applyAlignment="1" pivotButton="0" quotePrefix="0" xfId="0">
      <alignment horizontal="general" vertical="bottom"/>
    </xf>
    <xf numFmtId="166" fontId="12" fillId="0" borderId="7" applyAlignment="1" pivotButton="0" quotePrefix="0" xfId="0">
      <alignment horizontal="general" vertical="bottom"/>
    </xf>
    <xf numFmtId="168" fontId="12" fillId="0" borderId="7" applyAlignment="1" pivotButton="0" quotePrefix="0" xfId="0">
      <alignment horizontal="general" vertical="bottom"/>
    </xf>
    <xf numFmtId="166" fontId="12" fillId="0" borderId="2" applyAlignment="1" pivotButton="0" quotePrefix="0" xfId="0">
      <alignment horizontal="general" vertical="bottom"/>
    </xf>
    <xf numFmtId="166" fontId="12" fillId="0" borderId="9" applyAlignment="1" pivotButton="0" quotePrefix="0" xfId="0">
      <alignment horizontal="right" vertical="bottom"/>
    </xf>
    <xf numFmtId="166" fontId="12" fillId="0" borderId="6" applyAlignment="1" pivotButton="0" quotePrefix="0" xfId="0">
      <alignment horizontal="general" vertical="bottom"/>
    </xf>
    <xf numFmtId="0" fontId="8" fillId="0" borderId="2" applyAlignment="1" pivotButton="0" quotePrefix="0" xfId="0">
      <alignment horizontal="left" vertical="center"/>
    </xf>
    <xf numFmtId="166" fontId="16" fillId="0" borderId="2" applyAlignment="1" pivotButton="0" quotePrefix="0" xfId="0">
      <alignment horizontal="general" vertical="bottom"/>
    </xf>
    <xf numFmtId="166" fontId="16" fillId="8" borderId="2" applyAlignment="1" pivotButton="0" quotePrefix="0" xfId="0">
      <alignment horizontal="general" vertical="bottom"/>
    </xf>
    <xf numFmtId="166" fontId="29" fillId="0" borderId="9" applyAlignment="1" pivotButton="0" quotePrefix="0" xfId="0">
      <alignment horizontal="right" vertical="bottom"/>
    </xf>
    <xf numFmtId="0" fontId="8" fillId="0" borderId="9" applyAlignment="1" pivotButton="0" quotePrefix="0" xfId="0">
      <alignment horizontal="center" vertical="center"/>
    </xf>
    <xf numFmtId="0" fontId="0" fillId="0" borderId="6" applyAlignment="1" pivotButton="0" quotePrefix="0" xfId="0">
      <alignment horizontal="center" vertical="center"/>
    </xf>
    <xf numFmtId="164" fontId="16" fillId="6" borderId="2" applyAlignment="1" pivotButton="0" quotePrefix="0" xfId="16">
      <alignment horizontal="general" vertical="bottom"/>
    </xf>
    <xf numFmtId="164" fontId="16" fillId="6" borderId="2" applyAlignment="1" pivotButton="0" quotePrefix="0" xfId="16">
      <alignment horizontal="right" vertical="center"/>
    </xf>
    <xf numFmtId="164" fontId="29" fillId="0" borderId="10" applyAlignment="1" pivotButton="0" quotePrefix="0" xfId="16">
      <alignment horizontal="general" vertical="bottom" shrinkToFit="1"/>
    </xf>
    <xf numFmtId="164" fontId="29" fillId="9" borderId="2" applyAlignment="1" pivotButton="0" quotePrefix="0" xfId="16">
      <alignment horizontal="center" vertical="center"/>
    </xf>
    <xf numFmtId="170" fontId="12" fillId="0" borderId="15" applyAlignment="1" pivotButton="0" quotePrefix="0" xfId="16">
      <alignment horizontal="general" vertical="bottom"/>
    </xf>
    <xf numFmtId="164" fontId="16" fillId="0" borderId="15" applyAlignment="1" pivotButton="0" quotePrefix="0" xfId="16">
      <alignment horizontal="general" vertical="bottom"/>
    </xf>
    <xf numFmtId="168" fontId="16" fillId="0" borderId="0" applyAlignment="1" pivotButton="0" quotePrefix="0" xfId="0">
      <alignment horizontal="general" vertical="bottom"/>
    </xf>
    <xf numFmtId="171" fontId="0" fillId="0" borderId="0" applyAlignment="1" pivotButton="0" quotePrefix="0" xfId="0">
      <alignment horizontal="general" vertical="bottom"/>
    </xf>
    <xf numFmtId="0" fontId="14" fillId="0" borderId="0" applyAlignment="1" pivotButton="0" quotePrefix="0" xfId="0">
      <alignment horizontal="general" vertical="bottom"/>
    </xf>
    <xf numFmtId="0" fontId="8" fillId="0" borderId="0" applyAlignment="1" pivotButton="0" quotePrefix="0" xfId="0">
      <alignment horizontal="general" vertical="bottom"/>
    </xf>
    <xf numFmtId="171" fontId="8" fillId="0" borderId="0" applyAlignment="1" pivotButton="0" quotePrefix="0" xfId="0">
      <alignment horizontal="general" vertical="bottom"/>
    </xf>
    <xf numFmtId="0" fontId="8" fillId="0" borderId="0" applyAlignment="1" pivotButton="0" quotePrefix="0" xfId="0">
      <alignment horizontal="right" vertical="bottom"/>
    </xf>
    <xf numFmtId="0" fontId="30" fillId="0" borderId="0" applyAlignment="1" pivotButton="0" quotePrefix="0" xfId="0">
      <alignment horizontal="general" vertical="bottom"/>
    </xf>
    <xf numFmtId="171" fontId="30" fillId="0" borderId="0" applyAlignment="1" pivotButton="0" quotePrefix="0" xfId="0">
      <alignment horizontal="general" vertical="bottom"/>
    </xf>
    <xf numFmtId="0" fontId="30" fillId="0" borderId="0" applyAlignment="1" pivotButton="0" quotePrefix="0" xfId="0">
      <alignment horizontal="right" vertical="bottom"/>
    </xf>
    <xf numFmtId="166" fontId="0" fillId="0" borderId="0" applyAlignment="1" pivotButton="0" quotePrefix="0" xfId="0">
      <alignment horizontal="general" vertical="bottom"/>
    </xf>
    <xf numFmtId="166" fontId="30" fillId="0" borderId="0" applyAlignment="1" pivotButton="0" quotePrefix="0" xfId="0">
      <alignment horizontal="right" vertical="bottom"/>
    </xf>
    <xf numFmtId="166" fontId="30" fillId="0" borderId="0" applyAlignment="1" pivotButton="0" quotePrefix="0" xfId="0">
      <alignment horizontal="general" vertical="bottom"/>
    </xf>
    <xf numFmtId="171" fontId="30" fillId="0" borderId="0" applyAlignment="1" pivotButton="0" quotePrefix="0" xfId="0">
      <alignment horizontal="general" vertical="bottom"/>
    </xf>
    <xf numFmtId="166" fontId="18" fillId="0" borderId="0" applyAlignment="1" pivotButton="0" quotePrefix="0" xfId="0">
      <alignment horizontal="right" vertical="bottom"/>
    </xf>
    <xf numFmtId="171" fontId="18" fillId="0" borderId="0" applyAlignment="1" pivotButton="0" quotePrefix="0" xfId="0">
      <alignment horizontal="general" vertical="bottom"/>
    </xf>
    <xf numFmtId="166" fontId="0" fillId="0" borderId="0" applyAlignment="1" pivotButton="0" quotePrefix="0" xfId="0">
      <alignment horizontal="general" vertical="bottom"/>
    </xf>
    <xf numFmtId="164" fontId="30" fillId="0" borderId="0" applyAlignment="1" pivotButton="0" quotePrefix="0" xfId="16">
      <alignment horizontal="right" vertical="bottom"/>
    </xf>
    <xf numFmtId="169" fontId="14" fillId="0" borderId="0" applyAlignment="1" pivotButton="0" quotePrefix="0" xfId="16">
      <alignment horizontal="general" vertical="bottom"/>
    </xf>
    <xf numFmtId="0" fontId="0" fillId="0" borderId="0" pivotButton="0" quotePrefix="0" xfId="0"/>
    <xf numFmtId="0" fontId="48" fillId="13" borderId="0" applyAlignment="1" pivotButton="0" quotePrefix="0" xfId="0">
      <alignment vertical="center" indent="1"/>
    </xf>
    <xf numFmtId="0" fontId="0" fillId="13" borderId="0" pivotButton="0" quotePrefix="0" xfId="0"/>
    <xf numFmtId="0" fontId="53" fillId="0" borderId="0" applyAlignment="1" pivotButton="0" quotePrefix="0" xfId="0">
      <alignment vertical="center" wrapText="1" indent="1"/>
    </xf>
    <xf numFmtId="0" fontId="56" fillId="13" borderId="0" pivotButton="0" quotePrefix="0" xfId="0"/>
    <xf numFmtId="0" fontId="42" fillId="13" borderId="34" applyAlignment="1" pivotButton="0" quotePrefix="0" xfId="0">
      <alignment horizontal="center" vertical="center" wrapText="1"/>
    </xf>
    <xf numFmtId="0" fontId="43" fillId="0" borderId="35" applyAlignment="1" pivotButton="0" quotePrefix="0" xfId="0">
      <alignment vertical="top" wrapText="1"/>
    </xf>
    <xf numFmtId="0" fontId="40" fillId="0" borderId="35" applyAlignment="1" pivotButton="0" quotePrefix="0" xfId="0">
      <alignment vertical="top" wrapText="1"/>
    </xf>
    <xf numFmtId="0" fontId="53" fillId="0" borderId="35" applyAlignment="1" pivotButton="0" quotePrefix="0" xfId="0">
      <alignment vertical="top" wrapText="1"/>
    </xf>
    <xf numFmtId="0" fontId="43" fillId="0" borderId="0" pivotButton="0" quotePrefix="0" xfId="0"/>
    <xf numFmtId="1" fontId="54" fillId="16" borderId="34" applyAlignment="1" pivotButton="0" quotePrefix="0" xfId="0">
      <alignment horizontal="center"/>
    </xf>
    <xf numFmtId="0" fontId="43" fillId="0" borderId="0" applyAlignment="1" pivotButton="0" quotePrefix="0" xfId="0">
      <alignment horizontal="right"/>
    </xf>
    <xf numFmtId="0" fontId="56" fillId="15" borderId="0" applyAlignment="1" pivotButton="0" quotePrefix="0" xfId="0">
      <alignment horizontal="center"/>
    </xf>
    <xf numFmtId="0" fontId="41" fillId="0" borderId="0" pivotButton="0" quotePrefix="0" xfId="0"/>
    <xf numFmtId="0" fontId="55" fillId="16" borderId="34" applyAlignment="1" pivotButton="0" quotePrefix="0" xfId="0">
      <alignment horizontal="center"/>
    </xf>
    <xf numFmtId="0" fontId="53" fillId="0" borderId="0" pivotButton="0" quotePrefix="0" xfId="0"/>
    <xf numFmtId="1" fontId="53" fillId="0" borderId="0" applyAlignment="1" pivotButton="0" quotePrefix="0" xfId="0">
      <alignment horizontal="center"/>
    </xf>
    <xf numFmtId="0" fontId="41" fillId="0" borderId="33" pivotButton="0" quotePrefix="0" xfId="0"/>
    <xf numFmtId="0" fontId="0" fillId="0" borderId="33" pivotButton="0" quotePrefix="0" xfId="0"/>
    <xf numFmtId="0" fontId="0" fillId="0" borderId="39" pivotButton="0" quotePrefix="0" xfId="0"/>
    <xf numFmtId="0" fontId="0" fillId="0" borderId="40" pivotButton="0" quotePrefix="0" xfId="0"/>
    <xf numFmtId="0" fontId="40" fillId="0" borderId="35" pivotButton="0" quotePrefix="0" xfId="0"/>
    <xf numFmtId="173" fontId="40" fillId="0" borderId="35" applyAlignment="1" pivotButton="0" quotePrefix="0" xfId="0">
      <alignment horizontal="right" vertical="center"/>
    </xf>
    <xf numFmtId="0" fontId="53" fillId="0" borderId="35" pivotButton="0" quotePrefix="0" xfId="0"/>
    <xf numFmtId="0" fontId="43" fillId="14" borderId="34" pivotButton="0" quotePrefix="0" xfId="0"/>
    <xf numFmtId="0" fontId="43" fillId="14" borderId="34" applyAlignment="1" pivotButton="0" quotePrefix="0" xfId="0">
      <alignment horizontal="center"/>
    </xf>
    <xf numFmtId="0" fontId="40" fillId="14" borderId="0" pivotButton="0" quotePrefix="0" xfId="0"/>
    <xf numFmtId="0" fontId="42" fillId="17" borderId="34" pivotButton="0" quotePrefix="0" xfId="0"/>
    <xf numFmtId="0" fontId="0" fillId="17" borderId="39" pivotButton="0" quotePrefix="0" xfId="0"/>
    <xf numFmtId="0" fontId="0" fillId="17" borderId="40" pivotButton="0" quotePrefix="0" xfId="0"/>
    <xf numFmtId="0" fontId="40" fillId="0" borderId="35" applyAlignment="1" pivotButton="0" quotePrefix="0" xfId="0">
      <alignment horizontal="center"/>
    </xf>
    <xf numFmtId="172" fontId="40" fillId="0" borderId="35" applyAlignment="1" pivotButton="0" quotePrefix="0" xfId="0">
      <alignment horizontal="right" vertical="center"/>
    </xf>
    <xf numFmtId="3" fontId="51" fillId="16" borderId="34" applyAlignment="1" pivotButton="0" quotePrefix="0" xfId="0">
      <alignment horizontal="right" vertical="center"/>
    </xf>
    <xf numFmtId="0" fontId="43" fillId="0" borderId="35" applyAlignment="1" pivotButton="0" quotePrefix="0" xfId="0">
      <alignment horizontal="center"/>
    </xf>
    <xf numFmtId="172" fontId="43" fillId="14" borderId="34" applyAlignment="1" pivotButton="0" quotePrefix="0" xfId="0">
      <alignment horizontal="right" vertical="center"/>
    </xf>
    <xf numFmtId="173" fontId="43" fillId="14" borderId="34" applyAlignment="1" pivotButton="0" quotePrefix="0" xfId="0">
      <alignment horizontal="right" vertical="center"/>
    </xf>
    <xf numFmtId="0" fontId="40" fillId="14" borderId="34" pivotButton="0" quotePrefix="0" xfId="0"/>
    <xf numFmtId="0" fontId="57" fillId="0" borderId="35" applyAlignment="1" pivotButton="0" quotePrefix="0" xfId="0">
      <alignment horizontal="center"/>
    </xf>
    <xf numFmtId="0" fontId="51" fillId="0" borderId="35" applyAlignment="1" pivotButton="0" quotePrefix="0" xfId="0">
      <alignment horizontal="center"/>
    </xf>
    <xf numFmtId="175" fontId="51" fillId="0" borderId="35" applyAlignment="1" pivotButton="0" quotePrefix="0" xfId="0">
      <alignment horizontal="center"/>
    </xf>
    <xf numFmtId="0" fontId="51" fillId="0" borderId="35" pivotButton="0" quotePrefix="0" xfId="0"/>
    <xf numFmtId="176" fontId="51" fillId="0" borderId="35" pivotButton="0" quotePrefix="0" xfId="0"/>
    <xf numFmtId="172" fontId="57" fillId="14" borderId="35" pivotButton="0" quotePrefix="0" xfId="0"/>
    <xf numFmtId="0" fontId="57" fillId="14" borderId="35" pivotButton="0" quotePrefix="0" xfId="0"/>
    <xf numFmtId="0" fontId="57" fillId="0" borderId="35" pivotButton="0" quotePrefix="0" xfId="0"/>
    <xf numFmtId="164" fontId="0" fillId="0" borderId="0" applyAlignment="1" pivotButton="0" quotePrefix="0" xfId="16">
      <alignment horizontal="general" vertical="bottom"/>
    </xf>
    <xf numFmtId="0" fontId="49" fillId="13" borderId="0" applyAlignment="1" pivotButton="0" quotePrefix="0" xfId="0">
      <alignment horizontal="right" vertical="center" wrapText="1"/>
    </xf>
    <xf numFmtId="164" fontId="41" fillId="0" borderId="33" applyAlignment="1" pivotButton="0" quotePrefix="0" xfId="16">
      <alignment horizontal="left"/>
    </xf>
    <xf numFmtId="1" fontId="44" fillId="0" borderId="33" applyAlignment="1" pivotButton="0" quotePrefix="0" xfId="16">
      <alignment horizontal="center"/>
    </xf>
    <xf numFmtId="0" fontId="46" fillId="0" borderId="0" pivotButton="0" quotePrefix="0" xfId="0"/>
    <xf numFmtId="164" fontId="42" fillId="13" borderId="34" applyAlignment="1" pivotButton="0" quotePrefix="0" xfId="16">
      <alignment horizontal="center" vertical="center" wrapText="1"/>
    </xf>
    <xf numFmtId="0" fontId="40" fillId="0" borderId="32" pivotButton="0" quotePrefix="0" xfId="0"/>
    <xf numFmtId="0" fontId="45" fillId="0" borderId="0" pivotButton="0" quotePrefix="0" xfId="0"/>
    <xf numFmtId="0" fontId="47" fillId="15" borderId="0" applyAlignment="1" pivotButton="0" quotePrefix="0" xfId="0">
      <alignment horizontal="center" vertical="center" wrapText="1"/>
    </xf>
    <xf numFmtId="164" fontId="40" fillId="0" borderId="35" applyAlignment="1" pivotButton="0" quotePrefix="0" xfId="16">
      <alignment horizontal="left" vertical="center"/>
    </xf>
    <xf numFmtId="172" fontId="40" fillId="0" borderId="35" applyAlignment="1" pivotButton="0" quotePrefix="0" xfId="16">
      <alignment horizontal="right" vertical="center"/>
    </xf>
    <xf numFmtId="172" fontId="40" fillId="0" borderId="32" applyAlignment="1" pivotButton="0" quotePrefix="0" xfId="0">
      <alignment horizontal="right" vertical="center"/>
    </xf>
    <xf numFmtId="0" fontId="43" fillId="14" borderId="36" pivotButton="0" quotePrefix="0" xfId="0"/>
    <xf numFmtId="164" fontId="43" fillId="14" borderId="36" applyAlignment="1" pivotButton="0" quotePrefix="0" xfId="16">
      <alignment horizontal="left" vertical="center"/>
    </xf>
    <xf numFmtId="172" fontId="43" fillId="14" borderId="36" applyAlignment="1" pivotButton="0" quotePrefix="0" xfId="16">
      <alignment horizontal="right" vertical="center"/>
    </xf>
    <xf numFmtId="172" fontId="43" fillId="14" borderId="32" applyAlignment="1" pivotButton="0" quotePrefix="0" xfId="0">
      <alignment horizontal="right" vertical="center"/>
    </xf>
    <xf numFmtId="172" fontId="40" fillId="0" borderId="32" applyAlignment="1" pivotButton="0" quotePrefix="0" xfId="16">
      <alignment horizontal="right" vertical="center"/>
    </xf>
    <xf numFmtId="164" fontId="40" fillId="0" borderId="32" applyAlignment="1" pivotButton="0" quotePrefix="0" xfId="16">
      <alignment horizontal="general" vertical="bottom"/>
    </xf>
    <xf numFmtId="0" fontId="40" fillId="0" borderId="35" applyAlignment="1" pivotButton="0" quotePrefix="0" xfId="0">
      <alignment horizontal="left" vertical="center"/>
    </xf>
    <xf numFmtId="164" fontId="40" fillId="0" borderId="35" applyAlignment="1" pivotButton="0" quotePrefix="0" xfId="16">
      <alignment horizontal="general" vertical="center"/>
    </xf>
    <xf numFmtId="164" fontId="0" fillId="4" borderId="0" applyAlignment="1" pivotButton="0" quotePrefix="0" xfId="16">
      <alignment horizontal="general" vertical="bottom"/>
    </xf>
    <xf numFmtId="164" fontId="43" fillId="14" borderId="36" applyAlignment="1" pivotButton="0" quotePrefix="0" xfId="16">
      <alignment horizontal="center" vertical="center"/>
    </xf>
    <xf numFmtId="164" fontId="41" fillId="0" borderId="33" applyAlignment="1" pivotButton="0" quotePrefix="0" xfId="16">
      <alignment horizontal="left" vertical="center"/>
    </xf>
    <xf numFmtId="164" fontId="0" fillId="0" borderId="0" applyAlignment="1" pivotButton="0" quotePrefix="0" xfId="16">
      <alignment horizontal="general" vertical="bottom" shrinkToFit="1"/>
    </xf>
    <xf numFmtId="164" fontId="40" fillId="0" borderId="35" applyAlignment="1" pivotButton="0" quotePrefix="0" xfId="16">
      <alignment horizontal="general" vertical="bottom" shrinkToFit="1"/>
    </xf>
    <xf numFmtId="164" fontId="43" fillId="14" borderId="36" applyAlignment="1" pivotButton="0" quotePrefix="0" xfId="16">
      <alignment horizontal="general" vertical="bottom" shrinkToFit="1"/>
    </xf>
    <xf numFmtId="164" fontId="40" fillId="0" borderId="35" applyAlignment="1" pivotButton="0" quotePrefix="0" xfId="16">
      <alignment horizontal="general" vertical="bottom"/>
    </xf>
    <xf numFmtId="164" fontId="40" fillId="0" borderId="32" applyAlignment="1" pivotButton="0" quotePrefix="0" xfId="16">
      <alignment horizontal="general" vertical="bottom" shrinkToFit="1"/>
    </xf>
    <xf numFmtId="164" fontId="18" fillId="0" borderId="0" applyAlignment="1" pivotButton="0" quotePrefix="0" xfId="16">
      <alignment horizontal="general" vertical="bottom"/>
    </xf>
    <xf numFmtId="166" fontId="43" fillId="14" borderId="36" applyAlignment="1" pivotButton="0" quotePrefix="0" xfId="0">
      <alignment horizontal="general" vertical="bottom"/>
    </xf>
    <xf numFmtId="164" fontId="43" fillId="14" borderId="36" applyAlignment="1" pivotButton="0" quotePrefix="0" xfId="16">
      <alignment horizontal="general" vertical="bottom"/>
    </xf>
    <xf numFmtId="172" fontId="51" fillId="0" borderId="35" applyAlignment="1" pivotButton="0" quotePrefix="0" xfId="16">
      <alignment horizontal="right" vertical="center"/>
    </xf>
    <xf numFmtId="1" fontId="45" fillId="0" borderId="0" pivotButton="0" quotePrefix="0" xfId="0"/>
    <xf numFmtId="172" fontId="50" fillId="0" borderId="0" pivotButton="0" quotePrefix="0" xfId="0"/>
    <xf numFmtId="164" fontId="40" fillId="0" borderId="35" applyAlignment="1" pivotButton="0" quotePrefix="0" xfId="16">
      <alignment horizontal="center" vertical="center"/>
    </xf>
    <xf numFmtId="164" fontId="41" fillId="0" borderId="33" applyAlignment="1" pivotButton="0" quotePrefix="0" xfId="16">
      <alignment horizontal="center" vertical="bottom"/>
    </xf>
    <xf numFmtId="167" fontId="40" fillId="0" borderId="35" applyAlignment="1" pivotButton="0" quotePrefix="0" xfId="16">
      <alignment horizontal="center" vertical="bottom" shrinkToFit="1"/>
    </xf>
    <xf numFmtId="0" fontId="18" fillId="0" borderId="0" applyAlignment="1" pivotButton="0" quotePrefix="0" xfId="0">
      <alignment horizontal="general" vertical="bottom"/>
    </xf>
    <xf numFmtId="0" fontId="43" fillId="14" borderId="36" applyAlignment="1" pivotButton="0" quotePrefix="0" xfId="0">
      <alignment horizontal="left" vertical="center"/>
    </xf>
    <xf numFmtId="172" fontId="43" fillId="14" borderId="36" applyAlignment="1" pivotButton="0" quotePrefix="0" xfId="0">
      <alignment horizontal="right" vertical="center"/>
    </xf>
    <xf numFmtId="164" fontId="49" fillId="13" borderId="0" applyAlignment="1" pivotButton="0" quotePrefix="0" xfId="16">
      <alignment horizontal="right" vertical="center" wrapText="1"/>
    </xf>
    <xf numFmtId="172" fontId="51" fillId="0" borderId="35" applyAlignment="1" pivotButton="0" quotePrefix="0" xfId="20">
      <alignment horizontal="right" vertical="center"/>
    </xf>
    <xf numFmtId="164" fontId="40" fillId="0" borderId="35" applyAlignment="1" pivotButton="0" quotePrefix="0" xfId="16">
      <alignment horizontal="center" vertical="center" shrinkToFit="1"/>
    </xf>
    <xf numFmtId="172" fontId="52" fillId="14" borderId="36" applyAlignment="1" pivotButton="0" quotePrefix="0" xfId="16">
      <alignment horizontal="right" vertical="center"/>
    </xf>
    <xf numFmtId="172" fontId="52" fillId="14" borderId="36" applyAlignment="1" pivotButton="0" quotePrefix="0" xfId="0">
      <alignment horizontal="right" vertical="center"/>
    </xf>
    <xf numFmtId="0" fontId="0" fillId="0" borderId="0" applyAlignment="1" pivotButton="0" quotePrefix="0" xfId="0">
      <alignment horizontal="general" vertical="bottom"/>
    </xf>
    <xf numFmtId="0" fontId="0" fillId="0" borderId="0" applyAlignment="1" pivotButton="0" quotePrefix="0" xfId="0">
      <alignment horizontal="right" vertical="bottom"/>
    </xf>
    <xf numFmtId="0" fontId="41" fillId="0" borderId="33" applyAlignment="1" pivotButton="0" quotePrefix="0" xfId="0">
      <alignment horizontal="left"/>
    </xf>
    <xf numFmtId="1" fontId="44" fillId="0" borderId="33" applyAlignment="1" pivotButton="0" quotePrefix="0" xfId="0">
      <alignment horizontal="center"/>
    </xf>
    <xf numFmtId="166" fontId="40" fillId="0" borderId="35" applyAlignment="1" pivotButton="0" quotePrefix="0" xfId="0">
      <alignment horizontal="right" vertical="bottom"/>
    </xf>
    <xf numFmtId="172" fontId="51" fillId="0" borderId="35" applyAlignment="1" pivotButton="0" quotePrefix="0" xfId="0">
      <alignment horizontal="right" vertical="center"/>
    </xf>
    <xf numFmtId="166" fontId="40" fillId="0" borderId="35" applyAlignment="1" pivotButton="0" quotePrefix="0" xfId="0">
      <alignment horizontal="general" vertical="bottom"/>
    </xf>
    <xf numFmtId="0" fontId="40" fillId="0" borderId="35" applyAlignment="1" pivotButton="0" quotePrefix="0" xfId="0">
      <alignment horizontal="general" vertical="center"/>
    </xf>
    <xf numFmtId="166" fontId="40" fillId="0" borderId="35" applyAlignment="1" pivotButton="0" quotePrefix="0" xfId="0">
      <alignment horizontal="right" vertical="center"/>
    </xf>
    <xf numFmtId="0" fontId="43" fillId="14" borderId="36" applyAlignment="1" pivotButton="0" quotePrefix="0" xfId="0">
      <alignment horizontal="center" vertical="center"/>
    </xf>
    <xf numFmtId="168" fontId="40" fillId="0" borderId="32" applyAlignment="1" pivotButton="0" quotePrefix="0" xfId="0">
      <alignment horizontal="general" vertical="bottom"/>
    </xf>
    <xf numFmtId="171" fontId="40" fillId="0" borderId="32" applyAlignment="1" pivotButton="0" quotePrefix="0" xfId="0">
      <alignment horizontal="general" vertical="bottom"/>
    </xf>
    <xf numFmtId="171" fontId="42" fillId="13" borderId="34" applyAlignment="1" pivotButton="0" quotePrefix="0" xfId="0">
      <alignment horizontal="center" vertical="center" wrapText="1"/>
    </xf>
    <xf numFmtId="0" fontId="40" fillId="0" borderId="32" applyAlignment="1" pivotButton="0" quotePrefix="0" xfId="0">
      <alignment horizontal="general" vertical="bottom"/>
    </xf>
    <xf numFmtId="0" fontId="40" fillId="0" borderId="32" applyAlignment="1" pivotButton="0" quotePrefix="0" xfId="0">
      <alignment horizontal="right" vertical="bottom"/>
    </xf>
    <xf numFmtId="171" fontId="40" fillId="0" borderId="35" applyAlignment="1" pivotButton="0" quotePrefix="0" xfId="0">
      <alignment horizontal="general" vertical="bottom"/>
    </xf>
    <xf numFmtId="0" fontId="40" fillId="0" borderId="32" applyAlignment="1" pivotButton="0" quotePrefix="0" xfId="0">
      <alignment horizontal="center" vertical="bottom"/>
    </xf>
    <xf numFmtId="166" fontId="40" fillId="0" borderId="32" applyAlignment="1" pivotButton="0" quotePrefix="0" xfId="0">
      <alignment horizontal="general" vertical="bottom"/>
    </xf>
    <xf numFmtId="166" fontId="40" fillId="0" borderId="32" applyAlignment="1" pivotButton="0" quotePrefix="0" xfId="0">
      <alignment horizontal="right" vertical="bottom"/>
    </xf>
    <xf numFmtId="164" fontId="40" fillId="0" borderId="35" applyAlignment="1" pivotButton="0" quotePrefix="0" xfId="16">
      <alignment horizontal="right" vertical="bottom"/>
    </xf>
    <xf numFmtId="169" fontId="40" fillId="0" borderId="35" applyAlignment="1" pivotButton="0" quotePrefix="0" xfId="16">
      <alignment horizontal="left" vertical="center"/>
    </xf>
    <xf numFmtId="0" fontId="58" fillId="16" borderId="34" applyAlignment="1" pivotButton="0" quotePrefix="0" xfId="0">
      <alignment horizontal="center"/>
    </xf>
    <xf numFmtId="0" fontId="46" fillId="0" borderId="0" applyAlignment="1" pivotButton="0" quotePrefix="0" xfId="0">
      <alignment horizontal="center"/>
    </xf>
    <xf numFmtId="0" fontId="59" fillId="0" borderId="35" pivotButton="0" quotePrefix="0" xfId="0"/>
    <xf numFmtId="1" fontId="61" fillId="0" borderId="0" applyAlignment="1" pivotButton="0" quotePrefix="0" xfId="0">
      <alignment horizontal="center"/>
    </xf>
    <xf numFmtId="0" fontId="49" fillId="0" borderId="0" pivotButton="0" quotePrefix="0" xfId="0"/>
    <xf numFmtId="0" fontId="40" fillId="0" borderId="35" applyAlignment="1" pivotButton="0" quotePrefix="0" xfId="0">
      <alignment vertical="center" wrapText="1"/>
    </xf>
    <xf numFmtId="0" fontId="53" fillId="0" borderId="35" applyAlignment="1" pivotButton="0" quotePrefix="0" xfId="0">
      <alignment vertical="center" wrapText="1"/>
    </xf>
    <xf numFmtId="3" fontId="40" fillId="0" borderId="35" pivotButton="0" quotePrefix="0" xfId="0"/>
    <xf numFmtId="3" fontId="43" fillId="14" borderId="34" pivotButton="0" quotePrefix="0" xfId="0"/>
    <xf numFmtId="0" fontId="60" fillId="0" borderId="0" pivotButton="0" quotePrefix="0" xfId="0"/>
    <xf numFmtId="177" fontId="53" fillId="0" borderId="0" pivotButton="0" quotePrefix="0" xfId="0"/>
    <xf numFmtId="178" fontId="59" fillId="0" borderId="0" pivotButton="0" quotePrefix="0" xfId="0"/>
  </cellXfs>
  <cellStyles count="7">
    <cellStyle name="Normal" xfId="0" builtinId="0"/>
    <cellStyle name="Comma" xfId="1" builtinId="3"/>
    <cellStyle name="Comma [0]" xfId="2" builtinId="6"/>
    <cellStyle name="Currency" xfId="3" builtinId="4"/>
    <cellStyle name="Currency [0]" xfId="4" builtinId="7"/>
    <cellStyle name="Percent" xfId="5" builtinId="5"/>
    <cellStyle name="桁区切り 2" xfId="6"/>
  </cellStyles>
  <dxfs count="12">
    <dxf>
      <fill>
        <patternFill patternType="solid">
          <fgColor rgb="00C00000"/>
          <bgColor rgb="00C00000"/>
        </patternFill>
      </fill>
    </dxf>
    <dxf>
      <font>
        <name val="Meiryo UI"/>
        <b val="1"/>
        <color rgb="00548235"/>
      </font>
    </dxf>
    <dxf>
      <font>
        <name val="Meiryo UI"/>
        <b val="1"/>
        <color rgb="00C00000"/>
      </font>
    </dxf>
    <dxf>
      <font>
        <name val="Meiryo UI"/>
        <color rgb="00A6A6A6"/>
      </font>
    </dxf>
    <dxf>
      <font>
        <name val="Meiryo UI"/>
        <b val="1"/>
        <color rgb="00FFFFFF"/>
      </font>
      <fill>
        <patternFill patternType="solid">
          <fgColor rgb="00C00000"/>
          <bgColor rgb="00C00000"/>
        </patternFill>
      </fill>
    </dxf>
    <dxf>
      <font>
        <name val="Meiryo UI"/>
        <color rgb="00BF8F00"/>
      </font>
    </dxf>
    <dxf>
      <font>
        <name val="Meiryo UI"/>
        <strike val="1"/>
        <color rgb="00A6A6A6"/>
        <sz val="10"/>
      </font>
    </dxf>
    <dxf>
      <font>
        <name val="Meiryo UI"/>
        <color rgb="00C00000"/>
        <sz val="10"/>
      </font>
    </dxf>
    <dxf>
      <fill>
        <patternFill patternType="solid">
          <fgColor rgb="00DDEBF7"/>
          <bgColor rgb="00DDEBF7"/>
        </patternFill>
      </fill>
    </dxf>
    <dxf>
      <fill>
        <patternFill patternType="solid">
          <fgColor rgb="00FFF2CC"/>
          <bgColor rgb="00FFF2CC"/>
        </patternFill>
      </fill>
    </dxf>
    <dxf>
      <font>
        <name val="Meiryo UI"/>
        <b val="1"/>
        <color rgb="00FFFFFF"/>
        <sz val="10"/>
      </font>
      <fill>
        <patternFill patternType="solid">
          <fgColor rgb="00C00000"/>
          <bgColor rgb="00C00000"/>
        </patternFill>
      </fill>
    </dxf>
    <dxf>
      <font>
        <name val="Meiryo UI"/>
        <color rgb="00548235"/>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DFD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Unknown Author</author>
  </authors>
  <commentList>
    <comment ref="Q3" authorId="0" shapeId="0">
      <text>
        <t>13/7/18確認OK</t>
      </text>
    </comment>
    <comment ref="A19" authorId="0" shapeId="0">
      <text>
        <t xml:space="preserve">臨時賃金
</t>
      </text>
    </comment>
    <comment ref="A26" authorId="0" shapeId="0">
      <text>
        <t xml:space="preserve">負担金内訳：07年度費用収益　エクセル「月例」シート参照
</t>
      </text>
    </comment>
    <comment ref="B28" authorId="0" shapeId="0">
      <text>
        <t>健康保険料・介護保険料含む</t>
      </text>
    </comment>
    <comment ref="O41" authorId="0" shapeId="0">
      <text>
        <t xml:space="preserve">年度の精算額
</t>
      </text>
    </comment>
    <comment ref="J42" authorId="0" shapeId="0">
      <text>
        <t>国保中央会から入金</t>
      </text>
    </comment>
    <comment ref="N42" authorId="0" shapeId="0">
      <text>
        <t xml:space="preserve">児童家庭局より入金
</t>
      </text>
    </comment>
    <comment ref="O42" authorId="0" shapeId="0">
      <text>
        <t>国保中央会から入金</t>
      </text>
    </comment>
  </commentList>
</comments>
</file>

<file path=xl/comments/comment2.xml><?xml version="1.0" encoding="utf-8"?>
<comments xmlns="http://schemas.openxmlformats.org/spreadsheetml/2006/main">
  <authors>
    <author>Unknown Author</author>
  </authors>
  <commentList>
    <comment ref="B6" authorId="0" shapeId="0">
      <text>
        <t>諸手当、期末・勤勉手当</t>
      </text>
    </comment>
    <comment ref="B7" authorId="0" shapeId="0">
      <text>
        <t>増額報酬含む</t>
      </text>
    </comment>
    <comment ref="A19" authorId="0" shapeId="0">
      <text>
        <t xml:space="preserve">臨時賃金
</t>
      </text>
    </comment>
    <comment ref="B28" authorId="0" shapeId="0">
      <text>
        <t>健康保険料・介護保険料含む</t>
      </text>
    </comment>
    <comment ref="B29" authorId="0" shapeId="0">
      <text>
        <t>団体職員の介護・児童手当拠出金含む</t>
      </text>
    </comment>
    <comment ref="B30" authorId="0" shapeId="0">
      <text>
        <t xml:space="preserve">非常勤職員の児童手当拠出金含む
</t>
      </text>
    </comment>
    <comment ref="I30" authorId="0" shapeId="0">
      <text>
        <t>払い込みは11/1</t>
      </text>
    </comment>
    <comment ref="K30" authorId="0" shapeId="0">
      <text>
        <t xml:space="preserve">払い込み1/4
</t>
      </text>
    </comment>
    <comment ref="E41" authorId="0" shapeId="0">
      <text>
        <t>６月分の地方公共団体負担金の中から保健経理へ振り替えた。全体（5,098,000円）から保健分（2,489,000円）を差し引いた残りの額を入力している。</t>
      </text>
    </comment>
    <comment ref="O41" authorId="0" shapeId="0">
      <text>
        <t>保健経理（特定健康診査）市負担金精算分</t>
      </text>
    </comment>
    <comment ref="B56" authorId="0" shapeId="0">
      <text>
        <t>高橋</t>
      </text>
    </comment>
  </commentList>
</comments>
</file>

<file path=xl/comments/comment3.xml><?xml version="1.0" encoding="utf-8"?>
<comments xmlns="http://schemas.openxmlformats.org/spreadsheetml/2006/main">
  <authors>
    <author>Unknown Author</author>
  </authors>
  <commentList>
    <comment ref="B5" authorId="0" shapeId="0">
      <text>
        <t>職員本俸</t>
      </text>
    </comment>
    <comment ref="B6" authorId="0" shapeId="0">
      <text>
        <t xml:space="preserve">期末・勤勉もここに入る
</t>
      </text>
    </comment>
    <comment ref="B7" authorId="0" shapeId="0">
      <text>
        <t xml:space="preserve">非常勤の報酬・時間外すべて。ただし、３月分の時間外は除く
</t>
      </text>
    </comment>
    <comment ref="A19" authorId="0" shapeId="0">
      <text>
        <t xml:space="preserve">臨時賃金
</t>
      </text>
    </comment>
    <comment ref="B27" authorId="0" shapeId="0">
      <text>
        <t>互助会費は当月分を給料日に払い込む</t>
      </text>
    </comment>
    <comment ref="B28" authorId="0" shapeId="0">
      <text>
        <t>健康保険料・介護保険料含む
当月分を翌月に払い込む</t>
      </text>
    </comment>
    <comment ref="I30" authorId="0" shapeId="0">
      <text>
        <t>払い込みは11/1</t>
      </text>
    </comment>
    <comment ref="K30" authorId="0" shapeId="0">
      <text>
        <t xml:space="preserve">払い込みは１/4
</t>
      </text>
    </comment>
    <comment ref="N42" authorId="0" shapeId="0">
      <text>
        <t>子ども子育て拠出金納付手数料</t>
      </text>
    </comment>
    <comment ref="C43" authorId="0" shapeId="0">
      <text>
        <t>概算額
18,330,900円</t>
      </text>
    </comment>
    <comment ref="H43" authorId="0" shapeId="0">
      <text>
        <t>９月の連合会交付金は
厚年・経過的3,166,494円＋退職等2,202,654円＝5,369,148円</t>
      </text>
    </comment>
    <comment ref="B56" authorId="0" shapeId="0">
      <text>
        <t>上久保・佐々木</t>
      </text>
    </comment>
  </commentList>
</comments>
</file>

<file path=xl/comments/comment4.xml><?xml version="1.0" encoding="utf-8"?>
<comments xmlns="http://schemas.openxmlformats.org/spreadsheetml/2006/main">
  <authors>
    <author>Unknown Author</author>
  </authors>
  <commentList>
    <comment ref="B4" authorId="0" shapeId="0">
      <text>
        <t>非常勤職員報酬（手当含む）</t>
      </text>
    </comment>
    <comment ref="E4" authorId="0" shapeId="0">
      <text>
        <t xml:space="preserve">給料と増額報酬
</t>
      </text>
    </comment>
    <comment ref="A15" authorId="0" shapeId="0">
      <text>
        <t xml:space="preserve">臨時賃金
</t>
      </text>
    </comment>
    <comment ref="K23" authorId="0" shapeId="0">
      <text>
        <t>賞与：52,612円
月例：47,257円</t>
      </text>
    </comment>
    <comment ref="H24" authorId="0" shapeId="0">
      <text>
        <t>7月分+6月賞与：147,120円（払込日：9/1)
8月分：71,325円（払込日：9/30）</t>
      </text>
    </comment>
    <comment ref="M24" authorId="0" shapeId="0">
      <text>
        <t>12月分(月例・期末)：150,733円（払込日：2/2）</t>
      </text>
    </comment>
    <comment ref="A28" authorId="0" shapeId="0">
      <text>
        <t>退職等年金預託金管理経理へ毎月支払う長期貸付金に係る利息</t>
      </text>
    </comment>
    <comment ref="A29" authorId="0" shapeId="0">
      <text>
        <t>市町村連合会に支払う貸付債権共同保全金</t>
      </text>
    </comment>
    <comment ref="A35" authorId="0" shapeId="0">
      <text>
        <t>貸付種別月別貸付情報一覧表</t>
      </text>
    </comment>
    <comment ref="E35" authorId="0" shapeId="0">
      <text>
        <t>利息収入1,154,972円－未収収益180,749円＝974,223円</t>
      </text>
    </comment>
    <comment ref="F35" authorId="0" shapeId="0">
      <text>
        <t>利息収入812,905円－未収収益180,749円＝632,156円</t>
      </text>
    </comment>
    <comment ref="O35" authorId="0" shapeId="0">
      <text>
        <t>未収利息</t>
      </text>
    </comment>
    <comment ref="B43" authorId="0" shapeId="0">
      <text>
        <t>嘱託の諸手当含む
神岡,中村</t>
      </text>
    </comment>
    <comment ref="N43" authorId="0" shapeId="0">
      <text>
        <t xml:space="preserve">ここへ入力
</t>
      </text>
    </comment>
    <comment ref="B55" authorId="0" shapeId="0">
      <text>
        <t>人件費＝非常勤職員手当＋臨時職員賃金＋負担金（その他負担金を除く）
※預託金の年間計画を策定する際の参考資料作成の際に使用する数値</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001F3864"/>
    <outlinePr summaryBelow="1" summaryRight="1"/>
    <pageSetUpPr fitToPage="1"/>
  </sheetPr>
  <dimension ref="A1:D31"/>
  <sheetViews>
    <sheetView showGridLines="0" tabSelected="0" workbookViewId="0">
      <selection activeCell="A1" sqref="A1"/>
    </sheetView>
  </sheetViews>
  <sheetFormatPr baseColWidth="8" defaultRowHeight="15"/>
  <cols>
    <col width="2" customWidth="1" style="322" min="1" max="1"/>
    <col width="26" customWidth="1" style="322" min="2" max="2"/>
    <col width="70" customWidth="1" style="322" min="3" max="3"/>
    <col width="58" customWidth="1" style="322" min="4" max="4"/>
  </cols>
  <sheetData>
    <row r="1" ht="26" customHeight="1" s="322">
      <c r="A1" s="323" t="inlineStr">
        <is>
          <t>令和8年度　費用収益表 統合ブック　使い方</t>
        </is>
      </c>
      <c r="B1" s="324" t="n"/>
      <c r="C1" s="324" t="n"/>
      <c r="D1" s="324" t="n"/>
    </row>
    <row r="2" ht="30" customHeight="1" s="322">
      <c r="A2" s="325" t="inlineStr">
        <is>
          <t>旧：管理簿・予算差引簿・費用収益表の3ファイルを、「入力は台帳1か所だけ」「費用収益表は自動計上」「照合も自動」に作り替えたブックです。</t>
        </is>
      </c>
    </row>
    <row r="4">
      <c r="B4" s="326" t="inlineStr">
        <is>
          <t>毎月の流れ（旧→新）</t>
        </is>
      </c>
      <c r="C4" s="324" t="n"/>
      <c r="D4" s="324" t="n"/>
    </row>
    <row r="5" ht="18" customHeight="1" s="322">
      <c r="B5" s="327" t="inlineStr">
        <is>
          <t>担当</t>
        </is>
      </c>
      <c r="C5" s="327" t="inlineStr">
        <is>
          <t>新しいやり方</t>
        </is>
      </c>
      <c r="D5" s="327" t="inlineStr">
        <is>
          <t>旧</t>
        </is>
      </c>
    </row>
    <row r="6" ht="29" customHeight="1" s="322">
      <c r="B6" s="328" t="inlineStr">
        <is>
          <t>① 支払担当者</t>
        </is>
      </c>
      <c r="C6" s="329" t="inlineStr">
        <is>
          <t>入力シートで、昨年実績の行を今年の支払に直します（日付・金額）。状態を「昨年実績」→「未確認」へ。</t>
        </is>
      </c>
      <c r="D6" s="330" t="inlineStr">
        <is>
          <t>赤字を黒字にして金額を修正</t>
        </is>
      </c>
    </row>
    <row r="7" ht="29" customHeight="1" s="322">
      <c r="B7" s="328" t="inlineStr">
        <is>
          <t>② 経理担当者</t>
        </is>
      </c>
      <c r="C7" s="329" t="inlineStr">
        <is>
          <t>支払伝票が回ってきたら、その行の状態を「未確認」→「確認済」へ（プルダウン）。</t>
        </is>
      </c>
      <c r="D7" s="330" t="inlineStr">
        <is>
          <t>金額を青で塗りつぶして確認</t>
        </is>
      </c>
    </row>
    <row r="8" ht="29" customHeight="1" s="322">
      <c r="B8" s="328" t="inlineStr">
        <is>
          <t>③ 経理〆</t>
        </is>
      </c>
      <c r="C8" s="329" t="inlineStr">
        <is>
          <t>「月次締め」シートで「今回締める月」を選ぶ。費用収益表はその月まで自動で確定計上されます。</t>
        </is>
      </c>
      <c r="D8" s="330" t="inlineStr">
        <is>
          <t>黒字＋色塗りを費用収益表へ手で転記</t>
        </is>
      </c>
    </row>
    <row r="9" ht="29" customHeight="1" s="322">
      <c r="B9" s="328" t="inlineStr">
        <is>
          <t>④ 照合</t>
        </is>
      </c>
      <c r="C9" s="329" t="inlineStr">
        <is>
          <t>「月次締め」の黄色いセルに仮締め出納計算表の月合計を入力。差額が 0 で「OK」になればOK。</t>
        </is>
      </c>
      <c r="D9" s="330" t="inlineStr">
        <is>
          <t>費用収益表と出納計算表を目で照合</t>
        </is>
      </c>
    </row>
    <row r="10" ht="29" customHeight="1" s="322">
      <c r="B10" s="328" t="inlineStr">
        <is>
          <t>⑤ 月次更新</t>
        </is>
      </c>
      <c r="C10" s="329" t="inlineStr">
        <is>
          <t>OK を確認して基幹システムで月次更新処理。「検算」シートが全部 OK ならこのブックの数字は一致しています。</t>
        </is>
      </c>
      <c r="D10" s="330" t="inlineStr">
        <is>
          <t>同じ</t>
        </is>
      </c>
    </row>
    <row r="12">
      <c r="B12" s="326" t="inlineStr">
        <is>
          <t>色のルール（状態から自動で付きます）</t>
        </is>
      </c>
      <c r="C12" s="324" t="n"/>
      <c r="D12" s="324" t="n"/>
    </row>
    <row r="13" ht="29" customHeight="1" s="322">
      <c r="B13" s="328" t="inlineStr">
        <is>
          <t>赤字</t>
        </is>
      </c>
      <c r="C13" s="329" t="inlineStr">
        <is>
          <t>状態＝昨年実績。今年の支払が確定するまで残しておく行（集計には入りません）。</t>
        </is>
      </c>
      <c r="D13" s="330" t="n"/>
    </row>
    <row r="14" ht="29" customHeight="1" s="322">
      <c r="B14" s="328" t="inlineStr">
        <is>
          <t>黄色の背景</t>
        </is>
      </c>
      <c r="C14" s="329" t="inlineStr">
        <is>
          <t>状態＝未確認。今年の支払として入力済みだが、伝票確認前。</t>
        </is>
      </c>
      <c r="D14" s="330" t="n"/>
    </row>
    <row r="15" ht="29" customHeight="1" s="322">
      <c r="B15" s="328" t="inlineStr">
        <is>
          <t>青い背景</t>
        </is>
      </c>
      <c r="C15" s="329" t="inlineStr">
        <is>
          <t>状態＝確認済。締め月までの分が費用収益表に計上されます。</t>
        </is>
      </c>
      <c r="D15" s="330" t="n"/>
    </row>
    <row r="16" ht="29" customHeight="1" s="322">
      <c r="B16" s="328" t="inlineStr">
        <is>
          <t>取り消し線（灰色）</t>
        </is>
      </c>
      <c r="C16" s="329" t="inlineStr">
        <is>
          <t>状態＝支払なし。今年度は支払がない行（集計から除外。行は残せます）。</t>
        </is>
      </c>
      <c r="D16" s="330" t="n"/>
    </row>
    <row r="17" ht="29" customHeight="1" s="322">
      <c r="B17" s="328" t="inlineStr">
        <is>
          <t>費用収益表の緑字</t>
        </is>
      </c>
      <c r="C17" s="329" t="inlineStr">
        <is>
          <t>締め月より後の月＝前年実績・見込（旧表の値）。締め月までは黒字の確定値になります。</t>
        </is>
      </c>
      <c r="D17" s="330" t="n"/>
    </row>
    <row r="18" ht="29" customHeight="1" s="322">
      <c r="B18" s="328" t="inlineStr">
        <is>
          <t>青字のセル</t>
        </is>
      </c>
      <c r="C18" s="329" t="inlineStr">
        <is>
          <t>手入力するセル（金額・予算・収益など）。黒字は数式なので触りません。</t>
        </is>
      </c>
      <c r="D18" s="330" t="n"/>
    </row>
    <row r="20">
      <c r="B20" s="326" t="inlineStr">
        <is>
          <t>シート一覧</t>
        </is>
      </c>
      <c r="C20" s="324" t="n"/>
      <c r="D20" s="324" t="n"/>
    </row>
    <row r="21" ht="29" customHeight="1" s="322">
      <c r="B21" s="328" t="inlineStr">
        <is>
          <t>月次締め</t>
        </is>
      </c>
      <c r="C21" s="329" t="inlineStr">
        <is>
          <t>操作盤。今回締める月の選択／締める前のチェック／出納計算表との照合。</t>
        </is>
      </c>
      <c r="D21" s="330" t="n"/>
    </row>
    <row r="22" ht="29" customHeight="1" s="322">
      <c r="B22" s="328" t="inlineStr">
        <is>
          <t>入力_業務 / 入力_貸付</t>
        </is>
      </c>
      <c r="C22" s="329" t="inlineStr">
        <is>
          <t>台帳（旧：管理簿・予算差引簿）。支払はここだけに入力。行を足すときは最終行の下へ（業務1,600行・貸付400行まで）。</t>
        </is>
      </c>
      <c r="D22" s="330" t="n"/>
    </row>
    <row r="23" ht="29" customHeight="1" s="322">
      <c r="B23" s="328" t="inlineStr">
        <is>
          <t>費用収益表（4枚）</t>
        </is>
      </c>
      <c r="C23" s="329" t="inlineStr">
        <is>
          <t>業務合計・短期・長期・貸付。旧表と同じ配置。台帳連動の行は自動計算、収益・給与・予算などは手入力。</t>
        </is>
      </c>
      <c r="D23" s="330" t="n"/>
    </row>
    <row r="24" ht="29" customHeight="1" s="322">
      <c r="B24" s="328" t="inlineStr">
        <is>
          <t>給付区分別</t>
        </is>
      </c>
      <c r="C24" s="329" t="inlineStr">
        <is>
          <t>旧：給付区分別執行額（月別／年度分）。確認済のみ集計。</t>
        </is>
      </c>
      <c r="D24" s="330" t="n"/>
    </row>
    <row r="25" ht="29" customHeight="1" s="322">
      <c r="B25" s="328" t="inlineStr">
        <is>
          <t>科目表</t>
        </is>
      </c>
      <c r="C25" s="329" t="inlineStr">
        <is>
          <t>プルダウンの元と、台帳の科目を費用収益表のどの行に入れるかのルール。</t>
        </is>
      </c>
      <c r="D25" s="330" t="n"/>
    </row>
    <row r="26" ht="29" customHeight="1" s="322">
      <c r="B26" s="328" t="inlineStr">
        <is>
          <t>検算 / 旧表照合</t>
        </is>
      </c>
      <c r="C26" s="329" t="inlineStr">
        <is>
          <t>自動検算。旧表照合は、旧・費用収益表（9月締め時点）と1セルずつ突き合わせた結果。</t>
        </is>
      </c>
      <c r="D26" s="330" t="n"/>
    </row>
    <row r="28">
      <c r="B28" s="326" t="inlineStr">
        <is>
          <t>注意</t>
        </is>
      </c>
      <c r="C28" s="324" t="n"/>
      <c r="D28" s="324" t="n"/>
    </row>
    <row r="29" ht="43.5" customHeight="1" s="322">
      <c r="B29" s="328" t="inlineStr">
        <is>
          <t>数式の列は消さない</t>
        </is>
      </c>
      <c r="C29" s="329" t="inlineStr">
        <is>
          <t>灰色の列（短期・厚年…・費用収益表の行・計上列・点検など）は数式です。台帳に行を足すときは最終行の下の空き行に入力するだけでOK（数式は1,600行／400行分あらかじめ入っています）。</t>
        </is>
      </c>
      <c r="D29" s="330" t="n"/>
    </row>
    <row r="30" ht="29" customHeight="1" s="322">
      <c r="B30" s="328" t="inlineStr">
        <is>
          <t>経費区分</t>
        </is>
      </c>
      <c r="C30" s="329" t="inlineStr">
        <is>
          <t>1〜8の按分ルールは旧「端数処理」と同じです（科目表の右側に一覧）。</t>
        </is>
      </c>
      <c r="D30" s="330" t="n"/>
    </row>
    <row r="31" ht="43.5" customHeight="1" s="322">
      <c r="B31" s="328" t="inlineStr">
        <is>
          <t>来年度の更新</t>
        </is>
      </c>
      <c r="C31" s="329" t="inlineStr">
        <is>
          <t>①ブックを複製 ②月次締めの年度を変更 ③台帳の状態をすべて「昨年実績」に（フィルタ→コピー貼り付け）④費用収益表の予算・参考値を更新。</t>
        </is>
      </c>
      <c r="D31" s="330" t="n"/>
    </row>
  </sheetData>
  <mergeCells count="2">
    <mergeCell ref="A1:D1"/>
    <mergeCell ref="A2:D2"/>
  </mergeCells>
  <printOptions horizontalCentered="1"/>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C00000"/>
    <outlinePr summaryBelow="1" summaryRight="1"/>
    <pageSetUpPr fitToPage="1"/>
  </sheetPr>
  <dimension ref="A1:J72"/>
  <sheetViews>
    <sheetView showGridLines="0" tabSelected="1" workbookViewId="0">
      <pane ySplit="7" topLeftCell="A8" activePane="bottomLeft" state="frozen"/>
      <selection pane="bottomLeft" activeCell="A1" sqref="A1"/>
    </sheetView>
  </sheetViews>
  <sheetFormatPr baseColWidth="8" defaultRowHeight="15"/>
  <cols>
    <col width="2" customWidth="1" style="322" min="1" max="1"/>
    <col width="30" customWidth="1" style="322" min="2" max="2"/>
    <col width="17" customWidth="1" style="322" min="3" max="3"/>
    <col width="17" customWidth="1" style="322" min="4" max="4"/>
    <col width="15" customWidth="1" style="322" min="5" max="5"/>
    <col width="17" customWidth="1" style="322" min="6" max="6"/>
    <col width="17" customWidth="1" style="322" min="7" max="7"/>
    <col width="15" customWidth="1" style="322" min="8" max="8"/>
    <col width="24" customWidth="1" style="322" min="9" max="9"/>
    <col width="3" customWidth="1" style="322" min="10" max="10"/>
  </cols>
  <sheetData>
    <row r="1" ht="26" customHeight="1" s="322">
      <c r="A1" s="323" t="inlineStr">
        <is>
          <t>月次締め　操作盤と出納計算表との照合</t>
        </is>
      </c>
      <c r="B1" s="324" t="n"/>
      <c r="C1" s="324" t="n"/>
      <c r="D1" s="324" t="n"/>
      <c r="E1" s="324" t="n"/>
      <c r="F1" s="324" t="n"/>
      <c r="G1" s="324" t="n"/>
      <c r="H1" s="324" t="n"/>
      <c r="I1" s="324" t="n"/>
      <c r="J1" s="324" t="n"/>
    </row>
    <row r="2" ht="30" customHeight="1" s="322">
      <c r="A2" s="325" t="inlineStr">
        <is>
          <t>月次〆のときは「今回締める月」を選ぶだけです。費用収益表がその月まで自動で確定表示になります（転記は不要）。黄色のセルに仮締めした出納計算表の月合計を入力し、差額が 0 になればOKです。</t>
        </is>
      </c>
    </row>
    <row r="4">
      <c r="B4" s="331" t="inlineStr">
        <is>
          <t>年度（令和）</t>
        </is>
      </c>
      <c r="C4" s="332" t="n">
        <v>8</v>
      </c>
      <c r="F4" s="333" t="inlineStr">
        <is>
          <t>自動検算</t>
        </is>
      </c>
      <c r="G4" s="334" t="str">
        <f>IF(検算!$F$3=0,"すべてOK","NG "&amp;検算!$F$3&amp;"件（検算シート参照）")</f>
        <v>すべてOK</v>
      </c>
    </row>
    <row r="5">
      <c r="B5" s="335" t="inlineStr">
        <is>
          <t>今回締める月</t>
        </is>
      </c>
      <c r="C5" s="336" t="inlineStr">
        <is>
          <t>9月</t>
        </is>
      </c>
      <c r="D5" s="337" t="inlineStr">
        <is>
          <t>← ここを変えると、その月まで費用収益表に確定計上されます（9月締め済みなら「9月」）</t>
        </is>
      </c>
    </row>
    <row r="6">
      <c r="B6" s="337" t="inlineStr">
        <is>
          <t>月番号（自動）</t>
        </is>
      </c>
      <c r="C6" s="338">
        <f>MATCH($C$5,科目表!$N$5:$N$18,0)-1</f>
        <v>6</v>
      </c>
    </row>
    <row r="8">
      <c r="B8" s="339" t="inlineStr">
        <is>
          <t>① 締める前のチェック（今回締める月の分）</t>
        </is>
      </c>
      <c r="C8" s="340" t="n"/>
      <c r="D8" s="340" t="n"/>
      <c r="E8" s="340" t="n"/>
      <c r="F8" s="340" t="n"/>
      <c r="G8" s="340" t="n"/>
      <c r="H8" s="340" t="n"/>
      <c r="I8" s="340" t="n"/>
    </row>
    <row r="9" ht="22" customHeight="1" s="322">
      <c r="B9" s="327" t="inlineStr">
        <is>
          <t>項目</t>
        </is>
      </c>
      <c r="C9" s="327" t="inlineStr">
        <is>
          <t>業務</t>
        </is>
      </c>
      <c r="D9" s="327" t="inlineStr">
        <is>
          <t>貸付</t>
        </is>
      </c>
      <c r="E9" s="327" t="inlineStr">
        <is>
          <t>対応</t>
        </is>
      </c>
      <c r="F9" s="341" t="n"/>
      <c r="G9" s="341" t="n"/>
      <c r="H9" s="341" t="n"/>
      <c r="I9" s="342" t="n"/>
    </row>
    <row r="10">
      <c r="B10" s="343" t="inlineStr">
        <is>
          <t>確認済（青塗り相当）の件数</t>
        </is>
      </c>
      <c r="C10" s="344">
        <f>IF(締月=0,0,COUNTIFS(入力_業務!$P$5:$P$1604,締月,入力_業務!$I$5:$I$1604,"確認済"))</f>
        <v>35</v>
      </c>
      <c r="D10" s="344">
        <f>IF(締月=0,0,COUNTIFS(入力_貸付!$H$5:$H$404,締月,入力_貸付!$G$5:$G$404,"確認済"))</f>
        <v>6</v>
      </c>
      <c r="E10" s="345" t="inlineStr">
        <is>
          <t>費用収益表に計上される行数です</t>
        </is>
      </c>
    </row>
    <row r="11">
      <c r="B11" s="343" t="inlineStr">
        <is>
          <t>未確認（伝票待ち）の件数</t>
        </is>
      </c>
      <c r="C11" s="344">
        <f>IF(締月=0,0,COUNTIFS(入力_業務!$P$5:$P$1604,締月,入力_業務!$I$5:$I$1604,"未確認"))</f>
        <v>0</v>
      </c>
      <c r="D11" s="344">
        <f>IF(締月=0,0,COUNTIFS(入力_貸付!$H$5:$H$404,締月,入力_貸付!$G$5:$G$404,"未確認"))</f>
        <v>0</v>
      </c>
      <c r="E11" s="345" t="inlineStr">
        <is>
          <t>0 にしてから締めます（伝票を確認して「確認済」へ）</t>
        </is>
      </c>
    </row>
    <row r="12">
      <c r="B12" s="343" t="inlineStr">
        <is>
          <t>昨年実績のまま残っている件数（参考）</t>
        </is>
      </c>
      <c r="C12" s="344">
        <f>IF(締月=0,0,COUNTIFS(入力_業務!$P$5:$P$1604,締月,入力_業務!$I$5:$I$1604,"昨年実績"))</f>
        <v>22</v>
      </c>
      <c r="D12" s="344">
        <f>IF(締月=0,0,COUNTIFS(入力_貸付!$H$5:$H$404,締月,入力_貸付!$G$5:$G$404,"昨年実績"))</f>
        <v>2</v>
      </c>
      <c r="E12" s="345" t="inlineStr">
        <is>
          <t>今年は支払がない行は「支払なし」にすると見やすくなります</t>
        </is>
      </c>
    </row>
    <row r="13">
      <c r="B13" s="343" t="inlineStr">
        <is>
          <t>点検NGの件数（台帳全体）</t>
        </is>
      </c>
      <c r="C13" s="344">
        <f>COUNTIF(入力_業務!$Q$5:$Q$1604,"?*")</f>
        <v>0</v>
      </c>
      <c r="D13" s="344">
        <f>COUNTIF(入力_貸付!$J$5:$J$404,"?*")</f>
        <v>0</v>
      </c>
      <c r="E13" s="345" t="inlineStr">
        <is>
          <t>入力シートの「点検」列に内容が出ます</t>
        </is>
      </c>
    </row>
    <row r="14">
      <c r="B14" s="343" t="inlineStr">
        <is>
          <t>確認済 金額合計</t>
        </is>
      </c>
      <c r="C14" s="344">
        <f>IF(締月=0,0,SUMIFS(入力_業務!$G$5:$G$1604,入力_業務!$P$5:$P$1604,締月,入力_業務!$I$5:$I$1604,"確認済"))</f>
        <v>30634243</v>
      </c>
      <c r="D14" s="344">
        <f>IF(締月=0,0,SUMIFS(入力_貸付!$F$5:$F$404,入力_貸付!$H$5:$H$404,締月,入力_貸付!$G$5:$G$404,"確認済"))</f>
        <v>325836</v>
      </c>
      <c r="E14" s="345" t="inlineStr">
        <is>
          <t>旧：転記する金額の合計。業務は短期＋長期の合計</t>
        </is>
      </c>
    </row>
    <row r="15">
      <c r="B15" s="346" t="inlineStr">
        <is>
          <t>締め可否</t>
        </is>
      </c>
      <c r="C15" s="347" t="str">
        <f>IF(締月=0,"-",IF(AND(C11=0,C13=0),"OK","要対応"))</f>
        <v>OK</v>
      </c>
      <c r="D15" s="347" t="str">
        <f>IF(締月=0,"-",IF(AND(D11=0,D13=0),"OK","要対応"))</f>
        <v>OK</v>
      </c>
      <c r="E15" s="348" t="n"/>
    </row>
    <row r="18">
      <c r="B18" s="339" t="inlineStr">
        <is>
          <t>② 出納計算表との照合（黄色のセルに仮締めした出納計算表の月合計を入力）</t>
        </is>
      </c>
      <c r="C18" s="340" t="n"/>
      <c r="D18" s="340" t="n"/>
      <c r="E18" s="340" t="n"/>
      <c r="F18" s="340" t="n"/>
      <c r="G18" s="340" t="n"/>
      <c r="H18" s="340" t="n"/>
      <c r="I18" s="340" t="n"/>
    </row>
    <row r="20">
      <c r="B20" s="349" t="inlineStr">
        <is>
          <t>業務経理（短期）</t>
        </is>
      </c>
      <c r="C20" s="350" t="n"/>
      <c r="D20" s="350" t="n"/>
      <c r="E20" s="350" t="n"/>
      <c r="F20" s="350" t="n"/>
      <c r="G20" s="350" t="n"/>
      <c r="H20" s="350" t="n"/>
      <c r="I20" s="351" t="n"/>
    </row>
    <row r="21" ht="18" customHeight="1" s="322">
      <c r="B21" s="327" t="inlineStr">
        <is>
          <t>月</t>
        </is>
      </c>
      <c r="C21" s="327" t="inlineStr">
        <is>
          <t>費用</t>
        </is>
      </c>
      <c r="D21" s="341" t="n"/>
      <c r="E21" s="342" t="n"/>
      <c r="F21" s="327" t="inlineStr">
        <is>
          <t>収益</t>
        </is>
      </c>
      <c r="G21" s="341" t="n"/>
      <c r="H21" s="342" t="n"/>
      <c r="I21" s="327" t="inlineStr">
        <is>
          <t>判定</t>
        </is>
      </c>
    </row>
    <row r="22" ht="18" customHeight="1" s="322">
      <c r="B22" s="327" t="inlineStr"/>
      <c r="C22" s="327" t="inlineStr">
        <is>
          <t>費用収益表</t>
        </is>
      </c>
      <c r="D22" s="327" t="inlineStr">
        <is>
          <t>出納計算表</t>
        </is>
      </c>
      <c r="E22" s="327" t="inlineStr">
        <is>
          <t>差額</t>
        </is>
      </c>
      <c r="F22" s="327" t="inlineStr">
        <is>
          <t>費用収益表</t>
        </is>
      </c>
      <c r="G22" s="327" t="inlineStr">
        <is>
          <t>出納計算表</t>
        </is>
      </c>
      <c r="H22" s="327" t="inlineStr">
        <is>
          <t>差額</t>
        </is>
      </c>
      <c r="I22" s="327" t="inlineStr"/>
    </row>
    <row r="23">
      <c r="B23" s="352" t="inlineStr">
        <is>
          <t>4月</t>
        </is>
      </c>
      <c r="C23" s="353">
        <f>'費用収益表_業務短期'!C38</f>
        <v>534591</v>
      </c>
      <c r="D23" s="354" t="n"/>
      <c r="E23" s="344" t="str">
        <f>IF(D23="","",C23-D23)</f>
        <v/>
      </c>
      <c r="F23" s="353">
        <f>'費用収益表_業務短期'!C46</f>
        <v>2268000</v>
      </c>
      <c r="G23" s="354" t="n"/>
      <c r="H23" s="344" t="str">
        <f>IF(G23="","",F23-G23)</f>
        <v/>
      </c>
      <c r="I23" s="355" t="str">
        <f>IF(1&gt;締月,"",IF(OR(D23="",G23=""),"出納計算表 未入力",IF(AND(E23=0,H23=0),"OK","NG　差額あり")))</f>
        <v>出納計算表 未入力</v>
      </c>
    </row>
    <row r="24">
      <c r="B24" s="352" t="inlineStr">
        <is>
          <t>5月</t>
        </is>
      </c>
      <c r="C24" s="353">
        <f>'費用収益表_業務短期'!D38</f>
        <v>4087081</v>
      </c>
      <c r="D24" s="354" t="n"/>
      <c r="E24" s="344" t="str">
        <f>IF(D24="","",C24-D24)</f>
        <v/>
      </c>
      <c r="F24" s="353">
        <f>'費用収益表_業務短期'!D46</f>
        <v>2150000</v>
      </c>
      <c r="G24" s="354" t="n"/>
      <c r="H24" s="344" t="str">
        <f>IF(G24="","",F24-G24)</f>
        <v/>
      </c>
      <c r="I24" s="355" t="str">
        <f>IF(2&gt;締月,"",IF(OR(D24="",G24=""),"出納計算表 未入力",IF(AND(E24=0,H24=0),"OK","NG　差額あり")))</f>
        <v>出納計算表 未入力</v>
      </c>
    </row>
    <row r="25">
      <c r="B25" s="352" t="inlineStr">
        <is>
          <t>6月</t>
        </is>
      </c>
      <c r="C25" s="353">
        <f>'費用収益表_業務短期'!E38</f>
        <v>2455166</v>
      </c>
      <c r="D25" s="354" t="n"/>
      <c r="E25" s="344" t="str">
        <f>IF(D25="","",C25-D25)</f>
        <v/>
      </c>
      <c r="F25" s="353">
        <f>'費用収益表_業務短期'!E46</f>
        <v>2609000</v>
      </c>
      <c r="G25" s="354" t="n"/>
      <c r="H25" s="344" t="str">
        <f>IF(G25="","",F25-G25)</f>
        <v/>
      </c>
      <c r="I25" s="355" t="str">
        <f>IF(3&gt;締月,"",IF(OR(D25="",G25=""),"出納計算表 未入力",IF(AND(E25=0,H25=0),"OK","NG　差額あり")))</f>
        <v>出納計算表 未入力</v>
      </c>
    </row>
    <row r="26">
      <c r="B26" s="352" t="inlineStr">
        <is>
          <t>7月</t>
        </is>
      </c>
      <c r="C26" s="353">
        <f>'費用収益表_業務短期'!F38</f>
        <v>1972276</v>
      </c>
      <c r="D26" s="354" t="n"/>
      <c r="E26" s="344" t="str">
        <f>IF(D26="","",C26-D26)</f>
        <v/>
      </c>
      <c r="F26" s="353">
        <f>'費用収益表_業務短期'!F46</f>
        <v>2725000</v>
      </c>
      <c r="G26" s="354" t="n"/>
      <c r="H26" s="344" t="str">
        <f>IF(G26="","",F26-G26)</f>
        <v/>
      </c>
      <c r="I26" s="355" t="str">
        <f>IF(4&gt;締月,"",IF(OR(D26="",G26=""),"出納計算表 未入力",IF(AND(E26=0,H26=0),"OK","NG　差額あり")))</f>
        <v>出納計算表 未入力</v>
      </c>
    </row>
    <row r="27">
      <c r="B27" s="352" t="inlineStr">
        <is>
          <t>8月</t>
        </is>
      </c>
      <c r="C27" s="353">
        <f>'費用収益表_業務短期'!G38</f>
        <v>2709341</v>
      </c>
      <c r="D27" s="354" t="n"/>
      <c r="E27" s="344" t="str">
        <f>IF(D27="","",C27-D27)</f>
        <v/>
      </c>
      <c r="F27" s="353">
        <f>'費用収益表_業務短期'!G46</f>
        <v>2151000</v>
      </c>
      <c r="G27" s="354" t="n"/>
      <c r="H27" s="344" t="str">
        <f>IF(G27="","",F27-G27)</f>
        <v/>
      </c>
      <c r="I27" s="355" t="str">
        <f>IF(5&gt;締月,"",IF(OR(D27="",G27=""),"出納計算表 未入力",IF(AND(E27=0,H27=0),"OK","NG　差額あり")))</f>
        <v>出納計算表 未入力</v>
      </c>
    </row>
    <row r="28">
      <c r="B28" s="352" t="inlineStr">
        <is>
          <t>9月</t>
        </is>
      </c>
      <c r="C28" s="353">
        <f>'費用収益表_業務短期'!H38</f>
        <v>24070375</v>
      </c>
      <c r="D28" s="354" t="n"/>
      <c r="E28" s="344" t="str">
        <f>IF(D28="","",C28-D28)</f>
        <v/>
      </c>
      <c r="F28" s="353">
        <f>'費用収益表_業務短期'!H46</f>
        <v>12794000</v>
      </c>
      <c r="G28" s="354" t="n"/>
      <c r="H28" s="344" t="str">
        <f>IF(G28="","",F28-G28)</f>
        <v/>
      </c>
      <c r="I28" s="355" t="str">
        <f>IF(6&gt;締月,"",IF(OR(D28="",G28=""),"出納計算表 未入力",IF(AND(E28=0,H28=0),"OK","NG　差額あり")))</f>
        <v>出納計算表 未入力</v>
      </c>
    </row>
    <row r="29">
      <c r="B29" s="352" t="inlineStr">
        <is>
          <t>10月</t>
        </is>
      </c>
      <c r="C29" s="353">
        <f>'費用収益表_業務短期'!I38</f>
        <v>2454418</v>
      </c>
      <c r="D29" s="354" t="n"/>
      <c r="E29" s="344" t="str">
        <f>IF(D29="","",C29-D29)</f>
        <v/>
      </c>
      <c r="F29" s="353">
        <f>'費用収益表_業務短期'!I46</f>
        <v>2477000</v>
      </c>
      <c r="G29" s="354" t="n"/>
      <c r="H29" s="344" t="str">
        <f>IF(G29="","",F29-G29)</f>
        <v/>
      </c>
      <c r="I29" s="355" t="str">
        <f>IF(7&gt;締月,"",IF(OR(D29="",G29=""),"出納計算表 未入力",IF(AND(E29=0,H29=0),"OK","NG　差額あり")))</f>
        <v/>
      </c>
    </row>
    <row r="30">
      <c r="B30" s="352" t="inlineStr">
        <is>
          <t>11月</t>
        </is>
      </c>
      <c r="C30" s="353">
        <f>'費用収益表_業務短期'!J38</f>
        <v>2501632</v>
      </c>
      <c r="D30" s="354" t="n"/>
      <c r="E30" s="344" t="str">
        <f>IF(D30="","",C30-D30)</f>
        <v/>
      </c>
      <c r="F30" s="353">
        <f>'費用収益表_業務短期'!J46</f>
        <v>2228000</v>
      </c>
      <c r="G30" s="354" t="n"/>
      <c r="H30" s="344" t="str">
        <f>IF(G30="","",F30-G30)</f>
        <v/>
      </c>
      <c r="I30" s="355" t="str">
        <f>IF(8&gt;締月,"",IF(OR(D30="",G30=""),"出納計算表 未入力",IF(AND(E30=0,H30=0),"OK","NG　差額あり")))</f>
        <v/>
      </c>
    </row>
    <row r="31">
      <c r="B31" s="352" t="inlineStr">
        <is>
          <t>12月</t>
        </is>
      </c>
      <c r="C31" s="353">
        <f>'費用収益表_業務短期'!K38</f>
        <v>5009376</v>
      </c>
      <c r="D31" s="354" t="n"/>
      <c r="E31" s="344" t="str">
        <f>IF(D31="","",C31-D31)</f>
        <v/>
      </c>
      <c r="F31" s="353">
        <f>'費用収益表_業務短期'!K46</f>
        <v>2894000</v>
      </c>
      <c r="G31" s="354" t="n"/>
      <c r="H31" s="344" t="str">
        <f>IF(G31="","",F31-G31)</f>
        <v/>
      </c>
      <c r="I31" s="355" t="str">
        <f>IF(9&gt;締月,"",IF(OR(D31="",G31=""),"出納計算表 未入力",IF(AND(E31=0,H31=0),"OK","NG　差額あり")))</f>
        <v/>
      </c>
    </row>
    <row r="32">
      <c r="B32" s="352" t="inlineStr">
        <is>
          <t>1月</t>
        </is>
      </c>
      <c r="C32" s="353">
        <f>'費用収益表_業務短期'!L38</f>
        <v>2079276</v>
      </c>
      <c r="D32" s="354" t="n"/>
      <c r="E32" s="344" t="str">
        <f>IF(D32="","",C32-D32)</f>
        <v/>
      </c>
      <c r="F32" s="353">
        <f>'費用収益表_業務短期'!L46</f>
        <v>2560000</v>
      </c>
      <c r="G32" s="354" t="n"/>
      <c r="H32" s="344" t="str">
        <f>IF(G32="","",F32-G32)</f>
        <v/>
      </c>
      <c r="I32" s="355" t="str">
        <f>IF(10&gt;締月,"",IF(OR(D32="",G32=""),"出納計算表 未入力",IF(AND(E32=0,H32=0),"OK","NG　差額あり")))</f>
        <v/>
      </c>
    </row>
    <row r="33">
      <c r="B33" s="352" t="inlineStr">
        <is>
          <t>2月</t>
        </is>
      </c>
      <c r="C33" s="353">
        <f>'費用収益表_業務短期'!M38</f>
        <v>2212970</v>
      </c>
      <c r="D33" s="354" t="n"/>
      <c r="E33" s="344" t="str">
        <f>IF(D33="","",C33-D33)</f>
        <v/>
      </c>
      <c r="F33" s="353">
        <f>'費用収益表_業務短期'!M46</f>
        <v>2209000</v>
      </c>
      <c r="G33" s="354" t="n"/>
      <c r="H33" s="344" t="str">
        <f>IF(G33="","",F33-G33)</f>
        <v/>
      </c>
      <c r="I33" s="355" t="str">
        <f>IF(11&gt;締月,"",IF(OR(D33="",G33=""),"出納計算表 未入力",IF(AND(E33=0,H33=0),"OK","NG　差額あり")))</f>
        <v/>
      </c>
    </row>
    <row r="34">
      <c r="B34" s="352" t="inlineStr">
        <is>
          <t>3月</t>
        </is>
      </c>
      <c r="C34" s="353">
        <f>'費用収益表_業務短期'!N38</f>
        <v>2135536</v>
      </c>
      <c r="D34" s="354" t="n"/>
      <c r="E34" s="344" t="str">
        <f>IF(D34="","",C34-D34)</f>
        <v/>
      </c>
      <c r="F34" s="353">
        <f>'費用収益表_業務短期'!N46</f>
        <v>3606000</v>
      </c>
      <c r="G34" s="354" t="n"/>
      <c r="H34" s="344" t="str">
        <f>IF(G34="","",F34-G34)</f>
        <v/>
      </c>
      <c r="I34" s="355" t="str">
        <f>IF(12&gt;締月,"",IF(OR(D34="",G34=""),"出納計算表 未入力",IF(AND(E34=0,H34=0),"OK","NG　差額あり")))</f>
        <v/>
      </c>
    </row>
    <row r="35">
      <c r="B35" s="352" t="inlineStr">
        <is>
          <t>4月(未払)</t>
        </is>
      </c>
      <c r="C35" s="353">
        <f>'費用収益表_業務短期'!O38</f>
        <v>3204092</v>
      </c>
      <c r="D35" s="354" t="n"/>
      <c r="E35" s="344" t="str">
        <f>IF(D35="","",C35-D35)</f>
        <v/>
      </c>
      <c r="F35" s="353">
        <f>'費用収益表_業務短期'!O46</f>
        <v>9655506</v>
      </c>
      <c r="G35" s="354" t="n"/>
      <c r="H35" s="344" t="str">
        <f>IF(G35="","",F35-G35)</f>
        <v/>
      </c>
      <c r="I35" s="355" t="str">
        <f>IF(13&gt;締月,"",IF(OR(D35="",G35=""),"出納計算表 未入力",IF(AND(E35=0,H35=0),"OK","NG　差額あり")))</f>
        <v/>
      </c>
    </row>
    <row r="36">
      <c r="B36" s="346" t="inlineStr">
        <is>
          <t>締め月までの合計</t>
        </is>
      </c>
      <c r="C36" s="356">
        <f>SUMPRODUCT((ROW(C23:C35)-23+1&lt;=締月)*C23:C35)</f>
        <v>35828830</v>
      </c>
      <c r="D36" s="356">
        <f>SUMPRODUCT((ROW(D23:D35)-23+1&lt;=締月)*D23:D35)</f>
        <v>0</v>
      </c>
      <c r="E36" s="357">
        <f>C36-D36</f>
        <v>35828830</v>
      </c>
      <c r="F36" s="356">
        <f>SUMPRODUCT((ROW(F23:F35)-23+1&lt;=締月)*F23:F35)</f>
        <v>24697000</v>
      </c>
      <c r="G36" s="356">
        <f>SUMPRODUCT((ROW(G23:G35)-23+1&lt;=締月)*G23:G35)</f>
        <v>0</v>
      </c>
      <c r="H36" s="357">
        <f>F36-G36</f>
        <v>24697000</v>
      </c>
      <c r="I36" s="358" t="n"/>
    </row>
    <row r="38">
      <c r="B38" s="349" t="inlineStr">
        <is>
          <t>業務経理（長期）</t>
        </is>
      </c>
      <c r="C38" s="350" t="n"/>
      <c r="D38" s="350" t="n"/>
      <c r="E38" s="350" t="n"/>
      <c r="F38" s="350" t="n"/>
      <c r="G38" s="350" t="n"/>
      <c r="H38" s="350" t="n"/>
      <c r="I38" s="351" t="n"/>
    </row>
    <row r="39" ht="18" customHeight="1" s="322">
      <c r="B39" s="327" t="inlineStr">
        <is>
          <t>月</t>
        </is>
      </c>
      <c r="C39" s="327" t="inlineStr">
        <is>
          <t>費用</t>
        </is>
      </c>
      <c r="D39" s="341" t="n"/>
      <c r="E39" s="342" t="n"/>
      <c r="F39" s="327" t="inlineStr">
        <is>
          <t>収益</t>
        </is>
      </c>
      <c r="G39" s="341" t="n"/>
      <c r="H39" s="342" t="n"/>
      <c r="I39" s="327" t="inlineStr">
        <is>
          <t>判定</t>
        </is>
      </c>
    </row>
    <row r="40" ht="18" customHeight="1" s="322">
      <c r="B40" s="327" t="inlineStr"/>
      <c r="C40" s="327" t="inlineStr">
        <is>
          <t>費用収益表</t>
        </is>
      </c>
      <c r="D40" s="327" t="inlineStr">
        <is>
          <t>出納計算表</t>
        </is>
      </c>
      <c r="E40" s="327" t="inlineStr">
        <is>
          <t>差額</t>
        </is>
      </c>
      <c r="F40" s="327" t="inlineStr">
        <is>
          <t>費用収益表</t>
        </is>
      </c>
      <c r="G40" s="327" t="inlineStr">
        <is>
          <t>出納計算表</t>
        </is>
      </c>
      <c r="H40" s="327" t="inlineStr">
        <is>
          <t>差額</t>
        </is>
      </c>
      <c r="I40" s="327" t="inlineStr"/>
    </row>
    <row r="41">
      <c r="B41" s="352" t="inlineStr">
        <is>
          <t>4月</t>
        </is>
      </c>
      <c r="C41" s="353">
        <f>'費用収益表_業務長期'!C38</f>
        <v>412079</v>
      </c>
      <c r="D41" s="354" t="n"/>
      <c r="E41" s="344" t="str">
        <f>IF(D41="","",C41-D41)</f>
        <v/>
      </c>
      <c r="F41" s="353">
        <f>'費用収益表_業務長期'!C46</f>
        <v>4513000</v>
      </c>
      <c r="G41" s="354" t="n"/>
      <c r="H41" s="344" t="str">
        <f>IF(G41="","",F41-G41)</f>
        <v/>
      </c>
      <c r="I41" s="355" t="str">
        <f>IF(1&gt;締月,"",IF(OR(D41="",G41=""),"出納計算表 未入力",IF(AND(E41=0,H41=0),"OK","NG　差額あり")))</f>
        <v>出納計算表 未入力</v>
      </c>
    </row>
    <row r="42">
      <c r="B42" s="352" t="inlineStr">
        <is>
          <t>5月</t>
        </is>
      </c>
      <c r="C42" s="353">
        <f>'費用収益表_業務長期'!D38</f>
        <v>6019213</v>
      </c>
      <c r="D42" s="354" t="n"/>
      <c r="E42" s="344" t="str">
        <f>IF(D42="","",C42-D42)</f>
        <v/>
      </c>
      <c r="F42" s="353">
        <f>'費用収益表_業務長期'!D46</f>
        <v>9026000</v>
      </c>
      <c r="G42" s="354" t="n"/>
      <c r="H42" s="344" t="str">
        <f>IF(G42="","",F42-G42)</f>
        <v/>
      </c>
      <c r="I42" s="355" t="str">
        <f>IF(2&gt;締月,"",IF(OR(D42="",G42=""),"出納計算表 未入力",IF(AND(E42=0,H42=0),"OK","NG　差額あり")))</f>
        <v>出納計算表 未入力</v>
      </c>
    </row>
    <row r="43">
      <c r="B43" s="352" t="inlineStr">
        <is>
          <t>6月</t>
        </is>
      </c>
      <c r="C43" s="353">
        <f>'費用収益表_業務長期'!E38</f>
        <v>6989919</v>
      </c>
      <c r="D43" s="354" t="n"/>
      <c r="E43" s="344" t="str">
        <f>IF(D43="","",C43-D43)</f>
        <v/>
      </c>
      <c r="F43" s="353">
        <f>'費用収益表_業務長期'!E46</f>
        <v>10732000</v>
      </c>
      <c r="G43" s="354" t="n"/>
      <c r="H43" s="344" t="str">
        <f>IF(G43="","",F43-G43)</f>
        <v/>
      </c>
      <c r="I43" s="355" t="str">
        <f>IF(3&gt;締月,"",IF(OR(D43="",G43=""),"出納計算表 未入力",IF(AND(E43=0,H43=0),"OK","NG　差額あり")))</f>
        <v>出納計算表 未入力</v>
      </c>
    </row>
    <row r="44">
      <c r="B44" s="352" t="inlineStr">
        <is>
          <t>7月</t>
        </is>
      </c>
      <c r="C44" s="353">
        <f>'費用収益表_業務長期'!F38</f>
        <v>7671974</v>
      </c>
      <c r="D44" s="354" t="n"/>
      <c r="E44" s="344" t="str">
        <f>IF(D44="","",C44-D44)</f>
        <v/>
      </c>
      <c r="F44" s="353">
        <f>'費用収益表_業務長期'!F46</f>
        <v>13189000</v>
      </c>
      <c r="G44" s="354" t="n"/>
      <c r="H44" s="344" t="str">
        <f>IF(G44="","",F44-G44)</f>
        <v/>
      </c>
      <c r="I44" s="355" t="str">
        <f>IF(4&gt;締月,"",IF(OR(D44="",G44=""),"出納計算表 未入力",IF(AND(E44=0,H44=0),"OK","NG　差額あり")))</f>
        <v>出納計算表 未入力</v>
      </c>
    </row>
    <row r="45">
      <c r="B45" s="352" t="inlineStr">
        <is>
          <t>8月</t>
        </is>
      </c>
      <c r="C45" s="353">
        <f>'費用収益表_業務長期'!G38</f>
        <v>7267746</v>
      </c>
      <c r="D45" s="354" t="n"/>
      <c r="E45" s="344" t="str">
        <f>IF(D45="","",C45-D45)</f>
        <v/>
      </c>
      <c r="F45" s="353">
        <f>'費用収益表_業務長期'!G46</f>
        <v>9879000</v>
      </c>
      <c r="G45" s="354" t="n"/>
      <c r="H45" s="344" t="str">
        <f>IF(G45="","",F45-G45)</f>
        <v/>
      </c>
      <c r="I45" s="355" t="str">
        <f>IF(5&gt;締月,"",IF(OR(D45="",G45=""),"出納計算表 未入力",IF(AND(E45=0,H45=0),"OK","NG　差額あり")))</f>
        <v>出納計算表 未入力</v>
      </c>
    </row>
    <row r="46">
      <c r="B46" s="352" t="inlineStr">
        <is>
          <t>9月</t>
        </is>
      </c>
      <c r="C46" s="353">
        <f>'費用収益表_業務長期'!H38</f>
        <v>6563868</v>
      </c>
      <c r="D46" s="354" t="n"/>
      <c r="E46" s="344" t="str">
        <f>IF(D46="","",C46-D46)</f>
        <v/>
      </c>
      <c r="F46" s="353">
        <f>'費用収益表_業務長期'!H46</f>
        <v>9882148</v>
      </c>
      <c r="G46" s="354" t="n"/>
      <c r="H46" s="344" t="str">
        <f>IF(G46="","",F46-G46)</f>
        <v/>
      </c>
      <c r="I46" s="355" t="str">
        <f>IF(6&gt;締月,"",IF(OR(D46="",G46=""),"出納計算表 未入力",IF(AND(E46=0,H46=0),"OK","NG　差額あり")))</f>
        <v>出納計算表 未入力</v>
      </c>
    </row>
    <row r="47">
      <c r="B47" s="352" t="inlineStr">
        <is>
          <t>10月</t>
        </is>
      </c>
      <c r="C47" s="353">
        <f>'費用収益表_業務長期'!I38</f>
        <v>5598151</v>
      </c>
      <c r="D47" s="354" t="n"/>
      <c r="E47" s="344" t="str">
        <f>IF(D47="","",C47-D47)</f>
        <v/>
      </c>
      <c r="F47" s="353">
        <f>'費用収益表_業務長期'!I46</f>
        <v>4513000</v>
      </c>
      <c r="G47" s="354" t="n"/>
      <c r="H47" s="344" t="str">
        <f>IF(G47="","",F47-G47)</f>
        <v/>
      </c>
      <c r="I47" s="355" t="str">
        <f>IF(7&gt;締月,"",IF(OR(D47="",G47=""),"出納計算表 未入力",IF(AND(E47=0,H47=0),"OK","NG　差額あり")))</f>
        <v/>
      </c>
    </row>
    <row r="48">
      <c r="B48" s="352" t="inlineStr">
        <is>
          <t>11月</t>
        </is>
      </c>
      <c r="C48" s="353">
        <f>'費用収益表_業務長期'!J38</f>
        <v>6657637</v>
      </c>
      <c r="D48" s="354" t="n"/>
      <c r="E48" s="344" t="str">
        <f>IF(D48="","",C48-D48)</f>
        <v/>
      </c>
      <c r="F48" s="353">
        <f>'費用収益表_業務長期'!J46</f>
        <v>4251590</v>
      </c>
      <c r="G48" s="354" t="n"/>
      <c r="H48" s="344" t="str">
        <f>IF(G48="","",F48-G48)</f>
        <v/>
      </c>
      <c r="I48" s="355" t="str">
        <f>IF(8&gt;締月,"",IF(OR(D48="",G48=""),"出納計算表 未入力",IF(AND(E48=0,H48=0),"OK","NG　差額あり")))</f>
        <v/>
      </c>
    </row>
    <row r="49">
      <c r="B49" s="352" t="inlineStr">
        <is>
          <t>12月</t>
        </is>
      </c>
      <c r="C49" s="353">
        <f>'費用収益表_業務長期'!K38</f>
        <v>6162473</v>
      </c>
      <c r="D49" s="354" t="n"/>
      <c r="E49" s="344" t="str">
        <f>IF(D49="","",C49-D49)</f>
        <v/>
      </c>
      <c r="F49" s="353">
        <f>'費用収益表_業務長期'!K46</f>
        <v>4513000</v>
      </c>
      <c r="G49" s="354" t="n"/>
      <c r="H49" s="344" t="str">
        <f>IF(G49="","",F49-G49)</f>
        <v/>
      </c>
      <c r="I49" s="355" t="str">
        <f>IF(9&gt;締月,"",IF(OR(D49="",G49=""),"出納計算表 未入力",IF(AND(E49=0,H49=0),"OK","NG　差額あり")))</f>
        <v/>
      </c>
    </row>
    <row r="50">
      <c r="B50" s="352" t="inlineStr">
        <is>
          <t>1月</t>
        </is>
      </c>
      <c r="C50" s="353">
        <f>'費用収益表_業務長期'!L38</f>
        <v>6712949</v>
      </c>
      <c r="D50" s="354" t="n"/>
      <c r="E50" s="344" t="str">
        <f>IF(D50="","",C50-D50)</f>
        <v/>
      </c>
      <c r="F50" s="353">
        <f>'費用収益表_業務長期'!L46</f>
        <v>4513000</v>
      </c>
      <c r="G50" s="354" t="n"/>
      <c r="H50" s="344" t="str">
        <f>IF(G50="","",F50-G50)</f>
        <v/>
      </c>
      <c r="I50" s="355" t="str">
        <f>IF(10&gt;締月,"",IF(OR(D50="",G50=""),"出納計算表 未入力",IF(AND(E50=0,H50=0),"OK","NG　差額あり")))</f>
        <v/>
      </c>
    </row>
    <row r="51">
      <c r="B51" s="352" t="inlineStr">
        <is>
          <t>2月</t>
        </is>
      </c>
      <c r="C51" s="353">
        <f>'費用収益表_業務長期'!M38</f>
        <v>6080259</v>
      </c>
      <c r="D51" s="354" t="n"/>
      <c r="E51" s="344" t="str">
        <f>IF(D51="","",C51-D51)</f>
        <v/>
      </c>
      <c r="F51" s="353">
        <f>'費用収益表_業務長期'!M46</f>
        <v>4513000</v>
      </c>
      <c r="G51" s="354" t="n"/>
      <c r="H51" s="344" t="str">
        <f>IF(G51="","",F51-G51)</f>
        <v/>
      </c>
      <c r="I51" s="355" t="str">
        <f>IF(11&gt;締月,"",IF(OR(D51="",G51=""),"出納計算表 未入力",IF(AND(E51=0,H51=0),"OK","NG　差額あり")))</f>
        <v/>
      </c>
    </row>
    <row r="52">
      <c r="B52" s="352" t="inlineStr">
        <is>
          <t>3月</t>
        </is>
      </c>
      <c r="C52" s="353">
        <f>'費用収益表_業務長期'!N38</f>
        <v>10698750</v>
      </c>
      <c r="D52" s="354" t="n"/>
      <c r="E52" s="344" t="str">
        <f>IF(D52="","",C52-D52)</f>
        <v/>
      </c>
      <c r="F52" s="353">
        <f>'費用収益表_業務長期'!N46</f>
        <v>4585258</v>
      </c>
      <c r="G52" s="354" t="n"/>
      <c r="H52" s="344" t="str">
        <f>IF(G52="","",F52-G52)</f>
        <v/>
      </c>
      <c r="I52" s="355" t="str">
        <f>IF(12&gt;締月,"",IF(OR(D52="",G52=""),"出納計算表 未入力",IF(AND(E52=0,H52=0),"OK","NG　差額あり")))</f>
        <v/>
      </c>
    </row>
    <row r="53">
      <c r="B53" s="352" t="inlineStr">
        <is>
          <t>4月(未払)</t>
        </is>
      </c>
      <c r="C53" s="353">
        <f>'費用収益表_業務長期'!O38</f>
        <v>784007</v>
      </c>
      <c r="D53" s="354" t="n"/>
      <c r="E53" s="344" t="str">
        <f>IF(D53="","",C53-D53)</f>
        <v/>
      </c>
      <c r="F53" s="353">
        <f>'費用収益表_業務長期'!O46</f>
        <v>0</v>
      </c>
      <c r="G53" s="354" t="n"/>
      <c r="H53" s="344" t="str">
        <f>IF(G53="","",F53-G53)</f>
        <v/>
      </c>
      <c r="I53" s="355" t="str">
        <f>IF(13&gt;締月,"",IF(OR(D53="",G53=""),"出納計算表 未入力",IF(AND(E53=0,H53=0),"OK","NG　差額あり")))</f>
        <v/>
      </c>
    </row>
    <row r="54">
      <c r="B54" s="346" t="inlineStr">
        <is>
          <t>締め月までの合計</t>
        </is>
      </c>
      <c r="C54" s="356">
        <f>SUMPRODUCT((ROW(C41:C53)-41+1&lt;=締月)*C41:C53)</f>
        <v>34924799</v>
      </c>
      <c r="D54" s="356">
        <f>SUMPRODUCT((ROW(D41:D53)-41+1&lt;=締月)*D41:D53)</f>
        <v>0</v>
      </c>
      <c r="E54" s="357">
        <f>C54-D54</f>
        <v>34924799</v>
      </c>
      <c r="F54" s="356">
        <f>SUMPRODUCT((ROW(F41:F53)-41+1&lt;=締月)*F41:F53)</f>
        <v>57221148</v>
      </c>
      <c r="G54" s="356">
        <f>SUMPRODUCT((ROW(G41:G53)-41+1&lt;=締月)*G41:G53)</f>
        <v>0</v>
      </c>
      <c r="H54" s="357">
        <f>F54-G54</f>
        <v>57221148</v>
      </c>
      <c r="I54" s="358" t="n"/>
    </row>
    <row r="56">
      <c r="B56" s="349" t="inlineStr">
        <is>
          <t>貸付経理</t>
        </is>
      </c>
      <c r="C56" s="350" t="n"/>
      <c r="D56" s="350" t="n"/>
      <c r="E56" s="350" t="n"/>
      <c r="F56" s="350" t="n"/>
      <c r="G56" s="350" t="n"/>
      <c r="H56" s="350" t="n"/>
      <c r="I56" s="351" t="n"/>
    </row>
    <row r="57" ht="18" customHeight="1" s="322">
      <c r="B57" s="327" t="inlineStr">
        <is>
          <t>月</t>
        </is>
      </c>
      <c r="C57" s="327" t="inlineStr">
        <is>
          <t>費用</t>
        </is>
      </c>
      <c r="D57" s="341" t="n"/>
      <c r="E57" s="342" t="n"/>
      <c r="F57" s="327" t="inlineStr">
        <is>
          <t>収益</t>
        </is>
      </c>
      <c r="G57" s="341" t="n"/>
      <c r="H57" s="342" t="n"/>
      <c r="I57" s="327" t="inlineStr">
        <is>
          <t>判定</t>
        </is>
      </c>
    </row>
    <row r="58" ht="18" customHeight="1" s="322">
      <c r="B58" s="327" t="inlineStr"/>
      <c r="C58" s="327" t="inlineStr">
        <is>
          <t>費用収益表</t>
        </is>
      </c>
      <c r="D58" s="327" t="inlineStr">
        <is>
          <t>出納計算表</t>
        </is>
      </c>
      <c r="E58" s="327" t="inlineStr">
        <is>
          <t>差額</t>
        </is>
      </c>
      <c r="F58" s="327" t="inlineStr">
        <is>
          <t>費用収益表</t>
        </is>
      </c>
      <c r="G58" s="327" t="inlineStr">
        <is>
          <t>出納計算表</t>
        </is>
      </c>
      <c r="H58" s="327" t="inlineStr">
        <is>
          <t>差額</t>
        </is>
      </c>
      <c r="I58" s="327" t="inlineStr"/>
    </row>
    <row r="59">
      <c r="B59" s="352" t="inlineStr">
        <is>
          <t>4月</t>
        </is>
      </c>
      <c r="C59" s="353">
        <f>'費用収益表_貸付'!C31</f>
        <v>542066</v>
      </c>
      <c r="D59" s="354" t="n"/>
      <c r="E59" s="344" t="str">
        <f>IF(D59="","",C59-D59)</f>
        <v/>
      </c>
      <c r="F59" s="353">
        <f>'費用収益表_貸付'!C36</f>
        <v>809638</v>
      </c>
      <c r="G59" s="354" t="n"/>
      <c r="H59" s="344" t="str">
        <f>IF(G59="","",F59-G59)</f>
        <v/>
      </c>
      <c r="I59" s="355" t="str">
        <f>IF(1&gt;締月,"",IF(OR(D59="",G59=""),"出納計算表 未入力",IF(AND(E59=0,H59=0),"OK","NG　差額あり")))</f>
        <v>出納計算表 未入力</v>
      </c>
    </row>
    <row r="60">
      <c r="B60" s="352" t="inlineStr">
        <is>
          <t>5月</t>
        </is>
      </c>
      <c r="C60" s="353">
        <f>'費用収益表_貸付'!D31</f>
        <v>962591</v>
      </c>
      <c r="D60" s="354" t="n"/>
      <c r="E60" s="344" t="str">
        <f>IF(D60="","",C60-D60)</f>
        <v/>
      </c>
      <c r="F60" s="353">
        <f>'費用収益表_貸付'!D36</f>
        <v>894954</v>
      </c>
      <c r="G60" s="354" t="n"/>
      <c r="H60" s="344" t="str">
        <f>IF(G60="","",F60-G60)</f>
        <v/>
      </c>
      <c r="I60" s="355" t="str">
        <f>IF(2&gt;締月,"",IF(OR(D60="",G60=""),"出納計算表 未入力",IF(AND(E60=0,H60=0),"OK","NG　差額あり")))</f>
        <v>出納計算表 未入力</v>
      </c>
    </row>
    <row r="61">
      <c r="B61" s="352" t="inlineStr">
        <is>
          <t>6月</t>
        </is>
      </c>
      <c r="C61" s="353">
        <f>'費用収益表_貸付'!E31</f>
        <v>1900656</v>
      </c>
      <c r="D61" s="354" t="n"/>
      <c r="E61" s="344" t="str">
        <f>IF(D61="","",C61-D61)</f>
        <v/>
      </c>
      <c r="F61" s="353">
        <f>'費用収益表_貸付'!E36</f>
        <v>974223</v>
      </c>
      <c r="G61" s="354" t="n"/>
      <c r="H61" s="344" t="str">
        <f>IF(G61="","",F61-G61)</f>
        <v/>
      </c>
      <c r="I61" s="355" t="str">
        <f>IF(3&gt;締月,"",IF(OR(D61="",G61=""),"出納計算表 未入力",IF(AND(E61=0,H61=0),"OK","NG　差額あり")))</f>
        <v>出納計算表 未入力</v>
      </c>
    </row>
    <row r="62">
      <c r="B62" s="352" t="inlineStr">
        <is>
          <t>7月</t>
        </is>
      </c>
      <c r="C62" s="353">
        <f>'費用収益表_貸付'!F31</f>
        <v>1106995</v>
      </c>
      <c r="D62" s="354" t="n"/>
      <c r="E62" s="344" t="str">
        <f>IF(D62="","",C62-D62)</f>
        <v/>
      </c>
      <c r="F62" s="353">
        <f>'費用収益表_貸付'!F36</f>
        <v>632156</v>
      </c>
      <c r="G62" s="354" t="n"/>
      <c r="H62" s="344" t="str">
        <f>IF(G62="","",F62-G62)</f>
        <v/>
      </c>
      <c r="I62" s="355" t="str">
        <f>IF(4&gt;締月,"",IF(OR(D62="",G62=""),"出納計算表 未入力",IF(AND(E62=0,H62=0),"OK","NG　差額あり")))</f>
        <v>出納計算表 未入力</v>
      </c>
    </row>
    <row r="63">
      <c r="B63" s="352" t="inlineStr">
        <is>
          <t>8月</t>
        </is>
      </c>
      <c r="C63" s="353">
        <f>'費用収益表_貸付'!G31</f>
        <v>1423062</v>
      </c>
      <c r="D63" s="354" t="n"/>
      <c r="E63" s="344" t="str">
        <f>IF(D63="","",C63-D63)</f>
        <v/>
      </c>
      <c r="F63" s="353">
        <f>'費用収益表_貸付'!G36</f>
        <v>829696</v>
      </c>
      <c r="G63" s="354" t="n"/>
      <c r="H63" s="344" t="str">
        <f>IF(G63="","",F63-G63)</f>
        <v/>
      </c>
      <c r="I63" s="355" t="str">
        <f>IF(5&gt;締月,"",IF(OR(D63="",G63=""),"出納計算表 未入力",IF(AND(E63=0,H63=0),"OK","NG　差額あり")))</f>
        <v>出納計算表 未入力</v>
      </c>
    </row>
    <row r="64">
      <c r="B64" s="352" t="inlineStr">
        <is>
          <t>9月</t>
        </is>
      </c>
      <c r="C64" s="353">
        <f>'費用収益表_貸付'!H31</f>
        <v>1089403</v>
      </c>
      <c r="D64" s="354" t="n"/>
      <c r="E64" s="344" t="str">
        <f>IF(D64="","",C64-D64)</f>
        <v/>
      </c>
      <c r="F64" s="353">
        <f>'費用収益表_貸付'!H36</f>
        <v>802084</v>
      </c>
      <c r="G64" s="354" t="n"/>
      <c r="H64" s="344" t="str">
        <f>IF(G64="","",F64-G64)</f>
        <v/>
      </c>
      <c r="I64" s="355" t="str">
        <f>IF(6&gt;締月,"",IF(OR(D64="",G64=""),"出納計算表 未入力",IF(AND(E64=0,H64=0),"OK","NG　差額あり")))</f>
        <v>出納計算表 未入力</v>
      </c>
    </row>
    <row r="65">
      <c r="B65" s="352" t="inlineStr">
        <is>
          <t>10月</t>
        </is>
      </c>
      <c r="C65" s="353">
        <f>'費用収益表_貸付'!I31</f>
        <v>1080718</v>
      </c>
      <c r="D65" s="354" t="n"/>
      <c r="E65" s="344" t="str">
        <f>IF(D65="","",C65-D65)</f>
        <v/>
      </c>
      <c r="F65" s="353">
        <f>'費用収益表_貸付'!I36</f>
        <v>838256</v>
      </c>
      <c r="G65" s="354" t="n"/>
      <c r="H65" s="344" t="str">
        <f>IF(G65="","",F65-G65)</f>
        <v/>
      </c>
      <c r="I65" s="355" t="str">
        <f>IF(7&gt;締月,"",IF(OR(D65="",G65=""),"出納計算表 未入力",IF(AND(E65=0,H65=0),"OK","NG　差額あり")))</f>
        <v/>
      </c>
    </row>
    <row r="66">
      <c r="B66" s="352" t="inlineStr">
        <is>
          <t>11月</t>
        </is>
      </c>
      <c r="C66" s="353">
        <f>'費用収益表_貸付'!J31</f>
        <v>913437</v>
      </c>
      <c r="D66" s="354" t="n"/>
      <c r="E66" s="344" t="str">
        <f>IF(D66="","",C66-D66)</f>
        <v/>
      </c>
      <c r="F66" s="353">
        <f>'費用収益表_貸付'!J36</f>
        <v>820237</v>
      </c>
      <c r="G66" s="354" t="n"/>
      <c r="H66" s="344" t="str">
        <f>IF(G66="","",F66-G66)</f>
        <v/>
      </c>
      <c r="I66" s="355" t="str">
        <f>IF(8&gt;締月,"",IF(OR(D66="",G66=""),"出納計算表 未入力",IF(AND(E66=0,H66=0),"OK","NG　差額あり")))</f>
        <v/>
      </c>
    </row>
    <row r="67">
      <c r="B67" s="352" t="inlineStr">
        <is>
          <t>12月</t>
        </is>
      </c>
      <c r="C67" s="353">
        <f>'費用収益表_貸付'!K31</f>
        <v>1921335</v>
      </c>
      <c r="D67" s="354" t="n"/>
      <c r="E67" s="344" t="str">
        <f>IF(D67="","",C67-D67)</f>
        <v/>
      </c>
      <c r="F67" s="353">
        <f>'費用収益表_貸付'!K36</f>
        <v>1204671</v>
      </c>
      <c r="G67" s="354" t="n"/>
      <c r="H67" s="344" t="str">
        <f>IF(G67="","",F67-G67)</f>
        <v/>
      </c>
      <c r="I67" s="355" t="str">
        <f>IF(9&gt;締月,"",IF(OR(D67="",G67=""),"出納計算表 未入力",IF(AND(E67=0,H67=0),"OK","NG　差額あり")))</f>
        <v/>
      </c>
    </row>
    <row r="68">
      <c r="B68" s="352" t="inlineStr">
        <is>
          <t>1月</t>
        </is>
      </c>
      <c r="C68" s="353">
        <f>'費用収益表_貸付'!L31</f>
        <v>1092749</v>
      </c>
      <c r="D68" s="354" t="n"/>
      <c r="E68" s="344" t="str">
        <f>IF(D68="","",C68-D68)</f>
        <v/>
      </c>
      <c r="F68" s="353">
        <f>'費用収益表_貸付'!L36</f>
        <v>814454</v>
      </c>
      <c r="G68" s="354" t="n"/>
      <c r="H68" s="344" t="str">
        <f>IF(G68="","",F68-G68)</f>
        <v/>
      </c>
      <c r="I68" s="355" t="str">
        <f>IF(10&gt;締月,"",IF(OR(D68="",G68=""),"出納計算表 未入力",IF(AND(E68=0,H68=0),"OK","NG　差額あり")))</f>
        <v/>
      </c>
    </row>
    <row r="69">
      <c r="B69" s="352" t="inlineStr">
        <is>
          <t>2月</t>
        </is>
      </c>
      <c r="C69" s="353">
        <f>'費用収益表_貸付'!M31</f>
        <v>1053997</v>
      </c>
      <c r="D69" s="354" t="n"/>
      <c r="E69" s="344" t="str">
        <f>IF(D69="","",C69-D69)</f>
        <v/>
      </c>
      <c r="F69" s="353">
        <f>'費用収益表_貸付'!M36</f>
        <v>834390</v>
      </c>
      <c r="G69" s="354" t="n"/>
      <c r="H69" s="344" t="str">
        <f>IF(G69="","",F69-G69)</f>
        <v/>
      </c>
      <c r="I69" s="355" t="str">
        <f>IF(11&gt;締月,"",IF(OR(D69="",G69=""),"出納計算表 未入力",IF(AND(E69=0,H69=0),"OK","NG　差額あり")))</f>
        <v/>
      </c>
    </row>
    <row r="70">
      <c r="B70" s="352" t="inlineStr">
        <is>
          <t>3月</t>
        </is>
      </c>
      <c r="C70" s="353">
        <f>'費用収益表_貸付'!N31</f>
        <v>1006894</v>
      </c>
      <c r="D70" s="354" t="n"/>
      <c r="E70" s="344" t="str">
        <f>IF(D70="","",C70-D70)</f>
        <v/>
      </c>
      <c r="F70" s="353">
        <f>'費用収益表_貸付'!N36</f>
        <v>801567</v>
      </c>
      <c r="G70" s="354" t="n"/>
      <c r="H70" s="344" t="str">
        <f>IF(G70="","",F70-G70)</f>
        <v/>
      </c>
      <c r="I70" s="355" t="str">
        <f>IF(12&gt;締月,"",IF(OR(D70="",G70=""),"出納計算表 未入力",IF(AND(E70=0,H70=0),"OK","NG　差額あり")))</f>
        <v/>
      </c>
    </row>
    <row r="71">
      <c r="B71" s="352" t="inlineStr">
        <is>
          <t>4月(未払)</t>
        </is>
      </c>
      <c r="C71" s="353">
        <f>'費用収益表_貸付'!O31</f>
        <v>595170</v>
      </c>
      <c r="D71" s="354" t="n"/>
      <c r="E71" s="344" t="str">
        <f>IF(D71="","",C71-D71)</f>
        <v/>
      </c>
      <c r="F71" s="353">
        <f>'費用収益表_貸付'!O36</f>
        <v>247126</v>
      </c>
      <c r="G71" s="354" t="n"/>
      <c r="H71" s="344" t="str">
        <f>IF(G71="","",F71-G71)</f>
        <v/>
      </c>
      <c r="I71" s="355" t="str">
        <f>IF(13&gt;締月,"",IF(OR(D71="",G71=""),"出納計算表 未入力",IF(AND(E71=0,H71=0),"OK","NG　差額あり")))</f>
        <v/>
      </c>
    </row>
    <row r="72">
      <c r="B72" s="346" t="inlineStr">
        <is>
          <t>締め月までの合計</t>
        </is>
      </c>
      <c r="C72" s="356">
        <f>SUMPRODUCT((ROW(C59:C71)-59+1&lt;=締月)*C59:C71)</f>
        <v>7024773</v>
      </c>
      <c r="D72" s="356">
        <f>SUMPRODUCT((ROW(D59:D71)-59+1&lt;=締月)*D59:D71)</f>
        <v>0</v>
      </c>
      <c r="E72" s="357">
        <f>C72-D72</f>
        <v>7024773</v>
      </c>
      <c r="F72" s="356">
        <f>SUMPRODUCT((ROW(F59:F71)-59+1&lt;=締月)*F59:F71)</f>
        <v>4942751</v>
      </c>
      <c r="G72" s="356">
        <f>SUMPRODUCT((ROW(G59:G71)-59+1&lt;=締月)*G59:G71)</f>
        <v>0</v>
      </c>
      <c r="H72" s="357">
        <f>F72-G72</f>
        <v>4942751</v>
      </c>
      <c r="I72" s="358" t="n"/>
    </row>
  </sheetData>
  <mergeCells count="20">
    <mergeCell ref="E12:I12"/>
    <mergeCell ref="C21:E21"/>
    <mergeCell ref="E14:I14"/>
    <mergeCell ref="B56:I56"/>
    <mergeCell ref="E10:I10"/>
    <mergeCell ref="C39:E39"/>
    <mergeCell ref="E13:I13"/>
    <mergeCell ref="G4:I4"/>
    <mergeCell ref="F39:H39"/>
    <mergeCell ref="E9:I9"/>
    <mergeCell ref="A1:J1"/>
    <mergeCell ref="E15:I15"/>
    <mergeCell ref="C57:E57"/>
    <mergeCell ref="D5:I5"/>
    <mergeCell ref="B38:I38"/>
    <mergeCell ref="F57:H57"/>
    <mergeCell ref="E11:I11"/>
    <mergeCell ref="B20:I20"/>
    <mergeCell ref="A2:J2"/>
    <mergeCell ref="F21:H21"/>
  </mergeCells>
  <conditionalFormatting sqref="G4:I4">
    <cfRule type="expression" priority="1" dxfId="0">
      <formula>検算!$F$3&gt;0</formula>
    </cfRule>
  </conditionalFormatting>
  <conditionalFormatting sqref="C15:D15">
    <cfRule type="expression" priority="2" dxfId="1">
      <formula>C15="OK"</formula>
    </cfRule>
    <cfRule type="expression" priority="3" dxfId="2">
      <formula>C15="要対応"</formula>
    </cfRule>
  </conditionalFormatting>
  <conditionalFormatting sqref="B23:I35">
    <cfRule type="expression" priority="4" dxfId="3">
      <formula>ROW()-23+1&gt;締月</formula>
    </cfRule>
  </conditionalFormatting>
  <conditionalFormatting sqref="I23:I35">
    <cfRule type="expression" priority="5" dxfId="4">
      <formula>LEFT(I23,2)="NG"</formula>
    </cfRule>
    <cfRule type="expression" priority="6" dxfId="1">
      <formula>I23="OK"</formula>
    </cfRule>
    <cfRule type="expression" priority="7" dxfId="5">
      <formula>RIGHT(I23,3)="未入力"</formula>
    </cfRule>
  </conditionalFormatting>
  <conditionalFormatting sqref="B41:I53">
    <cfRule type="expression" priority="8" dxfId="3">
      <formula>ROW()-41+1&gt;締月</formula>
    </cfRule>
  </conditionalFormatting>
  <conditionalFormatting sqref="I41:I53">
    <cfRule type="expression" priority="9" dxfId="4">
      <formula>LEFT(I41,2)="NG"</formula>
    </cfRule>
    <cfRule type="expression" priority="10" dxfId="1">
      <formula>I41="OK"</formula>
    </cfRule>
    <cfRule type="expression" priority="11" dxfId="5">
      <formula>RIGHT(I41,3)="未入力"</formula>
    </cfRule>
  </conditionalFormatting>
  <conditionalFormatting sqref="B59:I71">
    <cfRule type="expression" priority="12" dxfId="3">
      <formula>ROW()-59+1&gt;締月</formula>
    </cfRule>
  </conditionalFormatting>
  <conditionalFormatting sqref="I59:I71">
    <cfRule type="expression" priority="13" dxfId="4">
      <formula>LEFT(I59,2)="NG"</formula>
    </cfRule>
    <cfRule type="expression" priority="14" dxfId="1">
      <formula>I59="OK"</formula>
    </cfRule>
    <cfRule type="expression" priority="15" dxfId="5">
      <formula>RIGHT(I59,3)="未入力"</formula>
    </cfRule>
  </conditionalFormatting>
  <dataValidations count="1">
    <dataValidation sqref="C5" showDropDown="0" showInputMessage="0" showErrorMessage="1" allowBlank="0" type="list">
      <formula1>=科目表!$N$5:$N$18</formula1>
    </dataValidation>
  </dataValidations>
  <printOptions horizontalCentered="1"/>
  <pageMargins left="0.4" right="0.4" top="0.5" bottom="0.5" header="0.5" footer="0.5"/>
  <pageSetup orientation="portrait" paperSize="9" fitToHeight="0" fitToWidth="1"/>
</worksheet>
</file>

<file path=xl/worksheets/sheet3.xml><?xml version="1.0" encoding="utf-8"?>
<worksheet xmlns="http://schemas.openxmlformats.org/spreadsheetml/2006/main">
  <sheetPr>
    <tabColor rgb="002E75B6"/>
    <outlinePr summaryBelow="1" summaryRight="1"/>
    <pageSetUpPr fitToPage="1"/>
  </sheetPr>
  <dimension ref="A1:R1604"/>
  <sheetViews>
    <sheetView showGridLines="0" tabSelected="0" workbookViewId="0">
      <pane xSplit="6" ySplit="4" topLeftCell="G5" activePane="bottomRight" state="frozen"/>
      <selection pane="topRight"/>
      <selection pane="bottomLeft"/>
      <selection pane="bottomRight" activeCell="A1" sqref="A1"/>
    </sheetView>
  </sheetViews>
  <sheetFormatPr baseColWidth="8" defaultRowHeight="15"/>
  <cols>
    <col width="6" customWidth="1" style="322" min="1" max="1"/>
    <col width="9" customWidth="1" style="322" min="2" max="2"/>
    <col width="11" customWidth="1" style="322" min="3" max="3"/>
    <col width="14" customWidth="1" style="322" min="4" max="4"/>
    <col width="17" customWidth="1" style="322" min="5" max="5"/>
    <col width="50" customWidth="1" style="322" min="6" max="6"/>
    <col width="12" customWidth="1" style="322" min="7" max="7"/>
    <col width="8" customWidth="1" style="322" min="8" max="8"/>
    <col width="10" customWidth="1" style="322" min="9" max="9"/>
    <col width="11" customWidth="1" style="322" min="10" max="10"/>
    <col width="11" customWidth="1" style="322" min="11" max="11"/>
    <col width="10" customWidth="1" style="322" min="12" max="12"/>
    <col width="10" customWidth="1" style="322" min="13" max="13"/>
    <col width="11" customWidth="1" style="322" min="14" max="14"/>
    <col width="17" customWidth="1" style="322" min="15" max="15"/>
    <col width="7" customWidth="1" style="322" min="16" max="16"/>
    <col width="24" customWidth="1" style="322" min="17" max="17"/>
    <col width="12" customWidth="1" style="322" min="18" max="18"/>
  </cols>
  <sheetData>
    <row r="1" ht="26" customHeight="1" s="322">
      <c r="A1" s="323" t="inlineStr">
        <is>
          <t>入力_業務　業務経理 台帳（旧：管理簿「月例」「決算整理」を一本化）</t>
        </is>
      </c>
      <c r="B1" s="324" t="n"/>
      <c r="C1" s="324" t="n"/>
      <c r="D1" s="324" t="n"/>
      <c r="E1" s="324" t="n"/>
      <c r="F1" s="324" t="n"/>
      <c r="G1" s="324" t="n"/>
      <c r="H1" s="324" t="n"/>
      <c r="I1" s="324" t="n"/>
      <c r="J1" s="324" t="n"/>
      <c r="K1" s="324" t="n"/>
      <c r="L1" s="324" t="n"/>
      <c r="M1" s="324" t="n"/>
      <c r="N1" s="324" t="n"/>
      <c r="O1" s="324" t="n"/>
      <c r="P1" s="324" t="n"/>
      <c r="Q1" s="324" t="n"/>
      <c r="R1" s="324" t="n"/>
    </row>
    <row r="2" ht="30" customHeight="1" s="322">
      <c r="A2" s="325" t="inlineStr">
        <is>
          <t>支払担当者：昨年実績の行を今年の支払に直し、状態を「未確認」へ。　経理担当者：支払伝票を確認したら状態を「確認済」へ（旧：金額を青塗り）。　色は状態から自動で付きます（赤字＝昨年実績／黄＝未確認／青＝確認済）。　灰色の列は数式なので消さないでください。</t>
        </is>
      </c>
    </row>
    <row r="3" ht="6" customHeight="1" s="322"/>
    <row r="4" ht="24" customHeight="1" s="322">
      <c r="A4" s="327" t="inlineStr">
        <is>
          <t>No</t>
        </is>
      </c>
      <c r="B4" s="327" t="inlineStr">
        <is>
          <t>種別</t>
        </is>
      </c>
      <c r="C4" s="327" t="inlineStr">
        <is>
          <t>支払日</t>
        </is>
      </c>
      <c r="D4" s="327" t="inlineStr">
        <is>
          <t>中項目</t>
        </is>
      </c>
      <c r="E4" s="327" t="inlineStr">
        <is>
          <t>小項目</t>
        </is>
      </c>
      <c r="F4" s="327" t="inlineStr">
        <is>
          <t>摘要</t>
        </is>
      </c>
      <c r="G4" s="327" t="inlineStr">
        <is>
          <t>金額</t>
        </is>
      </c>
      <c r="H4" s="327" t="inlineStr">
        <is>
          <t>経費区分</t>
        </is>
      </c>
      <c r="I4" s="327" t="inlineStr">
        <is>
          <t>状態</t>
        </is>
      </c>
      <c r="J4" s="327" t="inlineStr">
        <is>
          <t>短期</t>
        </is>
      </c>
      <c r="K4" s="327" t="inlineStr">
        <is>
          <t>厚年</t>
        </is>
      </c>
      <c r="L4" s="327" t="inlineStr">
        <is>
          <t>経過的</t>
        </is>
      </c>
      <c r="M4" s="327" t="inlineStr">
        <is>
          <t>退職等</t>
        </is>
      </c>
      <c r="N4" s="327" t="inlineStr">
        <is>
          <t>長期計</t>
        </is>
      </c>
      <c r="O4" s="327" t="inlineStr">
        <is>
          <t>費用収益表の行</t>
        </is>
      </c>
      <c r="P4" s="327" t="inlineStr">
        <is>
          <t>計上列</t>
        </is>
      </c>
      <c r="Q4" s="327" t="inlineStr">
        <is>
          <t>点検</t>
        </is>
      </c>
      <c r="R4" s="327" t="inlineStr">
        <is>
          <t>元データ</t>
        </is>
      </c>
    </row>
    <row r="5">
      <c r="A5" s="359" t="n">
        <v>1</v>
      </c>
      <c r="B5" s="360" t="inlineStr">
        <is>
          <t>月例</t>
        </is>
      </c>
      <c r="C5" s="361" t="n">
        <v>45756</v>
      </c>
      <c r="D5" s="362" t="inlineStr">
        <is>
          <t>事務費</t>
        </is>
      </c>
      <c r="E5" s="362" t="inlineStr">
        <is>
          <t>通信運搬費</t>
        </is>
      </c>
      <c r="F5" s="362" t="inlineStr">
        <is>
          <t>切手</t>
        </is>
      </c>
      <c r="G5" s="363" t="n">
        <v>178000</v>
      </c>
      <c r="H5" s="360" t="n">
        <v>2</v>
      </c>
      <c r="I5" s="360" t="inlineStr">
        <is>
          <t>昨年実績</t>
        </is>
      </c>
      <c r="J5" s="364">
        <f>IF($G5="","",IF($H5=1,$G5-ROUND($G5*10/23,0)-2*ROUND($G5/23,0),IF($H5=2,$G5,0)))</f>
        <v>178000</v>
      </c>
      <c r="K5" s="364">
        <f>IF($G5="","",IF($H5=1,ROUND($G5*10/23,0),IF($H5=3,$G5-2*ROUND($G5/12,0),IF($H5=4,$G5,IF(OR($H5=5,$H5=7),ROUND($G5*10/11,0),0)))))</f>
        <v>0</v>
      </c>
      <c r="L5" s="364">
        <f>IF($G5="","",IF($H5=1,ROUND($G5/23,0),IF($H5=3,ROUND($G5/12,0),IF($H5=5,$G5-ROUND($G5*10/11,0),IF($H5=8,$G5,0)))))</f>
        <v>0</v>
      </c>
      <c r="M5" s="364">
        <f>IF($G5="","",IF($H5=1,ROUND($G5/23,0),IF($H5=3,ROUND($G5/12,0),IF($H5=6,$G5,IF($H5=7,$G5-ROUND($G5*10/11,0),0)))))</f>
        <v>0</v>
      </c>
      <c r="N5" s="364">
        <f>IF($G5="","",K5+L5+M5)</f>
        <v>0</v>
      </c>
      <c r="O5" s="365" t="str">
        <f>IF($G5="","",IFERROR(VLOOKUP($D5&amp;"|"&amp;$E5,科目表!$A$5:$B$200,2,FALSE),"※未登録"))</f>
        <v>通信運搬費</v>
      </c>
      <c r="P5" s="359">
        <f>IF(OR($G5="",$C5=""),"",IF($B5="決算整理",13,MOD(MONTH($C5)-4,12)+1))</f>
        <v>1</v>
      </c>
      <c r="Q5" s="366" t="str">
        <f>IF($G5="","",TRIM(IF(J5+K5+L5+M5&lt;&gt;$G5,"按分不一致 ","")&amp;IF(O5="※未登録","科目未登録 ","")&amp;IF(OR($H5="",ISERROR(MATCH($H5,{1,2,3,4,5,6,7,8},0))),"経費区分? ","")&amp;IF($I5="","状態未設定 ","")&amp;IF(AND(OR($I5="確認済",$I5="未確認"),$B5="月例",OR($C5="",$C5&lt;DATE(年度+2018,4,1),$C5&gt;DATE(年度+2019,3,31))),"年度外の日付 ","")&amp;IF(AND(OR($I5="確認済",$I5="未確認"),O5="対象外"),"対象外の科目 ","")))</f>
        <v/>
      </c>
      <c r="R5" s="366" t="inlineStr">
        <is>
          <t>月例!5</t>
        </is>
      </c>
    </row>
    <row r="6">
      <c r="A6" s="359" t="n">
        <v>2</v>
      </c>
      <c r="B6" s="360" t="inlineStr">
        <is>
          <t>月例</t>
        </is>
      </c>
      <c r="C6" s="361" t="n">
        <v>46140</v>
      </c>
      <c r="D6" s="362" t="inlineStr">
        <is>
          <t>事務費</t>
        </is>
      </c>
      <c r="E6" s="362" t="inlineStr">
        <is>
          <t>事務用消耗品費</t>
        </is>
      </c>
      <c r="F6" s="362" t="inlineStr">
        <is>
          <t>令和８年度基幹ウイルス対策ソフト（ミツイワ株式会社）短期</t>
        </is>
      </c>
      <c r="G6" s="363" t="n">
        <v>20482</v>
      </c>
      <c r="H6" s="360" t="n">
        <v>2</v>
      </c>
      <c r="I6" s="360" t="inlineStr">
        <is>
          <t>確認済</t>
        </is>
      </c>
      <c r="J6" s="364">
        <f>IF($G6="","",IF($H6=1,$G6-ROUND($G6*10/23,0)-2*ROUND($G6/23,0),IF($H6=2,$G6,0)))</f>
        <v>20482</v>
      </c>
      <c r="K6" s="364">
        <f>IF($G6="","",IF($H6=1,ROUND($G6*10/23,0),IF($H6=3,$G6-2*ROUND($G6/12,0),IF($H6=4,$G6,IF(OR($H6=5,$H6=7),ROUND($G6*10/11,0),0)))))</f>
        <v>0</v>
      </c>
      <c r="L6" s="364">
        <f>IF($G6="","",IF($H6=1,ROUND($G6/23,0),IF($H6=3,ROUND($G6/12,0),IF($H6=5,$G6-ROUND($G6*10/11,0),IF($H6=8,$G6,0)))))</f>
        <v>0</v>
      </c>
      <c r="M6" s="364">
        <f>IF($G6="","",IF($H6=1,ROUND($G6/23,0),IF($H6=3,ROUND($G6/12,0),IF($H6=6,$G6,IF($H6=7,$G6-ROUND($G6*10/11,0),0)))))</f>
        <v>0</v>
      </c>
      <c r="N6" s="364">
        <f>IF($G6="","",K6+L6+M6)</f>
        <v>0</v>
      </c>
      <c r="O6" s="365" t="str">
        <f>IF($G6="","",IFERROR(VLOOKUP($D6&amp;"|"&amp;$E6,科目表!$A$5:$B$200,2,FALSE),"※未登録"))</f>
        <v>事務用消耗品費</v>
      </c>
      <c r="P6" s="359">
        <f>IF(OR($G6="",$C6=""),"",IF($B6="決算整理",13,MOD(MONTH($C6)-4,12)+1))</f>
        <v>1</v>
      </c>
      <c r="Q6" s="366" t="str">
        <f>IF($G6="","",TRIM(IF(J6+K6+L6+M6&lt;&gt;$G6,"按分不一致 ","")&amp;IF(O6="※未登録","科目未登録 ","")&amp;IF(OR($H6="",ISERROR(MATCH($H6,{1,2,3,4,5,6,7,8},0))),"経費区分? ","")&amp;IF($I6="","状態未設定 ","")&amp;IF(AND(OR($I6="確認済",$I6="未確認"),$B6="月例",OR($C6="",$C6&lt;DATE(年度+2018,4,1),$C6&gt;DATE(年度+2019,3,31))),"年度外の日付 ","")&amp;IF(AND(OR($I6="確認済",$I6="未確認"),O6="対象外"),"対象外の科目 ","")))</f>
        <v/>
      </c>
      <c r="R6" s="366" t="inlineStr">
        <is>
          <t>月例!6</t>
        </is>
      </c>
    </row>
    <row r="7">
      <c r="A7" s="359" t="n">
        <v>3</v>
      </c>
      <c r="B7" s="360" t="inlineStr">
        <is>
          <t>月例</t>
        </is>
      </c>
      <c r="C7" s="361" t="n">
        <v>46140</v>
      </c>
      <c r="D7" s="362" t="inlineStr">
        <is>
          <t>事務費</t>
        </is>
      </c>
      <c r="E7" s="362" t="inlineStr">
        <is>
          <t>事務用消耗品費</t>
        </is>
      </c>
      <c r="F7" s="362" t="inlineStr">
        <is>
          <t>令和８年度基幹ウイルス対策ソフト（ミツイワ株式会社）長期</t>
        </is>
      </c>
      <c r="G7" s="363" t="n">
        <v>8778</v>
      </c>
      <c r="H7" s="360" t="n">
        <v>3</v>
      </c>
      <c r="I7" s="360" t="inlineStr">
        <is>
          <t>確認済</t>
        </is>
      </c>
      <c r="J7" s="364">
        <f>IF($G7="","",IF($H7=1,$G7-ROUND($G7*10/23,0)-2*ROUND($G7/23,0),IF($H7=2,$G7,0)))</f>
        <v>0</v>
      </c>
      <c r="K7" s="364">
        <f>IF($G7="","",IF($H7=1,ROUND($G7*10/23,0),IF($H7=3,$G7-2*ROUND($G7/12,0),IF($H7=4,$G7,IF(OR($H7=5,$H7=7),ROUND($G7*10/11,0),0)))))</f>
        <v>7314</v>
      </c>
      <c r="L7" s="364">
        <f>IF($G7="","",IF($H7=1,ROUND($G7/23,0),IF($H7=3,ROUND($G7/12,0),IF($H7=5,$G7-ROUND($G7*10/11,0),IF($H7=8,$G7,0)))))</f>
        <v>732</v>
      </c>
      <c r="M7" s="364">
        <f>IF($G7="","",IF($H7=1,ROUND($G7/23,0),IF($H7=3,ROUND($G7/12,0),IF($H7=6,$G7,IF($H7=7,$G7-ROUND($G7*10/11,0),0)))))</f>
        <v>732</v>
      </c>
      <c r="N7" s="364">
        <f>IF($G7="","",K7+L7+M7)</f>
        <v>8778</v>
      </c>
      <c r="O7" s="365" t="str">
        <f>IF($G7="","",IFERROR(VLOOKUP($D7&amp;"|"&amp;$E7,科目表!$A$5:$B$200,2,FALSE),"※未登録"))</f>
        <v>事務用消耗品費</v>
      </c>
      <c r="P7" s="359">
        <f>IF(OR($G7="",$C7=""),"",IF($B7="決算整理",13,MOD(MONTH($C7)-4,12)+1))</f>
        <v>1</v>
      </c>
      <c r="Q7" s="366" t="str">
        <f>IF($G7="","",TRIM(IF(J7+K7+L7+M7&lt;&gt;$G7,"按分不一致 ","")&amp;IF(O7="※未登録","科目未登録 ","")&amp;IF(OR($H7="",ISERROR(MATCH($H7,{1,2,3,4,5,6,7,8},0))),"経費区分? ","")&amp;IF($I7="","状態未設定 ","")&amp;IF(AND(OR($I7="確認済",$I7="未確認"),$B7="月例",OR($C7="",$C7&lt;DATE(年度+2018,4,1),$C7&gt;DATE(年度+2019,3,31))),"年度外の日付 ","")&amp;IF(AND(OR($I7="確認済",$I7="未確認"),O7="対象外"),"対象外の科目 ","")))</f>
        <v/>
      </c>
      <c r="R7" s="366" t="inlineStr">
        <is>
          <t>月例!7</t>
        </is>
      </c>
    </row>
    <row r="8">
      <c r="A8" s="359" t="n">
        <v>4</v>
      </c>
      <c r="B8" s="360" t="inlineStr">
        <is>
          <t>月例</t>
        </is>
      </c>
      <c r="C8" s="361" t="n">
        <v>44316</v>
      </c>
      <c r="D8" s="362" t="inlineStr">
        <is>
          <t>事務費</t>
        </is>
      </c>
      <c r="E8" s="362" t="inlineStr">
        <is>
          <t>事務用消耗品費</t>
        </is>
      </c>
      <c r="F8" s="362" t="inlineStr">
        <is>
          <t>CD／DVDファイルＡ４１２ＪーＣ　他</t>
        </is>
      </c>
      <c r="G8" s="363" t="n">
        <v>24407</v>
      </c>
      <c r="H8" s="360" t="n">
        <v>2</v>
      </c>
      <c r="I8" s="360" t="inlineStr">
        <is>
          <t>昨年実績</t>
        </is>
      </c>
      <c r="J8" s="364">
        <f>IF($G8="","",IF($H8=1,$G8-ROUND($G8*10/23,0)-2*ROUND($G8/23,0),IF($H8=2,$G8,0)))</f>
        <v>24407</v>
      </c>
      <c r="K8" s="364">
        <f>IF($G8="","",IF($H8=1,ROUND($G8*10/23,0),IF($H8=3,$G8-2*ROUND($G8/12,0),IF($H8=4,$G8,IF(OR($H8=5,$H8=7),ROUND($G8*10/11,0),0)))))</f>
        <v>0</v>
      </c>
      <c r="L8" s="364">
        <f>IF($G8="","",IF($H8=1,ROUND($G8/23,0),IF($H8=3,ROUND($G8/12,0),IF($H8=5,$G8-ROUND($G8*10/11,0),IF($H8=8,$G8,0)))))</f>
        <v>0</v>
      </c>
      <c r="M8" s="364">
        <f>IF($G8="","",IF($H8=1,ROUND($G8/23,0),IF($H8=3,ROUND($G8/12,0),IF($H8=6,$G8,IF($H8=7,$G8-ROUND($G8*10/11,0),0)))))</f>
        <v>0</v>
      </c>
      <c r="N8" s="364">
        <f>IF($G8="","",K8+L8+M8)</f>
        <v>0</v>
      </c>
      <c r="O8" s="365" t="str">
        <f>IF($G8="","",IFERROR(VLOOKUP($D8&amp;"|"&amp;$E8,科目表!$A$5:$B$200,2,FALSE),"※未登録"))</f>
        <v>事務用消耗品費</v>
      </c>
      <c r="P8" s="359">
        <f>IF(OR($G8="",$C8=""),"",IF($B8="決算整理",13,MOD(MONTH($C8)-4,12)+1))</f>
        <v>1</v>
      </c>
      <c r="Q8" s="366" t="str">
        <f>IF($G8="","",TRIM(IF(J8+K8+L8+M8&lt;&gt;$G8,"按分不一致 ","")&amp;IF(O8="※未登録","科目未登録 ","")&amp;IF(OR($H8="",ISERROR(MATCH($H8,{1,2,3,4,5,6,7,8},0))),"経費区分? ","")&amp;IF($I8="","状態未設定 ","")&amp;IF(AND(OR($I8="確認済",$I8="未確認"),$B8="月例",OR($C8="",$C8&lt;DATE(年度+2018,4,1),$C8&gt;DATE(年度+2019,3,31))),"年度外の日付 ","")&amp;IF(AND(OR($I8="確認済",$I8="未確認"),O8="対象外"),"対象外の科目 ","")))</f>
        <v/>
      </c>
      <c r="R8" s="366" t="inlineStr">
        <is>
          <t>月例!8</t>
        </is>
      </c>
    </row>
    <row r="9">
      <c r="A9" s="359" t="n">
        <v>5</v>
      </c>
      <c r="B9" s="360" t="inlineStr">
        <is>
          <t>月例</t>
        </is>
      </c>
      <c r="C9" s="361" t="n">
        <v>45764</v>
      </c>
      <c r="D9" s="362" t="inlineStr">
        <is>
          <t>事務費</t>
        </is>
      </c>
      <c r="E9" s="362" t="inlineStr">
        <is>
          <t>通信運搬費</t>
        </is>
      </c>
      <c r="F9" s="362" t="inlineStr">
        <is>
          <t>切手</t>
        </is>
      </c>
      <c r="G9" s="363" t="n">
        <v>173700</v>
      </c>
      <c r="H9" s="360" t="n">
        <v>3</v>
      </c>
      <c r="I9" s="360" t="inlineStr">
        <is>
          <t>昨年実績</t>
        </is>
      </c>
      <c r="J9" s="364">
        <f>IF($G9="","",IF($H9=1,$G9-ROUND($G9*10/23,0)-2*ROUND($G9/23,0),IF($H9=2,$G9,0)))</f>
        <v>0</v>
      </c>
      <c r="K9" s="364">
        <f>IF($G9="","",IF($H9=1,ROUND($G9*10/23,0),IF($H9=3,$G9-2*ROUND($G9/12,0),IF($H9=4,$G9,IF(OR($H9=5,$H9=7),ROUND($G9*10/11,0),0)))))</f>
        <v>144750</v>
      </c>
      <c r="L9" s="364">
        <f>IF($G9="","",IF($H9=1,ROUND($G9/23,0),IF($H9=3,ROUND($G9/12,0),IF($H9=5,$G9-ROUND($G9*10/11,0),IF($H9=8,$G9,0)))))</f>
        <v>14475</v>
      </c>
      <c r="M9" s="364">
        <f>IF($G9="","",IF($H9=1,ROUND($G9/23,0),IF($H9=3,ROUND($G9/12,0),IF($H9=6,$G9,IF($H9=7,$G9-ROUND($G9*10/11,0),0)))))</f>
        <v>14475</v>
      </c>
      <c r="N9" s="364">
        <f>IF($G9="","",K9+L9+M9)</f>
        <v>173700</v>
      </c>
      <c r="O9" s="365" t="str">
        <f>IF($G9="","",IFERROR(VLOOKUP($D9&amp;"|"&amp;$E9,科目表!$A$5:$B$200,2,FALSE),"※未登録"))</f>
        <v>通信運搬費</v>
      </c>
      <c r="P9" s="359">
        <f>IF(OR($G9="",$C9=""),"",IF($B9="決算整理",13,MOD(MONTH($C9)-4,12)+1))</f>
        <v>1</v>
      </c>
      <c r="Q9" s="366" t="str">
        <f>IF($G9="","",TRIM(IF(J9+K9+L9+M9&lt;&gt;$G9,"按分不一致 ","")&amp;IF(O9="※未登録","科目未登録 ","")&amp;IF(OR($H9="",ISERROR(MATCH($H9,{1,2,3,4,5,6,7,8},0))),"経費区分? ","")&amp;IF($I9="","状態未設定 ","")&amp;IF(AND(OR($I9="確認済",$I9="未確認"),$B9="月例",OR($C9="",$C9&lt;DATE(年度+2018,4,1),$C9&gt;DATE(年度+2019,3,31))),"年度外の日付 ","")&amp;IF(AND(OR($I9="確認済",$I9="未確認"),O9="対象外"),"対象外の科目 ","")))</f>
        <v/>
      </c>
      <c r="R9" s="366" t="inlineStr">
        <is>
          <t>月例!9</t>
        </is>
      </c>
    </row>
    <row r="10">
      <c r="A10" s="359" t="n">
        <v>6</v>
      </c>
      <c r="B10" s="360" t="inlineStr">
        <is>
          <t>月例</t>
        </is>
      </c>
      <c r="C10" s="361" t="n">
        <v>46132</v>
      </c>
      <c r="D10" s="362" t="inlineStr">
        <is>
          <t>委託費</t>
        </is>
      </c>
      <c r="E10" s="362" t="n"/>
      <c r="F10" s="362" t="inlineStr">
        <is>
          <t>レセプト電子データ提供料（1月診療分）</t>
        </is>
      </c>
      <c r="G10" s="363" t="n">
        <v>60235</v>
      </c>
      <c r="H10" s="360" t="n">
        <v>2</v>
      </c>
      <c r="I10" s="360" t="inlineStr">
        <is>
          <t>確認済</t>
        </is>
      </c>
      <c r="J10" s="364">
        <f>IF($G10="","",IF($H10=1,$G10-ROUND($G10*10/23,0)-2*ROUND($G10/23,0),IF($H10=2,$G10,0)))</f>
        <v>60235</v>
      </c>
      <c r="K10" s="364">
        <f>IF($G10="","",IF($H10=1,ROUND($G10*10/23,0),IF($H10=3,$G10-2*ROUND($G10/12,0),IF($H10=4,$G10,IF(OR($H10=5,$H10=7),ROUND($G10*10/11,0),0)))))</f>
        <v>0</v>
      </c>
      <c r="L10" s="364">
        <f>IF($G10="","",IF($H10=1,ROUND($G10/23,0),IF($H10=3,ROUND($G10/12,0),IF($H10=5,$G10-ROUND($G10*10/11,0),IF($H10=8,$G10,0)))))</f>
        <v>0</v>
      </c>
      <c r="M10" s="364">
        <f>IF($G10="","",IF($H10=1,ROUND($G10/23,0),IF($H10=3,ROUND($G10/12,0),IF($H10=6,$G10,IF($H10=7,$G10-ROUND($G10*10/11,0),0)))))</f>
        <v>0</v>
      </c>
      <c r="N10" s="364">
        <f>IF($G10="","",K10+L10+M10)</f>
        <v>0</v>
      </c>
      <c r="O10" s="365" t="str">
        <f>IF($G10="","",IFERROR(VLOOKUP($D10&amp;"|"&amp;$E10,科目表!$A$5:$B$200,2,FALSE),"※未登録"))</f>
        <v>委託費</v>
      </c>
      <c r="P10" s="359">
        <f>IF(OR($G10="",$C10=""),"",IF($B10="決算整理",13,MOD(MONTH($C10)-4,12)+1))</f>
        <v>1</v>
      </c>
      <c r="Q10" s="366" t="str">
        <f>IF($G10="","",TRIM(IF(J10+K10+L10+M10&lt;&gt;$G10,"按分不一致 ","")&amp;IF(O10="※未登録","科目未登録 ","")&amp;IF(OR($H10="",ISERROR(MATCH($H10,{1,2,3,4,5,6,7,8},0))),"経費区分? ","")&amp;IF($I10="","状態未設定 ","")&amp;IF(AND(OR($I10="確認済",$I10="未確認"),$B10="月例",OR($C10="",$C10&lt;DATE(年度+2018,4,1),$C10&gt;DATE(年度+2019,3,31))),"年度外の日付 ","")&amp;IF(AND(OR($I10="確認済",$I10="未確認"),O10="対象外"),"対象外の科目 ","")))</f>
        <v/>
      </c>
      <c r="R10" s="366" t="inlineStr">
        <is>
          <t>月例!10</t>
        </is>
      </c>
    </row>
    <row r="11">
      <c r="A11" s="359" t="n">
        <v>7</v>
      </c>
      <c r="B11" s="360" t="inlineStr">
        <is>
          <t>月例</t>
        </is>
      </c>
      <c r="C11" s="361" t="n">
        <v>43941</v>
      </c>
      <c r="D11" s="362" t="inlineStr">
        <is>
          <t>事務費</t>
        </is>
      </c>
      <c r="E11" s="362" t="inlineStr">
        <is>
          <t>雑費</t>
        </is>
      </c>
      <c r="F11" s="362" t="inlineStr">
        <is>
          <t>電子証明書発行・更新料（令和2年4月請求）</t>
        </is>
      </c>
      <c r="G11" s="363" t="n">
        <v>4000</v>
      </c>
      <c r="H11" s="360" t="n">
        <v>2</v>
      </c>
      <c r="I11" s="360" t="inlineStr">
        <is>
          <t>昨年実績</t>
        </is>
      </c>
      <c r="J11" s="364">
        <f>IF($G11="","",IF($H11=1,$G11-ROUND($G11*10/23,0)-2*ROUND($G11/23,0),IF($H11=2,$G11,0)))</f>
        <v>4000</v>
      </c>
      <c r="K11" s="364">
        <f>IF($G11="","",IF($H11=1,ROUND($G11*10/23,0),IF($H11=3,$G11-2*ROUND($G11/12,0),IF($H11=4,$G11,IF(OR($H11=5,$H11=7),ROUND($G11*10/11,0),0)))))</f>
        <v>0</v>
      </c>
      <c r="L11" s="364">
        <f>IF($G11="","",IF($H11=1,ROUND($G11/23,0),IF($H11=3,ROUND($G11/12,0),IF($H11=5,$G11-ROUND($G11*10/11,0),IF($H11=8,$G11,0)))))</f>
        <v>0</v>
      </c>
      <c r="M11" s="364">
        <f>IF($G11="","",IF($H11=1,ROUND($G11/23,0),IF($H11=3,ROUND($G11/12,0),IF($H11=6,$G11,IF($H11=7,$G11-ROUND($G11*10/11,0),0)))))</f>
        <v>0</v>
      </c>
      <c r="N11" s="364">
        <f>IF($G11="","",K11+L11+M11)</f>
        <v>0</v>
      </c>
      <c r="O11" s="365" t="str">
        <f>IF($G11="","",IFERROR(VLOOKUP($D11&amp;"|"&amp;$E11,科目表!$A$5:$B$200,2,FALSE),"※未登録"))</f>
        <v>事務費・雑費</v>
      </c>
      <c r="P11" s="359">
        <f>IF(OR($G11="",$C11=""),"",IF($B11="決算整理",13,MOD(MONTH($C11)-4,12)+1))</f>
        <v>1</v>
      </c>
      <c r="Q11" s="366" t="str">
        <f>IF($G11="","",TRIM(IF(J11+K11+L11+M11&lt;&gt;$G11,"按分不一致 ","")&amp;IF(O11="※未登録","科目未登録 ","")&amp;IF(OR($H11="",ISERROR(MATCH($H11,{1,2,3,4,5,6,7,8},0))),"経費区分? ","")&amp;IF($I11="","状態未設定 ","")&amp;IF(AND(OR($I11="確認済",$I11="未確認"),$B11="月例",OR($C11="",$C11&lt;DATE(年度+2018,4,1),$C11&gt;DATE(年度+2019,3,31))),"年度外の日付 ","")&amp;IF(AND(OR($I11="確認済",$I11="未確認"),O11="対象外"),"対象外の科目 ","")))</f>
        <v/>
      </c>
      <c r="R11" s="366" t="inlineStr">
        <is>
          <t>月例!11</t>
        </is>
      </c>
    </row>
    <row r="12">
      <c r="A12" s="359" t="n">
        <v>8</v>
      </c>
      <c r="B12" s="360" t="inlineStr">
        <is>
          <t>月例</t>
        </is>
      </c>
      <c r="C12" s="361" t="n">
        <v>46150</v>
      </c>
      <c r="D12" s="362" t="inlineStr">
        <is>
          <t>負担金</t>
        </is>
      </c>
      <c r="E12" s="362" t="n"/>
      <c r="F12" s="362" t="inlineStr">
        <is>
          <t>広島県社会保険協会年会費(短期)</t>
        </is>
      </c>
      <c r="G12" s="363" t="n">
        <v>780</v>
      </c>
      <c r="H12" s="360" t="n">
        <v>2</v>
      </c>
      <c r="I12" s="360" t="inlineStr">
        <is>
          <t>確認済</t>
        </is>
      </c>
      <c r="J12" s="364">
        <f>IF($G12="","",IF($H12=1,$G12-ROUND($G12*10/23,0)-2*ROUND($G12/23,0),IF($H12=2,$G12,0)))</f>
        <v>780</v>
      </c>
      <c r="K12" s="364">
        <f>IF($G12="","",IF($H12=1,ROUND($G12*10/23,0),IF($H12=3,$G12-2*ROUND($G12/12,0),IF($H12=4,$G12,IF(OR($H12=5,$H12=7),ROUND($G12*10/11,0),0)))))</f>
        <v>0</v>
      </c>
      <c r="L12" s="364">
        <f>IF($G12="","",IF($H12=1,ROUND($G12/23,0),IF($H12=3,ROUND($G12/12,0),IF($H12=5,$G12-ROUND($G12*10/11,0),IF($H12=8,$G12,0)))))</f>
        <v>0</v>
      </c>
      <c r="M12" s="364">
        <f>IF($G12="","",IF($H12=1,ROUND($G12/23,0),IF($H12=3,ROUND($G12/12,0),IF($H12=6,$G12,IF($H12=7,$G12-ROUND($G12*10/11,0),0)))))</f>
        <v>0</v>
      </c>
      <c r="N12" s="364">
        <f>IF($G12="","",K12+L12+M12)</f>
        <v>0</v>
      </c>
      <c r="O12" s="365" t="str">
        <f>IF($G12="","",IFERROR(VLOOKUP($D12&amp;"|"&amp;$E12,科目表!$A$5:$B$200,2,FALSE),"※未登録"))</f>
        <v>県社保協会費</v>
      </c>
      <c r="P12" s="359">
        <f>IF(OR($G12="",$C12=""),"",IF($B12="決算整理",13,MOD(MONTH($C12)-4,12)+1))</f>
        <v>2</v>
      </c>
      <c r="Q12" s="366" t="str">
        <f>IF($G12="","",TRIM(IF(J12+K12+L12+M12&lt;&gt;$G12,"按分不一致 ","")&amp;IF(O12="※未登録","科目未登録 ","")&amp;IF(OR($H12="",ISERROR(MATCH($H12,{1,2,3,4,5,6,7,8},0))),"経費区分? ","")&amp;IF($I12="","状態未設定 ","")&amp;IF(AND(OR($I12="確認済",$I12="未確認"),$B12="月例",OR($C12="",$C12&lt;DATE(年度+2018,4,1),$C12&gt;DATE(年度+2019,3,31))),"年度外の日付 ","")&amp;IF(AND(OR($I12="確認済",$I12="未確認"),O12="対象外"),"対象外の科目 ","")))</f>
        <v/>
      </c>
      <c r="R12" s="366" t="inlineStr">
        <is>
          <t>月例!12</t>
        </is>
      </c>
    </row>
    <row r="13">
      <c r="A13" s="359" t="n">
        <v>9</v>
      </c>
      <c r="B13" s="360" t="inlineStr">
        <is>
          <t>月例</t>
        </is>
      </c>
      <c r="C13" s="361" t="n">
        <v>46150</v>
      </c>
      <c r="D13" s="362" t="inlineStr">
        <is>
          <t>負担金</t>
        </is>
      </c>
      <c r="E13" s="362" t="n"/>
      <c r="F13" s="362" t="inlineStr">
        <is>
          <t>広島県社会保険協会年会費(長期)</t>
        </is>
      </c>
      <c r="G13" s="363" t="n">
        <v>520</v>
      </c>
      <c r="H13" s="360" t="n">
        <v>3</v>
      </c>
      <c r="I13" s="360" t="inlineStr">
        <is>
          <t>確認済</t>
        </is>
      </c>
      <c r="J13" s="364">
        <f>IF($G13="","",IF($H13=1,$G13-ROUND($G13*10/23,0)-2*ROUND($G13/23,0),IF($H13=2,$G13,0)))</f>
        <v>0</v>
      </c>
      <c r="K13" s="364">
        <f>IF($G13="","",IF($H13=1,ROUND($G13*10/23,0),IF($H13=3,$G13-2*ROUND($G13/12,0),IF($H13=4,$G13,IF(OR($H13=5,$H13=7),ROUND($G13*10/11,0),0)))))</f>
        <v>434</v>
      </c>
      <c r="L13" s="364">
        <f>IF($G13="","",IF($H13=1,ROUND($G13/23,0),IF($H13=3,ROUND($G13/12,0),IF($H13=5,$G13-ROUND($G13*10/11,0),IF($H13=8,$G13,0)))))</f>
        <v>43</v>
      </c>
      <c r="M13" s="364">
        <f>IF($G13="","",IF($H13=1,ROUND($G13/23,0),IF($H13=3,ROUND($G13/12,0),IF($H13=6,$G13,IF($H13=7,$G13-ROUND($G13*10/11,0),0)))))</f>
        <v>43</v>
      </c>
      <c r="N13" s="364">
        <f>IF($G13="","",K13+L13+M13)</f>
        <v>520</v>
      </c>
      <c r="O13" s="365" t="str">
        <f>IF($G13="","",IFERROR(VLOOKUP($D13&amp;"|"&amp;$E13,科目表!$A$5:$B$200,2,FALSE),"※未登録"))</f>
        <v>県社保協会費</v>
      </c>
      <c r="P13" s="359">
        <f>IF(OR($G13="",$C13=""),"",IF($B13="決算整理",13,MOD(MONTH($C13)-4,12)+1))</f>
        <v>2</v>
      </c>
      <c r="Q13" s="366" t="str">
        <f>IF($G13="","",TRIM(IF(J13+K13+L13+M13&lt;&gt;$G13,"按分不一致 ","")&amp;IF(O13="※未登録","科目未登録 ","")&amp;IF(OR($H13="",ISERROR(MATCH($H13,{1,2,3,4,5,6,7,8},0))),"経費区分? ","")&amp;IF($I13="","状態未設定 ","")&amp;IF(AND(OR($I13="確認済",$I13="未確認"),$B13="月例",OR($C13="",$C13&lt;DATE(年度+2018,4,1),$C13&gt;DATE(年度+2019,3,31))),"年度外の日付 ","")&amp;IF(AND(OR($I13="確認済",$I13="未確認"),O13="対象外"),"対象外の科目 ","")))</f>
        <v/>
      </c>
      <c r="R13" s="366" t="inlineStr">
        <is>
          <t>月例!13</t>
        </is>
      </c>
    </row>
    <row r="14">
      <c r="A14" s="359" t="n">
        <v>10</v>
      </c>
      <c r="B14" s="360" t="inlineStr">
        <is>
          <t>月例</t>
        </is>
      </c>
      <c r="C14" s="361" t="n">
        <v>46133</v>
      </c>
      <c r="D14" s="362" t="inlineStr">
        <is>
          <t>職員給与</t>
        </is>
      </c>
      <c r="E14" s="362" t="inlineStr">
        <is>
          <t>非常勤職員手当</t>
        </is>
      </c>
      <c r="F14" s="362" t="inlineStr">
        <is>
          <t>４月分給与（長期分）</t>
        </is>
      </c>
      <c r="G14" s="363" t="n">
        <v>380800</v>
      </c>
      <c r="H14" s="360" t="n">
        <v>3</v>
      </c>
      <c r="I14" s="360" t="inlineStr">
        <is>
          <t>確認済</t>
        </is>
      </c>
      <c r="J14" s="364">
        <f>IF($G14="","",IF($H14=1,$G14-ROUND($G14*10/23,0)-2*ROUND($G14/23,0),IF($H14=2,$G14,0)))</f>
        <v>0</v>
      </c>
      <c r="K14" s="364">
        <f>IF($G14="","",IF($H14=1,ROUND($G14*10/23,0),IF($H14=3,$G14-2*ROUND($G14/12,0),IF($H14=4,$G14,IF(OR($H14=5,$H14=7),ROUND($G14*10/11,0),0)))))</f>
        <v>317334</v>
      </c>
      <c r="L14" s="364">
        <f>IF($G14="","",IF($H14=1,ROUND($G14/23,0),IF($H14=3,ROUND($G14/12,0),IF($H14=5,$G14-ROUND($G14*10/11,0),IF($H14=8,$G14,0)))))</f>
        <v>31733</v>
      </c>
      <c r="M14" s="364">
        <f>IF($G14="","",IF($H14=1,ROUND($G14/23,0),IF($H14=3,ROUND($G14/12,0),IF($H14=6,$G14,IF($H14=7,$G14-ROUND($G14*10/11,0),0)))))</f>
        <v>31733</v>
      </c>
      <c r="N14" s="364">
        <f>IF($G14="","",K14+L14+M14)</f>
        <v>380800</v>
      </c>
      <c r="O14" s="365" t="str">
        <f>IF($G14="","",IFERROR(VLOOKUP($D14&amp;"|"&amp;$E14,科目表!$A$5:$B$200,2,FALSE),"※未登録"))</f>
        <v>非常勤職員手当</v>
      </c>
      <c r="P14" s="359">
        <f>IF(OR($G14="",$C14=""),"",IF($B14="決算整理",13,MOD(MONTH($C14)-4,12)+1))</f>
        <v>1</v>
      </c>
      <c r="Q14" s="366" t="str">
        <f>IF($G14="","",TRIM(IF(J14+K14+L14+M14&lt;&gt;$G14,"按分不一致 ","")&amp;IF(O14="※未登録","科目未登録 ","")&amp;IF(OR($H14="",ISERROR(MATCH($H14,{1,2,3,4,5,6,7,8},0))),"経費区分? ","")&amp;IF($I14="","状態未設定 ","")&amp;IF(AND(OR($I14="確認済",$I14="未確認"),$B14="月例",OR($C14="",$C14&lt;DATE(年度+2018,4,1),$C14&gt;DATE(年度+2019,3,31))),"年度外の日付 ","")&amp;IF(AND(OR($I14="確認済",$I14="未確認"),O14="対象外"),"対象外の科目 ","")))</f>
        <v/>
      </c>
      <c r="R14" s="366" t="inlineStr">
        <is>
          <t>月例!14</t>
        </is>
      </c>
    </row>
    <row r="15">
      <c r="A15" s="359" t="n">
        <v>11</v>
      </c>
      <c r="B15" s="360" t="inlineStr">
        <is>
          <t>月例</t>
        </is>
      </c>
      <c r="C15" s="361" t="n">
        <v>46133</v>
      </c>
      <c r="D15" s="362" t="inlineStr">
        <is>
          <t>職員給与</t>
        </is>
      </c>
      <c r="E15" s="362" t="inlineStr">
        <is>
          <t>非常勤職員手当</t>
        </is>
      </c>
      <c r="F15" s="362" t="inlineStr">
        <is>
          <t>４月分給与（短期分）3月時間外除く</t>
        </is>
      </c>
      <c r="G15" s="363" t="n">
        <v>317340</v>
      </c>
      <c r="H15" s="360" t="n">
        <v>2</v>
      </c>
      <c r="I15" s="360" t="inlineStr">
        <is>
          <t>確認済</t>
        </is>
      </c>
      <c r="J15" s="364">
        <f>IF($G15="","",IF($H15=1,$G15-ROUND($G15*10/23,0)-2*ROUND($G15/23,0),IF($H15=2,$G15,0)))</f>
        <v>317340</v>
      </c>
      <c r="K15" s="364">
        <f>IF($G15="","",IF($H15=1,ROUND($G15*10/23,0),IF($H15=3,$G15-2*ROUND($G15/12,0),IF($H15=4,$G15,IF(OR($H15=5,$H15=7),ROUND($G15*10/11,0),0)))))</f>
        <v>0</v>
      </c>
      <c r="L15" s="364">
        <f>IF($G15="","",IF($H15=1,ROUND($G15/23,0),IF($H15=3,ROUND($G15/12,0),IF($H15=5,$G15-ROUND($G15*10/11,0),IF($H15=8,$G15,0)))))</f>
        <v>0</v>
      </c>
      <c r="M15" s="364">
        <f>IF($G15="","",IF($H15=1,ROUND($G15/23,0),IF($H15=3,ROUND($G15/12,0),IF($H15=6,$G15,IF($H15=7,$G15-ROUND($G15*10/11,0),0)))))</f>
        <v>0</v>
      </c>
      <c r="N15" s="364">
        <f>IF($G15="","",K15+L15+M15)</f>
        <v>0</v>
      </c>
      <c r="O15" s="365" t="str">
        <f>IF($G15="","",IFERROR(VLOOKUP($D15&amp;"|"&amp;$E15,科目表!$A$5:$B$200,2,FALSE),"※未登録"))</f>
        <v>非常勤職員手当</v>
      </c>
      <c r="P15" s="359">
        <f>IF(OR($G15="",$C15=""),"",IF($B15="決算整理",13,MOD(MONTH($C15)-4,12)+1))</f>
        <v>1</v>
      </c>
      <c r="Q15" s="366" t="str">
        <f>IF($G15="","",TRIM(IF(J15+K15+L15+M15&lt;&gt;$G15,"按分不一致 ","")&amp;IF(O15="※未登録","科目未登録 ","")&amp;IF(OR($H15="",ISERROR(MATCH($H15,{1,2,3,4,5,6,7,8},0))),"経費区分? ","")&amp;IF($I15="","状態未設定 ","")&amp;IF(AND(OR($I15="確認済",$I15="未確認"),$B15="月例",OR($C15="",$C15&lt;DATE(年度+2018,4,1),$C15&gt;DATE(年度+2019,3,31))),"年度外の日付 ","")&amp;IF(AND(OR($I15="確認済",$I15="未確認"),O15="対象外"),"対象外の科目 ","")))</f>
        <v/>
      </c>
      <c r="R15" s="366" t="inlineStr">
        <is>
          <t>月例!15</t>
        </is>
      </c>
    </row>
    <row r="16">
      <c r="A16" s="359" t="n">
        <v>12</v>
      </c>
      <c r="B16" s="360" t="inlineStr">
        <is>
          <t>月例</t>
        </is>
      </c>
      <c r="C16" s="361" t="n">
        <v>46133</v>
      </c>
      <c r="D16" s="362" t="inlineStr">
        <is>
          <t>負担金</t>
        </is>
      </c>
      <c r="E16" s="362" t="inlineStr">
        <is>
          <t>互助会費</t>
        </is>
      </c>
      <c r="F16" s="362" t="inlineStr">
        <is>
          <t>助成金（４月長期分）</t>
        </is>
      </c>
      <c r="G16" s="363" t="n">
        <v>466</v>
      </c>
      <c r="H16" s="360" t="n">
        <v>3</v>
      </c>
      <c r="I16" s="360" t="inlineStr">
        <is>
          <t>確認済</t>
        </is>
      </c>
      <c r="J16" s="364">
        <f>IF($G16="","",IF($H16=1,$G16-ROUND($G16*10/23,0)-2*ROUND($G16/23,0),IF($H16=2,$G16,0)))</f>
        <v>0</v>
      </c>
      <c r="K16" s="364">
        <f>IF($G16="","",IF($H16=1,ROUND($G16*10/23,0),IF($H16=3,$G16-2*ROUND($G16/12,0),IF($H16=4,$G16,IF(OR($H16=5,$H16=7),ROUND($G16*10/11,0),0)))))</f>
        <v>388</v>
      </c>
      <c r="L16" s="364">
        <f>IF($G16="","",IF($H16=1,ROUND($G16/23,0),IF($H16=3,ROUND($G16/12,0),IF($H16=5,$G16-ROUND($G16*10/11,0),IF($H16=8,$G16,0)))))</f>
        <v>39</v>
      </c>
      <c r="M16" s="364">
        <f>IF($G16="","",IF($H16=1,ROUND($G16/23,0),IF($H16=3,ROUND($G16/12,0),IF($H16=6,$G16,IF($H16=7,$G16-ROUND($G16*10/11,0),0)))))</f>
        <v>39</v>
      </c>
      <c r="N16" s="364">
        <f>IF($G16="","",K16+L16+M16)</f>
        <v>466</v>
      </c>
      <c r="O16" s="365" t="str">
        <f>IF($G16="","",IFERROR(VLOOKUP($D16&amp;"|"&amp;$E16,科目表!$A$5:$B$200,2,FALSE),"※未登録"))</f>
        <v>互助会費</v>
      </c>
      <c r="P16" s="359">
        <f>IF(OR($G16="",$C16=""),"",IF($B16="決算整理",13,MOD(MONTH($C16)-4,12)+1))</f>
        <v>1</v>
      </c>
      <c r="Q16" s="366" t="str">
        <f>IF($G16="","",TRIM(IF(J16+K16+L16+M16&lt;&gt;$G16,"按分不一致 ","")&amp;IF(O16="※未登録","科目未登録 ","")&amp;IF(OR($H16="",ISERROR(MATCH($H16,{1,2,3,4,5,6,7,8},0))),"経費区分? ","")&amp;IF($I16="","状態未設定 ","")&amp;IF(AND(OR($I16="確認済",$I16="未確認"),$B16="月例",OR($C16="",$C16&lt;DATE(年度+2018,4,1),$C16&gt;DATE(年度+2019,3,31))),"年度外の日付 ","")&amp;IF(AND(OR($I16="確認済",$I16="未確認"),O16="対象外"),"対象外の科目 ","")))</f>
        <v/>
      </c>
      <c r="R16" s="366" t="inlineStr">
        <is>
          <t>月例!16</t>
        </is>
      </c>
    </row>
    <row r="17">
      <c r="A17" s="359" t="n">
        <v>13</v>
      </c>
      <c r="B17" s="360" t="inlineStr">
        <is>
          <t>月例</t>
        </is>
      </c>
      <c r="C17" s="361" t="n">
        <v>46133</v>
      </c>
      <c r="D17" s="362" t="inlineStr">
        <is>
          <t>負担金</t>
        </is>
      </c>
      <c r="E17" s="362" t="inlineStr">
        <is>
          <t>互助会費</t>
        </is>
      </c>
      <c r="F17" s="362" t="inlineStr">
        <is>
          <t>助成金（４月短期分）</t>
        </is>
      </c>
      <c r="G17" s="363" t="n">
        <v>240</v>
      </c>
      <c r="H17" s="360" t="n">
        <v>2</v>
      </c>
      <c r="I17" s="360" t="inlineStr">
        <is>
          <t>確認済</t>
        </is>
      </c>
      <c r="J17" s="364">
        <f>IF($G17="","",IF($H17=1,$G17-ROUND($G17*10/23,0)-2*ROUND($G17/23,0),IF($H17=2,$G17,0)))</f>
        <v>240</v>
      </c>
      <c r="K17" s="364">
        <f>IF($G17="","",IF($H17=1,ROUND($G17*10/23,0),IF($H17=3,$G17-2*ROUND($G17/12,0),IF($H17=4,$G17,IF(OR($H17=5,$H17=7),ROUND($G17*10/11,0),0)))))</f>
        <v>0</v>
      </c>
      <c r="L17" s="364">
        <f>IF($G17="","",IF($H17=1,ROUND($G17/23,0),IF($H17=3,ROUND($G17/12,0),IF($H17=5,$G17-ROUND($G17*10/11,0),IF($H17=8,$G17,0)))))</f>
        <v>0</v>
      </c>
      <c r="M17" s="364">
        <f>IF($G17="","",IF($H17=1,ROUND($G17/23,0),IF($H17=3,ROUND($G17/12,0),IF($H17=6,$G17,IF($H17=7,$G17-ROUND($G17*10/11,0),0)))))</f>
        <v>0</v>
      </c>
      <c r="N17" s="364">
        <f>IF($G17="","",K17+L17+M17)</f>
        <v>0</v>
      </c>
      <c r="O17" s="365" t="str">
        <f>IF($G17="","",IFERROR(VLOOKUP($D17&amp;"|"&amp;$E17,科目表!$A$5:$B$200,2,FALSE),"※未登録"))</f>
        <v>互助会費</v>
      </c>
      <c r="P17" s="359">
        <f>IF(OR($G17="",$C17=""),"",IF($B17="決算整理",13,MOD(MONTH($C17)-4,12)+1))</f>
        <v>1</v>
      </c>
      <c r="Q17" s="366" t="str">
        <f>IF($G17="","",TRIM(IF(J17+K17+L17+M17&lt;&gt;$G17,"按分不一致 ","")&amp;IF(O17="※未登録","科目未登録 ","")&amp;IF(OR($H17="",ISERROR(MATCH($H17,{1,2,3,4,5,6,7,8},0))),"経費区分? ","")&amp;IF($I17="","状態未設定 ","")&amp;IF(AND(OR($I17="確認済",$I17="未確認"),$B17="月例",OR($C17="",$C17&lt;DATE(年度+2018,4,1),$C17&gt;DATE(年度+2019,3,31))),"年度外の日付 ","")&amp;IF(AND(OR($I17="確認済",$I17="未確認"),O17="対象外"),"対象外の科目 ","")))</f>
        <v/>
      </c>
      <c r="R17" s="366" t="inlineStr">
        <is>
          <t>月例!17</t>
        </is>
      </c>
    </row>
    <row r="18">
      <c r="A18" s="359" t="n">
        <v>14</v>
      </c>
      <c r="B18" s="360" t="inlineStr">
        <is>
          <t>月例</t>
        </is>
      </c>
      <c r="C18" s="361" t="n">
        <v>45044</v>
      </c>
      <c r="D18" s="362" t="inlineStr">
        <is>
          <t>委託費</t>
        </is>
      </c>
      <c r="E18" s="362" t="n"/>
      <c r="F18" s="362" t="inlineStr">
        <is>
          <t>個人番号管理システムシンクライアント（４～１０月）</t>
        </is>
      </c>
      <c r="G18" s="363" t="n">
        <v>24486</v>
      </c>
      <c r="H18" s="360" t="n">
        <v>2</v>
      </c>
      <c r="I18" s="360" t="inlineStr">
        <is>
          <t>昨年実績</t>
        </is>
      </c>
      <c r="J18" s="364">
        <f>IF($G18="","",IF($H18=1,$G18-ROUND($G18*10/23,0)-2*ROUND($G18/23,0),IF($H18=2,$G18,0)))</f>
        <v>24486</v>
      </c>
      <c r="K18" s="364">
        <f>IF($G18="","",IF($H18=1,ROUND($G18*10/23,0),IF($H18=3,$G18-2*ROUND($G18/12,0),IF($H18=4,$G18,IF(OR($H18=5,$H18=7),ROUND($G18*10/11,0),0)))))</f>
        <v>0</v>
      </c>
      <c r="L18" s="364">
        <f>IF($G18="","",IF($H18=1,ROUND($G18/23,0),IF($H18=3,ROUND($G18/12,0),IF($H18=5,$G18-ROUND($G18*10/11,0),IF($H18=8,$G18,0)))))</f>
        <v>0</v>
      </c>
      <c r="M18" s="364">
        <f>IF($G18="","",IF($H18=1,ROUND($G18/23,0),IF($H18=3,ROUND($G18/12,0),IF($H18=6,$G18,IF($H18=7,$G18-ROUND($G18*10/11,0),0)))))</f>
        <v>0</v>
      </c>
      <c r="N18" s="364">
        <f>IF($G18="","",K18+L18+M18)</f>
        <v>0</v>
      </c>
      <c r="O18" s="365" t="str">
        <f>IF($G18="","",IFERROR(VLOOKUP($D18&amp;"|"&amp;$E18,科目表!$A$5:$B$200,2,FALSE),"※未登録"))</f>
        <v>委託費</v>
      </c>
      <c r="P18" s="359">
        <f>IF(OR($G18="",$C18=""),"",IF($B18="決算整理",13,MOD(MONTH($C18)-4,12)+1))</f>
        <v>1</v>
      </c>
      <c r="Q18" s="366" t="str">
        <f>IF($G18="","",TRIM(IF(J18+K18+L18+M18&lt;&gt;$G18,"按分不一致 ","")&amp;IF(O18="※未登録","科目未登録 ","")&amp;IF(OR($H18="",ISERROR(MATCH($H18,{1,2,3,4,5,6,7,8},0))),"経費区分? ","")&amp;IF($I18="","状態未設定 ","")&amp;IF(AND(OR($I18="確認済",$I18="未確認"),$B18="月例",OR($C18="",$C18&lt;DATE(年度+2018,4,1),$C18&gt;DATE(年度+2019,3,31))),"年度外の日付 ","")&amp;IF(AND(OR($I18="確認済",$I18="未確認"),O18="対象外"),"対象外の科目 ","")))</f>
        <v/>
      </c>
      <c r="R18" s="366" t="inlineStr">
        <is>
          <t>月例!18</t>
        </is>
      </c>
    </row>
    <row r="19">
      <c r="A19" s="359" t="n">
        <v>15</v>
      </c>
      <c r="B19" s="360" t="inlineStr">
        <is>
          <t>月例</t>
        </is>
      </c>
      <c r="C19" s="361" t="n">
        <v>45807</v>
      </c>
      <c r="D19" s="362" t="inlineStr">
        <is>
          <t>事務費</t>
        </is>
      </c>
      <c r="E19" s="362" t="inlineStr">
        <is>
          <t>図書印刷費</t>
        </is>
      </c>
      <c r="F19" s="362" t="inlineStr">
        <is>
          <t>窓付封筒　１，０００枚</t>
        </is>
      </c>
      <c r="G19" s="363" t="n">
        <v>49500</v>
      </c>
      <c r="H19" s="360" t="n">
        <v>2</v>
      </c>
      <c r="I19" s="360" t="inlineStr">
        <is>
          <t>昨年実績</t>
        </is>
      </c>
      <c r="J19" s="364">
        <f>IF($G19="","",IF($H19=1,$G19-ROUND($G19*10/23,0)-2*ROUND($G19/23,0),IF($H19=2,$G19,0)))</f>
        <v>49500</v>
      </c>
      <c r="K19" s="364">
        <f>IF($G19="","",IF($H19=1,ROUND($G19*10/23,0),IF($H19=3,$G19-2*ROUND($G19/12,0),IF($H19=4,$G19,IF(OR($H19=5,$H19=7),ROUND($G19*10/11,0),0)))))</f>
        <v>0</v>
      </c>
      <c r="L19" s="364">
        <f>IF($G19="","",IF($H19=1,ROUND($G19/23,0),IF($H19=3,ROUND($G19/12,0),IF($H19=5,$G19-ROUND($G19*10/11,0),IF($H19=8,$G19,0)))))</f>
        <v>0</v>
      </c>
      <c r="M19" s="364">
        <f>IF($G19="","",IF($H19=1,ROUND($G19/23,0),IF($H19=3,ROUND($G19/12,0),IF($H19=6,$G19,IF($H19=7,$G19-ROUND($G19*10/11,0),0)))))</f>
        <v>0</v>
      </c>
      <c r="N19" s="364">
        <f>IF($G19="","",K19+L19+M19)</f>
        <v>0</v>
      </c>
      <c r="O19" s="365" t="str">
        <f>IF($G19="","",IFERROR(VLOOKUP($D19&amp;"|"&amp;$E19,科目表!$A$5:$B$200,2,FALSE),"※未登録"))</f>
        <v>図書印刷費</v>
      </c>
      <c r="P19" s="359">
        <f>IF(OR($G19="",$C19=""),"",IF($B19="決算整理",13,MOD(MONTH($C19)-4,12)+1))</f>
        <v>2</v>
      </c>
      <c r="Q19" s="366" t="str">
        <f>IF($G19="","",TRIM(IF(J19+K19+L19+M19&lt;&gt;$G19,"按分不一致 ","")&amp;IF(O19="※未登録","科目未登録 ","")&amp;IF(OR($H19="",ISERROR(MATCH($H19,{1,2,3,4,5,6,7,8},0))),"経費区分? ","")&amp;IF($I19="","状態未設定 ","")&amp;IF(AND(OR($I19="確認済",$I19="未確認"),$B19="月例",OR($C19="",$C19&lt;DATE(年度+2018,4,1),$C19&gt;DATE(年度+2019,3,31))),"年度外の日付 ","")&amp;IF(AND(OR($I19="確認済",$I19="未確認"),O19="対象外"),"対象外の科目 ","")))</f>
        <v/>
      </c>
      <c r="R19" s="366" t="inlineStr">
        <is>
          <t>月例!19</t>
        </is>
      </c>
    </row>
    <row r="20">
      <c r="A20" s="359" t="n">
        <v>16</v>
      </c>
      <c r="B20" s="360" t="inlineStr">
        <is>
          <t>月例</t>
        </is>
      </c>
      <c r="C20" s="361" t="n">
        <v>45061</v>
      </c>
      <c r="D20" s="362" t="inlineStr">
        <is>
          <t>事務費</t>
        </is>
      </c>
      <c r="E20" s="362" t="inlineStr">
        <is>
          <t>図書印刷費</t>
        </is>
      </c>
      <c r="F20" s="362" t="inlineStr">
        <is>
          <t>定年延長と共済組合制度　３０部</t>
        </is>
      </c>
      <c r="G20" s="363" t="n">
        <v>2970</v>
      </c>
      <c r="H20" s="360" t="n">
        <v>3</v>
      </c>
      <c r="I20" s="360" t="inlineStr">
        <is>
          <t>昨年実績</t>
        </is>
      </c>
      <c r="J20" s="364">
        <f>IF($G20="","",IF($H20=1,$G20-ROUND($G20*10/23,0)-2*ROUND($G20/23,0),IF($H20=2,$G20,0)))</f>
        <v>0</v>
      </c>
      <c r="K20" s="364">
        <f>IF($G20="","",IF($H20=1,ROUND($G20*10/23,0),IF($H20=3,$G20-2*ROUND($G20/12,0),IF($H20=4,$G20,IF(OR($H20=5,$H20=7),ROUND($G20*10/11,0),0)))))</f>
        <v>2474</v>
      </c>
      <c r="L20" s="364">
        <f>IF($G20="","",IF($H20=1,ROUND($G20/23,0),IF($H20=3,ROUND($G20/12,0),IF($H20=5,$G20-ROUND($G20*10/11,0),IF($H20=8,$G20,0)))))</f>
        <v>248</v>
      </c>
      <c r="M20" s="364">
        <f>IF($G20="","",IF($H20=1,ROUND($G20/23,0),IF($H20=3,ROUND($G20/12,0),IF($H20=6,$G20,IF($H20=7,$G20-ROUND($G20*10/11,0),0)))))</f>
        <v>248</v>
      </c>
      <c r="N20" s="364">
        <f>IF($G20="","",K20+L20+M20)</f>
        <v>2970</v>
      </c>
      <c r="O20" s="365" t="str">
        <f>IF($G20="","",IFERROR(VLOOKUP($D20&amp;"|"&amp;$E20,科目表!$A$5:$B$200,2,FALSE),"※未登録"))</f>
        <v>図書印刷費</v>
      </c>
      <c r="P20" s="359">
        <f>IF(OR($G20="",$C20=""),"",IF($B20="決算整理",13,MOD(MONTH($C20)-4,12)+1))</f>
        <v>2</v>
      </c>
      <c r="Q20" s="366" t="str">
        <f>IF($G20="","",TRIM(IF(J20+K20+L20+M20&lt;&gt;$G20,"按分不一致 ","")&amp;IF(O20="※未登録","科目未登録 ","")&amp;IF(OR($H20="",ISERROR(MATCH($H20,{1,2,3,4,5,6,7,8},0))),"経費区分? ","")&amp;IF($I20="","状態未設定 ","")&amp;IF(AND(OR($I20="確認済",$I20="未確認"),$B20="月例",OR($C20="",$C20&lt;DATE(年度+2018,4,1),$C20&gt;DATE(年度+2019,3,31))),"年度外の日付 ","")&amp;IF(AND(OR($I20="確認済",$I20="未確認"),O20="対象外"),"対象外の科目 ","")))</f>
        <v/>
      </c>
      <c r="R20" s="366" t="inlineStr">
        <is>
          <t>月例!20</t>
        </is>
      </c>
    </row>
    <row r="21">
      <c r="A21" s="359" t="n">
        <v>17</v>
      </c>
      <c r="B21" s="360" t="inlineStr">
        <is>
          <t>月例</t>
        </is>
      </c>
      <c r="C21" s="361" t="n">
        <v>45477</v>
      </c>
      <c r="D21" s="362" t="inlineStr">
        <is>
          <t>事務費</t>
        </is>
      </c>
      <c r="E21" s="362" t="inlineStr">
        <is>
          <t>図書印刷費</t>
        </is>
      </c>
      <c r="F21" s="362" t="inlineStr">
        <is>
          <t>組合員原票（Ａ４）８００部　ほか</t>
        </is>
      </c>
      <c r="G21" s="363" t="n">
        <v>133650</v>
      </c>
      <c r="H21" s="360" t="n">
        <v>3</v>
      </c>
      <c r="I21" s="360" t="inlineStr">
        <is>
          <t>昨年実績</t>
        </is>
      </c>
      <c r="J21" s="364">
        <f>IF($G21="","",IF($H21=1,$G21-ROUND($G21*10/23,0)-2*ROUND($G21/23,0),IF($H21=2,$G21,0)))</f>
        <v>0</v>
      </c>
      <c r="K21" s="364">
        <f>IF($G21="","",IF($H21=1,ROUND($G21*10/23,0),IF($H21=3,$G21-2*ROUND($G21/12,0),IF($H21=4,$G21,IF(OR($H21=5,$H21=7),ROUND($G21*10/11,0),0)))))</f>
        <v>111374</v>
      </c>
      <c r="L21" s="364">
        <f>IF($G21="","",IF($H21=1,ROUND($G21/23,0),IF($H21=3,ROUND($G21/12,0),IF($H21=5,$G21-ROUND($G21*10/11,0),IF($H21=8,$G21,0)))))</f>
        <v>11138</v>
      </c>
      <c r="M21" s="364">
        <f>IF($G21="","",IF($H21=1,ROUND($G21/23,0),IF($H21=3,ROUND($G21/12,0),IF($H21=6,$G21,IF($H21=7,$G21-ROUND($G21*10/11,0),0)))))</f>
        <v>11138</v>
      </c>
      <c r="N21" s="364">
        <f>IF($G21="","",K21+L21+M21)</f>
        <v>133650</v>
      </c>
      <c r="O21" s="365" t="str">
        <f>IF($G21="","",IFERROR(VLOOKUP($D21&amp;"|"&amp;$E21,科目表!$A$5:$B$200,2,FALSE),"※未登録"))</f>
        <v>図書印刷費</v>
      </c>
      <c r="P21" s="359">
        <f>IF(OR($G21="",$C21=""),"",IF($B21="決算整理",13,MOD(MONTH($C21)-4,12)+1))</f>
        <v>4</v>
      </c>
      <c r="Q21" s="366" t="str">
        <f>IF($G21="","",TRIM(IF(J21+K21+L21+M21&lt;&gt;$G21,"按分不一致 ","")&amp;IF(O21="※未登録","科目未登録 ","")&amp;IF(OR($H21="",ISERROR(MATCH($H21,{1,2,3,4,5,6,7,8},0))),"経費区分? ","")&amp;IF($I21="","状態未設定 ","")&amp;IF(AND(OR($I21="確認済",$I21="未確認"),$B21="月例",OR($C21="",$C21&lt;DATE(年度+2018,4,1),$C21&gt;DATE(年度+2019,3,31))),"年度外の日付 ","")&amp;IF(AND(OR($I21="確認済",$I21="未確認"),O21="対象外"),"対象外の科目 ","")))</f>
        <v/>
      </c>
      <c r="R21" s="366" t="inlineStr">
        <is>
          <t>月例!21</t>
        </is>
      </c>
    </row>
    <row r="22">
      <c r="A22" s="359" t="n">
        <v>18</v>
      </c>
      <c r="B22" s="360" t="inlineStr">
        <is>
          <t>月例</t>
        </is>
      </c>
      <c r="C22" s="361" t="n">
        <v>44377</v>
      </c>
      <c r="D22" s="362" t="inlineStr">
        <is>
          <t>事務費</t>
        </is>
      </c>
      <c r="E22" s="362" t="inlineStr">
        <is>
          <t>事務用消耗品費</t>
        </is>
      </c>
      <c r="F22" s="362" t="inlineStr">
        <is>
          <t>鋳造ゴム印　３号以下214字　他</t>
        </is>
      </c>
      <c r="G22" s="363" t="n">
        <v>9733</v>
      </c>
      <c r="H22" s="360" t="n">
        <v>3</v>
      </c>
      <c r="I22" s="360" t="inlineStr">
        <is>
          <t>昨年実績</t>
        </is>
      </c>
      <c r="J22" s="364">
        <f>IF($G22="","",IF($H22=1,$G22-ROUND($G22*10/23,0)-2*ROUND($G22/23,0),IF($H22=2,$G22,0)))</f>
        <v>0</v>
      </c>
      <c r="K22" s="364">
        <f>IF($G22="","",IF($H22=1,ROUND($G22*10/23,0),IF($H22=3,$G22-2*ROUND($G22/12,0),IF($H22=4,$G22,IF(OR($H22=5,$H22=7),ROUND($G22*10/11,0),0)))))</f>
        <v>8111</v>
      </c>
      <c r="L22" s="364">
        <f>IF($G22="","",IF($H22=1,ROUND($G22/23,0),IF($H22=3,ROUND($G22/12,0),IF($H22=5,$G22-ROUND($G22*10/11,0),IF($H22=8,$G22,0)))))</f>
        <v>811</v>
      </c>
      <c r="M22" s="364">
        <f>IF($G22="","",IF($H22=1,ROUND($G22/23,0),IF($H22=3,ROUND($G22/12,0),IF($H22=6,$G22,IF($H22=7,$G22-ROUND($G22*10/11,0),0)))))</f>
        <v>811</v>
      </c>
      <c r="N22" s="364">
        <f>IF($G22="","",K22+L22+M22)</f>
        <v>9733</v>
      </c>
      <c r="O22" s="365" t="str">
        <f>IF($G22="","",IFERROR(VLOOKUP($D22&amp;"|"&amp;$E22,科目表!$A$5:$B$200,2,FALSE),"※未登録"))</f>
        <v>事務用消耗品費</v>
      </c>
      <c r="P22" s="359">
        <f>IF(OR($G22="",$C22=""),"",IF($B22="決算整理",13,MOD(MONTH($C22)-4,12)+1))</f>
        <v>3</v>
      </c>
      <c r="Q22" s="366" t="str">
        <f>IF($G22="","",TRIM(IF(J22+K22+L22+M22&lt;&gt;$G22,"按分不一致 ","")&amp;IF(O22="※未登録","科目未登録 ","")&amp;IF(OR($H22="",ISERROR(MATCH($H22,{1,2,3,4,5,6,7,8},0))),"経費区分? ","")&amp;IF($I22="","状態未設定 ","")&amp;IF(AND(OR($I22="確認済",$I22="未確認"),$B22="月例",OR($C22="",$C22&lt;DATE(年度+2018,4,1),$C22&gt;DATE(年度+2019,3,31))),"年度外の日付 ","")&amp;IF(AND(OR($I22="確認済",$I22="未確認"),O22="対象外"),"対象外の科目 ","")))</f>
        <v/>
      </c>
      <c r="R22" s="366" t="inlineStr">
        <is>
          <t>月例!22</t>
        </is>
      </c>
    </row>
    <row r="23">
      <c r="A23" s="359" t="n">
        <v>19</v>
      </c>
      <c r="B23" s="360" t="inlineStr">
        <is>
          <t>月例</t>
        </is>
      </c>
      <c r="C23" s="361" t="n">
        <v>46171</v>
      </c>
      <c r="D23" s="362" t="inlineStr">
        <is>
          <t>事務費</t>
        </is>
      </c>
      <c r="E23" s="362" t="inlineStr">
        <is>
          <t>事務用消耗品費</t>
        </is>
      </c>
      <c r="F23" s="362" t="inlineStr">
        <is>
          <t>ラベル用紙　LBP-F7656-100N　２冊　他</t>
        </is>
      </c>
      <c r="G23" s="363" t="n">
        <v>43890</v>
      </c>
      <c r="H23" s="360" t="n">
        <v>2</v>
      </c>
      <c r="I23" s="360" t="inlineStr">
        <is>
          <t>確認済</t>
        </is>
      </c>
      <c r="J23" s="364">
        <f>IF($G23="","",IF($H23=1,$G23-ROUND($G23*10/23,0)-2*ROUND($G23/23,0),IF($H23=2,$G23,0)))</f>
        <v>43890</v>
      </c>
      <c r="K23" s="364">
        <f>IF($G23="","",IF($H23=1,ROUND($G23*10/23,0),IF($H23=3,$G23-2*ROUND($G23/12,0),IF($H23=4,$G23,IF(OR($H23=5,$H23=7),ROUND($G23*10/11,0),0)))))</f>
        <v>0</v>
      </c>
      <c r="L23" s="364">
        <f>IF($G23="","",IF($H23=1,ROUND($G23/23,0),IF($H23=3,ROUND($G23/12,0),IF($H23=5,$G23-ROUND($G23*10/11,0),IF($H23=8,$G23,0)))))</f>
        <v>0</v>
      </c>
      <c r="M23" s="364">
        <f>IF($G23="","",IF($H23=1,ROUND($G23/23,0),IF($H23=3,ROUND($G23/12,0),IF($H23=6,$G23,IF($H23=7,$G23-ROUND($G23*10/11,0),0)))))</f>
        <v>0</v>
      </c>
      <c r="N23" s="364">
        <f>IF($G23="","",K23+L23+M23)</f>
        <v>0</v>
      </c>
      <c r="O23" s="365" t="str">
        <f>IF($G23="","",IFERROR(VLOOKUP($D23&amp;"|"&amp;$E23,科目表!$A$5:$B$200,2,FALSE),"※未登録"))</f>
        <v>事務用消耗品費</v>
      </c>
      <c r="P23" s="359">
        <f>IF(OR($G23="",$C23=""),"",IF($B23="決算整理",13,MOD(MONTH($C23)-4,12)+1))</f>
        <v>2</v>
      </c>
      <c r="Q23" s="366" t="str">
        <f>IF($G23="","",TRIM(IF(J23+K23+L23+M23&lt;&gt;$G23,"按分不一致 ","")&amp;IF(O23="※未登録","科目未登録 ","")&amp;IF(OR($H23="",ISERROR(MATCH($H23,{1,2,3,4,5,6,7,8},0))),"経費区分? ","")&amp;IF($I23="","状態未設定 ","")&amp;IF(AND(OR($I23="確認済",$I23="未確認"),$B23="月例",OR($C23="",$C23&lt;DATE(年度+2018,4,1),$C23&gt;DATE(年度+2019,3,31))),"年度外の日付 ","")&amp;IF(AND(OR($I23="確認済",$I23="未確認"),O23="対象外"),"対象外の科目 ","")))</f>
        <v/>
      </c>
      <c r="R23" s="366" t="inlineStr">
        <is>
          <t>月例!23</t>
        </is>
      </c>
    </row>
    <row r="24">
      <c r="A24" s="359" t="n">
        <v>20</v>
      </c>
      <c r="B24" s="360" t="inlineStr">
        <is>
          <t>月例</t>
        </is>
      </c>
      <c r="C24" s="361" t="n">
        <v>46154</v>
      </c>
      <c r="D24" s="362" t="inlineStr">
        <is>
          <t>事務費負担金払込金</t>
        </is>
      </c>
      <c r="E24" s="362" t="n"/>
      <c r="F24" s="362" t="inlineStr">
        <is>
          <t>４月分事務費負担金払込金と連合会交付金との相殺</t>
        </is>
      </c>
      <c r="G24" s="363" t="n">
        <v>5366000</v>
      </c>
      <c r="H24" s="360" t="n">
        <v>5</v>
      </c>
      <c r="I24" s="360" t="inlineStr">
        <is>
          <t>確認済</t>
        </is>
      </c>
      <c r="J24" s="364">
        <f>IF($G24="","",IF($H24=1,$G24-ROUND($G24*10/23,0)-2*ROUND($G24/23,0),IF($H24=2,$G24,0)))</f>
        <v>0</v>
      </c>
      <c r="K24" s="364">
        <f>IF($G24="","",IF($H24=1,ROUND($G24*10/23,0),IF($H24=3,$G24-2*ROUND($G24/12,0),IF($H24=4,$G24,IF(OR($H24=5,$H24=7),ROUND($G24*10/11,0),0)))))</f>
        <v>4878182</v>
      </c>
      <c r="L24" s="364">
        <f>IF($G24="","",IF($H24=1,ROUND($G24/23,0),IF($H24=3,ROUND($G24/12,0),IF($H24=5,$G24-ROUND($G24*10/11,0),IF($H24=8,$G24,0)))))</f>
        <v>487818</v>
      </c>
      <c r="M24" s="364">
        <f>IF($G24="","",IF($H24=1,ROUND($G24/23,0),IF($H24=3,ROUND($G24/12,0),IF($H24=6,$G24,IF($H24=7,$G24-ROUND($G24*10/11,0),0)))))</f>
        <v>0</v>
      </c>
      <c r="N24" s="364">
        <f>IF($G24="","",K24+L24+M24)</f>
        <v>5366000</v>
      </c>
      <c r="O24" s="365" t="str">
        <f>IF($G24="","",IFERROR(VLOOKUP($D24&amp;"|"&amp;$E24,科目表!$A$5:$B$200,2,FALSE),"※未登録"))</f>
        <v>事務費負担金払込金</v>
      </c>
      <c r="P24" s="359">
        <f>IF(OR($G24="",$C24=""),"",IF($B24="決算整理",13,MOD(MONTH($C24)-4,12)+1))</f>
        <v>2</v>
      </c>
      <c r="Q24" s="366" t="str">
        <f>IF($G24="","",TRIM(IF(J24+K24+L24+M24&lt;&gt;$G24,"按分不一致 ","")&amp;IF(O24="※未登録","科目未登録 ","")&amp;IF(OR($H24="",ISERROR(MATCH($H24,{1,2,3,4,5,6,7,8},0))),"経費区分? ","")&amp;IF($I24="","状態未設定 ","")&amp;IF(AND(OR($I24="確認済",$I24="未確認"),$B24="月例",OR($C24="",$C24&lt;DATE(年度+2018,4,1),$C24&gt;DATE(年度+2019,3,31))),"年度外の日付 ","")&amp;IF(AND(OR($I24="確認済",$I24="未確認"),O24="対象外"),"対象外の科目 ","")))</f>
        <v/>
      </c>
      <c r="R24" s="366" t="inlineStr">
        <is>
          <t>月例!24</t>
        </is>
      </c>
    </row>
    <row r="25">
      <c r="A25" s="359" t="n">
        <v>21</v>
      </c>
      <c r="B25" s="360" t="inlineStr">
        <is>
          <t>月例</t>
        </is>
      </c>
      <c r="C25" s="361" t="n">
        <v>46139</v>
      </c>
      <c r="D25" s="362" t="inlineStr">
        <is>
          <t>負担金</t>
        </is>
      </c>
      <c r="E25" s="362" t="inlineStr">
        <is>
          <t>負担金</t>
        </is>
      </c>
      <c r="F25" s="362" t="inlineStr">
        <is>
          <t>共済短期・介護・子ども子育て負担金（4月月例分）長期</t>
        </is>
      </c>
      <c r="G25" s="363" t="n">
        <v>22035</v>
      </c>
      <c r="H25" s="360" t="n">
        <v>3</v>
      </c>
      <c r="I25" s="360" t="inlineStr">
        <is>
          <t>確認済</t>
        </is>
      </c>
      <c r="J25" s="364">
        <f>IF($G25="","",IF($H25=1,$G25-ROUND($G25*10/23,0)-2*ROUND($G25/23,0),IF($H25=2,$G25,0)))</f>
        <v>0</v>
      </c>
      <c r="K25" s="364">
        <f>IF($G25="","",IF($H25=1,ROUND($G25*10/23,0),IF($H25=3,$G25-2*ROUND($G25/12,0),IF($H25=4,$G25,IF(OR($H25=5,$H25=7),ROUND($G25*10/11,0),0)))))</f>
        <v>18363</v>
      </c>
      <c r="L25" s="364">
        <f>IF($G25="","",IF($H25=1,ROUND($G25/23,0),IF($H25=3,ROUND($G25/12,0),IF($H25=5,$G25-ROUND($G25*10/11,0),IF($H25=8,$G25,0)))))</f>
        <v>1836</v>
      </c>
      <c r="M25" s="364">
        <f>IF($G25="","",IF($H25=1,ROUND($G25/23,0),IF($H25=3,ROUND($G25/12,0),IF($H25=6,$G25,IF($H25=7,$G25-ROUND($G25*10/11,0),0)))))</f>
        <v>1836</v>
      </c>
      <c r="N25" s="364">
        <f>IF($G25="","",K25+L25+M25)</f>
        <v>22035</v>
      </c>
      <c r="O25" s="365" t="str">
        <f>IF($G25="","",IFERROR(VLOOKUP($D25&amp;"|"&amp;$E25,科目表!$A$5:$B$200,2,FALSE),"※未登録"))</f>
        <v>共済負担金等</v>
      </c>
      <c r="P25" s="359">
        <f>IF(OR($G25="",$C25=""),"",IF($B25="決算整理",13,MOD(MONTH($C25)-4,12)+1))</f>
        <v>1</v>
      </c>
      <c r="Q25" s="366" t="str">
        <f>IF($G25="","",TRIM(IF(J25+K25+L25+M25&lt;&gt;$G25,"按分不一致 ","")&amp;IF(O25="※未登録","科目未登録 ","")&amp;IF(OR($H25="",ISERROR(MATCH($H25,{1,2,3,4,5,6,7,8},0))),"経費区分? ","")&amp;IF($I25="","状態未設定 ","")&amp;IF(AND(OR($I25="確認済",$I25="未確認"),$B25="月例",OR($C25="",$C25&lt;DATE(年度+2018,4,1),$C25&gt;DATE(年度+2019,3,31))),"年度外の日付 ","")&amp;IF(AND(OR($I25="確認済",$I25="未確認"),O25="対象外"),"対象外の科目 ","")))</f>
        <v/>
      </c>
      <c r="R25" s="366" t="inlineStr">
        <is>
          <t>月例!25</t>
        </is>
      </c>
    </row>
    <row r="26">
      <c r="A26" s="359" t="n">
        <v>22</v>
      </c>
      <c r="B26" s="360" t="inlineStr">
        <is>
          <t>月例</t>
        </is>
      </c>
      <c r="C26" s="361" t="n">
        <v>46139</v>
      </c>
      <c r="D26" s="362" t="inlineStr">
        <is>
          <t>負担金</t>
        </is>
      </c>
      <c r="E26" s="362" t="inlineStr">
        <is>
          <t>負担金</t>
        </is>
      </c>
      <c r="F26" s="362" t="inlineStr">
        <is>
          <t>共済短期・介護・子ども子育て負担金（4月月例分）短期</t>
        </is>
      </c>
      <c r="G26" s="363" t="n">
        <v>37074</v>
      </c>
      <c r="H26" s="360" t="n">
        <v>2</v>
      </c>
      <c r="I26" s="360" t="inlineStr">
        <is>
          <t>確認済</t>
        </is>
      </c>
      <c r="J26" s="364">
        <f>IF($G26="","",IF($H26=1,$G26-ROUND($G26*10/23,0)-2*ROUND($G26/23,0),IF($H26=2,$G26,0)))</f>
        <v>37074</v>
      </c>
      <c r="K26" s="364">
        <f>IF($G26="","",IF($H26=1,ROUND($G26*10/23,0),IF($H26=3,$G26-2*ROUND($G26/12,0),IF($H26=4,$G26,IF(OR($H26=5,$H26=7),ROUND($G26*10/11,0),0)))))</f>
        <v>0</v>
      </c>
      <c r="L26" s="364">
        <f>IF($G26="","",IF($H26=1,ROUND($G26/23,0),IF($H26=3,ROUND($G26/12,0),IF($H26=5,$G26-ROUND($G26*10/11,0),IF($H26=8,$G26,0)))))</f>
        <v>0</v>
      </c>
      <c r="M26" s="364">
        <f>IF($G26="","",IF($H26=1,ROUND($G26/23,0),IF($H26=3,ROUND($G26/12,0),IF($H26=6,$G26,IF($H26=7,$G26-ROUND($G26*10/11,0),0)))))</f>
        <v>0</v>
      </c>
      <c r="N26" s="364">
        <f>IF($G26="","",K26+L26+M26)</f>
        <v>0</v>
      </c>
      <c r="O26" s="365" t="str">
        <f>IF($G26="","",IFERROR(VLOOKUP($D26&amp;"|"&amp;$E26,科目表!$A$5:$B$200,2,FALSE),"※未登録"))</f>
        <v>共済負担金等</v>
      </c>
      <c r="P26" s="359">
        <f>IF(OR($G26="",$C26=""),"",IF($B26="決算整理",13,MOD(MONTH($C26)-4,12)+1))</f>
        <v>1</v>
      </c>
      <c r="Q26" s="366" t="str">
        <f>IF($G26="","",TRIM(IF(J26+K26+L26+M26&lt;&gt;$G26,"按分不一致 ","")&amp;IF(O26="※未登録","科目未登録 ","")&amp;IF(OR($H26="",ISERROR(MATCH($H26,{1,2,3,4,5,6,7,8},0))),"経費区分? ","")&amp;IF($I26="","状態未設定 ","")&amp;IF(AND(OR($I26="確認済",$I26="未確認"),$B26="月例",OR($C26="",$C26&lt;DATE(年度+2018,4,1),$C26&gt;DATE(年度+2019,3,31))),"年度外の日付 ","")&amp;IF(AND(OR($I26="確認済",$I26="未確認"),O26="対象外"),"対象外の科目 ","")))</f>
        <v/>
      </c>
      <c r="R26" s="366" t="inlineStr">
        <is>
          <t>月例!26</t>
        </is>
      </c>
    </row>
    <row r="27">
      <c r="A27" s="359" t="n">
        <v>23</v>
      </c>
      <c r="B27" s="360" t="inlineStr">
        <is>
          <t>月例</t>
        </is>
      </c>
      <c r="C27" s="361" t="n">
        <v>46153</v>
      </c>
      <c r="D27" s="362" t="inlineStr">
        <is>
          <t>事務費</t>
        </is>
      </c>
      <c r="E27" s="362" t="inlineStr">
        <is>
          <t>送金料</t>
        </is>
      </c>
      <c r="F27" s="362" t="inlineStr">
        <is>
          <t>振込手数料（広銀）４月分　長期分</t>
        </is>
      </c>
      <c r="G27" s="363" t="n">
        <v>18493</v>
      </c>
      <c r="H27" s="360" t="n">
        <v>3</v>
      </c>
      <c r="I27" s="360" t="inlineStr">
        <is>
          <t>確認済</t>
        </is>
      </c>
      <c r="J27" s="364">
        <f>IF($G27="","",IF($H27=1,$G27-ROUND($G27*10/23,0)-2*ROUND($G27/23,0),IF($H27=2,$G27,0)))</f>
        <v>0</v>
      </c>
      <c r="K27" s="364">
        <f>IF($G27="","",IF($H27=1,ROUND($G27*10/23,0),IF($H27=3,$G27-2*ROUND($G27/12,0),IF($H27=4,$G27,IF(OR($H27=5,$H27=7),ROUND($G27*10/11,0),0)))))</f>
        <v>15411</v>
      </c>
      <c r="L27" s="364">
        <f>IF($G27="","",IF($H27=1,ROUND($G27/23,0),IF($H27=3,ROUND($G27/12,0),IF($H27=5,$G27-ROUND($G27*10/11,0),IF($H27=8,$G27,0)))))</f>
        <v>1541</v>
      </c>
      <c r="M27" s="364">
        <f>IF($G27="","",IF($H27=1,ROUND($G27/23,0),IF($H27=3,ROUND($G27/12,0),IF($H27=6,$G27,IF($H27=7,$G27-ROUND($G27*10/11,0),0)))))</f>
        <v>1541</v>
      </c>
      <c r="N27" s="364">
        <f>IF($G27="","",K27+L27+M27)</f>
        <v>18493</v>
      </c>
      <c r="O27" s="365" t="str">
        <f>IF($G27="","",IFERROR(VLOOKUP($D27&amp;"|"&amp;$E27,科目表!$A$5:$B$200,2,FALSE),"※未登録"))</f>
        <v>送金料</v>
      </c>
      <c r="P27" s="359">
        <f>IF(OR($G27="",$C27=""),"",IF($B27="決算整理",13,MOD(MONTH($C27)-4,12)+1))</f>
        <v>2</v>
      </c>
      <c r="Q27" s="366" t="str">
        <f>IF($G27="","",TRIM(IF(J27+K27+L27+M27&lt;&gt;$G27,"按分不一致 ","")&amp;IF(O27="※未登録","科目未登録 ","")&amp;IF(OR($H27="",ISERROR(MATCH($H27,{1,2,3,4,5,6,7,8},0))),"経費区分? ","")&amp;IF($I27="","状態未設定 ","")&amp;IF(AND(OR($I27="確認済",$I27="未確認"),$B27="月例",OR($C27="",$C27&lt;DATE(年度+2018,4,1),$C27&gt;DATE(年度+2019,3,31))),"年度外の日付 ","")&amp;IF(AND(OR($I27="確認済",$I27="未確認"),O27="対象外"),"対象外の科目 ","")))</f>
        <v/>
      </c>
      <c r="R27" s="366" t="inlineStr">
        <is>
          <t>月例!27</t>
        </is>
      </c>
    </row>
    <row r="28">
      <c r="A28" s="359" t="n">
        <v>24</v>
      </c>
      <c r="B28" s="360" t="inlineStr">
        <is>
          <t>月例</t>
        </is>
      </c>
      <c r="C28" s="361" t="n">
        <v>46153</v>
      </c>
      <c r="D28" s="362" t="inlineStr">
        <is>
          <t>事務費</t>
        </is>
      </c>
      <c r="E28" s="362" t="inlineStr">
        <is>
          <t>送金料</t>
        </is>
      </c>
      <c r="F28" s="362" t="inlineStr">
        <is>
          <t>振込手数料（広銀）４月分　短期分</t>
        </is>
      </c>
      <c r="G28" s="363" t="n">
        <v>139883</v>
      </c>
      <c r="H28" s="360" t="n">
        <v>2</v>
      </c>
      <c r="I28" s="360" t="inlineStr">
        <is>
          <t>確認済</t>
        </is>
      </c>
      <c r="J28" s="364">
        <f>IF($G28="","",IF($H28=1,$G28-ROUND($G28*10/23,0)-2*ROUND($G28/23,0),IF($H28=2,$G28,0)))</f>
        <v>139883</v>
      </c>
      <c r="K28" s="364">
        <f>IF($G28="","",IF($H28=1,ROUND($G28*10/23,0),IF($H28=3,$G28-2*ROUND($G28/12,0),IF($H28=4,$G28,IF(OR($H28=5,$H28=7),ROUND($G28*10/11,0),0)))))</f>
        <v>0</v>
      </c>
      <c r="L28" s="364">
        <f>IF($G28="","",IF($H28=1,ROUND($G28/23,0),IF($H28=3,ROUND($G28/12,0),IF($H28=5,$G28-ROUND($G28*10/11,0),IF($H28=8,$G28,0)))))</f>
        <v>0</v>
      </c>
      <c r="M28" s="364">
        <f>IF($G28="","",IF($H28=1,ROUND($G28/23,0),IF($H28=3,ROUND($G28/12,0),IF($H28=6,$G28,IF($H28=7,$G28-ROUND($G28*10/11,0),0)))))</f>
        <v>0</v>
      </c>
      <c r="N28" s="364">
        <f>IF($G28="","",K28+L28+M28)</f>
        <v>0</v>
      </c>
      <c r="O28" s="365" t="str">
        <f>IF($G28="","",IFERROR(VLOOKUP($D28&amp;"|"&amp;$E28,科目表!$A$5:$B$200,2,FALSE),"※未登録"))</f>
        <v>送金料</v>
      </c>
      <c r="P28" s="359">
        <f>IF(OR($G28="",$C28=""),"",IF($B28="決算整理",13,MOD(MONTH($C28)-4,12)+1))</f>
        <v>2</v>
      </c>
      <c r="Q28" s="366" t="str">
        <f>IF($G28="","",TRIM(IF(J28+K28+L28+M28&lt;&gt;$G28,"按分不一致 ","")&amp;IF(O28="※未登録","科目未登録 ","")&amp;IF(OR($H28="",ISERROR(MATCH($H28,{1,2,3,4,5,6,7,8},0))),"経費区分? ","")&amp;IF($I28="","状態未設定 ","")&amp;IF(AND(OR($I28="確認済",$I28="未確認"),$B28="月例",OR($C28="",$C28&lt;DATE(年度+2018,4,1),$C28&gt;DATE(年度+2019,3,31))),"年度外の日付 ","")&amp;IF(AND(OR($I28="確認済",$I28="未確認"),O28="対象外"),"対象外の科目 ","")))</f>
        <v/>
      </c>
      <c r="R28" s="366" t="inlineStr">
        <is>
          <t>月例!28</t>
        </is>
      </c>
    </row>
    <row r="29">
      <c r="A29" s="359" t="n">
        <v>25</v>
      </c>
      <c r="B29" s="360" t="inlineStr">
        <is>
          <t>月例</t>
        </is>
      </c>
      <c r="C29" s="361" t="n">
        <v>46171</v>
      </c>
      <c r="D29" s="362" t="inlineStr">
        <is>
          <t>事務費</t>
        </is>
      </c>
      <c r="E29" s="362" t="inlineStr">
        <is>
          <t>事務用消耗品費</t>
        </is>
      </c>
      <c r="F29" s="362" t="inlineStr">
        <is>
          <t>ダイヤルロック　UNK-02 7個　他</t>
        </is>
      </c>
      <c r="G29" s="363" t="n">
        <v>14518</v>
      </c>
      <c r="H29" s="360" t="n">
        <v>2</v>
      </c>
      <c r="I29" s="360" t="inlineStr">
        <is>
          <t>確認済</t>
        </is>
      </c>
      <c r="J29" s="364">
        <f>IF($G29="","",IF($H29=1,$G29-ROUND($G29*10/23,0)-2*ROUND($G29/23,0),IF($H29=2,$G29,0)))</f>
        <v>14518</v>
      </c>
      <c r="K29" s="364">
        <f>IF($G29="","",IF($H29=1,ROUND($G29*10/23,0),IF($H29=3,$G29-2*ROUND($G29/12,0),IF($H29=4,$G29,IF(OR($H29=5,$H29=7),ROUND($G29*10/11,0),0)))))</f>
        <v>0</v>
      </c>
      <c r="L29" s="364">
        <f>IF($G29="","",IF($H29=1,ROUND($G29/23,0),IF($H29=3,ROUND($G29/12,0),IF($H29=5,$G29-ROUND($G29*10/11,0),IF($H29=8,$G29,0)))))</f>
        <v>0</v>
      </c>
      <c r="M29" s="364">
        <f>IF($G29="","",IF($H29=1,ROUND($G29/23,0),IF($H29=3,ROUND($G29/12,0),IF($H29=6,$G29,IF($H29=7,$G29-ROUND($G29*10/11,0),0)))))</f>
        <v>0</v>
      </c>
      <c r="N29" s="364">
        <f>IF($G29="","",K29+L29+M29)</f>
        <v>0</v>
      </c>
      <c r="O29" s="365" t="str">
        <f>IF($G29="","",IFERROR(VLOOKUP($D29&amp;"|"&amp;$E29,科目表!$A$5:$B$200,2,FALSE),"※未登録"))</f>
        <v>事務用消耗品費</v>
      </c>
      <c r="P29" s="359">
        <f>IF(OR($G29="",$C29=""),"",IF($B29="決算整理",13,MOD(MONTH($C29)-4,12)+1))</f>
        <v>2</v>
      </c>
      <c r="Q29" s="366" t="str">
        <f>IF($G29="","",TRIM(IF(J29+K29+L29+M29&lt;&gt;$G29,"按分不一致 ","")&amp;IF(O29="※未登録","科目未登録 ","")&amp;IF(OR($H29="",ISERROR(MATCH($H29,{1,2,3,4,5,6,7,8},0))),"経費区分? ","")&amp;IF($I29="","状態未設定 ","")&amp;IF(AND(OR($I29="確認済",$I29="未確認"),$B29="月例",OR($C29="",$C29&lt;DATE(年度+2018,4,1),$C29&gt;DATE(年度+2019,3,31))),"年度外の日付 ","")&amp;IF(AND(OR($I29="確認済",$I29="未確認"),O29="対象外"),"対象外の科目 ","")))</f>
        <v/>
      </c>
      <c r="R29" s="366" t="inlineStr">
        <is>
          <t>月例!29</t>
        </is>
      </c>
    </row>
    <row r="30">
      <c r="A30" s="359" t="n">
        <v>26</v>
      </c>
      <c r="B30" s="360" t="inlineStr">
        <is>
          <t>月例</t>
        </is>
      </c>
      <c r="C30" s="361" t="n">
        <v>46171</v>
      </c>
      <c r="D30" s="362" t="inlineStr">
        <is>
          <t>賃借料</t>
        </is>
      </c>
      <c r="E30" s="362" t="n"/>
      <c r="F30" s="362" t="inlineStr">
        <is>
          <t>パソコン（業務経理用）４月分</t>
        </is>
      </c>
      <c r="G30" s="363" t="n">
        <v>5060</v>
      </c>
      <c r="H30" s="360" t="n">
        <v>2</v>
      </c>
      <c r="I30" s="360" t="inlineStr">
        <is>
          <t>確認済</t>
        </is>
      </c>
      <c r="J30" s="364">
        <f>IF($G30="","",IF($H30=1,$G30-ROUND($G30*10/23,0)-2*ROUND($G30/23,0),IF($H30=2,$G30,0)))</f>
        <v>5060</v>
      </c>
      <c r="K30" s="364">
        <f>IF($G30="","",IF($H30=1,ROUND($G30*10/23,0),IF($H30=3,$G30-2*ROUND($G30/12,0),IF($H30=4,$G30,IF(OR($H30=5,$H30=7),ROUND($G30*10/11,0),0)))))</f>
        <v>0</v>
      </c>
      <c r="L30" s="364">
        <f>IF($G30="","",IF($H30=1,ROUND($G30/23,0),IF($H30=3,ROUND($G30/12,0),IF($H30=5,$G30-ROUND($G30*10/11,0),IF($H30=8,$G30,0)))))</f>
        <v>0</v>
      </c>
      <c r="M30" s="364">
        <f>IF($G30="","",IF($H30=1,ROUND($G30/23,0),IF($H30=3,ROUND($G30/12,0),IF($H30=6,$G30,IF($H30=7,$G30-ROUND($G30*10/11,0),0)))))</f>
        <v>0</v>
      </c>
      <c r="N30" s="364">
        <f>IF($G30="","",K30+L30+M30)</f>
        <v>0</v>
      </c>
      <c r="O30" s="365" t="str">
        <f>IF($G30="","",IFERROR(VLOOKUP($D30&amp;"|"&amp;$E30,科目表!$A$5:$B$200,2,FALSE),"※未登録"))</f>
        <v>賃借料</v>
      </c>
      <c r="P30" s="359">
        <f>IF(OR($G30="",$C30=""),"",IF($B30="決算整理",13,MOD(MONTH($C30)-4,12)+1))</f>
        <v>2</v>
      </c>
      <c r="Q30" s="366" t="str">
        <f>IF($G30="","",TRIM(IF(J30+K30+L30+M30&lt;&gt;$G30,"按分不一致 ","")&amp;IF(O30="※未登録","科目未登録 ","")&amp;IF(OR($H30="",ISERROR(MATCH($H30,{1,2,3,4,5,6,7,8},0))),"経費区分? ","")&amp;IF($I30="","状態未設定 ","")&amp;IF(AND(OR($I30="確認済",$I30="未確認"),$B30="月例",OR($C30="",$C30&lt;DATE(年度+2018,4,1),$C30&gt;DATE(年度+2019,3,31))),"年度外の日付 ","")&amp;IF(AND(OR($I30="確認済",$I30="未確認"),O30="対象外"),"対象外の科目 ","")))</f>
        <v/>
      </c>
      <c r="R30" s="366" t="inlineStr">
        <is>
          <t>月例!30</t>
        </is>
      </c>
    </row>
    <row r="31">
      <c r="A31" s="359" t="n">
        <v>27</v>
      </c>
      <c r="B31" s="360" t="inlineStr">
        <is>
          <t>月例</t>
        </is>
      </c>
      <c r="C31" s="361" t="n">
        <v>46157</v>
      </c>
      <c r="D31" s="362" t="inlineStr">
        <is>
          <t>賃金</t>
        </is>
      </c>
      <c r="E31" s="362" t="n"/>
      <c r="F31" s="362" t="inlineStr">
        <is>
          <t>臨時職員賃金４月分　天畠吏梨外1名分（短期１００％）</t>
        </is>
      </c>
      <c r="G31" s="363" t="n">
        <v>425880</v>
      </c>
      <c r="H31" s="360" t="n">
        <v>2</v>
      </c>
      <c r="I31" s="360" t="inlineStr">
        <is>
          <t>確認済</t>
        </is>
      </c>
      <c r="J31" s="364">
        <f>IF($G31="","",IF($H31=1,$G31-ROUND($G31*10/23,0)-2*ROUND($G31/23,0),IF($H31=2,$G31,0)))</f>
        <v>425880</v>
      </c>
      <c r="K31" s="364">
        <f>IF($G31="","",IF($H31=1,ROUND($G31*10/23,0),IF($H31=3,$G31-2*ROUND($G31/12,0),IF($H31=4,$G31,IF(OR($H31=5,$H31=7),ROUND($G31*10/11,0),0)))))</f>
        <v>0</v>
      </c>
      <c r="L31" s="364">
        <f>IF($G31="","",IF($H31=1,ROUND($G31/23,0),IF($H31=3,ROUND($G31/12,0),IF($H31=5,$G31-ROUND($G31*10/11,0),IF($H31=8,$G31,0)))))</f>
        <v>0</v>
      </c>
      <c r="M31" s="364">
        <f>IF($G31="","",IF($H31=1,ROUND($G31/23,0),IF($H31=3,ROUND($G31/12,0),IF($H31=6,$G31,IF($H31=7,$G31-ROUND($G31*10/11,0),0)))))</f>
        <v>0</v>
      </c>
      <c r="N31" s="364">
        <f>IF($G31="","",K31+L31+M31)</f>
        <v>0</v>
      </c>
      <c r="O31" s="365" t="str">
        <f>IF($G31="","",IFERROR(VLOOKUP($D31&amp;"|"&amp;$E31,科目表!$A$5:$B$200,2,FALSE),"※未登録"))</f>
        <v>賃金</v>
      </c>
      <c r="P31" s="359">
        <f>IF(OR($G31="",$C31=""),"",IF($B31="決算整理",13,MOD(MONTH($C31)-4,12)+1))</f>
        <v>2</v>
      </c>
      <c r="Q31" s="366" t="str">
        <f>IF($G31="","",TRIM(IF(J31+K31+L31+M31&lt;&gt;$G31,"按分不一致 ","")&amp;IF(O31="※未登録","科目未登録 ","")&amp;IF(OR($H31="",ISERROR(MATCH($H31,{1,2,3,4,5,6,7,8},0))),"経費区分? ","")&amp;IF($I31="","状態未設定 ","")&amp;IF(AND(OR($I31="確認済",$I31="未確認"),$B31="月例",OR($C31="",$C31&lt;DATE(年度+2018,4,1),$C31&gt;DATE(年度+2019,3,31))),"年度外の日付 ","")&amp;IF(AND(OR($I31="確認済",$I31="未確認"),O31="対象外"),"対象外の科目 ","")))</f>
        <v/>
      </c>
      <c r="R31" s="366" t="inlineStr">
        <is>
          <t>月例!31</t>
        </is>
      </c>
    </row>
    <row r="32">
      <c r="A32" s="359" t="n">
        <v>28</v>
      </c>
      <c r="B32" s="360" t="inlineStr">
        <is>
          <t>月例</t>
        </is>
      </c>
      <c r="C32" s="361" t="n">
        <v>46162</v>
      </c>
      <c r="D32" s="362" t="inlineStr">
        <is>
          <t>委託費</t>
        </is>
      </c>
      <c r="E32" s="362" t="n"/>
      <c r="F32" s="362" t="inlineStr">
        <is>
          <t>社会保障等制度　中間サーバー等運営負担金</t>
        </is>
      </c>
      <c r="G32" s="363" t="n">
        <v>1798068</v>
      </c>
      <c r="H32" s="360" t="n">
        <v>2</v>
      </c>
      <c r="I32" s="360" t="inlineStr">
        <is>
          <t>確認済</t>
        </is>
      </c>
      <c r="J32" s="364">
        <f>IF($G32="","",IF($H32=1,$G32-ROUND($G32*10/23,0)-2*ROUND($G32/23,0),IF($H32=2,$G32,0)))</f>
        <v>1798068</v>
      </c>
      <c r="K32" s="364">
        <f>IF($G32="","",IF($H32=1,ROUND($G32*10/23,0),IF($H32=3,$G32-2*ROUND($G32/12,0),IF($H32=4,$G32,IF(OR($H32=5,$H32=7),ROUND($G32*10/11,0),0)))))</f>
        <v>0</v>
      </c>
      <c r="L32" s="364">
        <f>IF($G32="","",IF($H32=1,ROUND($G32/23,0),IF($H32=3,ROUND($G32/12,0),IF($H32=5,$G32-ROUND($G32*10/11,0),IF($H32=8,$G32,0)))))</f>
        <v>0</v>
      </c>
      <c r="M32" s="364">
        <f>IF($G32="","",IF($H32=1,ROUND($G32/23,0),IF($H32=3,ROUND($G32/12,0),IF($H32=6,$G32,IF($H32=7,$G32-ROUND($G32*10/11,0),0)))))</f>
        <v>0</v>
      </c>
      <c r="N32" s="364">
        <f>IF($G32="","",K32+L32+M32)</f>
        <v>0</v>
      </c>
      <c r="O32" s="365" t="str">
        <f>IF($G32="","",IFERROR(VLOOKUP($D32&amp;"|"&amp;$E32,科目表!$A$5:$B$200,2,FALSE),"※未登録"))</f>
        <v>委託費</v>
      </c>
      <c r="P32" s="359">
        <f>IF(OR($G32="",$C32=""),"",IF($B32="決算整理",13,MOD(MONTH($C32)-4,12)+1))</f>
        <v>2</v>
      </c>
      <c r="Q32" s="366" t="str">
        <f>IF($G32="","",TRIM(IF(J32+K32+L32+M32&lt;&gt;$G32,"按分不一致 ","")&amp;IF(O32="※未登録","科目未登録 ","")&amp;IF(OR($H32="",ISERROR(MATCH($H32,{1,2,3,4,5,6,7,8},0))),"経費区分? ","")&amp;IF($I32="","状態未設定 ","")&amp;IF(AND(OR($I32="確認済",$I32="未確認"),$B32="月例",OR($C32="",$C32&lt;DATE(年度+2018,4,1),$C32&gt;DATE(年度+2019,3,31))),"年度外の日付 ","")&amp;IF(AND(OR($I32="確認済",$I32="未確認"),O32="対象外"),"対象外の科目 ","")))</f>
        <v/>
      </c>
      <c r="R32" s="366" t="inlineStr">
        <is>
          <t>月例!32</t>
        </is>
      </c>
    </row>
    <row r="33">
      <c r="A33" s="359" t="n">
        <v>29</v>
      </c>
      <c r="B33" s="360" t="inlineStr">
        <is>
          <t>月例</t>
        </is>
      </c>
      <c r="C33" s="361" t="n">
        <v>46171</v>
      </c>
      <c r="D33" s="362" t="inlineStr">
        <is>
          <t>事務費</t>
        </is>
      </c>
      <c r="E33" s="362" t="inlineStr">
        <is>
          <t>送金料</t>
        </is>
      </c>
      <c r="F33" s="362" t="inlineStr">
        <is>
          <t>ゆうちょ銀行手数料（４月分）短期</t>
        </is>
      </c>
      <c r="G33" s="363" t="n">
        <v>109019</v>
      </c>
      <c r="H33" s="360" t="n">
        <v>2</v>
      </c>
      <c r="I33" s="360" t="inlineStr">
        <is>
          <t>確認済</t>
        </is>
      </c>
      <c r="J33" s="364">
        <f>IF($G33="","",IF($H33=1,$G33-ROUND($G33*10/23,0)-2*ROUND($G33/23,0),IF($H33=2,$G33,0)))</f>
        <v>109019</v>
      </c>
      <c r="K33" s="364">
        <f>IF($G33="","",IF($H33=1,ROUND($G33*10/23,0),IF($H33=3,$G33-2*ROUND($G33/12,0),IF($H33=4,$G33,IF(OR($H33=5,$H33=7),ROUND($G33*10/11,0),0)))))</f>
        <v>0</v>
      </c>
      <c r="L33" s="364">
        <f>IF($G33="","",IF($H33=1,ROUND($G33/23,0),IF($H33=3,ROUND($G33/12,0),IF($H33=5,$G33-ROUND($G33*10/11,0),IF($H33=8,$G33,0)))))</f>
        <v>0</v>
      </c>
      <c r="M33" s="364">
        <f>IF($G33="","",IF($H33=1,ROUND($G33/23,0),IF($H33=3,ROUND($G33/12,0),IF($H33=6,$G33,IF($H33=7,$G33-ROUND($G33*10/11,0),0)))))</f>
        <v>0</v>
      </c>
      <c r="N33" s="364">
        <f>IF($G33="","",K33+L33+M33)</f>
        <v>0</v>
      </c>
      <c r="O33" s="365" t="str">
        <f>IF($G33="","",IFERROR(VLOOKUP($D33&amp;"|"&amp;$E33,科目表!$A$5:$B$200,2,FALSE),"※未登録"))</f>
        <v>送金料</v>
      </c>
      <c r="P33" s="359">
        <f>IF(OR($G33="",$C33=""),"",IF($B33="決算整理",13,MOD(MONTH($C33)-4,12)+1))</f>
        <v>2</v>
      </c>
      <c r="Q33" s="366" t="str">
        <f>IF($G33="","",TRIM(IF(J33+K33+L33+M33&lt;&gt;$G33,"按分不一致 ","")&amp;IF(O33="※未登録","科目未登録 ","")&amp;IF(OR($H33="",ISERROR(MATCH($H33,{1,2,3,4,5,6,7,8},0))),"経費区分? ","")&amp;IF($I33="","状態未設定 ","")&amp;IF(AND(OR($I33="確認済",$I33="未確認"),$B33="月例",OR($C33="",$C33&lt;DATE(年度+2018,4,1),$C33&gt;DATE(年度+2019,3,31))),"年度外の日付 ","")&amp;IF(AND(OR($I33="確認済",$I33="未確認"),O33="対象外"),"対象外の科目 ","")))</f>
        <v/>
      </c>
      <c r="R33" s="366" t="inlineStr">
        <is>
          <t>月例!33</t>
        </is>
      </c>
    </row>
    <row r="34">
      <c r="A34" s="359" t="n">
        <v>30</v>
      </c>
      <c r="B34" s="360" t="inlineStr">
        <is>
          <t>月例</t>
        </is>
      </c>
      <c r="C34" s="361" t="n">
        <v>46171</v>
      </c>
      <c r="D34" s="362" t="inlineStr">
        <is>
          <t>事務費</t>
        </is>
      </c>
      <c r="E34" s="362" t="inlineStr">
        <is>
          <t>雑費</t>
        </is>
      </c>
      <c r="F34" s="362" t="inlineStr">
        <is>
          <t>ゆうちょ銀行振替口座残高証明（４月分）短期</t>
        </is>
      </c>
      <c r="G34" s="363" t="n">
        <v>550</v>
      </c>
      <c r="H34" s="360" t="n">
        <v>2</v>
      </c>
      <c r="I34" s="360" t="inlineStr">
        <is>
          <t>確認済</t>
        </is>
      </c>
      <c r="J34" s="364">
        <f>IF($G34="","",IF($H34=1,$G34-ROUND($G34*10/23,0)-2*ROUND($G34/23,0),IF($H34=2,$G34,0)))</f>
        <v>550</v>
      </c>
      <c r="K34" s="364">
        <f>IF($G34="","",IF($H34=1,ROUND($G34*10/23,0),IF($H34=3,$G34-2*ROUND($G34/12,0),IF($H34=4,$G34,IF(OR($H34=5,$H34=7),ROUND($G34*10/11,0),0)))))</f>
        <v>0</v>
      </c>
      <c r="L34" s="364">
        <f>IF($G34="","",IF($H34=1,ROUND($G34/23,0),IF($H34=3,ROUND($G34/12,0),IF($H34=5,$G34-ROUND($G34*10/11,0),IF($H34=8,$G34,0)))))</f>
        <v>0</v>
      </c>
      <c r="M34" s="364">
        <f>IF($G34="","",IF($H34=1,ROUND($G34/23,0),IF($H34=3,ROUND($G34/12,0),IF($H34=6,$G34,IF($H34=7,$G34-ROUND($G34*10/11,0),0)))))</f>
        <v>0</v>
      </c>
      <c r="N34" s="364">
        <f>IF($G34="","",K34+L34+M34)</f>
        <v>0</v>
      </c>
      <c r="O34" s="365" t="str">
        <f>IF($G34="","",IFERROR(VLOOKUP($D34&amp;"|"&amp;$E34,科目表!$A$5:$B$200,2,FALSE),"※未登録"))</f>
        <v>事務費・雑費</v>
      </c>
      <c r="P34" s="359">
        <f>IF(OR($G34="",$C34=""),"",IF($B34="決算整理",13,MOD(MONTH($C34)-4,12)+1))</f>
        <v>2</v>
      </c>
      <c r="Q34" s="366" t="str">
        <f>IF($G34="","",TRIM(IF(J34+K34+L34+M34&lt;&gt;$G34,"按分不一致 ","")&amp;IF(O34="※未登録","科目未登録 ","")&amp;IF(OR($H34="",ISERROR(MATCH($H34,{1,2,3,4,5,6,7,8},0))),"経費区分? ","")&amp;IF($I34="","状態未設定 ","")&amp;IF(AND(OR($I34="確認済",$I34="未確認"),$B34="月例",OR($C34="",$C34&lt;DATE(年度+2018,4,1),$C34&gt;DATE(年度+2019,3,31))),"年度外の日付 ","")&amp;IF(AND(OR($I34="確認済",$I34="未確認"),O34="対象外"),"対象外の科目 ","")))</f>
        <v/>
      </c>
      <c r="R34" s="366" t="inlineStr">
        <is>
          <t>月例!34</t>
        </is>
      </c>
    </row>
    <row r="35">
      <c r="A35" s="359" t="n">
        <v>31</v>
      </c>
      <c r="B35" s="360" t="inlineStr">
        <is>
          <t>月例</t>
        </is>
      </c>
      <c r="C35" s="361" t="n">
        <v>46163</v>
      </c>
      <c r="D35" s="362" t="inlineStr">
        <is>
          <t>職員給与</t>
        </is>
      </c>
      <c r="E35" s="362" t="inlineStr">
        <is>
          <t>非常勤職員手当</t>
        </is>
      </c>
      <c r="F35" s="362" t="inlineStr">
        <is>
          <t>５月分給与（長期分）</t>
        </is>
      </c>
      <c r="G35" s="363" t="n">
        <v>380800</v>
      </c>
      <c r="H35" s="360" t="n">
        <v>3</v>
      </c>
      <c r="I35" s="360" t="inlineStr">
        <is>
          <t>確認済</t>
        </is>
      </c>
      <c r="J35" s="364">
        <f>IF($G35="","",IF($H35=1,$G35-ROUND($G35*10/23,0)-2*ROUND($G35/23,0),IF($H35=2,$G35,0)))</f>
        <v>0</v>
      </c>
      <c r="K35" s="364">
        <f>IF($G35="","",IF($H35=1,ROUND($G35*10/23,0),IF($H35=3,$G35-2*ROUND($G35/12,0),IF($H35=4,$G35,IF(OR($H35=5,$H35=7),ROUND($G35*10/11,0),0)))))</f>
        <v>317334</v>
      </c>
      <c r="L35" s="364">
        <f>IF($G35="","",IF($H35=1,ROUND($G35/23,0),IF($H35=3,ROUND($G35/12,0),IF($H35=5,$G35-ROUND($G35*10/11,0),IF($H35=8,$G35,0)))))</f>
        <v>31733</v>
      </c>
      <c r="M35" s="364">
        <f>IF($G35="","",IF($H35=1,ROUND($G35/23,0),IF($H35=3,ROUND($G35/12,0),IF($H35=6,$G35,IF($H35=7,$G35-ROUND($G35*10/11,0),0)))))</f>
        <v>31733</v>
      </c>
      <c r="N35" s="364">
        <f>IF($G35="","",K35+L35+M35)</f>
        <v>380800</v>
      </c>
      <c r="O35" s="365" t="str">
        <f>IF($G35="","",IFERROR(VLOOKUP($D35&amp;"|"&amp;$E35,科目表!$A$5:$B$200,2,FALSE),"※未登録"))</f>
        <v>非常勤職員手当</v>
      </c>
      <c r="P35" s="359">
        <f>IF(OR($G35="",$C35=""),"",IF($B35="決算整理",13,MOD(MONTH($C35)-4,12)+1))</f>
        <v>2</v>
      </c>
      <c r="Q35" s="366" t="str">
        <f>IF($G35="","",TRIM(IF(J35+K35+L35+M35&lt;&gt;$G35,"按分不一致 ","")&amp;IF(O35="※未登録","科目未登録 ","")&amp;IF(OR($H35="",ISERROR(MATCH($H35,{1,2,3,4,5,6,7,8},0))),"経費区分? ","")&amp;IF($I35="","状態未設定 ","")&amp;IF(AND(OR($I35="確認済",$I35="未確認"),$B35="月例",OR($C35="",$C35&lt;DATE(年度+2018,4,1),$C35&gt;DATE(年度+2019,3,31))),"年度外の日付 ","")&amp;IF(AND(OR($I35="確認済",$I35="未確認"),O35="対象外"),"対象外の科目 ","")))</f>
        <v/>
      </c>
      <c r="R35" s="366" t="inlineStr">
        <is>
          <t>月例!35</t>
        </is>
      </c>
    </row>
    <row r="36">
      <c r="A36" s="359" t="n">
        <v>32</v>
      </c>
      <c r="B36" s="360" t="inlineStr">
        <is>
          <t>月例</t>
        </is>
      </c>
      <c r="C36" s="361" t="n">
        <v>46163</v>
      </c>
      <c r="D36" s="362" t="inlineStr">
        <is>
          <t>職員給与</t>
        </is>
      </c>
      <c r="E36" s="362" t="inlineStr">
        <is>
          <t>非常勤職員手当</t>
        </is>
      </c>
      <c r="F36" s="362" t="inlineStr">
        <is>
          <t>５月分給与（短期分）</t>
        </is>
      </c>
      <c r="G36" s="363" t="n">
        <v>248436</v>
      </c>
      <c r="H36" s="360" t="n">
        <v>2</v>
      </c>
      <c r="I36" s="360" t="inlineStr">
        <is>
          <t>確認済</t>
        </is>
      </c>
      <c r="J36" s="364">
        <f>IF($G36="","",IF($H36=1,$G36-ROUND($G36*10/23,0)-2*ROUND($G36/23,0),IF($H36=2,$G36,0)))</f>
        <v>248436</v>
      </c>
      <c r="K36" s="364">
        <f>IF($G36="","",IF($H36=1,ROUND($G36*10/23,0),IF($H36=3,$G36-2*ROUND($G36/12,0),IF($H36=4,$G36,IF(OR($H36=5,$H36=7),ROUND($G36*10/11,0),0)))))</f>
        <v>0</v>
      </c>
      <c r="L36" s="364">
        <f>IF($G36="","",IF($H36=1,ROUND($G36/23,0),IF($H36=3,ROUND($G36/12,0),IF($H36=5,$G36-ROUND($G36*10/11,0),IF($H36=8,$G36,0)))))</f>
        <v>0</v>
      </c>
      <c r="M36" s="364">
        <f>IF($G36="","",IF($H36=1,ROUND($G36/23,0),IF($H36=3,ROUND($G36/12,0),IF($H36=6,$G36,IF($H36=7,$G36-ROUND($G36*10/11,0),0)))))</f>
        <v>0</v>
      </c>
      <c r="N36" s="364">
        <f>IF($G36="","",K36+L36+M36)</f>
        <v>0</v>
      </c>
      <c r="O36" s="365" t="str">
        <f>IF($G36="","",IFERROR(VLOOKUP($D36&amp;"|"&amp;$E36,科目表!$A$5:$B$200,2,FALSE),"※未登録"))</f>
        <v>非常勤職員手当</v>
      </c>
      <c r="P36" s="359">
        <f>IF(OR($G36="",$C36=""),"",IF($B36="決算整理",13,MOD(MONTH($C36)-4,12)+1))</f>
        <v>2</v>
      </c>
      <c r="Q36" s="366" t="str">
        <f>IF($G36="","",TRIM(IF(J36+K36+L36+M36&lt;&gt;$G36,"按分不一致 ","")&amp;IF(O36="※未登録","科目未登録 ","")&amp;IF(OR($H36="",ISERROR(MATCH($H36,{1,2,3,4,5,6,7,8},0))),"経費区分? ","")&amp;IF($I36="","状態未設定 ","")&amp;IF(AND(OR($I36="確認済",$I36="未確認"),$B36="月例",OR($C36="",$C36&lt;DATE(年度+2018,4,1),$C36&gt;DATE(年度+2019,3,31))),"年度外の日付 ","")&amp;IF(AND(OR($I36="確認済",$I36="未確認"),O36="対象外"),"対象外の科目 ","")))</f>
        <v/>
      </c>
      <c r="R36" s="366" t="inlineStr">
        <is>
          <t>月例!36</t>
        </is>
      </c>
    </row>
    <row r="37">
      <c r="A37" s="359" t="n">
        <v>33</v>
      </c>
      <c r="B37" s="360" t="inlineStr">
        <is>
          <t>月例</t>
        </is>
      </c>
      <c r="C37" s="361" t="n">
        <v>46163</v>
      </c>
      <c r="D37" s="362" t="inlineStr">
        <is>
          <t>負担金</t>
        </is>
      </c>
      <c r="E37" s="362" t="inlineStr">
        <is>
          <t>互助会費</t>
        </is>
      </c>
      <c r="F37" s="362" t="inlineStr">
        <is>
          <t>助成金（５月長期分）</t>
        </is>
      </c>
      <c r="G37" s="363" t="n">
        <v>466</v>
      </c>
      <c r="H37" s="360" t="n">
        <v>3</v>
      </c>
      <c r="I37" s="360" t="inlineStr">
        <is>
          <t>確認済</t>
        </is>
      </c>
      <c r="J37" s="364">
        <f>IF($G37="","",IF($H37=1,$G37-ROUND($G37*10/23,0)-2*ROUND($G37/23,0),IF($H37=2,$G37,0)))</f>
        <v>0</v>
      </c>
      <c r="K37" s="364">
        <f>IF($G37="","",IF($H37=1,ROUND($G37*10/23,0),IF($H37=3,$G37-2*ROUND($G37/12,0),IF($H37=4,$G37,IF(OR($H37=5,$H37=7),ROUND($G37*10/11,0),0)))))</f>
        <v>388</v>
      </c>
      <c r="L37" s="364">
        <f>IF($G37="","",IF($H37=1,ROUND($G37/23,0),IF($H37=3,ROUND($G37/12,0),IF($H37=5,$G37-ROUND($G37*10/11,0),IF($H37=8,$G37,0)))))</f>
        <v>39</v>
      </c>
      <c r="M37" s="364">
        <f>IF($G37="","",IF($H37=1,ROUND($G37/23,0),IF($H37=3,ROUND($G37/12,0),IF($H37=6,$G37,IF($H37=7,$G37-ROUND($G37*10/11,0),0)))))</f>
        <v>39</v>
      </c>
      <c r="N37" s="364">
        <f>IF($G37="","",K37+L37+M37)</f>
        <v>466</v>
      </c>
      <c r="O37" s="365" t="str">
        <f>IF($G37="","",IFERROR(VLOOKUP($D37&amp;"|"&amp;$E37,科目表!$A$5:$B$200,2,FALSE),"※未登録"))</f>
        <v>互助会費</v>
      </c>
      <c r="P37" s="359">
        <f>IF(OR($G37="",$C37=""),"",IF($B37="決算整理",13,MOD(MONTH($C37)-4,12)+1))</f>
        <v>2</v>
      </c>
      <c r="Q37" s="366" t="str">
        <f>IF($G37="","",TRIM(IF(J37+K37+L37+M37&lt;&gt;$G37,"按分不一致 ","")&amp;IF(O37="※未登録","科目未登録 ","")&amp;IF(OR($H37="",ISERROR(MATCH($H37,{1,2,3,4,5,6,7,8},0))),"経費区分? ","")&amp;IF($I37="","状態未設定 ","")&amp;IF(AND(OR($I37="確認済",$I37="未確認"),$B37="月例",OR($C37="",$C37&lt;DATE(年度+2018,4,1),$C37&gt;DATE(年度+2019,3,31))),"年度外の日付 ","")&amp;IF(AND(OR($I37="確認済",$I37="未確認"),O37="対象外"),"対象外の科目 ","")))</f>
        <v/>
      </c>
      <c r="R37" s="366" t="inlineStr">
        <is>
          <t>月例!37</t>
        </is>
      </c>
    </row>
    <row r="38">
      <c r="A38" s="359" t="n">
        <v>34</v>
      </c>
      <c r="B38" s="360" t="inlineStr">
        <is>
          <t>月例</t>
        </is>
      </c>
      <c r="C38" s="361" t="n">
        <v>46163</v>
      </c>
      <c r="D38" s="362" t="inlineStr">
        <is>
          <t>負担金</t>
        </is>
      </c>
      <c r="E38" s="362" t="inlineStr">
        <is>
          <t>互助会費</t>
        </is>
      </c>
      <c r="F38" s="362" t="inlineStr">
        <is>
          <t>助成金（５月短期分）</t>
        </is>
      </c>
      <c r="G38" s="363" t="n">
        <v>240</v>
      </c>
      <c r="H38" s="360" t="n">
        <v>2</v>
      </c>
      <c r="I38" s="360" t="inlineStr">
        <is>
          <t>確認済</t>
        </is>
      </c>
      <c r="J38" s="364">
        <f>IF($G38="","",IF($H38=1,$G38-ROUND($G38*10/23,0)-2*ROUND($G38/23,0),IF($H38=2,$G38,0)))</f>
        <v>240</v>
      </c>
      <c r="K38" s="364">
        <f>IF($G38="","",IF($H38=1,ROUND($G38*10/23,0),IF($H38=3,$G38-2*ROUND($G38/12,0),IF($H38=4,$G38,IF(OR($H38=5,$H38=7),ROUND($G38*10/11,0),0)))))</f>
        <v>0</v>
      </c>
      <c r="L38" s="364">
        <f>IF($G38="","",IF($H38=1,ROUND($G38/23,0),IF($H38=3,ROUND($G38/12,0),IF($H38=5,$G38-ROUND($G38*10/11,0),IF($H38=8,$G38,0)))))</f>
        <v>0</v>
      </c>
      <c r="M38" s="364">
        <f>IF($G38="","",IF($H38=1,ROUND($G38/23,0),IF($H38=3,ROUND($G38/12,0),IF($H38=6,$G38,IF($H38=7,$G38-ROUND($G38*10/11,0),0)))))</f>
        <v>0</v>
      </c>
      <c r="N38" s="364">
        <f>IF($G38="","",K38+L38+M38)</f>
        <v>0</v>
      </c>
      <c r="O38" s="365" t="str">
        <f>IF($G38="","",IFERROR(VLOOKUP($D38&amp;"|"&amp;$E38,科目表!$A$5:$B$200,2,FALSE),"※未登録"))</f>
        <v>互助会費</v>
      </c>
      <c r="P38" s="359">
        <f>IF(OR($G38="",$C38=""),"",IF($B38="決算整理",13,MOD(MONTH($C38)-4,12)+1))</f>
        <v>2</v>
      </c>
      <c r="Q38" s="366" t="str">
        <f>IF($G38="","",TRIM(IF(J38+K38+L38+M38&lt;&gt;$G38,"按分不一致 ","")&amp;IF(O38="※未登録","科目未登録 ","")&amp;IF(OR($H38="",ISERROR(MATCH($H38,{1,2,3,4,5,6,7,8},0))),"経費区分? ","")&amp;IF($I38="","状態未設定 ","")&amp;IF(AND(OR($I38="確認済",$I38="未確認"),$B38="月例",OR($C38="",$C38&lt;DATE(年度+2018,4,1),$C38&gt;DATE(年度+2019,3,31))),"年度外の日付 ","")&amp;IF(AND(OR($I38="確認済",$I38="未確認"),O38="対象外"),"対象外の科目 ","")))</f>
        <v/>
      </c>
      <c r="R38" s="366" t="inlineStr">
        <is>
          <t>月例!38</t>
        </is>
      </c>
    </row>
    <row r="39">
      <c r="A39" s="359" t="n">
        <v>35</v>
      </c>
      <c r="B39" s="360" t="inlineStr">
        <is>
          <t>月例</t>
        </is>
      </c>
      <c r="C39" s="361" t="n">
        <v>46162</v>
      </c>
      <c r="D39" s="362" t="inlineStr">
        <is>
          <t>委託費</t>
        </is>
      </c>
      <c r="E39" s="362" t="n"/>
      <c r="F39" s="362" t="inlineStr">
        <is>
          <t>レセプト電子データ提供料（２月診療分）</t>
        </is>
      </c>
      <c r="G39" s="363" t="n">
        <v>61859</v>
      </c>
      <c r="H39" s="360" t="n">
        <v>2</v>
      </c>
      <c r="I39" s="360" t="inlineStr">
        <is>
          <t>確認済</t>
        </is>
      </c>
      <c r="J39" s="364">
        <f>IF($G39="","",IF($H39=1,$G39-ROUND($G39*10/23,0)-2*ROUND($G39/23,0),IF($H39=2,$G39,0)))</f>
        <v>61859</v>
      </c>
      <c r="K39" s="364">
        <f>IF($G39="","",IF($H39=1,ROUND($G39*10/23,0),IF($H39=3,$G39-2*ROUND($G39/12,0),IF($H39=4,$G39,IF(OR($H39=5,$H39=7),ROUND($G39*10/11,0),0)))))</f>
        <v>0</v>
      </c>
      <c r="L39" s="364">
        <f>IF($G39="","",IF($H39=1,ROUND($G39/23,0),IF($H39=3,ROUND($G39/12,0),IF($H39=5,$G39-ROUND($G39*10/11,0),IF($H39=8,$G39,0)))))</f>
        <v>0</v>
      </c>
      <c r="M39" s="364">
        <f>IF($G39="","",IF($H39=1,ROUND($G39/23,0),IF($H39=3,ROUND($G39/12,0),IF($H39=6,$G39,IF($H39=7,$G39-ROUND($G39*10/11,0),0)))))</f>
        <v>0</v>
      </c>
      <c r="N39" s="364">
        <f>IF($G39="","",K39+L39+M39)</f>
        <v>0</v>
      </c>
      <c r="O39" s="365" t="str">
        <f>IF($G39="","",IFERROR(VLOOKUP($D39&amp;"|"&amp;$E39,科目表!$A$5:$B$200,2,FALSE),"※未登録"))</f>
        <v>委託費</v>
      </c>
      <c r="P39" s="359">
        <f>IF(OR($G39="",$C39=""),"",IF($B39="決算整理",13,MOD(MONTH($C39)-4,12)+1))</f>
        <v>2</v>
      </c>
      <c r="Q39" s="366" t="str">
        <f>IF($G39="","",TRIM(IF(J39+K39+L39+M39&lt;&gt;$G39,"按分不一致 ","")&amp;IF(O39="※未登録","科目未登録 ","")&amp;IF(OR($H39="",ISERROR(MATCH($H39,{1,2,3,4,5,6,7,8},0))),"経費区分? ","")&amp;IF($I39="","状態未設定 ","")&amp;IF(AND(OR($I39="確認済",$I39="未確認"),$B39="月例",OR($C39="",$C39&lt;DATE(年度+2018,4,1),$C39&gt;DATE(年度+2019,3,31))),"年度外の日付 ","")&amp;IF(AND(OR($I39="確認済",$I39="未確認"),O39="対象外"),"対象外の科目 ","")))</f>
        <v/>
      </c>
      <c r="R39" s="366" t="inlineStr">
        <is>
          <t>月例!39</t>
        </is>
      </c>
    </row>
    <row r="40">
      <c r="A40" s="359" t="n">
        <v>36</v>
      </c>
      <c r="B40" s="360" t="inlineStr">
        <is>
          <t>月例</t>
        </is>
      </c>
      <c r="C40" s="361" t="n">
        <v>45065</v>
      </c>
      <c r="D40" s="362" t="inlineStr">
        <is>
          <t>委託費</t>
        </is>
      </c>
      <c r="E40" s="362" t="n"/>
      <c r="F40" s="362" t="inlineStr">
        <is>
          <t>社会保障等制度　中間サーバー等運営負担金</t>
        </is>
      </c>
      <c r="G40" s="363" t="n">
        <v>661740</v>
      </c>
      <c r="H40" s="360" t="n">
        <v>2</v>
      </c>
      <c r="I40" s="360" t="inlineStr">
        <is>
          <t>昨年実績</t>
        </is>
      </c>
      <c r="J40" s="364">
        <f>IF($G40="","",IF($H40=1,$G40-ROUND($G40*10/23,0)-2*ROUND($G40/23,0),IF($H40=2,$G40,0)))</f>
        <v>661740</v>
      </c>
      <c r="K40" s="364">
        <f>IF($G40="","",IF($H40=1,ROUND($G40*10/23,0),IF($H40=3,$G40-2*ROUND($G40/12,0),IF($H40=4,$G40,IF(OR($H40=5,$H40=7),ROUND($G40*10/11,0),0)))))</f>
        <v>0</v>
      </c>
      <c r="L40" s="364">
        <f>IF($G40="","",IF($H40=1,ROUND($G40/23,0),IF($H40=3,ROUND($G40/12,0),IF($H40=5,$G40-ROUND($G40*10/11,0),IF($H40=8,$G40,0)))))</f>
        <v>0</v>
      </c>
      <c r="M40" s="364">
        <f>IF($G40="","",IF($H40=1,ROUND($G40/23,0),IF($H40=3,ROUND($G40/12,0),IF($H40=6,$G40,IF($H40=7,$G40-ROUND($G40*10/11,0),0)))))</f>
        <v>0</v>
      </c>
      <c r="N40" s="364">
        <f>IF($G40="","",K40+L40+M40)</f>
        <v>0</v>
      </c>
      <c r="O40" s="365" t="str">
        <f>IF($G40="","",IFERROR(VLOOKUP($D40&amp;"|"&amp;$E40,科目表!$A$5:$B$200,2,FALSE),"※未登録"))</f>
        <v>委託費</v>
      </c>
      <c r="P40" s="359">
        <f>IF(OR($G40="",$C40=""),"",IF($B40="決算整理",13,MOD(MONTH($C40)-4,12)+1))</f>
        <v>2</v>
      </c>
      <c r="Q40" s="366" t="str">
        <f>IF($G40="","",TRIM(IF(J40+K40+L40+M40&lt;&gt;$G40,"按分不一致 ","")&amp;IF(O40="※未登録","科目未登録 ","")&amp;IF(OR($H40="",ISERROR(MATCH($H40,{1,2,3,4,5,6,7,8},0))),"経費区分? ","")&amp;IF($I40="","状態未設定 ","")&amp;IF(AND(OR($I40="確認済",$I40="未確認"),$B40="月例",OR($C40="",$C40&lt;DATE(年度+2018,4,1),$C40&gt;DATE(年度+2019,3,31))),"年度外の日付 ","")&amp;IF(AND(OR($I40="確認済",$I40="未確認"),O40="対象外"),"対象外の科目 ","")))</f>
        <v/>
      </c>
      <c r="R40" s="366" t="inlineStr">
        <is>
          <t>月例!40</t>
        </is>
      </c>
    </row>
    <row r="41">
      <c r="A41" s="359" t="n">
        <v>37</v>
      </c>
      <c r="B41" s="360" t="inlineStr">
        <is>
          <t>月例</t>
        </is>
      </c>
      <c r="C41" s="361" t="n">
        <v>44336</v>
      </c>
      <c r="D41" s="362" t="inlineStr">
        <is>
          <t>事務費</t>
        </is>
      </c>
      <c r="E41" s="362" t="inlineStr">
        <is>
          <t>通信運搬費</t>
        </is>
      </c>
      <c r="F41" s="362" t="inlineStr">
        <is>
          <t>電話料金（４月使用・５月請求分）</t>
        </is>
      </c>
      <c r="G41" s="363" t="n">
        <v>5407</v>
      </c>
      <c r="H41" s="360" t="n">
        <v>2</v>
      </c>
      <c r="I41" s="360" t="inlineStr">
        <is>
          <t>昨年実績</t>
        </is>
      </c>
      <c r="J41" s="364">
        <f>IF($G41="","",IF($H41=1,$G41-ROUND($G41*10/23,0)-2*ROUND($G41/23,0),IF($H41=2,$G41,0)))</f>
        <v>5407</v>
      </c>
      <c r="K41" s="364">
        <f>IF($G41="","",IF($H41=1,ROUND($G41*10/23,0),IF($H41=3,$G41-2*ROUND($G41/12,0),IF($H41=4,$G41,IF(OR($H41=5,$H41=7),ROUND($G41*10/11,0),0)))))</f>
        <v>0</v>
      </c>
      <c r="L41" s="364">
        <f>IF($G41="","",IF($H41=1,ROUND($G41/23,0),IF($H41=3,ROUND($G41/12,0),IF($H41=5,$G41-ROUND($G41*10/11,0),IF($H41=8,$G41,0)))))</f>
        <v>0</v>
      </c>
      <c r="M41" s="364">
        <f>IF($G41="","",IF($H41=1,ROUND($G41/23,0),IF($H41=3,ROUND($G41/12,0),IF($H41=6,$G41,IF($H41=7,$G41-ROUND($G41*10/11,0),0)))))</f>
        <v>0</v>
      </c>
      <c r="N41" s="364">
        <f>IF($G41="","",K41+L41+M41)</f>
        <v>0</v>
      </c>
      <c r="O41" s="365" t="str">
        <f>IF($G41="","",IFERROR(VLOOKUP($D41&amp;"|"&amp;$E41,科目表!$A$5:$B$200,2,FALSE),"※未登録"))</f>
        <v>通信運搬費</v>
      </c>
      <c r="P41" s="359">
        <f>IF(OR($G41="",$C41=""),"",IF($B41="決算整理",13,MOD(MONTH($C41)-4,12)+1))</f>
        <v>2</v>
      </c>
      <c r="Q41" s="366" t="str">
        <f>IF($G41="","",TRIM(IF(J41+K41+L41+M41&lt;&gt;$G41,"按分不一致 ","")&amp;IF(O41="※未登録","科目未登録 ","")&amp;IF(OR($H41="",ISERROR(MATCH($H41,{1,2,3,4,5,6,7,8},0))),"経費区分? ","")&amp;IF($I41="","状態未設定 ","")&amp;IF(AND(OR($I41="確認済",$I41="未確認"),$B41="月例",OR($C41="",$C41&lt;DATE(年度+2018,4,1),$C41&gt;DATE(年度+2019,3,31))),"年度外の日付 ","")&amp;IF(AND(OR($I41="確認済",$I41="未確認"),O41="対象外"),"対象外の科目 ","")))</f>
        <v/>
      </c>
      <c r="R41" s="366" t="inlineStr">
        <is>
          <t>月例!41</t>
        </is>
      </c>
    </row>
    <row r="42">
      <c r="A42" s="359" t="n">
        <v>38</v>
      </c>
      <c r="B42" s="360" t="inlineStr">
        <is>
          <t>月例</t>
        </is>
      </c>
      <c r="C42" s="361" t="n">
        <v>45807</v>
      </c>
      <c r="D42" s="362" t="inlineStr">
        <is>
          <t>事務費</t>
        </is>
      </c>
      <c r="E42" s="362" t="inlineStr">
        <is>
          <t>事務用消耗品費</t>
        </is>
      </c>
      <c r="F42" s="362" t="inlineStr">
        <is>
          <t>ポストイット　５００１SS-K　2個　他</t>
        </is>
      </c>
      <c r="G42" s="363" t="n">
        <v>19730</v>
      </c>
      <c r="H42" s="360" t="n">
        <v>2</v>
      </c>
      <c r="I42" s="360" t="inlineStr">
        <is>
          <t>昨年実績</t>
        </is>
      </c>
      <c r="J42" s="364">
        <f>IF($G42="","",IF($H42=1,$G42-ROUND($G42*10/23,0)-2*ROUND($G42/23,0),IF($H42=2,$G42,0)))</f>
        <v>19730</v>
      </c>
      <c r="K42" s="364">
        <f>IF($G42="","",IF($H42=1,ROUND($G42*10/23,0),IF($H42=3,$G42-2*ROUND($G42/12,0),IF($H42=4,$G42,IF(OR($H42=5,$H42=7),ROUND($G42*10/11,0),0)))))</f>
        <v>0</v>
      </c>
      <c r="L42" s="364">
        <f>IF($G42="","",IF($H42=1,ROUND($G42/23,0),IF($H42=3,ROUND($G42/12,0),IF($H42=5,$G42-ROUND($G42*10/11,0),IF($H42=8,$G42,0)))))</f>
        <v>0</v>
      </c>
      <c r="M42" s="364">
        <f>IF($G42="","",IF($H42=1,ROUND($G42/23,0),IF($H42=3,ROUND($G42/12,0),IF($H42=6,$G42,IF($H42=7,$G42-ROUND($G42*10/11,0),0)))))</f>
        <v>0</v>
      </c>
      <c r="N42" s="364">
        <f>IF($G42="","",K42+L42+M42)</f>
        <v>0</v>
      </c>
      <c r="O42" s="365" t="str">
        <f>IF($G42="","",IFERROR(VLOOKUP($D42&amp;"|"&amp;$E42,科目表!$A$5:$B$200,2,FALSE),"※未登録"))</f>
        <v>事務用消耗品費</v>
      </c>
      <c r="P42" s="359">
        <f>IF(OR($G42="",$C42=""),"",IF($B42="決算整理",13,MOD(MONTH($C42)-4,12)+1))</f>
        <v>2</v>
      </c>
      <c r="Q42" s="366" t="str">
        <f>IF($G42="","",TRIM(IF(J42+K42+L42+M42&lt;&gt;$G42,"按分不一致 ","")&amp;IF(O42="※未登録","科目未登録 ","")&amp;IF(OR($H42="",ISERROR(MATCH($H42,{1,2,3,4,5,6,7,8},0))),"経費区分? ","")&amp;IF($I42="","状態未設定 ","")&amp;IF(AND(OR($I42="確認済",$I42="未確認"),$B42="月例",OR($C42="",$C42&lt;DATE(年度+2018,4,1),$C42&gt;DATE(年度+2019,3,31))),"年度外の日付 ","")&amp;IF(AND(OR($I42="確認済",$I42="未確認"),O42="対象外"),"対象外の科目 ","")))</f>
        <v/>
      </c>
      <c r="R42" s="366" t="inlineStr">
        <is>
          <t>月例!42</t>
        </is>
      </c>
    </row>
    <row r="43">
      <c r="A43" s="359" t="n">
        <v>39</v>
      </c>
      <c r="B43" s="360" t="inlineStr">
        <is>
          <t>月例</t>
        </is>
      </c>
      <c r="C43" s="361" t="n">
        <v>45793</v>
      </c>
      <c r="D43" s="362" t="inlineStr">
        <is>
          <t>事務費</t>
        </is>
      </c>
      <c r="E43" s="362" t="inlineStr">
        <is>
          <t>図書印刷費</t>
        </is>
      </c>
      <c r="F43" s="362" t="inlineStr">
        <is>
          <t>短期給付決定通知書　３，０００枚</t>
        </is>
      </c>
      <c r="G43" s="363" t="n">
        <v>128700</v>
      </c>
      <c r="H43" s="360" t="n">
        <v>2</v>
      </c>
      <c r="I43" s="360" t="inlineStr">
        <is>
          <t>昨年実績</t>
        </is>
      </c>
      <c r="J43" s="364">
        <f>IF($G43="","",IF($H43=1,$G43-ROUND($G43*10/23,0)-2*ROUND($G43/23,0),IF($H43=2,$G43,0)))</f>
        <v>128700</v>
      </c>
      <c r="K43" s="364">
        <f>IF($G43="","",IF($H43=1,ROUND($G43*10/23,0),IF($H43=3,$G43-2*ROUND($G43/12,0),IF($H43=4,$G43,IF(OR($H43=5,$H43=7),ROUND($G43*10/11,0),0)))))</f>
        <v>0</v>
      </c>
      <c r="L43" s="364">
        <f>IF($G43="","",IF($H43=1,ROUND($G43/23,0),IF($H43=3,ROUND($G43/12,0),IF($H43=5,$G43-ROUND($G43*10/11,0),IF($H43=8,$G43,0)))))</f>
        <v>0</v>
      </c>
      <c r="M43" s="364">
        <f>IF($G43="","",IF($H43=1,ROUND($G43/23,0),IF($H43=3,ROUND($G43/12,0),IF($H43=6,$G43,IF($H43=7,$G43-ROUND($G43*10/11,0),0)))))</f>
        <v>0</v>
      </c>
      <c r="N43" s="364">
        <f>IF($G43="","",K43+L43+M43)</f>
        <v>0</v>
      </c>
      <c r="O43" s="365" t="str">
        <f>IF($G43="","",IFERROR(VLOOKUP($D43&amp;"|"&amp;$E43,科目表!$A$5:$B$200,2,FALSE),"※未登録"))</f>
        <v>図書印刷費</v>
      </c>
      <c r="P43" s="359">
        <f>IF(OR($G43="",$C43=""),"",IF($B43="決算整理",13,MOD(MONTH($C43)-4,12)+1))</f>
        <v>2</v>
      </c>
      <c r="Q43" s="366" t="str">
        <f>IF($G43="","",TRIM(IF(J43+K43+L43+M43&lt;&gt;$G43,"按分不一致 ","")&amp;IF(O43="※未登録","科目未登録 ","")&amp;IF(OR($H43="",ISERROR(MATCH($H43,{1,2,3,4,5,6,7,8},0))),"経費区分? ","")&amp;IF($I43="","状態未設定 ","")&amp;IF(AND(OR($I43="確認済",$I43="未確認"),$B43="月例",OR($C43="",$C43&lt;DATE(年度+2018,4,1),$C43&gt;DATE(年度+2019,3,31))),"年度外の日付 ","")&amp;IF(AND(OR($I43="確認済",$I43="未確認"),O43="対象外"),"対象外の科目 ","")))</f>
        <v/>
      </c>
      <c r="R43" s="366" t="inlineStr">
        <is>
          <t>月例!43</t>
        </is>
      </c>
    </row>
    <row r="44">
      <c r="A44" s="359" t="n">
        <v>40</v>
      </c>
      <c r="B44" s="360" t="inlineStr">
        <is>
          <t>月例</t>
        </is>
      </c>
      <c r="C44" s="361" t="n">
        <v>45786</v>
      </c>
      <c r="D44" s="362" t="inlineStr">
        <is>
          <t>事務費</t>
        </is>
      </c>
      <c r="E44" s="362" t="inlineStr">
        <is>
          <t>事務用消耗品費</t>
        </is>
      </c>
      <c r="F44" s="362" t="inlineStr">
        <is>
          <t>トナーカートリッジＬＰＢ３Ｔ２７　2個</t>
        </is>
      </c>
      <c r="G44" s="363" t="n">
        <v>10560</v>
      </c>
      <c r="H44" s="360" t="n">
        <v>3</v>
      </c>
      <c r="I44" s="360" t="inlineStr">
        <is>
          <t>昨年実績</t>
        </is>
      </c>
      <c r="J44" s="364">
        <f>IF($G44="","",IF($H44=1,$G44-ROUND($G44*10/23,0)-2*ROUND($G44/23,0),IF($H44=2,$G44,0)))</f>
        <v>0</v>
      </c>
      <c r="K44" s="364">
        <f>IF($G44="","",IF($H44=1,ROUND($G44*10/23,0),IF($H44=3,$G44-2*ROUND($G44/12,0),IF($H44=4,$G44,IF(OR($H44=5,$H44=7),ROUND($G44*10/11,0),0)))))</f>
        <v>8800</v>
      </c>
      <c r="L44" s="364">
        <f>IF($G44="","",IF($H44=1,ROUND($G44/23,0),IF($H44=3,ROUND($G44/12,0),IF($H44=5,$G44-ROUND($G44*10/11,0),IF($H44=8,$G44,0)))))</f>
        <v>880</v>
      </c>
      <c r="M44" s="364">
        <f>IF($G44="","",IF($H44=1,ROUND($G44/23,0),IF($H44=3,ROUND($G44/12,0),IF($H44=6,$G44,IF($H44=7,$G44-ROUND($G44*10/11,0),0)))))</f>
        <v>880</v>
      </c>
      <c r="N44" s="364">
        <f>IF($G44="","",K44+L44+M44)</f>
        <v>10560</v>
      </c>
      <c r="O44" s="365" t="str">
        <f>IF($G44="","",IFERROR(VLOOKUP($D44&amp;"|"&amp;$E44,科目表!$A$5:$B$200,2,FALSE),"※未登録"))</f>
        <v>事務用消耗品費</v>
      </c>
      <c r="P44" s="359">
        <f>IF(OR($G44="",$C44=""),"",IF($B44="決算整理",13,MOD(MONTH($C44)-4,12)+1))</f>
        <v>2</v>
      </c>
      <c r="Q44" s="366" t="str">
        <f>IF($G44="","",TRIM(IF(J44+K44+L44+M44&lt;&gt;$G44,"按分不一致 ","")&amp;IF(O44="※未登録","科目未登録 ","")&amp;IF(OR($H44="",ISERROR(MATCH($H44,{1,2,3,4,5,6,7,8},0))),"経費区分? ","")&amp;IF($I44="","状態未設定 ","")&amp;IF(AND(OR($I44="確認済",$I44="未確認"),$B44="月例",OR($C44="",$C44&lt;DATE(年度+2018,4,1),$C44&gt;DATE(年度+2019,3,31))),"年度外の日付 ","")&amp;IF(AND(OR($I44="確認済",$I44="未確認"),O44="対象外"),"対象外の科目 ","")))</f>
        <v/>
      </c>
      <c r="R44" s="366" t="inlineStr">
        <is>
          <t>月例!44</t>
        </is>
      </c>
    </row>
    <row r="45">
      <c r="A45" s="359" t="n">
        <v>41</v>
      </c>
      <c r="B45" s="360" t="inlineStr">
        <is>
          <t>月例</t>
        </is>
      </c>
      <c r="C45" s="361" t="n">
        <v>46162</v>
      </c>
      <c r="D45" s="362" t="inlineStr">
        <is>
          <t>賃借料</t>
        </is>
      </c>
      <c r="E45" s="362" t="n"/>
      <c r="F45" s="362" t="inlineStr">
        <is>
          <t>統合管理端末リース料（４月分）</t>
        </is>
      </c>
      <c r="G45" s="363" t="n">
        <v>12738</v>
      </c>
      <c r="H45" s="360" t="n">
        <v>2</v>
      </c>
      <c r="I45" s="360" t="inlineStr">
        <is>
          <t>確認済</t>
        </is>
      </c>
      <c r="J45" s="364">
        <f>IF($G45="","",IF($H45=1,$G45-ROUND($G45*10/23,0)-2*ROUND($G45/23,0),IF($H45=2,$G45,0)))</f>
        <v>12738</v>
      </c>
      <c r="K45" s="364">
        <f>IF($G45="","",IF($H45=1,ROUND($G45*10/23,0),IF($H45=3,$G45-2*ROUND($G45/12,0),IF($H45=4,$G45,IF(OR($H45=5,$H45=7),ROUND($G45*10/11,0),0)))))</f>
        <v>0</v>
      </c>
      <c r="L45" s="364">
        <f>IF($G45="","",IF($H45=1,ROUND($G45/23,0),IF($H45=3,ROUND($G45/12,0),IF($H45=5,$G45-ROUND($G45*10/11,0),IF($H45=8,$G45,0)))))</f>
        <v>0</v>
      </c>
      <c r="M45" s="364">
        <f>IF($G45="","",IF($H45=1,ROUND($G45/23,0),IF($H45=3,ROUND($G45/12,0),IF($H45=6,$G45,IF($H45=7,$G45-ROUND($G45*10/11,0),0)))))</f>
        <v>0</v>
      </c>
      <c r="N45" s="364">
        <f>IF($G45="","",K45+L45+M45)</f>
        <v>0</v>
      </c>
      <c r="O45" s="365" t="str">
        <f>IF($G45="","",IFERROR(VLOOKUP($D45&amp;"|"&amp;$E45,科目表!$A$5:$B$200,2,FALSE),"※未登録"))</f>
        <v>賃借料</v>
      </c>
      <c r="P45" s="359">
        <f>IF(OR($G45="",$C45=""),"",IF($B45="決算整理",13,MOD(MONTH($C45)-4,12)+1))</f>
        <v>2</v>
      </c>
      <c r="Q45" s="366" t="str">
        <f>IF($G45="","",TRIM(IF(J45+K45+L45+M45&lt;&gt;$G45,"按分不一致 ","")&amp;IF(O45="※未登録","科目未登録 ","")&amp;IF(OR($H45="",ISERROR(MATCH($H45,{1,2,3,4,5,6,7,8},0))),"経費区分? ","")&amp;IF($I45="","状態未設定 ","")&amp;IF(AND(OR($I45="確認済",$I45="未確認"),$B45="月例",OR($C45="",$C45&lt;DATE(年度+2018,4,1),$C45&gt;DATE(年度+2019,3,31))),"年度外の日付 ","")&amp;IF(AND(OR($I45="確認済",$I45="未確認"),O45="対象外"),"対象外の科目 ","")))</f>
        <v/>
      </c>
      <c r="R45" s="366" t="inlineStr">
        <is>
          <t>月例!45</t>
        </is>
      </c>
    </row>
    <row r="46">
      <c r="A46" s="359" t="n">
        <v>42</v>
      </c>
      <c r="B46" s="360" t="inlineStr">
        <is>
          <t>月例</t>
        </is>
      </c>
      <c r="C46" s="361" t="n">
        <v>44347</v>
      </c>
      <c r="D46" s="362" t="inlineStr">
        <is>
          <t>委託費</t>
        </is>
      </c>
      <c r="E46" s="362" t="n"/>
      <c r="F46" s="362" t="inlineStr">
        <is>
          <t>短期給付個人番号管理システム端末保守サービス（４月分）</t>
        </is>
      </c>
      <c r="G46" s="363" t="n">
        <v>385</v>
      </c>
      <c r="H46" s="360" t="n">
        <v>2</v>
      </c>
      <c r="I46" s="360" t="inlineStr">
        <is>
          <t>昨年実績</t>
        </is>
      </c>
      <c r="J46" s="364">
        <f>IF($G46="","",IF($H46=1,$G46-ROUND($G46*10/23,0)-2*ROUND($G46/23,0),IF($H46=2,$G46,0)))</f>
        <v>385</v>
      </c>
      <c r="K46" s="364">
        <f>IF($G46="","",IF($H46=1,ROUND($G46*10/23,0),IF($H46=3,$G46-2*ROUND($G46/12,0),IF($H46=4,$G46,IF(OR($H46=5,$H46=7),ROUND($G46*10/11,0),0)))))</f>
        <v>0</v>
      </c>
      <c r="L46" s="364">
        <f>IF($G46="","",IF($H46=1,ROUND($G46/23,0),IF($H46=3,ROUND($G46/12,0),IF($H46=5,$G46-ROUND($G46*10/11,0),IF($H46=8,$G46,0)))))</f>
        <v>0</v>
      </c>
      <c r="M46" s="364">
        <f>IF($G46="","",IF($H46=1,ROUND($G46/23,0),IF($H46=3,ROUND($G46/12,0),IF($H46=6,$G46,IF($H46=7,$G46-ROUND($G46*10/11,0),0)))))</f>
        <v>0</v>
      </c>
      <c r="N46" s="364">
        <f>IF($G46="","",K46+L46+M46)</f>
        <v>0</v>
      </c>
      <c r="O46" s="365" t="str">
        <f>IF($G46="","",IFERROR(VLOOKUP($D46&amp;"|"&amp;$E46,科目表!$A$5:$B$200,2,FALSE),"※未登録"))</f>
        <v>委託費</v>
      </c>
      <c r="P46" s="359">
        <f>IF(OR($G46="",$C46=""),"",IF($B46="決算整理",13,MOD(MONTH($C46)-4,12)+1))</f>
        <v>2</v>
      </c>
      <c r="Q46" s="366" t="str">
        <f>IF($G46="","",TRIM(IF(J46+K46+L46+M46&lt;&gt;$G46,"按分不一致 ","")&amp;IF(O46="※未登録","科目未登録 ","")&amp;IF(OR($H46="",ISERROR(MATCH($H46,{1,2,3,4,5,6,7,8},0))),"経費区分? ","")&amp;IF($I46="","状態未設定 ","")&amp;IF(AND(OR($I46="確認済",$I46="未確認"),$B46="月例",OR($C46="",$C46&lt;DATE(年度+2018,4,1),$C46&gt;DATE(年度+2019,3,31))),"年度外の日付 ","")&amp;IF(AND(OR($I46="確認済",$I46="未確認"),O46="対象外"),"対象外の科目 ","")))</f>
        <v/>
      </c>
      <c r="R46" s="366" t="inlineStr">
        <is>
          <t>月例!46</t>
        </is>
      </c>
    </row>
    <row r="47">
      <c r="A47" s="359" t="n">
        <v>43</v>
      </c>
      <c r="B47" s="360" t="inlineStr">
        <is>
          <t>月例</t>
        </is>
      </c>
      <c r="C47" s="361" t="n">
        <v>46162</v>
      </c>
      <c r="D47" s="362" t="inlineStr">
        <is>
          <t>委託費</t>
        </is>
      </c>
      <c r="E47" s="362" t="n"/>
      <c r="F47" s="362" t="inlineStr">
        <is>
          <t>統合管理端末保守料（４月～３月分）</t>
        </is>
      </c>
      <c r="G47" s="363" t="n">
        <v>149050</v>
      </c>
      <c r="H47" s="360" t="n">
        <v>2</v>
      </c>
      <c r="I47" s="360" t="inlineStr">
        <is>
          <t>確認済</t>
        </is>
      </c>
      <c r="J47" s="364">
        <f>IF($G47="","",IF($H47=1,$G47-ROUND($G47*10/23,0)-2*ROUND($G47/23,0),IF($H47=2,$G47,0)))</f>
        <v>149050</v>
      </c>
      <c r="K47" s="364">
        <f>IF($G47="","",IF($H47=1,ROUND($G47*10/23,0),IF($H47=3,$G47-2*ROUND($G47/12,0),IF($H47=4,$G47,IF(OR($H47=5,$H47=7),ROUND($G47*10/11,0),0)))))</f>
        <v>0</v>
      </c>
      <c r="L47" s="364">
        <f>IF($G47="","",IF($H47=1,ROUND($G47/23,0),IF($H47=3,ROUND($G47/12,0),IF($H47=5,$G47-ROUND($G47*10/11,0),IF($H47=8,$G47,0)))))</f>
        <v>0</v>
      </c>
      <c r="M47" s="364">
        <f>IF($G47="","",IF($H47=1,ROUND($G47/23,0),IF($H47=3,ROUND($G47/12,0),IF($H47=6,$G47,IF($H47=7,$G47-ROUND($G47*10/11,0),0)))))</f>
        <v>0</v>
      </c>
      <c r="N47" s="364">
        <f>IF($G47="","",K47+L47+M47)</f>
        <v>0</v>
      </c>
      <c r="O47" s="365" t="str">
        <f>IF($G47="","",IFERROR(VLOOKUP($D47&amp;"|"&amp;$E47,科目表!$A$5:$B$200,2,FALSE),"※未登録"))</f>
        <v>委託費</v>
      </c>
      <c r="P47" s="359">
        <f>IF(OR($G47="",$C47=""),"",IF($B47="決算整理",13,MOD(MONTH($C47)-4,12)+1))</f>
        <v>2</v>
      </c>
      <c r="Q47" s="366" t="str">
        <f>IF($G47="","",TRIM(IF(J47+K47+L47+M47&lt;&gt;$G47,"按分不一致 ","")&amp;IF(O47="※未登録","科目未登録 ","")&amp;IF(OR($H47="",ISERROR(MATCH($H47,{1,2,3,4,5,6,7,8},0))),"経費区分? ","")&amp;IF($I47="","状態未設定 ","")&amp;IF(AND(OR($I47="確認済",$I47="未確認"),$B47="月例",OR($C47="",$C47&lt;DATE(年度+2018,4,1),$C47&gt;DATE(年度+2019,3,31))),"年度外の日付 ","")&amp;IF(AND(OR($I47="確認済",$I47="未確認"),O47="対象外"),"対象外の科目 ","")))</f>
        <v/>
      </c>
      <c r="R47" s="366" t="inlineStr">
        <is>
          <t>月例!47</t>
        </is>
      </c>
    </row>
    <row r="48">
      <c r="A48" s="359" t="n">
        <v>44</v>
      </c>
      <c r="B48" s="360" t="inlineStr">
        <is>
          <t>月例</t>
        </is>
      </c>
      <c r="C48" s="361" t="n">
        <v>46142</v>
      </c>
      <c r="D48" s="362" t="inlineStr">
        <is>
          <t>事務費</t>
        </is>
      </c>
      <c r="E48" s="362" t="inlineStr">
        <is>
          <t>図書印刷費</t>
        </is>
      </c>
      <c r="F48" s="362" t="inlineStr">
        <is>
          <t>角２封筒エルコン付き　クラフト８５ｇ枠付　５，５００枚</t>
        </is>
      </c>
      <c r="G48" s="363" t="n">
        <v>99220</v>
      </c>
      <c r="H48" s="360" t="n">
        <v>2</v>
      </c>
      <c r="I48" s="360" t="inlineStr">
        <is>
          <t>確認済</t>
        </is>
      </c>
      <c r="J48" s="364">
        <f>IF($G48="","",IF($H48=1,$G48-ROUND($G48*10/23,0)-2*ROUND($G48/23,0),IF($H48=2,$G48,0)))</f>
        <v>99220</v>
      </c>
      <c r="K48" s="364">
        <f>IF($G48="","",IF($H48=1,ROUND($G48*10/23,0),IF($H48=3,$G48-2*ROUND($G48/12,0),IF($H48=4,$G48,IF(OR($H48=5,$H48=7),ROUND($G48*10/11,0),0)))))</f>
        <v>0</v>
      </c>
      <c r="L48" s="364">
        <f>IF($G48="","",IF($H48=1,ROUND($G48/23,0),IF($H48=3,ROUND($G48/12,0),IF($H48=5,$G48-ROUND($G48*10/11,0),IF($H48=8,$G48,0)))))</f>
        <v>0</v>
      </c>
      <c r="M48" s="364">
        <f>IF($G48="","",IF($H48=1,ROUND($G48/23,0),IF($H48=3,ROUND($G48/12,0),IF($H48=6,$G48,IF($H48=7,$G48-ROUND($G48*10/11,0),0)))))</f>
        <v>0</v>
      </c>
      <c r="N48" s="364">
        <f>IF($G48="","",K48+L48+M48)</f>
        <v>0</v>
      </c>
      <c r="O48" s="365" t="str">
        <f>IF($G48="","",IFERROR(VLOOKUP($D48&amp;"|"&amp;$E48,科目表!$A$5:$B$200,2,FALSE),"※未登録"))</f>
        <v>図書印刷費</v>
      </c>
      <c r="P48" s="359">
        <f>IF(OR($G48="",$C48=""),"",IF($B48="決算整理",13,MOD(MONTH($C48)-4,12)+1))</f>
        <v>1</v>
      </c>
      <c r="Q48" s="366" t="str">
        <f>IF($G48="","",TRIM(IF(J48+K48+L48+M48&lt;&gt;$G48,"按分不一致 ","")&amp;IF(O48="※未登録","科目未登録 ","")&amp;IF(OR($H48="",ISERROR(MATCH($H48,{1,2,3,4,5,6,7,8},0))),"経費区分? ","")&amp;IF($I48="","状態未設定 ","")&amp;IF(AND(OR($I48="確認済",$I48="未確認"),$B48="月例",OR($C48="",$C48&lt;DATE(年度+2018,4,1),$C48&gt;DATE(年度+2019,3,31))),"年度外の日付 ","")&amp;IF(AND(OR($I48="確認済",$I48="未確認"),O48="対象外"),"対象外の科目 ","")))</f>
        <v/>
      </c>
      <c r="R48" s="366" t="inlineStr">
        <is>
          <t>月例!48</t>
        </is>
      </c>
    </row>
    <row r="49">
      <c r="A49" s="359" t="n">
        <v>45</v>
      </c>
      <c r="B49" s="360" t="inlineStr">
        <is>
          <t>月例</t>
        </is>
      </c>
      <c r="C49" s="361" t="n">
        <v>46174</v>
      </c>
      <c r="D49" s="362" t="inlineStr">
        <is>
          <t>負担金</t>
        </is>
      </c>
      <c r="E49" s="362" t="inlineStr">
        <is>
          <t>厚年負担金等</t>
        </is>
      </c>
      <c r="F49" s="362" t="inlineStr">
        <is>
          <t>４月月例分（短期分）子ども子育て拠出金を含む</t>
        </is>
      </c>
      <c r="G49" s="363" t="n">
        <v>62766</v>
      </c>
      <c r="H49" s="360" t="n">
        <v>2</v>
      </c>
      <c r="I49" s="360" t="inlineStr">
        <is>
          <t>確認済</t>
        </is>
      </c>
      <c r="J49" s="364">
        <f>IF($G49="","",IF($H49=1,$G49-ROUND($G49*10/23,0)-2*ROUND($G49/23,0),IF($H49=2,$G49,0)))</f>
        <v>62766</v>
      </c>
      <c r="K49" s="364">
        <f>IF($G49="","",IF($H49=1,ROUND($G49*10/23,0),IF($H49=3,$G49-2*ROUND($G49/12,0),IF($H49=4,$G49,IF(OR($H49=5,$H49=7),ROUND($G49*10/11,0),0)))))</f>
        <v>0</v>
      </c>
      <c r="L49" s="364">
        <f>IF($G49="","",IF($H49=1,ROUND($G49/23,0),IF($H49=3,ROUND($G49/12,0),IF($H49=5,$G49-ROUND($G49*10/11,0),IF($H49=8,$G49,0)))))</f>
        <v>0</v>
      </c>
      <c r="M49" s="364">
        <f>IF($G49="","",IF($H49=1,ROUND($G49/23,0),IF($H49=3,ROUND($G49/12,0),IF($H49=6,$G49,IF($H49=7,$G49-ROUND($G49*10/11,0),0)))))</f>
        <v>0</v>
      </c>
      <c r="N49" s="364">
        <f>IF($G49="","",K49+L49+M49)</f>
        <v>0</v>
      </c>
      <c r="O49" s="365" t="str">
        <f>IF($G49="","",IFERROR(VLOOKUP($D49&amp;"|"&amp;$E49,科目表!$A$5:$B$200,2,FALSE),"※未登録"))</f>
        <v>厚年負担金等</v>
      </c>
      <c r="P49" s="359">
        <f>IF(OR($G49="",$C49=""),"",IF($B49="決算整理",13,MOD(MONTH($C49)-4,12)+1))</f>
        <v>3</v>
      </c>
      <c r="Q49" s="366" t="str">
        <f>IF($G49="","",TRIM(IF(J49+K49+L49+M49&lt;&gt;$G49,"按分不一致 ","")&amp;IF(O49="※未登録","科目未登録 ","")&amp;IF(OR($H49="",ISERROR(MATCH($H49,{1,2,3,4,5,6,7,8},0))),"経費区分? ","")&amp;IF($I49="","状態未設定 ","")&amp;IF(AND(OR($I49="確認済",$I49="未確認"),$B49="月例",OR($C49="",$C49&lt;DATE(年度+2018,4,1),$C49&gt;DATE(年度+2019,3,31))),"年度外の日付 ","")&amp;IF(AND(OR($I49="確認済",$I49="未確認"),O49="対象外"),"対象外の科目 ","")))</f>
        <v/>
      </c>
      <c r="R49" s="366" t="inlineStr">
        <is>
          <t>月例!50</t>
        </is>
      </c>
    </row>
    <row r="50">
      <c r="A50" s="359" t="n">
        <v>46</v>
      </c>
      <c r="B50" s="360" t="inlineStr">
        <is>
          <t>月例</t>
        </is>
      </c>
      <c r="C50" s="361" t="n">
        <v>46174</v>
      </c>
      <c r="D50" s="362" t="inlineStr">
        <is>
          <t>負担金</t>
        </is>
      </c>
      <c r="E50" s="362" t="inlineStr">
        <is>
          <t>厚年負担金等</t>
        </is>
      </c>
      <c r="F50" s="362" t="inlineStr">
        <is>
          <t>４月月例分（長期分）子ども子育て拠出金を含む</t>
        </is>
      </c>
      <c r="G50" s="363" t="n">
        <v>37089</v>
      </c>
      <c r="H50" s="360" t="n">
        <v>3</v>
      </c>
      <c r="I50" s="360" t="inlineStr">
        <is>
          <t>確認済</t>
        </is>
      </c>
      <c r="J50" s="364">
        <f>IF($G50="","",IF($H50=1,$G50-ROUND($G50*10/23,0)-2*ROUND($G50/23,0),IF($H50=2,$G50,0)))</f>
        <v>0</v>
      </c>
      <c r="K50" s="364">
        <f>IF($G50="","",IF($H50=1,ROUND($G50*10/23,0),IF($H50=3,$G50-2*ROUND($G50/12,0),IF($H50=4,$G50,IF(OR($H50=5,$H50=7),ROUND($G50*10/11,0),0)))))</f>
        <v>30907</v>
      </c>
      <c r="L50" s="364">
        <f>IF($G50="","",IF($H50=1,ROUND($G50/23,0),IF($H50=3,ROUND($G50/12,0),IF($H50=5,$G50-ROUND($G50*10/11,0),IF($H50=8,$G50,0)))))</f>
        <v>3091</v>
      </c>
      <c r="M50" s="364">
        <f>IF($G50="","",IF($H50=1,ROUND($G50/23,0),IF($H50=3,ROUND($G50/12,0),IF($H50=6,$G50,IF($H50=7,$G50-ROUND($G50*10/11,0),0)))))</f>
        <v>3091</v>
      </c>
      <c r="N50" s="364">
        <f>IF($G50="","",K50+L50+M50)</f>
        <v>37089</v>
      </c>
      <c r="O50" s="365" t="str">
        <f>IF($G50="","",IFERROR(VLOOKUP($D50&amp;"|"&amp;$E50,科目表!$A$5:$B$200,2,FALSE),"※未登録"))</f>
        <v>厚年負担金等</v>
      </c>
      <c r="P50" s="359">
        <f>IF(OR($G50="",$C50=""),"",IF($B50="決算整理",13,MOD(MONTH($C50)-4,12)+1))</f>
        <v>3</v>
      </c>
      <c r="Q50" s="366" t="str">
        <f>IF($G50="","",TRIM(IF(J50+K50+L50+M50&lt;&gt;$G50,"按分不一致 ","")&amp;IF(O50="※未登録","科目未登録 ","")&amp;IF(OR($H50="",ISERROR(MATCH($H50,{1,2,3,4,5,6,7,8},0))),"経費区分? ","")&amp;IF($I50="","状態未設定 ","")&amp;IF(AND(OR($I50="確認済",$I50="未確認"),$B50="月例",OR($C50="",$C50&lt;DATE(年度+2018,4,1),$C50&gt;DATE(年度+2019,3,31))),"年度外の日付 ","")&amp;IF(AND(OR($I50="確認済",$I50="未確認"),O50="対象外"),"対象外の科目 ","")))</f>
        <v/>
      </c>
      <c r="R50" s="366" t="inlineStr">
        <is>
          <t>月例!52</t>
        </is>
      </c>
    </row>
    <row r="51">
      <c r="A51" s="359" t="n">
        <v>47</v>
      </c>
      <c r="B51" s="360" t="inlineStr">
        <is>
          <t>月例</t>
        </is>
      </c>
      <c r="C51" s="361" t="n">
        <v>46171</v>
      </c>
      <c r="D51" s="362" t="inlineStr">
        <is>
          <t>事務費</t>
        </is>
      </c>
      <c r="E51" s="362" t="inlineStr">
        <is>
          <t>図書印刷費</t>
        </is>
      </c>
      <c r="F51" s="362" t="inlineStr">
        <is>
          <t>厚生法規総覧追録６０９６－６１０５号</t>
        </is>
      </c>
      <c r="G51" s="363" t="n">
        <v>33154</v>
      </c>
      <c r="H51" s="360" t="n">
        <v>2</v>
      </c>
      <c r="I51" s="360" t="inlineStr">
        <is>
          <t>確認済</t>
        </is>
      </c>
      <c r="J51" s="364">
        <f>IF($G51="","",IF($H51=1,$G51-ROUND($G51*10/23,0)-2*ROUND($G51/23,0),IF($H51=2,$G51,0)))</f>
        <v>33154</v>
      </c>
      <c r="K51" s="364">
        <f>IF($G51="","",IF($H51=1,ROUND($G51*10/23,0),IF($H51=3,$G51-2*ROUND($G51/12,0),IF($H51=4,$G51,IF(OR($H51=5,$H51=7),ROUND($G51*10/11,0),0)))))</f>
        <v>0</v>
      </c>
      <c r="L51" s="364">
        <f>IF($G51="","",IF($H51=1,ROUND($G51/23,0),IF($H51=3,ROUND($G51/12,0),IF($H51=5,$G51-ROUND($G51*10/11,0),IF($H51=8,$G51,0)))))</f>
        <v>0</v>
      </c>
      <c r="M51" s="364">
        <f>IF($G51="","",IF($H51=1,ROUND($G51/23,0),IF($H51=3,ROUND($G51/12,0),IF($H51=6,$G51,IF($H51=7,$G51-ROUND($G51*10/11,0),0)))))</f>
        <v>0</v>
      </c>
      <c r="N51" s="364">
        <f>IF($G51="","",K51+L51+M51)</f>
        <v>0</v>
      </c>
      <c r="O51" s="365" t="str">
        <f>IF($G51="","",IFERROR(VLOOKUP($D51&amp;"|"&amp;$E51,科目表!$A$5:$B$200,2,FALSE),"※未登録"))</f>
        <v>図書印刷費</v>
      </c>
      <c r="P51" s="359">
        <f>IF(OR($G51="",$C51=""),"",IF($B51="決算整理",13,MOD(MONTH($C51)-4,12)+1))</f>
        <v>2</v>
      </c>
      <c r="Q51" s="366" t="str">
        <f>IF($G51="","",TRIM(IF(J51+K51+L51+M51&lt;&gt;$G51,"按分不一致 ","")&amp;IF(O51="※未登録","科目未登録 ","")&amp;IF(OR($H51="",ISERROR(MATCH($H51,{1,2,3,4,5,6,7,8},0))),"経費区分? ","")&amp;IF($I51="","状態未設定 ","")&amp;IF(AND(OR($I51="確認済",$I51="未確認"),$B51="月例",OR($C51="",$C51&lt;DATE(年度+2018,4,1),$C51&gt;DATE(年度+2019,3,31))),"年度外の日付 ","")&amp;IF(AND(OR($I51="確認済",$I51="未確認"),O51="対象外"),"対象外の科目 ","")))</f>
        <v/>
      </c>
      <c r="R51" s="366" t="inlineStr">
        <is>
          <t>月例!53</t>
        </is>
      </c>
    </row>
    <row r="52">
      <c r="A52" s="359" t="n">
        <v>48</v>
      </c>
      <c r="B52" s="360" t="inlineStr">
        <is>
          <t>月例</t>
        </is>
      </c>
      <c r="C52" s="361" t="n">
        <v>45077</v>
      </c>
      <c r="D52" s="362" t="inlineStr">
        <is>
          <t>事務費</t>
        </is>
      </c>
      <c r="E52" s="362" t="inlineStr">
        <is>
          <t>通信運搬費</t>
        </is>
      </c>
      <c r="F52" s="362" t="inlineStr">
        <is>
          <t>柔整申請書送付（４月分）</t>
        </is>
      </c>
      <c r="G52" s="363" t="n">
        <v>1489</v>
      </c>
      <c r="H52" s="360" t="n">
        <v>2</v>
      </c>
      <c r="I52" s="360" t="inlineStr">
        <is>
          <t>昨年実績</t>
        </is>
      </c>
      <c r="J52" s="364">
        <f>IF($G52="","",IF($H52=1,$G52-ROUND($G52*10/23,0)-2*ROUND($G52/23,0),IF($H52=2,$G52,0)))</f>
        <v>1489</v>
      </c>
      <c r="K52" s="364">
        <f>IF($G52="","",IF($H52=1,ROUND($G52*10/23,0),IF($H52=3,$G52-2*ROUND($G52/12,0),IF($H52=4,$G52,IF(OR($H52=5,$H52=7),ROUND($G52*10/11,0),0)))))</f>
        <v>0</v>
      </c>
      <c r="L52" s="364">
        <f>IF($G52="","",IF($H52=1,ROUND($G52/23,0),IF($H52=3,ROUND($G52/12,0),IF($H52=5,$G52-ROUND($G52*10/11,0),IF($H52=8,$G52,0)))))</f>
        <v>0</v>
      </c>
      <c r="M52" s="364">
        <f>IF($G52="","",IF($H52=1,ROUND($G52/23,0),IF($H52=3,ROUND($G52/12,0),IF($H52=6,$G52,IF($H52=7,$G52-ROUND($G52*10/11,0),0)))))</f>
        <v>0</v>
      </c>
      <c r="N52" s="364">
        <f>IF($G52="","",K52+L52+M52)</f>
        <v>0</v>
      </c>
      <c r="O52" s="365" t="str">
        <f>IF($G52="","",IFERROR(VLOOKUP($D52&amp;"|"&amp;$E52,科目表!$A$5:$B$200,2,FALSE),"※未登録"))</f>
        <v>通信運搬費</v>
      </c>
      <c r="P52" s="359">
        <f>IF(OR($G52="",$C52=""),"",IF($B52="決算整理",13,MOD(MONTH($C52)-4,12)+1))</f>
        <v>2</v>
      </c>
      <c r="Q52" s="366" t="str">
        <f>IF($G52="","",TRIM(IF(J52+K52+L52+M52&lt;&gt;$G52,"按分不一致 ","")&amp;IF(O52="※未登録","科目未登録 ","")&amp;IF(OR($H52="",ISERROR(MATCH($H52,{1,2,3,4,5,6,7,8},0))),"経費区分? ","")&amp;IF($I52="","状態未設定 ","")&amp;IF(AND(OR($I52="確認済",$I52="未確認"),$B52="月例",OR($C52="",$C52&lt;DATE(年度+2018,4,1),$C52&gt;DATE(年度+2019,3,31))),"年度外の日付 ","")&amp;IF(AND(OR($I52="確認済",$I52="未確認"),O52="対象外"),"対象外の科目 ","")))</f>
        <v/>
      </c>
      <c r="R52" s="366" t="inlineStr">
        <is>
          <t>月例!54</t>
        </is>
      </c>
    </row>
    <row r="53">
      <c r="A53" s="359" t="n">
        <v>49</v>
      </c>
      <c r="B53" s="360" t="inlineStr">
        <is>
          <t>月例</t>
        </is>
      </c>
      <c r="C53" s="361" t="n">
        <v>43980</v>
      </c>
      <c r="D53" s="362" t="inlineStr">
        <is>
          <t>事務費</t>
        </is>
      </c>
      <c r="E53" s="362" t="inlineStr">
        <is>
          <t>通信運搬費</t>
        </is>
      </c>
      <c r="F53" s="362" t="inlineStr">
        <is>
          <t>メール便（４月分）</t>
        </is>
      </c>
      <c r="G53" s="363" t="n">
        <v>6636</v>
      </c>
      <c r="H53" s="360" t="n">
        <v>2</v>
      </c>
      <c r="I53" s="360" t="inlineStr">
        <is>
          <t>昨年実績</t>
        </is>
      </c>
      <c r="J53" s="364">
        <f>IF($G53="","",IF($H53=1,$G53-ROUND($G53*10/23,0)-2*ROUND($G53/23,0),IF($H53=2,$G53,0)))</f>
        <v>6636</v>
      </c>
      <c r="K53" s="364">
        <f>IF($G53="","",IF($H53=1,ROUND($G53*10/23,0),IF($H53=3,$G53-2*ROUND($G53/12,0),IF($H53=4,$G53,IF(OR($H53=5,$H53=7),ROUND($G53*10/11,0),0)))))</f>
        <v>0</v>
      </c>
      <c r="L53" s="364">
        <f>IF($G53="","",IF($H53=1,ROUND($G53/23,0),IF($H53=3,ROUND($G53/12,0),IF($H53=5,$G53-ROUND($G53*10/11,0),IF($H53=8,$G53,0)))))</f>
        <v>0</v>
      </c>
      <c r="M53" s="364">
        <f>IF($G53="","",IF($H53=1,ROUND($G53/23,0),IF($H53=3,ROUND($G53/12,0),IF($H53=6,$G53,IF($H53=7,$G53-ROUND($G53*10/11,0),0)))))</f>
        <v>0</v>
      </c>
      <c r="N53" s="364">
        <f>IF($G53="","",K53+L53+M53)</f>
        <v>0</v>
      </c>
      <c r="O53" s="365" t="str">
        <f>IF($G53="","",IFERROR(VLOOKUP($D53&amp;"|"&amp;$E53,科目表!$A$5:$B$200,2,FALSE),"※未登録"))</f>
        <v>通信運搬費</v>
      </c>
      <c r="P53" s="359">
        <f>IF(OR($G53="",$C53=""),"",IF($B53="決算整理",13,MOD(MONTH($C53)-4,12)+1))</f>
        <v>2</v>
      </c>
      <c r="Q53" s="366" t="str">
        <f>IF($G53="","",TRIM(IF(J53+K53+L53+M53&lt;&gt;$G53,"按分不一致 ","")&amp;IF(O53="※未登録","科目未登録 ","")&amp;IF(OR($H53="",ISERROR(MATCH($H53,{1,2,3,4,5,6,7,8},0))),"経費区分? ","")&amp;IF($I53="","状態未設定 ","")&amp;IF(AND(OR($I53="確認済",$I53="未確認"),$B53="月例",OR($C53="",$C53&lt;DATE(年度+2018,4,1),$C53&gt;DATE(年度+2019,3,31))),"年度外の日付 ","")&amp;IF(AND(OR($I53="確認済",$I53="未確認"),O53="対象外"),"対象外の科目 ","")))</f>
        <v/>
      </c>
      <c r="R53" s="366" t="inlineStr">
        <is>
          <t>月例!55</t>
        </is>
      </c>
    </row>
    <row r="54">
      <c r="A54" s="359" t="n">
        <v>50</v>
      </c>
      <c r="B54" s="360" t="inlineStr">
        <is>
          <t>月例</t>
        </is>
      </c>
      <c r="C54" s="361" t="n">
        <v>45077</v>
      </c>
      <c r="D54" s="362" t="inlineStr">
        <is>
          <t>事務費</t>
        </is>
      </c>
      <c r="E54" s="362" t="inlineStr">
        <is>
          <t>通信運搬費</t>
        </is>
      </c>
      <c r="F54" s="362" t="inlineStr">
        <is>
          <t>メール便（任継者宛厚生だより４月分）</t>
        </is>
      </c>
      <c r="G54" s="363" t="n">
        <v>17220</v>
      </c>
      <c r="H54" s="360" t="n">
        <v>2</v>
      </c>
      <c r="I54" s="360" t="inlineStr">
        <is>
          <t>昨年実績</t>
        </is>
      </c>
      <c r="J54" s="364">
        <f>IF($G54="","",IF($H54=1,$G54-ROUND($G54*10/23,0)-2*ROUND($G54/23,0),IF($H54=2,$G54,0)))</f>
        <v>17220</v>
      </c>
      <c r="K54" s="364">
        <f>IF($G54="","",IF($H54=1,ROUND($G54*10/23,0),IF($H54=3,$G54-2*ROUND($G54/12,0),IF($H54=4,$G54,IF(OR($H54=5,$H54=7),ROUND($G54*10/11,0),0)))))</f>
        <v>0</v>
      </c>
      <c r="L54" s="364">
        <f>IF($G54="","",IF($H54=1,ROUND($G54/23,0),IF($H54=3,ROUND($G54/12,0),IF($H54=5,$G54-ROUND($G54*10/11,0),IF($H54=8,$G54,0)))))</f>
        <v>0</v>
      </c>
      <c r="M54" s="364">
        <f>IF($G54="","",IF($H54=1,ROUND($G54/23,0),IF($H54=3,ROUND($G54/12,0),IF($H54=6,$G54,IF($H54=7,$G54-ROUND($G54*10/11,0),0)))))</f>
        <v>0</v>
      </c>
      <c r="N54" s="364">
        <f>IF($G54="","",K54+L54+M54)</f>
        <v>0</v>
      </c>
      <c r="O54" s="365" t="str">
        <f>IF($G54="","",IFERROR(VLOOKUP($D54&amp;"|"&amp;$E54,科目表!$A$5:$B$200,2,FALSE),"※未登録"))</f>
        <v>通信運搬費</v>
      </c>
      <c r="P54" s="359">
        <f>IF(OR($G54="",$C54=""),"",IF($B54="決算整理",13,MOD(MONTH($C54)-4,12)+1))</f>
        <v>2</v>
      </c>
      <c r="Q54" s="366" t="str">
        <f>IF($G54="","",TRIM(IF(J54+K54+L54+M54&lt;&gt;$G54,"按分不一致 ","")&amp;IF(O54="※未登録","科目未登録 ","")&amp;IF(OR($H54="",ISERROR(MATCH($H54,{1,2,3,4,5,6,7,8},0))),"経費区分? ","")&amp;IF($I54="","状態未設定 ","")&amp;IF(AND(OR($I54="確認済",$I54="未確認"),$B54="月例",OR($C54="",$C54&lt;DATE(年度+2018,4,1),$C54&gt;DATE(年度+2019,3,31))),"年度外の日付 ","")&amp;IF(AND(OR($I54="確認済",$I54="未確認"),O54="対象外"),"対象外の科目 ","")))</f>
        <v/>
      </c>
      <c r="R54" s="366" t="inlineStr">
        <is>
          <t>月例!56</t>
        </is>
      </c>
    </row>
    <row r="55">
      <c r="A55" s="359" t="n">
        <v>51</v>
      </c>
      <c r="B55" s="360" t="inlineStr">
        <is>
          <t>月例</t>
        </is>
      </c>
      <c r="C55" s="361" t="n">
        <v>46171</v>
      </c>
      <c r="D55" s="362" t="inlineStr">
        <is>
          <t>賃借料</t>
        </is>
      </c>
      <c r="E55" s="362" t="n"/>
      <c r="F55" s="362" t="inlineStr">
        <is>
          <t>基幹システム用機器賃借料　4月分（短期）</t>
        </is>
      </c>
      <c r="G55" s="363" t="n">
        <v>672934</v>
      </c>
      <c r="H55" s="360" t="n">
        <v>2</v>
      </c>
      <c r="I55" s="360" t="inlineStr">
        <is>
          <t>確認済</t>
        </is>
      </c>
      <c r="J55" s="364">
        <f>IF($G55="","",IF($H55=1,$G55-ROUND($G55*10/23,0)-2*ROUND($G55/23,0),IF($H55=2,$G55,0)))</f>
        <v>672934</v>
      </c>
      <c r="K55" s="364">
        <f>IF($G55="","",IF($H55=1,ROUND($G55*10/23,0),IF($H55=3,$G55-2*ROUND($G55/12,0),IF($H55=4,$G55,IF(OR($H55=5,$H55=7),ROUND($G55*10/11,0),0)))))</f>
        <v>0</v>
      </c>
      <c r="L55" s="364">
        <f>IF($G55="","",IF($H55=1,ROUND($G55/23,0),IF($H55=3,ROUND($G55/12,0),IF($H55=5,$G55-ROUND($G55*10/11,0),IF($H55=8,$G55,0)))))</f>
        <v>0</v>
      </c>
      <c r="M55" s="364">
        <f>IF($G55="","",IF($H55=1,ROUND($G55/23,0),IF($H55=3,ROUND($G55/12,0),IF($H55=6,$G55,IF($H55=7,$G55-ROUND($G55*10/11,0),0)))))</f>
        <v>0</v>
      </c>
      <c r="N55" s="364">
        <f>IF($G55="","",K55+L55+M55)</f>
        <v>0</v>
      </c>
      <c r="O55" s="365" t="str">
        <f>IF($G55="","",IFERROR(VLOOKUP($D55&amp;"|"&amp;$E55,科目表!$A$5:$B$200,2,FALSE),"※未登録"))</f>
        <v>賃借料</v>
      </c>
      <c r="P55" s="359">
        <f>IF(OR($G55="",$C55=""),"",IF($B55="決算整理",13,MOD(MONTH($C55)-4,12)+1))</f>
        <v>2</v>
      </c>
      <c r="Q55" s="366" t="str">
        <f>IF($G55="","",TRIM(IF(J55+K55+L55+M55&lt;&gt;$G55,"按分不一致 ","")&amp;IF(O55="※未登録","科目未登録 ","")&amp;IF(OR($H55="",ISERROR(MATCH($H55,{1,2,3,4,5,6,7,8},0))),"経費区分? ","")&amp;IF($I55="","状態未設定 ","")&amp;IF(AND(OR($I55="確認済",$I55="未確認"),$B55="月例",OR($C55="",$C55&lt;DATE(年度+2018,4,1),$C55&gt;DATE(年度+2019,3,31))),"年度外の日付 ","")&amp;IF(AND(OR($I55="確認済",$I55="未確認"),O55="対象外"),"対象外の科目 ","")))</f>
        <v/>
      </c>
      <c r="R55" s="366" t="inlineStr">
        <is>
          <t>月例!57</t>
        </is>
      </c>
    </row>
    <row r="56">
      <c r="A56" s="359" t="n">
        <v>52</v>
      </c>
      <c r="B56" s="360" t="inlineStr">
        <is>
          <t>月例</t>
        </is>
      </c>
      <c r="C56" s="361" t="n">
        <v>46171</v>
      </c>
      <c r="D56" s="362" t="inlineStr">
        <is>
          <t>賃借料</t>
        </is>
      </c>
      <c r="E56" s="362" t="n"/>
      <c r="F56" s="362" t="inlineStr">
        <is>
          <t>基幹システム用機器賃借料　4月分（長期）</t>
        </is>
      </c>
      <c r="G56" s="363" t="n">
        <v>69613</v>
      </c>
      <c r="H56" s="360" t="n">
        <v>3</v>
      </c>
      <c r="I56" s="360" t="inlineStr">
        <is>
          <t>確認済</t>
        </is>
      </c>
      <c r="J56" s="364">
        <f>IF($G56="","",IF($H56=1,$G56-ROUND($G56*10/23,0)-2*ROUND($G56/23,0),IF($H56=2,$G56,0)))</f>
        <v>0</v>
      </c>
      <c r="K56" s="364">
        <f>IF($G56="","",IF($H56=1,ROUND($G56*10/23,0),IF($H56=3,$G56-2*ROUND($G56/12,0),IF($H56=4,$G56,IF(OR($H56=5,$H56=7),ROUND($G56*10/11,0),0)))))</f>
        <v>58011</v>
      </c>
      <c r="L56" s="364">
        <f>IF($G56="","",IF($H56=1,ROUND($G56/23,0),IF($H56=3,ROUND($G56/12,0),IF($H56=5,$G56-ROUND($G56*10/11,0),IF($H56=8,$G56,0)))))</f>
        <v>5801</v>
      </c>
      <c r="M56" s="364">
        <f>IF($G56="","",IF($H56=1,ROUND($G56/23,0),IF($H56=3,ROUND($G56/12,0),IF($H56=6,$G56,IF($H56=7,$G56-ROUND($G56*10/11,0),0)))))</f>
        <v>5801</v>
      </c>
      <c r="N56" s="364">
        <f>IF($G56="","",K56+L56+M56)</f>
        <v>69613</v>
      </c>
      <c r="O56" s="365" t="str">
        <f>IF($G56="","",IFERROR(VLOOKUP($D56&amp;"|"&amp;$E56,科目表!$A$5:$B$200,2,FALSE),"※未登録"))</f>
        <v>賃借料</v>
      </c>
      <c r="P56" s="359">
        <f>IF(OR($G56="",$C56=""),"",IF($B56="決算整理",13,MOD(MONTH($C56)-4,12)+1))</f>
        <v>2</v>
      </c>
      <c r="Q56" s="366" t="str">
        <f>IF($G56="","",TRIM(IF(J56+K56+L56+M56&lt;&gt;$G56,"按分不一致 ","")&amp;IF(O56="※未登録","科目未登録 ","")&amp;IF(OR($H56="",ISERROR(MATCH($H56,{1,2,3,4,5,6,7,8},0))),"経費区分? ","")&amp;IF($I56="","状態未設定 ","")&amp;IF(AND(OR($I56="確認済",$I56="未確認"),$B56="月例",OR($C56="",$C56&lt;DATE(年度+2018,4,1),$C56&gt;DATE(年度+2019,3,31))),"年度外の日付 ","")&amp;IF(AND(OR($I56="確認済",$I56="未確認"),O56="対象外"),"対象外の科目 ","")))</f>
        <v/>
      </c>
      <c r="R56" s="366" t="inlineStr">
        <is>
          <t>月例!58</t>
        </is>
      </c>
    </row>
    <row r="57">
      <c r="A57" s="359" t="n">
        <v>53</v>
      </c>
      <c r="B57" s="360" t="inlineStr">
        <is>
          <t>月例</t>
        </is>
      </c>
      <c r="C57" s="361" t="n">
        <v>46171</v>
      </c>
      <c r="D57" s="362" t="inlineStr">
        <is>
          <t>委託費</t>
        </is>
      </c>
      <c r="E57" s="362" t="n"/>
      <c r="F57" s="362" t="inlineStr">
        <is>
          <t>柔整等療養費支給申請書の入力（４月分）</t>
        </is>
      </c>
      <c r="G57" s="363" t="n">
        <v>137918</v>
      </c>
      <c r="H57" s="360" t="n">
        <v>2</v>
      </c>
      <c r="I57" s="360" t="inlineStr">
        <is>
          <t>確認済</t>
        </is>
      </c>
      <c r="J57" s="364">
        <f>IF($G57="","",IF($H57=1,$G57-ROUND($G57*10/23,0)-2*ROUND($G57/23,0),IF($H57=2,$G57,0)))</f>
        <v>137918</v>
      </c>
      <c r="K57" s="364">
        <f>IF($G57="","",IF($H57=1,ROUND($G57*10/23,0),IF($H57=3,$G57-2*ROUND($G57/12,0),IF($H57=4,$G57,IF(OR($H57=5,$H57=7),ROUND($G57*10/11,0),0)))))</f>
        <v>0</v>
      </c>
      <c r="L57" s="364">
        <f>IF($G57="","",IF($H57=1,ROUND($G57/23,0),IF($H57=3,ROUND($G57/12,0),IF($H57=5,$G57-ROUND($G57*10/11,0),IF($H57=8,$G57,0)))))</f>
        <v>0</v>
      </c>
      <c r="M57" s="364">
        <f>IF($G57="","",IF($H57=1,ROUND($G57/23,0),IF($H57=3,ROUND($G57/12,0),IF($H57=6,$G57,IF($H57=7,$G57-ROUND($G57*10/11,0),0)))))</f>
        <v>0</v>
      </c>
      <c r="N57" s="364">
        <f>IF($G57="","",K57+L57+M57)</f>
        <v>0</v>
      </c>
      <c r="O57" s="365" t="str">
        <f>IF($G57="","",IFERROR(VLOOKUP($D57&amp;"|"&amp;$E57,科目表!$A$5:$B$200,2,FALSE),"※未登録"))</f>
        <v>委託費</v>
      </c>
      <c r="P57" s="359">
        <f>IF(OR($G57="",$C57=""),"",IF($B57="決算整理",13,MOD(MONTH($C57)-4,12)+1))</f>
        <v>2</v>
      </c>
      <c r="Q57" s="366" t="str">
        <f>IF($G57="","",TRIM(IF(J57+K57+L57+M57&lt;&gt;$G57,"按分不一致 ","")&amp;IF(O57="※未登録","科目未登録 ","")&amp;IF(OR($H57="",ISERROR(MATCH($H57,{1,2,3,4,5,6,7,8},0))),"経費区分? ","")&amp;IF($I57="","状態未設定 ","")&amp;IF(AND(OR($I57="確認済",$I57="未確認"),$B57="月例",OR($C57="",$C57&lt;DATE(年度+2018,4,1),$C57&gt;DATE(年度+2019,3,31))),"年度外の日付 ","")&amp;IF(AND(OR($I57="確認済",$I57="未確認"),O57="対象外"),"対象外の科目 ","")))</f>
        <v/>
      </c>
      <c r="R57" s="366" t="inlineStr">
        <is>
          <t>月例!59</t>
        </is>
      </c>
    </row>
    <row r="58">
      <c r="A58" s="359" t="n">
        <v>54</v>
      </c>
      <c r="B58" s="360" t="inlineStr">
        <is>
          <t>月例</t>
        </is>
      </c>
      <c r="C58" s="361" t="n">
        <v>45443</v>
      </c>
      <c r="D58" s="362" t="inlineStr">
        <is>
          <t>委託費</t>
        </is>
      </c>
      <c r="E58" s="362" t="n"/>
      <c r="F58" s="362" t="inlineStr">
        <is>
          <t>柔整等療養費支給申請書の入力（４月分）</t>
        </is>
      </c>
      <c r="G58" s="363" t="n">
        <v>70730</v>
      </c>
      <c r="H58" s="360" t="n">
        <v>2</v>
      </c>
      <c r="I58" s="360" t="inlineStr">
        <is>
          <t>昨年実績</t>
        </is>
      </c>
      <c r="J58" s="364">
        <f>IF($G58="","",IF($H58=1,$G58-ROUND($G58*10/23,0)-2*ROUND($G58/23,0),IF($H58=2,$G58,0)))</f>
        <v>70730</v>
      </c>
      <c r="K58" s="364">
        <f>IF($G58="","",IF($H58=1,ROUND($G58*10/23,0),IF($H58=3,$G58-2*ROUND($G58/12,0),IF($H58=4,$G58,IF(OR($H58=5,$H58=7),ROUND($G58*10/11,0),0)))))</f>
        <v>0</v>
      </c>
      <c r="L58" s="364">
        <f>IF($G58="","",IF($H58=1,ROUND($G58/23,0),IF($H58=3,ROUND($G58/12,0),IF($H58=5,$G58-ROUND($G58*10/11,0),IF($H58=8,$G58,0)))))</f>
        <v>0</v>
      </c>
      <c r="M58" s="364">
        <f>IF($G58="","",IF($H58=1,ROUND($G58/23,0),IF($H58=3,ROUND($G58/12,0),IF($H58=6,$G58,IF($H58=7,$G58-ROUND($G58*10/11,0),0)))))</f>
        <v>0</v>
      </c>
      <c r="N58" s="364">
        <f>IF($G58="","",K58+L58+M58)</f>
        <v>0</v>
      </c>
      <c r="O58" s="365" t="str">
        <f>IF($G58="","",IFERROR(VLOOKUP($D58&amp;"|"&amp;$E58,科目表!$A$5:$B$200,2,FALSE),"※未登録"))</f>
        <v>委託費</v>
      </c>
      <c r="P58" s="359">
        <f>IF(OR($G58="",$C58=""),"",IF($B58="決算整理",13,MOD(MONTH($C58)-4,12)+1))</f>
        <v>2</v>
      </c>
      <c r="Q58" s="366" t="str">
        <f>IF($G58="","",TRIM(IF(J58+K58+L58+M58&lt;&gt;$G58,"按分不一致 ","")&amp;IF(O58="※未登録","科目未登録 ","")&amp;IF(OR($H58="",ISERROR(MATCH($H58,{1,2,3,4,5,6,7,8},0))),"経費区分? ","")&amp;IF($I58="","状態未設定 ","")&amp;IF(AND(OR($I58="確認済",$I58="未確認"),$B58="月例",OR($C58="",$C58&lt;DATE(年度+2018,4,1),$C58&gt;DATE(年度+2019,3,31))),"年度外の日付 ","")&amp;IF(AND(OR($I58="確認済",$I58="未確認"),O58="対象外"),"対象外の科目 ","")))</f>
        <v/>
      </c>
      <c r="R58" s="366" t="inlineStr">
        <is>
          <t>月例!60</t>
        </is>
      </c>
    </row>
    <row r="59">
      <c r="A59" s="359" t="n">
        <v>55</v>
      </c>
      <c r="B59" s="360" t="inlineStr">
        <is>
          <t>月例</t>
        </is>
      </c>
      <c r="C59" s="361" t="n">
        <v>45810</v>
      </c>
      <c r="D59" s="362" t="inlineStr">
        <is>
          <t>事務費</t>
        </is>
      </c>
      <c r="E59" s="362" t="inlineStr">
        <is>
          <t>通信運搬費</t>
        </is>
      </c>
      <c r="F59" s="362" t="inlineStr">
        <is>
          <t>フレッツ光ネクスト利用料等（４月利用・５月請求分）</t>
        </is>
      </c>
      <c r="G59" s="363" t="n">
        <v>5126</v>
      </c>
      <c r="H59" s="360" t="n">
        <v>2</v>
      </c>
      <c r="I59" s="360" t="inlineStr">
        <is>
          <t>昨年実績</t>
        </is>
      </c>
      <c r="J59" s="364">
        <f>IF($G59="","",IF($H59=1,$G59-ROUND($G59*10/23,0)-2*ROUND($G59/23,0),IF($H59=2,$G59,0)))</f>
        <v>5126</v>
      </c>
      <c r="K59" s="364">
        <f>IF($G59="","",IF($H59=1,ROUND($G59*10/23,0),IF($H59=3,$G59-2*ROUND($G59/12,0),IF($H59=4,$G59,IF(OR($H59=5,$H59=7),ROUND($G59*10/11,0),0)))))</f>
        <v>0</v>
      </c>
      <c r="L59" s="364">
        <f>IF($G59="","",IF($H59=1,ROUND($G59/23,0),IF($H59=3,ROUND($G59/12,0),IF($H59=5,$G59-ROUND($G59*10/11,0),IF($H59=8,$G59,0)))))</f>
        <v>0</v>
      </c>
      <c r="M59" s="364">
        <f>IF($G59="","",IF($H59=1,ROUND($G59/23,0),IF($H59=3,ROUND($G59/12,0),IF($H59=6,$G59,IF($H59=7,$G59-ROUND($G59*10/11,0),0)))))</f>
        <v>0</v>
      </c>
      <c r="N59" s="364">
        <f>IF($G59="","",K59+L59+M59)</f>
        <v>0</v>
      </c>
      <c r="O59" s="365" t="str">
        <f>IF($G59="","",IFERROR(VLOOKUP($D59&amp;"|"&amp;$E59,科目表!$A$5:$B$200,2,FALSE),"※未登録"))</f>
        <v>通信運搬費</v>
      </c>
      <c r="P59" s="359">
        <f>IF(OR($G59="",$C59=""),"",IF($B59="決算整理",13,MOD(MONTH($C59)-4,12)+1))</f>
        <v>3</v>
      </c>
      <c r="Q59" s="366" t="str">
        <f>IF($G59="","",TRIM(IF(J59+K59+L59+M59&lt;&gt;$G59,"按分不一致 ","")&amp;IF(O59="※未登録","科目未登録 ","")&amp;IF(OR($H59="",ISERROR(MATCH($H59,{1,2,3,4,5,6,7,8},0))),"経費区分? ","")&amp;IF($I59="","状態未設定 ","")&amp;IF(AND(OR($I59="確認済",$I59="未確認"),$B59="月例",OR($C59="",$C59&lt;DATE(年度+2018,4,1),$C59&gt;DATE(年度+2019,3,31))),"年度外の日付 ","")&amp;IF(AND(OR($I59="確認済",$I59="未確認"),O59="対象外"),"対象外の科目 ","")))</f>
        <v/>
      </c>
      <c r="R59" s="366" t="inlineStr">
        <is>
          <t>月例!61</t>
        </is>
      </c>
    </row>
    <row r="60">
      <c r="A60" s="359" t="n">
        <v>56</v>
      </c>
      <c r="B60" s="360" t="inlineStr">
        <is>
          <t>月例</t>
        </is>
      </c>
      <c r="C60" s="361" t="n">
        <v>46174</v>
      </c>
      <c r="D60" s="362" t="inlineStr">
        <is>
          <t>事務費</t>
        </is>
      </c>
      <c r="E60" s="362" t="inlineStr">
        <is>
          <t>通信運搬費</t>
        </is>
      </c>
      <c r="F60" s="362" t="inlineStr">
        <is>
          <t>インターネット通信料金（３月、４月使用・５月請求分）</t>
        </is>
      </c>
      <c r="G60" s="363" t="n">
        <v>3663</v>
      </c>
      <c r="H60" s="360" t="n">
        <v>2</v>
      </c>
      <c r="I60" s="360" t="inlineStr">
        <is>
          <t>確認済</t>
        </is>
      </c>
      <c r="J60" s="364">
        <f>IF($G60="","",IF($H60=1,$G60-ROUND($G60*10/23,0)-2*ROUND($G60/23,0),IF($H60=2,$G60,0)))</f>
        <v>3663</v>
      </c>
      <c r="K60" s="364">
        <f>IF($G60="","",IF($H60=1,ROUND($G60*10/23,0),IF($H60=3,$G60-2*ROUND($G60/12,0),IF($H60=4,$G60,IF(OR($H60=5,$H60=7),ROUND($G60*10/11,0),0)))))</f>
        <v>0</v>
      </c>
      <c r="L60" s="364">
        <f>IF($G60="","",IF($H60=1,ROUND($G60/23,0),IF($H60=3,ROUND($G60/12,0),IF($H60=5,$G60-ROUND($G60*10/11,0),IF($H60=8,$G60,0)))))</f>
        <v>0</v>
      </c>
      <c r="M60" s="364">
        <f>IF($G60="","",IF($H60=1,ROUND($G60/23,0),IF($H60=3,ROUND($G60/12,0),IF($H60=6,$G60,IF($H60=7,$G60-ROUND($G60*10/11,0),0)))))</f>
        <v>0</v>
      </c>
      <c r="N60" s="364">
        <f>IF($G60="","",K60+L60+M60)</f>
        <v>0</v>
      </c>
      <c r="O60" s="365" t="str">
        <f>IF($G60="","",IFERROR(VLOOKUP($D60&amp;"|"&amp;$E60,科目表!$A$5:$B$200,2,FALSE),"※未登録"))</f>
        <v>通信運搬費</v>
      </c>
      <c r="P60" s="359">
        <f>IF(OR($G60="",$C60=""),"",IF($B60="決算整理",13,MOD(MONTH($C60)-4,12)+1))</f>
        <v>3</v>
      </c>
      <c r="Q60" s="366" t="str">
        <f>IF($G60="","",TRIM(IF(J60+K60+L60+M60&lt;&gt;$G60,"按分不一致 ","")&amp;IF(O60="※未登録","科目未登録 ","")&amp;IF(OR($H60="",ISERROR(MATCH($H60,{1,2,3,4,5,6,7,8},0))),"経費区分? ","")&amp;IF($I60="","状態未設定 ","")&amp;IF(AND(OR($I60="確認済",$I60="未確認"),$B60="月例",OR($C60="",$C60&lt;DATE(年度+2018,4,1),$C60&gt;DATE(年度+2019,3,31))),"年度外の日付 ","")&amp;IF(AND(OR($I60="確認済",$I60="未確認"),O60="対象外"),"対象外の科目 ","")))</f>
        <v/>
      </c>
      <c r="R60" s="366" t="inlineStr">
        <is>
          <t>月例!62</t>
        </is>
      </c>
    </row>
    <row r="61">
      <c r="A61" s="359" t="n">
        <v>57</v>
      </c>
      <c r="B61" s="360" t="inlineStr">
        <is>
          <t>月例</t>
        </is>
      </c>
      <c r="C61" s="361" t="n">
        <v>46171</v>
      </c>
      <c r="D61" s="362" t="inlineStr">
        <is>
          <t>事務費</t>
        </is>
      </c>
      <c r="E61" s="362" t="inlineStr">
        <is>
          <t>事務用消耗品費</t>
        </is>
      </c>
      <c r="F61" s="362" t="inlineStr">
        <is>
          <t>鋳造ゴム印　3号以下　147字　他</t>
        </is>
      </c>
      <c r="G61" s="363" t="n">
        <v>14040</v>
      </c>
      <c r="H61" s="360" t="n">
        <v>3</v>
      </c>
      <c r="I61" s="360" t="inlineStr">
        <is>
          <t>確認済</t>
        </is>
      </c>
      <c r="J61" s="364">
        <f>IF($G61="","",IF($H61=1,$G61-ROUND($G61*10/23,0)-2*ROUND($G61/23,0),IF($H61=2,$G61,0)))</f>
        <v>0</v>
      </c>
      <c r="K61" s="364">
        <f>IF($G61="","",IF($H61=1,ROUND($G61*10/23,0),IF($H61=3,$G61-2*ROUND($G61/12,0),IF($H61=4,$G61,IF(OR($H61=5,$H61=7),ROUND($G61*10/11,0),0)))))</f>
        <v>11700</v>
      </c>
      <c r="L61" s="364">
        <f>IF($G61="","",IF($H61=1,ROUND($G61/23,0),IF($H61=3,ROUND($G61/12,0),IF($H61=5,$G61-ROUND($G61*10/11,0),IF($H61=8,$G61,0)))))</f>
        <v>1170</v>
      </c>
      <c r="M61" s="364">
        <f>IF($G61="","",IF($H61=1,ROUND($G61/23,0),IF($H61=3,ROUND($G61/12,0),IF($H61=6,$G61,IF($H61=7,$G61-ROUND($G61*10/11,0),0)))))</f>
        <v>1170</v>
      </c>
      <c r="N61" s="364">
        <f>IF($G61="","",K61+L61+M61)</f>
        <v>14040</v>
      </c>
      <c r="O61" s="365" t="str">
        <f>IF($G61="","",IFERROR(VLOOKUP($D61&amp;"|"&amp;$E61,科目表!$A$5:$B$200,2,FALSE),"※未登録"))</f>
        <v>事務用消耗品費</v>
      </c>
      <c r="P61" s="359">
        <f>IF(OR($G61="",$C61=""),"",IF($B61="決算整理",13,MOD(MONTH($C61)-4,12)+1))</f>
        <v>2</v>
      </c>
      <c r="Q61" s="366" t="str">
        <f>IF($G61="","",TRIM(IF(J61+K61+L61+M61&lt;&gt;$G61,"按分不一致 ","")&amp;IF(O61="※未登録","科目未登録 ","")&amp;IF(OR($H61="",ISERROR(MATCH($H61,{1,2,3,4,5,6,7,8},0))),"経費区分? ","")&amp;IF($I61="","状態未設定 ","")&amp;IF(AND(OR($I61="確認済",$I61="未確認"),$B61="月例",OR($C61="",$C61&lt;DATE(年度+2018,4,1),$C61&gt;DATE(年度+2019,3,31))),"年度外の日付 ","")&amp;IF(AND(OR($I61="確認済",$I61="未確認"),O61="対象外"),"対象外の科目 ","")))</f>
        <v/>
      </c>
      <c r="R61" s="366" t="inlineStr">
        <is>
          <t>月例!63</t>
        </is>
      </c>
    </row>
    <row r="62">
      <c r="A62" s="359" t="n">
        <v>58</v>
      </c>
      <c r="B62" s="360" t="inlineStr">
        <is>
          <t>月例</t>
        </is>
      </c>
      <c r="C62" s="361" t="n">
        <v>45412</v>
      </c>
      <c r="D62" s="362" t="inlineStr">
        <is>
          <t>事務費</t>
        </is>
      </c>
      <c r="E62" s="362" t="inlineStr">
        <is>
          <t>事務用消耗品費</t>
        </is>
      </c>
      <c r="F62" s="362" t="inlineStr">
        <is>
          <t>令和６年度基幹ウイルス対策ソフト（ミツイワ株式会社）</t>
        </is>
      </c>
      <c r="G62" s="363" t="n">
        <v>21450</v>
      </c>
      <c r="H62" s="360" t="n">
        <v>2</v>
      </c>
      <c r="I62" s="360" t="inlineStr">
        <is>
          <t>昨年実績</t>
        </is>
      </c>
      <c r="J62" s="364">
        <f>IF($G62="","",IF($H62=1,$G62-ROUND($G62*10/23,0)-2*ROUND($G62/23,0),IF($H62=2,$G62,0)))</f>
        <v>21450</v>
      </c>
      <c r="K62" s="364">
        <f>IF($G62="","",IF($H62=1,ROUND($G62*10/23,0),IF($H62=3,$G62-2*ROUND($G62/12,0),IF($H62=4,$G62,IF(OR($H62=5,$H62=7),ROUND($G62*10/11,0),0)))))</f>
        <v>0</v>
      </c>
      <c r="L62" s="364">
        <f>IF($G62="","",IF($H62=1,ROUND($G62/23,0),IF($H62=3,ROUND($G62/12,0),IF($H62=5,$G62-ROUND($G62*10/11,0),IF($H62=8,$G62,0)))))</f>
        <v>0</v>
      </c>
      <c r="M62" s="364">
        <f>IF($G62="","",IF($H62=1,ROUND($G62/23,0),IF($H62=3,ROUND($G62/12,0),IF($H62=6,$G62,IF($H62=7,$G62-ROUND($G62*10/11,0),0)))))</f>
        <v>0</v>
      </c>
      <c r="N62" s="364">
        <f>IF($G62="","",K62+L62+M62)</f>
        <v>0</v>
      </c>
      <c r="O62" s="365" t="str">
        <f>IF($G62="","",IFERROR(VLOOKUP($D62&amp;"|"&amp;$E62,科目表!$A$5:$B$200,2,FALSE),"※未登録"))</f>
        <v>事務用消耗品費</v>
      </c>
      <c r="P62" s="359">
        <f>IF(OR($G62="",$C62=""),"",IF($B62="決算整理",13,MOD(MONTH($C62)-4,12)+1))</f>
        <v>1</v>
      </c>
      <c r="Q62" s="366" t="str">
        <f>IF($G62="","",TRIM(IF(J62+K62+L62+M62&lt;&gt;$G62,"按分不一致 ","")&amp;IF(O62="※未登録","科目未登録 ","")&amp;IF(OR($H62="",ISERROR(MATCH($H62,{1,2,3,4,5,6,7,8},0))),"経費区分? ","")&amp;IF($I62="","状態未設定 ","")&amp;IF(AND(OR($I62="確認済",$I62="未確認"),$B62="月例",OR($C62="",$C62&lt;DATE(年度+2018,4,1),$C62&gt;DATE(年度+2019,3,31))),"年度外の日付 ","")&amp;IF(AND(OR($I62="確認済",$I62="未確認"),O62="対象外"),"対象外の科目 ","")))</f>
        <v/>
      </c>
      <c r="R62" s="366" t="inlineStr">
        <is>
          <t>月例!64</t>
        </is>
      </c>
    </row>
    <row r="63">
      <c r="A63" s="359" t="n">
        <v>59</v>
      </c>
      <c r="B63" s="360" t="inlineStr">
        <is>
          <t>月例</t>
        </is>
      </c>
      <c r="C63" s="361" t="n">
        <v>45443</v>
      </c>
      <c r="D63" s="362" t="inlineStr">
        <is>
          <t>事務費</t>
        </is>
      </c>
      <c r="E63" s="362" t="inlineStr">
        <is>
          <t>事務用消耗品費</t>
        </is>
      </c>
      <c r="F63" s="362" t="inlineStr">
        <is>
          <t>保存ボックス　4370　50個</t>
        </is>
      </c>
      <c r="G63" s="363" t="n">
        <v>29650</v>
      </c>
      <c r="H63" s="360" t="n">
        <v>2</v>
      </c>
      <c r="I63" s="360" t="inlineStr">
        <is>
          <t>昨年実績</t>
        </is>
      </c>
      <c r="J63" s="364">
        <f>IF($G63="","",IF($H63=1,$G63-ROUND($G63*10/23,0)-2*ROUND($G63/23,0),IF($H63=2,$G63,0)))</f>
        <v>29650</v>
      </c>
      <c r="K63" s="364">
        <f>IF($G63="","",IF($H63=1,ROUND($G63*10/23,0),IF($H63=3,$G63-2*ROUND($G63/12,0),IF($H63=4,$G63,IF(OR($H63=5,$H63=7),ROUND($G63*10/11,0),0)))))</f>
        <v>0</v>
      </c>
      <c r="L63" s="364">
        <f>IF($G63="","",IF($H63=1,ROUND($G63/23,0),IF($H63=3,ROUND($G63/12,0),IF($H63=5,$G63-ROUND($G63*10/11,0),IF($H63=8,$G63,0)))))</f>
        <v>0</v>
      </c>
      <c r="M63" s="364">
        <f>IF($G63="","",IF($H63=1,ROUND($G63/23,0),IF($H63=3,ROUND($G63/12,0),IF($H63=6,$G63,IF($H63=7,$G63-ROUND($G63*10/11,0),0)))))</f>
        <v>0</v>
      </c>
      <c r="N63" s="364">
        <f>IF($G63="","",K63+L63+M63)</f>
        <v>0</v>
      </c>
      <c r="O63" s="365" t="str">
        <f>IF($G63="","",IFERROR(VLOOKUP($D63&amp;"|"&amp;$E63,科目表!$A$5:$B$200,2,FALSE),"※未登録"))</f>
        <v>事務用消耗品費</v>
      </c>
      <c r="P63" s="359">
        <f>IF(OR($G63="",$C63=""),"",IF($B63="決算整理",13,MOD(MONTH($C63)-4,12)+1))</f>
        <v>2</v>
      </c>
      <c r="Q63" s="366" t="str">
        <f>IF($G63="","",TRIM(IF(J63+K63+L63+M63&lt;&gt;$G63,"按分不一致 ","")&amp;IF(O63="※未登録","科目未登録 ","")&amp;IF(OR($H63="",ISERROR(MATCH($H63,{1,2,3,4,5,6,7,8},0))),"経費区分? ","")&amp;IF($I63="","状態未設定 ","")&amp;IF(AND(OR($I63="確認済",$I63="未確認"),$B63="月例",OR($C63="",$C63&lt;DATE(年度+2018,4,1),$C63&gt;DATE(年度+2019,3,31))),"年度外の日付 ","")&amp;IF(AND(OR($I63="確認済",$I63="未確認"),O63="対象外"),"対象外の科目 ","")))</f>
        <v/>
      </c>
      <c r="R63" s="366" t="inlineStr">
        <is>
          <t>月例!65</t>
        </is>
      </c>
    </row>
    <row r="64">
      <c r="A64" s="359" t="n">
        <v>60</v>
      </c>
      <c r="B64" s="360" t="inlineStr">
        <is>
          <t>月例</t>
        </is>
      </c>
      <c r="C64" s="361" t="n">
        <v>46176</v>
      </c>
      <c r="D64" s="362" t="inlineStr">
        <is>
          <t>事務費</t>
        </is>
      </c>
      <c r="E64" s="362" t="inlineStr">
        <is>
          <t>図書印刷費</t>
        </is>
      </c>
      <c r="F64" s="362" t="inlineStr">
        <is>
          <t>国家公務員等共済組合関係法令要覧追録５３５－５３８号</t>
        </is>
      </c>
      <c r="G64" s="363" t="n">
        <v>17600</v>
      </c>
      <c r="H64" s="360" t="n">
        <v>3</v>
      </c>
      <c r="I64" s="360" t="inlineStr">
        <is>
          <t>確認済</t>
        </is>
      </c>
      <c r="J64" s="364">
        <f>IF($G64="","",IF($H64=1,$G64-ROUND($G64*10/23,0)-2*ROUND($G64/23,0),IF($H64=2,$G64,0)))</f>
        <v>0</v>
      </c>
      <c r="K64" s="364">
        <f>IF($G64="","",IF($H64=1,ROUND($G64*10/23,0),IF($H64=3,$G64-2*ROUND($G64/12,0),IF($H64=4,$G64,IF(OR($H64=5,$H64=7),ROUND($G64*10/11,0),0)))))</f>
        <v>14666</v>
      </c>
      <c r="L64" s="364">
        <f>IF($G64="","",IF($H64=1,ROUND($G64/23,0),IF($H64=3,ROUND($G64/12,0),IF($H64=5,$G64-ROUND($G64*10/11,0),IF($H64=8,$G64,0)))))</f>
        <v>1467</v>
      </c>
      <c r="M64" s="364">
        <f>IF($G64="","",IF($H64=1,ROUND($G64/23,0),IF($H64=3,ROUND($G64/12,0),IF($H64=6,$G64,IF($H64=7,$G64-ROUND($G64*10/11,0),0)))))</f>
        <v>1467</v>
      </c>
      <c r="N64" s="364">
        <f>IF($G64="","",K64+L64+M64)</f>
        <v>17600</v>
      </c>
      <c r="O64" s="365" t="str">
        <f>IF($G64="","",IFERROR(VLOOKUP($D64&amp;"|"&amp;$E64,科目表!$A$5:$B$200,2,FALSE),"※未登録"))</f>
        <v>図書印刷費</v>
      </c>
      <c r="P64" s="359">
        <f>IF(OR($G64="",$C64=""),"",IF($B64="決算整理",13,MOD(MONTH($C64)-4,12)+1))</f>
        <v>3</v>
      </c>
      <c r="Q64" s="366" t="str">
        <f>IF($G64="","",TRIM(IF(J64+K64+L64+M64&lt;&gt;$G64,"按分不一致 ","")&amp;IF(O64="※未登録","科目未登録 ","")&amp;IF(OR($H64="",ISERROR(MATCH($H64,{1,2,3,4,5,6,7,8},0))),"経費区分? ","")&amp;IF($I64="","状態未設定 ","")&amp;IF(AND(OR($I64="確認済",$I64="未確認"),$B64="月例",OR($C64="",$C64&lt;DATE(年度+2018,4,1),$C64&gt;DATE(年度+2019,3,31))),"年度外の日付 ","")&amp;IF(AND(OR($I64="確認済",$I64="未確認"),O64="対象外"),"対象外の科目 ","")))</f>
        <v/>
      </c>
      <c r="R64" s="366" t="inlineStr">
        <is>
          <t>月例!66</t>
        </is>
      </c>
    </row>
    <row r="65">
      <c r="A65" s="359" t="n">
        <v>61</v>
      </c>
      <c r="B65" s="360" t="inlineStr">
        <is>
          <t>月例</t>
        </is>
      </c>
      <c r="C65" s="361" t="n">
        <v>46181</v>
      </c>
      <c r="D65" s="362" t="inlineStr">
        <is>
          <t>役員報酬</t>
        </is>
      </c>
      <c r="E65" s="362" t="n"/>
      <c r="F65" s="362" t="inlineStr">
        <is>
          <t>業務監査６／８　学識経験監事　栗栖　一雄</t>
        </is>
      </c>
      <c r="G65" s="363" t="n">
        <v>11000</v>
      </c>
      <c r="H65" s="360" t="n">
        <v>1</v>
      </c>
      <c r="I65" s="360" t="inlineStr">
        <is>
          <t>確認済</t>
        </is>
      </c>
      <c r="J65" s="364">
        <f>IF($G65="","",IF($H65=1,$G65-ROUND($G65*10/23,0)-2*ROUND($G65/23,0),IF($H65=2,$G65,0)))</f>
        <v>5261</v>
      </c>
      <c r="K65" s="364">
        <f>IF($G65="","",IF($H65=1,ROUND($G65*10/23,0),IF($H65=3,$G65-2*ROUND($G65/12,0),IF($H65=4,$G65,IF(OR($H65=5,$H65=7),ROUND($G65*10/11,0),0)))))</f>
        <v>4783</v>
      </c>
      <c r="L65" s="364">
        <f>IF($G65="","",IF($H65=1,ROUND($G65/23,0),IF($H65=3,ROUND($G65/12,0),IF($H65=5,$G65-ROUND($G65*10/11,0),IF($H65=8,$G65,0)))))</f>
        <v>478</v>
      </c>
      <c r="M65" s="364">
        <f>IF($G65="","",IF($H65=1,ROUND($G65/23,0),IF($H65=3,ROUND($G65/12,0),IF($H65=6,$G65,IF($H65=7,$G65-ROUND($G65*10/11,0),0)))))</f>
        <v>478</v>
      </c>
      <c r="N65" s="364">
        <f>IF($G65="","",K65+L65+M65)</f>
        <v>5739</v>
      </c>
      <c r="O65" s="365" t="str">
        <f>IF($G65="","",IFERROR(VLOOKUP($D65&amp;"|"&amp;$E65,科目表!$A$5:$B$200,2,FALSE),"※未登録"))</f>
        <v>役員報酬</v>
      </c>
      <c r="P65" s="359">
        <f>IF(OR($G65="",$C65=""),"",IF($B65="決算整理",13,MOD(MONTH($C65)-4,12)+1))</f>
        <v>3</v>
      </c>
      <c r="Q65" s="366" t="str">
        <f>IF($G65="","",TRIM(IF(J65+K65+L65+M65&lt;&gt;$G65,"按分不一致 ","")&amp;IF(O65="※未登録","科目未登録 ","")&amp;IF(OR($H65="",ISERROR(MATCH($H65,{1,2,3,4,5,6,7,8},0))),"経費区分? ","")&amp;IF($I65="","状態未設定 ","")&amp;IF(AND(OR($I65="確認済",$I65="未確認"),$B65="月例",OR($C65="",$C65&lt;DATE(年度+2018,4,1),$C65&gt;DATE(年度+2019,3,31))),"年度外の日付 ","")&amp;IF(AND(OR($I65="確認済",$I65="未確認"),O65="対象外"),"対象外の科目 ","")))</f>
        <v/>
      </c>
      <c r="R65" s="366" t="inlineStr">
        <is>
          <t>月例!67</t>
        </is>
      </c>
    </row>
    <row r="66">
      <c r="A66" s="359" t="n">
        <v>62</v>
      </c>
      <c r="B66" s="360" t="inlineStr">
        <is>
          <t>月例</t>
        </is>
      </c>
      <c r="C66" s="361" t="n">
        <v>46169</v>
      </c>
      <c r="D66" s="362" t="inlineStr">
        <is>
          <t>負担金</t>
        </is>
      </c>
      <c r="E66" s="362" t="inlineStr">
        <is>
          <t>負担金</t>
        </is>
      </c>
      <c r="F66" s="362" t="inlineStr">
        <is>
          <t>共済短期・介護負担金（5月月例分）長期</t>
        </is>
      </c>
      <c r="G66" s="363" t="n">
        <v>22035</v>
      </c>
      <c r="H66" s="360" t="n">
        <v>3</v>
      </c>
      <c r="I66" s="360" t="inlineStr">
        <is>
          <t>確認済</t>
        </is>
      </c>
      <c r="J66" s="364">
        <f>IF($G66="","",IF($H66=1,$G66-ROUND($G66*10/23,0)-2*ROUND($G66/23,0),IF($H66=2,$G66,0)))</f>
        <v>0</v>
      </c>
      <c r="K66" s="364">
        <f>IF($G66="","",IF($H66=1,ROUND($G66*10/23,0),IF($H66=3,$G66-2*ROUND($G66/12,0),IF($H66=4,$G66,IF(OR($H66=5,$H66=7),ROUND($G66*10/11,0),0)))))</f>
        <v>18363</v>
      </c>
      <c r="L66" s="364">
        <f>IF($G66="","",IF($H66=1,ROUND($G66/23,0),IF($H66=3,ROUND($G66/12,0),IF($H66=5,$G66-ROUND($G66*10/11,0),IF($H66=8,$G66,0)))))</f>
        <v>1836</v>
      </c>
      <c r="M66" s="364">
        <f>IF($G66="","",IF($H66=1,ROUND($G66/23,0),IF($H66=3,ROUND($G66/12,0),IF($H66=6,$G66,IF($H66=7,$G66-ROUND($G66*10/11,0),0)))))</f>
        <v>1836</v>
      </c>
      <c r="N66" s="364">
        <f>IF($G66="","",K66+L66+M66)</f>
        <v>22035</v>
      </c>
      <c r="O66" s="365" t="str">
        <f>IF($G66="","",IFERROR(VLOOKUP($D66&amp;"|"&amp;$E66,科目表!$A$5:$B$200,2,FALSE),"※未登録"))</f>
        <v>共済負担金等</v>
      </c>
      <c r="P66" s="359">
        <f>IF(OR($G66="",$C66=""),"",IF($B66="決算整理",13,MOD(MONTH($C66)-4,12)+1))</f>
        <v>2</v>
      </c>
      <c r="Q66" s="366" t="str">
        <f>IF($G66="","",TRIM(IF(J66+K66+L66+M66&lt;&gt;$G66,"按分不一致 ","")&amp;IF(O66="※未登録","科目未登録 ","")&amp;IF(OR($H66="",ISERROR(MATCH($H66,{1,2,3,4,5,6,7,8},0))),"経費区分? ","")&amp;IF($I66="","状態未設定 ","")&amp;IF(AND(OR($I66="確認済",$I66="未確認"),$B66="月例",OR($C66="",$C66&lt;DATE(年度+2018,4,1),$C66&gt;DATE(年度+2019,3,31))),"年度外の日付 ","")&amp;IF(AND(OR($I66="確認済",$I66="未確認"),O66="対象外"),"対象外の科目 ","")))</f>
        <v/>
      </c>
      <c r="R66" s="366" t="inlineStr">
        <is>
          <t>月例!68</t>
        </is>
      </c>
    </row>
    <row r="67">
      <c r="A67" s="359" t="n">
        <v>63</v>
      </c>
      <c r="B67" s="360" t="inlineStr">
        <is>
          <t>月例</t>
        </is>
      </c>
      <c r="C67" s="361" t="n">
        <v>46169</v>
      </c>
      <c r="D67" s="362" t="inlineStr">
        <is>
          <t>負担金</t>
        </is>
      </c>
      <c r="E67" s="362" t="inlineStr">
        <is>
          <t>負担金</t>
        </is>
      </c>
      <c r="F67" s="362" t="inlineStr">
        <is>
          <t>共済短期・介護負担金（5月月例分）短期</t>
        </is>
      </c>
      <c r="G67" s="363" t="n">
        <v>37074</v>
      </c>
      <c r="H67" s="360" t="n">
        <v>2</v>
      </c>
      <c r="I67" s="360" t="inlineStr">
        <is>
          <t>確認済</t>
        </is>
      </c>
      <c r="J67" s="364">
        <f>IF($G67="","",IF($H67=1,$G67-ROUND($G67*10/23,0)-2*ROUND($G67/23,0),IF($H67=2,$G67,0)))</f>
        <v>37074</v>
      </c>
      <c r="K67" s="364">
        <f>IF($G67="","",IF($H67=1,ROUND($G67*10/23,0),IF($H67=3,$G67-2*ROUND($G67/12,0),IF($H67=4,$G67,IF(OR($H67=5,$H67=7),ROUND($G67*10/11,0),0)))))</f>
        <v>0</v>
      </c>
      <c r="L67" s="364">
        <f>IF($G67="","",IF($H67=1,ROUND($G67/23,0),IF($H67=3,ROUND($G67/12,0),IF($H67=5,$G67-ROUND($G67*10/11,0),IF($H67=8,$G67,0)))))</f>
        <v>0</v>
      </c>
      <c r="M67" s="364">
        <f>IF($G67="","",IF($H67=1,ROUND($G67/23,0),IF($H67=3,ROUND($G67/12,0),IF($H67=6,$G67,IF($H67=7,$G67-ROUND($G67*10/11,0),0)))))</f>
        <v>0</v>
      </c>
      <c r="N67" s="364">
        <f>IF($G67="","",K67+L67+M67)</f>
        <v>0</v>
      </c>
      <c r="O67" s="365" t="str">
        <f>IF($G67="","",IFERROR(VLOOKUP($D67&amp;"|"&amp;$E67,科目表!$A$5:$B$200,2,FALSE),"※未登録"))</f>
        <v>共済負担金等</v>
      </c>
      <c r="P67" s="359">
        <f>IF(OR($G67="",$C67=""),"",IF($B67="決算整理",13,MOD(MONTH($C67)-4,12)+1))</f>
        <v>2</v>
      </c>
      <c r="Q67" s="366" t="str">
        <f>IF($G67="","",TRIM(IF(J67+K67+L67+M67&lt;&gt;$G67,"按分不一致 ","")&amp;IF(O67="※未登録","科目未登録 ","")&amp;IF(OR($H67="",ISERROR(MATCH($H67,{1,2,3,4,5,6,7,8},0))),"経費区分? ","")&amp;IF($I67="","状態未設定 ","")&amp;IF(AND(OR($I67="確認済",$I67="未確認"),$B67="月例",OR($C67="",$C67&lt;DATE(年度+2018,4,1),$C67&gt;DATE(年度+2019,3,31))),"年度外の日付 ","")&amp;IF(AND(OR($I67="確認済",$I67="未確認"),O67="対象外"),"対象外の科目 ","")))</f>
        <v/>
      </c>
      <c r="R67" s="366" t="inlineStr">
        <is>
          <t>月例!69</t>
        </is>
      </c>
    </row>
    <row r="68">
      <c r="A68" s="359" t="n">
        <v>64</v>
      </c>
      <c r="B68" s="360" t="inlineStr">
        <is>
          <t>月例</t>
        </is>
      </c>
      <c r="C68" s="361" t="n">
        <v>43622</v>
      </c>
      <c r="D68" s="362" t="inlineStr">
        <is>
          <t>旅費</t>
        </is>
      </c>
      <c r="E68" s="362" t="n"/>
      <c r="F68" s="362" t="inlineStr">
        <is>
          <t>6/10事務局長会議　特別区　胡子事務局長</t>
        </is>
      </c>
      <c r="G68" s="363" t="n">
        <v>38020</v>
      </c>
      <c r="H68" s="360" t="n">
        <v>1</v>
      </c>
      <c r="I68" s="360" t="inlineStr">
        <is>
          <t>昨年実績</t>
        </is>
      </c>
      <c r="J68" s="364">
        <f>IF($G68="","",IF($H68=1,$G68-ROUND($G68*10/23,0)-2*ROUND($G68/23,0),IF($H68=2,$G68,0)))</f>
        <v>18184</v>
      </c>
      <c r="K68" s="364">
        <f>IF($G68="","",IF($H68=1,ROUND($G68*10/23,0),IF($H68=3,$G68-2*ROUND($G68/12,0),IF($H68=4,$G68,IF(OR($H68=5,$H68=7),ROUND($G68*10/11,0),0)))))</f>
        <v>16530</v>
      </c>
      <c r="L68" s="364">
        <f>IF($G68="","",IF($H68=1,ROUND($G68/23,0),IF($H68=3,ROUND($G68/12,0),IF($H68=5,$G68-ROUND($G68*10/11,0),IF($H68=8,$G68,0)))))</f>
        <v>1653</v>
      </c>
      <c r="M68" s="364">
        <f>IF($G68="","",IF($H68=1,ROUND($G68/23,0),IF($H68=3,ROUND($G68/12,0),IF($H68=6,$G68,IF($H68=7,$G68-ROUND($G68*10/11,0),0)))))</f>
        <v>1653</v>
      </c>
      <c r="N68" s="364">
        <f>IF($G68="","",K68+L68+M68)</f>
        <v>19836</v>
      </c>
      <c r="O68" s="365" t="str">
        <f>IF($G68="","",IFERROR(VLOOKUP($D68&amp;"|"&amp;$E68,科目表!$A$5:$B$200,2,FALSE),"※未登録"))</f>
        <v>旅費</v>
      </c>
      <c r="P68" s="359">
        <f>IF(OR($G68="",$C68=""),"",IF($B68="決算整理",13,MOD(MONTH($C68)-4,12)+1))</f>
        <v>3</v>
      </c>
      <c r="Q68" s="366" t="str">
        <f>IF($G68="","",TRIM(IF(J68+K68+L68+M68&lt;&gt;$G68,"按分不一致 ","")&amp;IF(O68="※未登録","科目未登録 ","")&amp;IF(OR($H68="",ISERROR(MATCH($H68,{1,2,3,4,5,6,7,8},0))),"経費区分? ","")&amp;IF($I68="","状態未設定 ","")&amp;IF(AND(OR($I68="確認済",$I68="未確認"),$B68="月例",OR($C68="",$C68&lt;DATE(年度+2018,4,1),$C68&gt;DATE(年度+2019,3,31))),"年度外の日付 ","")&amp;IF(AND(OR($I68="確認済",$I68="未確認"),O68="対象外"),"対象外の科目 ","")))</f>
        <v/>
      </c>
      <c r="R68" s="366" t="inlineStr">
        <is>
          <t>月例!70</t>
        </is>
      </c>
    </row>
    <row r="69">
      <c r="A69" s="359" t="n">
        <v>65</v>
      </c>
      <c r="B69" s="360" t="inlineStr">
        <is>
          <t>月例</t>
        </is>
      </c>
      <c r="C69" s="361" t="n">
        <v>43635</v>
      </c>
      <c r="D69" s="362" t="inlineStr">
        <is>
          <t>旅費</t>
        </is>
      </c>
      <c r="E69" s="362" t="n"/>
      <c r="F69" s="362" t="inlineStr">
        <is>
          <t>6/21サーバー等説明会　福岡市　永山主事</t>
        </is>
      </c>
      <c r="G69" s="363" t="n">
        <v>19040</v>
      </c>
      <c r="H69" s="360" t="n">
        <v>2</v>
      </c>
      <c r="I69" s="360" t="inlineStr">
        <is>
          <t>昨年実績</t>
        </is>
      </c>
      <c r="J69" s="364">
        <f>IF($G69="","",IF($H69=1,$G69-ROUND($G69*10/23,0)-2*ROUND($G69/23,0),IF($H69=2,$G69,0)))</f>
        <v>19040</v>
      </c>
      <c r="K69" s="364">
        <f>IF($G69="","",IF($H69=1,ROUND($G69*10/23,0),IF($H69=3,$G69-2*ROUND($G69/12,0),IF($H69=4,$G69,IF(OR($H69=5,$H69=7),ROUND($G69*10/11,0),0)))))</f>
        <v>0</v>
      </c>
      <c r="L69" s="364">
        <f>IF($G69="","",IF($H69=1,ROUND($G69/23,0),IF($H69=3,ROUND($G69/12,0),IF($H69=5,$G69-ROUND($G69*10/11,0),IF($H69=8,$G69,0)))))</f>
        <v>0</v>
      </c>
      <c r="M69" s="364">
        <f>IF($G69="","",IF($H69=1,ROUND($G69/23,0),IF($H69=3,ROUND($G69/12,0),IF($H69=6,$G69,IF($H69=7,$G69-ROUND($G69*10/11,0),0)))))</f>
        <v>0</v>
      </c>
      <c r="N69" s="364">
        <f>IF($G69="","",K69+L69+M69)</f>
        <v>0</v>
      </c>
      <c r="O69" s="365" t="str">
        <f>IF($G69="","",IFERROR(VLOOKUP($D69&amp;"|"&amp;$E69,科目表!$A$5:$B$200,2,FALSE),"※未登録"))</f>
        <v>旅費</v>
      </c>
      <c r="P69" s="359">
        <f>IF(OR($G69="",$C69=""),"",IF($B69="決算整理",13,MOD(MONTH($C69)-4,12)+1))</f>
        <v>3</v>
      </c>
      <c r="Q69" s="366" t="str">
        <f>IF($G69="","",TRIM(IF(J69+K69+L69+M69&lt;&gt;$G69,"按分不一致 ","")&amp;IF(O69="※未登録","科目未登録 ","")&amp;IF(OR($H69="",ISERROR(MATCH($H69,{1,2,3,4,5,6,7,8},0))),"経費区分? ","")&amp;IF($I69="","状態未設定 ","")&amp;IF(AND(OR($I69="確認済",$I69="未確認"),$B69="月例",OR($C69="",$C69&lt;DATE(年度+2018,4,1),$C69&gt;DATE(年度+2019,3,31))),"年度外の日付 ","")&amp;IF(AND(OR($I69="確認済",$I69="未確認"),O69="対象外"),"対象外の科目 ","")))</f>
        <v/>
      </c>
      <c r="R69" s="366" t="inlineStr">
        <is>
          <t>月例!71</t>
        </is>
      </c>
    </row>
    <row r="70">
      <c r="A70" s="359" t="n">
        <v>66</v>
      </c>
      <c r="B70" s="360" t="inlineStr">
        <is>
          <t>月例</t>
        </is>
      </c>
      <c r="C70" s="361" t="n">
        <v>45805</v>
      </c>
      <c r="D70" s="362" t="inlineStr">
        <is>
          <t>旅費</t>
        </is>
      </c>
      <c r="E70" s="362" t="n"/>
      <c r="F70" s="362" t="inlineStr">
        <is>
          <t>6/2保健事業事務研修会　特別区　清水課長補佐</t>
        </is>
      </c>
      <c r="G70" s="363" t="n">
        <v>37160</v>
      </c>
      <c r="H70" s="360" t="n">
        <v>2</v>
      </c>
      <c r="I70" s="360" t="inlineStr">
        <is>
          <t>昨年実績</t>
        </is>
      </c>
      <c r="J70" s="364">
        <f>IF($G70="","",IF($H70=1,$G70-ROUND($G70*10/23,0)-2*ROUND($G70/23,0),IF($H70=2,$G70,0)))</f>
        <v>37160</v>
      </c>
      <c r="K70" s="364">
        <f>IF($G70="","",IF($H70=1,ROUND($G70*10/23,0),IF($H70=3,$G70-2*ROUND($G70/12,0),IF($H70=4,$G70,IF(OR($H70=5,$H70=7),ROUND($G70*10/11,0),0)))))</f>
        <v>0</v>
      </c>
      <c r="L70" s="364">
        <f>IF($G70="","",IF($H70=1,ROUND($G70/23,0),IF($H70=3,ROUND($G70/12,0),IF($H70=5,$G70-ROUND($G70*10/11,0),IF($H70=8,$G70,0)))))</f>
        <v>0</v>
      </c>
      <c r="M70" s="364">
        <f>IF($G70="","",IF($H70=1,ROUND($G70/23,0),IF($H70=3,ROUND($G70/12,0),IF($H70=6,$G70,IF($H70=7,$G70-ROUND($G70*10/11,0),0)))))</f>
        <v>0</v>
      </c>
      <c r="N70" s="364">
        <f>IF($G70="","",K70+L70+M70)</f>
        <v>0</v>
      </c>
      <c r="O70" s="365" t="str">
        <f>IF($G70="","",IFERROR(VLOOKUP($D70&amp;"|"&amp;$E70,科目表!$A$5:$B$200,2,FALSE),"※未登録"))</f>
        <v>旅費</v>
      </c>
      <c r="P70" s="359">
        <f>IF(OR($G70="",$C70=""),"",IF($B70="決算整理",13,MOD(MONTH($C70)-4,12)+1))</f>
        <v>2</v>
      </c>
      <c r="Q70" s="366" t="str">
        <f>IF($G70="","",TRIM(IF(J70+K70+L70+M70&lt;&gt;$G70,"按分不一致 ","")&amp;IF(O70="※未登録","科目未登録 ","")&amp;IF(OR($H70="",ISERROR(MATCH($H70,{1,2,3,4,5,6,7,8},0))),"経費区分? ","")&amp;IF($I70="","状態未設定 ","")&amp;IF(AND(OR($I70="確認済",$I70="未確認"),$B70="月例",OR($C70="",$C70&lt;DATE(年度+2018,4,1),$C70&gt;DATE(年度+2019,3,31))),"年度外の日付 ","")&amp;IF(AND(OR($I70="確認済",$I70="未確認"),O70="対象外"),"対象外の科目 ","")))</f>
        <v/>
      </c>
      <c r="R70" s="366" t="inlineStr">
        <is>
          <t>月例!72</t>
        </is>
      </c>
    </row>
    <row r="71">
      <c r="A71" s="359" t="n">
        <v>67</v>
      </c>
      <c r="B71" s="360" t="inlineStr">
        <is>
          <t>月例</t>
        </is>
      </c>
      <c r="C71" s="361" t="n">
        <v>45805</v>
      </c>
      <c r="D71" s="362" t="inlineStr">
        <is>
          <t>旅費</t>
        </is>
      </c>
      <c r="E71" s="362" t="n"/>
      <c r="F71" s="362" t="inlineStr">
        <is>
          <t>6/2保健事業事務研修会　特別区　上野主事</t>
        </is>
      </c>
      <c r="G71" s="363" t="n">
        <v>37390</v>
      </c>
      <c r="H71" s="360" t="n">
        <v>2</v>
      </c>
      <c r="I71" s="360" t="inlineStr">
        <is>
          <t>昨年実績</t>
        </is>
      </c>
      <c r="J71" s="364">
        <f>IF($G71="","",IF($H71=1,$G71-ROUND($G71*10/23,0)-2*ROUND($G71/23,0),IF($H71=2,$G71,0)))</f>
        <v>37390</v>
      </c>
      <c r="K71" s="364">
        <f>IF($G71="","",IF($H71=1,ROUND($G71*10/23,0),IF($H71=3,$G71-2*ROUND($G71/12,0),IF($H71=4,$G71,IF(OR($H71=5,$H71=7),ROUND($G71*10/11,0),0)))))</f>
        <v>0</v>
      </c>
      <c r="L71" s="364">
        <f>IF($G71="","",IF($H71=1,ROUND($G71/23,0),IF($H71=3,ROUND($G71/12,0),IF($H71=5,$G71-ROUND($G71*10/11,0),IF($H71=8,$G71,0)))))</f>
        <v>0</v>
      </c>
      <c r="M71" s="364">
        <f>IF($G71="","",IF($H71=1,ROUND($G71/23,0),IF($H71=3,ROUND($G71/12,0),IF($H71=6,$G71,IF($H71=7,$G71-ROUND($G71*10/11,0),0)))))</f>
        <v>0</v>
      </c>
      <c r="N71" s="364">
        <f>IF($G71="","",K71+L71+M71)</f>
        <v>0</v>
      </c>
      <c r="O71" s="365" t="str">
        <f>IF($G71="","",IFERROR(VLOOKUP($D71&amp;"|"&amp;$E71,科目表!$A$5:$B$200,2,FALSE),"※未登録"))</f>
        <v>旅費</v>
      </c>
      <c r="P71" s="359">
        <f>IF(OR($G71="",$C71=""),"",IF($B71="決算整理",13,MOD(MONTH($C71)-4,12)+1))</f>
        <v>2</v>
      </c>
      <c r="Q71" s="366" t="str">
        <f>IF($G71="","",TRIM(IF(J71+K71+L71+M71&lt;&gt;$G71,"按分不一致 ","")&amp;IF(O71="※未登録","科目未登録 ","")&amp;IF(OR($H71="",ISERROR(MATCH($H71,{1,2,3,4,5,6,7,8},0))),"経費区分? ","")&amp;IF($I71="","状態未設定 ","")&amp;IF(AND(OR($I71="確認済",$I71="未確認"),$B71="月例",OR($C71="",$C71&lt;DATE(年度+2018,4,1),$C71&gt;DATE(年度+2019,3,31))),"年度外の日付 ","")&amp;IF(AND(OR($I71="確認済",$I71="未確認"),O71="対象外"),"対象外の科目 ","")))</f>
        <v/>
      </c>
      <c r="R71" s="366" t="inlineStr">
        <is>
          <t>月例!73</t>
        </is>
      </c>
    </row>
    <row r="72">
      <c r="A72" s="359" t="n">
        <v>68</v>
      </c>
      <c r="B72" s="360" t="inlineStr">
        <is>
          <t>月例</t>
        </is>
      </c>
      <c r="C72" s="361" t="n">
        <v>43636</v>
      </c>
      <c r="D72" s="362" t="inlineStr">
        <is>
          <t>旅費</t>
        </is>
      </c>
      <c r="E72" s="362" t="n"/>
      <c r="F72" s="362" t="inlineStr">
        <is>
          <t>6/24～26　年金事務初任者研修会　特別区　梅谷主事</t>
        </is>
      </c>
      <c r="G72" s="363" t="n">
        <v>63820</v>
      </c>
      <c r="H72" s="360" t="n">
        <v>3</v>
      </c>
      <c r="I72" s="360" t="inlineStr">
        <is>
          <t>昨年実績</t>
        </is>
      </c>
      <c r="J72" s="364">
        <f>IF($G72="","",IF($H72=1,$G72-ROUND($G72*10/23,0)-2*ROUND($G72/23,0),IF($H72=2,$G72,0)))</f>
        <v>0</v>
      </c>
      <c r="K72" s="364">
        <f>IF($G72="","",IF($H72=1,ROUND($G72*10/23,0),IF($H72=3,$G72-2*ROUND($G72/12,0),IF($H72=4,$G72,IF(OR($H72=5,$H72=7),ROUND($G72*10/11,0),0)))))</f>
        <v>53184</v>
      </c>
      <c r="L72" s="364">
        <f>IF($G72="","",IF($H72=1,ROUND($G72/23,0),IF($H72=3,ROUND($G72/12,0),IF($H72=5,$G72-ROUND($G72*10/11,0),IF($H72=8,$G72,0)))))</f>
        <v>5318</v>
      </c>
      <c r="M72" s="364">
        <f>IF($G72="","",IF($H72=1,ROUND($G72/23,0),IF($H72=3,ROUND($G72/12,0),IF($H72=6,$G72,IF($H72=7,$G72-ROUND($G72*10/11,0),0)))))</f>
        <v>5318</v>
      </c>
      <c r="N72" s="364">
        <f>IF($G72="","",K72+L72+M72)</f>
        <v>63820</v>
      </c>
      <c r="O72" s="365" t="str">
        <f>IF($G72="","",IFERROR(VLOOKUP($D72&amp;"|"&amp;$E72,科目表!$A$5:$B$200,2,FALSE),"※未登録"))</f>
        <v>旅費</v>
      </c>
      <c r="P72" s="359">
        <f>IF(OR($G72="",$C72=""),"",IF($B72="決算整理",13,MOD(MONTH($C72)-4,12)+1))</f>
        <v>3</v>
      </c>
      <c r="Q72" s="366" t="str">
        <f>IF($G72="","",TRIM(IF(J72+K72+L72+M72&lt;&gt;$G72,"按分不一致 ","")&amp;IF(O72="※未登録","科目未登録 ","")&amp;IF(OR($H72="",ISERROR(MATCH($H72,{1,2,3,4,5,6,7,8},0))),"経費区分? ","")&amp;IF($I72="","状態未設定 ","")&amp;IF(AND(OR($I72="確認済",$I72="未確認"),$B72="月例",OR($C72="",$C72&lt;DATE(年度+2018,4,1),$C72&gt;DATE(年度+2019,3,31))),"年度外の日付 ","")&amp;IF(AND(OR($I72="確認済",$I72="未確認"),O72="対象外"),"対象外の科目 ","")))</f>
        <v/>
      </c>
      <c r="R72" s="366" t="inlineStr">
        <is>
          <t>月例!74</t>
        </is>
      </c>
    </row>
    <row r="73">
      <c r="A73" s="359" t="n">
        <v>69</v>
      </c>
      <c r="B73" s="360" t="inlineStr">
        <is>
          <t>月例</t>
        </is>
      </c>
      <c r="C73" s="361" t="n">
        <v>46178</v>
      </c>
      <c r="D73" s="362" t="inlineStr">
        <is>
          <t>事務費負担金払込金</t>
        </is>
      </c>
      <c r="E73" s="362" t="n"/>
      <c r="F73" s="362" t="inlineStr">
        <is>
          <t>５月分事務費負担金払込金と連合会交付金との相殺</t>
        </is>
      </c>
      <c r="G73" s="363" t="n">
        <v>5366000</v>
      </c>
      <c r="H73" s="360" t="n">
        <v>5</v>
      </c>
      <c r="I73" s="360" t="inlineStr">
        <is>
          <t>確認済</t>
        </is>
      </c>
      <c r="J73" s="364">
        <f>IF($G73="","",IF($H73=1,$G73-ROUND($G73*10/23,0)-2*ROUND($G73/23,0),IF($H73=2,$G73,0)))</f>
        <v>0</v>
      </c>
      <c r="K73" s="364">
        <f>IF($G73="","",IF($H73=1,ROUND($G73*10/23,0),IF($H73=3,$G73-2*ROUND($G73/12,0),IF($H73=4,$G73,IF(OR($H73=5,$H73=7),ROUND($G73*10/11,0),0)))))</f>
        <v>4878182</v>
      </c>
      <c r="L73" s="364">
        <f>IF($G73="","",IF($H73=1,ROUND($G73/23,0),IF($H73=3,ROUND($G73/12,0),IF($H73=5,$G73-ROUND($G73*10/11,0),IF($H73=8,$G73,0)))))</f>
        <v>487818</v>
      </c>
      <c r="M73" s="364">
        <f>IF($G73="","",IF($H73=1,ROUND($G73/23,0),IF($H73=3,ROUND($G73/12,0),IF($H73=6,$G73,IF($H73=7,$G73-ROUND($G73*10/11,0),0)))))</f>
        <v>0</v>
      </c>
      <c r="N73" s="364">
        <f>IF($G73="","",K73+L73+M73)</f>
        <v>5366000</v>
      </c>
      <c r="O73" s="365" t="str">
        <f>IF($G73="","",IFERROR(VLOOKUP($D73&amp;"|"&amp;$E73,科目表!$A$5:$B$200,2,FALSE),"※未登録"))</f>
        <v>事務費負担金払込金</v>
      </c>
      <c r="P73" s="359">
        <f>IF(OR($G73="",$C73=""),"",IF($B73="決算整理",13,MOD(MONTH($C73)-4,12)+1))</f>
        <v>3</v>
      </c>
      <c r="Q73" s="366" t="str">
        <f>IF($G73="","",TRIM(IF(J73+K73+L73+M73&lt;&gt;$G73,"按分不一致 ","")&amp;IF(O73="※未登録","科目未登録 ","")&amp;IF(OR($H73="",ISERROR(MATCH($H73,{1,2,3,4,5,6,7,8},0))),"経費区分? ","")&amp;IF($I73="","状態未設定 ","")&amp;IF(AND(OR($I73="確認済",$I73="未確認"),$B73="月例",OR($C73="",$C73&lt;DATE(年度+2018,4,1),$C73&gt;DATE(年度+2019,3,31))),"年度外の日付 ","")&amp;IF(AND(OR($I73="確認済",$I73="未確認"),O73="対象外"),"対象外の科目 ","")))</f>
        <v/>
      </c>
      <c r="R73" s="366" t="inlineStr">
        <is>
          <t>月例!75</t>
        </is>
      </c>
    </row>
    <row r="74">
      <c r="A74" s="359" t="n">
        <v>70</v>
      </c>
      <c r="B74" s="360" t="inlineStr">
        <is>
          <t>月例</t>
        </is>
      </c>
      <c r="C74" s="361" t="n">
        <v>45084</v>
      </c>
      <c r="D74" s="362" t="inlineStr">
        <is>
          <t>事務費負担金払込金</t>
        </is>
      </c>
      <c r="E74" s="362" t="n"/>
      <c r="F74" s="362" t="inlineStr">
        <is>
          <t>５月分事務費負担金払込金と連合会交付金との相殺</t>
        </is>
      </c>
      <c r="G74" s="363" t="n">
        <v>3553000</v>
      </c>
      <c r="H74" s="360" t="n">
        <v>5</v>
      </c>
      <c r="I74" s="360" t="inlineStr">
        <is>
          <t>昨年実績</t>
        </is>
      </c>
      <c r="J74" s="364">
        <f>IF($G74="","",IF($H74=1,$G74-ROUND($G74*10/23,0)-2*ROUND($G74/23,0),IF($H74=2,$G74,0)))</f>
        <v>0</v>
      </c>
      <c r="K74" s="364">
        <f>IF($G74="","",IF($H74=1,ROUND($G74*10/23,0),IF($H74=3,$G74-2*ROUND($G74/12,0),IF($H74=4,$G74,IF(OR($H74=5,$H74=7),ROUND($G74*10/11,0),0)))))</f>
        <v>3230000</v>
      </c>
      <c r="L74" s="364">
        <f>IF($G74="","",IF($H74=1,ROUND($G74/23,0),IF($H74=3,ROUND($G74/12,0),IF($H74=5,$G74-ROUND($G74*10/11,0),IF($H74=8,$G74,0)))))</f>
        <v>323000</v>
      </c>
      <c r="M74" s="364">
        <f>IF($G74="","",IF($H74=1,ROUND($G74/23,0),IF($H74=3,ROUND($G74/12,0),IF($H74=6,$G74,IF($H74=7,$G74-ROUND($G74*10/11,0),0)))))</f>
        <v>0</v>
      </c>
      <c r="N74" s="364">
        <f>IF($G74="","",K74+L74+M74)</f>
        <v>3553000</v>
      </c>
      <c r="O74" s="365" t="str">
        <f>IF($G74="","",IFERROR(VLOOKUP($D74&amp;"|"&amp;$E74,科目表!$A$5:$B$200,2,FALSE),"※未登録"))</f>
        <v>事務費負担金払込金</v>
      </c>
      <c r="P74" s="359">
        <f>IF(OR($G74="",$C74=""),"",IF($B74="決算整理",13,MOD(MONTH($C74)-4,12)+1))</f>
        <v>3</v>
      </c>
      <c r="Q74" s="366" t="str">
        <f>IF($G74="","",TRIM(IF(J74+K74+L74+M74&lt;&gt;$G74,"按分不一致 ","")&amp;IF(O74="※未登録","科目未登録 ","")&amp;IF(OR($H74="",ISERROR(MATCH($H74,{1,2,3,4,5,6,7,8},0))),"経費区分? ","")&amp;IF($I74="","状態未設定 ","")&amp;IF(AND(OR($I74="確認済",$I74="未確認"),$B74="月例",OR($C74="",$C74&lt;DATE(年度+2018,4,1),$C74&gt;DATE(年度+2019,3,31))),"年度外の日付 ","")&amp;IF(AND(OR($I74="確認済",$I74="未確認"),O74="対象外"),"対象外の科目 ","")))</f>
        <v/>
      </c>
      <c r="R74" s="366" t="inlineStr">
        <is>
          <t>月例!76</t>
        </is>
      </c>
    </row>
    <row r="75">
      <c r="A75" s="359" t="n">
        <v>71</v>
      </c>
      <c r="B75" s="360" t="inlineStr">
        <is>
          <t>月例</t>
        </is>
      </c>
      <c r="C75" s="361" t="n">
        <v>44718</v>
      </c>
      <c r="D75" s="362" t="inlineStr">
        <is>
          <t>厚生費</t>
        </is>
      </c>
      <c r="E75" s="362" t="inlineStr">
        <is>
          <t>健康診断費</t>
        </is>
      </c>
      <c r="F75" s="362" t="inlineStr">
        <is>
          <t>健康診断費自己負担超分（一山）</t>
        </is>
      </c>
      <c r="G75" s="363" t="n">
        <v>1569</v>
      </c>
      <c r="H75" s="360" t="n">
        <v>2</v>
      </c>
      <c r="I75" s="360" t="inlineStr">
        <is>
          <t>昨年実績</t>
        </is>
      </c>
      <c r="J75" s="364">
        <f>IF($G75="","",IF($H75=1,$G75-ROUND($G75*10/23,0)-2*ROUND($G75/23,0),IF($H75=2,$G75,0)))</f>
        <v>1569</v>
      </c>
      <c r="K75" s="364">
        <f>IF($G75="","",IF($H75=1,ROUND($G75*10/23,0),IF($H75=3,$G75-2*ROUND($G75/12,0),IF($H75=4,$G75,IF(OR($H75=5,$H75=7),ROUND($G75*10/11,0),0)))))</f>
        <v>0</v>
      </c>
      <c r="L75" s="364">
        <f>IF($G75="","",IF($H75=1,ROUND($G75/23,0),IF($H75=3,ROUND($G75/12,0),IF($H75=5,$G75-ROUND($G75*10/11,0),IF($H75=8,$G75,0)))))</f>
        <v>0</v>
      </c>
      <c r="M75" s="364">
        <f>IF($G75="","",IF($H75=1,ROUND($G75/23,0),IF($H75=3,ROUND($G75/12,0),IF($H75=6,$G75,IF($H75=7,$G75-ROUND($G75*10/11,0),0)))))</f>
        <v>0</v>
      </c>
      <c r="N75" s="364">
        <f>IF($G75="","",K75+L75+M75)</f>
        <v>0</v>
      </c>
      <c r="O75" s="365" t="str">
        <f>IF($G75="","",IFERROR(VLOOKUP($D75&amp;"|"&amp;$E75,科目表!$A$5:$B$200,2,FALSE),"※未登録"))</f>
        <v>厚生費</v>
      </c>
      <c r="P75" s="359">
        <f>IF(OR($G75="",$C75=""),"",IF($B75="決算整理",13,MOD(MONTH($C75)-4,12)+1))</f>
        <v>3</v>
      </c>
      <c r="Q75" s="366" t="str">
        <f>IF($G75="","",TRIM(IF(J75+K75+L75+M75&lt;&gt;$G75,"按分不一致 ","")&amp;IF(O75="※未登録","科目未登録 ","")&amp;IF(OR($H75="",ISERROR(MATCH($H75,{1,2,3,4,5,6,7,8},0))),"経費区分? ","")&amp;IF($I75="","状態未設定 ","")&amp;IF(AND(OR($I75="確認済",$I75="未確認"),$B75="月例",OR($C75="",$C75&lt;DATE(年度+2018,4,1),$C75&gt;DATE(年度+2019,3,31))),"年度外の日付 ","")&amp;IF(AND(OR($I75="確認済",$I75="未確認"),O75="対象外"),"対象外の科目 ","")))</f>
        <v/>
      </c>
      <c r="R75" s="366" t="inlineStr">
        <is>
          <t>月例!77</t>
        </is>
      </c>
    </row>
    <row r="76">
      <c r="A76" s="359" t="n">
        <v>72</v>
      </c>
      <c r="B76" s="360" t="inlineStr">
        <is>
          <t>月例</t>
        </is>
      </c>
      <c r="C76" s="361" t="n">
        <v>44708</v>
      </c>
      <c r="D76" s="362" t="inlineStr">
        <is>
          <t>事務費</t>
        </is>
      </c>
      <c r="E76" s="362" t="inlineStr">
        <is>
          <t>雑費</t>
        </is>
      </c>
      <c r="F76" s="362" t="inlineStr">
        <is>
          <t>ＪＡ残高証明書（手数料）R4.3.31時点</t>
        </is>
      </c>
      <c r="G76" s="363" t="n">
        <v>220</v>
      </c>
      <c r="H76" s="360" t="n">
        <v>2</v>
      </c>
      <c r="I76" s="360" t="inlineStr">
        <is>
          <t>昨年実績</t>
        </is>
      </c>
      <c r="J76" s="364">
        <f>IF($G76="","",IF($H76=1,$G76-ROUND($G76*10/23,0)-2*ROUND($G76/23,0),IF($H76=2,$G76,0)))</f>
        <v>220</v>
      </c>
      <c r="K76" s="364">
        <f>IF($G76="","",IF($H76=1,ROUND($G76*10/23,0),IF($H76=3,$G76-2*ROUND($G76/12,0),IF($H76=4,$G76,IF(OR($H76=5,$H76=7),ROUND($G76*10/11,0),0)))))</f>
        <v>0</v>
      </c>
      <c r="L76" s="364">
        <f>IF($G76="","",IF($H76=1,ROUND($G76/23,0),IF($H76=3,ROUND($G76/12,0),IF($H76=5,$G76-ROUND($G76*10/11,0),IF($H76=8,$G76,0)))))</f>
        <v>0</v>
      </c>
      <c r="M76" s="364">
        <f>IF($G76="","",IF($H76=1,ROUND($G76/23,0),IF($H76=3,ROUND($G76/12,0),IF($H76=6,$G76,IF($H76=7,$G76-ROUND($G76*10/11,0),0)))))</f>
        <v>0</v>
      </c>
      <c r="N76" s="364">
        <f>IF($G76="","",K76+L76+M76)</f>
        <v>0</v>
      </c>
      <c r="O76" s="365" t="str">
        <f>IF($G76="","",IFERROR(VLOOKUP($D76&amp;"|"&amp;$E76,科目表!$A$5:$B$200,2,FALSE),"※未登録"))</f>
        <v>事務費・雑費</v>
      </c>
      <c r="P76" s="359">
        <f>IF(OR($G76="",$C76=""),"",IF($B76="決算整理",13,MOD(MONTH($C76)-4,12)+1))</f>
        <v>2</v>
      </c>
      <c r="Q76" s="366" t="str">
        <f>IF($G76="","",TRIM(IF(J76+K76+L76+M76&lt;&gt;$G76,"按分不一致 ","")&amp;IF(O76="※未登録","科目未登録 ","")&amp;IF(OR($H76="",ISERROR(MATCH($H76,{1,2,3,4,5,6,7,8},0))),"経費区分? ","")&amp;IF($I76="","状態未設定 ","")&amp;IF(AND(OR($I76="確認済",$I76="未確認"),$B76="月例",OR($C76="",$C76&lt;DATE(年度+2018,4,1),$C76&gt;DATE(年度+2019,3,31))),"年度外の日付 ","")&amp;IF(AND(OR($I76="確認済",$I76="未確認"),O76="対象外"),"対象外の科目 ","")))</f>
        <v/>
      </c>
      <c r="R76" s="366" t="inlineStr">
        <is>
          <t>月例!78</t>
        </is>
      </c>
    </row>
    <row r="77">
      <c r="A77" s="359" t="n">
        <v>73</v>
      </c>
      <c r="B77" s="360" t="inlineStr">
        <is>
          <t>月例</t>
        </is>
      </c>
      <c r="C77" s="361" t="n">
        <v>44711</v>
      </c>
      <c r="D77" s="362" t="inlineStr">
        <is>
          <t>負担金</t>
        </is>
      </c>
      <c r="E77" s="362" t="inlineStr">
        <is>
          <t>負担金</t>
        </is>
      </c>
      <c r="F77" s="362" t="inlineStr">
        <is>
          <t>収入印紙</t>
        </is>
      </c>
      <c r="G77" s="363" t="n">
        <v>5000</v>
      </c>
      <c r="H77" s="360" t="n">
        <v>3</v>
      </c>
      <c r="I77" s="360" t="inlineStr">
        <is>
          <t>昨年実績</t>
        </is>
      </c>
      <c r="J77" s="364">
        <f>IF($G77="","",IF($H77=1,$G77-ROUND($G77*10/23,0)-2*ROUND($G77/23,0),IF($H77=2,$G77,0)))</f>
        <v>0</v>
      </c>
      <c r="K77" s="364">
        <f>IF($G77="","",IF($H77=1,ROUND($G77*10/23,0),IF($H77=3,$G77-2*ROUND($G77/12,0),IF($H77=4,$G77,IF(OR($H77=5,$H77=7),ROUND($G77*10/11,0),0)))))</f>
        <v>4166</v>
      </c>
      <c r="L77" s="364">
        <f>IF($G77="","",IF($H77=1,ROUND($G77/23,0),IF($H77=3,ROUND($G77/12,0),IF($H77=5,$G77-ROUND($G77*10/11,0),IF($H77=8,$G77,0)))))</f>
        <v>417</v>
      </c>
      <c r="M77" s="364">
        <f>IF($G77="","",IF($H77=1,ROUND($G77/23,0),IF($H77=3,ROUND($G77/12,0),IF($H77=6,$G77,IF($H77=7,$G77-ROUND($G77*10/11,0),0)))))</f>
        <v>417</v>
      </c>
      <c r="N77" s="364">
        <f>IF($G77="","",K77+L77+M77)</f>
        <v>5000</v>
      </c>
      <c r="O77" s="365" t="str">
        <f>IF($G77="","",IFERROR(VLOOKUP($D77&amp;"|"&amp;$E77,科目表!$A$5:$B$200,2,FALSE),"※未登録"))</f>
        <v>共済負担金等</v>
      </c>
      <c r="P77" s="359">
        <f>IF(OR($G77="",$C77=""),"",IF($B77="決算整理",13,MOD(MONTH($C77)-4,12)+1))</f>
        <v>2</v>
      </c>
      <c r="Q77" s="366" t="str">
        <f>IF($G77="","",TRIM(IF(J77+K77+L77+M77&lt;&gt;$G77,"按分不一致 ","")&amp;IF(O77="※未登録","科目未登録 ","")&amp;IF(OR($H77="",ISERROR(MATCH($H77,{1,2,3,4,5,6,7,8},0))),"経費区分? ","")&amp;IF($I77="","状態未設定 ","")&amp;IF(AND(OR($I77="確認済",$I77="未確認"),$B77="月例",OR($C77="",$C77&lt;DATE(年度+2018,4,1),$C77&gt;DATE(年度+2019,3,31))),"年度外の日付 ","")&amp;IF(AND(OR($I77="確認済",$I77="未確認"),O77="対象外"),"対象外の科目 ","")))</f>
        <v/>
      </c>
      <c r="R77" s="366" t="inlineStr">
        <is>
          <t>月例!79</t>
        </is>
      </c>
    </row>
    <row r="78">
      <c r="A78" s="359" t="n">
        <v>74</v>
      </c>
      <c r="B78" s="360" t="inlineStr">
        <is>
          <t>月例</t>
        </is>
      </c>
      <c r="C78" s="361" t="n">
        <v>46183</v>
      </c>
      <c r="D78" s="362" t="inlineStr">
        <is>
          <t>事務費</t>
        </is>
      </c>
      <c r="E78" s="362" t="inlineStr">
        <is>
          <t>送金料</t>
        </is>
      </c>
      <c r="F78" s="362" t="inlineStr">
        <is>
          <t>振込手数料（広銀）５月分　長期分</t>
        </is>
      </c>
      <c r="G78" s="363" t="n">
        <v>12725</v>
      </c>
      <c r="H78" s="360" t="n">
        <v>3</v>
      </c>
      <c r="I78" s="360" t="inlineStr">
        <is>
          <t>確認済</t>
        </is>
      </c>
      <c r="J78" s="364">
        <f>IF($G78="","",IF($H78=1,$G78-ROUND($G78*10/23,0)-2*ROUND($G78/23,0),IF($H78=2,$G78,0)))</f>
        <v>0</v>
      </c>
      <c r="K78" s="364">
        <f>IF($G78="","",IF($H78=1,ROUND($G78*10/23,0),IF($H78=3,$G78-2*ROUND($G78/12,0),IF($H78=4,$G78,IF(OR($H78=5,$H78=7),ROUND($G78*10/11,0),0)))))</f>
        <v>10605</v>
      </c>
      <c r="L78" s="364">
        <f>IF($G78="","",IF($H78=1,ROUND($G78/23,0),IF($H78=3,ROUND($G78/12,0),IF($H78=5,$G78-ROUND($G78*10/11,0),IF($H78=8,$G78,0)))))</f>
        <v>1060</v>
      </c>
      <c r="M78" s="364">
        <f>IF($G78="","",IF($H78=1,ROUND($G78/23,0),IF($H78=3,ROUND($G78/12,0),IF($H78=6,$G78,IF($H78=7,$G78-ROUND($G78*10/11,0),0)))))</f>
        <v>1060</v>
      </c>
      <c r="N78" s="364">
        <f>IF($G78="","",K78+L78+M78)</f>
        <v>12725</v>
      </c>
      <c r="O78" s="365" t="str">
        <f>IF($G78="","",IFERROR(VLOOKUP($D78&amp;"|"&amp;$E78,科目表!$A$5:$B$200,2,FALSE),"※未登録"))</f>
        <v>送金料</v>
      </c>
      <c r="P78" s="359">
        <f>IF(OR($G78="",$C78=""),"",IF($B78="決算整理",13,MOD(MONTH($C78)-4,12)+1))</f>
        <v>3</v>
      </c>
      <c r="Q78" s="366" t="str">
        <f>IF($G78="","",TRIM(IF(J78+K78+L78+M78&lt;&gt;$G78,"按分不一致 ","")&amp;IF(O78="※未登録","科目未登録 ","")&amp;IF(OR($H78="",ISERROR(MATCH($H78,{1,2,3,4,5,6,7,8},0))),"経費区分? ","")&amp;IF($I78="","状態未設定 ","")&amp;IF(AND(OR($I78="確認済",$I78="未確認"),$B78="月例",OR($C78="",$C78&lt;DATE(年度+2018,4,1),$C78&gt;DATE(年度+2019,3,31))),"年度外の日付 ","")&amp;IF(AND(OR($I78="確認済",$I78="未確認"),O78="対象外"),"対象外の科目 ","")))</f>
        <v/>
      </c>
      <c r="R78" s="366" t="inlineStr">
        <is>
          <t>月例!80</t>
        </is>
      </c>
    </row>
    <row r="79">
      <c r="A79" s="359" t="n">
        <v>75</v>
      </c>
      <c r="B79" s="360" t="inlineStr">
        <is>
          <t>月例</t>
        </is>
      </c>
      <c r="C79" s="361" t="n">
        <v>46183</v>
      </c>
      <c r="D79" s="362" t="inlineStr">
        <is>
          <t>事務費</t>
        </is>
      </c>
      <c r="E79" s="362" t="inlineStr">
        <is>
          <t>送金料</t>
        </is>
      </c>
      <c r="F79" s="362" t="inlineStr">
        <is>
          <t>振込手数料（広銀）５月分　短期分</t>
        </is>
      </c>
      <c r="G79" s="363" t="n">
        <v>135833</v>
      </c>
      <c r="H79" s="360" t="n">
        <v>2</v>
      </c>
      <c r="I79" s="360" t="inlineStr">
        <is>
          <t>確認済</t>
        </is>
      </c>
      <c r="J79" s="364">
        <f>IF($G79="","",IF($H79=1,$G79-ROUND($G79*10/23,0)-2*ROUND($G79/23,0),IF($H79=2,$G79,0)))</f>
        <v>135833</v>
      </c>
      <c r="K79" s="364">
        <f>IF($G79="","",IF($H79=1,ROUND($G79*10/23,0),IF($H79=3,$G79-2*ROUND($G79/12,0),IF($H79=4,$G79,IF(OR($H79=5,$H79=7),ROUND($G79*10/11,0),0)))))</f>
        <v>0</v>
      </c>
      <c r="L79" s="364">
        <f>IF($G79="","",IF($H79=1,ROUND($G79/23,0),IF($H79=3,ROUND($G79/12,0),IF($H79=5,$G79-ROUND($G79*10/11,0),IF($H79=8,$G79,0)))))</f>
        <v>0</v>
      </c>
      <c r="M79" s="364">
        <f>IF($G79="","",IF($H79=1,ROUND($G79/23,0),IF($H79=3,ROUND($G79/12,0),IF($H79=6,$G79,IF($H79=7,$G79-ROUND($G79*10/11,0),0)))))</f>
        <v>0</v>
      </c>
      <c r="N79" s="364">
        <f>IF($G79="","",K79+L79+M79)</f>
        <v>0</v>
      </c>
      <c r="O79" s="365" t="str">
        <f>IF($G79="","",IFERROR(VLOOKUP($D79&amp;"|"&amp;$E79,科目表!$A$5:$B$200,2,FALSE),"※未登録"))</f>
        <v>送金料</v>
      </c>
      <c r="P79" s="359">
        <f>IF(OR($G79="",$C79=""),"",IF($B79="決算整理",13,MOD(MONTH($C79)-4,12)+1))</f>
        <v>3</v>
      </c>
      <c r="Q79" s="366" t="str">
        <f>IF($G79="","",TRIM(IF(J79+K79+L79+M79&lt;&gt;$G79,"按分不一致 ","")&amp;IF(O79="※未登録","科目未登録 ","")&amp;IF(OR($H79="",ISERROR(MATCH($H79,{1,2,3,4,5,6,7,8},0))),"経費区分? ","")&amp;IF($I79="","状態未設定 ","")&amp;IF(AND(OR($I79="確認済",$I79="未確認"),$B79="月例",OR($C79="",$C79&lt;DATE(年度+2018,4,1),$C79&gt;DATE(年度+2019,3,31))),"年度外の日付 ","")&amp;IF(AND(OR($I79="確認済",$I79="未確認"),O79="対象外"),"対象外の科目 ","")))</f>
        <v/>
      </c>
      <c r="R79" s="366" t="inlineStr">
        <is>
          <t>月例!81</t>
        </is>
      </c>
    </row>
    <row r="80">
      <c r="A80" s="359" t="n">
        <v>76</v>
      </c>
      <c r="B80" s="360" t="inlineStr">
        <is>
          <t>月例</t>
        </is>
      </c>
      <c r="C80" s="361" t="n">
        <v>46202</v>
      </c>
      <c r="D80" s="362" t="inlineStr">
        <is>
          <t>役員報酬</t>
        </is>
      </c>
      <c r="E80" s="362" t="n"/>
      <c r="F80" s="362" t="inlineStr">
        <is>
          <t>組合会６／２９　学識経験監事　栗栖　一雄</t>
        </is>
      </c>
      <c r="G80" s="363" t="n">
        <v>11000</v>
      </c>
      <c r="H80" s="360" t="n">
        <v>1</v>
      </c>
      <c r="I80" s="360" t="inlineStr">
        <is>
          <t>確認済</t>
        </is>
      </c>
      <c r="J80" s="364">
        <f>IF($G80="","",IF($H80=1,$G80-ROUND($G80*10/23,0)-2*ROUND($G80/23,0),IF($H80=2,$G80,0)))</f>
        <v>5261</v>
      </c>
      <c r="K80" s="364">
        <f>IF($G80="","",IF($H80=1,ROUND($G80*10/23,0),IF($H80=3,$G80-2*ROUND($G80/12,0),IF($H80=4,$G80,IF(OR($H80=5,$H80=7),ROUND($G80*10/11,0),0)))))</f>
        <v>4783</v>
      </c>
      <c r="L80" s="364">
        <f>IF($G80="","",IF($H80=1,ROUND($G80/23,0),IF($H80=3,ROUND($G80/12,0),IF($H80=5,$G80-ROUND($G80*10/11,0),IF($H80=8,$G80,0)))))</f>
        <v>478</v>
      </c>
      <c r="M80" s="364">
        <f>IF($G80="","",IF($H80=1,ROUND($G80/23,0),IF($H80=3,ROUND($G80/12,0),IF($H80=6,$G80,IF($H80=7,$G80-ROUND($G80*10/11,0),0)))))</f>
        <v>478</v>
      </c>
      <c r="N80" s="364">
        <f>IF($G80="","",K80+L80+M80)</f>
        <v>5739</v>
      </c>
      <c r="O80" s="365" t="str">
        <f>IF($G80="","",IFERROR(VLOOKUP($D80&amp;"|"&amp;$E80,科目表!$A$5:$B$200,2,FALSE),"※未登録"))</f>
        <v>役員報酬</v>
      </c>
      <c r="P80" s="359">
        <f>IF(OR($G80="",$C80=""),"",IF($B80="決算整理",13,MOD(MONTH($C80)-4,12)+1))</f>
        <v>3</v>
      </c>
      <c r="Q80" s="366" t="str">
        <f>IF($G80="","",TRIM(IF(J80+K80+L80+M80&lt;&gt;$G80,"按分不一致 ","")&amp;IF(O80="※未登録","科目未登録 ","")&amp;IF(OR($H80="",ISERROR(MATCH($H80,{1,2,3,4,5,6,7,8},0))),"経費区分? ","")&amp;IF($I80="","状態未設定 ","")&amp;IF(AND(OR($I80="確認済",$I80="未確認"),$B80="月例",OR($C80="",$C80&lt;DATE(年度+2018,4,1),$C80&gt;DATE(年度+2019,3,31))),"年度外の日付 ","")&amp;IF(AND(OR($I80="確認済",$I80="未確認"),O80="対象外"),"対象外の科目 ","")))</f>
        <v/>
      </c>
      <c r="R80" s="366" t="inlineStr">
        <is>
          <t>月例!82</t>
        </is>
      </c>
    </row>
    <row r="81">
      <c r="A81" s="359" t="n">
        <v>77</v>
      </c>
      <c r="B81" s="360" t="inlineStr">
        <is>
          <t>月例</t>
        </is>
      </c>
      <c r="C81" s="361" t="n">
        <v>46202</v>
      </c>
      <c r="D81" s="362" t="inlineStr">
        <is>
          <t>旅費</t>
        </is>
      </c>
      <c r="E81" s="362" t="n"/>
      <c r="F81" s="362" t="inlineStr">
        <is>
          <t>7/9全国理事研修会　香川県　山田理事</t>
        </is>
      </c>
      <c r="G81" s="363" t="n">
        <v>14320</v>
      </c>
      <c r="H81" s="360" t="n">
        <v>1</v>
      </c>
      <c r="I81" s="360" t="inlineStr">
        <is>
          <t>確認済</t>
        </is>
      </c>
      <c r="J81" s="364">
        <f>IF($G81="","",IF($H81=1,$G81-ROUND($G81*10/23,0)-2*ROUND($G81/23,0),IF($H81=2,$G81,0)))</f>
        <v>6848</v>
      </c>
      <c r="K81" s="364">
        <f>IF($G81="","",IF($H81=1,ROUND($G81*10/23,0),IF($H81=3,$G81-2*ROUND($G81/12,0),IF($H81=4,$G81,IF(OR($H81=5,$H81=7),ROUND($G81*10/11,0),0)))))</f>
        <v>6226</v>
      </c>
      <c r="L81" s="364">
        <f>IF($G81="","",IF($H81=1,ROUND($G81/23,0),IF($H81=3,ROUND($G81/12,0),IF($H81=5,$G81-ROUND($G81*10/11,0),IF($H81=8,$G81,0)))))</f>
        <v>623</v>
      </c>
      <c r="M81" s="364">
        <f>IF($G81="","",IF($H81=1,ROUND($G81/23,0),IF($H81=3,ROUND($G81/12,0),IF($H81=6,$G81,IF($H81=7,$G81-ROUND($G81*10/11,0),0)))))</f>
        <v>623</v>
      </c>
      <c r="N81" s="364">
        <f>IF($G81="","",K81+L81+M81)</f>
        <v>7472</v>
      </c>
      <c r="O81" s="365" t="str">
        <f>IF($G81="","",IFERROR(VLOOKUP($D81&amp;"|"&amp;$E81,科目表!$A$5:$B$200,2,FALSE),"※未登録"))</f>
        <v>旅費</v>
      </c>
      <c r="P81" s="359">
        <f>IF(OR($G81="",$C81=""),"",IF($B81="決算整理",13,MOD(MONTH($C81)-4,12)+1))</f>
        <v>3</v>
      </c>
      <c r="Q81" s="366" t="str">
        <f>IF($G81="","",TRIM(IF(J81+K81+L81+M81&lt;&gt;$G81,"按分不一致 ","")&amp;IF(O81="※未登録","科目未登録 ","")&amp;IF(OR($H81="",ISERROR(MATCH($H81,{1,2,3,4,5,6,7,8},0))),"経費区分? ","")&amp;IF($I81="","状態未設定 ","")&amp;IF(AND(OR($I81="確認済",$I81="未確認"),$B81="月例",OR($C81="",$C81&lt;DATE(年度+2018,4,1),$C81&gt;DATE(年度+2019,3,31))),"年度外の日付 ","")&amp;IF(AND(OR($I81="確認済",$I81="未確認"),O81="対象外"),"対象外の科目 ","")))</f>
        <v/>
      </c>
      <c r="R81" s="366" t="inlineStr">
        <is>
          <t>月例!83</t>
        </is>
      </c>
    </row>
    <row r="82">
      <c r="A82" s="359" t="n">
        <v>78</v>
      </c>
      <c r="B82" s="360" t="inlineStr">
        <is>
          <t>月例</t>
        </is>
      </c>
      <c r="C82" s="361" t="n">
        <v>46202</v>
      </c>
      <c r="D82" s="362" t="inlineStr">
        <is>
          <t>旅費</t>
        </is>
      </c>
      <c r="E82" s="362" t="n"/>
      <c r="F82" s="362" t="inlineStr">
        <is>
          <t>7/9全国理事研修会　香川県　柴野理事</t>
        </is>
      </c>
      <c r="G82" s="363" t="n">
        <v>14320</v>
      </c>
      <c r="H82" s="360" t="n">
        <v>1</v>
      </c>
      <c r="I82" s="360" t="inlineStr">
        <is>
          <t>確認済</t>
        </is>
      </c>
      <c r="J82" s="364">
        <f>IF($G82="","",IF($H82=1,$G82-ROUND($G82*10/23,0)-2*ROUND($G82/23,0),IF($H82=2,$G82,0)))</f>
        <v>6848</v>
      </c>
      <c r="K82" s="364">
        <f>IF($G82="","",IF($H82=1,ROUND($G82*10/23,0),IF($H82=3,$G82-2*ROUND($G82/12,0),IF($H82=4,$G82,IF(OR($H82=5,$H82=7),ROUND($G82*10/11,0),0)))))</f>
        <v>6226</v>
      </c>
      <c r="L82" s="364">
        <f>IF($G82="","",IF($H82=1,ROUND($G82/23,0),IF($H82=3,ROUND($G82/12,0),IF($H82=5,$G82-ROUND($G82*10/11,0),IF($H82=8,$G82,0)))))</f>
        <v>623</v>
      </c>
      <c r="M82" s="364">
        <f>IF($G82="","",IF($H82=1,ROUND($G82/23,0),IF($H82=3,ROUND($G82/12,0),IF($H82=6,$G82,IF($H82=7,$G82-ROUND($G82*10/11,0),0)))))</f>
        <v>623</v>
      </c>
      <c r="N82" s="364">
        <f>IF($G82="","",K82+L82+M82)</f>
        <v>7472</v>
      </c>
      <c r="O82" s="365" t="str">
        <f>IF($G82="","",IFERROR(VLOOKUP($D82&amp;"|"&amp;$E82,科目表!$A$5:$B$200,2,FALSE),"※未登録"))</f>
        <v>旅費</v>
      </c>
      <c r="P82" s="359">
        <f>IF(OR($G82="",$C82=""),"",IF($B82="決算整理",13,MOD(MONTH($C82)-4,12)+1))</f>
        <v>3</v>
      </c>
      <c r="Q82" s="366" t="str">
        <f>IF($G82="","",TRIM(IF(J82+K82+L82+M82&lt;&gt;$G82,"按分不一致 ","")&amp;IF(O82="※未登録","科目未登録 ","")&amp;IF(OR($H82="",ISERROR(MATCH($H82,{1,2,3,4,5,6,7,8},0))),"経費区分? ","")&amp;IF($I82="","状態未設定 ","")&amp;IF(AND(OR($I82="確認済",$I82="未確認"),$B82="月例",OR($C82="",$C82&lt;DATE(年度+2018,4,1),$C82&gt;DATE(年度+2019,3,31))),"年度外の日付 ","")&amp;IF(AND(OR($I82="確認済",$I82="未確認"),O82="対象外"),"対象外の科目 ","")))</f>
        <v/>
      </c>
      <c r="R82" s="366" t="inlineStr">
        <is>
          <t>月例!84</t>
        </is>
      </c>
    </row>
    <row r="83">
      <c r="A83" s="359" t="n">
        <v>79</v>
      </c>
      <c r="B83" s="360" t="inlineStr">
        <is>
          <t>月例</t>
        </is>
      </c>
      <c r="C83" s="361" t="n">
        <v>46202</v>
      </c>
      <c r="D83" s="362" t="inlineStr">
        <is>
          <t>旅費</t>
        </is>
      </c>
      <c r="E83" s="362" t="n"/>
      <c r="F83" s="362" t="inlineStr">
        <is>
          <t>7/9全国理事研修会　香川県　濵理事</t>
        </is>
      </c>
      <c r="G83" s="363" t="n">
        <v>14320</v>
      </c>
      <c r="H83" s="360" t="n">
        <v>1</v>
      </c>
      <c r="I83" s="360" t="inlineStr">
        <is>
          <t>確認済</t>
        </is>
      </c>
      <c r="J83" s="364">
        <f>IF($G83="","",IF($H83=1,$G83-ROUND($G83*10/23,0)-2*ROUND($G83/23,0),IF($H83=2,$G83,0)))</f>
        <v>6848</v>
      </c>
      <c r="K83" s="364">
        <f>IF($G83="","",IF($H83=1,ROUND($G83*10/23,0),IF($H83=3,$G83-2*ROUND($G83/12,0),IF($H83=4,$G83,IF(OR($H83=5,$H83=7),ROUND($G83*10/11,0),0)))))</f>
        <v>6226</v>
      </c>
      <c r="L83" s="364">
        <f>IF($G83="","",IF($H83=1,ROUND($G83/23,0),IF($H83=3,ROUND($G83/12,0),IF($H83=5,$G83-ROUND($G83*10/11,0),IF($H83=8,$G83,0)))))</f>
        <v>623</v>
      </c>
      <c r="M83" s="364">
        <f>IF($G83="","",IF($H83=1,ROUND($G83/23,0),IF($H83=3,ROUND($G83/12,0),IF($H83=6,$G83,IF($H83=7,$G83-ROUND($G83*10/11,0),0)))))</f>
        <v>623</v>
      </c>
      <c r="N83" s="364">
        <f>IF($G83="","",K83+L83+M83)</f>
        <v>7472</v>
      </c>
      <c r="O83" s="365" t="str">
        <f>IF($G83="","",IFERROR(VLOOKUP($D83&amp;"|"&amp;$E83,科目表!$A$5:$B$200,2,FALSE),"※未登録"))</f>
        <v>旅費</v>
      </c>
      <c r="P83" s="359">
        <f>IF(OR($G83="",$C83=""),"",IF($B83="決算整理",13,MOD(MONTH($C83)-4,12)+1))</f>
        <v>3</v>
      </c>
      <c r="Q83" s="366" t="str">
        <f>IF($G83="","",TRIM(IF(J83+K83+L83+M83&lt;&gt;$G83,"按分不一致 ","")&amp;IF(O83="※未登録","科目未登録 ","")&amp;IF(OR($H83="",ISERROR(MATCH($H83,{1,2,3,4,5,6,7,8},0))),"経費区分? ","")&amp;IF($I83="","状態未設定 ","")&amp;IF(AND(OR($I83="確認済",$I83="未確認"),$B83="月例",OR($C83="",$C83&lt;DATE(年度+2018,4,1),$C83&gt;DATE(年度+2019,3,31))),"年度外の日付 ","")&amp;IF(AND(OR($I83="確認済",$I83="未確認"),O83="対象外"),"対象外の科目 ","")))</f>
        <v/>
      </c>
      <c r="R83" s="366" t="inlineStr">
        <is>
          <t>月例!85</t>
        </is>
      </c>
    </row>
    <row r="84">
      <c r="A84" s="359" t="n">
        <v>80</v>
      </c>
      <c r="B84" s="360" t="inlineStr">
        <is>
          <t>月例</t>
        </is>
      </c>
      <c r="C84" s="361" t="n">
        <v>46220</v>
      </c>
      <c r="D84" s="362" t="inlineStr">
        <is>
          <t>委託費</t>
        </is>
      </c>
      <c r="E84" s="362" t="n"/>
      <c r="F84" s="362" t="inlineStr">
        <is>
          <t>ねんきん定期便（４月分）送付業務</t>
        </is>
      </c>
      <c r="G84" s="363" t="n">
        <v>84057</v>
      </c>
      <c r="H84" s="360" t="n">
        <v>5</v>
      </c>
      <c r="I84" s="360" t="inlineStr">
        <is>
          <t>確認済</t>
        </is>
      </c>
      <c r="J84" s="364">
        <f>IF($G84="","",IF($H84=1,$G84-ROUND($G84*10/23,0)-2*ROUND($G84/23,0),IF($H84=2,$G84,0)))</f>
        <v>0</v>
      </c>
      <c r="K84" s="364">
        <f>IF($G84="","",IF($H84=1,ROUND($G84*10/23,0),IF($H84=3,$G84-2*ROUND($G84/12,0),IF($H84=4,$G84,IF(OR($H84=5,$H84=7),ROUND($G84*10/11,0),0)))))</f>
        <v>76415</v>
      </c>
      <c r="L84" s="364">
        <f>IF($G84="","",IF($H84=1,ROUND($G84/23,0),IF($H84=3,ROUND($G84/12,0),IF($H84=5,$G84-ROUND($G84*10/11,0),IF($H84=8,$G84,0)))))</f>
        <v>7642</v>
      </c>
      <c r="M84" s="364">
        <f>IF($G84="","",IF($H84=1,ROUND($G84/23,0),IF($H84=3,ROUND($G84/12,0),IF($H84=6,$G84,IF($H84=7,$G84-ROUND($G84*10/11,0),0)))))</f>
        <v>0</v>
      </c>
      <c r="N84" s="364">
        <f>IF($G84="","",K84+L84+M84)</f>
        <v>84057</v>
      </c>
      <c r="O84" s="365" t="str">
        <f>IF($G84="","",IFERROR(VLOOKUP($D84&amp;"|"&amp;$E84,科目表!$A$5:$B$200,2,FALSE),"※未登録"))</f>
        <v>委託費</v>
      </c>
      <c r="P84" s="359">
        <f>IF(OR($G84="",$C84=""),"",IF($B84="決算整理",13,MOD(MONTH($C84)-4,12)+1))</f>
        <v>4</v>
      </c>
      <c r="Q84" s="366" t="str">
        <f>IF($G84="","",TRIM(IF(J84+K84+L84+M84&lt;&gt;$G84,"按分不一致 ","")&amp;IF(O84="※未登録","科目未登録 ","")&amp;IF(OR($H84="",ISERROR(MATCH($H84,{1,2,3,4,5,6,7,8},0))),"経費区分? ","")&amp;IF($I84="","状態未設定 ","")&amp;IF(AND(OR($I84="確認済",$I84="未確認"),$B84="月例",OR($C84="",$C84&lt;DATE(年度+2018,4,1),$C84&gt;DATE(年度+2019,3,31))),"年度外の日付 ","")&amp;IF(AND(OR($I84="確認済",$I84="未確認"),O84="対象外"),"対象外の科目 ","")))</f>
        <v/>
      </c>
      <c r="R84" s="366" t="inlineStr">
        <is>
          <t>月例!86</t>
        </is>
      </c>
    </row>
    <row r="85">
      <c r="A85" s="359" t="n">
        <v>81</v>
      </c>
      <c r="B85" s="360" t="inlineStr">
        <is>
          <t>月例</t>
        </is>
      </c>
      <c r="C85" s="361" t="n">
        <v>45831</v>
      </c>
      <c r="D85" s="362" t="inlineStr">
        <is>
          <t>事務費</t>
        </is>
      </c>
      <c r="E85" s="362" t="inlineStr">
        <is>
          <t>通信運搬費</t>
        </is>
      </c>
      <c r="F85" s="362" t="inlineStr">
        <is>
          <t>切手等</t>
        </is>
      </c>
      <c r="G85" s="363" t="n">
        <v>172500</v>
      </c>
      <c r="H85" s="360" t="n">
        <v>3</v>
      </c>
      <c r="I85" s="360" t="inlineStr">
        <is>
          <t>昨年実績</t>
        </is>
      </c>
      <c r="J85" s="364">
        <f>IF($G85="","",IF($H85=1,$G85-ROUND($G85*10/23,0)-2*ROUND($G85/23,0),IF($H85=2,$G85,0)))</f>
        <v>0</v>
      </c>
      <c r="K85" s="364">
        <f>IF($G85="","",IF($H85=1,ROUND($G85*10/23,0),IF($H85=3,$G85-2*ROUND($G85/12,0),IF($H85=4,$G85,IF(OR($H85=5,$H85=7),ROUND($G85*10/11,0),0)))))</f>
        <v>143750</v>
      </c>
      <c r="L85" s="364">
        <f>IF($G85="","",IF($H85=1,ROUND($G85/23,0),IF($H85=3,ROUND($G85/12,0),IF($H85=5,$G85-ROUND($G85*10/11,0),IF($H85=8,$G85,0)))))</f>
        <v>14375</v>
      </c>
      <c r="M85" s="364">
        <f>IF($G85="","",IF($H85=1,ROUND($G85/23,0),IF($H85=3,ROUND($G85/12,0),IF($H85=6,$G85,IF($H85=7,$G85-ROUND($G85*10/11,0),0)))))</f>
        <v>14375</v>
      </c>
      <c r="N85" s="364">
        <f>IF($G85="","",K85+L85+M85)</f>
        <v>172500</v>
      </c>
      <c r="O85" s="365" t="str">
        <f>IF($G85="","",IFERROR(VLOOKUP($D85&amp;"|"&amp;$E85,科目表!$A$5:$B$200,2,FALSE),"※未登録"))</f>
        <v>通信運搬費</v>
      </c>
      <c r="P85" s="359">
        <f>IF(OR($G85="",$C85=""),"",IF($B85="決算整理",13,MOD(MONTH($C85)-4,12)+1))</f>
        <v>3</v>
      </c>
      <c r="Q85" s="366" t="str">
        <f>IF($G85="","",TRIM(IF(J85+K85+L85+M85&lt;&gt;$G85,"按分不一致 ","")&amp;IF(O85="※未登録","科目未登録 ","")&amp;IF(OR($H85="",ISERROR(MATCH($H85,{1,2,3,4,5,6,7,8},0))),"経費区分? ","")&amp;IF($I85="","状態未設定 ","")&amp;IF(AND(OR($I85="確認済",$I85="未確認"),$B85="月例",OR($C85="",$C85&lt;DATE(年度+2018,4,1),$C85&gt;DATE(年度+2019,3,31))),"年度外の日付 ","")&amp;IF(AND(OR($I85="確認済",$I85="未確認"),O85="対象外"),"対象外の科目 ","")))</f>
        <v/>
      </c>
      <c r="R85" s="366" t="inlineStr">
        <is>
          <t>月例!87</t>
        </is>
      </c>
    </row>
    <row r="86">
      <c r="A86" s="359" t="n">
        <v>82</v>
      </c>
      <c r="B86" s="360" t="inlineStr">
        <is>
          <t>月例</t>
        </is>
      </c>
      <c r="C86" s="361" t="n">
        <v>43984</v>
      </c>
      <c r="D86" s="362" t="inlineStr">
        <is>
          <t>負担金</t>
        </is>
      </c>
      <c r="E86" s="362" t="inlineStr">
        <is>
          <t>負担金</t>
        </is>
      </c>
      <c r="F86" s="362" t="inlineStr">
        <is>
          <t>収入印紙</t>
        </is>
      </c>
      <c r="G86" s="363" t="n">
        <v>2000</v>
      </c>
      <c r="H86" s="360" t="n">
        <v>2</v>
      </c>
      <c r="I86" s="360" t="inlineStr">
        <is>
          <t>昨年実績</t>
        </is>
      </c>
      <c r="J86" s="364">
        <f>IF($G86="","",IF($H86=1,$G86-ROUND($G86*10/23,0)-2*ROUND($G86/23,0),IF($H86=2,$G86,0)))</f>
        <v>2000</v>
      </c>
      <c r="K86" s="364">
        <f>IF($G86="","",IF($H86=1,ROUND($G86*10/23,0),IF($H86=3,$G86-2*ROUND($G86/12,0),IF($H86=4,$G86,IF(OR($H86=5,$H86=7),ROUND($G86*10/11,0),0)))))</f>
        <v>0</v>
      </c>
      <c r="L86" s="364">
        <f>IF($G86="","",IF($H86=1,ROUND($G86/23,0),IF($H86=3,ROUND($G86/12,0),IF($H86=5,$G86-ROUND($G86*10/11,0),IF($H86=8,$G86,0)))))</f>
        <v>0</v>
      </c>
      <c r="M86" s="364">
        <f>IF($G86="","",IF($H86=1,ROUND($G86/23,0),IF($H86=3,ROUND($G86/12,0),IF($H86=6,$G86,IF($H86=7,$G86-ROUND($G86*10/11,0),0)))))</f>
        <v>0</v>
      </c>
      <c r="N86" s="364">
        <f>IF($G86="","",K86+L86+M86)</f>
        <v>0</v>
      </c>
      <c r="O86" s="365" t="str">
        <f>IF($G86="","",IFERROR(VLOOKUP($D86&amp;"|"&amp;$E86,科目表!$A$5:$B$200,2,FALSE),"※未登録"))</f>
        <v>共済負担金等</v>
      </c>
      <c r="P86" s="359">
        <f>IF(OR($G86="",$C86=""),"",IF($B86="決算整理",13,MOD(MONTH($C86)-4,12)+1))</f>
        <v>3</v>
      </c>
      <c r="Q86" s="366" t="str">
        <f>IF($G86="","",TRIM(IF(J86+K86+L86+M86&lt;&gt;$G86,"按分不一致 ","")&amp;IF(O86="※未登録","科目未登録 ","")&amp;IF(OR($H86="",ISERROR(MATCH($H86,{1,2,3,4,5,6,7,8},0))),"経費区分? ","")&amp;IF($I86="","状態未設定 ","")&amp;IF(AND(OR($I86="確認済",$I86="未確認"),$B86="月例",OR($C86="",$C86&lt;DATE(年度+2018,4,1),$C86&gt;DATE(年度+2019,3,31))),"年度外の日付 ","")&amp;IF(AND(OR($I86="確認済",$I86="未確認"),O86="対象外"),"対象外の科目 ","")))</f>
        <v/>
      </c>
      <c r="R86" s="366" t="inlineStr">
        <is>
          <t>月例!88</t>
        </is>
      </c>
    </row>
    <row r="87">
      <c r="A87" s="359" t="n">
        <v>83</v>
      </c>
      <c r="B87" s="360" t="inlineStr">
        <is>
          <t>月例</t>
        </is>
      </c>
      <c r="C87" s="361" t="n">
        <v>46202</v>
      </c>
      <c r="D87" s="362" t="inlineStr">
        <is>
          <t>賃借料</t>
        </is>
      </c>
      <c r="E87" s="362" t="n"/>
      <c r="F87" s="362" t="inlineStr">
        <is>
          <t>パソコン（業務経理用）５月分</t>
        </is>
      </c>
      <c r="G87" s="363" t="n">
        <v>5060</v>
      </c>
      <c r="H87" s="360" t="n">
        <v>2</v>
      </c>
      <c r="I87" s="360" t="inlineStr">
        <is>
          <t>確認済</t>
        </is>
      </c>
      <c r="J87" s="364">
        <f>IF($G87="","",IF($H87=1,$G87-ROUND($G87*10/23,0)-2*ROUND($G87/23,0),IF($H87=2,$G87,0)))</f>
        <v>5060</v>
      </c>
      <c r="K87" s="364">
        <f>IF($G87="","",IF($H87=1,ROUND($G87*10/23,0),IF($H87=3,$G87-2*ROUND($G87/12,0),IF($H87=4,$G87,IF(OR($H87=5,$H87=7),ROUND($G87*10/11,0),0)))))</f>
        <v>0</v>
      </c>
      <c r="L87" s="364">
        <f>IF($G87="","",IF($H87=1,ROUND($G87/23,0),IF($H87=3,ROUND($G87/12,0),IF($H87=5,$G87-ROUND($G87*10/11,0),IF($H87=8,$G87,0)))))</f>
        <v>0</v>
      </c>
      <c r="M87" s="364">
        <f>IF($G87="","",IF($H87=1,ROUND($G87/23,0),IF($H87=3,ROUND($G87/12,0),IF($H87=6,$G87,IF($H87=7,$G87-ROUND($G87*10/11,0),0)))))</f>
        <v>0</v>
      </c>
      <c r="N87" s="364">
        <f>IF($G87="","",K87+L87+M87)</f>
        <v>0</v>
      </c>
      <c r="O87" s="365" t="str">
        <f>IF($G87="","",IFERROR(VLOOKUP($D87&amp;"|"&amp;$E87,科目表!$A$5:$B$200,2,FALSE),"※未登録"))</f>
        <v>賃借料</v>
      </c>
      <c r="P87" s="359">
        <f>IF(OR($G87="",$C87=""),"",IF($B87="決算整理",13,MOD(MONTH($C87)-4,12)+1))</f>
        <v>3</v>
      </c>
      <c r="Q87" s="366" t="str">
        <f>IF($G87="","",TRIM(IF(J87+K87+L87+M87&lt;&gt;$G87,"按分不一致 ","")&amp;IF(O87="※未登録","科目未登録 ","")&amp;IF(OR($H87="",ISERROR(MATCH($H87,{1,2,3,4,5,6,7,8},0))),"経費区分? ","")&amp;IF($I87="","状態未設定 ","")&amp;IF(AND(OR($I87="確認済",$I87="未確認"),$B87="月例",OR($C87="",$C87&lt;DATE(年度+2018,4,1),$C87&gt;DATE(年度+2019,3,31))),"年度外の日付 ","")&amp;IF(AND(OR($I87="確認済",$I87="未確認"),O87="対象外"),"対象外の科目 ","")))</f>
        <v/>
      </c>
      <c r="R87" s="366" t="inlineStr">
        <is>
          <t>月例!89</t>
        </is>
      </c>
    </row>
    <row r="88">
      <c r="A88" s="359" t="n">
        <v>84</v>
      </c>
      <c r="B88" s="360" t="inlineStr">
        <is>
          <t>月例</t>
        </is>
      </c>
      <c r="C88" s="361" t="n">
        <v>44392</v>
      </c>
      <c r="D88" s="362" t="inlineStr">
        <is>
          <t>賃借料</t>
        </is>
      </c>
      <c r="E88" s="362" t="n"/>
      <c r="F88" s="362" t="inlineStr">
        <is>
          <t>ﾊﾟｿｺﾝｳｨﾙｽ対策ｿﾌﾄ(業務用)ｻﾝﾈｯﾄ（5月分）</t>
        </is>
      </c>
      <c r="G88" s="363" t="n">
        <v>2090</v>
      </c>
      <c r="H88" s="360" t="n">
        <v>2</v>
      </c>
      <c r="I88" s="360" t="inlineStr">
        <is>
          <t>昨年実績</t>
        </is>
      </c>
      <c r="J88" s="364">
        <f>IF($G88="","",IF($H88=1,$G88-ROUND($G88*10/23,0)-2*ROUND($G88/23,0),IF($H88=2,$G88,0)))</f>
        <v>2090</v>
      </c>
      <c r="K88" s="364">
        <f>IF($G88="","",IF($H88=1,ROUND($G88*10/23,0),IF($H88=3,$G88-2*ROUND($G88/12,0),IF($H88=4,$G88,IF(OR($H88=5,$H88=7),ROUND($G88*10/11,0),0)))))</f>
        <v>0</v>
      </c>
      <c r="L88" s="364">
        <f>IF($G88="","",IF($H88=1,ROUND($G88/23,0),IF($H88=3,ROUND($G88/12,0),IF($H88=5,$G88-ROUND($G88*10/11,0),IF($H88=8,$G88,0)))))</f>
        <v>0</v>
      </c>
      <c r="M88" s="364">
        <f>IF($G88="","",IF($H88=1,ROUND($G88/23,0),IF($H88=3,ROUND($G88/12,0),IF($H88=6,$G88,IF($H88=7,$G88-ROUND($G88*10/11,0),0)))))</f>
        <v>0</v>
      </c>
      <c r="N88" s="364">
        <f>IF($G88="","",K88+L88+M88)</f>
        <v>0</v>
      </c>
      <c r="O88" s="365" t="str">
        <f>IF($G88="","",IFERROR(VLOOKUP($D88&amp;"|"&amp;$E88,科目表!$A$5:$B$200,2,FALSE),"※未登録"))</f>
        <v>賃借料</v>
      </c>
      <c r="P88" s="359">
        <f>IF(OR($G88="",$C88=""),"",IF($B88="決算整理",13,MOD(MONTH($C88)-4,12)+1))</f>
        <v>4</v>
      </c>
      <c r="Q88" s="366" t="str">
        <f>IF($G88="","",TRIM(IF(J88+K88+L88+M88&lt;&gt;$G88,"按分不一致 ","")&amp;IF(O88="※未登録","科目未登録 ","")&amp;IF(OR($H88="",ISERROR(MATCH($H88,{1,2,3,4,5,6,7,8},0))),"経費区分? ","")&amp;IF($I88="","状態未設定 ","")&amp;IF(AND(OR($I88="確認済",$I88="未確認"),$B88="月例",OR($C88="",$C88&lt;DATE(年度+2018,4,1),$C88&gt;DATE(年度+2019,3,31))),"年度外の日付 ","")&amp;IF(AND(OR($I88="確認済",$I88="未確認"),O88="対象外"),"対象外の科目 ","")))</f>
        <v/>
      </c>
      <c r="R88" s="366" t="inlineStr">
        <is>
          <t>月例!90</t>
        </is>
      </c>
    </row>
    <row r="89">
      <c r="A89" s="359" t="n">
        <v>85</v>
      </c>
      <c r="B89" s="360" t="inlineStr">
        <is>
          <t>月例</t>
        </is>
      </c>
      <c r="C89" s="361" t="n">
        <v>46188</v>
      </c>
      <c r="D89" s="362" t="inlineStr">
        <is>
          <t>賃金</t>
        </is>
      </c>
      <c r="E89" s="362" t="n"/>
      <c r="F89" s="362" t="inlineStr">
        <is>
          <t>臨時職員賃金５月分　天畠吏梨外１名分（短期１００％）</t>
        </is>
      </c>
      <c r="G89" s="363" t="n">
        <v>365040</v>
      </c>
      <c r="H89" s="360" t="n">
        <v>2</v>
      </c>
      <c r="I89" s="360" t="inlineStr">
        <is>
          <t>確認済</t>
        </is>
      </c>
      <c r="J89" s="364">
        <f>IF($G89="","",IF($H89=1,$G89-ROUND($G89*10/23,0)-2*ROUND($G89/23,0),IF($H89=2,$G89,0)))</f>
        <v>365040</v>
      </c>
      <c r="K89" s="364">
        <f>IF($G89="","",IF($H89=1,ROUND($G89*10/23,0),IF($H89=3,$G89-2*ROUND($G89/12,0),IF($H89=4,$G89,IF(OR($H89=5,$H89=7),ROUND($G89*10/11,0),0)))))</f>
        <v>0</v>
      </c>
      <c r="L89" s="364">
        <f>IF($G89="","",IF($H89=1,ROUND($G89/23,0),IF($H89=3,ROUND($G89/12,0),IF($H89=5,$G89-ROUND($G89*10/11,0),IF($H89=8,$G89,0)))))</f>
        <v>0</v>
      </c>
      <c r="M89" s="364">
        <f>IF($G89="","",IF($H89=1,ROUND($G89/23,0),IF($H89=3,ROUND($G89/12,0),IF($H89=6,$G89,IF($H89=7,$G89-ROUND($G89*10/11,0),0)))))</f>
        <v>0</v>
      </c>
      <c r="N89" s="364">
        <f>IF($G89="","",K89+L89+M89)</f>
        <v>0</v>
      </c>
      <c r="O89" s="365" t="str">
        <f>IF($G89="","",IFERROR(VLOOKUP($D89&amp;"|"&amp;$E89,科目表!$A$5:$B$200,2,FALSE),"※未登録"))</f>
        <v>賃金</v>
      </c>
      <c r="P89" s="359">
        <f>IF(OR($G89="",$C89=""),"",IF($B89="決算整理",13,MOD(MONTH($C89)-4,12)+1))</f>
        <v>3</v>
      </c>
      <c r="Q89" s="366" t="str">
        <f>IF($G89="","",TRIM(IF(J89+K89+L89+M89&lt;&gt;$G89,"按分不一致 ","")&amp;IF(O89="※未登録","科目未登録 ","")&amp;IF(OR($H89="",ISERROR(MATCH($H89,{1,2,3,4,5,6,7,8},0))),"経費区分? ","")&amp;IF($I89="","状態未設定 ","")&amp;IF(AND(OR($I89="確認済",$I89="未確認"),$B89="月例",OR($C89="",$C89&lt;DATE(年度+2018,4,1),$C89&gt;DATE(年度+2019,3,31))),"年度外の日付 ","")&amp;IF(AND(OR($I89="確認済",$I89="未確認"),O89="対象外"),"対象外の科目 ","")))</f>
        <v/>
      </c>
      <c r="R89" s="366" t="inlineStr">
        <is>
          <t>月例!91</t>
        </is>
      </c>
    </row>
    <row r="90">
      <c r="A90" s="359" t="n">
        <v>86</v>
      </c>
      <c r="B90" s="360" t="inlineStr">
        <is>
          <t>月例</t>
        </is>
      </c>
      <c r="C90" s="361" t="n">
        <v>46210</v>
      </c>
      <c r="D90" s="362" t="inlineStr">
        <is>
          <t>負担金</t>
        </is>
      </c>
      <c r="E90" s="362" t="inlineStr">
        <is>
          <t>労災・雇用保険料</t>
        </is>
      </c>
      <c r="F90" s="362" t="inlineStr">
        <is>
          <t>労災保険料　雇用保険料　一般拠出金（長期分）</t>
        </is>
      </c>
      <c r="G90" s="363" t="n">
        <v>71152</v>
      </c>
      <c r="H90" s="360" t="n">
        <v>3</v>
      </c>
      <c r="I90" s="360" t="inlineStr">
        <is>
          <t>確認済</t>
        </is>
      </c>
      <c r="J90" s="364">
        <f>IF($G90="","",IF($H90=1,$G90-ROUND($G90*10/23,0)-2*ROUND($G90/23,0),IF($H90=2,$G90,0)))</f>
        <v>0</v>
      </c>
      <c r="K90" s="364">
        <f>IF($G90="","",IF($H90=1,ROUND($G90*10/23,0),IF($H90=3,$G90-2*ROUND($G90/12,0),IF($H90=4,$G90,IF(OR($H90=5,$H90=7),ROUND($G90*10/11,0),0)))))</f>
        <v>59294</v>
      </c>
      <c r="L90" s="364">
        <f>IF($G90="","",IF($H90=1,ROUND($G90/23,0),IF($H90=3,ROUND($G90/12,0),IF($H90=5,$G90-ROUND($G90*10/11,0),IF($H90=8,$G90,0)))))</f>
        <v>5929</v>
      </c>
      <c r="M90" s="364">
        <f>IF($G90="","",IF($H90=1,ROUND($G90/23,0),IF($H90=3,ROUND($G90/12,0),IF($H90=6,$G90,IF($H90=7,$G90-ROUND($G90*10/11,0),0)))))</f>
        <v>5929</v>
      </c>
      <c r="N90" s="364">
        <f>IF($G90="","",K90+L90+M90)</f>
        <v>71152</v>
      </c>
      <c r="O90" s="365" t="str">
        <f>IF($G90="","",IFERROR(VLOOKUP($D90&amp;"|"&amp;$E90,科目表!$A$5:$B$200,2,FALSE),"※未登録"))</f>
        <v>労災・雇用保険料</v>
      </c>
      <c r="P90" s="359">
        <f>IF(OR($G90="",$C90=""),"",IF($B90="決算整理",13,MOD(MONTH($C90)-4,12)+1))</f>
        <v>4</v>
      </c>
      <c r="Q90" s="366" t="str">
        <f>IF($G90="","",TRIM(IF(J90+K90+L90+M90&lt;&gt;$G90,"按分不一致 ","")&amp;IF(O90="※未登録","科目未登録 ","")&amp;IF(OR($H90="",ISERROR(MATCH($H90,{1,2,3,4,5,6,7,8},0))),"経費区分? ","")&amp;IF($I90="","状態未設定 ","")&amp;IF(AND(OR($I90="確認済",$I90="未確認"),$B90="月例",OR($C90="",$C90&lt;DATE(年度+2018,4,1),$C90&gt;DATE(年度+2019,3,31))),"年度外の日付 ","")&amp;IF(AND(OR($I90="確認済",$I90="未確認"),O90="対象外"),"対象外の科目 ","")))</f>
        <v/>
      </c>
      <c r="R90" s="366" t="inlineStr">
        <is>
          <t>月例!92</t>
        </is>
      </c>
    </row>
    <row r="91">
      <c r="A91" s="359" t="n">
        <v>87</v>
      </c>
      <c r="B91" s="360" t="inlineStr">
        <is>
          <t>月例</t>
        </is>
      </c>
      <c r="C91" s="361" t="n">
        <v>46210</v>
      </c>
      <c r="D91" s="362" t="inlineStr">
        <is>
          <t>負担金</t>
        </is>
      </c>
      <c r="E91" s="362" t="inlineStr">
        <is>
          <t>労災・雇用保険料</t>
        </is>
      </c>
      <c r="F91" s="362" t="inlineStr">
        <is>
          <t>労災保険料　雇用保険料　一般拠出金（短期分）</t>
        </is>
      </c>
      <c r="G91" s="363" t="n">
        <v>108215</v>
      </c>
      <c r="H91" s="360" t="n">
        <v>2</v>
      </c>
      <c r="I91" s="360" t="inlineStr">
        <is>
          <t>確認済</t>
        </is>
      </c>
      <c r="J91" s="364">
        <f>IF($G91="","",IF($H91=1,$G91-ROUND($G91*10/23,0)-2*ROUND($G91/23,0),IF($H91=2,$G91,0)))</f>
        <v>108215</v>
      </c>
      <c r="K91" s="364">
        <f>IF($G91="","",IF($H91=1,ROUND($G91*10/23,0),IF($H91=3,$G91-2*ROUND($G91/12,0),IF($H91=4,$G91,IF(OR($H91=5,$H91=7),ROUND($G91*10/11,0),0)))))</f>
        <v>0</v>
      </c>
      <c r="L91" s="364">
        <f>IF($G91="","",IF($H91=1,ROUND($G91/23,0),IF($H91=3,ROUND($G91/12,0),IF($H91=5,$G91-ROUND($G91*10/11,0),IF($H91=8,$G91,0)))))</f>
        <v>0</v>
      </c>
      <c r="M91" s="364">
        <f>IF($G91="","",IF($H91=1,ROUND($G91/23,0),IF($H91=3,ROUND($G91/12,0),IF($H91=6,$G91,IF($H91=7,$G91-ROUND($G91*10/11,0),0)))))</f>
        <v>0</v>
      </c>
      <c r="N91" s="364">
        <f>IF($G91="","",K91+L91+M91)</f>
        <v>0</v>
      </c>
      <c r="O91" s="365" t="str">
        <f>IF($G91="","",IFERROR(VLOOKUP($D91&amp;"|"&amp;$E91,科目表!$A$5:$B$200,2,FALSE),"※未登録"))</f>
        <v>労災・雇用保険料</v>
      </c>
      <c r="P91" s="359">
        <f>IF(OR($G91="",$C91=""),"",IF($B91="決算整理",13,MOD(MONTH($C91)-4,12)+1))</f>
        <v>4</v>
      </c>
      <c r="Q91" s="366" t="str">
        <f>IF($G91="","",TRIM(IF(J91+K91+L91+M91&lt;&gt;$G91,"按分不一致 ","")&amp;IF(O91="※未登録","科目未登録 ","")&amp;IF(OR($H91="",ISERROR(MATCH($H91,{1,2,3,4,5,6,7,8},0))),"経費区分? ","")&amp;IF($I91="","状態未設定 ","")&amp;IF(AND(OR($I91="確認済",$I91="未確認"),$B91="月例",OR($C91="",$C91&lt;DATE(年度+2018,4,1),$C91&gt;DATE(年度+2019,3,31))),"年度外の日付 ","")&amp;IF(AND(OR($I91="確認済",$I91="未確認"),O91="対象外"),"対象外の科目 ","")))</f>
        <v/>
      </c>
      <c r="R91" s="366" t="inlineStr">
        <is>
          <t>月例!93</t>
        </is>
      </c>
    </row>
    <row r="92">
      <c r="A92" s="359" t="n">
        <v>88</v>
      </c>
      <c r="B92" s="360" t="inlineStr">
        <is>
          <t>月例</t>
        </is>
      </c>
      <c r="C92" s="361" t="n">
        <v>46203</v>
      </c>
      <c r="D92" s="362" t="inlineStr">
        <is>
          <t>事務費</t>
        </is>
      </c>
      <c r="E92" s="362" t="inlineStr">
        <is>
          <t>事務用消耗品費</t>
        </is>
      </c>
      <c r="F92" s="362" t="inlineStr">
        <is>
          <t>鋳造ゴム印　3号以下　51字　他5点</t>
        </is>
      </c>
      <c r="G92" s="363" t="n">
        <v>24508</v>
      </c>
      <c r="H92" s="360" t="n">
        <v>2</v>
      </c>
      <c r="I92" s="360" t="inlineStr">
        <is>
          <t>確認済</t>
        </is>
      </c>
      <c r="J92" s="364">
        <f>IF($G92="","",IF($H92=1,$G92-ROUND($G92*10/23,0)-2*ROUND($G92/23,0),IF($H92=2,$G92,0)))</f>
        <v>24508</v>
      </c>
      <c r="K92" s="364">
        <f>IF($G92="","",IF($H92=1,ROUND($G92*10/23,0),IF($H92=3,$G92-2*ROUND($G92/12,0),IF($H92=4,$G92,IF(OR($H92=5,$H92=7),ROUND($G92*10/11,0),0)))))</f>
        <v>0</v>
      </c>
      <c r="L92" s="364">
        <f>IF($G92="","",IF($H92=1,ROUND($G92/23,0),IF($H92=3,ROUND($G92/12,0),IF($H92=5,$G92-ROUND($G92*10/11,0),IF($H92=8,$G92,0)))))</f>
        <v>0</v>
      </c>
      <c r="M92" s="364">
        <f>IF($G92="","",IF($H92=1,ROUND($G92/23,0),IF($H92=3,ROUND($G92/12,0),IF($H92=6,$G92,IF($H92=7,$G92-ROUND($G92*10/11,0),0)))))</f>
        <v>0</v>
      </c>
      <c r="N92" s="364">
        <f>IF($G92="","",K92+L92+M92)</f>
        <v>0</v>
      </c>
      <c r="O92" s="365" t="str">
        <f>IF($G92="","",IFERROR(VLOOKUP($D92&amp;"|"&amp;$E92,科目表!$A$5:$B$200,2,FALSE),"※未登録"))</f>
        <v>事務用消耗品費</v>
      </c>
      <c r="P92" s="359">
        <f>IF(OR($G92="",$C92=""),"",IF($B92="決算整理",13,MOD(MONTH($C92)-4,12)+1))</f>
        <v>3</v>
      </c>
      <c r="Q92" s="366" t="str">
        <f>IF($G92="","",TRIM(IF(J92+K92+L92+M92&lt;&gt;$G92,"按分不一致 ","")&amp;IF(O92="※未登録","科目未登録 ","")&amp;IF(OR($H92="",ISERROR(MATCH($H92,{1,2,3,4,5,6,7,8},0))),"経費区分? ","")&amp;IF($I92="","状態未設定 ","")&amp;IF(AND(OR($I92="確認済",$I92="未確認"),$B92="月例",OR($C92="",$C92&lt;DATE(年度+2018,4,1),$C92&gt;DATE(年度+2019,3,31))),"年度外の日付 ","")&amp;IF(AND(OR($I92="確認済",$I92="未確認"),O92="対象外"),"対象外の科目 ","")))</f>
        <v/>
      </c>
      <c r="R92" s="366" t="inlineStr">
        <is>
          <t>月例!94</t>
        </is>
      </c>
    </row>
    <row r="93">
      <c r="A93" s="359" t="n">
        <v>89</v>
      </c>
      <c r="B93" s="360" t="inlineStr">
        <is>
          <t>月例</t>
        </is>
      </c>
      <c r="C93" s="361" t="n">
        <v>45835</v>
      </c>
      <c r="D93" s="362" t="inlineStr">
        <is>
          <t>事務費</t>
        </is>
      </c>
      <c r="E93" s="362" t="inlineStr">
        <is>
          <t>事務用消耗品費</t>
        </is>
      </c>
      <c r="F93" s="362" t="inlineStr">
        <is>
          <t>色上質紙　厚口／５００枚／Ａ４／浅黄　１包　外９点</t>
        </is>
      </c>
      <c r="G93" s="363" t="n">
        <v>16374</v>
      </c>
      <c r="H93" s="360" t="n">
        <v>3</v>
      </c>
      <c r="I93" s="360" t="inlineStr">
        <is>
          <t>昨年実績</t>
        </is>
      </c>
      <c r="J93" s="364">
        <f>IF($G93="","",IF($H93=1,$G93-ROUND($G93*10/23,0)-2*ROUND($G93/23,0),IF($H93=2,$G93,0)))</f>
        <v>0</v>
      </c>
      <c r="K93" s="364">
        <f>IF($G93="","",IF($H93=1,ROUND($G93*10/23,0),IF($H93=3,$G93-2*ROUND($G93/12,0),IF($H93=4,$G93,IF(OR($H93=5,$H93=7),ROUND($G93*10/11,0),0)))))</f>
        <v>13644</v>
      </c>
      <c r="L93" s="364">
        <f>IF($G93="","",IF($H93=1,ROUND($G93/23,0),IF($H93=3,ROUND($G93/12,0),IF($H93=5,$G93-ROUND($G93*10/11,0),IF($H93=8,$G93,0)))))</f>
        <v>1365</v>
      </c>
      <c r="M93" s="364">
        <f>IF($G93="","",IF($H93=1,ROUND($G93/23,0),IF($H93=3,ROUND($G93/12,0),IF($H93=6,$G93,IF($H93=7,$G93-ROUND($G93*10/11,0),0)))))</f>
        <v>1365</v>
      </c>
      <c r="N93" s="364">
        <f>IF($G93="","",K93+L93+M93)</f>
        <v>16374</v>
      </c>
      <c r="O93" s="365" t="str">
        <f>IF($G93="","",IFERROR(VLOOKUP($D93&amp;"|"&amp;$E93,科目表!$A$5:$B$200,2,FALSE),"※未登録"))</f>
        <v>事務用消耗品費</v>
      </c>
      <c r="P93" s="359">
        <f>IF(OR($G93="",$C93=""),"",IF($B93="決算整理",13,MOD(MONTH($C93)-4,12)+1))</f>
        <v>3</v>
      </c>
      <c r="Q93" s="366" t="str">
        <f>IF($G93="","",TRIM(IF(J93+K93+L93+M93&lt;&gt;$G93,"按分不一致 ","")&amp;IF(O93="※未登録","科目未登録 ","")&amp;IF(OR($H93="",ISERROR(MATCH($H93,{1,2,3,4,5,6,7,8},0))),"経費区分? ","")&amp;IF($I93="","状態未設定 ","")&amp;IF(AND(OR($I93="確認済",$I93="未確認"),$B93="月例",OR($C93="",$C93&lt;DATE(年度+2018,4,1),$C93&gt;DATE(年度+2019,3,31))),"年度外の日付 ","")&amp;IF(AND(OR($I93="確認済",$I93="未確認"),O93="対象外"),"対象外の科目 ","")))</f>
        <v/>
      </c>
      <c r="R93" s="366" t="inlineStr">
        <is>
          <t>月例!95</t>
        </is>
      </c>
    </row>
    <row r="94">
      <c r="A94" s="359" t="n">
        <v>90</v>
      </c>
      <c r="B94" s="360" t="inlineStr">
        <is>
          <t>月例</t>
        </is>
      </c>
      <c r="C94" s="361" t="n">
        <v>46171</v>
      </c>
      <c r="D94" s="362" t="inlineStr">
        <is>
          <t>事務費</t>
        </is>
      </c>
      <c r="E94" s="362" t="inlineStr">
        <is>
          <t>通信運搬費</t>
        </is>
      </c>
      <c r="F94" s="362" t="inlineStr">
        <is>
          <t>料金後納利用料（4月分）</t>
        </is>
      </c>
      <c r="G94" s="363" t="n">
        <v>147246</v>
      </c>
      <c r="H94" s="360" t="n">
        <v>3</v>
      </c>
      <c r="I94" s="360" t="inlineStr">
        <is>
          <t>確認済</t>
        </is>
      </c>
      <c r="J94" s="364">
        <f>IF($G94="","",IF($H94=1,$G94-ROUND($G94*10/23,0)-2*ROUND($G94/23,0),IF($H94=2,$G94,0)))</f>
        <v>0</v>
      </c>
      <c r="K94" s="364">
        <f>IF($G94="","",IF($H94=1,ROUND($G94*10/23,0),IF($H94=3,$G94-2*ROUND($G94/12,0),IF($H94=4,$G94,IF(OR($H94=5,$H94=7),ROUND($G94*10/11,0),0)))))</f>
        <v>122704</v>
      </c>
      <c r="L94" s="364">
        <f>IF($G94="","",IF($H94=1,ROUND($G94/23,0),IF($H94=3,ROUND($G94/12,0),IF($H94=5,$G94-ROUND($G94*10/11,0),IF($H94=8,$G94,0)))))</f>
        <v>12271</v>
      </c>
      <c r="M94" s="364">
        <f>IF($G94="","",IF($H94=1,ROUND($G94/23,0),IF($H94=3,ROUND($G94/12,0),IF($H94=6,$G94,IF($H94=7,$G94-ROUND($G94*10/11,0),0)))))</f>
        <v>12271</v>
      </c>
      <c r="N94" s="364">
        <f>IF($G94="","",K94+L94+M94)</f>
        <v>147246</v>
      </c>
      <c r="O94" s="365" t="str">
        <f>IF($G94="","",IFERROR(VLOOKUP($D94&amp;"|"&amp;$E94,科目表!$A$5:$B$200,2,FALSE),"※未登録"))</f>
        <v>通信運搬費</v>
      </c>
      <c r="P94" s="359">
        <f>IF(OR($G94="",$C94=""),"",IF($B94="決算整理",13,MOD(MONTH($C94)-4,12)+1))</f>
        <v>2</v>
      </c>
      <c r="Q94" s="366" t="str">
        <f>IF($G94="","",TRIM(IF(J94+K94+L94+M94&lt;&gt;$G94,"按分不一致 ","")&amp;IF(O94="※未登録","科目未登録 ","")&amp;IF(OR($H94="",ISERROR(MATCH($H94,{1,2,3,4,5,6,7,8},0))),"経費区分? ","")&amp;IF($I94="","状態未設定 ","")&amp;IF(AND(OR($I94="確認済",$I94="未確認"),$B94="月例",OR($C94="",$C94&lt;DATE(年度+2018,4,1),$C94&gt;DATE(年度+2019,3,31))),"年度外の日付 ","")&amp;IF(AND(OR($I94="確認済",$I94="未確認"),O94="対象外"),"対象外の科目 ","")))</f>
        <v/>
      </c>
      <c r="R94" s="366" t="inlineStr">
        <is>
          <t>月例!96</t>
        </is>
      </c>
    </row>
    <row r="95">
      <c r="A95" s="359" t="n">
        <v>91</v>
      </c>
      <c r="B95" s="360" t="inlineStr">
        <is>
          <t>月例</t>
        </is>
      </c>
      <c r="C95" s="361" t="n">
        <v>46171</v>
      </c>
      <c r="D95" s="362" t="inlineStr">
        <is>
          <t>事務費</t>
        </is>
      </c>
      <c r="E95" s="362" t="inlineStr">
        <is>
          <t>通信運搬費</t>
        </is>
      </c>
      <c r="F95" s="362" t="inlineStr">
        <is>
          <t>料金後納利用料（4月分）</t>
        </is>
      </c>
      <c r="G95" s="363" t="n">
        <v>196030</v>
      </c>
      <c r="H95" s="360" t="n">
        <v>2</v>
      </c>
      <c r="I95" s="360" t="inlineStr">
        <is>
          <t>確認済</t>
        </is>
      </c>
      <c r="J95" s="364">
        <f>IF($G95="","",IF($H95=1,$G95-ROUND($G95*10/23,0)-2*ROUND($G95/23,0),IF($H95=2,$G95,0)))</f>
        <v>196030</v>
      </c>
      <c r="K95" s="364">
        <f>IF($G95="","",IF($H95=1,ROUND($G95*10/23,0),IF($H95=3,$G95-2*ROUND($G95/12,0),IF($H95=4,$G95,IF(OR($H95=5,$H95=7),ROUND($G95*10/11,0),0)))))</f>
        <v>0</v>
      </c>
      <c r="L95" s="364">
        <f>IF($G95="","",IF($H95=1,ROUND($G95/23,0),IF($H95=3,ROUND($G95/12,0),IF($H95=5,$G95-ROUND($G95*10/11,0),IF($H95=8,$G95,0)))))</f>
        <v>0</v>
      </c>
      <c r="M95" s="364">
        <f>IF($G95="","",IF($H95=1,ROUND($G95/23,0),IF($H95=3,ROUND($G95/12,0),IF($H95=6,$G95,IF($H95=7,$G95-ROUND($G95*10/11,0),0)))))</f>
        <v>0</v>
      </c>
      <c r="N95" s="364">
        <f>IF($G95="","",K95+L95+M95)</f>
        <v>0</v>
      </c>
      <c r="O95" s="365" t="str">
        <f>IF($G95="","",IFERROR(VLOOKUP($D95&amp;"|"&amp;$E95,科目表!$A$5:$B$200,2,FALSE),"※未登録"))</f>
        <v>通信運搬費</v>
      </c>
      <c r="P95" s="359">
        <f>IF(OR($G95="",$C95=""),"",IF($B95="決算整理",13,MOD(MONTH($C95)-4,12)+1))</f>
        <v>2</v>
      </c>
      <c r="Q95" s="366" t="str">
        <f>IF($G95="","",TRIM(IF(J95+K95+L95+M95&lt;&gt;$G95,"按分不一致 ","")&amp;IF(O95="※未登録","科目未登録 ","")&amp;IF(OR($H95="",ISERROR(MATCH($H95,{1,2,3,4,5,6,7,8},0))),"経費区分? ","")&amp;IF($I95="","状態未設定 ","")&amp;IF(AND(OR($I95="確認済",$I95="未確認"),$B95="月例",OR($C95="",$C95&lt;DATE(年度+2018,4,1),$C95&gt;DATE(年度+2019,3,31))),"年度外の日付 ","")&amp;IF(AND(OR($I95="確認済",$I95="未確認"),O95="対象外"),"対象外の科目 ","")))</f>
        <v/>
      </c>
      <c r="R95" s="366" t="inlineStr">
        <is>
          <t>月例!97</t>
        </is>
      </c>
    </row>
    <row r="96">
      <c r="A96" s="359" t="n">
        <v>92</v>
      </c>
      <c r="B96" s="360" t="inlineStr">
        <is>
          <t>月例</t>
        </is>
      </c>
      <c r="C96" s="361" t="n">
        <v>44368</v>
      </c>
      <c r="D96" s="362" t="inlineStr">
        <is>
          <t>事務費</t>
        </is>
      </c>
      <c r="E96" s="362" t="inlineStr">
        <is>
          <t>通信運搬費</t>
        </is>
      </c>
      <c r="F96" s="362" t="inlineStr">
        <is>
          <t>電話料金（５月使用・６月請求分）</t>
        </is>
      </c>
      <c r="G96" s="363" t="n">
        <v>5407</v>
      </c>
      <c r="H96" s="360" t="n">
        <v>2</v>
      </c>
      <c r="I96" s="360" t="inlineStr">
        <is>
          <t>昨年実績</t>
        </is>
      </c>
      <c r="J96" s="364">
        <f>IF($G96="","",IF($H96=1,$G96-ROUND($G96*10/23,0)-2*ROUND($G96/23,0),IF($H96=2,$G96,0)))</f>
        <v>5407</v>
      </c>
      <c r="K96" s="364">
        <f>IF($G96="","",IF($H96=1,ROUND($G96*10/23,0),IF($H96=3,$G96-2*ROUND($G96/12,0),IF($H96=4,$G96,IF(OR($H96=5,$H96=7),ROUND($G96*10/11,0),0)))))</f>
        <v>0</v>
      </c>
      <c r="L96" s="364">
        <f>IF($G96="","",IF($H96=1,ROUND($G96/23,0),IF($H96=3,ROUND($G96/12,0),IF($H96=5,$G96-ROUND($G96*10/11,0),IF($H96=8,$G96,0)))))</f>
        <v>0</v>
      </c>
      <c r="M96" s="364">
        <f>IF($G96="","",IF($H96=1,ROUND($G96/23,0),IF($H96=3,ROUND($G96/12,0),IF($H96=6,$G96,IF($H96=7,$G96-ROUND($G96*10/11,0),0)))))</f>
        <v>0</v>
      </c>
      <c r="N96" s="364">
        <f>IF($G96="","",K96+L96+M96)</f>
        <v>0</v>
      </c>
      <c r="O96" s="365" t="str">
        <f>IF($G96="","",IFERROR(VLOOKUP($D96&amp;"|"&amp;$E96,科目表!$A$5:$B$200,2,FALSE),"※未登録"))</f>
        <v>通信運搬費</v>
      </c>
      <c r="P96" s="359">
        <f>IF(OR($G96="",$C96=""),"",IF($B96="決算整理",13,MOD(MONTH($C96)-4,12)+1))</f>
        <v>3</v>
      </c>
      <c r="Q96" s="366" t="str">
        <f>IF($G96="","",TRIM(IF(J96+K96+L96+M96&lt;&gt;$G96,"按分不一致 ","")&amp;IF(O96="※未登録","科目未登録 ","")&amp;IF(OR($H96="",ISERROR(MATCH($H96,{1,2,3,4,5,6,7,8},0))),"経費区分? ","")&amp;IF($I96="","状態未設定 ","")&amp;IF(AND(OR($I96="確認済",$I96="未確認"),$B96="月例",OR($C96="",$C96&lt;DATE(年度+2018,4,1),$C96&gt;DATE(年度+2019,3,31))),"年度外の日付 ","")&amp;IF(AND(OR($I96="確認済",$I96="未確認"),O96="対象外"),"対象外の科目 ","")))</f>
        <v/>
      </c>
      <c r="R96" s="366" t="inlineStr">
        <is>
          <t>月例!98</t>
        </is>
      </c>
    </row>
    <row r="97">
      <c r="A97" s="359" t="n">
        <v>93</v>
      </c>
      <c r="B97" s="360" t="inlineStr">
        <is>
          <t>月例</t>
        </is>
      </c>
      <c r="C97" s="361" t="n">
        <v>46192</v>
      </c>
      <c r="D97" s="362" t="inlineStr">
        <is>
          <t>委託費</t>
        </is>
      </c>
      <c r="E97" s="362" t="n"/>
      <c r="F97" s="362" t="inlineStr">
        <is>
          <t>レセプト電子データ提供料（３月診療分）</t>
        </is>
      </c>
      <c r="G97" s="363" t="n">
        <v>66423</v>
      </c>
      <c r="H97" s="360" t="n">
        <v>2</v>
      </c>
      <c r="I97" s="360" t="inlineStr">
        <is>
          <t>確認済</t>
        </is>
      </c>
      <c r="J97" s="364">
        <f>IF($G97="","",IF($H97=1,$G97-ROUND($G97*10/23,0)-2*ROUND($G97/23,0),IF($H97=2,$G97,0)))</f>
        <v>66423</v>
      </c>
      <c r="K97" s="364">
        <f>IF($G97="","",IF($H97=1,ROUND($G97*10/23,0),IF($H97=3,$G97-2*ROUND($G97/12,0),IF($H97=4,$G97,IF(OR($H97=5,$H97=7),ROUND($G97*10/11,0),0)))))</f>
        <v>0</v>
      </c>
      <c r="L97" s="364">
        <f>IF($G97="","",IF($H97=1,ROUND($G97/23,0),IF($H97=3,ROUND($G97/12,0),IF($H97=5,$G97-ROUND($G97*10/11,0),IF($H97=8,$G97,0)))))</f>
        <v>0</v>
      </c>
      <c r="M97" s="364">
        <f>IF($G97="","",IF($H97=1,ROUND($G97/23,0),IF($H97=3,ROUND($G97/12,0),IF($H97=6,$G97,IF($H97=7,$G97-ROUND($G97*10/11,0),0)))))</f>
        <v>0</v>
      </c>
      <c r="N97" s="364">
        <f>IF($G97="","",K97+L97+M97)</f>
        <v>0</v>
      </c>
      <c r="O97" s="365" t="str">
        <f>IF($G97="","",IFERROR(VLOOKUP($D97&amp;"|"&amp;$E97,科目表!$A$5:$B$200,2,FALSE),"※未登録"))</f>
        <v>委託費</v>
      </c>
      <c r="P97" s="359">
        <f>IF(OR($G97="",$C97=""),"",IF($B97="決算整理",13,MOD(MONTH($C97)-4,12)+1))</f>
        <v>3</v>
      </c>
      <c r="Q97" s="366" t="str">
        <f>IF($G97="","",TRIM(IF(J97+K97+L97+M97&lt;&gt;$G97,"按分不一致 ","")&amp;IF(O97="※未登録","科目未登録 ","")&amp;IF(OR($H97="",ISERROR(MATCH($H97,{1,2,3,4,5,6,7,8},0))),"経費区分? ","")&amp;IF($I97="","状態未設定 ","")&amp;IF(AND(OR($I97="確認済",$I97="未確認"),$B97="月例",OR($C97="",$C97&lt;DATE(年度+2018,4,1),$C97&gt;DATE(年度+2019,3,31))),"年度外の日付 ","")&amp;IF(AND(OR($I97="確認済",$I97="未確認"),O97="対象外"),"対象外の科目 ","")))</f>
        <v/>
      </c>
      <c r="R97" s="366" t="inlineStr">
        <is>
          <t>月例!99</t>
        </is>
      </c>
    </row>
    <row r="98">
      <c r="A98" s="359" t="n">
        <v>94</v>
      </c>
      <c r="B98" s="360" t="inlineStr">
        <is>
          <t>月例</t>
        </is>
      </c>
      <c r="C98" s="361" t="n">
        <v>46192</v>
      </c>
      <c r="D98" s="362" t="inlineStr">
        <is>
          <t>職員給与</t>
        </is>
      </c>
      <c r="E98" s="362" t="inlineStr">
        <is>
          <t>非常勤職員手当</t>
        </is>
      </c>
      <c r="F98" s="362" t="inlineStr">
        <is>
          <t>６月分給与（長期分）</t>
        </is>
      </c>
      <c r="G98" s="363" t="n">
        <v>380800</v>
      </c>
      <c r="H98" s="360" t="n">
        <v>3</v>
      </c>
      <c r="I98" s="360" t="inlineStr">
        <is>
          <t>確認済</t>
        </is>
      </c>
      <c r="J98" s="364">
        <f>IF($G98="","",IF($H98=1,$G98-ROUND($G98*10/23,0)-2*ROUND($G98/23,0),IF($H98=2,$G98,0)))</f>
        <v>0</v>
      </c>
      <c r="K98" s="364">
        <f>IF($G98="","",IF($H98=1,ROUND($G98*10/23,0),IF($H98=3,$G98-2*ROUND($G98/12,0),IF($H98=4,$G98,IF(OR($H98=5,$H98=7),ROUND($G98*10/11,0),0)))))</f>
        <v>317334</v>
      </c>
      <c r="L98" s="364">
        <f>IF($G98="","",IF($H98=1,ROUND($G98/23,0),IF($H98=3,ROUND($G98/12,0),IF($H98=5,$G98-ROUND($G98*10/11,0),IF($H98=8,$G98,0)))))</f>
        <v>31733</v>
      </c>
      <c r="M98" s="364">
        <f>IF($G98="","",IF($H98=1,ROUND($G98/23,0),IF($H98=3,ROUND($G98/12,0),IF($H98=6,$G98,IF($H98=7,$G98-ROUND($G98*10/11,0),0)))))</f>
        <v>31733</v>
      </c>
      <c r="N98" s="364">
        <f>IF($G98="","",K98+L98+M98)</f>
        <v>380800</v>
      </c>
      <c r="O98" s="365" t="str">
        <f>IF($G98="","",IFERROR(VLOOKUP($D98&amp;"|"&amp;$E98,科目表!$A$5:$B$200,2,FALSE),"※未登録"))</f>
        <v>非常勤職員手当</v>
      </c>
      <c r="P98" s="359">
        <f>IF(OR($G98="",$C98=""),"",IF($B98="決算整理",13,MOD(MONTH($C98)-4,12)+1))</f>
        <v>3</v>
      </c>
      <c r="Q98" s="366" t="str">
        <f>IF($G98="","",TRIM(IF(J98+K98+L98+M98&lt;&gt;$G98,"按分不一致 ","")&amp;IF(O98="※未登録","科目未登録 ","")&amp;IF(OR($H98="",ISERROR(MATCH($H98,{1,2,3,4,5,6,7,8},0))),"経費区分? ","")&amp;IF($I98="","状態未設定 ","")&amp;IF(AND(OR($I98="確認済",$I98="未確認"),$B98="月例",OR($C98="",$C98&lt;DATE(年度+2018,4,1),$C98&gt;DATE(年度+2019,3,31))),"年度外の日付 ","")&amp;IF(AND(OR($I98="確認済",$I98="未確認"),O98="対象外"),"対象外の科目 ","")))</f>
        <v/>
      </c>
      <c r="R98" s="366" t="inlineStr">
        <is>
          <t>月例!100</t>
        </is>
      </c>
    </row>
    <row r="99">
      <c r="A99" s="359" t="n">
        <v>95</v>
      </c>
      <c r="B99" s="360" t="inlineStr">
        <is>
          <t>月例</t>
        </is>
      </c>
      <c r="C99" s="361" t="n">
        <v>46192</v>
      </c>
      <c r="D99" s="362" t="inlineStr">
        <is>
          <t>職員給与</t>
        </is>
      </c>
      <c r="E99" s="362" t="inlineStr">
        <is>
          <t>非常勤職員手当</t>
        </is>
      </c>
      <c r="F99" s="362" t="inlineStr">
        <is>
          <t>６月分給与（短期分）</t>
        </is>
      </c>
      <c r="G99" s="363" t="n">
        <v>250504</v>
      </c>
      <c r="H99" s="360" t="n">
        <v>2</v>
      </c>
      <c r="I99" s="360" t="inlineStr">
        <is>
          <t>確認済</t>
        </is>
      </c>
      <c r="J99" s="364">
        <f>IF($G99="","",IF($H99=1,$G99-ROUND($G99*10/23,0)-2*ROUND($G99/23,0),IF($H99=2,$G99,0)))</f>
        <v>250504</v>
      </c>
      <c r="K99" s="364">
        <f>IF($G99="","",IF($H99=1,ROUND($G99*10/23,0),IF($H99=3,$G99-2*ROUND($G99/12,0),IF($H99=4,$G99,IF(OR($H99=5,$H99=7),ROUND($G99*10/11,0),0)))))</f>
        <v>0</v>
      </c>
      <c r="L99" s="364">
        <f>IF($G99="","",IF($H99=1,ROUND($G99/23,0),IF($H99=3,ROUND($G99/12,0),IF($H99=5,$G99-ROUND($G99*10/11,0),IF($H99=8,$G99,0)))))</f>
        <v>0</v>
      </c>
      <c r="M99" s="364">
        <f>IF($G99="","",IF($H99=1,ROUND($G99/23,0),IF($H99=3,ROUND($G99/12,0),IF($H99=6,$G99,IF($H99=7,$G99-ROUND($G99*10/11,0),0)))))</f>
        <v>0</v>
      </c>
      <c r="N99" s="364">
        <f>IF($G99="","",K99+L99+M99)</f>
        <v>0</v>
      </c>
      <c r="O99" s="365" t="str">
        <f>IF($G99="","",IFERROR(VLOOKUP($D99&amp;"|"&amp;$E99,科目表!$A$5:$B$200,2,FALSE),"※未登録"))</f>
        <v>非常勤職員手当</v>
      </c>
      <c r="P99" s="359">
        <f>IF(OR($G99="",$C99=""),"",IF($B99="決算整理",13,MOD(MONTH($C99)-4,12)+1))</f>
        <v>3</v>
      </c>
      <c r="Q99" s="366" t="str">
        <f>IF($G99="","",TRIM(IF(J99+K99+L99+M99&lt;&gt;$G99,"按分不一致 ","")&amp;IF(O99="※未登録","科目未登録 ","")&amp;IF(OR($H99="",ISERROR(MATCH($H99,{1,2,3,4,5,6,7,8},0))),"経費区分? ","")&amp;IF($I99="","状態未設定 ","")&amp;IF(AND(OR($I99="確認済",$I99="未確認"),$B99="月例",OR($C99="",$C99&lt;DATE(年度+2018,4,1),$C99&gt;DATE(年度+2019,3,31))),"年度外の日付 ","")&amp;IF(AND(OR($I99="確認済",$I99="未確認"),O99="対象外"),"対象外の科目 ","")))</f>
        <v/>
      </c>
      <c r="R99" s="366" t="inlineStr">
        <is>
          <t>月例!101</t>
        </is>
      </c>
    </row>
    <row r="100">
      <c r="A100" s="359" t="n">
        <v>96</v>
      </c>
      <c r="B100" s="360" t="inlineStr">
        <is>
          <t>月例</t>
        </is>
      </c>
      <c r="C100" s="361" t="n">
        <v>46192</v>
      </c>
      <c r="D100" s="362" t="inlineStr">
        <is>
          <t>負担金</t>
        </is>
      </c>
      <c r="E100" s="362" t="inlineStr">
        <is>
          <t>互助会費</t>
        </is>
      </c>
      <c r="F100" s="362" t="inlineStr">
        <is>
          <t>助成金（６月長期分）</t>
        </is>
      </c>
      <c r="G100" s="363" t="n">
        <v>466</v>
      </c>
      <c r="H100" s="360" t="n">
        <v>3</v>
      </c>
      <c r="I100" s="360" t="inlineStr">
        <is>
          <t>確認済</t>
        </is>
      </c>
      <c r="J100" s="364">
        <f>IF($G100="","",IF($H100=1,$G100-ROUND($G100*10/23,0)-2*ROUND($G100/23,0),IF($H100=2,$G100,0)))</f>
        <v>0</v>
      </c>
      <c r="K100" s="364">
        <f>IF($G100="","",IF($H100=1,ROUND($G100*10/23,0),IF($H100=3,$G100-2*ROUND($G100/12,0),IF($H100=4,$G100,IF(OR($H100=5,$H100=7),ROUND($G100*10/11,0),0)))))</f>
        <v>388</v>
      </c>
      <c r="L100" s="364">
        <f>IF($G100="","",IF($H100=1,ROUND($G100/23,0),IF($H100=3,ROUND($G100/12,0),IF($H100=5,$G100-ROUND($G100*10/11,0),IF($H100=8,$G100,0)))))</f>
        <v>39</v>
      </c>
      <c r="M100" s="364">
        <f>IF($G100="","",IF($H100=1,ROUND($G100/23,0),IF($H100=3,ROUND($G100/12,0),IF($H100=6,$G100,IF($H100=7,$G100-ROUND($G100*10/11,0),0)))))</f>
        <v>39</v>
      </c>
      <c r="N100" s="364">
        <f>IF($G100="","",K100+L100+M100)</f>
        <v>466</v>
      </c>
      <c r="O100" s="365" t="str">
        <f>IF($G100="","",IFERROR(VLOOKUP($D100&amp;"|"&amp;$E100,科目表!$A$5:$B$200,2,FALSE),"※未登録"))</f>
        <v>互助会費</v>
      </c>
      <c r="P100" s="359">
        <f>IF(OR($G100="",$C100=""),"",IF($B100="決算整理",13,MOD(MONTH($C100)-4,12)+1))</f>
        <v>3</v>
      </c>
      <c r="Q100" s="366" t="str">
        <f>IF($G100="","",TRIM(IF(J100+K100+L100+M100&lt;&gt;$G100,"按分不一致 ","")&amp;IF(O100="※未登録","科目未登録 ","")&amp;IF(OR($H100="",ISERROR(MATCH($H100,{1,2,3,4,5,6,7,8},0))),"経費区分? ","")&amp;IF($I100="","状態未設定 ","")&amp;IF(AND(OR($I100="確認済",$I100="未確認"),$B100="月例",OR($C100="",$C100&lt;DATE(年度+2018,4,1),$C100&gt;DATE(年度+2019,3,31))),"年度外の日付 ","")&amp;IF(AND(OR($I100="確認済",$I100="未確認"),O100="対象外"),"対象外の科目 ","")))</f>
        <v/>
      </c>
      <c r="R100" s="366" t="inlineStr">
        <is>
          <t>月例!102</t>
        </is>
      </c>
    </row>
    <row r="101">
      <c r="A101" s="359" t="n">
        <v>97</v>
      </c>
      <c r="B101" s="360" t="inlineStr">
        <is>
          <t>月例</t>
        </is>
      </c>
      <c r="C101" s="361" t="n">
        <v>46192</v>
      </c>
      <c r="D101" s="362" t="inlineStr">
        <is>
          <t>負担金</t>
        </is>
      </c>
      <c r="E101" s="362" t="inlineStr">
        <is>
          <t>互助会費</t>
        </is>
      </c>
      <c r="F101" s="362" t="inlineStr">
        <is>
          <t>助成金（６月短期分）</t>
        </is>
      </c>
      <c r="G101" s="363" t="n">
        <v>240</v>
      </c>
      <c r="H101" s="360" t="n">
        <v>2</v>
      </c>
      <c r="I101" s="360" t="inlineStr">
        <is>
          <t>確認済</t>
        </is>
      </c>
      <c r="J101" s="364">
        <f>IF($G101="","",IF($H101=1,$G101-ROUND($G101*10/23,0)-2*ROUND($G101/23,0),IF($H101=2,$G101,0)))</f>
        <v>240</v>
      </c>
      <c r="K101" s="364">
        <f>IF($G101="","",IF($H101=1,ROUND($G101*10/23,0),IF($H101=3,$G101-2*ROUND($G101/12,0),IF($H101=4,$G101,IF(OR($H101=5,$H101=7),ROUND($G101*10/11,0),0)))))</f>
        <v>0</v>
      </c>
      <c r="L101" s="364">
        <f>IF($G101="","",IF($H101=1,ROUND($G101/23,0),IF($H101=3,ROUND($G101/12,0),IF($H101=5,$G101-ROUND($G101*10/11,0),IF($H101=8,$G101,0)))))</f>
        <v>0</v>
      </c>
      <c r="M101" s="364">
        <f>IF($G101="","",IF($H101=1,ROUND($G101/23,0),IF($H101=3,ROUND($G101/12,0),IF($H101=6,$G101,IF($H101=7,$G101-ROUND($G101*10/11,0),0)))))</f>
        <v>0</v>
      </c>
      <c r="N101" s="364">
        <f>IF($G101="","",K101+L101+M101)</f>
        <v>0</v>
      </c>
      <c r="O101" s="365" t="str">
        <f>IF($G101="","",IFERROR(VLOOKUP($D101&amp;"|"&amp;$E101,科目表!$A$5:$B$200,2,FALSE),"※未登録"))</f>
        <v>互助会費</v>
      </c>
      <c r="P101" s="359">
        <f>IF(OR($G101="",$C101=""),"",IF($B101="決算整理",13,MOD(MONTH($C101)-4,12)+1))</f>
        <v>3</v>
      </c>
      <c r="Q101" s="366" t="str">
        <f>IF($G101="","",TRIM(IF(J101+K101+L101+M101&lt;&gt;$G101,"按分不一致 ","")&amp;IF(O101="※未登録","科目未登録 ","")&amp;IF(OR($H101="",ISERROR(MATCH($H101,{1,2,3,4,5,6,7,8},0))),"経費区分? ","")&amp;IF($I101="","状態未設定 ","")&amp;IF(AND(OR($I101="確認済",$I101="未確認"),$B101="月例",OR($C101="",$C101&lt;DATE(年度+2018,4,1),$C101&gt;DATE(年度+2019,3,31))),"年度外の日付 ","")&amp;IF(AND(OR($I101="確認済",$I101="未確認"),O101="対象外"),"対象外の科目 ","")))</f>
        <v/>
      </c>
      <c r="R101" s="366" t="inlineStr">
        <is>
          <t>月例!103</t>
        </is>
      </c>
    </row>
    <row r="102">
      <c r="A102" s="359" t="n">
        <v>98</v>
      </c>
      <c r="B102" s="360" t="inlineStr">
        <is>
          <t>月例</t>
        </is>
      </c>
      <c r="C102" s="361" t="n">
        <v>46203</v>
      </c>
      <c r="D102" s="362" t="inlineStr">
        <is>
          <t>事務費</t>
        </is>
      </c>
      <c r="E102" s="362" t="inlineStr">
        <is>
          <t>送金料</t>
        </is>
      </c>
      <c r="F102" s="362" t="inlineStr">
        <is>
          <t>ゆうちょ銀行手数料（５月分）短期</t>
        </is>
      </c>
      <c r="G102" s="363" t="n">
        <v>15479</v>
      </c>
      <c r="H102" s="360" t="n">
        <v>2</v>
      </c>
      <c r="I102" s="360" t="inlineStr">
        <is>
          <t>確認済</t>
        </is>
      </c>
      <c r="J102" s="364">
        <f>IF($G102="","",IF($H102=1,$G102-ROUND($G102*10/23,0)-2*ROUND($G102/23,0),IF($H102=2,$G102,0)))</f>
        <v>15479</v>
      </c>
      <c r="K102" s="364">
        <f>IF($G102="","",IF($H102=1,ROUND($G102*10/23,0),IF($H102=3,$G102-2*ROUND($G102/12,0),IF($H102=4,$G102,IF(OR($H102=5,$H102=7),ROUND($G102*10/11,0),0)))))</f>
        <v>0</v>
      </c>
      <c r="L102" s="364">
        <f>IF($G102="","",IF($H102=1,ROUND($G102/23,0),IF($H102=3,ROUND($G102/12,0),IF($H102=5,$G102-ROUND($G102*10/11,0),IF($H102=8,$G102,0)))))</f>
        <v>0</v>
      </c>
      <c r="M102" s="364">
        <f>IF($G102="","",IF($H102=1,ROUND($G102/23,0),IF($H102=3,ROUND($G102/12,0),IF($H102=6,$G102,IF($H102=7,$G102-ROUND($G102*10/11,0),0)))))</f>
        <v>0</v>
      </c>
      <c r="N102" s="364">
        <f>IF($G102="","",K102+L102+M102)</f>
        <v>0</v>
      </c>
      <c r="O102" s="365" t="str">
        <f>IF($G102="","",IFERROR(VLOOKUP($D102&amp;"|"&amp;$E102,科目表!$A$5:$B$200,2,FALSE),"※未登録"))</f>
        <v>送金料</v>
      </c>
      <c r="P102" s="359">
        <f>IF(OR($G102="",$C102=""),"",IF($B102="決算整理",13,MOD(MONTH($C102)-4,12)+1))</f>
        <v>3</v>
      </c>
      <c r="Q102" s="366" t="str">
        <f>IF($G102="","",TRIM(IF(J102+K102+L102+M102&lt;&gt;$G102,"按分不一致 ","")&amp;IF(O102="※未登録","科目未登録 ","")&amp;IF(OR($H102="",ISERROR(MATCH($H102,{1,2,3,4,5,6,7,8},0))),"経費区分? ","")&amp;IF($I102="","状態未設定 ","")&amp;IF(AND(OR($I102="確認済",$I102="未確認"),$B102="月例",OR($C102="",$C102&lt;DATE(年度+2018,4,1),$C102&gt;DATE(年度+2019,3,31))),"年度外の日付 ","")&amp;IF(AND(OR($I102="確認済",$I102="未確認"),O102="対象外"),"対象外の科目 ","")))</f>
        <v/>
      </c>
      <c r="R102" s="366" t="inlineStr">
        <is>
          <t>月例!104</t>
        </is>
      </c>
    </row>
    <row r="103">
      <c r="A103" s="359" t="n">
        <v>99</v>
      </c>
      <c r="B103" s="360" t="inlineStr">
        <is>
          <t>月例</t>
        </is>
      </c>
      <c r="C103" s="361" t="n">
        <v>46203</v>
      </c>
      <c r="D103" s="362" t="inlineStr">
        <is>
          <t>事務費</t>
        </is>
      </c>
      <c r="E103" s="362" t="inlineStr">
        <is>
          <t>雑費</t>
        </is>
      </c>
      <c r="F103" s="362" t="inlineStr">
        <is>
          <t>ゆうちょ銀行振替口座残高証明（５月分）短期</t>
        </is>
      </c>
      <c r="G103" s="363" t="n">
        <v>550</v>
      </c>
      <c r="H103" s="360" t="n">
        <v>2</v>
      </c>
      <c r="I103" s="360" t="inlineStr">
        <is>
          <t>確認済</t>
        </is>
      </c>
      <c r="J103" s="364">
        <f>IF($G103="","",IF($H103=1,$G103-ROUND($G103*10/23,0)-2*ROUND($G103/23,0),IF($H103=2,$G103,0)))</f>
        <v>550</v>
      </c>
      <c r="K103" s="364">
        <f>IF($G103="","",IF($H103=1,ROUND($G103*10/23,0),IF($H103=3,$G103-2*ROUND($G103/12,0),IF($H103=4,$G103,IF(OR($H103=5,$H103=7),ROUND($G103*10/11,0),0)))))</f>
        <v>0</v>
      </c>
      <c r="L103" s="364">
        <f>IF($G103="","",IF($H103=1,ROUND($G103/23,0),IF($H103=3,ROUND($G103/12,0),IF($H103=5,$G103-ROUND($G103*10/11,0),IF($H103=8,$G103,0)))))</f>
        <v>0</v>
      </c>
      <c r="M103" s="364">
        <f>IF($G103="","",IF($H103=1,ROUND($G103/23,0),IF($H103=3,ROUND($G103/12,0),IF($H103=6,$G103,IF($H103=7,$G103-ROUND($G103*10/11,0),0)))))</f>
        <v>0</v>
      </c>
      <c r="N103" s="364">
        <f>IF($G103="","",K103+L103+M103)</f>
        <v>0</v>
      </c>
      <c r="O103" s="365" t="str">
        <f>IF($G103="","",IFERROR(VLOOKUP($D103&amp;"|"&amp;$E103,科目表!$A$5:$B$200,2,FALSE),"※未登録"))</f>
        <v>事務費・雑費</v>
      </c>
      <c r="P103" s="359">
        <f>IF(OR($G103="",$C103=""),"",IF($B103="決算整理",13,MOD(MONTH($C103)-4,12)+1))</f>
        <v>3</v>
      </c>
      <c r="Q103" s="366" t="str">
        <f>IF($G103="","",TRIM(IF(J103+K103+L103+M103&lt;&gt;$G103,"按分不一致 ","")&amp;IF(O103="※未登録","科目未登録 ","")&amp;IF(OR($H103="",ISERROR(MATCH($H103,{1,2,3,4,5,6,7,8},0))),"経費区分? ","")&amp;IF($I103="","状態未設定 ","")&amp;IF(AND(OR($I103="確認済",$I103="未確認"),$B103="月例",OR($C103="",$C103&lt;DATE(年度+2018,4,1),$C103&gt;DATE(年度+2019,3,31))),"年度外の日付 ","")&amp;IF(AND(OR($I103="確認済",$I103="未確認"),O103="対象外"),"対象外の科目 ","")))</f>
        <v/>
      </c>
      <c r="R103" s="366" t="inlineStr">
        <is>
          <t>月例!105</t>
        </is>
      </c>
    </row>
    <row r="104">
      <c r="A104" s="359" t="n">
        <v>100</v>
      </c>
      <c r="B104" s="360" t="inlineStr">
        <is>
          <t>月例</t>
        </is>
      </c>
      <c r="C104" s="361" t="n">
        <v>46202</v>
      </c>
      <c r="D104" s="362" t="inlineStr">
        <is>
          <t>賃借料</t>
        </is>
      </c>
      <c r="E104" s="362" t="n"/>
      <c r="F104" s="362" t="inlineStr">
        <is>
          <t>基幹システム用機器賃借料　5月分（短期）</t>
        </is>
      </c>
      <c r="G104" s="363" t="n">
        <v>672934</v>
      </c>
      <c r="H104" s="360" t="n">
        <v>2</v>
      </c>
      <c r="I104" s="360" t="inlineStr">
        <is>
          <t>確認済</t>
        </is>
      </c>
      <c r="J104" s="364">
        <f>IF($G104="","",IF($H104=1,$G104-ROUND($G104*10/23,0)-2*ROUND($G104/23,0),IF($H104=2,$G104,0)))</f>
        <v>672934</v>
      </c>
      <c r="K104" s="364">
        <f>IF($G104="","",IF($H104=1,ROUND($G104*10/23,0),IF($H104=3,$G104-2*ROUND($G104/12,0),IF($H104=4,$G104,IF(OR($H104=5,$H104=7),ROUND($G104*10/11,0),0)))))</f>
        <v>0</v>
      </c>
      <c r="L104" s="364">
        <f>IF($G104="","",IF($H104=1,ROUND($G104/23,0),IF($H104=3,ROUND($G104/12,0),IF($H104=5,$G104-ROUND($G104*10/11,0),IF($H104=8,$G104,0)))))</f>
        <v>0</v>
      </c>
      <c r="M104" s="364">
        <f>IF($G104="","",IF($H104=1,ROUND($G104/23,0),IF($H104=3,ROUND($G104/12,0),IF($H104=6,$G104,IF($H104=7,$G104-ROUND($G104*10/11,0),0)))))</f>
        <v>0</v>
      </c>
      <c r="N104" s="364">
        <f>IF($G104="","",K104+L104+M104)</f>
        <v>0</v>
      </c>
      <c r="O104" s="365" t="str">
        <f>IF($G104="","",IFERROR(VLOOKUP($D104&amp;"|"&amp;$E104,科目表!$A$5:$B$200,2,FALSE),"※未登録"))</f>
        <v>賃借料</v>
      </c>
      <c r="P104" s="359">
        <f>IF(OR($G104="",$C104=""),"",IF($B104="決算整理",13,MOD(MONTH($C104)-4,12)+1))</f>
        <v>3</v>
      </c>
      <c r="Q104" s="366" t="str">
        <f>IF($G104="","",TRIM(IF(J104+K104+L104+M104&lt;&gt;$G104,"按分不一致 ","")&amp;IF(O104="※未登録","科目未登録 ","")&amp;IF(OR($H104="",ISERROR(MATCH($H104,{1,2,3,4,5,6,7,8},0))),"経費区分? ","")&amp;IF($I104="","状態未設定 ","")&amp;IF(AND(OR($I104="確認済",$I104="未確認"),$B104="月例",OR($C104="",$C104&lt;DATE(年度+2018,4,1),$C104&gt;DATE(年度+2019,3,31))),"年度外の日付 ","")&amp;IF(AND(OR($I104="確認済",$I104="未確認"),O104="対象外"),"対象外の科目 ","")))</f>
        <v/>
      </c>
      <c r="R104" s="366" t="inlineStr">
        <is>
          <t>月例!106</t>
        </is>
      </c>
    </row>
    <row r="105">
      <c r="A105" s="359" t="n">
        <v>101</v>
      </c>
      <c r="B105" s="360" t="inlineStr">
        <is>
          <t>月例</t>
        </is>
      </c>
      <c r="C105" s="361" t="n">
        <v>46202</v>
      </c>
      <c r="D105" s="362" t="inlineStr">
        <is>
          <t>賃借料</t>
        </is>
      </c>
      <c r="E105" s="362" t="n"/>
      <c r="F105" s="362" t="inlineStr">
        <is>
          <t>基幹システム用機器賃借料　5月分（長期）</t>
        </is>
      </c>
      <c r="G105" s="363" t="n">
        <v>69613</v>
      </c>
      <c r="H105" s="360" t="n">
        <v>3</v>
      </c>
      <c r="I105" s="360" t="inlineStr">
        <is>
          <t>確認済</t>
        </is>
      </c>
      <c r="J105" s="364">
        <f>IF($G105="","",IF($H105=1,$G105-ROUND($G105*10/23,0)-2*ROUND($G105/23,0),IF($H105=2,$G105,0)))</f>
        <v>0</v>
      </c>
      <c r="K105" s="364">
        <f>IF($G105="","",IF($H105=1,ROUND($G105*10/23,0),IF($H105=3,$G105-2*ROUND($G105/12,0),IF($H105=4,$G105,IF(OR($H105=5,$H105=7),ROUND($G105*10/11,0),0)))))</f>
        <v>58011</v>
      </c>
      <c r="L105" s="364">
        <f>IF($G105="","",IF($H105=1,ROUND($G105/23,0),IF($H105=3,ROUND($G105/12,0),IF($H105=5,$G105-ROUND($G105*10/11,0),IF($H105=8,$G105,0)))))</f>
        <v>5801</v>
      </c>
      <c r="M105" s="364">
        <f>IF($G105="","",IF($H105=1,ROUND($G105/23,0),IF($H105=3,ROUND($G105/12,0),IF($H105=6,$G105,IF($H105=7,$G105-ROUND($G105*10/11,0),0)))))</f>
        <v>5801</v>
      </c>
      <c r="N105" s="364">
        <f>IF($G105="","",K105+L105+M105)</f>
        <v>69613</v>
      </c>
      <c r="O105" s="365" t="str">
        <f>IF($G105="","",IFERROR(VLOOKUP($D105&amp;"|"&amp;$E105,科目表!$A$5:$B$200,2,FALSE),"※未登録"))</f>
        <v>賃借料</v>
      </c>
      <c r="P105" s="359">
        <f>IF(OR($G105="",$C105=""),"",IF($B105="決算整理",13,MOD(MONTH($C105)-4,12)+1))</f>
        <v>3</v>
      </c>
      <c r="Q105" s="366" t="str">
        <f>IF($G105="","",TRIM(IF(J105+K105+L105+M105&lt;&gt;$G105,"按分不一致 ","")&amp;IF(O105="※未登録","科目未登録 ","")&amp;IF(OR($H105="",ISERROR(MATCH($H105,{1,2,3,4,5,6,7,8},0))),"経費区分? ","")&amp;IF($I105="","状態未設定 ","")&amp;IF(AND(OR($I105="確認済",$I105="未確認"),$B105="月例",OR($C105="",$C105&lt;DATE(年度+2018,4,1),$C105&gt;DATE(年度+2019,3,31))),"年度外の日付 ","")&amp;IF(AND(OR($I105="確認済",$I105="未確認"),O105="対象外"),"対象外の科目 ","")))</f>
        <v/>
      </c>
      <c r="R105" s="366" t="inlineStr">
        <is>
          <t>月例!107</t>
        </is>
      </c>
    </row>
    <row r="106">
      <c r="A106" s="359" t="n">
        <v>102</v>
      </c>
      <c r="B106" s="360" t="inlineStr">
        <is>
          <t>月例</t>
        </is>
      </c>
      <c r="C106" s="361" t="n">
        <v>44377</v>
      </c>
      <c r="D106" s="362" t="inlineStr">
        <is>
          <t>委託費</t>
        </is>
      </c>
      <c r="E106" s="362" t="n"/>
      <c r="F106" s="362" t="inlineStr">
        <is>
          <t>短期給付個人番号管理システム端末保守サービス（５月分）</t>
        </is>
      </c>
      <c r="G106" s="363" t="n">
        <v>385</v>
      </c>
      <c r="H106" s="360" t="n">
        <v>2</v>
      </c>
      <c r="I106" s="360" t="inlineStr">
        <is>
          <t>昨年実績</t>
        </is>
      </c>
      <c r="J106" s="364">
        <f>IF($G106="","",IF($H106=1,$G106-ROUND($G106*10/23,0)-2*ROUND($G106/23,0),IF($H106=2,$G106,0)))</f>
        <v>385</v>
      </c>
      <c r="K106" s="364">
        <f>IF($G106="","",IF($H106=1,ROUND($G106*10/23,0),IF($H106=3,$G106-2*ROUND($G106/12,0),IF($H106=4,$G106,IF(OR($H106=5,$H106=7),ROUND($G106*10/11,0),0)))))</f>
        <v>0</v>
      </c>
      <c r="L106" s="364">
        <f>IF($G106="","",IF($H106=1,ROUND($G106/23,0),IF($H106=3,ROUND($G106/12,0),IF($H106=5,$G106-ROUND($G106*10/11,0),IF($H106=8,$G106,0)))))</f>
        <v>0</v>
      </c>
      <c r="M106" s="364">
        <f>IF($G106="","",IF($H106=1,ROUND($G106/23,0),IF($H106=3,ROUND($G106/12,0),IF($H106=6,$G106,IF($H106=7,$G106-ROUND($G106*10/11,0),0)))))</f>
        <v>0</v>
      </c>
      <c r="N106" s="364">
        <f>IF($G106="","",K106+L106+M106)</f>
        <v>0</v>
      </c>
      <c r="O106" s="365" t="str">
        <f>IF($G106="","",IFERROR(VLOOKUP($D106&amp;"|"&amp;$E106,科目表!$A$5:$B$200,2,FALSE),"※未登録"))</f>
        <v>委託費</v>
      </c>
      <c r="P106" s="359">
        <f>IF(OR($G106="",$C106=""),"",IF($B106="決算整理",13,MOD(MONTH($C106)-4,12)+1))</f>
        <v>3</v>
      </c>
      <c r="Q106" s="366" t="str">
        <f>IF($G106="","",TRIM(IF(J106+K106+L106+M106&lt;&gt;$G106,"按分不一致 ","")&amp;IF(O106="※未登録","科目未登録 ","")&amp;IF(OR($H106="",ISERROR(MATCH($H106,{1,2,3,4,5,6,7,8},0))),"経費区分? ","")&amp;IF($I106="","状態未設定 ","")&amp;IF(AND(OR($I106="確認済",$I106="未確認"),$B106="月例",OR($C106="",$C106&lt;DATE(年度+2018,4,1),$C106&gt;DATE(年度+2019,3,31))),"年度外の日付 ","")&amp;IF(AND(OR($I106="確認済",$I106="未確認"),O106="対象外"),"対象外の科目 ","")))</f>
        <v/>
      </c>
      <c r="R106" s="366" t="inlineStr">
        <is>
          <t>月例!108</t>
        </is>
      </c>
    </row>
    <row r="107">
      <c r="A107" s="359" t="n">
        <v>103</v>
      </c>
      <c r="B107" s="360" t="inlineStr">
        <is>
          <t>月例</t>
        </is>
      </c>
      <c r="C107" s="361" t="n">
        <v>46232</v>
      </c>
      <c r="D107" s="362" t="inlineStr">
        <is>
          <t>委託費</t>
        </is>
      </c>
      <c r="E107" s="362" t="n"/>
      <c r="F107" s="362" t="inlineStr">
        <is>
          <t>ねんきん定期便（５月分）送付業務</t>
        </is>
      </c>
      <c r="G107" s="363" t="n">
        <v>92797</v>
      </c>
      <c r="H107" s="360" t="n">
        <v>5</v>
      </c>
      <c r="I107" s="360" t="inlineStr">
        <is>
          <t>確認済</t>
        </is>
      </c>
      <c r="J107" s="364">
        <f>IF($G107="","",IF($H107=1,$G107-ROUND($G107*10/23,0)-2*ROUND($G107/23,0),IF($H107=2,$G107,0)))</f>
        <v>0</v>
      </c>
      <c r="K107" s="364">
        <f>IF($G107="","",IF($H107=1,ROUND($G107*10/23,0),IF($H107=3,$G107-2*ROUND($G107/12,0),IF($H107=4,$G107,IF(OR($H107=5,$H107=7),ROUND($G107*10/11,0),0)))))</f>
        <v>84361</v>
      </c>
      <c r="L107" s="364">
        <f>IF($G107="","",IF($H107=1,ROUND($G107/23,0),IF($H107=3,ROUND($G107/12,0),IF($H107=5,$G107-ROUND($G107*10/11,0),IF($H107=8,$G107,0)))))</f>
        <v>8436</v>
      </c>
      <c r="M107" s="364">
        <f>IF($G107="","",IF($H107=1,ROUND($G107/23,0),IF($H107=3,ROUND($G107/12,0),IF($H107=6,$G107,IF($H107=7,$G107-ROUND($G107*10/11,0),0)))))</f>
        <v>0</v>
      </c>
      <c r="N107" s="364">
        <f>IF($G107="","",K107+L107+M107)</f>
        <v>92797</v>
      </c>
      <c r="O107" s="365" t="str">
        <f>IF($G107="","",IFERROR(VLOOKUP($D107&amp;"|"&amp;$E107,科目表!$A$5:$B$200,2,FALSE),"※未登録"))</f>
        <v>委託費</v>
      </c>
      <c r="P107" s="359">
        <f>IF(OR($G107="",$C107=""),"",IF($B107="決算整理",13,MOD(MONTH($C107)-4,12)+1))</f>
        <v>4</v>
      </c>
      <c r="Q107" s="366" t="str">
        <f>IF($G107="","",TRIM(IF(J107+K107+L107+M107&lt;&gt;$G107,"按分不一致 ","")&amp;IF(O107="※未登録","科目未登録 ","")&amp;IF(OR($H107="",ISERROR(MATCH($H107,{1,2,3,4,5,6,7,8},0))),"経費区分? ","")&amp;IF($I107="","状態未設定 ","")&amp;IF(AND(OR($I107="確認済",$I107="未確認"),$B107="月例",OR($C107="",$C107&lt;DATE(年度+2018,4,1),$C107&gt;DATE(年度+2019,3,31))),"年度外の日付 ","")&amp;IF(AND(OR($I107="確認済",$I107="未確認"),O107="対象外"),"対象外の科目 ","")))</f>
        <v/>
      </c>
      <c r="R107" s="366" t="inlineStr">
        <is>
          <t>月例!109</t>
        </is>
      </c>
    </row>
    <row r="108">
      <c r="A108" s="359" t="n">
        <v>104</v>
      </c>
      <c r="B108" s="360" t="inlineStr">
        <is>
          <t>月例</t>
        </is>
      </c>
      <c r="C108" s="361" t="n">
        <v>43644</v>
      </c>
      <c r="D108" s="362" t="inlineStr">
        <is>
          <t>委託費</t>
        </is>
      </c>
      <c r="E108" s="362" t="n"/>
      <c r="F108" s="362" t="inlineStr">
        <is>
          <t>期間サーバーＨＤＤに係る訪問修理サービス料（長期分）</t>
        </is>
      </c>
      <c r="G108" s="363" t="n">
        <v>38340</v>
      </c>
      <c r="H108" s="360" t="n">
        <v>3</v>
      </c>
      <c r="I108" s="360" t="inlineStr">
        <is>
          <t>昨年実績</t>
        </is>
      </c>
      <c r="J108" s="364">
        <f>IF($G108="","",IF($H108=1,$G108-ROUND($G108*10/23,0)-2*ROUND($G108/23,0),IF($H108=2,$G108,0)))</f>
        <v>0</v>
      </c>
      <c r="K108" s="364">
        <f>IF($G108="","",IF($H108=1,ROUND($G108*10/23,0),IF($H108=3,$G108-2*ROUND($G108/12,0),IF($H108=4,$G108,IF(OR($H108=5,$H108=7),ROUND($G108*10/11,0),0)))))</f>
        <v>31950</v>
      </c>
      <c r="L108" s="364">
        <f>IF($G108="","",IF($H108=1,ROUND($G108/23,0),IF($H108=3,ROUND($G108/12,0),IF($H108=5,$G108-ROUND($G108*10/11,0),IF($H108=8,$G108,0)))))</f>
        <v>3195</v>
      </c>
      <c r="M108" s="364">
        <f>IF($G108="","",IF($H108=1,ROUND($G108/23,0),IF($H108=3,ROUND($G108/12,0),IF($H108=6,$G108,IF($H108=7,$G108-ROUND($G108*10/11,0),0)))))</f>
        <v>3195</v>
      </c>
      <c r="N108" s="364">
        <f>IF($G108="","",K108+L108+M108)</f>
        <v>38340</v>
      </c>
      <c r="O108" s="365" t="str">
        <f>IF($G108="","",IFERROR(VLOOKUP($D108&amp;"|"&amp;$E108,科目表!$A$5:$B$200,2,FALSE),"※未登録"))</f>
        <v>委託費</v>
      </c>
      <c r="P108" s="359">
        <f>IF(OR($G108="",$C108=""),"",IF($B108="決算整理",13,MOD(MONTH($C108)-4,12)+1))</f>
        <v>3</v>
      </c>
      <c r="Q108" s="366" t="str">
        <f>IF($G108="","",TRIM(IF(J108+K108+L108+M108&lt;&gt;$G108,"按分不一致 ","")&amp;IF(O108="※未登録","科目未登録 ","")&amp;IF(OR($H108="",ISERROR(MATCH($H108,{1,2,3,4,5,6,7,8},0))),"経費区分? ","")&amp;IF($I108="","状態未設定 ","")&amp;IF(AND(OR($I108="確認済",$I108="未確認"),$B108="月例",OR($C108="",$C108&lt;DATE(年度+2018,4,1),$C108&gt;DATE(年度+2019,3,31))),"年度外の日付 ","")&amp;IF(AND(OR($I108="確認済",$I108="未確認"),O108="対象外"),"対象外の科目 ","")))</f>
        <v/>
      </c>
      <c r="R108" s="366" t="inlineStr">
        <is>
          <t>月例!110</t>
        </is>
      </c>
    </row>
    <row r="109">
      <c r="A109" s="359" t="n">
        <v>105</v>
      </c>
      <c r="B109" s="360" t="inlineStr">
        <is>
          <t>月例</t>
        </is>
      </c>
      <c r="C109" s="361" t="n">
        <v>46199</v>
      </c>
      <c r="D109" s="362" t="inlineStr">
        <is>
          <t>負担金</t>
        </is>
      </c>
      <c r="E109" s="362" t="inlineStr">
        <is>
          <t>負担金</t>
        </is>
      </c>
      <c r="F109" s="362" t="inlineStr">
        <is>
          <t>共済短期・介護・子子負担金（6月月例分）長期</t>
        </is>
      </c>
      <c r="G109" s="363" t="n">
        <v>22035</v>
      </c>
      <c r="H109" s="360" t="n">
        <v>3</v>
      </c>
      <c r="I109" s="360" t="inlineStr">
        <is>
          <t>確認済</t>
        </is>
      </c>
      <c r="J109" s="364">
        <f>IF($G109="","",IF($H109=1,$G109-ROUND($G109*10/23,0)-2*ROUND($G109/23,0),IF($H109=2,$G109,0)))</f>
        <v>0</v>
      </c>
      <c r="K109" s="364">
        <f>IF($G109="","",IF($H109=1,ROUND($G109*10/23,0),IF($H109=3,$G109-2*ROUND($G109/12,0),IF($H109=4,$G109,IF(OR($H109=5,$H109=7),ROUND($G109*10/11,0),0)))))</f>
        <v>18363</v>
      </c>
      <c r="L109" s="364">
        <f>IF($G109="","",IF($H109=1,ROUND($G109/23,0),IF($H109=3,ROUND($G109/12,0),IF($H109=5,$G109-ROUND($G109*10/11,0),IF($H109=8,$G109,0)))))</f>
        <v>1836</v>
      </c>
      <c r="M109" s="364">
        <f>IF($G109="","",IF($H109=1,ROUND($G109/23,0),IF($H109=3,ROUND($G109/12,0),IF($H109=6,$G109,IF($H109=7,$G109-ROUND($G109*10/11,0),0)))))</f>
        <v>1836</v>
      </c>
      <c r="N109" s="364">
        <f>IF($G109="","",K109+L109+M109)</f>
        <v>22035</v>
      </c>
      <c r="O109" s="365" t="str">
        <f>IF($G109="","",IFERROR(VLOOKUP($D109&amp;"|"&amp;$E109,科目表!$A$5:$B$200,2,FALSE),"※未登録"))</f>
        <v>共済負担金等</v>
      </c>
      <c r="P109" s="359">
        <f>IF(OR($G109="",$C109=""),"",IF($B109="決算整理",13,MOD(MONTH($C109)-4,12)+1))</f>
        <v>3</v>
      </c>
      <c r="Q109" s="366" t="str">
        <f>IF($G109="","",TRIM(IF(J109+K109+L109+M109&lt;&gt;$G109,"按分不一致 ","")&amp;IF(O109="※未登録","科目未登録 ","")&amp;IF(OR($H109="",ISERROR(MATCH($H109,{1,2,3,4,5,6,7,8},0))),"経費区分? ","")&amp;IF($I109="","状態未設定 ","")&amp;IF(AND(OR($I109="確認済",$I109="未確認"),$B109="月例",OR($C109="",$C109&lt;DATE(年度+2018,4,1),$C109&gt;DATE(年度+2019,3,31))),"年度外の日付 ","")&amp;IF(AND(OR($I109="確認済",$I109="未確認"),O109="対象外"),"対象外の科目 ","")))</f>
        <v/>
      </c>
      <c r="R109" s="366" t="inlineStr">
        <is>
          <t>月例!111</t>
        </is>
      </c>
    </row>
    <row r="110">
      <c r="A110" s="359" t="n">
        <v>106</v>
      </c>
      <c r="B110" s="360" t="inlineStr">
        <is>
          <t>月例</t>
        </is>
      </c>
      <c r="C110" s="361" t="n">
        <v>46199</v>
      </c>
      <c r="D110" s="362" t="inlineStr">
        <is>
          <t>負担金</t>
        </is>
      </c>
      <c r="E110" s="362" t="inlineStr">
        <is>
          <t>負担金</t>
        </is>
      </c>
      <c r="F110" s="362" t="inlineStr">
        <is>
          <t>共済短期・介護・子子負担金（6月月例分）短期</t>
        </is>
      </c>
      <c r="G110" s="363" t="n">
        <v>37074</v>
      </c>
      <c r="H110" s="360" t="n">
        <v>2</v>
      </c>
      <c r="I110" s="360" t="inlineStr">
        <is>
          <t>確認済</t>
        </is>
      </c>
      <c r="J110" s="364">
        <f>IF($G110="","",IF($H110=1,$G110-ROUND($G110*10/23,0)-2*ROUND($G110/23,0),IF($H110=2,$G110,0)))</f>
        <v>37074</v>
      </c>
      <c r="K110" s="364">
        <f>IF($G110="","",IF($H110=1,ROUND($G110*10/23,0),IF($H110=3,$G110-2*ROUND($G110/12,0),IF($H110=4,$G110,IF(OR($H110=5,$H110=7),ROUND($G110*10/11,0),0)))))</f>
        <v>0</v>
      </c>
      <c r="L110" s="364">
        <f>IF($G110="","",IF($H110=1,ROUND($G110/23,0),IF($H110=3,ROUND($G110/12,0),IF($H110=5,$G110-ROUND($G110*10/11,0),IF($H110=8,$G110,0)))))</f>
        <v>0</v>
      </c>
      <c r="M110" s="364">
        <f>IF($G110="","",IF($H110=1,ROUND($G110/23,0),IF($H110=3,ROUND($G110/12,0),IF($H110=6,$G110,IF($H110=7,$G110-ROUND($G110*10/11,0),0)))))</f>
        <v>0</v>
      </c>
      <c r="N110" s="364">
        <f>IF($G110="","",K110+L110+M110)</f>
        <v>0</v>
      </c>
      <c r="O110" s="365" t="str">
        <f>IF($G110="","",IFERROR(VLOOKUP($D110&amp;"|"&amp;$E110,科目表!$A$5:$B$200,2,FALSE),"※未登録"))</f>
        <v>共済負担金等</v>
      </c>
      <c r="P110" s="359">
        <f>IF(OR($G110="",$C110=""),"",IF($B110="決算整理",13,MOD(MONTH($C110)-4,12)+1))</f>
        <v>3</v>
      </c>
      <c r="Q110" s="366" t="str">
        <f>IF($G110="","",TRIM(IF(J110+K110+L110+M110&lt;&gt;$G110,"按分不一致 ","")&amp;IF(O110="※未登録","科目未登録 ","")&amp;IF(OR($H110="",ISERROR(MATCH($H110,{1,2,3,4,5,6,7,8},0))),"経費区分? ","")&amp;IF($I110="","状態未設定 ","")&amp;IF(AND(OR($I110="確認済",$I110="未確認"),$B110="月例",OR($C110="",$C110&lt;DATE(年度+2018,4,1),$C110&gt;DATE(年度+2019,3,31))),"年度外の日付 ","")&amp;IF(AND(OR($I110="確認済",$I110="未確認"),O110="対象外"),"対象外の科目 ","")))</f>
        <v/>
      </c>
      <c r="R110" s="366" t="inlineStr">
        <is>
          <t>月例!112</t>
        </is>
      </c>
    </row>
    <row r="111">
      <c r="A111" s="359" t="n">
        <v>107</v>
      </c>
      <c r="B111" s="360" t="inlineStr">
        <is>
          <t>月例</t>
        </is>
      </c>
      <c r="C111" s="361" t="n">
        <v>43644</v>
      </c>
      <c r="D111" s="362" t="inlineStr">
        <is>
          <t>委託費</t>
        </is>
      </c>
      <c r="E111" s="362" t="n"/>
      <c r="F111" s="362" t="inlineStr">
        <is>
          <t>期間サーバーＨＤＤに係る訪問修理サービス料（短期分）</t>
        </is>
      </c>
      <c r="G111" s="363" t="n">
        <v>38340</v>
      </c>
      <c r="H111" s="360" t="n">
        <v>2</v>
      </c>
      <c r="I111" s="360" t="inlineStr">
        <is>
          <t>昨年実績</t>
        </is>
      </c>
      <c r="J111" s="364">
        <f>IF($G111="","",IF($H111=1,$G111-ROUND($G111*10/23,0)-2*ROUND($G111/23,0),IF($H111=2,$G111,0)))</f>
        <v>38340</v>
      </c>
      <c r="K111" s="364">
        <f>IF($G111="","",IF($H111=1,ROUND($G111*10/23,0),IF($H111=3,$G111-2*ROUND($G111/12,0),IF($H111=4,$G111,IF(OR($H111=5,$H111=7),ROUND($G111*10/11,0),0)))))</f>
        <v>0</v>
      </c>
      <c r="L111" s="364">
        <f>IF($G111="","",IF($H111=1,ROUND($G111/23,0),IF($H111=3,ROUND($G111/12,0),IF($H111=5,$G111-ROUND($G111*10/11,0),IF($H111=8,$G111,0)))))</f>
        <v>0</v>
      </c>
      <c r="M111" s="364">
        <f>IF($G111="","",IF($H111=1,ROUND($G111/23,0),IF($H111=3,ROUND($G111/12,0),IF($H111=6,$G111,IF($H111=7,$G111-ROUND($G111*10/11,0),0)))))</f>
        <v>0</v>
      </c>
      <c r="N111" s="364">
        <f>IF($G111="","",K111+L111+M111)</f>
        <v>0</v>
      </c>
      <c r="O111" s="365" t="str">
        <f>IF($G111="","",IFERROR(VLOOKUP($D111&amp;"|"&amp;$E111,科目表!$A$5:$B$200,2,FALSE),"※未登録"))</f>
        <v>委託費</v>
      </c>
      <c r="P111" s="359">
        <f>IF(OR($G111="",$C111=""),"",IF($B111="決算整理",13,MOD(MONTH($C111)-4,12)+1))</f>
        <v>3</v>
      </c>
      <c r="Q111" s="366" t="str">
        <f>IF($G111="","",TRIM(IF(J111+K111+L111+M111&lt;&gt;$G111,"按分不一致 ","")&amp;IF(O111="※未登録","科目未登録 ","")&amp;IF(OR($H111="",ISERROR(MATCH($H111,{1,2,3,4,5,6,7,8},0))),"経費区分? ","")&amp;IF($I111="","状態未設定 ","")&amp;IF(AND(OR($I111="確認済",$I111="未確認"),$B111="月例",OR($C111="",$C111&lt;DATE(年度+2018,4,1),$C111&gt;DATE(年度+2019,3,31))),"年度外の日付 ","")&amp;IF(AND(OR($I111="確認済",$I111="未確認"),O111="対象外"),"対象外の科目 ","")))</f>
        <v/>
      </c>
      <c r="R111" s="366" t="inlineStr">
        <is>
          <t>月例!113</t>
        </is>
      </c>
    </row>
    <row r="112">
      <c r="A112" s="359" t="n">
        <v>108</v>
      </c>
      <c r="B112" s="360" t="inlineStr">
        <is>
          <t>月例</t>
        </is>
      </c>
      <c r="C112" s="361" t="n">
        <v>45138</v>
      </c>
      <c r="D112" s="362" t="inlineStr">
        <is>
          <t>事務費</t>
        </is>
      </c>
      <c r="E112" s="362" t="inlineStr">
        <is>
          <t>通信運搬費</t>
        </is>
      </c>
      <c r="F112" s="362" t="inlineStr">
        <is>
          <t>メール便（任継者宛厚生だより５月分）</t>
        </is>
      </c>
      <c r="G112" s="363" t="n">
        <v>19320</v>
      </c>
      <c r="H112" s="360" t="n">
        <v>2</v>
      </c>
      <c r="I112" s="360" t="inlineStr">
        <is>
          <t>昨年実績</t>
        </is>
      </c>
      <c r="J112" s="364">
        <f>IF($G112="","",IF($H112=1,$G112-ROUND($G112*10/23,0)-2*ROUND($G112/23,0),IF($H112=2,$G112,0)))</f>
        <v>19320</v>
      </c>
      <c r="K112" s="364">
        <f>IF($G112="","",IF($H112=1,ROUND($G112*10/23,0),IF($H112=3,$G112-2*ROUND($G112/12,0),IF($H112=4,$G112,IF(OR($H112=5,$H112=7),ROUND($G112*10/11,0),0)))))</f>
        <v>0</v>
      </c>
      <c r="L112" s="364">
        <f>IF($G112="","",IF($H112=1,ROUND($G112/23,0),IF($H112=3,ROUND($G112/12,0),IF($H112=5,$G112-ROUND($G112*10/11,0),IF($H112=8,$G112,0)))))</f>
        <v>0</v>
      </c>
      <c r="M112" s="364">
        <f>IF($G112="","",IF($H112=1,ROUND($G112/23,0),IF($H112=3,ROUND($G112/12,0),IF($H112=6,$G112,IF($H112=7,$G112-ROUND($G112*10/11,0),0)))))</f>
        <v>0</v>
      </c>
      <c r="N112" s="364">
        <f>IF($G112="","",K112+L112+M112)</f>
        <v>0</v>
      </c>
      <c r="O112" s="365" t="str">
        <f>IF($G112="","",IFERROR(VLOOKUP($D112&amp;"|"&amp;$E112,科目表!$A$5:$B$200,2,FALSE),"※未登録"))</f>
        <v>通信運搬費</v>
      </c>
      <c r="P112" s="359">
        <f>IF(OR($G112="",$C112=""),"",IF($B112="決算整理",13,MOD(MONTH($C112)-4,12)+1))</f>
        <v>4</v>
      </c>
      <c r="Q112" s="366" t="str">
        <f>IF($G112="","",TRIM(IF(J112+K112+L112+M112&lt;&gt;$G112,"按分不一致 ","")&amp;IF(O112="※未登録","科目未登録 ","")&amp;IF(OR($H112="",ISERROR(MATCH($H112,{1,2,3,4,5,6,7,8},0))),"経費区分? ","")&amp;IF($I112="","状態未設定 ","")&amp;IF(AND(OR($I112="確認済",$I112="未確認"),$B112="月例",OR($C112="",$C112&lt;DATE(年度+2018,4,1),$C112&gt;DATE(年度+2019,3,31))),"年度外の日付 ","")&amp;IF(AND(OR($I112="確認済",$I112="未確認"),O112="対象外"),"対象外の科目 ","")))</f>
        <v/>
      </c>
      <c r="R112" s="366" t="inlineStr">
        <is>
          <t>月例!114</t>
        </is>
      </c>
    </row>
    <row r="113">
      <c r="A113" s="359" t="n">
        <v>109</v>
      </c>
      <c r="B113" s="360" t="inlineStr">
        <is>
          <t>月例</t>
        </is>
      </c>
      <c r="C113" s="361" t="n">
        <v>46262</v>
      </c>
      <c r="D113" s="362" t="inlineStr">
        <is>
          <t>事務費</t>
        </is>
      </c>
      <c r="E113" s="362" t="inlineStr">
        <is>
          <t>図書印刷費</t>
        </is>
      </c>
      <c r="F113" s="362" t="inlineStr">
        <is>
          <t>広報誌等配布用窓付封筒12,200枚</t>
        </is>
      </c>
      <c r="G113" s="363" t="n">
        <v>73810</v>
      </c>
      <c r="H113" s="360" t="n">
        <v>3</v>
      </c>
      <c r="I113" s="360" t="inlineStr">
        <is>
          <t>確認済</t>
        </is>
      </c>
      <c r="J113" s="364">
        <f>IF($G113="","",IF($H113=1,$G113-ROUND($G113*10/23,0)-2*ROUND($G113/23,0),IF($H113=2,$G113,0)))</f>
        <v>0</v>
      </c>
      <c r="K113" s="364">
        <f>IF($G113="","",IF($H113=1,ROUND($G113*10/23,0),IF($H113=3,$G113-2*ROUND($G113/12,0),IF($H113=4,$G113,IF(OR($H113=5,$H113=7),ROUND($G113*10/11,0),0)))))</f>
        <v>61508</v>
      </c>
      <c r="L113" s="364">
        <f>IF($G113="","",IF($H113=1,ROUND($G113/23,0),IF($H113=3,ROUND($G113/12,0),IF($H113=5,$G113-ROUND($G113*10/11,0),IF($H113=8,$G113,0)))))</f>
        <v>6151</v>
      </c>
      <c r="M113" s="364">
        <f>IF($G113="","",IF($H113=1,ROUND($G113/23,0),IF($H113=3,ROUND($G113/12,0),IF($H113=6,$G113,IF($H113=7,$G113-ROUND($G113*10/11,0),0)))))</f>
        <v>6151</v>
      </c>
      <c r="N113" s="364">
        <f>IF($G113="","",K113+L113+M113)</f>
        <v>73810</v>
      </c>
      <c r="O113" s="365" t="str">
        <f>IF($G113="","",IFERROR(VLOOKUP($D113&amp;"|"&amp;$E113,科目表!$A$5:$B$200,2,FALSE),"※未登録"))</f>
        <v>図書印刷費</v>
      </c>
      <c r="P113" s="359">
        <f>IF(OR($G113="",$C113=""),"",IF($B113="決算整理",13,MOD(MONTH($C113)-4,12)+1))</f>
        <v>5</v>
      </c>
      <c r="Q113" s="366" t="str">
        <f>IF($G113="","",TRIM(IF(J113+K113+L113+M113&lt;&gt;$G113,"按分不一致 ","")&amp;IF(O113="※未登録","科目未登録 ","")&amp;IF(OR($H113="",ISERROR(MATCH($H113,{1,2,3,4,5,6,7,8},0))),"経費区分? ","")&amp;IF($I113="","状態未設定 ","")&amp;IF(AND(OR($I113="確認済",$I113="未確認"),$B113="月例",OR($C113="",$C113&lt;DATE(年度+2018,4,1),$C113&gt;DATE(年度+2019,3,31))),"年度外の日付 ","")&amp;IF(AND(OR($I113="確認済",$I113="未確認"),O113="対象外"),"対象外の科目 ","")))</f>
        <v/>
      </c>
      <c r="R113" s="366" t="inlineStr">
        <is>
          <t>月例!115</t>
        </is>
      </c>
    </row>
    <row r="114">
      <c r="A114" s="359" t="n">
        <v>110</v>
      </c>
      <c r="B114" s="360" t="inlineStr">
        <is>
          <t>月例</t>
        </is>
      </c>
      <c r="C114" s="361" t="n">
        <v>46203</v>
      </c>
      <c r="D114" s="362" t="inlineStr">
        <is>
          <t>事務費</t>
        </is>
      </c>
      <c r="E114" s="362" t="inlineStr">
        <is>
          <t>図書印刷費</t>
        </is>
      </c>
      <c r="F114" s="362" t="inlineStr">
        <is>
          <t>厚生法規総覧追録　６１０６－６１１５号</t>
        </is>
      </c>
      <c r="G114" s="363" t="n">
        <v>33154</v>
      </c>
      <c r="H114" s="360" t="n">
        <v>2</v>
      </c>
      <c r="I114" s="360" t="inlineStr">
        <is>
          <t>確認済</t>
        </is>
      </c>
      <c r="J114" s="364">
        <f>IF($G114="","",IF($H114=1,$G114-ROUND($G114*10/23,0)-2*ROUND($G114/23,0),IF($H114=2,$G114,0)))</f>
        <v>33154</v>
      </c>
      <c r="K114" s="364">
        <f>IF($G114="","",IF($H114=1,ROUND($G114*10/23,0),IF($H114=3,$G114-2*ROUND($G114/12,0),IF($H114=4,$G114,IF(OR($H114=5,$H114=7),ROUND($G114*10/11,0),0)))))</f>
        <v>0</v>
      </c>
      <c r="L114" s="364">
        <f>IF($G114="","",IF($H114=1,ROUND($G114/23,0),IF($H114=3,ROUND($G114/12,0),IF($H114=5,$G114-ROUND($G114*10/11,0),IF($H114=8,$G114,0)))))</f>
        <v>0</v>
      </c>
      <c r="M114" s="364">
        <f>IF($G114="","",IF($H114=1,ROUND($G114/23,0),IF($H114=3,ROUND($G114/12,0),IF($H114=6,$G114,IF($H114=7,$G114-ROUND($G114*10/11,0),0)))))</f>
        <v>0</v>
      </c>
      <c r="N114" s="364">
        <f>IF($G114="","",K114+L114+M114)</f>
        <v>0</v>
      </c>
      <c r="O114" s="365" t="str">
        <f>IF($G114="","",IFERROR(VLOOKUP($D114&amp;"|"&amp;$E114,科目表!$A$5:$B$200,2,FALSE),"※未登録"))</f>
        <v>図書印刷費</v>
      </c>
      <c r="P114" s="359">
        <f>IF(OR($G114="",$C114=""),"",IF($B114="決算整理",13,MOD(MONTH($C114)-4,12)+1))</f>
        <v>3</v>
      </c>
      <c r="Q114" s="366" t="str">
        <f>IF($G114="","",TRIM(IF(J114+K114+L114+M114&lt;&gt;$G114,"按分不一致 ","")&amp;IF(O114="※未登録","科目未登録 ","")&amp;IF(OR($H114="",ISERROR(MATCH($H114,{1,2,3,4,5,6,7,8},0))),"経費区分? ","")&amp;IF($I114="","状態未設定 ","")&amp;IF(AND(OR($I114="確認済",$I114="未確認"),$B114="月例",OR($C114="",$C114&lt;DATE(年度+2018,4,1),$C114&gt;DATE(年度+2019,3,31))),"年度外の日付 ","")&amp;IF(AND(OR($I114="確認済",$I114="未確認"),O114="対象外"),"対象外の科目 ","")))</f>
        <v/>
      </c>
      <c r="R114" s="366" t="inlineStr">
        <is>
          <t>月例!116</t>
        </is>
      </c>
    </row>
    <row r="115">
      <c r="A115" s="359" t="n">
        <v>111</v>
      </c>
      <c r="B115" s="360" t="inlineStr">
        <is>
          <t>月例</t>
        </is>
      </c>
      <c r="C115" s="361" t="n">
        <v>45848</v>
      </c>
      <c r="D115" s="362" t="inlineStr">
        <is>
          <t>事務費</t>
        </is>
      </c>
      <c r="E115" s="362" t="inlineStr">
        <is>
          <t>図書印刷費</t>
        </is>
      </c>
      <c r="F115" s="362" t="inlineStr">
        <is>
          <t>窓付洋形（２３５×１２０）封筒のり付　１１，０００部　外４点</t>
        </is>
      </c>
      <c r="G115" s="363" t="n">
        <v>255750</v>
      </c>
      <c r="H115" s="360" t="n">
        <v>3</v>
      </c>
      <c r="I115" s="360" t="inlineStr">
        <is>
          <t>昨年実績</t>
        </is>
      </c>
      <c r="J115" s="364">
        <f>IF($G115="","",IF($H115=1,$G115-ROUND($G115*10/23,0)-2*ROUND($G115/23,0),IF($H115=2,$G115,0)))</f>
        <v>0</v>
      </c>
      <c r="K115" s="364">
        <f>IF($G115="","",IF($H115=1,ROUND($G115*10/23,0),IF($H115=3,$G115-2*ROUND($G115/12,0),IF($H115=4,$G115,IF(OR($H115=5,$H115=7),ROUND($G115*10/11,0),0)))))</f>
        <v>213124</v>
      </c>
      <c r="L115" s="364">
        <f>IF($G115="","",IF($H115=1,ROUND($G115/23,0),IF($H115=3,ROUND($G115/12,0),IF($H115=5,$G115-ROUND($G115*10/11,0),IF($H115=8,$G115,0)))))</f>
        <v>21313</v>
      </c>
      <c r="M115" s="364">
        <f>IF($G115="","",IF($H115=1,ROUND($G115/23,0),IF($H115=3,ROUND($G115/12,0),IF($H115=6,$G115,IF($H115=7,$G115-ROUND($G115*10/11,0),0)))))</f>
        <v>21313</v>
      </c>
      <c r="N115" s="364">
        <f>IF($G115="","",K115+L115+M115)</f>
        <v>255750</v>
      </c>
      <c r="O115" s="365" t="str">
        <f>IF($G115="","",IFERROR(VLOOKUP($D115&amp;"|"&amp;$E115,科目表!$A$5:$B$200,2,FALSE),"※未登録"))</f>
        <v>図書印刷費</v>
      </c>
      <c r="P115" s="359">
        <f>IF(OR($G115="",$C115=""),"",IF($B115="決算整理",13,MOD(MONTH($C115)-4,12)+1))</f>
        <v>4</v>
      </c>
      <c r="Q115" s="366" t="str">
        <f>IF($G115="","",TRIM(IF(J115+K115+L115+M115&lt;&gt;$G115,"按分不一致 ","")&amp;IF(O115="※未登録","科目未登録 ","")&amp;IF(OR($H115="",ISERROR(MATCH($H115,{1,2,3,4,5,6,7,8},0))),"経費区分? ","")&amp;IF($I115="","状態未設定 ","")&amp;IF(AND(OR($I115="確認済",$I115="未確認"),$B115="月例",OR($C115="",$C115&lt;DATE(年度+2018,4,1),$C115&gt;DATE(年度+2019,3,31))),"年度外の日付 ","")&amp;IF(AND(OR($I115="確認済",$I115="未確認"),O115="対象外"),"対象外の科目 ","")))</f>
        <v/>
      </c>
      <c r="R115" s="366" t="inlineStr">
        <is>
          <t>月例!117</t>
        </is>
      </c>
    </row>
    <row r="116">
      <c r="A116" s="359" t="n">
        <v>112</v>
      </c>
      <c r="B116" s="360" t="inlineStr">
        <is>
          <t>月例</t>
        </is>
      </c>
      <c r="C116" s="361" t="n">
        <v>45107</v>
      </c>
      <c r="D116" s="362" t="inlineStr">
        <is>
          <t>事務費</t>
        </is>
      </c>
      <c r="E116" s="362" t="inlineStr">
        <is>
          <t>通信運搬費</t>
        </is>
      </c>
      <c r="F116" s="362" t="inlineStr">
        <is>
          <t>柔整申請書送付（５月分）</t>
        </is>
      </c>
      <c r="G116" s="363" t="n">
        <v>1489</v>
      </c>
      <c r="H116" s="360" t="n">
        <v>2</v>
      </c>
      <c r="I116" s="360" t="inlineStr">
        <is>
          <t>昨年実績</t>
        </is>
      </c>
      <c r="J116" s="364">
        <f>IF($G116="","",IF($H116=1,$G116-ROUND($G116*10/23,0)-2*ROUND($G116/23,0),IF($H116=2,$G116,0)))</f>
        <v>1489</v>
      </c>
      <c r="K116" s="364">
        <f>IF($G116="","",IF($H116=1,ROUND($G116*10/23,0),IF($H116=3,$G116-2*ROUND($G116/12,0),IF($H116=4,$G116,IF(OR($H116=5,$H116=7),ROUND($G116*10/11,0),0)))))</f>
        <v>0</v>
      </c>
      <c r="L116" s="364">
        <f>IF($G116="","",IF($H116=1,ROUND($G116/23,0),IF($H116=3,ROUND($G116/12,0),IF($H116=5,$G116-ROUND($G116*10/11,0),IF($H116=8,$G116,0)))))</f>
        <v>0</v>
      </c>
      <c r="M116" s="364">
        <f>IF($G116="","",IF($H116=1,ROUND($G116/23,0),IF($H116=3,ROUND($G116/12,0),IF($H116=6,$G116,IF($H116=7,$G116-ROUND($G116*10/11,0),0)))))</f>
        <v>0</v>
      </c>
      <c r="N116" s="364">
        <f>IF($G116="","",K116+L116+M116)</f>
        <v>0</v>
      </c>
      <c r="O116" s="365" t="str">
        <f>IF($G116="","",IFERROR(VLOOKUP($D116&amp;"|"&amp;$E116,科目表!$A$5:$B$200,2,FALSE),"※未登録"))</f>
        <v>通信運搬費</v>
      </c>
      <c r="P116" s="359">
        <f>IF(OR($G116="",$C116=""),"",IF($B116="決算整理",13,MOD(MONTH($C116)-4,12)+1))</f>
        <v>3</v>
      </c>
      <c r="Q116" s="366" t="str">
        <f>IF($G116="","",TRIM(IF(J116+K116+L116+M116&lt;&gt;$G116,"按分不一致 ","")&amp;IF(O116="※未登録","科目未登録 ","")&amp;IF(OR($H116="",ISERROR(MATCH($H116,{1,2,3,4,5,6,7,8},0))),"経費区分? ","")&amp;IF($I116="","状態未設定 ","")&amp;IF(AND(OR($I116="確認済",$I116="未確認"),$B116="月例",OR($C116="",$C116&lt;DATE(年度+2018,4,1),$C116&gt;DATE(年度+2019,3,31))),"年度外の日付 ","")&amp;IF(AND(OR($I116="確認済",$I116="未確認"),O116="対象外"),"対象外の科目 ","")))</f>
        <v/>
      </c>
      <c r="R116" s="366" t="inlineStr">
        <is>
          <t>月例!118</t>
        </is>
      </c>
    </row>
    <row r="117">
      <c r="A117" s="359" t="n">
        <v>113</v>
      </c>
      <c r="B117" s="360" t="inlineStr">
        <is>
          <t>月例</t>
        </is>
      </c>
      <c r="C117" s="361" t="n">
        <v>46202</v>
      </c>
      <c r="D117" s="362" t="inlineStr">
        <is>
          <t>事務費</t>
        </is>
      </c>
      <c r="E117" s="362" t="inlineStr">
        <is>
          <t>通信運搬費</t>
        </is>
      </c>
      <c r="F117" s="362" t="inlineStr">
        <is>
          <t>料金後納利用料（５月分）</t>
        </is>
      </c>
      <c r="G117" s="363" t="n">
        <v>21810</v>
      </c>
      <c r="H117" s="360" t="n">
        <v>3</v>
      </c>
      <c r="I117" s="360" t="inlineStr">
        <is>
          <t>確認済</t>
        </is>
      </c>
      <c r="J117" s="364">
        <f>IF($G117="","",IF($H117=1,$G117-ROUND($G117*10/23,0)-2*ROUND($G117/23,0),IF($H117=2,$G117,0)))</f>
        <v>0</v>
      </c>
      <c r="K117" s="364">
        <f>IF($G117="","",IF($H117=1,ROUND($G117*10/23,0),IF($H117=3,$G117-2*ROUND($G117/12,0),IF($H117=4,$G117,IF(OR($H117=5,$H117=7),ROUND($G117*10/11,0),0)))))</f>
        <v>18174</v>
      </c>
      <c r="L117" s="364">
        <f>IF($G117="","",IF($H117=1,ROUND($G117/23,0),IF($H117=3,ROUND($G117/12,0),IF($H117=5,$G117-ROUND($G117*10/11,0),IF($H117=8,$G117,0)))))</f>
        <v>1818</v>
      </c>
      <c r="M117" s="364">
        <f>IF($G117="","",IF($H117=1,ROUND($G117/23,0),IF($H117=3,ROUND($G117/12,0),IF($H117=6,$G117,IF($H117=7,$G117-ROUND($G117*10/11,0),0)))))</f>
        <v>1818</v>
      </c>
      <c r="N117" s="364">
        <f>IF($G117="","",K117+L117+M117)</f>
        <v>21810</v>
      </c>
      <c r="O117" s="365" t="str">
        <f>IF($G117="","",IFERROR(VLOOKUP($D117&amp;"|"&amp;$E117,科目表!$A$5:$B$200,2,FALSE),"※未登録"))</f>
        <v>通信運搬費</v>
      </c>
      <c r="P117" s="359">
        <f>IF(OR($G117="",$C117=""),"",IF($B117="決算整理",13,MOD(MONTH($C117)-4,12)+1))</f>
        <v>3</v>
      </c>
      <c r="Q117" s="366" t="str">
        <f>IF($G117="","",TRIM(IF(J117+K117+L117+M117&lt;&gt;$G117,"按分不一致 ","")&amp;IF(O117="※未登録","科目未登録 ","")&amp;IF(OR($H117="",ISERROR(MATCH($H117,{1,2,3,4,5,6,7,8},0))),"経費区分? ","")&amp;IF($I117="","状態未設定 ","")&amp;IF(AND(OR($I117="確認済",$I117="未確認"),$B117="月例",OR($C117="",$C117&lt;DATE(年度+2018,4,1),$C117&gt;DATE(年度+2019,3,31))),"年度外の日付 ","")&amp;IF(AND(OR($I117="確認済",$I117="未確認"),O117="対象外"),"対象外の科目 ","")))</f>
        <v/>
      </c>
      <c r="R117" s="366" t="inlineStr">
        <is>
          <t>月例!119</t>
        </is>
      </c>
    </row>
    <row r="118">
      <c r="A118" s="359" t="n">
        <v>114</v>
      </c>
      <c r="B118" s="360" t="inlineStr">
        <is>
          <t>月例</t>
        </is>
      </c>
      <c r="C118" s="361" t="n">
        <v>46202</v>
      </c>
      <c r="D118" s="362" t="inlineStr">
        <is>
          <t>事務費</t>
        </is>
      </c>
      <c r="E118" s="362" t="inlineStr">
        <is>
          <t>通信運搬費</t>
        </is>
      </c>
      <c r="F118" s="362" t="inlineStr">
        <is>
          <t>料金後納利用料（５月分）</t>
        </is>
      </c>
      <c r="G118" s="363" t="n">
        <v>32040</v>
      </c>
      <c r="H118" s="360" t="n">
        <v>2</v>
      </c>
      <c r="I118" s="360" t="inlineStr">
        <is>
          <t>確認済</t>
        </is>
      </c>
      <c r="J118" s="364">
        <f>IF($G118="","",IF($H118=1,$G118-ROUND($G118*10/23,0)-2*ROUND($G118/23,0),IF($H118=2,$G118,0)))</f>
        <v>32040</v>
      </c>
      <c r="K118" s="364">
        <f>IF($G118="","",IF($H118=1,ROUND($G118*10/23,0),IF($H118=3,$G118-2*ROUND($G118/12,0),IF($H118=4,$G118,IF(OR($H118=5,$H118=7),ROUND($G118*10/11,0),0)))))</f>
        <v>0</v>
      </c>
      <c r="L118" s="364">
        <f>IF($G118="","",IF($H118=1,ROUND($G118/23,0),IF($H118=3,ROUND($G118/12,0),IF($H118=5,$G118-ROUND($G118*10/11,0),IF($H118=8,$G118,0)))))</f>
        <v>0</v>
      </c>
      <c r="M118" s="364">
        <f>IF($G118="","",IF($H118=1,ROUND($G118/23,0),IF($H118=3,ROUND($G118/12,0),IF($H118=6,$G118,IF($H118=7,$G118-ROUND($G118*10/11,0),0)))))</f>
        <v>0</v>
      </c>
      <c r="N118" s="364">
        <f>IF($G118="","",K118+L118+M118)</f>
        <v>0</v>
      </c>
      <c r="O118" s="365" t="str">
        <f>IF($G118="","",IFERROR(VLOOKUP($D118&amp;"|"&amp;$E118,科目表!$A$5:$B$200,2,FALSE),"※未登録"))</f>
        <v>通信運搬費</v>
      </c>
      <c r="P118" s="359">
        <f>IF(OR($G118="",$C118=""),"",IF($B118="決算整理",13,MOD(MONTH($C118)-4,12)+1))</f>
        <v>3</v>
      </c>
      <c r="Q118" s="366" t="str">
        <f>IF($G118="","",TRIM(IF(J118+K118+L118+M118&lt;&gt;$G118,"按分不一致 ","")&amp;IF(O118="※未登録","科目未登録 ","")&amp;IF(OR($H118="",ISERROR(MATCH($H118,{1,2,3,4,5,6,7,8},0))),"経費区分? ","")&amp;IF($I118="","状態未設定 ","")&amp;IF(AND(OR($I118="確認済",$I118="未確認"),$B118="月例",OR($C118="",$C118&lt;DATE(年度+2018,4,1),$C118&gt;DATE(年度+2019,3,31))),"年度外の日付 ","")&amp;IF(AND(OR($I118="確認済",$I118="未確認"),O118="対象外"),"対象外の科目 ","")))</f>
        <v/>
      </c>
      <c r="R118" s="366" t="inlineStr">
        <is>
          <t>月例!120</t>
        </is>
      </c>
    </row>
    <row r="119">
      <c r="A119" s="359" t="n">
        <v>115</v>
      </c>
      <c r="B119" s="360" t="inlineStr">
        <is>
          <t>月例</t>
        </is>
      </c>
      <c r="C119" s="361" t="n">
        <v>46203</v>
      </c>
      <c r="D119" s="362" t="inlineStr">
        <is>
          <t>賃借料</t>
        </is>
      </c>
      <c r="E119" s="362" t="n"/>
      <c r="F119" s="362" t="inlineStr">
        <is>
          <t>統合管理端末リース料（５月分）</t>
        </is>
      </c>
      <c r="G119" s="363" t="n">
        <v>12738</v>
      </c>
      <c r="H119" s="360" t="n">
        <v>2</v>
      </c>
      <c r="I119" s="360" t="inlineStr">
        <is>
          <t>確認済</t>
        </is>
      </c>
      <c r="J119" s="364">
        <f>IF($G119="","",IF($H119=1,$G119-ROUND($G119*10/23,0)-2*ROUND($G119/23,0),IF($H119=2,$G119,0)))</f>
        <v>12738</v>
      </c>
      <c r="K119" s="364">
        <f>IF($G119="","",IF($H119=1,ROUND($G119*10/23,0),IF($H119=3,$G119-2*ROUND($G119/12,0),IF($H119=4,$G119,IF(OR($H119=5,$H119=7),ROUND($G119*10/11,0),0)))))</f>
        <v>0</v>
      </c>
      <c r="L119" s="364">
        <f>IF($G119="","",IF($H119=1,ROUND($G119/23,0),IF($H119=3,ROUND($G119/12,0),IF($H119=5,$G119-ROUND($G119*10/11,0),IF($H119=8,$G119,0)))))</f>
        <v>0</v>
      </c>
      <c r="M119" s="364">
        <f>IF($G119="","",IF($H119=1,ROUND($G119/23,0),IF($H119=3,ROUND($G119/12,0),IF($H119=6,$G119,IF($H119=7,$G119-ROUND($G119*10/11,0),0)))))</f>
        <v>0</v>
      </c>
      <c r="N119" s="364">
        <f>IF($G119="","",K119+L119+M119)</f>
        <v>0</v>
      </c>
      <c r="O119" s="365" t="str">
        <f>IF($G119="","",IFERROR(VLOOKUP($D119&amp;"|"&amp;$E119,科目表!$A$5:$B$200,2,FALSE),"※未登録"))</f>
        <v>賃借料</v>
      </c>
      <c r="P119" s="359">
        <f>IF(OR($G119="",$C119=""),"",IF($B119="決算整理",13,MOD(MONTH($C119)-4,12)+1))</f>
        <v>3</v>
      </c>
      <c r="Q119" s="366" t="str">
        <f>IF($G119="","",TRIM(IF(J119+K119+L119+M119&lt;&gt;$G119,"按分不一致 ","")&amp;IF(O119="※未登録","科目未登録 ","")&amp;IF(OR($H119="",ISERROR(MATCH($H119,{1,2,3,4,5,6,7,8},0))),"経費区分? ","")&amp;IF($I119="","状態未設定 ","")&amp;IF(AND(OR($I119="確認済",$I119="未確認"),$B119="月例",OR($C119="",$C119&lt;DATE(年度+2018,4,1),$C119&gt;DATE(年度+2019,3,31))),"年度外の日付 ","")&amp;IF(AND(OR($I119="確認済",$I119="未確認"),O119="対象外"),"対象外の科目 ","")))</f>
        <v/>
      </c>
      <c r="R119" s="366" t="inlineStr">
        <is>
          <t>月例!121</t>
        </is>
      </c>
    </row>
    <row r="120">
      <c r="A120" s="359" t="n">
        <v>116</v>
      </c>
      <c r="B120" s="360" t="inlineStr">
        <is>
          <t>月例</t>
        </is>
      </c>
      <c r="C120" s="361" t="n">
        <v>43644</v>
      </c>
      <c r="D120" s="362" t="inlineStr">
        <is>
          <t>賃借料</t>
        </is>
      </c>
      <c r="E120" s="362" t="n"/>
      <c r="F120" s="362" t="inlineStr">
        <is>
          <t>基幹システム（短期）用機器リース料５月分</t>
        </is>
      </c>
      <c r="G120" s="363" t="n">
        <v>193676</v>
      </c>
      <c r="H120" s="360" t="n">
        <v>2</v>
      </c>
      <c r="I120" s="360" t="inlineStr">
        <is>
          <t>昨年実績</t>
        </is>
      </c>
      <c r="J120" s="364">
        <f>IF($G120="","",IF($H120=1,$G120-ROUND($G120*10/23,0)-2*ROUND($G120/23,0),IF($H120=2,$G120,0)))</f>
        <v>193676</v>
      </c>
      <c r="K120" s="364">
        <f>IF($G120="","",IF($H120=1,ROUND($G120*10/23,0),IF($H120=3,$G120-2*ROUND($G120/12,0),IF($H120=4,$G120,IF(OR($H120=5,$H120=7),ROUND($G120*10/11,0),0)))))</f>
        <v>0</v>
      </c>
      <c r="L120" s="364">
        <f>IF($G120="","",IF($H120=1,ROUND($G120/23,0),IF($H120=3,ROUND($G120/12,0),IF($H120=5,$G120-ROUND($G120*10/11,0),IF($H120=8,$G120,0)))))</f>
        <v>0</v>
      </c>
      <c r="M120" s="364">
        <f>IF($G120="","",IF($H120=1,ROUND($G120/23,0),IF($H120=3,ROUND($G120/12,0),IF($H120=6,$G120,IF($H120=7,$G120-ROUND($G120*10/11,0),0)))))</f>
        <v>0</v>
      </c>
      <c r="N120" s="364">
        <f>IF($G120="","",K120+L120+M120)</f>
        <v>0</v>
      </c>
      <c r="O120" s="365" t="str">
        <f>IF($G120="","",IFERROR(VLOOKUP($D120&amp;"|"&amp;$E120,科目表!$A$5:$B$200,2,FALSE),"※未登録"))</f>
        <v>賃借料</v>
      </c>
      <c r="P120" s="359">
        <f>IF(OR($G120="",$C120=""),"",IF($B120="決算整理",13,MOD(MONTH($C120)-4,12)+1))</f>
        <v>3</v>
      </c>
      <c r="Q120" s="366" t="str">
        <f>IF($G120="","",TRIM(IF(J120+K120+L120+M120&lt;&gt;$G120,"按分不一致 ","")&amp;IF(O120="※未登録","科目未登録 ","")&amp;IF(OR($H120="",ISERROR(MATCH($H120,{1,2,3,4,5,6,7,8},0))),"経費区分? ","")&amp;IF($I120="","状態未設定 ","")&amp;IF(AND(OR($I120="確認済",$I120="未確認"),$B120="月例",OR($C120="",$C120&lt;DATE(年度+2018,4,1),$C120&gt;DATE(年度+2019,3,31))),"年度外の日付 ","")&amp;IF(AND(OR($I120="確認済",$I120="未確認"),O120="対象外"),"対象外の科目 ","")))</f>
        <v/>
      </c>
      <c r="R120" s="366" t="inlineStr">
        <is>
          <t>月例!122</t>
        </is>
      </c>
    </row>
    <row r="121">
      <c r="A121" s="359" t="n">
        <v>117</v>
      </c>
      <c r="B121" s="360" t="inlineStr">
        <is>
          <t>月例</t>
        </is>
      </c>
      <c r="C121" s="361" t="n">
        <v>45469</v>
      </c>
      <c r="D121" s="362" t="inlineStr">
        <is>
          <t>委託費</t>
        </is>
      </c>
      <c r="E121" s="362" t="n"/>
      <c r="F121" s="362" t="inlineStr">
        <is>
          <t>統合管理端末保守料（４月～３月分）</t>
        </is>
      </c>
      <c r="G121" s="363" t="n">
        <v>149050</v>
      </c>
      <c r="H121" s="360" t="n">
        <v>2</v>
      </c>
      <c r="I121" s="360" t="inlineStr">
        <is>
          <t>昨年実績</t>
        </is>
      </c>
      <c r="J121" s="364">
        <f>IF($G121="","",IF($H121=1,$G121-ROUND($G121*10/23,0)-2*ROUND($G121/23,0),IF($H121=2,$G121,0)))</f>
        <v>149050</v>
      </c>
      <c r="K121" s="364">
        <f>IF($G121="","",IF($H121=1,ROUND($G121*10/23,0),IF($H121=3,$G121-2*ROUND($G121/12,0),IF($H121=4,$G121,IF(OR($H121=5,$H121=7),ROUND($G121*10/11,0),0)))))</f>
        <v>0</v>
      </c>
      <c r="L121" s="364">
        <f>IF($G121="","",IF($H121=1,ROUND($G121/23,0),IF($H121=3,ROUND($G121/12,0),IF($H121=5,$G121-ROUND($G121*10/11,0),IF($H121=8,$G121,0)))))</f>
        <v>0</v>
      </c>
      <c r="M121" s="364">
        <f>IF($G121="","",IF($H121=1,ROUND($G121/23,0),IF($H121=3,ROUND($G121/12,0),IF($H121=6,$G121,IF($H121=7,$G121-ROUND($G121*10/11,0),0)))))</f>
        <v>0</v>
      </c>
      <c r="N121" s="364">
        <f>IF($G121="","",K121+L121+M121)</f>
        <v>0</v>
      </c>
      <c r="O121" s="365" t="str">
        <f>IF($G121="","",IFERROR(VLOOKUP($D121&amp;"|"&amp;$E121,科目表!$A$5:$B$200,2,FALSE),"※未登録"))</f>
        <v>委託費</v>
      </c>
      <c r="P121" s="359">
        <f>IF(OR($G121="",$C121=""),"",IF($B121="決算整理",13,MOD(MONTH($C121)-4,12)+1))</f>
        <v>3</v>
      </c>
      <c r="Q121" s="366" t="str">
        <f>IF($G121="","",TRIM(IF(J121+K121+L121+M121&lt;&gt;$G121,"按分不一致 ","")&amp;IF(O121="※未登録","科目未登録 ","")&amp;IF(OR($H121="",ISERROR(MATCH($H121,{1,2,3,4,5,6,7,8},0))),"経費区分? ","")&amp;IF($I121="","状態未設定 ","")&amp;IF(AND(OR($I121="確認済",$I121="未確認"),$B121="月例",OR($C121="",$C121&lt;DATE(年度+2018,4,1),$C121&gt;DATE(年度+2019,3,31))),"年度外の日付 ","")&amp;IF(AND(OR($I121="確認済",$I121="未確認"),O121="対象外"),"対象外の科目 ","")))</f>
        <v/>
      </c>
      <c r="R121" s="366" t="inlineStr">
        <is>
          <t>月例!123</t>
        </is>
      </c>
    </row>
    <row r="122">
      <c r="A122" s="359" t="n">
        <v>118</v>
      </c>
      <c r="B122" s="360" t="inlineStr">
        <is>
          <t>月例</t>
        </is>
      </c>
      <c r="C122" s="361" t="n">
        <v>46203</v>
      </c>
      <c r="D122" s="362" t="inlineStr">
        <is>
          <t>職員給与</t>
        </is>
      </c>
      <c r="E122" s="362" t="inlineStr">
        <is>
          <t>非常勤職員手当</t>
        </is>
      </c>
      <c r="F122" s="362" t="inlineStr">
        <is>
          <t>６月分賞与（長期分）</t>
        </is>
      </c>
      <c r="G122" s="363" t="n">
        <v>867690</v>
      </c>
      <c r="H122" s="360" t="n">
        <v>3</v>
      </c>
      <c r="I122" s="360" t="inlineStr">
        <is>
          <t>確認済</t>
        </is>
      </c>
      <c r="J122" s="364">
        <f>IF($G122="","",IF($H122=1,$G122-ROUND($G122*10/23,0)-2*ROUND($G122/23,0),IF($H122=2,$G122,0)))</f>
        <v>0</v>
      </c>
      <c r="K122" s="364">
        <f>IF($G122="","",IF($H122=1,ROUND($G122*10/23,0),IF($H122=3,$G122-2*ROUND($G122/12,0),IF($H122=4,$G122,IF(OR($H122=5,$H122=7),ROUND($G122*10/11,0),0)))))</f>
        <v>723074</v>
      </c>
      <c r="L122" s="364">
        <f>IF($G122="","",IF($H122=1,ROUND($G122/23,0),IF($H122=3,ROUND($G122/12,0),IF($H122=5,$G122-ROUND($G122*10/11,0),IF($H122=8,$G122,0)))))</f>
        <v>72308</v>
      </c>
      <c r="M122" s="364">
        <f>IF($G122="","",IF($H122=1,ROUND($G122/23,0),IF($H122=3,ROUND($G122/12,0),IF($H122=6,$G122,IF($H122=7,$G122-ROUND($G122*10/11,0),0)))))</f>
        <v>72308</v>
      </c>
      <c r="N122" s="364">
        <f>IF($G122="","",K122+L122+M122)</f>
        <v>867690</v>
      </c>
      <c r="O122" s="365" t="str">
        <f>IF($G122="","",IFERROR(VLOOKUP($D122&amp;"|"&amp;$E122,科目表!$A$5:$B$200,2,FALSE),"※未登録"))</f>
        <v>非常勤職員手当</v>
      </c>
      <c r="P122" s="359">
        <f>IF(OR($G122="",$C122=""),"",IF($B122="決算整理",13,MOD(MONTH($C122)-4,12)+1))</f>
        <v>3</v>
      </c>
      <c r="Q122" s="366" t="str">
        <f>IF($G122="","",TRIM(IF(J122+K122+L122+M122&lt;&gt;$G122,"按分不一致 ","")&amp;IF(O122="※未登録","科目未登録 ","")&amp;IF(OR($H122="",ISERROR(MATCH($H122,{1,2,3,4,5,6,7,8},0))),"経費区分? ","")&amp;IF($I122="","状態未設定 ","")&amp;IF(AND(OR($I122="確認済",$I122="未確認"),$B122="月例",OR($C122="",$C122&lt;DATE(年度+2018,4,1),$C122&gt;DATE(年度+2019,3,31))),"年度外の日付 ","")&amp;IF(AND(OR($I122="確認済",$I122="未確認"),O122="対象外"),"対象外の科目 ","")))</f>
        <v/>
      </c>
      <c r="R122" s="366" t="inlineStr">
        <is>
          <t>月例!124</t>
        </is>
      </c>
    </row>
    <row r="123">
      <c r="A123" s="359" t="n">
        <v>119</v>
      </c>
      <c r="B123" s="360" t="inlineStr">
        <is>
          <t>月例</t>
        </is>
      </c>
      <c r="C123" s="361" t="n">
        <v>46203</v>
      </c>
      <c r="D123" s="362" t="inlineStr">
        <is>
          <t>職員給与</t>
        </is>
      </c>
      <c r="E123" s="362" t="inlineStr">
        <is>
          <t>非常勤職員手当</t>
        </is>
      </c>
      <c r="F123" s="362" t="inlineStr">
        <is>
          <t>６月分賞与（短期分）</t>
        </is>
      </c>
      <c r="G123" s="363" t="n">
        <v>447795</v>
      </c>
      <c r="H123" s="360" t="n">
        <v>2</v>
      </c>
      <c r="I123" s="360" t="inlineStr">
        <is>
          <t>確認済</t>
        </is>
      </c>
      <c r="J123" s="364">
        <f>IF($G123="","",IF($H123=1,$G123-ROUND($G123*10/23,0)-2*ROUND($G123/23,0),IF($H123=2,$G123,0)))</f>
        <v>447795</v>
      </c>
      <c r="K123" s="364">
        <f>IF($G123="","",IF($H123=1,ROUND($G123*10/23,0),IF($H123=3,$G123-2*ROUND($G123/12,0),IF($H123=4,$G123,IF(OR($H123=5,$H123=7),ROUND($G123*10/11,0),0)))))</f>
        <v>0</v>
      </c>
      <c r="L123" s="364">
        <f>IF($G123="","",IF($H123=1,ROUND($G123/23,0),IF($H123=3,ROUND($G123/12,0),IF($H123=5,$G123-ROUND($G123*10/11,0),IF($H123=8,$G123,0)))))</f>
        <v>0</v>
      </c>
      <c r="M123" s="364">
        <f>IF($G123="","",IF($H123=1,ROUND($G123/23,0),IF($H123=3,ROUND($G123/12,0),IF($H123=6,$G123,IF($H123=7,$G123-ROUND($G123*10/11,0),0)))))</f>
        <v>0</v>
      </c>
      <c r="N123" s="364">
        <f>IF($G123="","",K123+L123+M123)</f>
        <v>0</v>
      </c>
      <c r="O123" s="365" t="str">
        <f>IF($G123="","",IFERROR(VLOOKUP($D123&amp;"|"&amp;$E123,科目表!$A$5:$B$200,2,FALSE),"※未登録"))</f>
        <v>非常勤職員手当</v>
      </c>
      <c r="P123" s="359">
        <f>IF(OR($G123="",$C123=""),"",IF($B123="決算整理",13,MOD(MONTH($C123)-4,12)+1))</f>
        <v>3</v>
      </c>
      <c r="Q123" s="366" t="str">
        <f>IF($G123="","",TRIM(IF(J123+K123+L123+M123&lt;&gt;$G123,"按分不一致 ","")&amp;IF(O123="※未登録","科目未登録 ","")&amp;IF(OR($H123="",ISERROR(MATCH($H123,{1,2,3,4,5,6,7,8},0))),"経費区分? ","")&amp;IF($I123="","状態未設定 ","")&amp;IF(AND(OR($I123="確認済",$I123="未確認"),$B123="月例",OR($C123="",$C123&lt;DATE(年度+2018,4,1),$C123&gt;DATE(年度+2019,3,31))),"年度外の日付 ","")&amp;IF(AND(OR($I123="確認済",$I123="未確認"),O123="対象外"),"対象外の科目 ","")))</f>
        <v/>
      </c>
      <c r="R123" s="366" t="inlineStr">
        <is>
          <t>月例!125</t>
        </is>
      </c>
    </row>
    <row r="124">
      <c r="A124" s="359" t="n">
        <v>120</v>
      </c>
      <c r="B124" s="360" t="inlineStr">
        <is>
          <t>月例</t>
        </is>
      </c>
      <c r="C124" s="361" t="n">
        <v>46203</v>
      </c>
      <c r="D124" s="362" t="inlineStr">
        <is>
          <t>事務費</t>
        </is>
      </c>
      <c r="E124" s="362" t="inlineStr">
        <is>
          <t>事務用消耗品費</t>
        </is>
      </c>
      <c r="F124" s="362" t="inlineStr">
        <is>
          <t>アラビック補充用　ＥＮＡ－９６０／３本入　５箱</t>
        </is>
      </c>
      <c r="G124" s="363" t="n">
        <v>13860</v>
      </c>
      <c r="H124" s="360" t="n">
        <v>2</v>
      </c>
      <c r="I124" s="360" t="inlineStr">
        <is>
          <t>確認済</t>
        </is>
      </c>
      <c r="J124" s="364">
        <f>IF($G124="","",IF($H124=1,$G124-ROUND($G124*10/23,0)-2*ROUND($G124/23,0),IF($H124=2,$G124,0)))</f>
        <v>13860</v>
      </c>
      <c r="K124" s="364">
        <f>IF($G124="","",IF($H124=1,ROUND($G124*10/23,0),IF($H124=3,$G124-2*ROUND($G124/12,0),IF($H124=4,$G124,IF(OR($H124=5,$H124=7),ROUND($G124*10/11,0),0)))))</f>
        <v>0</v>
      </c>
      <c r="L124" s="364">
        <f>IF($G124="","",IF($H124=1,ROUND($G124/23,0),IF($H124=3,ROUND($G124/12,0),IF($H124=5,$G124-ROUND($G124*10/11,0),IF($H124=8,$G124,0)))))</f>
        <v>0</v>
      </c>
      <c r="M124" s="364">
        <f>IF($G124="","",IF($H124=1,ROUND($G124/23,0),IF($H124=3,ROUND($G124/12,0),IF($H124=6,$G124,IF($H124=7,$G124-ROUND($G124*10/11,0),0)))))</f>
        <v>0</v>
      </c>
      <c r="N124" s="364">
        <f>IF($G124="","",K124+L124+M124)</f>
        <v>0</v>
      </c>
      <c r="O124" s="365" t="str">
        <f>IF($G124="","",IFERROR(VLOOKUP($D124&amp;"|"&amp;$E124,科目表!$A$5:$B$200,2,FALSE),"※未登録"))</f>
        <v>事務用消耗品費</v>
      </c>
      <c r="P124" s="359">
        <f>IF(OR($G124="",$C124=""),"",IF($B124="決算整理",13,MOD(MONTH($C124)-4,12)+1))</f>
        <v>3</v>
      </c>
      <c r="Q124" s="366" t="str">
        <f>IF($G124="","",TRIM(IF(J124+K124+L124+M124&lt;&gt;$G124,"按分不一致 ","")&amp;IF(O124="※未登録","科目未登録 ","")&amp;IF(OR($H124="",ISERROR(MATCH($H124,{1,2,3,4,5,6,7,8},0))),"経費区分? ","")&amp;IF($I124="","状態未設定 ","")&amp;IF(AND(OR($I124="確認済",$I124="未確認"),$B124="月例",OR($C124="",$C124&lt;DATE(年度+2018,4,1),$C124&gt;DATE(年度+2019,3,31))),"年度外の日付 ","")&amp;IF(AND(OR($I124="確認済",$I124="未確認"),O124="対象外"),"対象外の科目 ","")))</f>
        <v/>
      </c>
      <c r="R124" s="366" t="inlineStr">
        <is>
          <t>月例!126</t>
        </is>
      </c>
    </row>
    <row r="125">
      <c r="A125" s="359" t="n">
        <v>121</v>
      </c>
      <c r="B125" s="360" t="inlineStr">
        <is>
          <t>月例</t>
        </is>
      </c>
      <c r="C125" s="361" t="n">
        <v>45838</v>
      </c>
      <c r="D125" s="362" t="inlineStr">
        <is>
          <t>事務費</t>
        </is>
      </c>
      <c r="E125" s="362" t="inlineStr">
        <is>
          <t>事務用消耗品費</t>
        </is>
      </c>
      <c r="F125" s="362" t="inlineStr">
        <is>
          <t>のり　B765J-10/10本入　1箱　ほか</t>
        </is>
      </c>
      <c r="G125" s="363" t="n">
        <v>2906</v>
      </c>
      <c r="H125" s="360" t="n">
        <v>2</v>
      </c>
      <c r="I125" s="360" t="inlineStr">
        <is>
          <t>昨年実績</t>
        </is>
      </c>
      <c r="J125" s="364">
        <f>IF($G125="","",IF($H125=1,$G125-ROUND($G125*10/23,0)-2*ROUND($G125/23,0),IF($H125=2,$G125,0)))</f>
        <v>2906</v>
      </c>
      <c r="K125" s="364">
        <f>IF($G125="","",IF($H125=1,ROUND($G125*10/23,0),IF($H125=3,$G125-2*ROUND($G125/12,0),IF($H125=4,$G125,IF(OR($H125=5,$H125=7),ROUND($G125*10/11,0),0)))))</f>
        <v>0</v>
      </c>
      <c r="L125" s="364">
        <f>IF($G125="","",IF($H125=1,ROUND($G125/23,0),IF($H125=3,ROUND($G125/12,0),IF($H125=5,$G125-ROUND($G125*10/11,0),IF($H125=8,$G125,0)))))</f>
        <v>0</v>
      </c>
      <c r="M125" s="364">
        <f>IF($G125="","",IF($H125=1,ROUND($G125/23,0),IF($H125=3,ROUND($G125/12,0),IF($H125=6,$G125,IF($H125=7,$G125-ROUND($G125*10/11,0),0)))))</f>
        <v>0</v>
      </c>
      <c r="N125" s="364">
        <f>IF($G125="","",K125+L125+M125)</f>
        <v>0</v>
      </c>
      <c r="O125" s="365" t="str">
        <f>IF($G125="","",IFERROR(VLOOKUP($D125&amp;"|"&amp;$E125,科目表!$A$5:$B$200,2,FALSE),"※未登録"))</f>
        <v>事務用消耗品費</v>
      </c>
      <c r="P125" s="359">
        <f>IF(OR($G125="",$C125=""),"",IF($B125="決算整理",13,MOD(MONTH($C125)-4,12)+1))</f>
        <v>3</v>
      </c>
      <c r="Q125" s="366" t="str">
        <f>IF($G125="","",TRIM(IF(J125+K125+L125+M125&lt;&gt;$G125,"按分不一致 ","")&amp;IF(O125="※未登録","科目未登録 ","")&amp;IF(OR($H125="",ISERROR(MATCH($H125,{1,2,3,4,5,6,7,8},0))),"経費区分? ","")&amp;IF($I125="","状態未設定 ","")&amp;IF(AND(OR($I125="確認済",$I125="未確認"),$B125="月例",OR($C125="",$C125&lt;DATE(年度+2018,4,1),$C125&gt;DATE(年度+2019,3,31))),"年度外の日付 ","")&amp;IF(AND(OR($I125="確認済",$I125="未確認"),O125="対象外"),"対象外の科目 ","")))</f>
        <v/>
      </c>
      <c r="R125" s="366" t="inlineStr">
        <is>
          <t>月例!127</t>
        </is>
      </c>
    </row>
    <row r="126">
      <c r="A126" s="359" t="n">
        <v>122</v>
      </c>
      <c r="B126" s="360" t="inlineStr">
        <is>
          <t>月例</t>
        </is>
      </c>
      <c r="C126" s="361" t="n">
        <v>46203</v>
      </c>
      <c r="D126" s="362" t="inlineStr">
        <is>
          <t>負担金</t>
        </is>
      </c>
      <c r="E126" s="362" t="inlineStr">
        <is>
          <t>負担金</t>
        </is>
      </c>
      <c r="F126" s="362" t="inlineStr">
        <is>
          <t>共済短期・介護負担金（6月賞与分）長期</t>
        </is>
      </c>
      <c r="G126" s="363" t="n">
        <v>49130</v>
      </c>
      <c r="H126" s="360" t="n">
        <v>3</v>
      </c>
      <c r="I126" s="360" t="inlineStr">
        <is>
          <t>確認済</t>
        </is>
      </c>
      <c r="J126" s="364">
        <f>IF($G126="","",IF($H126=1,$G126-ROUND($G126*10/23,0)-2*ROUND($G126/23,0),IF($H126=2,$G126,0)))</f>
        <v>0</v>
      </c>
      <c r="K126" s="364">
        <f>IF($G126="","",IF($H126=1,ROUND($G126*10/23,0),IF($H126=3,$G126-2*ROUND($G126/12,0),IF($H126=4,$G126,IF(OR($H126=5,$H126=7),ROUND($G126*10/11,0),0)))))</f>
        <v>40942</v>
      </c>
      <c r="L126" s="364">
        <f>IF($G126="","",IF($H126=1,ROUND($G126/23,0),IF($H126=3,ROUND($G126/12,0),IF($H126=5,$G126-ROUND($G126*10/11,0),IF($H126=8,$G126,0)))))</f>
        <v>4094</v>
      </c>
      <c r="M126" s="364">
        <f>IF($G126="","",IF($H126=1,ROUND($G126/23,0),IF($H126=3,ROUND($G126/12,0),IF($H126=6,$G126,IF($H126=7,$G126-ROUND($G126*10/11,0),0)))))</f>
        <v>4094</v>
      </c>
      <c r="N126" s="364">
        <f>IF($G126="","",K126+L126+M126)</f>
        <v>49130</v>
      </c>
      <c r="O126" s="365" t="str">
        <f>IF($G126="","",IFERROR(VLOOKUP($D126&amp;"|"&amp;$E126,科目表!$A$5:$B$200,2,FALSE),"※未登録"))</f>
        <v>共済負担金等</v>
      </c>
      <c r="P126" s="359">
        <f>IF(OR($G126="",$C126=""),"",IF($B126="決算整理",13,MOD(MONTH($C126)-4,12)+1))</f>
        <v>3</v>
      </c>
      <c r="Q126" s="366" t="str">
        <f>IF($G126="","",TRIM(IF(J126+K126+L126+M126&lt;&gt;$G126,"按分不一致 ","")&amp;IF(O126="※未登録","科目未登録 ","")&amp;IF(OR($H126="",ISERROR(MATCH($H126,{1,2,3,4,5,6,7,8},0))),"経費区分? ","")&amp;IF($I126="","状態未設定 ","")&amp;IF(AND(OR($I126="確認済",$I126="未確認"),$B126="月例",OR($C126="",$C126&lt;DATE(年度+2018,4,1),$C126&gt;DATE(年度+2019,3,31))),"年度外の日付 ","")&amp;IF(AND(OR($I126="確認済",$I126="未確認"),O126="対象外"),"対象外の科目 ","")))</f>
        <v/>
      </c>
      <c r="R126" s="366" t="inlineStr">
        <is>
          <t>月例!128</t>
        </is>
      </c>
    </row>
    <row r="127">
      <c r="A127" s="359" t="n">
        <v>123</v>
      </c>
      <c r="B127" s="360" t="inlineStr">
        <is>
          <t>月例</t>
        </is>
      </c>
      <c r="C127" s="361" t="n">
        <v>46203</v>
      </c>
      <c r="D127" s="362" t="inlineStr">
        <is>
          <t>負担金</t>
        </is>
      </c>
      <c r="E127" s="362" t="inlineStr">
        <is>
          <t>負担金</t>
        </is>
      </c>
      <c r="F127" s="362" t="inlineStr">
        <is>
          <t>共済短期・介護負担金（6月賞与分）短期</t>
        </is>
      </c>
      <c r="G127" s="363" t="n">
        <v>27249</v>
      </c>
      <c r="H127" s="360" t="n">
        <v>2</v>
      </c>
      <c r="I127" s="360" t="inlineStr">
        <is>
          <t>確認済</t>
        </is>
      </c>
      <c r="J127" s="364">
        <f>IF($G127="","",IF($H127=1,$G127-ROUND($G127*10/23,0)-2*ROUND($G127/23,0),IF($H127=2,$G127,0)))</f>
        <v>27249</v>
      </c>
      <c r="K127" s="364">
        <f>IF($G127="","",IF($H127=1,ROUND($G127*10/23,0),IF($H127=3,$G127-2*ROUND($G127/12,0),IF($H127=4,$G127,IF(OR($H127=5,$H127=7),ROUND($G127*10/11,0),0)))))</f>
        <v>0</v>
      </c>
      <c r="L127" s="364">
        <f>IF($G127="","",IF($H127=1,ROUND($G127/23,0),IF($H127=3,ROUND($G127/12,0),IF($H127=5,$G127-ROUND($G127*10/11,0),IF($H127=8,$G127,0)))))</f>
        <v>0</v>
      </c>
      <c r="M127" s="364">
        <f>IF($G127="","",IF($H127=1,ROUND($G127/23,0),IF($H127=3,ROUND($G127/12,0),IF($H127=6,$G127,IF($H127=7,$G127-ROUND($G127*10/11,0),0)))))</f>
        <v>0</v>
      </c>
      <c r="N127" s="364">
        <f>IF($G127="","",K127+L127+M127)</f>
        <v>0</v>
      </c>
      <c r="O127" s="365" t="str">
        <f>IF($G127="","",IFERROR(VLOOKUP($D127&amp;"|"&amp;$E127,科目表!$A$5:$B$200,2,FALSE),"※未登録"))</f>
        <v>共済負担金等</v>
      </c>
      <c r="P127" s="359">
        <f>IF(OR($G127="",$C127=""),"",IF($B127="決算整理",13,MOD(MONTH($C127)-4,12)+1))</f>
        <v>3</v>
      </c>
      <c r="Q127" s="366" t="str">
        <f>IF($G127="","",TRIM(IF(J127+K127+L127+M127&lt;&gt;$G127,"按分不一致 ","")&amp;IF(O127="※未登録","科目未登録 ","")&amp;IF(OR($H127="",ISERROR(MATCH($H127,{1,2,3,4,5,6,7,8},0))),"経費区分? ","")&amp;IF($I127="","状態未設定 ","")&amp;IF(AND(OR($I127="確認済",$I127="未確認"),$B127="月例",OR($C127="",$C127&lt;DATE(年度+2018,4,1),$C127&gt;DATE(年度+2019,3,31))),"年度外の日付 ","")&amp;IF(AND(OR($I127="確認済",$I127="未確認"),O127="対象外"),"対象外の科目 ","")))</f>
        <v/>
      </c>
      <c r="R127" s="366" t="inlineStr">
        <is>
          <t>月例!129</t>
        </is>
      </c>
    </row>
    <row r="128">
      <c r="A128" s="359" t="n">
        <v>124</v>
      </c>
      <c r="B128" s="360" t="inlineStr">
        <is>
          <t>月例</t>
        </is>
      </c>
      <c r="C128" s="361" t="n">
        <v>44074</v>
      </c>
      <c r="D128" s="362" t="inlineStr">
        <is>
          <t>事務費</t>
        </is>
      </c>
      <c r="E128" s="362" t="inlineStr">
        <is>
          <t>事務用消耗品費</t>
        </is>
      </c>
      <c r="F128" s="362" t="inlineStr">
        <is>
          <t>被保険者台帳ファイル　1,000部</t>
        </is>
      </c>
      <c r="G128" s="363" t="n">
        <v>164780</v>
      </c>
      <c r="H128" s="360" t="n">
        <v>2</v>
      </c>
      <c r="I128" s="360" t="inlineStr">
        <is>
          <t>昨年実績</t>
        </is>
      </c>
      <c r="J128" s="364">
        <f>IF($G128="","",IF($H128=1,$G128-ROUND($G128*10/23,0)-2*ROUND($G128/23,0),IF($H128=2,$G128,0)))</f>
        <v>164780</v>
      </c>
      <c r="K128" s="364">
        <f>IF($G128="","",IF($H128=1,ROUND($G128*10/23,0),IF($H128=3,$G128-2*ROUND($G128/12,0),IF($H128=4,$G128,IF(OR($H128=5,$H128=7),ROUND($G128*10/11,0),0)))))</f>
        <v>0</v>
      </c>
      <c r="L128" s="364">
        <f>IF($G128="","",IF($H128=1,ROUND($G128/23,0),IF($H128=3,ROUND($G128/12,0),IF($H128=5,$G128-ROUND($G128*10/11,0),IF($H128=8,$G128,0)))))</f>
        <v>0</v>
      </c>
      <c r="M128" s="364">
        <f>IF($G128="","",IF($H128=1,ROUND($G128/23,0),IF($H128=3,ROUND($G128/12,0),IF($H128=6,$G128,IF($H128=7,$G128-ROUND($G128*10/11,0),0)))))</f>
        <v>0</v>
      </c>
      <c r="N128" s="364">
        <f>IF($G128="","",K128+L128+M128)</f>
        <v>0</v>
      </c>
      <c r="O128" s="365" t="str">
        <f>IF($G128="","",IFERROR(VLOOKUP($D128&amp;"|"&amp;$E128,科目表!$A$5:$B$200,2,FALSE),"※未登録"))</f>
        <v>事務用消耗品費</v>
      </c>
      <c r="P128" s="359">
        <f>IF(OR($G128="",$C128=""),"",IF($B128="決算整理",13,MOD(MONTH($C128)-4,12)+1))</f>
        <v>5</v>
      </c>
      <c r="Q128" s="366" t="str">
        <f>IF($G128="","",TRIM(IF(J128+K128+L128+M128&lt;&gt;$G128,"按分不一致 ","")&amp;IF(O128="※未登録","科目未登録 ","")&amp;IF(OR($H128="",ISERROR(MATCH($H128,{1,2,3,4,5,6,7,8},0))),"経費区分? ","")&amp;IF($I128="","状態未設定 ","")&amp;IF(AND(OR($I128="確認済",$I128="未確認"),$B128="月例",OR($C128="",$C128&lt;DATE(年度+2018,4,1),$C128&gt;DATE(年度+2019,3,31))),"年度外の日付 ","")&amp;IF(AND(OR($I128="確認済",$I128="未確認"),O128="対象外"),"対象外の科目 ","")))</f>
        <v/>
      </c>
      <c r="R128" s="366" t="inlineStr">
        <is>
          <t>月例!130</t>
        </is>
      </c>
    </row>
    <row r="129">
      <c r="A129" s="359" t="n">
        <v>125</v>
      </c>
      <c r="B129" s="360" t="inlineStr">
        <is>
          <t>月例</t>
        </is>
      </c>
      <c r="C129" s="361" t="n">
        <v>46203</v>
      </c>
      <c r="D129" s="362" t="inlineStr">
        <is>
          <t>委託費</t>
        </is>
      </c>
      <c r="E129" s="362" t="n"/>
      <c r="F129" s="362" t="inlineStr">
        <is>
          <t>柔整等療養費支給申請書の入力（５月分）</t>
        </is>
      </c>
      <c r="G129" s="363" t="n">
        <v>122222</v>
      </c>
      <c r="H129" s="360" t="n">
        <v>2</v>
      </c>
      <c r="I129" s="360" t="inlineStr">
        <is>
          <t>確認済</t>
        </is>
      </c>
      <c r="J129" s="364">
        <f>IF($G129="","",IF($H129=1,$G129-ROUND($G129*10/23,0)-2*ROUND($G129/23,0),IF($H129=2,$G129,0)))</f>
        <v>122222</v>
      </c>
      <c r="K129" s="364">
        <f>IF($G129="","",IF($H129=1,ROUND($G129*10/23,0),IF($H129=3,$G129-2*ROUND($G129/12,0),IF($H129=4,$G129,IF(OR($H129=5,$H129=7),ROUND($G129*10/11,0),0)))))</f>
        <v>0</v>
      </c>
      <c r="L129" s="364">
        <f>IF($G129="","",IF($H129=1,ROUND($G129/23,0),IF($H129=3,ROUND($G129/12,0),IF($H129=5,$G129-ROUND($G129*10/11,0),IF($H129=8,$G129,0)))))</f>
        <v>0</v>
      </c>
      <c r="M129" s="364">
        <f>IF($G129="","",IF($H129=1,ROUND($G129/23,0),IF($H129=3,ROUND($G129/12,0),IF($H129=6,$G129,IF($H129=7,$G129-ROUND($G129*10/11,0),0)))))</f>
        <v>0</v>
      </c>
      <c r="N129" s="364">
        <f>IF($G129="","",K129+L129+M129)</f>
        <v>0</v>
      </c>
      <c r="O129" s="365" t="str">
        <f>IF($G129="","",IFERROR(VLOOKUP($D129&amp;"|"&amp;$E129,科目表!$A$5:$B$200,2,FALSE),"※未登録"))</f>
        <v>委託費</v>
      </c>
      <c r="P129" s="359">
        <f>IF(OR($G129="",$C129=""),"",IF($B129="決算整理",13,MOD(MONTH($C129)-4,12)+1))</f>
        <v>3</v>
      </c>
      <c r="Q129" s="366" t="str">
        <f>IF($G129="","",TRIM(IF(J129+K129+L129+M129&lt;&gt;$G129,"按分不一致 ","")&amp;IF(O129="※未登録","科目未登録 ","")&amp;IF(OR($H129="",ISERROR(MATCH($H129,{1,2,3,4,5,6,7,8},0))),"経費区分? ","")&amp;IF($I129="","状態未設定 ","")&amp;IF(AND(OR($I129="確認済",$I129="未確認"),$B129="月例",OR($C129="",$C129&lt;DATE(年度+2018,4,1),$C129&gt;DATE(年度+2019,3,31))),"年度外の日付 ","")&amp;IF(AND(OR($I129="確認済",$I129="未確認"),O129="対象外"),"対象外の科目 ","")))</f>
        <v/>
      </c>
      <c r="R129" s="366" t="inlineStr">
        <is>
          <t>月例!131</t>
        </is>
      </c>
    </row>
    <row r="130">
      <c r="A130" s="359" t="n">
        <v>126</v>
      </c>
      <c r="B130" s="360" t="inlineStr">
        <is>
          <t>月例</t>
        </is>
      </c>
      <c r="C130" s="361" t="n">
        <v>45838</v>
      </c>
      <c r="D130" s="362" t="inlineStr">
        <is>
          <t>事務費</t>
        </is>
      </c>
      <c r="E130" s="362" t="inlineStr">
        <is>
          <t>図書印刷費</t>
        </is>
      </c>
      <c r="F130" s="362" t="inlineStr">
        <is>
          <t>角２封筒クラフト８５ｇ　枠付　３，０００枚</t>
        </is>
      </c>
      <c r="G130" s="363" t="n">
        <v>49995</v>
      </c>
      <c r="H130" s="360" t="n">
        <v>2</v>
      </c>
      <c r="I130" s="360" t="inlineStr">
        <is>
          <t>昨年実績</t>
        </is>
      </c>
      <c r="J130" s="364">
        <f>IF($G130="","",IF($H130=1,$G130-ROUND($G130*10/23,0)-2*ROUND($G130/23,0),IF($H130=2,$G130,0)))</f>
        <v>49995</v>
      </c>
      <c r="K130" s="364">
        <f>IF($G130="","",IF($H130=1,ROUND($G130*10/23,0),IF($H130=3,$G130-2*ROUND($G130/12,0),IF($H130=4,$G130,IF(OR($H130=5,$H130=7),ROUND($G130*10/11,0),0)))))</f>
        <v>0</v>
      </c>
      <c r="L130" s="364">
        <f>IF($G130="","",IF($H130=1,ROUND($G130/23,0),IF($H130=3,ROUND($G130/12,0),IF($H130=5,$G130-ROUND($G130*10/11,0),IF($H130=8,$G130,0)))))</f>
        <v>0</v>
      </c>
      <c r="M130" s="364">
        <f>IF($G130="","",IF($H130=1,ROUND($G130/23,0),IF($H130=3,ROUND($G130/12,0),IF($H130=6,$G130,IF($H130=7,$G130-ROUND($G130*10/11,0),0)))))</f>
        <v>0</v>
      </c>
      <c r="N130" s="364">
        <f>IF($G130="","",K130+L130+M130)</f>
        <v>0</v>
      </c>
      <c r="O130" s="365" t="str">
        <f>IF($G130="","",IFERROR(VLOOKUP($D130&amp;"|"&amp;$E130,科目表!$A$5:$B$200,2,FALSE),"※未登録"))</f>
        <v>図書印刷費</v>
      </c>
      <c r="P130" s="359">
        <f>IF(OR($G130="",$C130=""),"",IF($B130="決算整理",13,MOD(MONTH($C130)-4,12)+1))</f>
        <v>3</v>
      </c>
      <c r="Q130" s="366" t="str">
        <f>IF($G130="","",TRIM(IF(J130+K130+L130+M130&lt;&gt;$G130,"按分不一致 ","")&amp;IF(O130="※未登録","科目未登録 ","")&amp;IF(OR($H130="",ISERROR(MATCH($H130,{1,2,3,4,5,6,7,8},0))),"経費区分? ","")&amp;IF($I130="","状態未設定 ","")&amp;IF(AND(OR($I130="確認済",$I130="未確認"),$B130="月例",OR($C130="",$C130&lt;DATE(年度+2018,4,1),$C130&gt;DATE(年度+2019,3,31))),"年度外の日付 ","")&amp;IF(AND(OR($I130="確認済",$I130="未確認"),O130="対象外"),"対象外の科目 ","")))</f>
        <v/>
      </c>
      <c r="R130" s="366" t="inlineStr">
        <is>
          <t>月例!132</t>
        </is>
      </c>
    </row>
    <row r="131">
      <c r="A131" s="359" t="n">
        <v>127</v>
      </c>
      <c r="B131" s="360" t="inlineStr">
        <is>
          <t>月例</t>
        </is>
      </c>
      <c r="C131" s="361" t="n">
        <v>46203</v>
      </c>
      <c r="D131" s="362" t="inlineStr">
        <is>
          <t>負担金</t>
        </is>
      </c>
      <c r="E131" s="362" t="inlineStr">
        <is>
          <t>厚年負担金等</t>
        </is>
      </c>
      <c r="F131" s="362" t="inlineStr">
        <is>
          <t>５月月例分（短期分）子ども子育て拠出金を含む</t>
        </is>
      </c>
      <c r="G131" s="363" t="n">
        <v>62766</v>
      </c>
      <c r="H131" s="360" t="n">
        <v>2</v>
      </c>
      <c r="I131" s="360" t="inlineStr">
        <is>
          <t>確認済</t>
        </is>
      </c>
      <c r="J131" s="364">
        <f>IF($G131="","",IF($H131=1,$G131-ROUND($G131*10/23,0)-2*ROUND($G131/23,0),IF($H131=2,$G131,0)))</f>
        <v>62766</v>
      </c>
      <c r="K131" s="364">
        <f>IF($G131="","",IF($H131=1,ROUND($G131*10/23,0),IF($H131=3,$G131-2*ROUND($G131/12,0),IF($H131=4,$G131,IF(OR($H131=5,$H131=7),ROUND($G131*10/11,0),0)))))</f>
        <v>0</v>
      </c>
      <c r="L131" s="364">
        <f>IF($G131="","",IF($H131=1,ROUND($G131/23,0),IF($H131=3,ROUND($G131/12,0),IF($H131=5,$G131-ROUND($G131*10/11,0),IF($H131=8,$G131,0)))))</f>
        <v>0</v>
      </c>
      <c r="M131" s="364">
        <f>IF($G131="","",IF($H131=1,ROUND($G131/23,0),IF($H131=3,ROUND($G131/12,0),IF($H131=6,$G131,IF($H131=7,$G131-ROUND($G131*10/11,0),0)))))</f>
        <v>0</v>
      </c>
      <c r="N131" s="364">
        <f>IF($G131="","",K131+L131+M131)</f>
        <v>0</v>
      </c>
      <c r="O131" s="365" t="str">
        <f>IF($G131="","",IFERROR(VLOOKUP($D131&amp;"|"&amp;$E131,科目表!$A$5:$B$200,2,FALSE),"※未登録"))</f>
        <v>厚年負担金等</v>
      </c>
      <c r="P131" s="359">
        <f>IF(OR($G131="",$C131=""),"",IF($B131="決算整理",13,MOD(MONTH($C131)-4,12)+1))</f>
        <v>3</v>
      </c>
      <c r="Q131" s="366" t="str">
        <f>IF($G131="","",TRIM(IF(J131+K131+L131+M131&lt;&gt;$G131,"按分不一致 ","")&amp;IF(O131="※未登録","科目未登録 ","")&amp;IF(OR($H131="",ISERROR(MATCH($H131,{1,2,3,4,5,6,7,8},0))),"経費区分? ","")&amp;IF($I131="","状態未設定 ","")&amp;IF(AND(OR($I131="確認済",$I131="未確認"),$B131="月例",OR($C131="",$C131&lt;DATE(年度+2018,4,1),$C131&gt;DATE(年度+2019,3,31))),"年度外の日付 ","")&amp;IF(AND(OR($I131="確認済",$I131="未確認"),O131="対象外"),"対象外の科目 ","")))</f>
        <v/>
      </c>
      <c r="R131" s="366" t="inlineStr">
        <is>
          <t>月例!133</t>
        </is>
      </c>
    </row>
    <row r="132">
      <c r="A132" s="359" t="n">
        <v>128</v>
      </c>
      <c r="B132" s="360" t="inlineStr">
        <is>
          <t>月例</t>
        </is>
      </c>
      <c r="C132" s="361" t="n">
        <v>46203</v>
      </c>
      <c r="D132" s="362" t="inlineStr">
        <is>
          <t>負担金</t>
        </is>
      </c>
      <c r="E132" s="362" t="inlineStr">
        <is>
          <t>厚年負担金等</t>
        </is>
      </c>
      <c r="F132" s="362" t="inlineStr">
        <is>
          <t>５月月例分（長期分）子ども子育て拠出金を含む</t>
        </is>
      </c>
      <c r="G132" s="363" t="n">
        <v>37089</v>
      </c>
      <c r="H132" s="360" t="n">
        <v>3</v>
      </c>
      <c r="I132" s="360" t="inlineStr">
        <is>
          <t>確認済</t>
        </is>
      </c>
      <c r="J132" s="364">
        <f>IF($G132="","",IF($H132=1,$G132-ROUND($G132*10/23,0)-2*ROUND($G132/23,0),IF($H132=2,$G132,0)))</f>
        <v>0</v>
      </c>
      <c r="K132" s="364">
        <f>IF($G132="","",IF($H132=1,ROUND($G132*10/23,0),IF($H132=3,$G132-2*ROUND($G132/12,0),IF($H132=4,$G132,IF(OR($H132=5,$H132=7),ROUND($G132*10/11,0),0)))))</f>
        <v>30907</v>
      </c>
      <c r="L132" s="364">
        <f>IF($G132="","",IF($H132=1,ROUND($G132/23,0),IF($H132=3,ROUND($G132/12,0),IF($H132=5,$G132-ROUND($G132*10/11,0),IF($H132=8,$G132,0)))))</f>
        <v>3091</v>
      </c>
      <c r="M132" s="364">
        <f>IF($G132="","",IF($H132=1,ROUND($G132/23,0),IF($H132=3,ROUND($G132/12,0),IF($H132=6,$G132,IF($H132=7,$G132-ROUND($G132*10/11,0),0)))))</f>
        <v>3091</v>
      </c>
      <c r="N132" s="364">
        <f>IF($G132="","",K132+L132+M132)</f>
        <v>37089</v>
      </c>
      <c r="O132" s="365" t="str">
        <f>IF($G132="","",IFERROR(VLOOKUP($D132&amp;"|"&amp;$E132,科目表!$A$5:$B$200,2,FALSE),"※未登録"))</f>
        <v>厚年負担金等</v>
      </c>
      <c r="P132" s="359">
        <f>IF(OR($G132="",$C132=""),"",IF($B132="決算整理",13,MOD(MONTH($C132)-4,12)+1))</f>
        <v>3</v>
      </c>
      <c r="Q132" s="366" t="str">
        <f>IF($G132="","",TRIM(IF(J132+K132+L132+M132&lt;&gt;$G132,"按分不一致 ","")&amp;IF(O132="※未登録","科目未登録 ","")&amp;IF(OR($H132="",ISERROR(MATCH($H132,{1,2,3,4,5,6,7,8},0))),"経費区分? ","")&amp;IF($I132="","状態未設定 ","")&amp;IF(AND(OR($I132="確認済",$I132="未確認"),$B132="月例",OR($C132="",$C132&lt;DATE(年度+2018,4,1),$C132&gt;DATE(年度+2019,3,31))),"年度外の日付 ","")&amp;IF(AND(OR($I132="確認済",$I132="未確認"),O132="対象外"),"対象外の科目 ","")))</f>
        <v/>
      </c>
      <c r="R132" s="366" t="inlineStr">
        <is>
          <t>月例!135</t>
        </is>
      </c>
    </row>
    <row r="133">
      <c r="A133" s="359" t="n">
        <v>129</v>
      </c>
      <c r="B133" s="360" t="inlineStr">
        <is>
          <t>月例</t>
        </is>
      </c>
      <c r="C133" s="361" t="n">
        <v>46203</v>
      </c>
      <c r="D133" s="362" t="inlineStr">
        <is>
          <t>事務費</t>
        </is>
      </c>
      <c r="E133" s="362" t="inlineStr">
        <is>
          <t>通信運搬費</t>
        </is>
      </c>
      <c r="F133" s="362" t="inlineStr">
        <is>
          <t>フレッツ光ネクスト利用料等（４月・５月利用・６月請求分）</t>
        </is>
      </c>
      <c r="G133" s="363" t="n">
        <v>13090</v>
      </c>
      <c r="H133" s="360" t="n">
        <v>2</v>
      </c>
      <c r="I133" s="360" t="inlineStr">
        <is>
          <t>確認済</t>
        </is>
      </c>
      <c r="J133" s="364">
        <f>IF($G133="","",IF($H133=1,$G133-ROUND($G133*10/23,0)-2*ROUND($G133/23,0),IF($H133=2,$G133,0)))</f>
        <v>13090</v>
      </c>
      <c r="K133" s="364">
        <f>IF($G133="","",IF($H133=1,ROUND($G133*10/23,0),IF($H133=3,$G133-2*ROUND($G133/12,0),IF($H133=4,$G133,IF(OR($H133=5,$H133=7),ROUND($G133*10/11,0),0)))))</f>
        <v>0</v>
      </c>
      <c r="L133" s="364">
        <f>IF($G133="","",IF($H133=1,ROUND($G133/23,0),IF($H133=3,ROUND($G133/12,0),IF($H133=5,$G133-ROUND($G133*10/11,0),IF($H133=8,$G133,0)))))</f>
        <v>0</v>
      </c>
      <c r="M133" s="364">
        <f>IF($G133="","",IF($H133=1,ROUND($G133/23,0),IF($H133=3,ROUND($G133/12,0),IF($H133=6,$G133,IF($H133=7,$G133-ROUND($G133*10/11,0),0)))))</f>
        <v>0</v>
      </c>
      <c r="N133" s="364">
        <f>IF($G133="","",K133+L133+M133)</f>
        <v>0</v>
      </c>
      <c r="O133" s="365" t="str">
        <f>IF($G133="","",IFERROR(VLOOKUP($D133&amp;"|"&amp;$E133,科目表!$A$5:$B$200,2,FALSE),"※未登録"))</f>
        <v>通信運搬費</v>
      </c>
      <c r="P133" s="359">
        <f>IF(OR($G133="",$C133=""),"",IF($B133="決算整理",13,MOD(MONTH($C133)-4,12)+1))</f>
        <v>3</v>
      </c>
      <c r="Q133" s="366" t="str">
        <f>IF($G133="","",TRIM(IF(J133+K133+L133+M133&lt;&gt;$G133,"按分不一致 ","")&amp;IF(O133="※未登録","科目未登録 ","")&amp;IF(OR($H133="",ISERROR(MATCH($H133,{1,2,3,4,5,6,7,8},0))),"経費区分? ","")&amp;IF($I133="","状態未設定 ","")&amp;IF(AND(OR($I133="確認済",$I133="未確認"),$B133="月例",OR($C133="",$C133&lt;DATE(年度+2018,4,1),$C133&gt;DATE(年度+2019,3,31))),"年度外の日付 ","")&amp;IF(AND(OR($I133="確認済",$I133="未確認"),O133="対象外"),"対象外の科目 ","")))</f>
        <v/>
      </c>
      <c r="R133" s="366" t="inlineStr">
        <is>
          <t>月例!136</t>
        </is>
      </c>
    </row>
    <row r="134">
      <c r="A134" s="359" t="n">
        <v>130</v>
      </c>
      <c r="B134" s="360" t="inlineStr">
        <is>
          <t>月例</t>
        </is>
      </c>
      <c r="C134" s="361" t="n">
        <v>45477</v>
      </c>
      <c r="D134" s="362" t="inlineStr">
        <is>
          <t>負担金</t>
        </is>
      </c>
      <c r="E134" s="362" t="inlineStr">
        <is>
          <t>負担金</t>
        </is>
      </c>
      <c r="F134" s="362" t="inlineStr">
        <is>
          <t>収入印紙</t>
        </is>
      </c>
      <c r="G134" s="363" t="n">
        <v>34600</v>
      </c>
      <c r="H134" s="360" t="n">
        <v>3</v>
      </c>
      <c r="I134" s="360" t="inlineStr">
        <is>
          <t>昨年実績</t>
        </is>
      </c>
      <c r="J134" s="364">
        <f>IF($G134="","",IF($H134=1,$G134-ROUND($G134*10/23,0)-2*ROUND($G134/23,0),IF($H134=2,$G134,0)))</f>
        <v>0</v>
      </c>
      <c r="K134" s="364">
        <f>IF($G134="","",IF($H134=1,ROUND($G134*10/23,0),IF($H134=3,$G134-2*ROUND($G134/12,0),IF($H134=4,$G134,IF(OR($H134=5,$H134=7),ROUND($G134*10/11,0),0)))))</f>
        <v>28834</v>
      </c>
      <c r="L134" s="364">
        <f>IF($G134="","",IF($H134=1,ROUND($G134/23,0),IF($H134=3,ROUND($G134/12,0),IF($H134=5,$G134-ROUND($G134*10/11,0),IF($H134=8,$G134,0)))))</f>
        <v>2883</v>
      </c>
      <c r="M134" s="364">
        <f>IF($G134="","",IF($H134=1,ROUND($G134/23,0),IF($H134=3,ROUND($G134/12,0),IF($H134=6,$G134,IF($H134=7,$G134-ROUND($G134*10/11,0),0)))))</f>
        <v>2883</v>
      </c>
      <c r="N134" s="364">
        <f>IF($G134="","",K134+L134+M134)</f>
        <v>34600</v>
      </c>
      <c r="O134" s="365" t="str">
        <f>IF($G134="","",IFERROR(VLOOKUP($D134&amp;"|"&amp;$E134,科目表!$A$5:$B$200,2,FALSE),"※未登録"))</f>
        <v>共済負担金等</v>
      </c>
      <c r="P134" s="359">
        <f>IF(OR($G134="",$C134=""),"",IF($B134="決算整理",13,MOD(MONTH($C134)-4,12)+1))</f>
        <v>4</v>
      </c>
      <c r="Q134" s="366" t="str">
        <f>IF($G134="","",TRIM(IF(J134+K134+L134+M134&lt;&gt;$G134,"按分不一致 ","")&amp;IF(O134="※未登録","科目未登録 ","")&amp;IF(OR($H134="",ISERROR(MATCH($H134,{1,2,3,4,5,6,7,8},0))),"経費区分? ","")&amp;IF($I134="","状態未設定 ","")&amp;IF(AND(OR($I134="確認済",$I134="未確認"),$B134="月例",OR($C134="",$C134&lt;DATE(年度+2018,4,1),$C134&gt;DATE(年度+2019,3,31))),"年度外の日付 ","")&amp;IF(AND(OR($I134="確認済",$I134="未確認"),O134="対象外"),"対象外の科目 ","")))</f>
        <v/>
      </c>
      <c r="R134" s="366" t="inlineStr">
        <is>
          <t>月例!137</t>
        </is>
      </c>
    </row>
    <row r="135">
      <c r="A135" s="359" t="n">
        <v>131</v>
      </c>
      <c r="B135" s="360" t="inlineStr">
        <is>
          <t>月例</t>
        </is>
      </c>
      <c r="C135" s="361" t="n">
        <v>46210</v>
      </c>
      <c r="D135" s="362" t="inlineStr">
        <is>
          <t>事務費負担金払込金</t>
        </is>
      </c>
      <c r="E135" s="362" t="n"/>
      <c r="F135" s="362" t="inlineStr">
        <is>
          <t>６月分事務費負担金払込金と連合会交付金との相殺</t>
        </is>
      </c>
      <c r="G135" s="363" t="n">
        <v>5366000</v>
      </c>
      <c r="H135" s="360" t="n">
        <v>5</v>
      </c>
      <c r="I135" s="360" t="inlineStr">
        <is>
          <t>確認済</t>
        </is>
      </c>
      <c r="J135" s="364">
        <f>IF($G135="","",IF($H135=1,$G135-ROUND($G135*10/23,0)-2*ROUND($G135/23,0),IF($H135=2,$G135,0)))</f>
        <v>0</v>
      </c>
      <c r="K135" s="364">
        <f>IF($G135="","",IF($H135=1,ROUND($G135*10/23,0),IF($H135=3,$G135-2*ROUND($G135/12,0),IF($H135=4,$G135,IF(OR($H135=5,$H135=7),ROUND($G135*10/11,0),0)))))</f>
        <v>4878182</v>
      </c>
      <c r="L135" s="364">
        <f>IF($G135="","",IF($H135=1,ROUND($G135/23,0),IF($H135=3,ROUND($G135/12,0),IF($H135=5,$G135-ROUND($G135*10/11,0),IF($H135=8,$G135,0)))))</f>
        <v>487818</v>
      </c>
      <c r="M135" s="364">
        <f>IF($G135="","",IF($H135=1,ROUND($G135/23,0),IF($H135=3,ROUND($G135/12,0),IF($H135=6,$G135,IF($H135=7,$G135-ROUND($G135*10/11,0),0)))))</f>
        <v>0</v>
      </c>
      <c r="N135" s="364">
        <f>IF($G135="","",K135+L135+M135)</f>
        <v>5366000</v>
      </c>
      <c r="O135" s="365" t="str">
        <f>IF($G135="","",IFERROR(VLOOKUP($D135&amp;"|"&amp;$E135,科目表!$A$5:$B$200,2,FALSE),"※未登録"))</f>
        <v>事務費負担金払込金</v>
      </c>
      <c r="P135" s="359">
        <f>IF(OR($G135="",$C135=""),"",IF($B135="決算整理",13,MOD(MONTH($C135)-4,12)+1))</f>
        <v>4</v>
      </c>
      <c r="Q135" s="366" t="str">
        <f>IF($G135="","",TRIM(IF(J135+K135+L135+M135&lt;&gt;$G135,"按分不一致 ","")&amp;IF(O135="※未登録","科目未登録 ","")&amp;IF(OR($H135="",ISERROR(MATCH($H135,{1,2,3,4,5,6,7,8},0))),"経費区分? ","")&amp;IF($I135="","状態未設定 ","")&amp;IF(AND(OR($I135="確認済",$I135="未確認"),$B135="月例",OR($C135="",$C135&lt;DATE(年度+2018,4,1),$C135&gt;DATE(年度+2019,3,31))),"年度外の日付 ","")&amp;IF(AND(OR($I135="確認済",$I135="未確認"),O135="対象外"),"対象外の科目 ","")))</f>
        <v/>
      </c>
      <c r="R135" s="366" t="inlineStr">
        <is>
          <t>月例!138</t>
        </is>
      </c>
    </row>
    <row r="136">
      <c r="A136" s="359" t="n">
        <v>132</v>
      </c>
      <c r="B136" s="360" t="inlineStr">
        <is>
          <t>月例</t>
        </is>
      </c>
      <c r="C136" s="361" t="n">
        <v>43290</v>
      </c>
      <c r="D136" s="362" t="inlineStr">
        <is>
          <t>負担金</t>
        </is>
      </c>
      <c r="E136" s="362" t="inlineStr">
        <is>
          <t>会議出席負担金等</t>
        </is>
      </c>
      <c r="F136" s="362" t="inlineStr">
        <is>
          <t>地区別研修会（保健事業）出席負担金</t>
        </is>
      </c>
      <c r="G136" s="363" t="n">
        <v>2000</v>
      </c>
      <c r="H136" s="360" t="n">
        <v>2</v>
      </c>
      <c r="I136" s="360" t="inlineStr">
        <is>
          <t>昨年実績</t>
        </is>
      </c>
      <c r="J136" s="364">
        <f>IF($G136="","",IF($H136=1,$G136-ROUND($G136*10/23,0)-2*ROUND($G136/23,0),IF($H136=2,$G136,0)))</f>
        <v>2000</v>
      </c>
      <c r="K136" s="364">
        <f>IF($G136="","",IF($H136=1,ROUND($G136*10/23,0),IF($H136=3,$G136-2*ROUND($G136/12,0),IF($H136=4,$G136,IF(OR($H136=5,$H136=7),ROUND($G136*10/11,0),0)))))</f>
        <v>0</v>
      </c>
      <c r="L136" s="364">
        <f>IF($G136="","",IF($H136=1,ROUND($G136/23,0),IF($H136=3,ROUND($G136/12,0),IF($H136=5,$G136-ROUND($G136*10/11,0),IF($H136=8,$G136,0)))))</f>
        <v>0</v>
      </c>
      <c r="M136" s="364">
        <f>IF($G136="","",IF($H136=1,ROUND($G136/23,0),IF($H136=3,ROUND($G136/12,0),IF($H136=6,$G136,IF($H136=7,$G136-ROUND($G136*10/11,0),0)))))</f>
        <v>0</v>
      </c>
      <c r="N136" s="364">
        <f>IF($G136="","",K136+L136+M136)</f>
        <v>0</v>
      </c>
      <c r="O136" s="365" t="str">
        <f>IF($G136="","",IFERROR(VLOOKUP($D136&amp;"|"&amp;$E136,科目表!$A$5:$B$200,2,FALSE),"※未登録"))</f>
        <v>会議出席負担金等</v>
      </c>
      <c r="P136" s="359">
        <f>IF(OR($G136="",$C136=""),"",IF($B136="決算整理",13,MOD(MONTH($C136)-4,12)+1))</f>
        <v>4</v>
      </c>
      <c r="Q136" s="366" t="str">
        <f>IF($G136="","",TRIM(IF(J136+K136+L136+M136&lt;&gt;$G136,"按分不一致 ","")&amp;IF(O136="※未登録","科目未登録 ","")&amp;IF(OR($H136="",ISERROR(MATCH($H136,{1,2,3,4,5,6,7,8},0))),"経費区分? ","")&amp;IF($I136="","状態未設定 ","")&amp;IF(AND(OR($I136="確認済",$I136="未確認"),$B136="月例",OR($C136="",$C136&lt;DATE(年度+2018,4,1),$C136&gt;DATE(年度+2019,3,31))),"年度外の日付 ","")&amp;IF(AND(OR($I136="確認済",$I136="未確認"),O136="対象外"),"対象外の科目 ","")))</f>
        <v/>
      </c>
      <c r="R136" s="366" t="inlineStr">
        <is>
          <t>月例!139</t>
        </is>
      </c>
    </row>
    <row r="137">
      <c r="A137" s="359" t="n">
        <v>133</v>
      </c>
      <c r="B137" s="360" t="inlineStr">
        <is>
          <t>月例</t>
        </is>
      </c>
      <c r="C137" s="361" t="n">
        <v>46213</v>
      </c>
      <c r="D137" s="362" t="inlineStr">
        <is>
          <t>事務費</t>
        </is>
      </c>
      <c r="E137" s="362" t="inlineStr">
        <is>
          <t>送金料</t>
        </is>
      </c>
      <c r="F137" s="362" t="inlineStr">
        <is>
          <t>振込手数料（広銀）６月分　長期分</t>
        </is>
      </c>
      <c r="G137" s="363" t="n">
        <v>13965</v>
      </c>
      <c r="H137" s="360" t="n">
        <v>3</v>
      </c>
      <c r="I137" s="360" t="inlineStr">
        <is>
          <t>確認済</t>
        </is>
      </c>
      <c r="J137" s="364">
        <f>IF($G137="","",IF($H137=1,$G137-ROUND($G137*10/23,0)-2*ROUND($G137/23,0),IF($H137=2,$G137,0)))</f>
        <v>0</v>
      </c>
      <c r="K137" s="364">
        <f>IF($G137="","",IF($H137=1,ROUND($G137*10/23,0),IF($H137=3,$G137-2*ROUND($G137/12,0),IF($H137=4,$G137,IF(OR($H137=5,$H137=7),ROUND($G137*10/11,0),0)))))</f>
        <v>11637</v>
      </c>
      <c r="L137" s="364">
        <f>IF($G137="","",IF($H137=1,ROUND($G137/23,0),IF($H137=3,ROUND($G137/12,0),IF($H137=5,$G137-ROUND($G137*10/11,0),IF($H137=8,$G137,0)))))</f>
        <v>1164</v>
      </c>
      <c r="M137" s="364">
        <f>IF($G137="","",IF($H137=1,ROUND($G137/23,0),IF($H137=3,ROUND($G137/12,0),IF($H137=6,$G137,IF($H137=7,$G137-ROUND($G137*10/11,0),0)))))</f>
        <v>1164</v>
      </c>
      <c r="N137" s="364">
        <f>IF($G137="","",K137+L137+M137)</f>
        <v>13965</v>
      </c>
      <c r="O137" s="365" t="str">
        <f>IF($G137="","",IFERROR(VLOOKUP($D137&amp;"|"&amp;$E137,科目表!$A$5:$B$200,2,FALSE),"※未登録"))</f>
        <v>送金料</v>
      </c>
      <c r="P137" s="359">
        <f>IF(OR($G137="",$C137=""),"",IF($B137="決算整理",13,MOD(MONTH($C137)-4,12)+1))</f>
        <v>4</v>
      </c>
      <c r="Q137" s="366" t="str">
        <f>IF($G137="","",TRIM(IF(J137+K137+L137+M137&lt;&gt;$G137,"按分不一致 ","")&amp;IF(O137="※未登録","科目未登録 ","")&amp;IF(OR($H137="",ISERROR(MATCH($H137,{1,2,3,4,5,6,7,8},0))),"経費区分? ","")&amp;IF($I137="","状態未設定 ","")&amp;IF(AND(OR($I137="確認済",$I137="未確認"),$B137="月例",OR($C137="",$C137&lt;DATE(年度+2018,4,1),$C137&gt;DATE(年度+2019,3,31))),"年度外の日付 ","")&amp;IF(AND(OR($I137="確認済",$I137="未確認"),O137="対象外"),"対象外の科目 ","")))</f>
        <v/>
      </c>
      <c r="R137" s="366" t="inlineStr">
        <is>
          <t>月例!140</t>
        </is>
      </c>
    </row>
    <row r="138">
      <c r="A138" s="359" t="n">
        <v>134</v>
      </c>
      <c r="B138" s="360" t="inlineStr">
        <is>
          <t>月例</t>
        </is>
      </c>
      <c r="C138" s="361" t="n">
        <v>46213</v>
      </c>
      <c r="D138" s="362" t="inlineStr">
        <is>
          <t>事務費</t>
        </is>
      </c>
      <c r="E138" s="362" t="inlineStr">
        <is>
          <t>送金料</t>
        </is>
      </c>
      <c r="F138" s="362" t="inlineStr">
        <is>
          <t>振込手数料（広銀）６月分　短期分</t>
        </is>
      </c>
      <c r="G138" s="363" t="n">
        <v>129530</v>
      </c>
      <c r="H138" s="360" t="n">
        <v>2</v>
      </c>
      <c r="I138" s="360" t="inlineStr">
        <is>
          <t>確認済</t>
        </is>
      </c>
      <c r="J138" s="364">
        <f>IF($G138="","",IF($H138=1,$G138-ROUND($G138*10/23,0)-2*ROUND($G138/23,0),IF($H138=2,$G138,0)))</f>
        <v>129530</v>
      </c>
      <c r="K138" s="364">
        <f>IF($G138="","",IF($H138=1,ROUND($G138*10/23,0),IF($H138=3,$G138-2*ROUND($G138/12,0),IF($H138=4,$G138,IF(OR($H138=5,$H138=7),ROUND($G138*10/11,0),0)))))</f>
        <v>0</v>
      </c>
      <c r="L138" s="364">
        <f>IF($G138="","",IF($H138=1,ROUND($G138/23,0),IF($H138=3,ROUND($G138/12,0),IF($H138=5,$G138-ROUND($G138*10/11,0),IF($H138=8,$G138,0)))))</f>
        <v>0</v>
      </c>
      <c r="M138" s="364">
        <f>IF($G138="","",IF($H138=1,ROUND($G138/23,0),IF($H138=3,ROUND($G138/12,0),IF($H138=6,$G138,IF($H138=7,$G138-ROUND($G138*10/11,0),0)))))</f>
        <v>0</v>
      </c>
      <c r="N138" s="364">
        <f>IF($G138="","",K138+L138+M138)</f>
        <v>0</v>
      </c>
      <c r="O138" s="365" t="str">
        <f>IF($G138="","",IFERROR(VLOOKUP($D138&amp;"|"&amp;$E138,科目表!$A$5:$B$200,2,FALSE),"※未登録"))</f>
        <v>送金料</v>
      </c>
      <c r="P138" s="359">
        <f>IF(OR($G138="",$C138=""),"",IF($B138="決算整理",13,MOD(MONTH($C138)-4,12)+1))</f>
        <v>4</v>
      </c>
      <c r="Q138" s="366" t="str">
        <f>IF($G138="","",TRIM(IF(J138+K138+L138+M138&lt;&gt;$G138,"按分不一致 ","")&amp;IF(O138="※未登録","科目未登録 ","")&amp;IF(OR($H138="",ISERROR(MATCH($H138,{1,2,3,4,5,6,7,8},0))),"経費区分? ","")&amp;IF($I138="","状態未設定 ","")&amp;IF(AND(OR($I138="確認済",$I138="未確認"),$B138="月例",OR($C138="",$C138&lt;DATE(年度+2018,4,1),$C138&gt;DATE(年度+2019,3,31))),"年度外の日付 ","")&amp;IF(AND(OR($I138="確認済",$I138="未確認"),O138="対象外"),"対象外の科目 ","")))</f>
        <v/>
      </c>
      <c r="R138" s="366" t="inlineStr">
        <is>
          <t>月例!141</t>
        </is>
      </c>
    </row>
    <row r="139">
      <c r="A139" s="359" t="n">
        <v>135</v>
      </c>
      <c r="B139" s="360" t="inlineStr">
        <is>
          <t>月例</t>
        </is>
      </c>
      <c r="C139" s="361" t="n">
        <v>46188</v>
      </c>
      <c r="D139" s="362" t="inlineStr">
        <is>
          <t>事務費</t>
        </is>
      </c>
      <c r="E139" s="362" t="inlineStr">
        <is>
          <t>事務用消耗品費</t>
        </is>
      </c>
      <c r="F139" s="362" t="inlineStr">
        <is>
          <t>トナーカートリッジ（再生品）ＬＰＢ３Ｔ３４　７個</t>
        </is>
      </c>
      <c r="G139" s="363" t="n">
        <v>53130</v>
      </c>
      <c r="H139" s="360" t="n">
        <v>3</v>
      </c>
      <c r="I139" s="360" t="inlineStr">
        <is>
          <t>確認済</t>
        </is>
      </c>
      <c r="J139" s="364">
        <f>IF($G139="","",IF($H139=1,$G139-ROUND($G139*10/23,0)-2*ROUND($G139/23,0),IF($H139=2,$G139,0)))</f>
        <v>0</v>
      </c>
      <c r="K139" s="364">
        <f>IF($G139="","",IF($H139=1,ROUND($G139*10/23,0),IF($H139=3,$G139-2*ROUND($G139/12,0),IF($H139=4,$G139,IF(OR($H139=5,$H139=7),ROUND($G139*10/11,0),0)))))</f>
        <v>44274</v>
      </c>
      <c r="L139" s="364">
        <f>IF($G139="","",IF($H139=1,ROUND($G139/23,0),IF($H139=3,ROUND($G139/12,0),IF($H139=5,$G139-ROUND($G139*10/11,0),IF($H139=8,$G139,0)))))</f>
        <v>4428</v>
      </c>
      <c r="M139" s="364">
        <f>IF($G139="","",IF($H139=1,ROUND($G139/23,0),IF($H139=3,ROUND($G139/12,0),IF($H139=6,$G139,IF($H139=7,$G139-ROUND($G139*10/11,0),0)))))</f>
        <v>4428</v>
      </c>
      <c r="N139" s="364">
        <f>IF($G139="","",K139+L139+M139)</f>
        <v>53130</v>
      </c>
      <c r="O139" s="365" t="str">
        <f>IF($G139="","",IFERROR(VLOOKUP($D139&amp;"|"&amp;$E139,科目表!$A$5:$B$200,2,FALSE),"※未登録"))</f>
        <v>事務用消耗品費</v>
      </c>
      <c r="P139" s="359">
        <f>IF(OR($G139="",$C139=""),"",IF($B139="決算整理",13,MOD(MONTH($C139)-4,12)+1))</f>
        <v>3</v>
      </c>
      <c r="Q139" s="366" t="str">
        <f>IF($G139="","",TRIM(IF(J139+K139+L139+M139&lt;&gt;$G139,"按分不一致 ","")&amp;IF(O139="※未登録","科目未登録 ","")&amp;IF(OR($H139="",ISERROR(MATCH($H139,{1,2,3,4,5,6,7,8},0))),"経費区分? ","")&amp;IF($I139="","状態未設定 ","")&amp;IF(AND(OR($I139="確認済",$I139="未確認"),$B139="月例",OR($C139="",$C139&lt;DATE(年度+2018,4,1),$C139&gt;DATE(年度+2019,3,31))),"年度外の日付 ","")&amp;IF(AND(OR($I139="確認済",$I139="未確認"),O139="対象外"),"対象外の科目 ","")))</f>
        <v/>
      </c>
      <c r="R139" s="366" t="inlineStr">
        <is>
          <t>月例!142</t>
        </is>
      </c>
    </row>
    <row r="140">
      <c r="A140" s="359" t="n">
        <v>136</v>
      </c>
      <c r="B140" s="360" t="inlineStr">
        <is>
          <t>月例</t>
        </is>
      </c>
      <c r="C140" s="361" t="n">
        <v>46232</v>
      </c>
      <c r="D140" s="362" t="inlineStr">
        <is>
          <t>賃借料</t>
        </is>
      </c>
      <c r="E140" s="362" t="n"/>
      <c r="F140" s="362" t="inlineStr">
        <is>
          <t>基幹システム用機器賃借料　6月分（短期）</t>
        </is>
      </c>
      <c r="G140" s="363" t="n">
        <v>672934</v>
      </c>
      <c r="H140" s="360" t="n">
        <v>2</v>
      </c>
      <c r="I140" s="360" t="inlineStr">
        <is>
          <t>確認済</t>
        </is>
      </c>
      <c r="J140" s="364">
        <f>IF($G140="","",IF($H140=1,$G140-ROUND($G140*10/23,0)-2*ROUND($G140/23,0),IF($H140=2,$G140,0)))</f>
        <v>672934</v>
      </c>
      <c r="K140" s="364">
        <f>IF($G140="","",IF($H140=1,ROUND($G140*10/23,0),IF($H140=3,$G140-2*ROUND($G140/12,0),IF($H140=4,$G140,IF(OR($H140=5,$H140=7),ROUND($G140*10/11,0),0)))))</f>
        <v>0</v>
      </c>
      <c r="L140" s="364">
        <f>IF($G140="","",IF($H140=1,ROUND($G140/23,0),IF($H140=3,ROUND($G140/12,0),IF($H140=5,$G140-ROUND($G140*10/11,0),IF($H140=8,$G140,0)))))</f>
        <v>0</v>
      </c>
      <c r="M140" s="364">
        <f>IF($G140="","",IF($H140=1,ROUND($G140/23,0),IF($H140=3,ROUND($G140/12,0),IF($H140=6,$G140,IF($H140=7,$G140-ROUND($G140*10/11,0),0)))))</f>
        <v>0</v>
      </c>
      <c r="N140" s="364">
        <f>IF($G140="","",K140+L140+M140)</f>
        <v>0</v>
      </c>
      <c r="O140" s="365" t="str">
        <f>IF($G140="","",IFERROR(VLOOKUP($D140&amp;"|"&amp;$E140,科目表!$A$5:$B$200,2,FALSE),"※未登録"))</f>
        <v>賃借料</v>
      </c>
      <c r="P140" s="359">
        <f>IF(OR($G140="",$C140=""),"",IF($B140="決算整理",13,MOD(MONTH($C140)-4,12)+1))</f>
        <v>4</v>
      </c>
      <c r="Q140" s="366" t="str">
        <f>IF($G140="","",TRIM(IF(J140+K140+L140+M140&lt;&gt;$G140,"按分不一致 ","")&amp;IF(O140="※未登録","科目未登録 ","")&amp;IF(OR($H140="",ISERROR(MATCH($H140,{1,2,3,4,5,6,7,8},0))),"経費区分? ","")&amp;IF($I140="","状態未設定 ","")&amp;IF(AND(OR($I140="確認済",$I140="未確認"),$B140="月例",OR($C140="",$C140&lt;DATE(年度+2018,4,1),$C140&gt;DATE(年度+2019,3,31))),"年度外の日付 ","")&amp;IF(AND(OR($I140="確認済",$I140="未確認"),O140="対象外"),"対象外の科目 ","")))</f>
        <v/>
      </c>
      <c r="R140" s="366" t="inlineStr">
        <is>
          <t>月例!143</t>
        </is>
      </c>
    </row>
    <row r="141">
      <c r="A141" s="359" t="n">
        <v>137</v>
      </c>
      <c r="B141" s="360" t="inlineStr">
        <is>
          <t>月例</t>
        </is>
      </c>
      <c r="C141" s="361" t="n">
        <v>45033</v>
      </c>
      <c r="D141" s="362" t="inlineStr">
        <is>
          <t>事務費</t>
        </is>
      </c>
      <c r="E141" s="362" t="inlineStr">
        <is>
          <t>通信運搬費</t>
        </is>
      </c>
      <c r="F141" s="362" t="inlineStr">
        <is>
          <t>切手</t>
        </is>
      </c>
      <c r="G141" s="363" t="n">
        <v>479000</v>
      </c>
      <c r="H141" s="360" t="n">
        <v>2</v>
      </c>
      <c r="I141" s="360" t="inlineStr">
        <is>
          <t>昨年実績</t>
        </is>
      </c>
      <c r="J141" s="364">
        <f>IF($G141="","",IF($H141=1,$G141-ROUND($G141*10/23,0)-2*ROUND($G141/23,0),IF($H141=2,$G141,0)))</f>
        <v>479000</v>
      </c>
      <c r="K141" s="364">
        <f>IF($G141="","",IF($H141=1,ROUND($G141*10/23,0),IF($H141=3,$G141-2*ROUND($G141/12,0),IF($H141=4,$G141,IF(OR($H141=5,$H141=7),ROUND($G141*10/11,0),0)))))</f>
        <v>0</v>
      </c>
      <c r="L141" s="364">
        <f>IF($G141="","",IF($H141=1,ROUND($G141/23,0),IF($H141=3,ROUND($G141/12,0),IF($H141=5,$G141-ROUND($G141*10/11,0),IF($H141=8,$G141,0)))))</f>
        <v>0</v>
      </c>
      <c r="M141" s="364">
        <f>IF($G141="","",IF($H141=1,ROUND($G141/23,0),IF($H141=3,ROUND($G141/12,0),IF($H141=6,$G141,IF($H141=7,$G141-ROUND($G141*10/11,0),0)))))</f>
        <v>0</v>
      </c>
      <c r="N141" s="364">
        <f>IF($G141="","",K141+L141+M141)</f>
        <v>0</v>
      </c>
      <c r="O141" s="365" t="str">
        <f>IF($G141="","",IFERROR(VLOOKUP($D141&amp;"|"&amp;$E141,科目表!$A$5:$B$200,2,FALSE),"※未登録"))</f>
        <v>通信運搬費</v>
      </c>
      <c r="P141" s="359">
        <f>IF(OR($G141="",$C141=""),"",IF($B141="決算整理",13,MOD(MONTH($C141)-4,12)+1))</f>
        <v>1</v>
      </c>
      <c r="Q141" s="366" t="str">
        <f>IF($G141="","",TRIM(IF(J141+K141+L141+M141&lt;&gt;$G141,"按分不一致 ","")&amp;IF(O141="※未登録","科目未登録 ","")&amp;IF(OR($H141="",ISERROR(MATCH($H141,{1,2,3,4,5,6,7,8},0))),"経費区分? ","")&amp;IF($I141="","状態未設定 ","")&amp;IF(AND(OR($I141="確認済",$I141="未確認"),$B141="月例",OR($C141="",$C141&lt;DATE(年度+2018,4,1),$C141&gt;DATE(年度+2019,3,31))),"年度外の日付 ","")&amp;IF(AND(OR($I141="確認済",$I141="未確認"),O141="対象外"),"対象外の科目 ","")))</f>
        <v/>
      </c>
      <c r="R141" s="366" t="inlineStr">
        <is>
          <t>月例!144</t>
        </is>
      </c>
    </row>
    <row r="142">
      <c r="A142" s="359" t="n">
        <v>138</v>
      </c>
      <c r="B142" s="360" t="inlineStr">
        <is>
          <t>月例</t>
        </is>
      </c>
      <c r="C142" s="361" t="n">
        <v>46232</v>
      </c>
      <c r="D142" s="362" t="inlineStr">
        <is>
          <t>賃借料</t>
        </is>
      </c>
      <c r="E142" s="362" t="n"/>
      <c r="F142" s="362" t="inlineStr">
        <is>
          <t>基幹システム用機器賃借料　6月分（長期）</t>
        </is>
      </c>
      <c r="G142" s="363" t="n">
        <v>69613</v>
      </c>
      <c r="H142" s="360" t="n">
        <v>3</v>
      </c>
      <c r="I142" s="360" t="inlineStr">
        <is>
          <t>確認済</t>
        </is>
      </c>
      <c r="J142" s="364">
        <f>IF($G142="","",IF($H142=1,$G142-ROUND($G142*10/23,0)-2*ROUND($G142/23,0),IF($H142=2,$G142,0)))</f>
        <v>0</v>
      </c>
      <c r="K142" s="364">
        <f>IF($G142="","",IF($H142=1,ROUND($G142*10/23,0),IF($H142=3,$G142-2*ROUND($G142/12,0),IF($H142=4,$G142,IF(OR($H142=5,$H142=7),ROUND($G142*10/11,0),0)))))</f>
        <v>58011</v>
      </c>
      <c r="L142" s="364">
        <f>IF($G142="","",IF($H142=1,ROUND($G142/23,0),IF($H142=3,ROUND($G142/12,0),IF($H142=5,$G142-ROUND($G142*10/11,0),IF($H142=8,$G142,0)))))</f>
        <v>5801</v>
      </c>
      <c r="M142" s="364">
        <f>IF($G142="","",IF($H142=1,ROUND($G142/23,0),IF($H142=3,ROUND($G142/12,0),IF($H142=6,$G142,IF($H142=7,$G142-ROUND($G142*10/11,0),0)))))</f>
        <v>5801</v>
      </c>
      <c r="N142" s="364">
        <f>IF($G142="","",K142+L142+M142)</f>
        <v>69613</v>
      </c>
      <c r="O142" s="365" t="str">
        <f>IF($G142="","",IFERROR(VLOOKUP($D142&amp;"|"&amp;$E142,科目表!$A$5:$B$200,2,FALSE),"※未登録"))</f>
        <v>賃借料</v>
      </c>
      <c r="P142" s="359">
        <f>IF(OR($G142="",$C142=""),"",IF($B142="決算整理",13,MOD(MONTH($C142)-4,12)+1))</f>
        <v>4</v>
      </c>
      <c r="Q142" s="366" t="str">
        <f>IF($G142="","",TRIM(IF(J142+K142+L142+M142&lt;&gt;$G142,"按分不一致 ","")&amp;IF(O142="※未登録","科目未登録 ","")&amp;IF(OR($H142="",ISERROR(MATCH($H142,{1,2,3,4,5,6,7,8},0))),"経費区分? ","")&amp;IF($I142="","状態未設定 ","")&amp;IF(AND(OR($I142="確認済",$I142="未確認"),$B142="月例",OR($C142="",$C142&lt;DATE(年度+2018,4,1),$C142&gt;DATE(年度+2019,3,31))),"年度外の日付 ","")&amp;IF(AND(OR($I142="確認済",$I142="未確認"),O142="対象外"),"対象外の科目 ","")))</f>
        <v/>
      </c>
      <c r="R142" s="366" t="inlineStr">
        <is>
          <t>月例!145</t>
        </is>
      </c>
    </row>
    <row r="143">
      <c r="A143" s="359" t="n">
        <v>139</v>
      </c>
      <c r="B143" s="360" t="inlineStr">
        <is>
          <t>月例</t>
        </is>
      </c>
      <c r="C143" s="361" t="n">
        <v>46262</v>
      </c>
      <c r="D143" s="362" t="inlineStr">
        <is>
          <t>委託費</t>
        </is>
      </c>
      <c r="E143" s="362" t="n"/>
      <c r="F143" s="362" t="inlineStr">
        <is>
          <t>「年金だより」封入封緘業務</t>
        </is>
      </c>
      <c r="G143" s="363" t="n">
        <v>119004</v>
      </c>
      <c r="H143" s="360" t="n">
        <v>3</v>
      </c>
      <c r="I143" s="360" t="inlineStr">
        <is>
          <t>確認済</t>
        </is>
      </c>
      <c r="J143" s="364">
        <f>IF($G143="","",IF($H143=1,$G143-ROUND($G143*10/23,0)-2*ROUND($G143/23,0),IF($H143=2,$G143,0)))</f>
        <v>0</v>
      </c>
      <c r="K143" s="364">
        <f>IF($G143="","",IF($H143=1,ROUND($G143*10/23,0),IF($H143=3,$G143-2*ROUND($G143/12,0),IF($H143=4,$G143,IF(OR($H143=5,$H143=7),ROUND($G143*10/11,0),0)))))</f>
        <v>99170</v>
      </c>
      <c r="L143" s="364">
        <f>IF($G143="","",IF($H143=1,ROUND($G143/23,0),IF($H143=3,ROUND($G143/12,0),IF($H143=5,$G143-ROUND($G143*10/11,0),IF($H143=8,$G143,0)))))</f>
        <v>9917</v>
      </c>
      <c r="M143" s="364">
        <f>IF($G143="","",IF($H143=1,ROUND($G143/23,0),IF($H143=3,ROUND($G143/12,0),IF($H143=6,$G143,IF($H143=7,$G143-ROUND($G143*10/11,0),0)))))</f>
        <v>9917</v>
      </c>
      <c r="N143" s="364">
        <f>IF($G143="","",K143+L143+M143)</f>
        <v>119004</v>
      </c>
      <c r="O143" s="365" t="str">
        <f>IF($G143="","",IFERROR(VLOOKUP($D143&amp;"|"&amp;$E143,科目表!$A$5:$B$200,2,FALSE),"※未登録"))</f>
        <v>委託費</v>
      </c>
      <c r="P143" s="359">
        <f>IF(OR($G143="",$C143=""),"",IF($B143="決算整理",13,MOD(MONTH($C143)-4,12)+1))</f>
        <v>5</v>
      </c>
      <c r="Q143" s="366" t="str">
        <f>IF($G143="","",TRIM(IF(J143+K143+L143+M143&lt;&gt;$G143,"按分不一致 ","")&amp;IF(O143="※未登録","科目未登録 ","")&amp;IF(OR($H143="",ISERROR(MATCH($H143,{1,2,3,4,5,6,7,8},0))),"経費区分? ","")&amp;IF($I143="","状態未設定 ","")&amp;IF(AND(OR($I143="確認済",$I143="未確認"),$B143="月例",OR($C143="",$C143&lt;DATE(年度+2018,4,1),$C143&gt;DATE(年度+2019,3,31))),"年度外の日付 ","")&amp;IF(AND(OR($I143="確認済",$I143="未確認"),O143="対象外"),"対象外の科目 ","")))</f>
        <v/>
      </c>
      <c r="R143" s="366" t="inlineStr">
        <is>
          <t>月例!146</t>
        </is>
      </c>
    </row>
    <row r="144">
      <c r="A144" s="359" t="n">
        <v>140</v>
      </c>
      <c r="B144" s="360" t="inlineStr">
        <is>
          <t>月例</t>
        </is>
      </c>
      <c r="C144" s="361" t="n">
        <v>46262</v>
      </c>
      <c r="D144" s="362" t="inlineStr">
        <is>
          <t>委託費</t>
        </is>
      </c>
      <c r="E144" s="362" t="n"/>
      <c r="F144" s="362" t="inlineStr">
        <is>
          <t>ねんきん定期便（６月分）送付業務</t>
        </is>
      </c>
      <c r="G144" s="363" t="n">
        <v>84715</v>
      </c>
      <c r="H144" s="360" t="n">
        <v>5</v>
      </c>
      <c r="I144" s="360" t="inlineStr">
        <is>
          <t>確認済</t>
        </is>
      </c>
      <c r="J144" s="364">
        <f>IF($G144="","",IF($H144=1,$G144-ROUND($G144*10/23,0)-2*ROUND($G144/23,0),IF($H144=2,$G144,0)))</f>
        <v>0</v>
      </c>
      <c r="K144" s="364">
        <f>IF($G144="","",IF($H144=1,ROUND($G144*10/23,0),IF($H144=3,$G144-2*ROUND($G144/12,0),IF($H144=4,$G144,IF(OR($H144=5,$H144=7),ROUND($G144*10/11,0),0)))))</f>
        <v>77014</v>
      </c>
      <c r="L144" s="364">
        <f>IF($G144="","",IF($H144=1,ROUND($G144/23,0),IF($H144=3,ROUND($G144/12,0),IF($H144=5,$G144-ROUND($G144*10/11,0),IF($H144=8,$G144,0)))))</f>
        <v>7701</v>
      </c>
      <c r="M144" s="364">
        <f>IF($G144="","",IF($H144=1,ROUND($G144/23,0),IF($H144=3,ROUND($G144/12,0),IF($H144=6,$G144,IF($H144=7,$G144-ROUND($G144*10/11,0),0)))))</f>
        <v>0</v>
      </c>
      <c r="N144" s="364">
        <f>IF($G144="","",K144+L144+M144)</f>
        <v>84715</v>
      </c>
      <c r="O144" s="365" t="str">
        <f>IF($G144="","",IFERROR(VLOOKUP($D144&amp;"|"&amp;$E144,科目表!$A$5:$B$200,2,FALSE),"※未登録"))</f>
        <v>委託費</v>
      </c>
      <c r="P144" s="359">
        <f>IF(OR($G144="",$C144=""),"",IF($B144="決算整理",13,MOD(MONTH($C144)-4,12)+1))</f>
        <v>5</v>
      </c>
      <c r="Q144" s="366" t="str">
        <f>IF($G144="","",TRIM(IF(J144+K144+L144+M144&lt;&gt;$G144,"按分不一致 ","")&amp;IF(O144="※未登録","科目未登録 ","")&amp;IF(OR($H144="",ISERROR(MATCH($H144,{1,2,3,4,5,6,7,8},0))),"経費区分? ","")&amp;IF($I144="","状態未設定 ","")&amp;IF(AND(OR($I144="確認済",$I144="未確認"),$B144="月例",OR($C144="",$C144&lt;DATE(年度+2018,4,1),$C144&gt;DATE(年度+2019,3,31))),"年度外の日付 ","")&amp;IF(AND(OR($I144="確認済",$I144="未確認"),O144="対象外"),"対象外の科目 ","")))</f>
        <v/>
      </c>
      <c r="R144" s="366" t="inlineStr">
        <is>
          <t>月例!147</t>
        </is>
      </c>
    </row>
    <row r="145">
      <c r="A145" s="359" t="n">
        <v>141</v>
      </c>
      <c r="B145" s="360" t="inlineStr">
        <is>
          <t>月例</t>
        </is>
      </c>
      <c r="C145" s="361" t="n">
        <v>46232</v>
      </c>
      <c r="D145" s="362" t="inlineStr">
        <is>
          <t>賃借料</t>
        </is>
      </c>
      <c r="E145" s="362" t="n"/>
      <c r="F145" s="362" t="inlineStr">
        <is>
          <t>パソコン（業務経理用）６月分</t>
        </is>
      </c>
      <c r="G145" s="363" t="n">
        <v>5060</v>
      </c>
      <c r="H145" s="360" t="n">
        <v>2</v>
      </c>
      <c r="I145" s="360" t="inlineStr">
        <is>
          <t>確認済</t>
        </is>
      </c>
      <c r="J145" s="364">
        <f>IF($G145="","",IF($H145=1,$G145-ROUND($G145*10/23,0)-2*ROUND($G145/23,0),IF($H145=2,$G145,0)))</f>
        <v>5060</v>
      </c>
      <c r="K145" s="364">
        <f>IF($G145="","",IF($H145=1,ROUND($G145*10/23,0),IF($H145=3,$G145-2*ROUND($G145/12,0),IF($H145=4,$G145,IF(OR($H145=5,$H145=7),ROUND($G145*10/11,0),0)))))</f>
        <v>0</v>
      </c>
      <c r="L145" s="364">
        <f>IF($G145="","",IF($H145=1,ROUND($G145/23,0),IF($H145=3,ROUND($G145/12,0),IF($H145=5,$G145-ROUND($G145*10/11,0),IF($H145=8,$G145,0)))))</f>
        <v>0</v>
      </c>
      <c r="M145" s="364">
        <f>IF($G145="","",IF($H145=1,ROUND($G145/23,0),IF($H145=3,ROUND($G145/12,0),IF($H145=6,$G145,IF($H145=7,$G145-ROUND($G145*10/11,0),0)))))</f>
        <v>0</v>
      </c>
      <c r="N145" s="364">
        <f>IF($G145="","",K145+L145+M145)</f>
        <v>0</v>
      </c>
      <c r="O145" s="365" t="str">
        <f>IF($G145="","",IFERROR(VLOOKUP($D145&amp;"|"&amp;$E145,科目表!$A$5:$B$200,2,FALSE),"※未登録"))</f>
        <v>賃借料</v>
      </c>
      <c r="P145" s="359">
        <f>IF(OR($G145="",$C145=""),"",IF($B145="決算整理",13,MOD(MONTH($C145)-4,12)+1))</f>
        <v>4</v>
      </c>
      <c r="Q145" s="366" t="str">
        <f>IF($G145="","",TRIM(IF(J145+K145+L145+M145&lt;&gt;$G145,"按分不一致 ","")&amp;IF(O145="※未登録","科目未登録 ","")&amp;IF(OR($H145="",ISERROR(MATCH($H145,{1,2,3,4,5,6,7,8},0))),"経費区分? ","")&amp;IF($I145="","状態未設定 ","")&amp;IF(AND(OR($I145="確認済",$I145="未確認"),$B145="月例",OR($C145="",$C145&lt;DATE(年度+2018,4,1),$C145&gt;DATE(年度+2019,3,31))),"年度外の日付 ","")&amp;IF(AND(OR($I145="確認済",$I145="未確認"),O145="対象外"),"対象外の科目 ","")))</f>
        <v/>
      </c>
      <c r="R145" s="366" t="inlineStr">
        <is>
          <t>月例!148</t>
        </is>
      </c>
    </row>
    <row r="146">
      <c r="A146" s="359" t="n">
        <v>142</v>
      </c>
      <c r="B146" s="360" t="inlineStr">
        <is>
          <t>月例</t>
        </is>
      </c>
      <c r="C146" s="361" t="n">
        <v>46226</v>
      </c>
      <c r="D146" s="362" t="inlineStr">
        <is>
          <t>事務費</t>
        </is>
      </c>
      <c r="E146" s="362" t="inlineStr">
        <is>
          <t>通信運搬費</t>
        </is>
      </c>
      <c r="F146" s="362" t="inlineStr">
        <is>
          <t>切手等</t>
        </is>
      </c>
      <c r="G146" s="363" t="n">
        <v>299000</v>
      </c>
      <c r="H146" s="360" t="n">
        <v>3</v>
      </c>
      <c r="I146" s="360" t="inlineStr">
        <is>
          <t>確認済</t>
        </is>
      </c>
      <c r="J146" s="364">
        <f>IF($G146="","",IF($H146=1,$G146-ROUND($G146*10/23,0)-2*ROUND($G146/23,0),IF($H146=2,$G146,0)))</f>
        <v>0</v>
      </c>
      <c r="K146" s="364">
        <f>IF($G146="","",IF($H146=1,ROUND($G146*10/23,0),IF($H146=3,$G146-2*ROUND($G146/12,0),IF($H146=4,$G146,IF(OR($H146=5,$H146=7),ROUND($G146*10/11,0),0)))))</f>
        <v>249166</v>
      </c>
      <c r="L146" s="364">
        <f>IF($G146="","",IF($H146=1,ROUND($G146/23,0),IF($H146=3,ROUND($G146/12,0),IF($H146=5,$G146-ROUND($G146*10/11,0),IF($H146=8,$G146,0)))))</f>
        <v>24917</v>
      </c>
      <c r="M146" s="364">
        <f>IF($G146="","",IF($H146=1,ROUND($G146/23,0),IF($H146=3,ROUND($G146/12,0),IF($H146=6,$G146,IF($H146=7,$G146-ROUND($G146*10/11,0),0)))))</f>
        <v>24917</v>
      </c>
      <c r="N146" s="364">
        <f>IF($G146="","",K146+L146+M146)</f>
        <v>299000</v>
      </c>
      <c r="O146" s="365" t="str">
        <f>IF($G146="","",IFERROR(VLOOKUP($D146&amp;"|"&amp;$E146,科目表!$A$5:$B$200,2,FALSE),"※未登録"))</f>
        <v>通信運搬費</v>
      </c>
      <c r="P146" s="359">
        <f>IF(OR($G146="",$C146=""),"",IF($B146="決算整理",13,MOD(MONTH($C146)-4,12)+1))</f>
        <v>4</v>
      </c>
      <c r="Q146" s="366" t="str">
        <f>IF($G146="","",TRIM(IF(J146+K146+L146+M146&lt;&gt;$G146,"按分不一致 ","")&amp;IF(O146="※未登録","科目未登録 ","")&amp;IF(OR($H146="",ISERROR(MATCH($H146,{1,2,3,4,5,6,7,8},0))),"経費区分? ","")&amp;IF($I146="","状態未設定 ","")&amp;IF(AND(OR($I146="確認済",$I146="未確認"),$B146="月例",OR($C146="",$C146&lt;DATE(年度+2018,4,1),$C146&gt;DATE(年度+2019,3,31))),"年度外の日付 ","")&amp;IF(AND(OR($I146="確認済",$I146="未確認"),O146="対象外"),"対象外の科目 ","")))</f>
        <v/>
      </c>
      <c r="R146" s="366" t="inlineStr">
        <is>
          <t>月例!149</t>
        </is>
      </c>
    </row>
    <row r="147">
      <c r="A147" s="359" t="n">
        <v>143</v>
      </c>
      <c r="B147" s="360" t="inlineStr">
        <is>
          <t>月例</t>
        </is>
      </c>
      <c r="C147" s="361" t="n">
        <v>46218</v>
      </c>
      <c r="D147" s="362" t="inlineStr">
        <is>
          <t>賃金</t>
        </is>
      </c>
      <c r="E147" s="362" t="n"/>
      <c r="F147" s="362" t="inlineStr">
        <is>
          <t>臨時職員賃金６月分　天畠吏梨外１名分（短期１００％）</t>
        </is>
      </c>
      <c r="G147" s="363" t="n">
        <v>446160</v>
      </c>
      <c r="H147" s="360" t="n">
        <v>2</v>
      </c>
      <c r="I147" s="360" t="inlineStr">
        <is>
          <t>確認済</t>
        </is>
      </c>
      <c r="J147" s="364">
        <f>IF($G147="","",IF($H147=1,$G147-ROUND($G147*10/23,0)-2*ROUND($G147/23,0),IF($H147=2,$G147,0)))</f>
        <v>446160</v>
      </c>
      <c r="K147" s="364">
        <f>IF($G147="","",IF($H147=1,ROUND($G147*10/23,0),IF($H147=3,$G147-2*ROUND($G147/12,0),IF($H147=4,$G147,IF(OR($H147=5,$H147=7),ROUND($G147*10/11,0),0)))))</f>
        <v>0</v>
      </c>
      <c r="L147" s="364">
        <f>IF($G147="","",IF($H147=1,ROUND($G147/23,0),IF($H147=3,ROUND($G147/12,0),IF($H147=5,$G147-ROUND($G147*10/11,0),IF($H147=8,$G147,0)))))</f>
        <v>0</v>
      </c>
      <c r="M147" s="364">
        <f>IF($G147="","",IF($H147=1,ROUND($G147/23,0),IF($H147=3,ROUND($G147/12,0),IF($H147=6,$G147,IF($H147=7,$G147-ROUND($G147*10/11,0),0)))))</f>
        <v>0</v>
      </c>
      <c r="N147" s="364">
        <f>IF($G147="","",K147+L147+M147)</f>
        <v>0</v>
      </c>
      <c r="O147" s="365" t="str">
        <f>IF($G147="","",IFERROR(VLOOKUP($D147&amp;"|"&amp;$E147,科目表!$A$5:$B$200,2,FALSE),"※未登録"))</f>
        <v>賃金</v>
      </c>
      <c r="P147" s="359">
        <f>IF(OR($G147="",$C147=""),"",IF($B147="決算整理",13,MOD(MONTH($C147)-4,12)+1))</f>
        <v>4</v>
      </c>
      <c r="Q147" s="366" t="str">
        <f>IF($G147="","",TRIM(IF(J147+K147+L147+M147&lt;&gt;$G147,"按分不一致 ","")&amp;IF(O147="※未登録","科目未登録 ","")&amp;IF(OR($H147="",ISERROR(MATCH($H147,{1,2,3,4,5,6,7,8},0))),"経費区分? ","")&amp;IF($I147="","状態未設定 ","")&amp;IF(AND(OR($I147="確認済",$I147="未確認"),$B147="月例",OR($C147="",$C147&lt;DATE(年度+2018,4,1),$C147&gt;DATE(年度+2019,3,31))),"年度外の日付 ","")&amp;IF(AND(OR($I147="確認済",$I147="未確認"),O147="対象外"),"対象外の科目 ","")))</f>
        <v/>
      </c>
      <c r="R147" s="366" t="inlineStr">
        <is>
          <t>月例!150</t>
        </is>
      </c>
    </row>
    <row r="148">
      <c r="A148" s="359" t="n">
        <v>144</v>
      </c>
      <c r="B148" s="360" t="inlineStr">
        <is>
          <t>月例</t>
        </is>
      </c>
      <c r="C148" s="361" t="n">
        <v>46259</v>
      </c>
      <c r="D148" s="362" t="inlineStr">
        <is>
          <t>委託費</t>
        </is>
      </c>
      <c r="E148" s="362" t="n"/>
      <c r="F148" s="362" t="inlineStr">
        <is>
          <t>給付算定基礎額残高通知書の発送</t>
        </is>
      </c>
      <c r="G148" s="363" t="n">
        <v>951706</v>
      </c>
      <c r="H148" s="360" t="n">
        <v>6</v>
      </c>
      <c r="I148" s="360" t="inlineStr">
        <is>
          <t>確認済</t>
        </is>
      </c>
      <c r="J148" s="364">
        <f>IF($G148="","",IF($H148=1,$G148-ROUND($G148*10/23,0)-2*ROUND($G148/23,0),IF($H148=2,$G148,0)))</f>
        <v>0</v>
      </c>
      <c r="K148" s="364">
        <f>IF($G148="","",IF($H148=1,ROUND($G148*10/23,0),IF($H148=3,$G148-2*ROUND($G148/12,0),IF($H148=4,$G148,IF(OR($H148=5,$H148=7),ROUND($G148*10/11,0),0)))))</f>
        <v>0</v>
      </c>
      <c r="L148" s="364">
        <f>IF($G148="","",IF($H148=1,ROUND($G148/23,0),IF($H148=3,ROUND($G148/12,0),IF($H148=5,$G148-ROUND($G148*10/11,0),IF($H148=8,$G148,0)))))</f>
        <v>0</v>
      </c>
      <c r="M148" s="364">
        <f>IF($G148="","",IF($H148=1,ROUND($G148/23,0),IF($H148=3,ROUND($G148/12,0),IF($H148=6,$G148,IF($H148=7,$G148-ROUND($G148*10/11,0),0)))))</f>
        <v>951706</v>
      </c>
      <c r="N148" s="364">
        <f>IF($G148="","",K148+L148+M148)</f>
        <v>951706</v>
      </c>
      <c r="O148" s="365" t="str">
        <f>IF($G148="","",IFERROR(VLOOKUP($D148&amp;"|"&amp;$E148,科目表!$A$5:$B$200,2,FALSE),"※未登録"))</f>
        <v>委託費</v>
      </c>
      <c r="P148" s="359">
        <f>IF(OR($G148="",$C148=""),"",IF($B148="決算整理",13,MOD(MONTH($C148)-4,12)+1))</f>
        <v>5</v>
      </c>
      <c r="Q148" s="366" t="str">
        <f>IF($G148="","",TRIM(IF(J148+K148+L148+M148&lt;&gt;$G148,"按分不一致 ","")&amp;IF(O148="※未登録","科目未登録 ","")&amp;IF(OR($H148="",ISERROR(MATCH($H148,{1,2,3,4,5,6,7,8},0))),"経費区分? ","")&amp;IF($I148="","状態未設定 ","")&amp;IF(AND(OR($I148="確認済",$I148="未確認"),$B148="月例",OR($C148="",$C148&lt;DATE(年度+2018,4,1),$C148&gt;DATE(年度+2019,3,31))),"年度外の日付 ","")&amp;IF(AND(OR($I148="確認済",$I148="未確認"),O148="対象外"),"対象外の科目 ","")))</f>
        <v/>
      </c>
      <c r="R148" s="366" t="inlineStr">
        <is>
          <t>月例!151</t>
        </is>
      </c>
    </row>
    <row r="149">
      <c r="A149" s="359" t="n">
        <v>145</v>
      </c>
      <c r="B149" s="360" t="inlineStr">
        <is>
          <t>月例</t>
        </is>
      </c>
      <c r="C149" s="361" t="n">
        <v>43706</v>
      </c>
      <c r="D149" s="362" t="inlineStr">
        <is>
          <t>旅費</t>
        </is>
      </c>
      <c r="E149" s="362" t="n"/>
      <c r="F149" s="362" t="inlineStr">
        <is>
          <t>9/2・3　長期給付事務専門研修会及び年金事務説明会　特別区　石井主幹</t>
        </is>
      </c>
      <c r="G149" s="363" t="n">
        <v>50720</v>
      </c>
      <c r="H149" s="360" t="n">
        <v>3</v>
      </c>
      <c r="I149" s="360" t="inlineStr">
        <is>
          <t>昨年実績</t>
        </is>
      </c>
      <c r="J149" s="364">
        <f>IF($G149="","",IF($H149=1,$G149-ROUND($G149*10/23,0)-2*ROUND($G149/23,0),IF($H149=2,$G149,0)))</f>
        <v>0</v>
      </c>
      <c r="K149" s="364">
        <f>IF($G149="","",IF($H149=1,ROUND($G149*10/23,0),IF($H149=3,$G149-2*ROUND($G149/12,0),IF($H149=4,$G149,IF(OR($H149=5,$H149=7),ROUND($G149*10/11,0),0)))))</f>
        <v>42266</v>
      </c>
      <c r="L149" s="364">
        <f>IF($G149="","",IF($H149=1,ROUND($G149/23,0),IF($H149=3,ROUND($G149/12,0),IF($H149=5,$G149-ROUND($G149*10/11,0),IF($H149=8,$G149,0)))))</f>
        <v>4227</v>
      </c>
      <c r="M149" s="364">
        <f>IF($G149="","",IF($H149=1,ROUND($G149/23,0),IF($H149=3,ROUND($G149/12,0),IF($H149=6,$G149,IF($H149=7,$G149-ROUND($G149*10/11,0),0)))))</f>
        <v>4227</v>
      </c>
      <c r="N149" s="364">
        <f>IF($G149="","",K149+L149+M149)</f>
        <v>50720</v>
      </c>
      <c r="O149" s="365" t="str">
        <f>IF($G149="","",IFERROR(VLOOKUP($D149&amp;"|"&amp;$E149,科目表!$A$5:$B$200,2,FALSE),"※未登録"))</f>
        <v>旅費</v>
      </c>
      <c r="P149" s="359">
        <f>IF(OR($G149="",$C149=""),"",IF($B149="決算整理",13,MOD(MONTH($C149)-4,12)+1))</f>
        <v>5</v>
      </c>
      <c r="Q149" s="366" t="str">
        <f>IF($G149="","",TRIM(IF(J149+K149+L149+M149&lt;&gt;$G149,"按分不一致 ","")&amp;IF(O149="※未登録","科目未登録 ","")&amp;IF(OR($H149="",ISERROR(MATCH($H149,{1,2,3,4,5,6,7,8},0))),"経費区分? ","")&amp;IF($I149="","状態未設定 ","")&amp;IF(AND(OR($I149="確認済",$I149="未確認"),$B149="月例",OR($C149="",$C149&lt;DATE(年度+2018,4,1),$C149&gt;DATE(年度+2019,3,31))),"年度外の日付 ","")&amp;IF(AND(OR($I149="確認済",$I149="未確認"),O149="対象外"),"対象外の科目 ","")))</f>
        <v/>
      </c>
      <c r="R149" s="366" t="inlineStr">
        <is>
          <t>月例!152</t>
        </is>
      </c>
    </row>
    <row r="150">
      <c r="A150" s="359" t="n">
        <v>146</v>
      </c>
      <c r="B150" s="360" t="inlineStr">
        <is>
          <t>月例</t>
        </is>
      </c>
      <c r="C150" s="361" t="n">
        <v>46224</v>
      </c>
      <c r="D150" s="362" t="inlineStr">
        <is>
          <t>委託費</t>
        </is>
      </c>
      <c r="E150" s="362" t="n"/>
      <c r="F150" s="362" t="inlineStr">
        <is>
          <t>レセプト電子データ提供料（４月診療分）</t>
        </is>
      </c>
      <c r="G150" s="363" t="n">
        <v>56808</v>
      </c>
      <c r="H150" s="360" t="n">
        <v>2</v>
      </c>
      <c r="I150" s="360" t="inlineStr">
        <is>
          <t>確認済</t>
        </is>
      </c>
      <c r="J150" s="364">
        <f>IF($G150="","",IF($H150=1,$G150-ROUND($G150*10/23,0)-2*ROUND($G150/23,0),IF($H150=2,$G150,0)))</f>
        <v>56808</v>
      </c>
      <c r="K150" s="364">
        <f>IF($G150="","",IF($H150=1,ROUND($G150*10/23,0),IF($H150=3,$G150-2*ROUND($G150/12,0),IF($H150=4,$G150,IF(OR($H150=5,$H150=7),ROUND($G150*10/11,0),0)))))</f>
        <v>0</v>
      </c>
      <c r="L150" s="364">
        <f>IF($G150="","",IF($H150=1,ROUND($G150/23,0),IF($H150=3,ROUND($G150/12,0),IF($H150=5,$G150-ROUND($G150*10/11,0),IF($H150=8,$G150,0)))))</f>
        <v>0</v>
      </c>
      <c r="M150" s="364">
        <f>IF($G150="","",IF($H150=1,ROUND($G150/23,0),IF($H150=3,ROUND($G150/12,0),IF($H150=6,$G150,IF($H150=7,$G150-ROUND($G150*10/11,0),0)))))</f>
        <v>0</v>
      </c>
      <c r="N150" s="364">
        <f>IF($G150="","",K150+L150+M150)</f>
        <v>0</v>
      </c>
      <c r="O150" s="365" t="str">
        <f>IF($G150="","",IFERROR(VLOOKUP($D150&amp;"|"&amp;$E150,科目表!$A$5:$B$200,2,FALSE),"※未登録"))</f>
        <v>委託費</v>
      </c>
      <c r="P150" s="359">
        <f>IF(OR($G150="",$C150=""),"",IF($B150="決算整理",13,MOD(MONTH($C150)-4,12)+1))</f>
        <v>4</v>
      </c>
      <c r="Q150" s="366" t="str">
        <f>IF($G150="","",TRIM(IF(J150+K150+L150+M150&lt;&gt;$G150,"按分不一致 ","")&amp;IF(O150="※未登録","科目未登録 ","")&amp;IF(OR($H150="",ISERROR(MATCH($H150,{1,2,3,4,5,6,7,8},0))),"経費区分? ","")&amp;IF($I150="","状態未設定 ","")&amp;IF(AND(OR($I150="確認済",$I150="未確認"),$B150="月例",OR($C150="",$C150&lt;DATE(年度+2018,4,1),$C150&gt;DATE(年度+2019,3,31))),"年度外の日付 ","")&amp;IF(AND(OR($I150="確認済",$I150="未確認"),O150="対象外"),"対象外の科目 ","")))</f>
        <v/>
      </c>
      <c r="R150" s="366" t="inlineStr">
        <is>
          <t>月例!153</t>
        </is>
      </c>
    </row>
    <row r="151">
      <c r="A151" s="359" t="n">
        <v>147</v>
      </c>
      <c r="B151" s="360" t="inlineStr">
        <is>
          <t>月例</t>
        </is>
      </c>
      <c r="C151" s="361" t="n">
        <v>45107</v>
      </c>
      <c r="D151" s="362" t="inlineStr">
        <is>
          <t>賃借料</t>
        </is>
      </c>
      <c r="E151" s="362" t="n"/>
      <c r="F151" s="362" t="inlineStr">
        <is>
          <t>全国共済組合事務局長会議　WEB会議用機器等</t>
        </is>
      </c>
      <c r="G151" s="363" t="n">
        <v>10120</v>
      </c>
      <c r="H151" s="360" t="n">
        <v>1</v>
      </c>
      <c r="I151" s="360" t="inlineStr">
        <is>
          <t>昨年実績</t>
        </is>
      </c>
      <c r="J151" s="364">
        <f>IF($G151="","",IF($H151=1,$G151-ROUND($G151*10/23,0)-2*ROUND($G151/23,0),IF($H151=2,$G151,0)))</f>
        <v>4840</v>
      </c>
      <c r="K151" s="364">
        <f>IF($G151="","",IF($H151=1,ROUND($G151*10/23,0),IF($H151=3,$G151-2*ROUND($G151/12,0),IF($H151=4,$G151,IF(OR($H151=5,$H151=7),ROUND($G151*10/11,0),0)))))</f>
        <v>4400</v>
      </c>
      <c r="L151" s="364">
        <f>IF($G151="","",IF($H151=1,ROUND($G151/23,0),IF($H151=3,ROUND($G151/12,0),IF($H151=5,$G151-ROUND($G151*10/11,0),IF($H151=8,$G151,0)))))</f>
        <v>440</v>
      </c>
      <c r="M151" s="364">
        <f>IF($G151="","",IF($H151=1,ROUND($G151/23,0),IF($H151=3,ROUND($G151/12,0),IF($H151=6,$G151,IF($H151=7,$G151-ROUND($G151*10/11,0),0)))))</f>
        <v>440</v>
      </c>
      <c r="N151" s="364">
        <f>IF($G151="","",K151+L151+M151)</f>
        <v>5280</v>
      </c>
      <c r="O151" s="365" t="str">
        <f>IF($G151="","",IFERROR(VLOOKUP($D151&amp;"|"&amp;$E151,科目表!$A$5:$B$200,2,FALSE),"※未登録"))</f>
        <v>賃借料</v>
      </c>
      <c r="P151" s="359">
        <f>IF(OR($G151="",$C151=""),"",IF($B151="決算整理",13,MOD(MONTH($C151)-4,12)+1))</f>
        <v>3</v>
      </c>
      <c r="Q151" s="366" t="str">
        <f>IF($G151="","",TRIM(IF(J151+K151+L151+M151&lt;&gt;$G151,"按分不一致 ","")&amp;IF(O151="※未登録","科目未登録 ","")&amp;IF(OR($H151="",ISERROR(MATCH($H151,{1,2,3,4,5,6,7,8},0))),"経費区分? ","")&amp;IF($I151="","状態未設定 ","")&amp;IF(AND(OR($I151="確認済",$I151="未確認"),$B151="月例",OR($C151="",$C151&lt;DATE(年度+2018,4,1),$C151&gt;DATE(年度+2019,3,31))),"年度外の日付 ","")&amp;IF(AND(OR($I151="確認済",$I151="未確認"),O151="対象外"),"対象外の科目 ","")))</f>
        <v/>
      </c>
      <c r="R151" s="366" t="inlineStr">
        <is>
          <t>月例!154</t>
        </is>
      </c>
    </row>
    <row r="152">
      <c r="A152" s="359" t="n">
        <v>148</v>
      </c>
      <c r="B152" s="360" t="inlineStr">
        <is>
          <t>月例</t>
        </is>
      </c>
      <c r="C152" s="361" t="n">
        <v>44397</v>
      </c>
      <c r="D152" s="362" t="inlineStr">
        <is>
          <t>事務費</t>
        </is>
      </c>
      <c r="E152" s="362" t="inlineStr">
        <is>
          <t>通信運搬費</t>
        </is>
      </c>
      <c r="F152" s="362" t="inlineStr">
        <is>
          <t>電話料金（６月使用・７月請求分）</t>
        </is>
      </c>
      <c r="G152" s="363" t="n">
        <v>5407</v>
      </c>
      <c r="H152" s="360" t="n">
        <v>2</v>
      </c>
      <c r="I152" s="360" t="inlineStr">
        <is>
          <t>昨年実績</t>
        </is>
      </c>
      <c r="J152" s="364">
        <f>IF($G152="","",IF($H152=1,$G152-ROUND($G152*10/23,0)-2*ROUND($G152/23,0),IF($H152=2,$G152,0)))</f>
        <v>5407</v>
      </c>
      <c r="K152" s="364">
        <f>IF($G152="","",IF($H152=1,ROUND($G152*10/23,0),IF($H152=3,$G152-2*ROUND($G152/12,0),IF($H152=4,$G152,IF(OR($H152=5,$H152=7),ROUND($G152*10/11,0),0)))))</f>
        <v>0</v>
      </c>
      <c r="L152" s="364">
        <f>IF($G152="","",IF($H152=1,ROUND($G152/23,0),IF($H152=3,ROUND($G152/12,0),IF($H152=5,$G152-ROUND($G152*10/11,0),IF($H152=8,$G152,0)))))</f>
        <v>0</v>
      </c>
      <c r="M152" s="364">
        <f>IF($G152="","",IF($H152=1,ROUND($G152/23,0),IF($H152=3,ROUND($G152/12,0),IF($H152=6,$G152,IF($H152=7,$G152-ROUND($G152*10/11,0),0)))))</f>
        <v>0</v>
      </c>
      <c r="N152" s="364">
        <f>IF($G152="","",K152+L152+M152)</f>
        <v>0</v>
      </c>
      <c r="O152" s="365" t="str">
        <f>IF($G152="","",IFERROR(VLOOKUP($D152&amp;"|"&amp;$E152,科目表!$A$5:$B$200,2,FALSE),"※未登録"))</f>
        <v>通信運搬費</v>
      </c>
      <c r="P152" s="359">
        <f>IF(OR($G152="",$C152=""),"",IF($B152="決算整理",13,MOD(MONTH($C152)-4,12)+1))</f>
        <v>4</v>
      </c>
      <c r="Q152" s="366" t="str">
        <f>IF($G152="","",TRIM(IF(J152+K152+L152+M152&lt;&gt;$G152,"按分不一致 ","")&amp;IF(O152="※未登録","科目未登録 ","")&amp;IF(OR($H152="",ISERROR(MATCH($H152,{1,2,3,4,5,6,7,8},0))),"経費区分? ","")&amp;IF($I152="","状態未設定 ","")&amp;IF(AND(OR($I152="確認済",$I152="未確認"),$B152="月例",OR($C152="",$C152&lt;DATE(年度+2018,4,1),$C152&gt;DATE(年度+2019,3,31))),"年度外の日付 ","")&amp;IF(AND(OR($I152="確認済",$I152="未確認"),O152="対象外"),"対象外の科目 ","")))</f>
        <v/>
      </c>
      <c r="R152" s="366" t="inlineStr">
        <is>
          <t>月例!155</t>
        </is>
      </c>
    </row>
    <row r="153">
      <c r="A153" s="359" t="n">
        <v>149</v>
      </c>
      <c r="B153" s="360" t="inlineStr">
        <is>
          <t>月例</t>
        </is>
      </c>
      <c r="C153" s="361" t="n">
        <v>46234</v>
      </c>
      <c r="D153" s="362" t="inlineStr">
        <is>
          <t>事務費</t>
        </is>
      </c>
      <c r="E153" s="362" t="inlineStr">
        <is>
          <t>送金料</t>
        </is>
      </c>
      <c r="F153" s="362" t="inlineStr">
        <is>
          <t>ゆうちょ銀行手数料（６月分）短期</t>
        </is>
      </c>
      <c r="G153" s="363" t="n">
        <v>14457</v>
      </c>
      <c r="H153" s="360" t="n">
        <v>2</v>
      </c>
      <c r="I153" s="360" t="inlineStr">
        <is>
          <t>確認済</t>
        </is>
      </c>
      <c r="J153" s="364">
        <f>IF($G153="","",IF($H153=1,$G153-ROUND($G153*10/23,0)-2*ROUND($G153/23,0),IF($H153=2,$G153,0)))</f>
        <v>14457</v>
      </c>
      <c r="K153" s="364">
        <f>IF($G153="","",IF($H153=1,ROUND($G153*10/23,0),IF($H153=3,$G153-2*ROUND($G153/12,0),IF($H153=4,$G153,IF(OR($H153=5,$H153=7),ROUND($G153*10/11,0),0)))))</f>
        <v>0</v>
      </c>
      <c r="L153" s="364">
        <f>IF($G153="","",IF($H153=1,ROUND($G153/23,0),IF($H153=3,ROUND($G153/12,0),IF($H153=5,$G153-ROUND($G153*10/11,0),IF($H153=8,$G153,0)))))</f>
        <v>0</v>
      </c>
      <c r="M153" s="364">
        <f>IF($G153="","",IF($H153=1,ROUND($G153/23,0),IF($H153=3,ROUND($G153/12,0),IF($H153=6,$G153,IF($H153=7,$G153-ROUND($G153*10/11,0),0)))))</f>
        <v>0</v>
      </c>
      <c r="N153" s="364">
        <f>IF($G153="","",K153+L153+M153)</f>
        <v>0</v>
      </c>
      <c r="O153" s="365" t="str">
        <f>IF($G153="","",IFERROR(VLOOKUP($D153&amp;"|"&amp;$E153,科目表!$A$5:$B$200,2,FALSE),"※未登録"))</f>
        <v>送金料</v>
      </c>
      <c r="P153" s="359">
        <f>IF(OR($G153="",$C153=""),"",IF($B153="決算整理",13,MOD(MONTH($C153)-4,12)+1))</f>
        <v>4</v>
      </c>
      <c r="Q153" s="366" t="str">
        <f>IF($G153="","",TRIM(IF(J153+K153+L153+M153&lt;&gt;$G153,"按分不一致 ","")&amp;IF(O153="※未登録","科目未登録 ","")&amp;IF(OR($H153="",ISERROR(MATCH($H153,{1,2,3,4,5,6,7,8},0))),"経費区分? ","")&amp;IF($I153="","状態未設定 ","")&amp;IF(AND(OR($I153="確認済",$I153="未確認"),$B153="月例",OR($C153="",$C153&lt;DATE(年度+2018,4,1),$C153&gt;DATE(年度+2019,3,31))),"年度外の日付 ","")&amp;IF(AND(OR($I153="確認済",$I153="未確認"),O153="対象外"),"対象外の科目 ","")))</f>
        <v/>
      </c>
      <c r="R153" s="366" t="inlineStr">
        <is>
          <t>月例!156</t>
        </is>
      </c>
    </row>
    <row r="154">
      <c r="A154" s="359" t="n">
        <v>150</v>
      </c>
      <c r="B154" s="360" t="inlineStr">
        <is>
          <t>月例</t>
        </is>
      </c>
      <c r="C154" s="361" t="n">
        <v>46234</v>
      </c>
      <c r="D154" s="362" t="inlineStr">
        <is>
          <t>事務費</t>
        </is>
      </c>
      <c r="E154" s="362" t="inlineStr">
        <is>
          <t>雑費</t>
        </is>
      </c>
      <c r="F154" s="362" t="inlineStr">
        <is>
          <t>ゆうちょ銀行振替口座残高証明（６月分）短期</t>
        </is>
      </c>
      <c r="G154" s="363" t="n">
        <v>550</v>
      </c>
      <c r="H154" s="360" t="n">
        <v>2</v>
      </c>
      <c r="I154" s="360" t="inlineStr">
        <is>
          <t>確認済</t>
        </is>
      </c>
      <c r="J154" s="364">
        <f>IF($G154="","",IF($H154=1,$G154-ROUND($G154*10/23,0)-2*ROUND($G154/23,0),IF($H154=2,$G154,0)))</f>
        <v>550</v>
      </c>
      <c r="K154" s="364">
        <f>IF($G154="","",IF($H154=1,ROUND($G154*10/23,0),IF($H154=3,$G154-2*ROUND($G154/12,0),IF($H154=4,$G154,IF(OR($H154=5,$H154=7),ROUND($G154*10/11,0),0)))))</f>
        <v>0</v>
      </c>
      <c r="L154" s="364">
        <f>IF($G154="","",IF($H154=1,ROUND($G154/23,0),IF($H154=3,ROUND($G154/12,0),IF($H154=5,$G154-ROUND($G154*10/11,0),IF($H154=8,$G154,0)))))</f>
        <v>0</v>
      </c>
      <c r="M154" s="364">
        <f>IF($G154="","",IF($H154=1,ROUND($G154/23,0),IF($H154=3,ROUND($G154/12,0),IF($H154=6,$G154,IF($H154=7,$G154-ROUND($G154*10/11,0),0)))))</f>
        <v>0</v>
      </c>
      <c r="N154" s="364">
        <f>IF($G154="","",K154+L154+M154)</f>
        <v>0</v>
      </c>
      <c r="O154" s="365" t="str">
        <f>IF($G154="","",IFERROR(VLOOKUP($D154&amp;"|"&amp;$E154,科目表!$A$5:$B$200,2,FALSE),"※未登録"))</f>
        <v>事務費・雑費</v>
      </c>
      <c r="P154" s="359">
        <f>IF(OR($G154="",$C154=""),"",IF($B154="決算整理",13,MOD(MONTH($C154)-4,12)+1))</f>
        <v>4</v>
      </c>
      <c r="Q154" s="366" t="str">
        <f>IF($G154="","",TRIM(IF(J154+K154+L154+M154&lt;&gt;$G154,"按分不一致 ","")&amp;IF(O154="※未登録","科目未登録 ","")&amp;IF(OR($H154="",ISERROR(MATCH($H154,{1,2,3,4,5,6,7,8},0))),"経費区分? ","")&amp;IF($I154="","状態未設定 ","")&amp;IF(AND(OR($I154="確認済",$I154="未確認"),$B154="月例",OR($C154="",$C154&lt;DATE(年度+2018,4,1),$C154&gt;DATE(年度+2019,3,31))),"年度外の日付 ","")&amp;IF(AND(OR($I154="確認済",$I154="未確認"),O154="対象外"),"対象外の科目 ","")))</f>
        <v/>
      </c>
      <c r="R154" s="366" t="inlineStr">
        <is>
          <t>月例!157</t>
        </is>
      </c>
    </row>
    <row r="155">
      <c r="A155" s="359" t="n">
        <v>151</v>
      </c>
      <c r="B155" s="360" t="inlineStr">
        <is>
          <t>月例</t>
        </is>
      </c>
      <c r="C155" s="361" t="n">
        <v>46224</v>
      </c>
      <c r="D155" s="362" t="inlineStr">
        <is>
          <t>職員給与</t>
        </is>
      </c>
      <c r="E155" s="362" t="inlineStr">
        <is>
          <t>非常勤職員手当</t>
        </is>
      </c>
      <c r="F155" s="362" t="inlineStr">
        <is>
          <t>７月分給与（長期分）</t>
        </is>
      </c>
      <c r="G155" s="363" t="n">
        <v>380800</v>
      </c>
      <c r="H155" s="360" t="n">
        <v>3</v>
      </c>
      <c r="I155" s="360" t="inlineStr">
        <is>
          <t>確認済</t>
        </is>
      </c>
      <c r="J155" s="364">
        <f>IF($G155="","",IF($H155=1,$G155-ROUND($G155*10/23,0)-2*ROUND($G155/23,0),IF($H155=2,$G155,0)))</f>
        <v>0</v>
      </c>
      <c r="K155" s="364">
        <f>IF($G155="","",IF($H155=1,ROUND($G155*10/23,0),IF($H155=3,$G155-2*ROUND($G155/12,0),IF($H155=4,$G155,IF(OR($H155=5,$H155=7),ROUND($G155*10/11,0),0)))))</f>
        <v>317334</v>
      </c>
      <c r="L155" s="364">
        <f>IF($G155="","",IF($H155=1,ROUND($G155/23,0),IF($H155=3,ROUND($G155/12,0),IF($H155=5,$G155-ROUND($G155*10/11,0),IF($H155=8,$G155,0)))))</f>
        <v>31733</v>
      </c>
      <c r="M155" s="364">
        <f>IF($G155="","",IF($H155=1,ROUND($G155/23,0),IF($H155=3,ROUND($G155/12,0),IF($H155=6,$G155,IF($H155=7,$G155-ROUND($G155*10/11,0),0)))))</f>
        <v>31733</v>
      </c>
      <c r="N155" s="364">
        <f>IF($G155="","",K155+L155+M155)</f>
        <v>380800</v>
      </c>
      <c r="O155" s="365" t="str">
        <f>IF($G155="","",IFERROR(VLOOKUP($D155&amp;"|"&amp;$E155,科目表!$A$5:$B$200,2,FALSE),"※未登録"))</f>
        <v>非常勤職員手当</v>
      </c>
      <c r="P155" s="359">
        <f>IF(OR($G155="",$C155=""),"",IF($B155="決算整理",13,MOD(MONTH($C155)-4,12)+1))</f>
        <v>4</v>
      </c>
      <c r="Q155" s="366" t="str">
        <f>IF($G155="","",TRIM(IF(J155+K155+L155+M155&lt;&gt;$G155,"按分不一致 ","")&amp;IF(O155="※未登録","科目未登録 ","")&amp;IF(OR($H155="",ISERROR(MATCH($H155,{1,2,3,4,5,6,7,8},0))),"経費区分? ","")&amp;IF($I155="","状態未設定 ","")&amp;IF(AND(OR($I155="確認済",$I155="未確認"),$B155="月例",OR($C155="",$C155&lt;DATE(年度+2018,4,1),$C155&gt;DATE(年度+2019,3,31))),"年度外の日付 ","")&amp;IF(AND(OR($I155="確認済",$I155="未確認"),O155="対象外"),"対象外の科目 ","")))</f>
        <v/>
      </c>
      <c r="R155" s="366" t="inlineStr">
        <is>
          <t>月例!158</t>
        </is>
      </c>
    </row>
    <row r="156">
      <c r="A156" s="359" t="n">
        <v>152</v>
      </c>
      <c r="B156" s="360" t="inlineStr">
        <is>
          <t>月例</t>
        </is>
      </c>
      <c r="C156" s="361" t="n">
        <v>46224</v>
      </c>
      <c r="D156" s="362" t="inlineStr">
        <is>
          <t>職員給与</t>
        </is>
      </c>
      <c r="E156" s="362" t="inlineStr">
        <is>
          <t>非常勤職員手当</t>
        </is>
      </c>
      <c r="F156" s="362" t="inlineStr">
        <is>
          <t>７月分給与（短期分）</t>
        </is>
      </c>
      <c r="G156" s="363" t="n">
        <v>256708</v>
      </c>
      <c r="H156" s="360" t="n">
        <v>2</v>
      </c>
      <c r="I156" s="360" t="inlineStr">
        <is>
          <t>確認済</t>
        </is>
      </c>
      <c r="J156" s="364">
        <f>IF($G156="","",IF($H156=1,$G156-ROUND($G156*10/23,0)-2*ROUND($G156/23,0),IF($H156=2,$G156,0)))</f>
        <v>256708</v>
      </c>
      <c r="K156" s="364">
        <f>IF($G156="","",IF($H156=1,ROUND($G156*10/23,0),IF($H156=3,$G156-2*ROUND($G156/12,0),IF($H156=4,$G156,IF(OR($H156=5,$H156=7),ROUND($G156*10/11,0),0)))))</f>
        <v>0</v>
      </c>
      <c r="L156" s="364">
        <f>IF($G156="","",IF($H156=1,ROUND($G156/23,0),IF($H156=3,ROUND($G156/12,0),IF($H156=5,$G156-ROUND($G156*10/11,0),IF($H156=8,$G156,0)))))</f>
        <v>0</v>
      </c>
      <c r="M156" s="364">
        <f>IF($G156="","",IF($H156=1,ROUND($G156/23,0),IF($H156=3,ROUND($G156/12,0),IF($H156=6,$G156,IF($H156=7,$G156-ROUND($G156*10/11,0),0)))))</f>
        <v>0</v>
      </c>
      <c r="N156" s="364">
        <f>IF($G156="","",K156+L156+M156)</f>
        <v>0</v>
      </c>
      <c r="O156" s="365" t="str">
        <f>IF($G156="","",IFERROR(VLOOKUP($D156&amp;"|"&amp;$E156,科目表!$A$5:$B$200,2,FALSE),"※未登録"))</f>
        <v>非常勤職員手当</v>
      </c>
      <c r="P156" s="359">
        <f>IF(OR($G156="",$C156=""),"",IF($B156="決算整理",13,MOD(MONTH($C156)-4,12)+1))</f>
        <v>4</v>
      </c>
      <c r="Q156" s="366" t="str">
        <f>IF($G156="","",TRIM(IF(J156+K156+L156+M156&lt;&gt;$G156,"按分不一致 ","")&amp;IF(O156="※未登録","科目未登録 ","")&amp;IF(OR($H156="",ISERROR(MATCH($H156,{1,2,3,4,5,6,7,8},0))),"経費区分? ","")&amp;IF($I156="","状態未設定 ","")&amp;IF(AND(OR($I156="確認済",$I156="未確認"),$B156="月例",OR($C156="",$C156&lt;DATE(年度+2018,4,1),$C156&gt;DATE(年度+2019,3,31))),"年度外の日付 ","")&amp;IF(AND(OR($I156="確認済",$I156="未確認"),O156="対象外"),"対象外の科目 ","")))</f>
        <v/>
      </c>
      <c r="R156" s="366" t="inlineStr">
        <is>
          <t>月例!159</t>
        </is>
      </c>
    </row>
    <row r="157">
      <c r="A157" s="359" t="n">
        <v>153</v>
      </c>
      <c r="B157" s="360" t="inlineStr">
        <is>
          <t>月例</t>
        </is>
      </c>
      <c r="C157" s="361" t="n">
        <v>46224</v>
      </c>
      <c r="D157" s="362" t="inlineStr">
        <is>
          <t>負担金</t>
        </is>
      </c>
      <c r="E157" s="362" t="inlineStr">
        <is>
          <t>互助会費</t>
        </is>
      </c>
      <c r="F157" s="362" t="inlineStr">
        <is>
          <t>助成金（７月長期分）</t>
        </is>
      </c>
      <c r="G157" s="363" t="n">
        <v>466</v>
      </c>
      <c r="H157" s="360" t="n">
        <v>3</v>
      </c>
      <c r="I157" s="360" t="inlineStr">
        <is>
          <t>確認済</t>
        </is>
      </c>
      <c r="J157" s="364">
        <f>IF($G157="","",IF($H157=1,$G157-ROUND($G157*10/23,0)-2*ROUND($G157/23,0),IF($H157=2,$G157,0)))</f>
        <v>0</v>
      </c>
      <c r="K157" s="364">
        <f>IF($G157="","",IF($H157=1,ROUND($G157*10/23,0),IF($H157=3,$G157-2*ROUND($G157/12,0),IF($H157=4,$G157,IF(OR($H157=5,$H157=7),ROUND($G157*10/11,0),0)))))</f>
        <v>388</v>
      </c>
      <c r="L157" s="364">
        <f>IF($G157="","",IF($H157=1,ROUND($G157/23,0),IF($H157=3,ROUND($G157/12,0),IF($H157=5,$G157-ROUND($G157*10/11,0),IF($H157=8,$G157,0)))))</f>
        <v>39</v>
      </c>
      <c r="M157" s="364">
        <f>IF($G157="","",IF($H157=1,ROUND($G157/23,0),IF($H157=3,ROUND($G157/12,0),IF($H157=6,$G157,IF($H157=7,$G157-ROUND($G157*10/11,0),0)))))</f>
        <v>39</v>
      </c>
      <c r="N157" s="364">
        <f>IF($G157="","",K157+L157+M157)</f>
        <v>466</v>
      </c>
      <c r="O157" s="365" t="str">
        <f>IF($G157="","",IFERROR(VLOOKUP($D157&amp;"|"&amp;$E157,科目表!$A$5:$B$200,2,FALSE),"※未登録"))</f>
        <v>互助会費</v>
      </c>
      <c r="P157" s="359">
        <f>IF(OR($G157="",$C157=""),"",IF($B157="決算整理",13,MOD(MONTH($C157)-4,12)+1))</f>
        <v>4</v>
      </c>
      <c r="Q157" s="366" t="str">
        <f>IF($G157="","",TRIM(IF(J157+K157+L157+M157&lt;&gt;$G157,"按分不一致 ","")&amp;IF(O157="※未登録","科目未登録 ","")&amp;IF(OR($H157="",ISERROR(MATCH($H157,{1,2,3,4,5,6,7,8},0))),"経費区分? ","")&amp;IF($I157="","状態未設定 ","")&amp;IF(AND(OR($I157="確認済",$I157="未確認"),$B157="月例",OR($C157="",$C157&lt;DATE(年度+2018,4,1),$C157&gt;DATE(年度+2019,3,31))),"年度外の日付 ","")&amp;IF(AND(OR($I157="確認済",$I157="未確認"),O157="対象外"),"対象外の科目 ","")))</f>
        <v/>
      </c>
      <c r="R157" s="366" t="inlineStr">
        <is>
          <t>月例!160</t>
        </is>
      </c>
    </row>
    <row r="158">
      <c r="A158" s="359" t="n">
        <v>154</v>
      </c>
      <c r="B158" s="360" t="inlineStr">
        <is>
          <t>月例</t>
        </is>
      </c>
      <c r="C158" s="361" t="n">
        <v>46224</v>
      </c>
      <c r="D158" s="362" t="inlineStr">
        <is>
          <t>負担金</t>
        </is>
      </c>
      <c r="E158" s="362" t="inlineStr">
        <is>
          <t>互助会費</t>
        </is>
      </c>
      <c r="F158" s="362" t="inlineStr">
        <is>
          <t>助成金（７月短期分）</t>
        </is>
      </c>
      <c r="G158" s="363" t="n">
        <v>240</v>
      </c>
      <c r="H158" s="360" t="n">
        <v>2</v>
      </c>
      <c r="I158" s="360" t="inlineStr">
        <is>
          <t>確認済</t>
        </is>
      </c>
      <c r="J158" s="364">
        <f>IF($G158="","",IF($H158=1,$G158-ROUND($G158*10/23,0)-2*ROUND($G158/23,0),IF($H158=2,$G158,0)))</f>
        <v>240</v>
      </c>
      <c r="K158" s="364">
        <f>IF($G158="","",IF($H158=1,ROUND($G158*10/23,0),IF($H158=3,$G158-2*ROUND($G158/12,0),IF($H158=4,$G158,IF(OR($H158=5,$H158=7),ROUND($G158*10/11,0),0)))))</f>
        <v>0</v>
      </c>
      <c r="L158" s="364">
        <f>IF($G158="","",IF($H158=1,ROUND($G158/23,0),IF($H158=3,ROUND($G158/12,0),IF($H158=5,$G158-ROUND($G158*10/11,0),IF($H158=8,$G158,0)))))</f>
        <v>0</v>
      </c>
      <c r="M158" s="364">
        <f>IF($G158="","",IF($H158=1,ROUND($G158/23,0),IF($H158=3,ROUND($G158/12,0),IF($H158=6,$G158,IF($H158=7,$G158-ROUND($G158*10/11,0),0)))))</f>
        <v>0</v>
      </c>
      <c r="N158" s="364">
        <f>IF($G158="","",K158+L158+M158)</f>
        <v>0</v>
      </c>
      <c r="O158" s="365" t="str">
        <f>IF($G158="","",IFERROR(VLOOKUP($D158&amp;"|"&amp;$E158,科目表!$A$5:$B$200,2,FALSE),"※未登録"))</f>
        <v>互助会費</v>
      </c>
      <c r="P158" s="359">
        <f>IF(OR($G158="",$C158=""),"",IF($B158="決算整理",13,MOD(MONTH($C158)-4,12)+1))</f>
        <v>4</v>
      </c>
      <c r="Q158" s="366" t="str">
        <f>IF($G158="","",TRIM(IF(J158+K158+L158+M158&lt;&gt;$G158,"按分不一致 ","")&amp;IF(O158="※未登録","科目未登録 ","")&amp;IF(OR($H158="",ISERROR(MATCH($H158,{1,2,3,4,5,6,7,8},0))),"経費区分? ","")&amp;IF($I158="","状態未設定 ","")&amp;IF(AND(OR($I158="確認済",$I158="未確認"),$B158="月例",OR($C158="",$C158&lt;DATE(年度+2018,4,1),$C158&gt;DATE(年度+2019,3,31))),"年度外の日付 ","")&amp;IF(AND(OR($I158="確認済",$I158="未確認"),O158="対象外"),"対象外の科目 ","")))</f>
        <v/>
      </c>
      <c r="R158" s="366" t="inlineStr">
        <is>
          <t>月例!161</t>
        </is>
      </c>
    </row>
    <row r="159">
      <c r="A159" s="359" t="n">
        <v>155</v>
      </c>
      <c r="B159" s="360" t="inlineStr">
        <is>
          <t>月例</t>
        </is>
      </c>
      <c r="C159" s="361" t="n">
        <v>44834</v>
      </c>
      <c r="D159" s="362" t="inlineStr">
        <is>
          <t>事務費</t>
        </is>
      </c>
      <c r="E159" s="362" t="inlineStr">
        <is>
          <t>事務用消耗品費</t>
        </is>
      </c>
      <c r="F159" s="362" t="inlineStr">
        <is>
          <t>組合員証カード　20,000枚</t>
        </is>
      </c>
      <c r="G159" s="363" t="n">
        <v>431200</v>
      </c>
      <c r="H159" s="360" t="n">
        <v>2</v>
      </c>
      <c r="I159" s="360" t="inlineStr">
        <is>
          <t>昨年実績</t>
        </is>
      </c>
      <c r="J159" s="364">
        <f>IF($G159="","",IF($H159=1,$G159-ROUND($G159*10/23,0)-2*ROUND($G159/23,0),IF($H159=2,$G159,0)))</f>
        <v>431200</v>
      </c>
      <c r="K159" s="364">
        <f>IF($G159="","",IF($H159=1,ROUND($G159*10/23,0),IF($H159=3,$G159-2*ROUND($G159/12,0),IF($H159=4,$G159,IF(OR($H159=5,$H159=7),ROUND($G159*10/11,0),0)))))</f>
        <v>0</v>
      </c>
      <c r="L159" s="364">
        <f>IF($G159="","",IF($H159=1,ROUND($G159/23,0),IF($H159=3,ROUND($G159/12,0),IF($H159=5,$G159-ROUND($G159*10/11,0),IF($H159=8,$G159,0)))))</f>
        <v>0</v>
      </c>
      <c r="M159" s="364">
        <f>IF($G159="","",IF($H159=1,ROUND($G159/23,0),IF($H159=3,ROUND($G159/12,0),IF($H159=6,$G159,IF($H159=7,$G159-ROUND($G159*10/11,0),0)))))</f>
        <v>0</v>
      </c>
      <c r="N159" s="364">
        <f>IF($G159="","",K159+L159+M159)</f>
        <v>0</v>
      </c>
      <c r="O159" s="365" t="str">
        <f>IF($G159="","",IFERROR(VLOOKUP($D159&amp;"|"&amp;$E159,科目表!$A$5:$B$200,2,FALSE),"※未登録"))</f>
        <v>事務用消耗品費</v>
      </c>
      <c r="P159" s="359">
        <f>IF(OR($G159="",$C159=""),"",IF($B159="決算整理",13,MOD(MONTH($C159)-4,12)+1))</f>
        <v>6</v>
      </c>
      <c r="Q159" s="366" t="str">
        <f>IF($G159="","",TRIM(IF(J159+K159+L159+M159&lt;&gt;$G159,"按分不一致 ","")&amp;IF(O159="※未登録","科目未登録 ","")&amp;IF(OR($H159="",ISERROR(MATCH($H159,{1,2,3,4,5,6,7,8},0))),"経費区分? ","")&amp;IF($I159="","状態未設定 ","")&amp;IF(AND(OR($I159="確認済",$I159="未確認"),$B159="月例",OR($C159="",$C159&lt;DATE(年度+2018,4,1),$C159&gt;DATE(年度+2019,3,31))),"年度外の日付 ","")&amp;IF(AND(OR($I159="確認済",$I159="未確認"),O159="対象外"),"対象外の科目 ","")))</f>
        <v/>
      </c>
      <c r="R159" s="366" t="inlineStr">
        <is>
          <t>月例!162</t>
        </is>
      </c>
    </row>
    <row r="160">
      <c r="A160" s="359" t="n">
        <v>156</v>
      </c>
      <c r="B160" s="360" t="inlineStr">
        <is>
          <t>月例</t>
        </is>
      </c>
      <c r="C160" s="361" t="n">
        <v>46232</v>
      </c>
      <c r="D160" s="362" t="inlineStr">
        <is>
          <t>負担金</t>
        </is>
      </c>
      <c r="E160" s="362" t="inlineStr">
        <is>
          <t>負担金</t>
        </is>
      </c>
      <c r="F160" s="362" t="inlineStr">
        <is>
          <t>共済短期・介護負担金（７月月例分）長期</t>
        </is>
      </c>
      <c r="G160" s="363" t="n">
        <v>22035</v>
      </c>
      <c r="H160" s="360" t="n">
        <v>3</v>
      </c>
      <c r="I160" s="360" t="inlineStr">
        <is>
          <t>確認済</t>
        </is>
      </c>
      <c r="J160" s="364">
        <f>IF($G160="","",IF($H160=1,$G160-ROUND($G160*10/23,0)-2*ROUND($G160/23,0),IF($H160=2,$G160,0)))</f>
        <v>0</v>
      </c>
      <c r="K160" s="364">
        <f>IF($G160="","",IF($H160=1,ROUND($G160*10/23,0),IF($H160=3,$G160-2*ROUND($G160/12,0),IF($H160=4,$G160,IF(OR($H160=5,$H160=7),ROUND($G160*10/11,0),0)))))</f>
        <v>18363</v>
      </c>
      <c r="L160" s="364">
        <f>IF($G160="","",IF($H160=1,ROUND($G160/23,0),IF($H160=3,ROUND($G160/12,0),IF($H160=5,$G160-ROUND($G160*10/11,0),IF($H160=8,$G160,0)))))</f>
        <v>1836</v>
      </c>
      <c r="M160" s="364">
        <f>IF($G160="","",IF($H160=1,ROUND($G160/23,0),IF($H160=3,ROUND($G160/12,0),IF($H160=6,$G160,IF($H160=7,$G160-ROUND($G160*10/11,0),0)))))</f>
        <v>1836</v>
      </c>
      <c r="N160" s="364">
        <f>IF($G160="","",K160+L160+M160)</f>
        <v>22035</v>
      </c>
      <c r="O160" s="365" t="str">
        <f>IF($G160="","",IFERROR(VLOOKUP($D160&amp;"|"&amp;$E160,科目表!$A$5:$B$200,2,FALSE),"※未登録"))</f>
        <v>共済負担金等</v>
      </c>
      <c r="P160" s="359">
        <f>IF(OR($G160="",$C160=""),"",IF($B160="決算整理",13,MOD(MONTH($C160)-4,12)+1))</f>
        <v>4</v>
      </c>
      <c r="Q160" s="366" t="str">
        <f>IF($G160="","",TRIM(IF(J160+K160+L160+M160&lt;&gt;$G160,"按分不一致 ","")&amp;IF(O160="※未登録","科目未登録 ","")&amp;IF(OR($H160="",ISERROR(MATCH($H160,{1,2,3,4,5,6,7,8},0))),"経費区分? ","")&amp;IF($I160="","状態未設定 ","")&amp;IF(AND(OR($I160="確認済",$I160="未確認"),$B160="月例",OR($C160="",$C160&lt;DATE(年度+2018,4,1),$C160&gt;DATE(年度+2019,3,31))),"年度外の日付 ","")&amp;IF(AND(OR($I160="確認済",$I160="未確認"),O160="対象外"),"対象外の科目 ","")))</f>
        <v/>
      </c>
      <c r="R160" s="366" t="inlineStr">
        <is>
          <t>月例!163</t>
        </is>
      </c>
    </row>
    <row r="161">
      <c r="A161" s="359" t="n">
        <v>157</v>
      </c>
      <c r="B161" s="360" t="inlineStr">
        <is>
          <t>月例</t>
        </is>
      </c>
      <c r="C161" s="361" t="n">
        <v>46232</v>
      </c>
      <c r="D161" s="362" t="inlineStr">
        <is>
          <t>負担金</t>
        </is>
      </c>
      <c r="E161" s="362" t="inlineStr">
        <is>
          <t>負担金</t>
        </is>
      </c>
      <c r="F161" s="362" t="inlineStr">
        <is>
          <t>共済短期・介護負担金（７月月例分）短期</t>
        </is>
      </c>
      <c r="G161" s="363" t="n">
        <v>37074</v>
      </c>
      <c r="H161" s="360" t="n">
        <v>2</v>
      </c>
      <c r="I161" s="360" t="inlineStr">
        <is>
          <t>確認済</t>
        </is>
      </c>
      <c r="J161" s="364">
        <f>IF($G161="","",IF($H161=1,$G161-ROUND($G161*10/23,0)-2*ROUND($G161/23,0),IF($H161=2,$G161,0)))</f>
        <v>37074</v>
      </c>
      <c r="K161" s="364">
        <f>IF($G161="","",IF($H161=1,ROUND($G161*10/23,0),IF($H161=3,$G161-2*ROUND($G161/12,0),IF($H161=4,$G161,IF(OR($H161=5,$H161=7),ROUND($G161*10/11,0),0)))))</f>
        <v>0</v>
      </c>
      <c r="L161" s="364">
        <f>IF($G161="","",IF($H161=1,ROUND($G161/23,0),IF($H161=3,ROUND($G161/12,0),IF($H161=5,$G161-ROUND($G161*10/11,0),IF($H161=8,$G161,0)))))</f>
        <v>0</v>
      </c>
      <c r="M161" s="364">
        <f>IF($G161="","",IF($H161=1,ROUND($G161/23,0),IF($H161=3,ROUND($G161/12,0),IF($H161=6,$G161,IF($H161=7,$G161-ROUND($G161*10/11,0),0)))))</f>
        <v>0</v>
      </c>
      <c r="N161" s="364">
        <f>IF($G161="","",K161+L161+M161)</f>
        <v>0</v>
      </c>
      <c r="O161" s="365" t="str">
        <f>IF($G161="","",IFERROR(VLOOKUP($D161&amp;"|"&amp;$E161,科目表!$A$5:$B$200,2,FALSE),"※未登録"))</f>
        <v>共済負担金等</v>
      </c>
      <c r="P161" s="359">
        <f>IF(OR($G161="",$C161=""),"",IF($B161="決算整理",13,MOD(MONTH($C161)-4,12)+1))</f>
        <v>4</v>
      </c>
      <c r="Q161" s="366" t="str">
        <f>IF($G161="","",TRIM(IF(J161+K161+L161+M161&lt;&gt;$G161,"按分不一致 ","")&amp;IF(O161="※未登録","科目未登録 ","")&amp;IF(OR($H161="",ISERROR(MATCH($H161,{1,2,3,4,5,6,7,8},0))),"経費区分? ","")&amp;IF($I161="","状態未設定 ","")&amp;IF(AND(OR($I161="確認済",$I161="未確認"),$B161="月例",OR($C161="",$C161&lt;DATE(年度+2018,4,1),$C161&gt;DATE(年度+2019,3,31))),"年度外の日付 ","")&amp;IF(AND(OR($I161="確認済",$I161="未確認"),O161="対象外"),"対象外の科目 ","")))</f>
        <v/>
      </c>
      <c r="R161" s="366" t="inlineStr">
        <is>
          <t>月例!164</t>
        </is>
      </c>
    </row>
    <row r="162">
      <c r="A162" s="359" t="n">
        <v>158</v>
      </c>
      <c r="B162" s="360" t="inlineStr">
        <is>
          <t>月例</t>
        </is>
      </c>
      <c r="C162" s="361" t="n">
        <v>44406</v>
      </c>
      <c r="D162" s="362" t="inlineStr">
        <is>
          <t>賃借料</t>
        </is>
      </c>
      <c r="E162" s="362" t="n"/>
      <c r="F162" s="362" t="inlineStr">
        <is>
          <t>パソコン（業務経理用）６月分</t>
        </is>
      </c>
      <c r="G162" s="363" t="n">
        <v>550</v>
      </c>
      <c r="H162" s="360" t="n">
        <v>2</v>
      </c>
      <c r="I162" s="360" t="inlineStr">
        <is>
          <t>昨年実績</t>
        </is>
      </c>
      <c r="J162" s="364">
        <f>IF($G162="","",IF($H162=1,$G162-ROUND($G162*10/23,0)-2*ROUND($G162/23,0),IF($H162=2,$G162,0)))</f>
        <v>550</v>
      </c>
      <c r="K162" s="364">
        <f>IF($G162="","",IF($H162=1,ROUND($G162*10/23,0),IF($H162=3,$G162-2*ROUND($G162/12,0),IF($H162=4,$G162,IF(OR($H162=5,$H162=7),ROUND($G162*10/11,0),0)))))</f>
        <v>0</v>
      </c>
      <c r="L162" s="364">
        <f>IF($G162="","",IF($H162=1,ROUND($G162/23,0),IF($H162=3,ROUND($G162/12,0),IF($H162=5,$G162-ROUND($G162*10/11,0),IF($H162=8,$G162,0)))))</f>
        <v>0</v>
      </c>
      <c r="M162" s="364">
        <f>IF($G162="","",IF($H162=1,ROUND($G162/23,0),IF($H162=3,ROUND($G162/12,0),IF($H162=6,$G162,IF($H162=7,$G162-ROUND($G162*10/11,0),0)))))</f>
        <v>0</v>
      </c>
      <c r="N162" s="364">
        <f>IF($G162="","",K162+L162+M162)</f>
        <v>0</v>
      </c>
      <c r="O162" s="365" t="str">
        <f>IF($G162="","",IFERROR(VLOOKUP($D162&amp;"|"&amp;$E162,科目表!$A$5:$B$200,2,FALSE),"※未登録"))</f>
        <v>賃借料</v>
      </c>
      <c r="P162" s="359">
        <f>IF(OR($G162="",$C162=""),"",IF($B162="決算整理",13,MOD(MONTH($C162)-4,12)+1))</f>
        <v>4</v>
      </c>
      <c r="Q162" s="366" t="str">
        <f>IF($G162="","",TRIM(IF(J162+K162+L162+M162&lt;&gt;$G162,"按分不一致 ","")&amp;IF(O162="※未登録","科目未登録 ","")&amp;IF(OR($H162="",ISERROR(MATCH($H162,{1,2,3,4,5,6,7,8},0))),"経費区分? ","")&amp;IF($I162="","状態未設定 ","")&amp;IF(AND(OR($I162="確認済",$I162="未確認"),$B162="月例",OR($C162="",$C162&lt;DATE(年度+2018,4,1),$C162&gt;DATE(年度+2019,3,31))),"年度外の日付 ","")&amp;IF(AND(OR($I162="確認済",$I162="未確認"),O162="対象外"),"対象外の科目 ","")))</f>
        <v/>
      </c>
      <c r="R162" s="366" t="inlineStr">
        <is>
          <t>月例!165</t>
        </is>
      </c>
    </row>
    <row r="163">
      <c r="A163" s="359" t="n">
        <v>159</v>
      </c>
      <c r="B163" s="360" t="inlineStr">
        <is>
          <t>月例</t>
        </is>
      </c>
      <c r="C163" s="361" t="n">
        <v>44406</v>
      </c>
      <c r="D163" s="362" t="inlineStr">
        <is>
          <t>賃借料</t>
        </is>
      </c>
      <c r="E163" s="362" t="n"/>
      <c r="F163" s="362" t="inlineStr">
        <is>
          <t>ﾊﾟｿｺﾝｳｨﾙｽ対策ｿﾌﾄ(業務用)ｻﾝﾈｯﾄ（6月分）</t>
        </is>
      </c>
      <c r="G163" s="363" t="n">
        <v>2090</v>
      </c>
      <c r="H163" s="360" t="n">
        <v>2</v>
      </c>
      <c r="I163" s="360" t="inlineStr">
        <is>
          <t>昨年実績</t>
        </is>
      </c>
      <c r="J163" s="364">
        <f>IF($G163="","",IF($H163=1,$G163-ROUND($G163*10/23,0)-2*ROUND($G163/23,0),IF($H163=2,$G163,0)))</f>
        <v>2090</v>
      </c>
      <c r="K163" s="364">
        <f>IF($G163="","",IF($H163=1,ROUND($G163*10/23,0),IF($H163=3,$G163-2*ROUND($G163/12,0),IF($H163=4,$G163,IF(OR($H163=5,$H163=7),ROUND($G163*10/11,0),0)))))</f>
        <v>0</v>
      </c>
      <c r="L163" s="364">
        <f>IF($G163="","",IF($H163=1,ROUND($G163/23,0),IF($H163=3,ROUND($G163/12,0),IF($H163=5,$G163-ROUND($G163*10/11,0),IF($H163=8,$G163,0)))))</f>
        <v>0</v>
      </c>
      <c r="M163" s="364">
        <f>IF($G163="","",IF($H163=1,ROUND($G163/23,0),IF($H163=3,ROUND($G163/12,0),IF($H163=6,$G163,IF($H163=7,$G163-ROUND($G163*10/11,0),0)))))</f>
        <v>0</v>
      </c>
      <c r="N163" s="364">
        <f>IF($G163="","",K163+L163+M163)</f>
        <v>0</v>
      </c>
      <c r="O163" s="365" t="str">
        <f>IF($G163="","",IFERROR(VLOOKUP($D163&amp;"|"&amp;$E163,科目表!$A$5:$B$200,2,FALSE),"※未登録"))</f>
        <v>賃借料</v>
      </c>
      <c r="P163" s="359">
        <f>IF(OR($G163="",$C163=""),"",IF($B163="決算整理",13,MOD(MONTH($C163)-4,12)+1))</f>
        <v>4</v>
      </c>
      <c r="Q163" s="366" t="str">
        <f>IF($G163="","",TRIM(IF(J163+K163+L163+M163&lt;&gt;$G163,"按分不一致 ","")&amp;IF(O163="※未登録","科目未登録 ","")&amp;IF(OR($H163="",ISERROR(MATCH($H163,{1,2,3,4,5,6,7,8},0))),"経費区分? ","")&amp;IF($I163="","状態未設定 ","")&amp;IF(AND(OR($I163="確認済",$I163="未確認"),$B163="月例",OR($C163="",$C163&lt;DATE(年度+2018,4,1),$C163&gt;DATE(年度+2019,3,31))),"年度外の日付 ","")&amp;IF(AND(OR($I163="確認済",$I163="未確認"),O163="対象外"),"対象外の科目 ","")))</f>
        <v/>
      </c>
      <c r="R163" s="366" t="inlineStr">
        <is>
          <t>月例!166</t>
        </is>
      </c>
    </row>
    <row r="164">
      <c r="A164" s="359" t="n">
        <v>160</v>
      </c>
      <c r="B164" s="360" t="inlineStr">
        <is>
          <t>月例</t>
        </is>
      </c>
      <c r="C164" s="361" t="n">
        <v>45869</v>
      </c>
      <c r="D164" s="362" t="inlineStr">
        <is>
          <t>事務費</t>
        </is>
      </c>
      <c r="E164" s="362" t="inlineStr">
        <is>
          <t>事務用消耗品費</t>
        </is>
      </c>
      <c r="F164" s="362" t="inlineStr">
        <is>
          <t>マチ付きホルダー　YG－１４／１０枚入　４０パック　ほか</t>
        </is>
      </c>
      <c r="G164" s="363" t="n">
        <v>43080</v>
      </c>
      <c r="H164" s="360" t="n">
        <v>2</v>
      </c>
      <c r="I164" s="360" t="inlineStr">
        <is>
          <t>昨年実績</t>
        </is>
      </c>
      <c r="J164" s="364">
        <f>IF($G164="","",IF($H164=1,$G164-ROUND($G164*10/23,0)-2*ROUND($G164/23,0),IF($H164=2,$G164,0)))</f>
        <v>43080</v>
      </c>
      <c r="K164" s="364">
        <f>IF($G164="","",IF($H164=1,ROUND($G164*10/23,0),IF($H164=3,$G164-2*ROUND($G164/12,0),IF($H164=4,$G164,IF(OR($H164=5,$H164=7),ROUND($G164*10/11,0),0)))))</f>
        <v>0</v>
      </c>
      <c r="L164" s="364">
        <f>IF($G164="","",IF($H164=1,ROUND($G164/23,0),IF($H164=3,ROUND($G164/12,0),IF($H164=5,$G164-ROUND($G164*10/11,0),IF($H164=8,$G164,0)))))</f>
        <v>0</v>
      </c>
      <c r="M164" s="364">
        <f>IF($G164="","",IF($H164=1,ROUND($G164/23,0),IF($H164=3,ROUND($G164/12,0),IF($H164=6,$G164,IF($H164=7,$G164-ROUND($G164*10/11,0),0)))))</f>
        <v>0</v>
      </c>
      <c r="N164" s="364">
        <f>IF($G164="","",K164+L164+M164)</f>
        <v>0</v>
      </c>
      <c r="O164" s="365" t="str">
        <f>IF($G164="","",IFERROR(VLOOKUP($D164&amp;"|"&amp;$E164,科目表!$A$5:$B$200,2,FALSE),"※未登録"))</f>
        <v>事務用消耗品費</v>
      </c>
      <c r="P164" s="359">
        <f>IF(OR($G164="",$C164=""),"",IF($B164="決算整理",13,MOD(MONTH($C164)-4,12)+1))</f>
        <v>4</v>
      </c>
      <c r="Q164" s="366" t="str">
        <f>IF($G164="","",TRIM(IF(J164+K164+L164+M164&lt;&gt;$G164,"按分不一致 ","")&amp;IF(O164="※未登録","科目未登録 ","")&amp;IF(OR($H164="",ISERROR(MATCH($H164,{1,2,3,4,5,6,7,8},0))),"経費区分? ","")&amp;IF($I164="","状態未設定 ","")&amp;IF(AND(OR($I164="確認済",$I164="未確認"),$B164="月例",OR($C164="",$C164&lt;DATE(年度+2018,4,1),$C164&gt;DATE(年度+2019,3,31))),"年度外の日付 ","")&amp;IF(AND(OR($I164="確認済",$I164="未確認"),O164="対象外"),"対象外の科目 ","")))</f>
        <v/>
      </c>
      <c r="R164" s="366" t="inlineStr">
        <is>
          <t>月例!167</t>
        </is>
      </c>
    </row>
    <row r="165">
      <c r="A165" s="359" t="n">
        <v>161</v>
      </c>
      <c r="B165" s="360" t="inlineStr">
        <is>
          <t>月例</t>
        </is>
      </c>
      <c r="C165" s="361" t="n">
        <v>44768</v>
      </c>
      <c r="D165" s="362" t="inlineStr">
        <is>
          <t>事務費</t>
        </is>
      </c>
      <c r="E165" s="362" t="inlineStr">
        <is>
          <t>雑費</t>
        </is>
      </c>
      <c r="F165" s="362" t="inlineStr">
        <is>
          <t>ＪＡ残高証明書（手数料）R4.6.30時点</t>
        </is>
      </c>
      <c r="G165" s="363" t="n">
        <v>220</v>
      </c>
      <c r="H165" s="360" t="n">
        <v>2</v>
      </c>
      <c r="I165" s="360" t="inlineStr">
        <is>
          <t>昨年実績</t>
        </is>
      </c>
      <c r="J165" s="364">
        <f>IF($G165="","",IF($H165=1,$G165-ROUND($G165*10/23,0)-2*ROUND($G165/23,0),IF($H165=2,$G165,0)))</f>
        <v>220</v>
      </c>
      <c r="K165" s="364">
        <f>IF($G165="","",IF($H165=1,ROUND($G165*10/23,0),IF($H165=3,$G165-2*ROUND($G165/12,0),IF($H165=4,$G165,IF(OR($H165=5,$H165=7),ROUND($G165*10/11,0),0)))))</f>
        <v>0</v>
      </c>
      <c r="L165" s="364">
        <f>IF($G165="","",IF($H165=1,ROUND($G165/23,0),IF($H165=3,ROUND($G165/12,0),IF($H165=5,$G165-ROUND($G165*10/11,0),IF($H165=8,$G165,0)))))</f>
        <v>0</v>
      </c>
      <c r="M165" s="364">
        <f>IF($G165="","",IF($H165=1,ROUND($G165/23,0),IF($H165=3,ROUND($G165/12,0),IF($H165=6,$G165,IF($H165=7,$G165-ROUND($G165*10/11,0),0)))))</f>
        <v>0</v>
      </c>
      <c r="N165" s="364">
        <f>IF($G165="","",K165+L165+M165)</f>
        <v>0</v>
      </c>
      <c r="O165" s="365" t="str">
        <f>IF($G165="","",IFERROR(VLOOKUP($D165&amp;"|"&amp;$E165,科目表!$A$5:$B$200,2,FALSE),"※未登録"))</f>
        <v>事務費・雑費</v>
      </c>
      <c r="P165" s="359">
        <f>IF(OR($G165="",$C165=""),"",IF($B165="決算整理",13,MOD(MONTH($C165)-4,12)+1))</f>
        <v>4</v>
      </c>
      <c r="Q165" s="366" t="str">
        <f>IF($G165="","",TRIM(IF(J165+K165+L165+M165&lt;&gt;$G165,"按分不一致 ","")&amp;IF(O165="※未登録","科目未登録 ","")&amp;IF(OR($H165="",ISERROR(MATCH($H165,{1,2,3,4,5,6,7,8},0))),"経費区分? ","")&amp;IF($I165="","状態未設定 ","")&amp;IF(AND(OR($I165="確認済",$I165="未確認"),$B165="月例",OR($C165="",$C165&lt;DATE(年度+2018,4,1),$C165&gt;DATE(年度+2019,3,31))),"年度外の日付 ","")&amp;IF(AND(OR($I165="確認済",$I165="未確認"),O165="対象外"),"対象外の科目 ","")))</f>
        <v/>
      </c>
      <c r="R165" s="366" t="inlineStr">
        <is>
          <t>月例!168</t>
        </is>
      </c>
    </row>
    <row r="166">
      <c r="A166" s="359" t="n">
        <v>162</v>
      </c>
      <c r="B166" s="360" t="inlineStr">
        <is>
          <t>月例</t>
        </is>
      </c>
      <c r="C166" s="361" t="n">
        <v>46232</v>
      </c>
      <c r="D166" s="362" t="inlineStr">
        <is>
          <t>事務費</t>
        </is>
      </c>
      <c r="E166" s="362" t="inlineStr">
        <is>
          <t>通信運搬費</t>
        </is>
      </c>
      <c r="F166" s="362" t="inlineStr">
        <is>
          <t>料金後納利用料（６月分）</t>
        </is>
      </c>
      <c r="G166" s="363" t="n">
        <v>22860</v>
      </c>
      <c r="H166" s="360" t="n">
        <v>2</v>
      </c>
      <c r="I166" s="360" t="inlineStr">
        <is>
          <t>確認済</t>
        </is>
      </c>
      <c r="J166" s="364">
        <f>IF($G166="","",IF($H166=1,$G166-ROUND($G166*10/23,0)-2*ROUND($G166/23,0),IF($H166=2,$G166,0)))</f>
        <v>22860</v>
      </c>
      <c r="K166" s="364">
        <f>IF($G166="","",IF($H166=1,ROUND($G166*10/23,0),IF($H166=3,$G166-2*ROUND($G166/12,0),IF($H166=4,$G166,IF(OR($H166=5,$H166=7),ROUND($G166*10/11,0),0)))))</f>
        <v>0</v>
      </c>
      <c r="L166" s="364">
        <f>IF($G166="","",IF($H166=1,ROUND($G166/23,0),IF($H166=3,ROUND($G166/12,0),IF($H166=5,$G166-ROUND($G166*10/11,0),IF($H166=8,$G166,0)))))</f>
        <v>0</v>
      </c>
      <c r="M166" s="364">
        <f>IF($G166="","",IF($H166=1,ROUND($G166/23,0),IF($H166=3,ROUND($G166/12,0),IF($H166=6,$G166,IF($H166=7,$G166-ROUND($G166*10/11,0),0)))))</f>
        <v>0</v>
      </c>
      <c r="N166" s="364">
        <f>IF($G166="","",K166+L166+M166)</f>
        <v>0</v>
      </c>
      <c r="O166" s="365" t="str">
        <f>IF($G166="","",IFERROR(VLOOKUP($D166&amp;"|"&amp;$E166,科目表!$A$5:$B$200,2,FALSE),"※未登録"))</f>
        <v>通信運搬費</v>
      </c>
      <c r="P166" s="359">
        <f>IF(OR($G166="",$C166=""),"",IF($B166="決算整理",13,MOD(MONTH($C166)-4,12)+1))</f>
        <v>4</v>
      </c>
      <c r="Q166" s="366" t="str">
        <f>IF($G166="","",TRIM(IF(J166+K166+L166+M166&lt;&gt;$G166,"按分不一致 ","")&amp;IF(O166="※未登録","科目未登録 ","")&amp;IF(OR($H166="",ISERROR(MATCH($H166,{1,2,3,4,5,6,7,8},0))),"経費区分? ","")&amp;IF($I166="","状態未設定 ","")&amp;IF(AND(OR($I166="確認済",$I166="未確認"),$B166="月例",OR($C166="",$C166&lt;DATE(年度+2018,4,1),$C166&gt;DATE(年度+2019,3,31))),"年度外の日付 ","")&amp;IF(AND(OR($I166="確認済",$I166="未確認"),O166="対象外"),"対象外の科目 ","")))</f>
        <v/>
      </c>
      <c r="R166" s="366" t="inlineStr">
        <is>
          <t>月例!169</t>
        </is>
      </c>
    </row>
    <row r="167">
      <c r="A167" s="359" t="n">
        <v>163</v>
      </c>
      <c r="B167" s="360" t="inlineStr">
        <is>
          <t>月例</t>
        </is>
      </c>
      <c r="C167" s="361" t="n">
        <v>46232</v>
      </c>
      <c r="D167" s="362" t="inlineStr">
        <is>
          <t>事務費</t>
        </is>
      </c>
      <c r="E167" s="362" t="inlineStr">
        <is>
          <t>通信運搬費</t>
        </is>
      </c>
      <c r="F167" s="362" t="inlineStr">
        <is>
          <t>料金後納利用料（６月分）</t>
        </is>
      </c>
      <c r="G167" s="363" t="n">
        <v>1235000</v>
      </c>
      <c r="H167" s="360" t="n">
        <v>3</v>
      </c>
      <c r="I167" s="360" t="inlineStr">
        <is>
          <t>確認済</t>
        </is>
      </c>
      <c r="J167" s="364">
        <f>IF($G167="","",IF($H167=1,$G167-ROUND($G167*10/23,0)-2*ROUND($G167/23,0),IF($H167=2,$G167,0)))</f>
        <v>0</v>
      </c>
      <c r="K167" s="364">
        <f>IF($G167="","",IF($H167=1,ROUND($G167*10/23,0),IF($H167=3,$G167-2*ROUND($G167/12,0),IF($H167=4,$G167,IF(OR($H167=5,$H167=7),ROUND($G167*10/11,0),0)))))</f>
        <v>1029166</v>
      </c>
      <c r="L167" s="364">
        <f>IF($G167="","",IF($H167=1,ROUND($G167/23,0),IF($H167=3,ROUND($G167/12,0),IF($H167=5,$G167-ROUND($G167*10/11,0),IF($H167=8,$G167,0)))))</f>
        <v>102917</v>
      </c>
      <c r="M167" s="364">
        <f>IF($G167="","",IF($H167=1,ROUND($G167/23,0),IF($H167=3,ROUND($G167/12,0),IF($H167=6,$G167,IF($H167=7,$G167-ROUND($G167*10/11,0),0)))))</f>
        <v>102917</v>
      </c>
      <c r="N167" s="364">
        <f>IF($G167="","",K167+L167+M167)</f>
        <v>1235000</v>
      </c>
      <c r="O167" s="365" t="str">
        <f>IF($G167="","",IFERROR(VLOOKUP($D167&amp;"|"&amp;$E167,科目表!$A$5:$B$200,2,FALSE),"※未登録"))</f>
        <v>通信運搬費</v>
      </c>
      <c r="P167" s="359">
        <f>IF(OR($G167="",$C167=""),"",IF($B167="決算整理",13,MOD(MONTH($C167)-4,12)+1))</f>
        <v>4</v>
      </c>
      <c r="Q167" s="366" t="str">
        <f>IF($G167="","",TRIM(IF(J167+K167+L167+M167&lt;&gt;$G167,"按分不一致 ","")&amp;IF(O167="※未登録","科目未登録 ","")&amp;IF(OR($H167="",ISERROR(MATCH($H167,{1,2,3,4,5,6,7,8},0))),"経費区分? ","")&amp;IF($I167="","状態未設定 ","")&amp;IF(AND(OR($I167="確認済",$I167="未確認"),$B167="月例",OR($C167="",$C167&lt;DATE(年度+2018,4,1),$C167&gt;DATE(年度+2019,3,31))),"年度外の日付 ","")&amp;IF(AND(OR($I167="確認済",$I167="未確認"),O167="対象外"),"対象外の科目 ","")))</f>
        <v/>
      </c>
      <c r="R167" s="366" t="inlineStr">
        <is>
          <t>月例!170</t>
        </is>
      </c>
    </row>
    <row r="168">
      <c r="A168" s="359" t="n">
        <v>164</v>
      </c>
      <c r="B168" s="360" t="inlineStr">
        <is>
          <t>月例</t>
        </is>
      </c>
      <c r="C168" s="361" t="n">
        <v>45135</v>
      </c>
      <c r="D168" s="362" t="inlineStr">
        <is>
          <t>事務費</t>
        </is>
      </c>
      <c r="E168" s="362" t="inlineStr">
        <is>
          <t>事務用消耗品費</t>
        </is>
      </c>
      <c r="F168" s="362" t="inlineStr">
        <is>
          <t>鋳造ゴム印　３号以下265字　他</t>
        </is>
      </c>
      <c r="G168" s="363" t="n">
        <v>9498</v>
      </c>
      <c r="H168" s="360" t="n">
        <v>3</v>
      </c>
      <c r="I168" s="360" t="inlineStr">
        <is>
          <t>昨年実績</t>
        </is>
      </c>
      <c r="J168" s="364">
        <f>IF($G168="","",IF($H168=1,$G168-ROUND($G168*10/23,0)-2*ROUND($G168/23,0),IF($H168=2,$G168,0)))</f>
        <v>0</v>
      </c>
      <c r="K168" s="364">
        <f>IF($G168="","",IF($H168=1,ROUND($G168*10/23,0),IF($H168=3,$G168-2*ROUND($G168/12,0),IF($H168=4,$G168,IF(OR($H168=5,$H168=7),ROUND($G168*10/11,0),0)))))</f>
        <v>7914</v>
      </c>
      <c r="L168" s="364">
        <f>IF($G168="","",IF($H168=1,ROUND($G168/23,0),IF($H168=3,ROUND($G168/12,0),IF($H168=5,$G168-ROUND($G168*10/11,0),IF($H168=8,$G168,0)))))</f>
        <v>792</v>
      </c>
      <c r="M168" s="364">
        <f>IF($G168="","",IF($H168=1,ROUND($G168/23,0),IF($H168=3,ROUND($G168/12,0),IF($H168=6,$G168,IF($H168=7,$G168-ROUND($G168*10/11,0),0)))))</f>
        <v>792</v>
      </c>
      <c r="N168" s="364">
        <f>IF($G168="","",K168+L168+M168)</f>
        <v>9498</v>
      </c>
      <c r="O168" s="365" t="str">
        <f>IF($G168="","",IFERROR(VLOOKUP($D168&amp;"|"&amp;$E168,科目表!$A$5:$B$200,2,FALSE),"※未登録"))</f>
        <v>事務用消耗品費</v>
      </c>
      <c r="P168" s="359">
        <f>IF(OR($G168="",$C168=""),"",IF($B168="決算整理",13,MOD(MONTH($C168)-4,12)+1))</f>
        <v>4</v>
      </c>
      <c r="Q168" s="366" t="str">
        <f>IF($G168="","",TRIM(IF(J168+K168+L168+M168&lt;&gt;$G168,"按分不一致 ","")&amp;IF(O168="※未登録","科目未登録 ","")&amp;IF(OR($H168="",ISERROR(MATCH($H168,{1,2,3,4,5,6,7,8},0))),"経費区分? ","")&amp;IF($I168="","状態未設定 ","")&amp;IF(AND(OR($I168="確認済",$I168="未確認"),$B168="月例",OR($C168="",$C168&lt;DATE(年度+2018,4,1),$C168&gt;DATE(年度+2019,3,31))),"年度外の日付 ","")&amp;IF(AND(OR($I168="確認済",$I168="未確認"),O168="対象外"),"対象外の科目 ","")))</f>
        <v/>
      </c>
      <c r="R168" s="366" t="inlineStr">
        <is>
          <t>月例!171</t>
        </is>
      </c>
    </row>
    <row r="169">
      <c r="A169" s="359" t="n">
        <v>165</v>
      </c>
      <c r="B169" s="360" t="inlineStr">
        <is>
          <t>月例</t>
        </is>
      </c>
      <c r="C169" s="361" t="n">
        <v>45869</v>
      </c>
      <c r="D169" s="362" t="inlineStr">
        <is>
          <t>事務費</t>
        </is>
      </c>
      <c r="E169" s="362" t="inlineStr">
        <is>
          <t>通信運搬費</t>
        </is>
      </c>
      <c r="F169" s="362" t="inlineStr">
        <is>
          <t>フレッツ光ネクスト利用料等（６月利用・７月請求分）</t>
        </is>
      </c>
      <c r="G169" s="363" t="n">
        <v>5126</v>
      </c>
      <c r="H169" s="360" t="n">
        <v>2</v>
      </c>
      <c r="I169" s="360" t="inlineStr">
        <is>
          <t>昨年実績</t>
        </is>
      </c>
      <c r="J169" s="364">
        <f>IF($G169="","",IF($H169=1,$G169-ROUND($G169*10/23,0)-2*ROUND($G169/23,0),IF($H169=2,$G169,0)))</f>
        <v>5126</v>
      </c>
      <c r="K169" s="364">
        <f>IF($G169="","",IF($H169=1,ROUND($G169*10/23,0),IF($H169=3,$G169-2*ROUND($G169/12,0),IF($H169=4,$G169,IF(OR($H169=5,$H169=7),ROUND($G169*10/11,0),0)))))</f>
        <v>0</v>
      </c>
      <c r="L169" s="364">
        <f>IF($G169="","",IF($H169=1,ROUND($G169/23,0),IF($H169=3,ROUND($G169/12,0),IF($H169=5,$G169-ROUND($G169*10/11,0),IF($H169=8,$G169,0)))))</f>
        <v>0</v>
      </c>
      <c r="M169" s="364">
        <f>IF($G169="","",IF($H169=1,ROUND($G169/23,0),IF($H169=3,ROUND($G169/12,0),IF($H169=6,$G169,IF($H169=7,$G169-ROUND($G169*10/11,0),0)))))</f>
        <v>0</v>
      </c>
      <c r="N169" s="364">
        <f>IF($G169="","",K169+L169+M169)</f>
        <v>0</v>
      </c>
      <c r="O169" s="365" t="str">
        <f>IF($G169="","",IFERROR(VLOOKUP($D169&amp;"|"&amp;$E169,科目表!$A$5:$B$200,2,FALSE),"※未登録"))</f>
        <v>通信運搬費</v>
      </c>
      <c r="P169" s="359">
        <f>IF(OR($G169="",$C169=""),"",IF($B169="決算整理",13,MOD(MONTH($C169)-4,12)+1))</f>
        <v>4</v>
      </c>
      <c r="Q169" s="366" t="str">
        <f>IF($G169="","",TRIM(IF(J169+K169+L169+M169&lt;&gt;$G169,"按分不一致 ","")&amp;IF(O169="※未登録","科目未登録 ","")&amp;IF(OR($H169="",ISERROR(MATCH($H169,{1,2,3,4,5,6,7,8},0))),"経費区分? ","")&amp;IF($I169="","状態未設定 ","")&amp;IF(AND(OR($I169="確認済",$I169="未確認"),$B169="月例",OR($C169="",$C169&lt;DATE(年度+2018,4,1),$C169&gt;DATE(年度+2019,3,31))),"年度外の日付 ","")&amp;IF(AND(OR($I169="確認済",$I169="未確認"),O169="対象外"),"対象外の科目 ","")))</f>
        <v/>
      </c>
      <c r="R169" s="366" t="inlineStr">
        <is>
          <t>月例!172</t>
        </is>
      </c>
    </row>
    <row r="170">
      <c r="A170" s="359" t="n">
        <v>166</v>
      </c>
      <c r="B170" s="360" t="inlineStr">
        <is>
          <t>月例</t>
        </is>
      </c>
      <c r="C170" s="361" t="n">
        <v>45135</v>
      </c>
      <c r="D170" s="362" t="inlineStr">
        <is>
          <t>事務費</t>
        </is>
      </c>
      <c r="E170" s="362" t="inlineStr">
        <is>
          <t>事務用消耗品費</t>
        </is>
      </c>
      <c r="F170" s="362" t="inlineStr">
        <is>
          <t>ネームランドテープ　XR-12WE-5P　2セットほか</t>
        </is>
      </c>
      <c r="G170" s="363" t="n">
        <v>12908</v>
      </c>
      <c r="H170" s="360" t="n">
        <v>3</v>
      </c>
      <c r="I170" s="360" t="inlineStr">
        <is>
          <t>昨年実績</t>
        </is>
      </c>
      <c r="J170" s="364">
        <f>IF($G170="","",IF($H170=1,$G170-ROUND($G170*10/23,0)-2*ROUND($G170/23,0),IF($H170=2,$G170,0)))</f>
        <v>0</v>
      </c>
      <c r="K170" s="364">
        <f>IF($G170="","",IF($H170=1,ROUND($G170*10/23,0),IF($H170=3,$G170-2*ROUND($G170/12,0),IF($H170=4,$G170,IF(OR($H170=5,$H170=7),ROUND($G170*10/11,0),0)))))</f>
        <v>10756</v>
      </c>
      <c r="L170" s="364">
        <f>IF($G170="","",IF($H170=1,ROUND($G170/23,0),IF($H170=3,ROUND($G170/12,0),IF($H170=5,$G170-ROUND($G170*10/11,0),IF($H170=8,$G170,0)))))</f>
        <v>1076</v>
      </c>
      <c r="M170" s="364">
        <f>IF($G170="","",IF($H170=1,ROUND($G170/23,0),IF($H170=3,ROUND($G170/12,0),IF($H170=6,$G170,IF($H170=7,$G170-ROUND($G170*10/11,0),0)))))</f>
        <v>1076</v>
      </c>
      <c r="N170" s="364">
        <f>IF($G170="","",K170+L170+M170)</f>
        <v>12908</v>
      </c>
      <c r="O170" s="365" t="str">
        <f>IF($G170="","",IFERROR(VLOOKUP($D170&amp;"|"&amp;$E170,科目表!$A$5:$B$200,2,FALSE),"※未登録"))</f>
        <v>事務用消耗品費</v>
      </c>
      <c r="P170" s="359">
        <f>IF(OR($G170="",$C170=""),"",IF($B170="決算整理",13,MOD(MONTH($C170)-4,12)+1))</f>
        <v>4</v>
      </c>
      <c r="Q170" s="366" t="str">
        <f>IF($G170="","",TRIM(IF(J170+K170+L170+M170&lt;&gt;$G170,"按分不一致 ","")&amp;IF(O170="※未登録","科目未登録 ","")&amp;IF(OR($H170="",ISERROR(MATCH($H170,{1,2,3,4,5,6,7,8},0))),"経費区分? ","")&amp;IF($I170="","状態未設定 ","")&amp;IF(AND(OR($I170="確認済",$I170="未確認"),$B170="月例",OR($C170="",$C170&lt;DATE(年度+2018,4,1),$C170&gt;DATE(年度+2019,3,31))),"年度外の日付 ","")&amp;IF(AND(OR($I170="確認済",$I170="未確認"),O170="対象外"),"対象外の科目 ","")))</f>
        <v/>
      </c>
      <c r="R170" s="366" t="inlineStr">
        <is>
          <t>月例!173</t>
        </is>
      </c>
    </row>
    <row r="171">
      <c r="A171" s="359" t="n">
        <v>167</v>
      </c>
      <c r="B171" s="360" t="inlineStr">
        <is>
          <t>月例</t>
        </is>
      </c>
      <c r="C171" s="361" t="n">
        <v>46234</v>
      </c>
      <c r="D171" s="362" t="inlineStr">
        <is>
          <t>負担金</t>
        </is>
      </c>
      <c r="E171" s="362" t="inlineStr">
        <is>
          <t>厚年負担金等</t>
        </is>
      </c>
      <c r="F171" s="362" t="inlineStr">
        <is>
          <t>７月月例（短期分）子ども子育て拠出金を含む</t>
        </is>
      </c>
      <c r="G171" s="363" t="n">
        <v>62766</v>
      </c>
      <c r="H171" s="360" t="n">
        <v>2</v>
      </c>
      <c r="I171" s="360" t="inlineStr">
        <is>
          <t>確認済</t>
        </is>
      </c>
      <c r="J171" s="364">
        <f>IF($G171="","",IF($H171=1,$G171-ROUND($G171*10/23,0)-2*ROUND($G171/23,0),IF($H171=2,$G171,0)))</f>
        <v>62766</v>
      </c>
      <c r="K171" s="364">
        <f>IF($G171="","",IF($H171=1,ROUND($G171*10/23,0),IF($H171=3,$G171-2*ROUND($G171/12,0),IF($H171=4,$G171,IF(OR($H171=5,$H171=7),ROUND($G171*10/11,0),0)))))</f>
        <v>0</v>
      </c>
      <c r="L171" s="364">
        <f>IF($G171="","",IF($H171=1,ROUND($G171/23,0),IF($H171=3,ROUND($G171/12,0),IF($H171=5,$G171-ROUND($G171*10/11,0),IF($H171=8,$G171,0)))))</f>
        <v>0</v>
      </c>
      <c r="M171" s="364">
        <f>IF($G171="","",IF($H171=1,ROUND($G171/23,0),IF($H171=3,ROUND($G171/12,0),IF($H171=6,$G171,IF($H171=7,$G171-ROUND($G171*10/11,0),0)))))</f>
        <v>0</v>
      </c>
      <c r="N171" s="364">
        <f>IF($G171="","",K171+L171+M171)</f>
        <v>0</v>
      </c>
      <c r="O171" s="365" t="str">
        <f>IF($G171="","",IFERROR(VLOOKUP($D171&amp;"|"&amp;$E171,科目表!$A$5:$B$200,2,FALSE),"※未登録"))</f>
        <v>厚年負担金等</v>
      </c>
      <c r="P171" s="359">
        <f>IF(OR($G171="",$C171=""),"",IF($B171="決算整理",13,MOD(MONTH($C171)-4,12)+1))</f>
        <v>4</v>
      </c>
      <c r="Q171" s="366" t="str">
        <f>IF($G171="","",TRIM(IF(J171+K171+L171+M171&lt;&gt;$G171,"按分不一致 ","")&amp;IF(O171="※未登録","科目未登録 ","")&amp;IF(OR($H171="",ISERROR(MATCH($H171,{1,2,3,4,5,6,7,8},0))),"経費区分? ","")&amp;IF($I171="","状態未設定 ","")&amp;IF(AND(OR($I171="確認済",$I171="未確認"),$B171="月例",OR($C171="",$C171&lt;DATE(年度+2018,4,1),$C171&gt;DATE(年度+2019,3,31))),"年度外の日付 ","")&amp;IF(AND(OR($I171="確認済",$I171="未確認"),O171="対象外"),"対象外の科目 ","")))</f>
        <v/>
      </c>
      <c r="R171" s="366" t="inlineStr">
        <is>
          <t>月例!175</t>
        </is>
      </c>
    </row>
    <row r="172">
      <c r="A172" s="359" t="n">
        <v>168</v>
      </c>
      <c r="B172" s="360" t="inlineStr">
        <is>
          <t>月例</t>
        </is>
      </c>
      <c r="C172" s="361" t="n">
        <v>46234</v>
      </c>
      <c r="D172" s="362" t="inlineStr">
        <is>
          <t>負担金</t>
        </is>
      </c>
      <c r="E172" s="362" t="inlineStr">
        <is>
          <t>厚年負担金等</t>
        </is>
      </c>
      <c r="F172" s="362" t="inlineStr">
        <is>
          <t>７月月例分（長期分）子ども子育て拠出金を含む</t>
        </is>
      </c>
      <c r="G172" s="363" t="n">
        <v>37089</v>
      </c>
      <c r="H172" s="360" t="n">
        <v>3</v>
      </c>
      <c r="I172" s="360" t="inlineStr">
        <is>
          <t>確認済</t>
        </is>
      </c>
      <c r="J172" s="364">
        <f>IF($G172="","",IF($H172=1,$G172-ROUND($G172*10/23,0)-2*ROUND($G172/23,0),IF($H172=2,$G172,0)))</f>
        <v>0</v>
      </c>
      <c r="K172" s="364">
        <f>IF($G172="","",IF($H172=1,ROUND($G172*10/23,0),IF($H172=3,$G172-2*ROUND($G172/12,0),IF($H172=4,$G172,IF(OR($H172=5,$H172=7),ROUND($G172*10/11,0),0)))))</f>
        <v>30907</v>
      </c>
      <c r="L172" s="364">
        <f>IF($G172="","",IF($H172=1,ROUND($G172/23,0),IF($H172=3,ROUND($G172/12,0),IF($H172=5,$G172-ROUND($G172*10/11,0),IF($H172=8,$G172,0)))))</f>
        <v>3091</v>
      </c>
      <c r="M172" s="364">
        <f>IF($G172="","",IF($H172=1,ROUND($G172/23,0),IF($H172=3,ROUND($G172/12,0),IF($H172=6,$G172,IF($H172=7,$G172-ROUND($G172*10/11,0),0)))))</f>
        <v>3091</v>
      </c>
      <c r="N172" s="364">
        <f>IF($G172="","",K172+L172+M172)</f>
        <v>37089</v>
      </c>
      <c r="O172" s="365" t="str">
        <f>IF($G172="","",IFERROR(VLOOKUP($D172&amp;"|"&amp;$E172,科目表!$A$5:$B$200,2,FALSE),"※未登録"))</f>
        <v>厚年負担金等</v>
      </c>
      <c r="P172" s="359">
        <f>IF(OR($G172="",$C172=""),"",IF($B172="決算整理",13,MOD(MONTH($C172)-4,12)+1))</f>
        <v>4</v>
      </c>
      <c r="Q172" s="366" t="str">
        <f>IF($G172="","",TRIM(IF(J172+K172+L172+M172&lt;&gt;$G172,"按分不一致 ","")&amp;IF(O172="※未登録","科目未登録 ","")&amp;IF(OR($H172="",ISERROR(MATCH($H172,{1,2,3,4,5,6,7,8},0))),"経費区分? ","")&amp;IF($I172="","状態未設定 ","")&amp;IF(AND(OR($I172="確認済",$I172="未確認"),$B172="月例",OR($C172="",$C172&lt;DATE(年度+2018,4,1),$C172&gt;DATE(年度+2019,3,31))),"年度外の日付 ","")&amp;IF(AND(OR($I172="確認済",$I172="未確認"),O172="対象外"),"対象外の科目 ","")))</f>
        <v/>
      </c>
      <c r="R172" s="366" t="inlineStr">
        <is>
          <t>月例!177</t>
        </is>
      </c>
    </row>
    <row r="173">
      <c r="A173" s="359" t="n">
        <v>169</v>
      </c>
      <c r="B173" s="360" t="inlineStr">
        <is>
          <t>月例</t>
        </is>
      </c>
      <c r="C173" s="361" t="n">
        <v>44407</v>
      </c>
      <c r="D173" s="362" t="inlineStr">
        <is>
          <t>委託費</t>
        </is>
      </c>
      <c r="E173" s="362" t="n"/>
      <c r="F173" s="362" t="inlineStr">
        <is>
          <t>短期給付個人番号管理システム端末保守サービス（６月分）</t>
        </is>
      </c>
      <c r="G173" s="363" t="n">
        <v>385</v>
      </c>
      <c r="H173" s="360" t="n">
        <v>2</v>
      </c>
      <c r="I173" s="360" t="inlineStr">
        <is>
          <t>昨年実績</t>
        </is>
      </c>
      <c r="J173" s="364">
        <f>IF($G173="","",IF($H173=1,$G173-ROUND($G173*10/23,0)-2*ROUND($G173/23,0),IF($H173=2,$G173,0)))</f>
        <v>385</v>
      </c>
      <c r="K173" s="364">
        <f>IF($G173="","",IF($H173=1,ROUND($G173*10/23,0),IF($H173=3,$G173-2*ROUND($G173/12,0),IF($H173=4,$G173,IF(OR($H173=5,$H173=7),ROUND($G173*10/11,0),0)))))</f>
        <v>0</v>
      </c>
      <c r="L173" s="364">
        <f>IF($G173="","",IF($H173=1,ROUND($G173/23,0),IF($H173=3,ROUND($G173/12,0),IF($H173=5,$G173-ROUND($G173*10/11,0),IF($H173=8,$G173,0)))))</f>
        <v>0</v>
      </c>
      <c r="M173" s="364">
        <f>IF($G173="","",IF($H173=1,ROUND($G173/23,0),IF($H173=3,ROUND($G173/12,0),IF($H173=6,$G173,IF($H173=7,$G173-ROUND($G173*10/11,0),0)))))</f>
        <v>0</v>
      </c>
      <c r="N173" s="364">
        <f>IF($G173="","",K173+L173+M173)</f>
        <v>0</v>
      </c>
      <c r="O173" s="365" t="str">
        <f>IF($G173="","",IFERROR(VLOOKUP($D173&amp;"|"&amp;$E173,科目表!$A$5:$B$200,2,FALSE),"※未登録"))</f>
        <v>委託費</v>
      </c>
      <c r="P173" s="359">
        <f>IF(OR($G173="",$C173=""),"",IF($B173="決算整理",13,MOD(MONTH($C173)-4,12)+1))</f>
        <v>4</v>
      </c>
      <c r="Q173" s="366" t="str">
        <f>IF($G173="","",TRIM(IF(J173+K173+L173+M173&lt;&gt;$G173,"按分不一致 ","")&amp;IF(O173="※未登録","科目未登録 ","")&amp;IF(OR($H173="",ISERROR(MATCH($H173,{1,2,3,4,5,6,7,8},0))),"経費区分? ","")&amp;IF($I173="","状態未設定 ","")&amp;IF(AND(OR($I173="確認済",$I173="未確認"),$B173="月例",OR($C173="",$C173&lt;DATE(年度+2018,4,1),$C173&gt;DATE(年度+2019,3,31))),"年度外の日付 ","")&amp;IF(AND(OR($I173="確認済",$I173="未確認"),O173="対象外"),"対象外の科目 ","")))</f>
        <v/>
      </c>
      <c r="R173" s="366" t="inlineStr">
        <is>
          <t>月例!178</t>
        </is>
      </c>
    </row>
    <row r="174">
      <c r="A174" s="359" t="n">
        <v>170</v>
      </c>
      <c r="B174" s="360" t="inlineStr">
        <is>
          <t>月例</t>
        </is>
      </c>
      <c r="C174" s="361" t="n">
        <v>46234</v>
      </c>
      <c r="D174" s="362" t="inlineStr">
        <is>
          <t>事務費</t>
        </is>
      </c>
      <c r="E174" s="362" t="inlineStr">
        <is>
          <t>図書印刷費</t>
        </is>
      </c>
      <c r="F174" s="362" t="inlineStr">
        <is>
          <t>厚生法規総覧追録　6116-6125号</t>
        </is>
      </c>
      <c r="G174" s="363" t="n">
        <v>33154</v>
      </c>
      <c r="H174" s="360" t="n">
        <v>2</v>
      </c>
      <c r="I174" s="360" t="inlineStr">
        <is>
          <t>確認済</t>
        </is>
      </c>
      <c r="J174" s="364">
        <f>IF($G174="","",IF($H174=1,$G174-ROUND($G174*10/23,0)-2*ROUND($G174/23,0),IF($H174=2,$G174,0)))</f>
        <v>33154</v>
      </c>
      <c r="K174" s="364">
        <f>IF($G174="","",IF($H174=1,ROUND($G174*10/23,0),IF($H174=3,$G174-2*ROUND($G174/12,0),IF($H174=4,$G174,IF(OR($H174=5,$H174=7),ROUND($G174*10/11,0),0)))))</f>
        <v>0</v>
      </c>
      <c r="L174" s="364">
        <f>IF($G174="","",IF($H174=1,ROUND($G174/23,0),IF($H174=3,ROUND($G174/12,0),IF($H174=5,$G174-ROUND($G174*10/11,0),IF($H174=8,$G174,0)))))</f>
        <v>0</v>
      </c>
      <c r="M174" s="364">
        <f>IF($G174="","",IF($H174=1,ROUND($G174/23,0),IF($H174=3,ROUND($G174/12,0),IF($H174=6,$G174,IF($H174=7,$G174-ROUND($G174*10/11,0),0)))))</f>
        <v>0</v>
      </c>
      <c r="N174" s="364">
        <f>IF($G174="","",K174+L174+M174)</f>
        <v>0</v>
      </c>
      <c r="O174" s="365" t="str">
        <f>IF($G174="","",IFERROR(VLOOKUP($D174&amp;"|"&amp;$E174,科目表!$A$5:$B$200,2,FALSE),"※未登録"))</f>
        <v>図書印刷費</v>
      </c>
      <c r="P174" s="359">
        <f>IF(OR($G174="",$C174=""),"",IF($B174="決算整理",13,MOD(MONTH($C174)-4,12)+1))</f>
        <v>4</v>
      </c>
      <c r="Q174" s="366" t="str">
        <f>IF($G174="","",TRIM(IF(J174+K174+L174+M174&lt;&gt;$G174,"按分不一致 ","")&amp;IF(O174="※未登録","科目未登録 ","")&amp;IF(OR($H174="",ISERROR(MATCH($H174,{1,2,3,4,5,6,7,8},0))),"経費区分? ","")&amp;IF($I174="","状態未設定 ","")&amp;IF(AND(OR($I174="確認済",$I174="未確認"),$B174="月例",OR($C174="",$C174&lt;DATE(年度+2018,4,1),$C174&gt;DATE(年度+2019,3,31))),"年度外の日付 ","")&amp;IF(AND(OR($I174="確認済",$I174="未確認"),O174="対象外"),"対象外の科目 ","")))</f>
        <v/>
      </c>
      <c r="R174" s="366" t="inlineStr">
        <is>
          <t>月例!179</t>
        </is>
      </c>
    </row>
    <row r="175">
      <c r="A175" s="359" t="n">
        <v>171</v>
      </c>
      <c r="B175" s="360" t="inlineStr">
        <is>
          <t>月例</t>
        </is>
      </c>
      <c r="C175" s="361" t="n">
        <v>45138</v>
      </c>
      <c r="D175" s="362" t="inlineStr">
        <is>
          <t>事務費</t>
        </is>
      </c>
      <c r="E175" s="362" t="inlineStr">
        <is>
          <t>通信運搬費</t>
        </is>
      </c>
      <c r="F175" s="362" t="inlineStr">
        <is>
          <t>柔整申請書送付（６月分）</t>
        </is>
      </c>
      <c r="G175" s="363" t="n">
        <v>1489</v>
      </c>
      <c r="H175" s="360" t="n">
        <v>2</v>
      </c>
      <c r="I175" s="360" t="inlineStr">
        <is>
          <t>昨年実績</t>
        </is>
      </c>
      <c r="J175" s="364">
        <f>IF($G175="","",IF($H175=1,$G175-ROUND($G175*10/23,0)-2*ROUND($G175/23,0),IF($H175=2,$G175,0)))</f>
        <v>1489</v>
      </c>
      <c r="K175" s="364">
        <f>IF($G175="","",IF($H175=1,ROUND($G175*10/23,0),IF($H175=3,$G175-2*ROUND($G175/12,0),IF($H175=4,$G175,IF(OR($H175=5,$H175=7),ROUND($G175*10/11,0),0)))))</f>
        <v>0</v>
      </c>
      <c r="L175" s="364">
        <f>IF($G175="","",IF($H175=1,ROUND($G175/23,0),IF($H175=3,ROUND($G175/12,0),IF($H175=5,$G175-ROUND($G175*10/11,0),IF($H175=8,$G175,0)))))</f>
        <v>0</v>
      </c>
      <c r="M175" s="364">
        <f>IF($G175="","",IF($H175=1,ROUND($G175/23,0),IF($H175=3,ROUND($G175/12,0),IF($H175=6,$G175,IF($H175=7,$G175-ROUND($G175*10/11,0),0)))))</f>
        <v>0</v>
      </c>
      <c r="N175" s="364">
        <f>IF($G175="","",K175+L175+M175)</f>
        <v>0</v>
      </c>
      <c r="O175" s="365" t="str">
        <f>IF($G175="","",IFERROR(VLOOKUP($D175&amp;"|"&amp;$E175,科目表!$A$5:$B$200,2,FALSE),"※未登録"))</f>
        <v>通信運搬費</v>
      </c>
      <c r="P175" s="359">
        <f>IF(OR($G175="",$C175=""),"",IF($B175="決算整理",13,MOD(MONTH($C175)-4,12)+1))</f>
        <v>4</v>
      </c>
      <c r="Q175" s="366" t="str">
        <f>IF($G175="","",TRIM(IF(J175+K175+L175+M175&lt;&gt;$G175,"按分不一致 ","")&amp;IF(O175="※未登録","科目未登録 ","")&amp;IF(OR($H175="",ISERROR(MATCH($H175,{1,2,3,4,5,6,7,8},0))),"経費区分? ","")&amp;IF($I175="","状態未設定 ","")&amp;IF(AND(OR($I175="確認済",$I175="未確認"),$B175="月例",OR($C175="",$C175&lt;DATE(年度+2018,4,1),$C175&gt;DATE(年度+2019,3,31))),"年度外の日付 ","")&amp;IF(AND(OR($I175="確認済",$I175="未確認"),O175="対象外"),"対象外の科目 ","")))</f>
        <v/>
      </c>
      <c r="R175" s="366" t="inlineStr">
        <is>
          <t>月例!180</t>
        </is>
      </c>
    </row>
    <row r="176">
      <c r="A176" s="359" t="n">
        <v>172</v>
      </c>
      <c r="B176" s="360" t="inlineStr">
        <is>
          <t>月例</t>
        </is>
      </c>
      <c r="C176" s="361" t="n">
        <v>46234</v>
      </c>
      <c r="D176" s="362" t="inlineStr">
        <is>
          <t>委託費</t>
        </is>
      </c>
      <c r="E176" s="362" t="n"/>
      <c r="F176" s="362" t="inlineStr">
        <is>
          <t>柔整等療養費支給申請書の入力（６月分）</t>
        </is>
      </c>
      <c r="G176" s="363" t="n">
        <v>109359</v>
      </c>
      <c r="H176" s="360" t="n">
        <v>2</v>
      </c>
      <c r="I176" s="360" t="inlineStr">
        <is>
          <t>確認済</t>
        </is>
      </c>
      <c r="J176" s="364">
        <f>IF($G176="","",IF($H176=1,$G176-ROUND($G176*10/23,0)-2*ROUND($G176/23,0),IF($H176=2,$G176,0)))</f>
        <v>109359</v>
      </c>
      <c r="K176" s="364">
        <f>IF($G176="","",IF($H176=1,ROUND($G176*10/23,0),IF($H176=3,$G176-2*ROUND($G176/12,0),IF($H176=4,$G176,IF(OR($H176=5,$H176=7),ROUND($G176*10/11,0),0)))))</f>
        <v>0</v>
      </c>
      <c r="L176" s="364">
        <f>IF($G176="","",IF($H176=1,ROUND($G176/23,0),IF($H176=3,ROUND($G176/12,0),IF($H176=5,$G176-ROUND($G176*10/11,0),IF($H176=8,$G176,0)))))</f>
        <v>0</v>
      </c>
      <c r="M176" s="364">
        <f>IF($G176="","",IF($H176=1,ROUND($G176/23,0),IF($H176=3,ROUND($G176/12,0),IF($H176=6,$G176,IF($H176=7,$G176-ROUND($G176*10/11,0),0)))))</f>
        <v>0</v>
      </c>
      <c r="N176" s="364">
        <f>IF($G176="","",K176+L176+M176)</f>
        <v>0</v>
      </c>
      <c r="O176" s="365" t="str">
        <f>IF($G176="","",IFERROR(VLOOKUP($D176&amp;"|"&amp;$E176,科目表!$A$5:$B$200,2,FALSE),"※未登録"))</f>
        <v>委託費</v>
      </c>
      <c r="P176" s="359">
        <f>IF(OR($G176="",$C176=""),"",IF($B176="決算整理",13,MOD(MONTH($C176)-4,12)+1))</f>
        <v>4</v>
      </c>
      <c r="Q176" s="366" t="str">
        <f>IF($G176="","",TRIM(IF(J176+K176+L176+M176&lt;&gt;$G176,"按分不一致 ","")&amp;IF(O176="※未登録","科目未登録 ","")&amp;IF(OR($H176="",ISERROR(MATCH($H176,{1,2,3,4,5,6,7,8},0))),"経費区分? ","")&amp;IF($I176="","状態未設定 ","")&amp;IF(AND(OR($I176="確認済",$I176="未確認"),$B176="月例",OR($C176="",$C176&lt;DATE(年度+2018,4,1),$C176&gt;DATE(年度+2019,3,31))),"年度外の日付 ","")&amp;IF(AND(OR($I176="確認済",$I176="未確認"),O176="対象外"),"対象外の科目 ","")))</f>
        <v/>
      </c>
      <c r="R176" s="366" t="inlineStr">
        <is>
          <t>月例!181</t>
        </is>
      </c>
    </row>
    <row r="177">
      <c r="A177" s="359" t="n">
        <v>173</v>
      </c>
      <c r="B177" s="360" t="inlineStr">
        <is>
          <t>月例</t>
        </is>
      </c>
      <c r="C177" s="361" t="n">
        <v>46234</v>
      </c>
      <c r="D177" s="362" t="inlineStr">
        <is>
          <t>事務費</t>
        </is>
      </c>
      <c r="E177" s="362" t="inlineStr">
        <is>
          <t>通信運搬費</t>
        </is>
      </c>
      <c r="F177" s="362" t="inlineStr">
        <is>
          <t>インターネット通信料金（５・６月利用・７月請求分）</t>
        </is>
      </c>
      <c r="G177" s="363" t="n">
        <v>3663</v>
      </c>
      <c r="H177" s="360" t="n">
        <v>2</v>
      </c>
      <c r="I177" s="360" t="inlineStr">
        <is>
          <t>確認済</t>
        </is>
      </c>
      <c r="J177" s="364">
        <f>IF($G177="","",IF($H177=1,$G177-ROUND($G177*10/23,0)-2*ROUND($G177/23,0),IF($H177=2,$G177,0)))</f>
        <v>3663</v>
      </c>
      <c r="K177" s="364">
        <f>IF($G177="","",IF($H177=1,ROUND($G177*10/23,0),IF($H177=3,$G177-2*ROUND($G177/12,0),IF($H177=4,$G177,IF(OR($H177=5,$H177=7),ROUND($G177*10/11,0),0)))))</f>
        <v>0</v>
      </c>
      <c r="L177" s="364">
        <f>IF($G177="","",IF($H177=1,ROUND($G177/23,0),IF($H177=3,ROUND($G177/12,0),IF($H177=5,$G177-ROUND($G177*10/11,0),IF($H177=8,$G177,0)))))</f>
        <v>0</v>
      </c>
      <c r="M177" s="364">
        <f>IF($G177="","",IF($H177=1,ROUND($G177/23,0),IF($H177=3,ROUND($G177/12,0),IF($H177=6,$G177,IF($H177=7,$G177-ROUND($G177*10/11,0),0)))))</f>
        <v>0</v>
      </c>
      <c r="N177" s="364">
        <f>IF($G177="","",K177+L177+M177)</f>
        <v>0</v>
      </c>
      <c r="O177" s="365" t="str">
        <f>IF($G177="","",IFERROR(VLOOKUP($D177&amp;"|"&amp;$E177,科目表!$A$5:$B$200,2,FALSE),"※未登録"))</f>
        <v>通信運搬費</v>
      </c>
      <c r="P177" s="359">
        <f>IF(OR($G177="",$C177=""),"",IF($B177="決算整理",13,MOD(MONTH($C177)-4,12)+1))</f>
        <v>4</v>
      </c>
      <c r="Q177" s="366" t="str">
        <f>IF($G177="","",TRIM(IF(J177+K177+L177+M177&lt;&gt;$G177,"按分不一致 ","")&amp;IF(O177="※未登録","科目未登録 ","")&amp;IF(OR($H177="",ISERROR(MATCH($H177,{1,2,3,4,5,6,7,8},0))),"経費区分? ","")&amp;IF($I177="","状態未設定 ","")&amp;IF(AND(OR($I177="確認済",$I177="未確認"),$B177="月例",OR($C177="",$C177&lt;DATE(年度+2018,4,1),$C177&gt;DATE(年度+2019,3,31))),"年度外の日付 ","")&amp;IF(AND(OR($I177="確認済",$I177="未確認"),O177="対象外"),"対象外の科目 ","")))</f>
        <v/>
      </c>
      <c r="R177" s="366" t="inlineStr">
        <is>
          <t>月例!182</t>
        </is>
      </c>
    </row>
    <row r="178">
      <c r="A178" s="359" t="n">
        <v>174</v>
      </c>
      <c r="B178" s="360" t="inlineStr">
        <is>
          <t>月例</t>
        </is>
      </c>
      <c r="C178" s="361" t="n">
        <v>43677</v>
      </c>
      <c r="D178" s="362" t="inlineStr">
        <is>
          <t>賃借料</t>
        </is>
      </c>
      <c r="E178" s="362" t="n"/>
      <c r="F178" s="362" t="inlineStr">
        <is>
          <t>基幹システム（短期）用機器リース料６月分</t>
        </is>
      </c>
      <c r="G178" s="363" t="n">
        <v>193676</v>
      </c>
      <c r="H178" s="360" t="n">
        <v>2</v>
      </c>
      <c r="I178" s="360" t="inlineStr">
        <is>
          <t>昨年実績</t>
        </is>
      </c>
      <c r="J178" s="364">
        <f>IF($G178="","",IF($H178=1,$G178-ROUND($G178*10/23,0)-2*ROUND($G178/23,0),IF($H178=2,$G178,0)))</f>
        <v>193676</v>
      </c>
      <c r="K178" s="364">
        <f>IF($G178="","",IF($H178=1,ROUND($G178*10/23,0),IF($H178=3,$G178-2*ROUND($G178/12,0),IF($H178=4,$G178,IF(OR($H178=5,$H178=7),ROUND($G178*10/11,0),0)))))</f>
        <v>0</v>
      </c>
      <c r="L178" s="364">
        <f>IF($G178="","",IF($H178=1,ROUND($G178/23,0),IF($H178=3,ROUND($G178/12,0),IF($H178=5,$G178-ROUND($G178*10/11,0),IF($H178=8,$G178,0)))))</f>
        <v>0</v>
      </c>
      <c r="M178" s="364">
        <f>IF($G178="","",IF($H178=1,ROUND($G178/23,0),IF($H178=3,ROUND($G178/12,0),IF($H178=6,$G178,IF($H178=7,$G178-ROUND($G178*10/11,0),0)))))</f>
        <v>0</v>
      </c>
      <c r="N178" s="364">
        <f>IF($G178="","",K178+L178+M178)</f>
        <v>0</v>
      </c>
      <c r="O178" s="365" t="str">
        <f>IF($G178="","",IFERROR(VLOOKUP($D178&amp;"|"&amp;$E178,科目表!$A$5:$B$200,2,FALSE),"※未登録"))</f>
        <v>賃借料</v>
      </c>
      <c r="P178" s="359">
        <f>IF(OR($G178="",$C178=""),"",IF($B178="決算整理",13,MOD(MONTH($C178)-4,12)+1))</f>
        <v>4</v>
      </c>
      <c r="Q178" s="366" t="str">
        <f>IF($G178="","",TRIM(IF(J178+K178+L178+M178&lt;&gt;$G178,"按分不一致 ","")&amp;IF(O178="※未登録","科目未登録 ","")&amp;IF(OR($H178="",ISERROR(MATCH($H178,{1,2,3,4,5,6,7,8},0))),"経費区分? ","")&amp;IF($I178="","状態未設定 ","")&amp;IF(AND(OR($I178="確認済",$I178="未確認"),$B178="月例",OR($C178="",$C178&lt;DATE(年度+2018,4,1),$C178&gt;DATE(年度+2019,3,31))),"年度外の日付 ","")&amp;IF(AND(OR($I178="確認済",$I178="未確認"),O178="対象外"),"対象外の科目 ","")))</f>
        <v/>
      </c>
      <c r="R178" s="366" t="inlineStr">
        <is>
          <t>月例!183</t>
        </is>
      </c>
    </row>
    <row r="179">
      <c r="A179" s="359" t="n">
        <v>175</v>
      </c>
      <c r="B179" s="360" t="inlineStr">
        <is>
          <t>月例</t>
        </is>
      </c>
      <c r="C179" s="361" t="n">
        <v>46234</v>
      </c>
      <c r="D179" s="362" t="inlineStr">
        <is>
          <t>賃借料</t>
        </is>
      </c>
      <c r="E179" s="362" t="n"/>
      <c r="F179" s="362" t="inlineStr">
        <is>
          <t>統合管理端末リース料（６月分）</t>
        </is>
      </c>
      <c r="G179" s="363" t="n">
        <v>12738</v>
      </c>
      <c r="H179" s="360" t="n">
        <v>2</v>
      </c>
      <c r="I179" s="360" t="inlineStr">
        <is>
          <t>確認済</t>
        </is>
      </c>
      <c r="J179" s="364">
        <f>IF($G179="","",IF($H179=1,$G179-ROUND($G179*10/23,0)-2*ROUND($G179/23,0),IF($H179=2,$G179,0)))</f>
        <v>12738</v>
      </c>
      <c r="K179" s="364">
        <f>IF($G179="","",IF($H179=1,ROUND($G179*10/23,0),IF($H179=3,$G179-2*ROUND($G179/12,0),IF($H179=4,$G179,IF(OR($H179=5,$H179=7),ROUND($G179*10/11,0),0)))))</f>
        <v>0</v>
      </c>
      <c r="L179" s="364">
        <f>IF($G179="","",IF($H179=1,ROUND($G179/23,0),IF($H179=3,ROUND($G179/12,0),IF($H179=5,$G179-ROUND($G179*10/11,0),IF($H179=8,$G179,0)))))</f>
        <v>0</v>
      </c>
      <c r="M179" s="364">
        <f>IF($G179="","",IF($H179=1,ROUND($G179/23,0),IF($H179=3,ROUND($G179/12,0),IF($H179=6,$G179,IF($H179=7,$G179-ROUND($G179*10/11,0),0)))))</f>
        <v>0</v>
      </c>
      <c r="N179" s="364">
        <f>IF($G179="","",K179+L179+M179)</f>
        <v>0</v>
      </c>
      <c r="O179" s="365" t="str">
        <f>IF($G179="","",IFERROR(VLOOKUP($D179&amp;"|"&amp;$E179,科目表!$A$5:$B$200,2,FALSE),"※未登録"))</f>
        <v>賃借料</v>
      </c>
      <c r="P179" s="359">
        <f>IF(OR($G179="",$C179=""),"",IF($B179="決算整理",13,MOD(MONTH($C179)-4,12)+1))</f>
        <v>4</v>
      </c>
      <c r="Q179" s="366" t="str">
        <f>IF($G179="","",TRIM(IF(J179+K179+L179+M179&lt;&gt;$G179,"按分不一致 ","")&amp;IF(O179="※未登録","科目未登録 ","")&amp;IF(OR($H179="",ISERROR(MATCH($H179,{1,2,3,4,5,6,7,8},0))),"経費区分? ","")&amp;IF($I179="","状態未設定 ","")&amp;IF(AND(OR($I179="確認済",$I179="未確認"),$B179="月例",OR($C179="",$C179&lt;DATE(年度+2018,4,1),$C179&gt;DATE(年度+2019,3,31))),"年度外の日付 ","")&amp;IF(AND(OR($I179="確認済",$I179="未確認"),O179="対象外"),"対象外の科目 ","")))</f>
        <v/>
      </c>
      <c r="R179" s="366" t="inlineStr">
        <is>
          <t>月例!184</t>
        </is>
      </c>
    </row>
    <row r="180">
      <c r="A180" s="359" t="n">
        <v>176</v>
      </c>
      <c r="B180" s="360" t="inlineStr">
        <is>
          <t>月例</t>
        </is>
      </c>
      <c r="C180" s="361" t="n">
        <v>44771</v>
      </c>
      <c r="D180" s="362" t="inlineStr">
        <is>
          <t>委託費</t>
        </is>
      </c>
      <c r="E180" s="362" t="n"/>
      <c r="F180" s="362" t="inlineStr">
        <is>
          <t>統合管理端末保守料（６月分）</t>
        </is>
      </c>
      <c r="G180" s="363" t="n">
        <v>770</v>
      </c>
      <c r="H180" s="360" t="n">
        <v>2</v>
      </c>
      <c r="I180" s="360" t="inlineStr">
        <is>
          <t>昨年実績</t>
        </is>
      </c>
      <c r="J180" s="364">
        <f>IF($G180="","",IF($H180=1,$G180-ROUND($G180*10/23,0)-2*ROUND($G180/23,0),IF($H180=2,$G180,0)))</f>
        <v>770</v>
      </c>
      <c r="K180" s="364">
        <f>IF($G180="","",IF($H180=1,ROUND($G180*10/23,0),IF($H180=3,$G180-2*ROUND($G180/12,0),IF($H180=4,$G180,IF(OR($H180=5,$H180=7),ROUND($G180*10/11,0),0)))))</f>
        <v>0</v>
      </c>
      <c r="L180" s="364">
        <f>IF($G180="","",IF($H180=1,ROUND($G180/23,0),IF($H180=3,ROUND($G180/12,0),IF($H180=5,$G180-ROUND($G180*10/11,0),IF($H180=8,$G180,0)))))</f>
        <v>0</v>
      </c>
      <c r="M180" s="364">
        <f>IF($G180="","",IF($H180=1,ROUND($G180/23,0),IF($H180=3,ROUND($G180/12,0),IF($H180=6,$G180,IF($H180=7,$G180-ROUND($G180*10/11,0),0)))))</f>
        <v>0</v>
      </c>
      <c r="N180" s="364">
        <f>IF($G180="","",K180+L180+M180)</f>
        <v>0</v>
      </c>
      <c r="O180" s="365" t="str">
        <f>IF($G180="","",IFERROR(VLOOKUP($D180&amp;"|"&amp;$E180,科目表!$A$5:$B$200,2,FALSE),"※未登録"))</f>
        <v>委託費</v>
      </c>
      <c r="P180" s="359">
        <f>IF(OR($G180="",$C180=""),"",IF($B180="決算整理",13,MOD(MONTH($C180)-4,12)+1))</f>
        <v>4</v>
      </c>
      <c r="Q180" s="366" t="str">
        <f>IF($G180="","",TRIM(IF(J180+K180+L180+M180&lt;&gt;$G180,"按分不一致 ","")&amp;IF(O180="※未登録","科目未登録 ","")&amp;IF(OR($H180="",ISERROR(MATCH($H180,{1,2,3,4,5,6,7,8},0))),"経費区分? ","")&amp;IF($I180="","状態未設定 ","")&amp;IF(AND(OR($I180="確認済",$I180="未確認"),$B180="月例",OR($C180="",$C180&lt;DATE(年度+2018,4,1),$C180&gt;DATE(年度+2019,3,31))),"年度外の日付 ","")&amp;IF(AND(OR($I180="確認済",$I180="未確認"),O180="対象外"),"対象外の科目 ","")))</f>
        <v/>
      </c>
      <c r="R180" s="366" t="inlineStr">
        <is>
          <t>月例!185</t>
        </is>
      </c>
    </row>
    <row r="181">
      <c r="A181" s="359" t="n">
        <v>177</v>
      </c>
      <c r="B181" s="360" t="inlineStr">
        <is>
          <t>月例</t>
        </is>
      </c>
      <c r="C181" s="361" t="n">
        <v>45504</v>
      </c>
      <c r="D181" s="362" t="inlineStr">
        <is>
          <t>事務費</t>
        </is>
      </c>
      <c r="E181" s="362" t="inlineStr">
        <is>
          <t>事務用消耗品費</t>
        </is>
      </c>
      <c r="F181" s="362" t="inlineStr">
        <is>
          <t>ホッチキス針　１０－１M　20個入　2箱ほか</t>
        </is>
      </c>
      <c r="G181" s="363" t="n">
        <v>26557</v>
      </c>
      <c r="H181" s="360" t="n">
        <v>2</v>
      </c>
      <c r="I181" s="360" t="inlineStr">
        <is>
          <t>昨年実績</t>
        </is>
      </c>
      <c r="J181" s="364">
        <f>IF($G181="","",IF($H181=1,$G181-ROUND($G181*10/23,0)-2*ROUND($G181/23,0),IF($H181=2,$G181,0)))</f>
        <v>26557</v>
      </c>
      <c r="K181" s="364">
        <f>IF($G181="","",IF($H181=1,ROUND($G181*10/23,0),IF($H181=3,$G181-2*ROUND($G181/12,0),IF($H181=4,$G181,IF(OR($H181=5,$H181=7),ROUND($G181*10/11,0),0)))))</f>
        <v>0</v>
      </c>
      <c r="L181" s="364">
        <f>IF($G181="","",IF($H181=1,ROUND($G181/23,0),IF($H181=3,ROUND($G181/12,0),IF($H181=5,$G181-ROUND($G181*10/11,0),IF($H181=8,$G181,0)))))</f>
        <v>0</v>
      </c>
      <c r="M181" s="364">
        <f>IF($G181="","",IF($H181=1,ROUND($G181/23,0),IF($H181=3,ROUND($G181/12,0),IF($H181=6,$G181,IF($H181=7,$G181-ROUND($G181*10/11,0),0)))))</f>
        <v>0</v>
      </c>
      <c r="N181" s="364">
        <f>IF($G181="","",K181+L181+M181)</f>
        <v>0</v>
      </c>
      <c r="O181" s="365" t="str">
        <f>IF($G181="","",IFERROR(VLOOKUP($D181&amp;"|"&amp;$E181,科目表!$A$5:$B$200,2,FALSE),"※未登録"))</f>
        <v>事務用消耗品費</v>
      </c>
      <c r="P181" s="359">
        <f>IF(OR($G181="",$C181=""),"",IF($B181="決算整理",13,MOD(MONTH($C181)-4,12)+1))</f>
        <v>4</v>
      </c>
      <c r="Q181" s="366" t="str">
        <f>IF($G181="","",TRIM(IF(J181+K181+L181+M181&lt;&gt;$G181,"按分不一致 ","")&amp;IF(O181="※未登録","科目未登録 ","")&amp;IF(OR($H181="",ISERROR(MATCH($H181,{1,2,3,4,5,6,7,8},0))),"経費区分? ","")&amp;IF($I181="","状態未設定 ","")&amp;IF(AND(OR($I181="確認済",$I181="未確認"),$B181="月例",OR($C181="",$C181&lt;DATE(年度+2018,4,1),$C181&gt;DATE(年度+2019,3,31))),"年度外の日付 ","")&amp;IF(AND(OR($I181="確認済",$I181="未確認"),O181="対象外"),"対象外の科目 ","")))</f>
        <v/>
      </c>
      <c r="R181" s="366" t="inlineStr">
        <is>
          <t>月例!186</t>
        </is>
      </c>
    </row>
    <row r="182">
      <c r="A182" s="359" t="n">
        <v>178</v>
      </c>
      <c r="B182" s="360" t="inlineStr">
        <is>
          <t>月例</t>
        </is>
      </c>
      <c r="C182" s="361" t="n">
        <v>45502</v>
      </c>
      <c r="D182" s="362" t="inlineStr">
        <is>
          <t>事務費</t>
        </is>
      </c>
      <c r="E182" s="362" t="inlineStr">
        <is>
          <t>事務用消耗品費</t>
        </is>
      </c>
      <c r="F182" s="362" t="inlineStr">
        <is>
          <t>トナーカートリッジＬＰＢ３Ｔ２７（再生品）　９本</t>
        </is>
      </c>
      <c r="G182" s="363" t="n">
        <v>47520</v>
      </c>
      <c r="H182" s="360" t="n">
        <v>3</v>
      </c>
      <c r="I182" s="360" t="inlineStr">
        <is>
          <t>昨年実績</t>
        </is>
      </c>
      <c r="J182" s="364">
        <f>IF($G182="","",IF($H182=1,$G182-ROUND($G182*10/23,0)-2*ROUND($G182/23,0),IF($H182=2,$G182,0)))</f>
        <v>0</v>
      </c>
      <c r="K182" s="364">
        <f>IF($G182="","",IF($H182=1,ROUND($G182*10/23,0),IF($H182=3,$G182-2*ROUND($G182/12,0),IF($H182=4,$G182,IF(OR($H182=5,$H182=7),ROUND($G182*10/11,0),0)))))</f>
        <v>39600</v>
      </c>
      <c r="L182" s="364">
        <f>IF($G182="","",IF($H182=1,ROUND($G182/23,0),IF($H182=3,ROUND($G182/12,0),IF($H182=5,$G182-ROUND($G182*10/11,0),IF($H182=8,$G182,0)))))</f>
        <v>3960</v>
      </c>
      <c r="M182" s="364">
        <f>IF($G182="","",IF($H182=1,ROUND($G182/23,0),IF($H182=3,ROUND($G182/12,0),IF($H182=6,$G182,IF($H182=7,$G182-ROUND($G182*10/11,0),0)))))</f>
        <v>3960</v>
      </c>
      <c r="N182" s="364">
        <f>IF($G182="","",K182+L182+M182)</f>
        <v>47520</v>
      </c>
      <c r="O182" s="365" t="str">
        <f>IF($G182="","",IFERROR(VLOOKUP($D182&amp;"|"&amp;$E182,科目表!$A$5:$B$200,2,FALSE),"※未登録"))</f>
        <v>事務用消耗品費</v>
      </c>
      <c r="P182" s="359">
        <f>IF(OR($G182="",$C182=""),"",IF($B182="決算整理",13,MOD(MONTH($C182)-4,12)+1))</f>
        <v>4</v>
      </c>
      <c r="Q182" s="366" t="str">
        <f>IF($G182="","",TRIM(IF(J182+K182+L182+M182&lt;&gt;$G182,"按分不一致 ","")&amp;IF(O182="※未登録","科目未登録 ","")&amp;IF(OR($H182="",ISERROR(MATCH($H182,{1,2,3,4,5,6,7,8},0))),"経費区分? ","")&amp;IF($I182="","状態未設定 ","")&amp;IF(AND(OR($I182="確認済",$I182="未確認"),$B182="月例",OR($C182="",$C182&lt;DATE(年度+2018,4,1),$C182&gt;DATE(年度+2019,3,31))),"年度外の日付 ","")&amp;IF(AND(OR($I182="確認済",$I182="未確認"),O182="対象外"),"対象外の科目 ","")))</f>
        <v/>
      </c>
      <c r="R182" s="366" t="inlineStr">
        <is>
          <t>月例!187</t>
        </is>
      </c>
    </row>
    <row r="183">
      <c r="A183" s="359" t="n">
        <v>179</v>
      </c>
      <c r="B183" s="360" t="inlineStr">
        <is>
          <t>月例</t>
        </is>
      </c>
      <c r="C183" s="361" t="n">
        <v>46262</v>
      </c>
      <c r="D183" s="362" t="inlineStr">
        <is>
          <t>事務費</t>
        </is>
      </c>
      <c r="E183" s="362" t="inlineStr">
        <is>
          <t>通信運搬費</t>
        </is>
      </c>
      <c r="F183" s="362" t="inlineStr">
        <is>
          <t>料金後納利用料（７月分）</t>
        </is>
      </c>
      <c r="G183" s="363" t="n">
        <v>52380</v>
      </c>
      <c r="H183" s="360" t="n">
        <v>2</v>
      </c>
      <c r="I183" s="360" t="inlineStr">
        <is>
          <t>確認済</t>
        </is>
      </c>
      <c r="J183" s="364">
        <f>IF($G183="","",IF($H183=1,$G183-ROUND($G183*10/23,0)-2*ROUND($G183/23,0),IF($H183=2,$G183,0)))</f>
        <v>52380</v>
      </c>
      <c r="K183" s="364">
        <f>IF($G183="","",IF($H183=1,ROUND($G183*10/23,0),IF($H183=3,$G183-2*ROUND($G183/12,0),IF($H183=4,$G183,IF(OR($H183=5,$H183=7),ROUND($G183*10/11,0),0)))))</f>
        <v>0</v>
      </c>
      <c r="L183" s="364">
        <f>IF($G183="","",IF($H183=1,ROUND($G183/23,0),IF($H183=3,ROUND($G183/12,0),IF($H183=5,$G183-ROUND($G183*10/11,0),IF($H183=8,$G183,0)))))</f>
        <v>0</v>
      </c>
      <c r="M183" s="364">
        <f>IF($G183="","",IF($H183=1,ROUND($G183/23,0),IF($H183=3,ROUND($G183/12,0),IF($H183=6,$G183,IF($H183=7,$G183-ROUND($G183*10/11,0),0)))))</f>
        <v>0</v>
      </c>
      <c r="N183" s="364">
        <f>IF($G183="","",K183+L183+M183)</f>
        <v>0</v>
      </c>
      <c r="O183" s="365" t="str">
        <f>IF($G183="","",IFERROR(VLOOKUP($D183&amp;"|"&amp;$E183,科目表!$A$5:$B$200,2,FALSE),"※未登録"))</f>
        <v>通信運搬費</v>
      </c>
      <c r="P183" s="359">
        <f>IF(OR($G183="",$C183=""),"",IF($B183="決算整理",13,MOD(MONTH($C183)-4,12)+1))</f>
        <v>5</v>
      </c>
      <c r="Q183" s="366" t="str">
        <f>IF($G183="","",TRIM(IF(J183+K183+L183+M183&lt;&gt;$G183,"按分不一致 ","")&amp;IF(O183="※未登録","科目未登録 ","")&amp;IF(OR($H183="",ISERROR(MATCH($H183,{1,2,3,4,5,6,7,8},0))),"経費区分? ","")&amp;IF($I183="","状態未設定 ","")&amp;IF(AND(OR($I183="確認済",$I183="未確認"),$B183="月例",OR($C183="",$C183&lt;DATE(年度+2018,4,1),$C183&gt;DATE(年度+2019,3,31))),"年度外の日付 ","")&amp;IF(AND(OR($I183="確認済",$I183="未確認"),O183="対象外"),"対象外の科目 ","")))</f>
        <v/>
      </c>
      <c r="R183" s="366" t="inlineStr">
        <is>
          <t>月例!190</t>
        </is>
      </c>
    </row>
    <row r="184">
      <c r="A184" s="359" t="n">
        <v>180</v>
      </c>
      <c r="B184" s="360" t="inlineStr">
        <is>
          <t>月例</t>
        </is>
      </c>
      <c r="C184" s="361" t="n">
        <v>46262</v>
      </c>
      <c r="D184" s="362" t="inlineStr">
        <is>
          <t>事務費</t>
        </is>
      </c>
      <c r="E184" s="362" t="inlineStr">
        <is>
          <t>通信運搬費</t>
        </is>
      </c>
      <c r="F184" s="362" t="inlineStr">
        <is>
          <t>料金後納利用料（７月分）</t>
        </is>
      </c>
      <c r="G184" s="363" t="n">
        <v>31370</v>
      </c>
      <c r="H184" s="360" t="n">
        <v>3</v>
      </c>
      <c r="I184" s="360" t="inlineStr">
        <is>
          <t>確認済</t>
        </is>
      </c>
      <c r="J184" s="364">
        <f>IF($G184="","",IF($H184=1,$G184-ROUND($G184*10/23,0)-2*ROUND($G184/23,0),IF($H184=2,$G184,0)))</f>
        <v>0</v>
      </c>
      <c r="K184" s="364">
        <f>IF($G184="","",IF($H184=1,ROUND($G184*10/23,0),IF($H184=3,$G184-2*ROUND($G184/12,0),IF($H184=4,$G184,IF(OR($H184=5,$H184=7),ROUND($G184*10/11,0),0)))))</f>
        <v>26142</v>
      </c>
      <c r="L184" s="364">
        <f>IF($G184="","",IF($H184=1,ROUND($G184/23,0),IF($H184=3,ROUND($G184/12,0),IF($H184=5,$G184-ROUND($G184*10/11,0),IF($H184=8,$G184,0)))))</f>
        <v>2614</v>
      </c>
      <c r="M184" s="364">
        <f>IF($G184="","",IF($H184=1,ROUND($G184/23,0),IF($H184=3,ROUND($G184/12,0),IF($H184=6,$G184,IF($H184=7,$G184-ROUND($G184*10/11,0),0)))))</f>
        <v>2614</v>
      </c>
      <c r="N184" s="364">
        <f>IF($G184="","",K184+L184+M184)</f>
        <v>31370</v>
      </c>
      <c r="O184" s="365" t="str">
        <f>IF($G184="","",IFERROR(VLOOKUP($D184&amp;"|"&amp;$E184,科目表!$A$5:$B$200,2,FALSE),"※未登録"))</f>
        <v>通信運搬費</v>
      </c>
      <c r="P184" s="359">
        <f>IF(OR($G184="",$C184=""),"",IF($B184="決算整理",13,MOD(MONTH($C184)-4,12)+1))</f>
        <v>5</v>
      </c>
      <c r="Q184" s="366" t="str">
        <f>IF($G184="","",TRIM(IF(J184+K184+L184+M184&lt;&gt;$G184,"按分不一致 ","")&amp;IF(O184="※未登録","科目未登録 ","")&amp;IF(OR($H184="",ISERROR(MATCH($H184,{1,2,3,4,5,6,7,8},0))),"経費区分? ","")&amp;IF($I184="","状態未設定 ","")&amp;IF(AND(OR($I184="確認済",$I184="未確認"),$B184="月例",OR($C184="",$C184&lt;DATE(年度+2018,4,1),$C184&gt;DATE(年度+2019,3,31))),"年度外の日付 ","")&amp;IF(AND(OR($I184="確認済",$I184="未確認"),O184="対象外"),"対象外の科目 ","")))</f>
        <v/>
      </c>
      <c r="R184" s="366" t="inlineStr">
        <is>
          <t>月例!191</t>
        </is>
      </c>
    </row>
    <row r="185">
      <c r="A185" s="359" t="n">
        <v>181</v>
      </c>
      <c r="B185" s="360" t="inlineStr">
        <is>
          <t>月例</t>
        </is>
      </c>
      <c r="C185" s="361" t="n">
        <v>46241</v>
      </c>
      <c r="D185" s="362" t="inlineStr">
        <is>
          <t>事務費負担金払込金</t>
        </is>
      </c>
      <c r="E185" s="362" t="n"/>
      <c r="F185" s="362" t="inlineStr">
        <is>
          <t>７月分事務費負担金払込金と連合会交付金との相殺</t>
        </is>
      </c>
      <c r="G185" s="363" t="n">
        <v>5366000</v>
      </c>
      <c r="H185" s="360" t="n">
        <v>5</v>
      </c>
      <c r="I185" s="360" t="inlineStr">
        <is>
          <t>確認済</t>
        </is>
      </c>
      <c r="J185" s="364">
        <f>IF($G185="","",IF($H185=1,$G185-ROUND($G185*10/23,0)-2*ROUND($G185/23,0),IF($H185=2,$G185,0)))</f>
        <v>0</v>
      </c>
      <c r="K185" s="364">
        <f>IF($G185="","",IF($H185=1,ROUND($G185*10/23,0),IF($H185=3,$G185-2*ROUND($G185/12,0),IF($H185=4,$G185,IF(OR($H185=5,$H185=7),ROUND($G185*10/11,0),0)))))</f>
        <v>4878182</v>
      </c>
      <c r="L185" s="364">
        <f>IF($G185="","",IF($H185=1,ROUND($G185/23,0),IF($H185=3,ROUND($G185/12,0),IF($H185=5,$G185-ROUND($G185*10/11,0),IF($H185=8,$G185,0)))))</f>
        <v>487818</v>
      </c>
      <c r="M185" s="364">
        <f>IF($G185="","",IF($H185=1,ROUND($G185/23,0),IF($H185=3,ROUND($G185/12,0),IF($H185=6,$G185,IF($H185=7,$G185-ROUND($G185*10/11,0),0)))))</f>
        <v>0</v>
      </c>
      <c r="N185" s="364">
        <f>IF($G185="","",K185+L185+M185)</f>
        <v>5366000</v>
      </c>
      <c r="O185" s="365" t="str">
        <f>IF($G185="","",IFERROR(VLOOKUP($D185&amp;"|"&amp;$E185,科目表!$A$5:$B$200,2,FALSE),"※未登録"))</f>
        <v>事務費負担金払込金</v>
      </c>
      <c r="P185" s="359">
        <f>IF(OR($G185="",$C185=""),"",IF($B185="決算整理",13,MOD(MONTH($C185)-4,12)+1))</f>
        <v>5</v>
      </c>
      <c r="Q185" s="366" t="str">
        <f>IF($G185="","",TRIM(IF(J185+K185+L185+M185&lt;&gt;$G185,"按分不一致 ","")&amp;IF(O185="※未登録","科目未登録 ","")&amp;IF(OR($H185="",ISERROR(MATCH($H185,{1,2,3,4,5,6,7,8},0))),"経費区分? ","")&amp;IF($I185="","状態未設定 ","")&amp;IF(AND(OR($I185="確認済",$I185="未確認"),$B185="月例",OR($C185="",$C185&lt;DATE(年度+2018,4,1),$C185&gt;DATE(年度+2019,3,31))),"年度外の日付 ","")&amp;IF(AND(OR($I185="確認済",$I185="未確認"),O185="対象外"),"対象外の科目 ","")))</f>
        <v/>
      </c>
      <c r="R185" s="366" t="inlineStr">
        <is>
          <t>月例!192</t>
        </is>
      </c>
    </row>
    <row r="186">
      <c r="A186" s="359" t="n">
        <v>182</v>
      </c>
      <c r="B186" s="360" t="inlineStr">
        <is>
          <t>月例</t>
        </is>
      </c>
      <c r="C186" s="361" t="n">
        <v>46244</v>
      </c>
      <c r="D186" s="362" t="inlineStr">
        <is>
          <t>事務費</t>
        </is>
      </c>
      <c r="E186" s="362" t="inlineStr">
        <is>
          <t>送金料</t>
        </is>
      </c>
      <c r="F186" s="362" t="inlineStr">
        <is>
          <t>振込手数料（広銀）７月分　長期分</t>
        </is>
      </c>
      <c r="G186" s="363" t="n">
        <v>14994</v>
      </c>
      <c r="H186" s="360" t="n">
        <v>3</v>
      </c>
      <c r="I186" s="360" t="inlineStr">
        <is>
          <t>確認済</t>
        </is>
      </c>
      <c r="J186" s="364">
        <f>IF($G186="","",IF($H186=1,$G186-ROUND($G186*10/23,0)-2*ROUND($G186/23,0),IF($H186=2,$G186,0)))</f>
        <v>0</v>
      </c>
      <c r="K186" s="364">
        <f>IF($G186="","",IF($H186=1,ROUND($G186*10/23,0),IF($H186=3,$G186-2*ROUND($G186/12,0),IF($H186=4,$G186,IF(OR($H186=5,$H186=7),ROUND($G186*10/11,0),0)))))</f>
        <v>12494</v>
      </c>
      <c r="L186" s="364">
        <f>IF($G186="","",IF($H186=1,ROUND($G186/23,0),IF($H186=3,ROUND($G186/12,0),IF($H186=5,$G186-ROUND($G186*10/11,0),IF($H186=8,$G186,0)))))</f>
        <v>1250</v>
      </c>
      <c r="M186" s="364">
        <f>IF($G186="","",IF($H186=1,ROUND($G186/23,0),IF($H186=3,ROUND($G186/12,0),IF($H186=6,$G186,IF($H186=7,$G186-ROUND($G186*10/11,0),0)))))</f>
        <v>1250</v>
      </c>
      <c r="N186" s="364">
        <f>IF($G186="","",K186+L186+M186)</f>
        <v>14994</v>
      </c>
      <c r="O186" s="365" t="str">
        <f>IF($G186="","",IFERROR(VLOOKUP($D186&amp;"|"&amp;$E186,科目表!$A$5:$B$200,2,FALSE),"※未登録"))</f>
        <v>送金料</v>
      </c>
      <c r="P186" s="359">
        <f>IF(OR($G186="",$C186=""),"",IF($B186="決算整理",13,MOD(MONTH($C186)-4,12)+1))</f>
        <v>5</v>
      </c>
      <c r="Q186" s="366" t="str">
        <f>IF($G186="","",TRIM(IF(J186+K186+L186+M186&lt;&gt;$G186,"按分不一致 ","")&amp;IF(O186="※未登録","科目未登録 ","")&amp;IF(OR($H186="",ISERROR(MATCH($H186,{1,2,3,4,5,6,7,8},0))),"経費区分? ","")&amp;IF($I186="","状態未設定 ","")&amp;IF(AND(OR($I186="確認済",$I186="未確認"),$B186="月例",OR($C186="",$C186&lt;DATE(年度+2018,4,1),$C186&gt;DATE(年度+2019,3,31))),"年度外の日付 ","")&amp;IF(AND(OR($I186="確認済",$I186="未確認"),O186="対象外"),"対象外の科目 ","")))</f>
        <v/>
      </c>
      <c r="R186" s="366" t="inlineStr">
        <is>
          <t>月例!193</t>
        </is>
      </c>
    </row>
    <row r="187">
      <c r="A187" s="359" t="n">
        <v>183</v>
      </c>
      <c r="B187" s="360" t="inlineStr">
        <is>
          <t>月例</t>
        </is>
      </c>
      <c r="C187" s="361" t="n">
        <v>46244</v>
      </c>
      <c r="D187" s="362" t="inlineStr">
        <is>
          <t>事務費</t>
        </is>
      </c>
      <c r="E187" s="362" t="inlineStr">
        <is>
          <t>送金料</t>
        </is>
      </c>
      <c r="F187" s="362" t="inlineStr">
        <is>
          <t>振込手数料（広銀）７月分　短期分</t>
        </is>
      </c>
      <c r="G187" s="363" t="n">
        <v>143169</v>
      </c>
      <c r="H187" s="360" t="n">
        <v>2</v>
      </c>
      <c r="I187" s="360" t="inlineStr">
        <is>
          <t>確認済</t>
        </is>
      </c>
      <c r="J187" s="364">
        <f>IF($G187="","",IF($H187=1,$G187-ROUND($G187*10/23,0)-2*ROUND($G187/23,0),IF($H187=2,$G187,0)))</f>
        <v>143169</v>
      </c>
      <c r="K187" s="364">
        <f>IF($G187="","",IF($H187=1,ROUND($G187*10/23,0),IF($H187=3,$G187-2*ROUND($G187/12,0),IF($H187=4,$G187,IF(OR($H187=5,$H187=7),ROUND($G187*10/11,0),0)))))</f>
        <v>0</v>
      </c>
      <c r="L187" s="364">
        <f>IF($G187="","",IF($H187=1,ROUND($G187/23,0),IF($H187=3,ROUND($G187/12,0),IF($H187=5,$G187-ROUND($G187*10/11,0),IF($H187=8,$G187,0)))))</f>
        <v>0</v>
      </c>
      <c r="M187" s="364">
        <f>IF($G187="","",IF($H187=1,ROUND($G187/23,0),IF($H187=3,ROUND($G187/12,0),IF($H187=6,$G187,IF($H187=7,$G187-ROUND($G187*10/11,0),0)))))</f>
        <v>0</v>
      </c>
      <c r="N187" s="364">
        <f>IF($G187="","",K187+L187+M187)</f>
        <v>0</v>
      </c>
      <c r="O187" s="365" t="str">
        <f>IF($G187="","",IFERROR(VLOOKUP($D187&amp;"|"&amp;$E187,科目表!$A$5:$B$200,2,FALSE),"※未登録"))</f>
        <v>送金料</v>
      </c>
      <c r="P187" s="359">
        <f>IF(OR($G187="",$C187=""),"",IF($B187="決算整理",13,MOD(MONTH($C187)-4,12)+1))</f>
        <v>5</v>
      </c>
      <c r="Q187" s="366" t="str">
        <f>IF($G187="","",TRIM(IF(J187+K187+L187+M187&lt;&gt;$G187,"按分不一致 ","")&amp;IF(O187="※未登録","科目未登録 ","")&amp;IF(OR($H187="",ISERROR(MATCH($H187,{1,2,3,4,5,6,7,8},0))),"経費区分? ","")&amp;IF($I187="","状態未設定 ","")&amp;IF(AND(OR($I187="確認済",$I187="未確認"),$B187="月例",OR($C187="",$C187&lt;DATE(年度+2018,4,1),$C187&gt;DATE(年度+2019,3,31))),"年度外の日付 ","")&amp;IF(AND(OR($I187="確認済",$I187="未確認"),O187="対象外"),"対象外の科目 ","")))</f>
        <v/>
      </c>
      <c r="R187" s="366" t="inlineStr">
        <is>
          <t>月例!194</t>
        </is>
      </c>
    </row>
    <row r="188">
      <c r="A188" s="359" t="n">
        <v>184</v>
      </c>
      <c r="B188" s="360" t="inlineStr">
        <is>
          <t>月例</t>
        </is>
      </c>
      <c r="C188" s="361" t="n">
        <v>44421</v>
      </c>
      <c r="D188" s="362" t="inlineStr">
        <is>
          <t>事務費</t>
        </is>
      </c>
      <c r="E188" s="362" t="inlineStr">
        <is>
          <t>図書印刷費</t>
        </is>
      </c>
      <c r="F188" s="362" t="inlineStr">
        <is>
          <t>地方公務員共済組合関係法令実例判例集追録1073-1076号</t>
        </is>
      </c>
      <c r="G188" s="363" t="n">
        <v>10528</v>
      </c>
      <c r="H188" s="360" t="n">
        <v>3</v>
      </c>
      <c r="I188" s="360" t="inlineStr">
        <is>
          <t>昨年実績</t>
        </is>
      </c>
      <c r="J188" s="364">
        <f>IF($G188="","",IF($H188=1,$G188-ROUND($G188*10/23,0)-2*ROUND($G188/23,0),IF($H188=2,$G188,0)))</f>
        <v>0</v>
      </c>
      <c r="K188" s="364">
        <f>IF($G188="","",IF($H188=1,ROUND($G188*10/23,0),IF($H188=3,$G188-2*ROUND($G188/12,0),IF($H188=4,$G188,IF(OR($H188=5,$H188=7),ROUND($G188*10/11,0),0)))))</f>
        <v>8774</v>
      </c>
      <c r="L188" s="364">
        <f>IF($G188="","",IF($H188=1,ROUND($G188/23,0),IF($H188=3,ROUND($G188/12,0),IF($H188=5,$G188-ROUND($G188*10/11,0),IF($H188=8,$G188,0)))))</f>
        <v>877</v>
      </c>
      <c r="M188" s="364">
        <f>IF($G188="","",IF($H188=1,ROUND($G188/23,0),IF($H188=3,ROUND($G188/12,0),IF($H188=6,$G188,IF($H188=7,$G188-ROUND($G188*10/11,0),0)))))</f>
        <v>877</v>
      </c>
      <c r="N188" s="364">
        <f>IF($G188="","",K188+L188+M188)</f>
        <v>10528</v>
      </c>
      <c r="O188" s="365" t="str">
        <f>IF($G188="","",IFERROR(VLOOKUP($D188&amp;"|"&amp;$E188,科目表!$A$5:$B$200,2,FALSE),"※未登録"))</f>
        <v>図書印刷費</v>
      </c>
      <c r="P188" s="359">
        <f>IF(OR($G188="",$C188=""),"",IF($B188="決算整理",13,MOD(MONTH($C188)-4,12)+1))</f>
        <v>5</v>
      </c>
      <c r="Q188" s="366" t="str">
        <f>IF($G188="","",TRIM(IF(J188+K188+L188+M188&lt;&gt;$G188,"按分不一致 ","")&amp;IF(O188="※未登録","科目未登録 ","")&amp;IF(OR($H188="",ISERROR(MATCH($H188,{1,2,3,4,5,6,7,8},0))),"経費区分? ","")&amp;IF($I188="","状態未設定 ","")&amp;IF(AND(OR($I188="確認済",$I188="未確認"),$B188="月例",OR($C188="",$C188&lt;DATE(年度+2018,4,1),$C188&gt;DATE(年度+2019,3,31))),"年度外の日付 ","")&amp;IF(AND(OR($I188="確認済",$I188="未確認"),O188="対象外"),"対象外の科目 ","")))</f>
        <v/>
      </c>
      <c r="R188" s="366" t="inlineStr">
        <is>
          <t>月例!195</t>
        </is>
      </c>
    </row>
    <row r="189">
      <c r="A189" s="359" t="n">
        <v>185</v>
      </c>
      <c r="B189" s="360" t="inlineStr">
        <is>
          <t>月例</t>
        </is>
      </c>
      <c r="C189" s="361" t="n">
        <v>44788</v>
      </c>
      <c r="D189" s="362" t="inlineStr">
        <is>
          <t>賃借料</t>
        </is>
      </c>
      <c r="E189" s="362" t="n"/>
      <c r="F189" s="362" t="inlineStr">
        <is>
          <t>大都市職員共済組合事務担当者会議　WEB会議用機器等</t>
        </is>
      </c>
      <c r="G189" s="363" t="n">
        <v>10120</v>
      </c>
      <c r="H189" s="360" t="n">
        <v>2</v>
      </c>
      <c r="I189" s="360" t="inlineStr">
        <is>
          <t>昨年実績</t>
        </is>
      </c>
      <c r="J189" s="364">
        <f>IF($G189="","",IF($H189=1,$G189-ROUND($G189*10/23,0)-2*ROUND($G189/23,0),IF($H189=2,$G189,0)))</f>
        <v>10120</v>
      </c>
      <c r="K189" s="364">
        <f>IF($G189="","",IF($H189=1,ROUND($G189*10/23,0),IF($H189=3,$G189-2*ROUND($G189/12,0),IF($H189=4,$G189,IF(OR($H189=5,$H189=7),ROUND($G189*10/11,0),0)))))</f>
        <v>0</v>
      </c>
      <c r="L189" s="364">
        <f>IF($G189="","",IF($H189=1,ROUND($G189/23,0),IF($H189=3,ROUND($G189/12,0),IF($H189=5,$G189-ROUND($G189*10/11,0),IF($H189=8,$G189,0)))))</f>
        <v>0</v>
      </c>
      <c r="M189" s="364">
        <f>IF($G189="","",IF($H189=1,ROUND($G189/23,0),IF($H189=3,ROUND($G189/12,0),IF($H189=6,$G189,IF($H189=7,$G189-ROUND($G189*10/11,0),0)))))</f>
        <v>0</v>
      </c>
      <c r="N189" s="364">
        <f>IF($G189="","",K189+L189+M189)</f>
        <v>0</v>
      </c>
      <c r="O189" s="365" t="str">
        <f>IF($G189="","",IFERROR(VLOOKUP($D189&amp;"|"&amp;$E189,科目表!$A$5:$B$200,2,FALSE),"※未登録"))</f>
        <v>賃借料</v>
      </c>
      <c r="P189" s="359">
        <f>IF(OR($G189="",$C189=""),"",IF($B189="決算整理",13,MOD(MONTH($C189)-4,12)+1))</f>
        <v>5</v>
      </c>
      <c r="Q189" s="366" t="str">
        <f>IF($G189="","",TRIM(IF(J189+K189+L189+M189&lt;&gt;$G189,"按分不一致 ","")&amp;IF(O189="※未登録","科目未登録 ","")&amp;IF(OR($H189="",ISERROR(MATCH($H189,{1,2,3,4,5,6,7,8},0))),"経費区分? ","")&amp;IF($I189="","状態未設定 ","")&amp;IF(AND(OR($I189="確認済",$I189="未確認"),$B189="月例",OR($C189="",$C189&lt;DATE(年度+2018,4,1),$C189&gt;DATE(年度+2019,3,31))),"年度外の日付 ","")&amp;IF(AND(OR($I189="確認済",$I189="未確認"),O189="対象外"),"対象外の科目 ","")))</f>
        <v/>
      </c>
      <c r="R189" s="366" t="inlineStr">
        <is>
          <t>月例!196</t>
        </is>
      </c>
    </row>
    <row r="190">
      <c r="A190" s="359" t="n">
        <v>186</v>
      </c>
      <c r="B190" s="360" t="inlineStr">
        <is>
          <t>月例</t>
        </is>
      </c>
      <c r="C190" s="361" t="n">
        <v>46259</v>
      </c>
      <c r="D190" s="362" t="inlineStr">
        <is>
          <t>事務費</t>
        </is>
      </c>
      <c r="E190" s="362" t="inlineStr">
        <is>
          <t>事務用消耗品費</t>
        </is>
      </c>
      <c r="F190" s="362" t="inlineStr">
        <is>
          <t>コピー用紙等購入代分担金　互助会（第１四半期）[短期]</t>
        </is>
      </c>
      <c r="G190" s="363" t="n">
        <v>119079</v>
      </c>
      <c r="H190" s="360" t="n">
        <v>2</v>
      </c>
      <c r="I190" s="360" t="inlineStr">
        <is>
          <t>確認済</t>
        </is>
      </c>
      <c r="J190" s="364">
        <f>IF($G190="","",IF($H190=1,$G190-ROUND($G190*10/23,0)-2*ROUND($G190/23,0),IF($H190=2,$G190,0)))</f>
        <v>119079</v>
      </c>
      <c r="K190" s="364">
        <f>IF($G190="","",IF($H190=1,ROUND($G190*10/23,0),IF($H190=3,$G190-2*ROUND($G190/12,0),IF($H190=4,$G190,IF(OR($H190=5,$H190=7),ROUND($G190*10/11,0),0)))))</f>
        <v>0</v>
      </c>
      <c r="L190" s="364">
        <f>IF($G190="","",IF($H190=1,ROUND($G190/23,0),IF($H190=3,ROUND($G190/12,0),IF($H190=5,$G190-ROUND($G190*10/11,0),IF($H190=8,$G190,0)))))</f>
        <v>0</v>
      </c>
      <c r="M190" s="364">
        <f>IF($G190="","",IF($H190=1,ROUND($G190/23,0),IF($H190=3,ROUND($G190/12,0),IF($H190=6,$G190,IF($H190=7,$G190-ROUND($G190*10/11,0),0)))))</f>
        <v>0</v>
      </c>
      <c r="N190" s="364">
        <f>IF($G190="","",K190+L190+M190)</f>
        <v>0</v>
      </c>
      <c r="O190" s="365" t="str">
        <f>IF($G190="","",IFERROR(VLOOKUP($D190&amp;"|"&amp;$E190,科目表!$A$5:$B$200,2,FALSE),"※未登録"))</f>
        <v>事務用消耗品費</v>
      </c>
      <c r="P190" s="359">
        <f>IF(OR($G190="",$C190=""),"",IF($B190="決算整理",13,MOD(MONTH($C190)-4,12)+1))</f>
        <v>5</v>
      </c>
      <c r="Q190" s="366" t="str">
        <f>IF($G190="","",TRIM(IF(J190+K190+L190+M190&lt;&gt;$G190,"按分不一致 ","")&amp;IF(O190="※未登録","科目未登録 ","")&amp;IF(OR($H190="",ISERROR(MATCH($H190,{1,2,3,4,5,6,7,8},0))),"経費区分? ","")&amp;IF($I190="","状態未設定 ","")&amp;IF(AND(OR($I190="確認済",$I190="未確認"),$B190="月例",OR($C190="",$C190&lt;DATE(年度+2018,4,1),$C190&gt;DATE(年度+2019,3,31))),"年度外の日付 ","")&amp;IF(AND(OR($I190="確認済",$I190="未確認"),O190="対象外"),"対象外の科目 ","")))</f>
        <v/>
      </c>
      <c r="R190" s="366" t="inlineStr">
        <is>
          <t>月例!197</t>
        </is>
      </c>
    </row>
    <row r="191">
      <c r="A191" s="359" t="n">
        <v>187</v>
      </c>
      <c r="B191" s="360" t="inlineStr">
        <is>
          <t>月例</t>
        </is>
      </c>
      <c r="C191" s="361" t="n">
        <v>46259</v>
      </c>
      <c r="D191" s="362" t="inlineStr">
        <is>
          <t>普及費</t>
        </is>
      </c>
      <c r="E191" s="362" t="n"/>
      <c r="F191" s="362" t="inlineStr">
        <is>
          <t>厚生だより等印刷代分担金　互助会（第１四半期）[短期]</t>
        </is>
      </c>
      <c r="G191" s="363" t="n">
        <v>371265</v>
      </c>
      <c r="H191" s="360" t="n">
        <v>2</v>
      </c>
      <c r="I191" s="360" t="inlineStr">
        <is>
          <t>確認済</t>
        </is>
      </c>
      <c r="J191" s="364">
        <f>IF($G191="","",IF($H191=1,$G191-ROUND($G191*10/23,0)-2*ROUND($G191/23,0),IF($H191=2,$G191,0)))</f>
        <v>371265</v>
      </c>
      <c r="K191" s="364">
        <f>IF($G191="","",IF($H191=1,ROUND($G191*10/23,0),IF($H191=3,$G191-2*ROUND($G191/12,0),IF($H191=4,$G191,IF(OR($H191=5,$H191=7),ROUND($G191*10/11,0),0)))))</f>
        <v>0</v>
      </c>
      <c r="L191" s="364">
        <f>IF($G191="","",IF($H191=1,ROUND($G191/23,0),IF($H191=3,ROUND($G191/12,0),IF($H191=5,$G191-ROUND($G191*10/11,0),IF($H191=8,$G191,0)))))</f>
        <v>0</v>
      </c>
      <c r="M191" s="364">
        <f>IF($G191="","",IF($H191=1,ROUND($G191/23,0),IF($H191=3,ROUND($G191/12,0),IF($H191=6,$G191,IF($H191=7,$G191-ROUND($G191*10/11,0),0)))))</f>
        <v>0</v>
      </c>
      <c r="N191" s="364">
        <f>IF($G191="","",K191+L191+M191)</f>
        <v>0</v>
      </c>
      <c r="O191" s="365" t="str">
        <f>IF($G191="","",IFERROR(VLOOKUP($D191&amp;"|"&amp;$E191,科目表!$A$5:$B$200,2,FALSE),"※未登録"))</f>
        <v>普及費</v>
      </c>
      <c r="P191" s="359">
        <f>IF(OR($G191="",$C191=""),"",IF($B191="決算整理",13,MOD(MONTH($C191)-4,12)+1))</f>
        <v>5</v>
      </c>
      <c r="Q191" s="366" t="str">
        <f>IF($G191="","",TRIM(IF(J191+K191+L191+M191&lt;&gt;$G191,"按分不一致 ","")&amp;IF(O191="※未登録","科目未登録 ","")&amp;IF(OR($H191="",ISERROR(MATCH($H191,{1,2,3,4,5,6,7,8},0))),"経費区分? ","")&amp;IF($I191="","状態未設定 ","")&amp;IF(AND(OR($I191="確認済",$I191="未確認"),$B191="月例",OR($C191="",$C191&lt;DATE(年度+2018,4,1),$C191&gt;DATE(年度+2019,3,31))),"年度外の日付 ","")&amp;IF(AND(OR($I191="確認済",$I191="未確認"),O191="対象外"),"対象外の科目 ","")))</f>
        <v/>
      </c>
      <c r="R191" s="366" t="inlineStr">
        <is>
          <t>月例!198</t>
        </is>
      </c>
    </row>
    <row r="192">
      <c r="A192" s="359" t="n">
        <v>188</v>
      </c>
      <c r="B192" s="360" t="inlineStr">
        <is>
          <t>月例</t>
        </is>
      </c>
      <c r="C192" s="361" t="n">
        <v>45153</v>
      </c>
      <c r="D192" s="362" t="inlineStr">
        <is>
          <t>事務費</t>
        </is>
      </c>
      <c r="E192" s="362" t="inlineStr">
        <is>
          <t>事務用消耗品費</t>
        </is>
      </c>
      <c r="F192" s="362" t="inlineStr">
        <is>
          <t>メンディングテープ　810-3-18　１個　他</t>
        </is>
      </c>
      <c r="G192" s="363" t="n">
        <v>14422</v>
      </c>
      <c r="H192" s="360" t="n">
        <v>3</v>
      </c>
      <c r="I192" s="360" t="inlineStr">
        <is>
          <t>昨年実績</t>
        </is>
      </c>
      <c r="J192" s="364">
        <f>IF($G192="","",IF($H192=1,$G192-ROUND($G192*10/23,0)-2*ROUND($G192/23,0),IF($H192=2,$G192,0)))</f>
        <v>0</v>
      </c>
      <c r="K192" s="364">
        <f>IF($G192="","",IF($H192=1,ROUND($G192*10/23,0),IF($H192=3,$G192-2*ROUND($G192/12,0),IF($H192=4,$G192,IF(OR($H192=5,$H192=7),ROUND($G192*10/11,0),0)))))</f>
        <v>12018</v>
      </c>
      <c r="L192" s="364">
        <f>IF($G192="","",IF($H192=1,ROUND($G192/23,0),IF($H192=3,ROUND($G192/12,0),IF($H192=5,$G192-ROUND($G192*10/11,0),IF($H192=8,$G192,0)))))</f>
        <v>1202</v>
      </c>
      <c r="M192" s="364">
        <f>IF($G192="","",IF($H192=1,ROUND($G192/23,0),IF($H192=3,ROUND($G192/12,0),IF($H192=6,$G192,IF($H192=7,$G192-ROUND($G192*10/11,0),0)))))</f>
        <v>1202</v>
      </c>
      <c r="N192" s="364">
        <f>IF($G192="","",K192+L192+M192)</f>
        <v>14422</v>
      </c>
      <c r="O192" s="365" t="str">
        <f>IF($G192="","",IFERROR(VLOOKUP($D192&amp;"|"&amp;$E192,科目表!$A$5:$B$200,2,FALSE),"※未登録"))</f>
        <v>事務用消耗品費</v>
      </c>
      <c r="P192" s="359">
        <f>IF(OR($G192="",$C192=""),"",IF($B192="決算整理",13,MOD(MONTH($C192)-4,12)+1))</f>
        <v>5</v>
      </c>
      <c r="Q192" s="366" t="str">
        <f>IF($G192="","",TRIM(IF(J192+K192+L192+M192&lt;&gt;$G192,"按分不一致 ","")&amp;IF(O192="※未登録","科目未登録 ","")&amp;IF(OR($H192="",ISERROR(MATCH($H192,{1,2,3,4,5,6,7,8},0))),"経費区分? ","")&amp;IF($I192="","状態未設定 ","")&amp;IF(AND(OR($I192="確認済",$I192="未確認"),$B192="月例",OR($C192="",$C192&lt;DATE(年度+2018,4,1),$C192&gt;DATE(年度+2019,3,31))),"年度外の日付 ","")&amp;IF(AND(OR($I192="確認済",$I192="未確認"),O192="対象外"),"対象外の科目 ","")))</f>
        <v/>
      </c>
      <c r="R192" s="366" t="inlineStr">
        <is>
          <t>月例!199</t>
        </is>
      </c>
    </row>
    <row r="193">
      <c r="A193" s="359" t="n">
        <v>189</v>
      </c>
      <c r="B193" s="360" t="inlineStr">
        <is>
          <t>月例</t>
        </is>
      </c>
      <c r="C193" s="361" t="n">
        <v>46259</v>
      </c>
      <c r="D193" s="362" t="inlineStr">
        <is>
          <t>事務費</t>
        </is>
      </c>
      <c r="E193" s="362" t="inlineStr">
        <is>
          <t>通信運搬費</t>
        </is>
      </c>
      <c r="F193" s="362" t="inlineStr">
        <is>
          <t>ＦＡＸ電話代等分担金　互助会（第１四半期）[短期]</t>
        </is>
      </c>
      <c r="G193" s="363" t="n">
        <v>5979</v>
      </c>
      <c r="H193" s="360" t="n">
        <v>2</v>
      </c>
      <c r="I193" s="360" t="inlineStr">
        <is>
          <t>確認済</t>
        </is>
      </c>
      <c r="J193" s="364">
        <f>IF($G193="","",IF($H193=1,$G193-ROUND($G193*10/23,0)-2*ROUND($G193/23,0),IF($H193=2,$G193,0)))</f>
        <v>5979</v>
      </c>
      <c r="K193" s="364">
        <f>IF($G193="","",IF($H193=1,ROUND($G193*10/23,0),IF($H193=3,$G193-2*ROUND($G193/12,0),IF($H193=4,$G193,IF(OR($H193=5,$H193=7),ROUND($G193*10/11,0),0)))))</f>
        <v>0</v>
      </c>
      <c r="L193" s="364">
        <f>IF($G193="","",IF($H193=1,ROUND($G193/23,0),IF($H193=3,ROUND($G193/12,0),IF($H193=5,$G193-ROUND($G193*10/11,0),IF($H193=8,$G193,0)))))</f>
        <v>0</v>
      </c>
      <c r="M193" s="364">
        <f>IF($G193="","",IF($H193=1,ROUND($G193/23,0),IF($H193=3,ROUND($G193/12,0),IF($H193=6,$G193,IF($H193=7,$G193-ROUND($G193*10/11,0),0)))))</f>
        <v>0</v>
      </c>
      <c r="N193" s="364">
        <f>IF($G193="","",K193+L193+M193)</f>
        <v>0</v>
      </c>
      <c r="O193" s="365" t="str">
        <f>IF($G193="","",IFERROR(VLOOKUP($D193&amp;"|"&amp;$E193,科目表!$A$5:$B$200,2,FALSE),"※未登録"))</f>
        <v>通信運搬費</v>
      </c>
      <c r="P193" s="359">
        <f>IF(OR($G193="",$C193=""),"",IF($B193="決算整理",13,MOD(MONTH($C193)-4,12)+1))</f>
        <v>5</v>
      </c>
      <c r="Q193" s="366" t="str">
        <f>IF($G193="","",TRIM(IF(J193+K193+L193+M193&lt;&gt;$G193,"按分不一致 ","")&amp;IF(O193="※未登録","科目未登録 ","")&amp;IF(OR($H193="",ISERROR(MATCH($H193,{1,2,3,4,5,6,7,8},0))),"経費区分? ","")&amp;IF($I193="","状態未設定 ","")&amp;IF(AND(OR($I193="確認済",$I193="未確認"),$B193="月例",OR($C193="",$C193&lt;DATE(年度+2018,4,1),$C193&gt;DATE(年度+2019,3,31))),"年度外の日付 ","")&amp;IF(AND(OR($I193="確認済",$I193="未確認"),O193="対象外"),"対象外の科目 ","")))</f>
        <v/>
      </c>
      <c r="R193" s="366" t="inlineStr">
        <is>
          <t>月例!200</t>
        </is>
      </c>
    </row>
    <row r="194">
      <c r="A194" s="359" t="n">
        <v>190</v>
      </c>
      <c r="B194" s="360" t="inlineStr">
        <is>
          <t>月例</t>
        </is>
      </c>
      <c r="C194" s="361" t="n">
        <v>46280</v>
      </c>
      <c r="D194" s="362" t="inlineStr">
        <is>
          <t>委託費</t>
        </is>
      </c>
      <c r="E194" s="362" t="n"/>
      <c r="F194" s="362" t="inlineStr">
        <is>
          <t>ねんきん定期便（７月分）送付業務</t>
        </is>
      </c>
      <c r="G194" s="363" t="n">
        <v>89822</v>
      </c>
      <c r="H194" s="360" t="n">
        <v>5</v>
      </c>
      <c r="I194" s="360" t="inlineStr">
        <is>
          <t>確認済</t>
        </is>
      </c>
      <c r="J194" s="364">
        <f>IF($G194="","",IF($H194=1,$G194-ROUND($G194*10/23,0)-2*ROUND($G194/23,0),IF($H194=2,$G194,0)))</f>
        <v>0</v>
      </c>
      <c r="K194" s="364">
        <f>IF($G194="","",IF($H194=1,ROUND($G194*10/23,0),IF($H194=3,$G194-2*ROUND($G194/12,0),IF($H194=4,$G194,IF(OR($H194=5,$H194=7),ROUND($G194*10/11,0),0)))))</f>
        <v>81656</v>
      </c>
      <c r="L194" s="364">
        <f>IF($G194="","",IF($H194=1,ROUND($G194/23,0),IF($H194=3,ROUND($G194/12,0),IF($H194=5,$G194-ROUND($G194*10/11,0),IF($H194=8,$G194,0)))))</f>
        <v>8166</v>
      </c>
      <c r="M194" s="364">
        <f>IF($G194="","",IF($H194=1,ROUND($G194/23,0),IF($H194=3,ROUND($G194/12,0),IF($H194=6,$G194,IF($H194=7,$G194-ROUND($G194*10/11,0),0)))))</f>
        <v>0</v>
      </c>
      <c r="N194" s="364">
        <f>IF($G194="","",K194+L194+M194)</f>
        <v>89822</v>
      </c>
      <c r="O194" s="365" t="str">
        <f>IF($G194="","",IFERROR(VLOOKUP($D194&amp;"|"&amp;$E194,科目表!$A$5:$B$200,2,FALSE),"※未登録"))</f>
        <v>委託費</v>
      </c>
      <c r="P194" s="359">
        <f>IF(OR($G194="",$C194=""),"",IF($B194="決算整理",13,MOD(MONTH($C194)-4,12)+1))</f>
        <v>6</v>
      </c>
      <c r="Q194" s="366" t="str">
        <f>IF($G194="","",TRIM(IF(J194+K194+L194+M194&lt;&gt;$G194,"按分不一致 ","")&amp;IF(O194="※未登録","科目未登録 ","")&amp;IF(OR($H194="",ISERROR(MATCH($H194,{1,2,3,4,5,6,7,8},0))),"経費区分? ","")&amp;IF($I194="","状態未設定 ","")&amp;IF(AND(OR($I194="確認済",$I194="未確認"),$B194="月例",OR($C194="",$C194&lt;DATE(年度+2018,4,1),$C194&gt;DATE(年度+2019,3,31))),"年度外の日付 ","")&amp;IF(AND(OR($I194="確認済",$I194="未確認"),O194="対象外"),"対象外の科目 ","")))</f>
        <v/>
      </c>
      <c r="R194" s="366" t="inlineStr">
        <is>
          <t>月例!201</t>
        </is>
      </c>
    </row>
    <row r="195">
      <c r="A195" s="359" t="n">
        <v>191</v>
      </c>
      <c r="B195" s="360" t="inlineStr">
        <is>
          <t>月例</t>
        </is>
      </c>
      <c r="C195" s="361" t="n">
        <v>46254</v>
      </c>
      <c r="D195" s="362" t="inlineStr">
        <is>
          <t>委託費</t>
        </is>
      </c>
      <c r="E195" s="362" t="n"/>
      <c r="F195" s="362" t="inlineStr">
        <is>
          <t>社会保障等制度情報提供手数料（４～６月分）</t>
        </is>
      </c>
      <c r="G195" s="363" t="n">
        <v>36080</v>
      </c>
      <c r="H195" s="360" t="n">
        <v>2</v>
      </c>
      <c r="I195" s="360" t="inlineStr">
        <is>
          <t>確認済</t>
        </is>
      </c>
      <c r="J195" s="364">
        <f>IF($G195="","",IF($H195=1,$G195-ROUND($G195*10/23,0)-2*ROUND($G195/23,0),IF($H195=2,$G195,0)))</f>
        <v>36080</v>
      </c>
      <c r="K195" s="364">
        <f>IF($G195="","",IF($H195=1,ROUND($G195*10/23,0),IF($H195=3,$G195-2*ROUND($G195/12,0),IF($H195=4,$G195,IF(OR($H195=5,$H195=7),ROUND($G195*10/11,0),0)))))</f>
        <v>0</v>
      </c>
      <c r="L195" s="364">
        <f>IF($G195="","",IF($H195=1,ROUND($G195/23,0),IF($H195=3,ROUND($G195/12,0),IF($H195=5,$G195-ROUND($G195*10/11,0),IF($H195=8,$G195,0)))))</f>
        <v>0</v>
      </c>
      <c r="M195" s="364">
        <f>IF($G195="","",IF($H195=1,ROUND($G195/23,0),IF($H195=3,ROUND($G195/12,0),IF($H195=6,$G195,IF($H195=7,$G195-ROUND($G195*10/11,0),0)))))</f>
        <v>0</v>
      </c>
      <c r="N195" s="364">
        <f>IF($G195="","",K195+L195+M195)</f>
        <v>0</v>
      </c>
      <c r="O195" s="365" t="str">
        <f>IF($G195="","",IFERROR(VLOOKUP($D195&amp;"|"&amp;$E195,科目表!$A$5:$B$200,2,FALSE),"※未登録"))</f>
        <v>委託費</v>
      </c>
      <c r="P195" s="359">
        <f>IF(OR($G195="",$C195=""),"",IF($B195="決算整理",13,MOD(MONTH($C195)-4,12)+1))</f>
        <v>5</v>
      </c>
      <c r="Q195" s="366" t="str">
        <f>IF($G195="","",TRIM(IF(J195+K195+L195+M195&lt;&gt;$G195,"按分不一致 ","")&amp;IF(O195="※未登録","科目未登録 ","")&amp;IF(OR($H195="",ISERROR(MATCH($H195,{1,2,3,4,5,6,7,8},0))),"経費区分? ","")&amp;IF($I195="","状態未設定 ","")&amp;IF(AND(OR($I195="確認済",$I195="未確認"),$B195="月例",OR($C195="",$C195&lt;DATE(年度+2018,4,1),$C195&gt;DATE(年度+2019,3,31))),"年度外の日付 ","")&amp;IF(AND(OR($I195="確認済",$I195="未確認"),O195="対象外"),"対象外の科目 ","")))</f>
        <v/>
      </c>
      <c r="R195" s="366" t="inlineStr">
        <is>
          <t>月例!202</t>
        </is>
      </c>
    </row>
    <row r="196">
      <c r="A196" s="359" t="n">
        <v>192</v>
      </c>
      <c r="B196" s="360" t="inlineStr">
        <is>
          <t>月例</t>
        </is>
      </c>
      <c r="C196" s="361" t="n">
        <v>44060</v>
      </c>
      <c r="D196" s="362" t="inlineStr">
        <is>
          <t>賃借料</t>
        </is>
      </c>
      <c r="E196" s="362" t="n"/>
      <c r="F196" s="362" t="inlineStr">
        <is>
          <t>パソコン（業務経理用）７月分</t>
        </is>
      </c>
      <c r="G196" s="363" t="n">
        <v>3132</v>
      </c>
      <c r="H196" s="360" t="n">
        <v>2</v>
      </c>
      <c r="I196" s="360" t="inlineStr">
        <is>
          <t>昨年実績</t>
        </is>
      </c>
      <c r="J196" s="364">
        <f>IF($G196="","",IF($H196=1,$G196-ROUND($G196*10/23,0)-2*ROUND($G196/23,0),IF($H196=2,$G196,0)))</f>
        <v>3132</v>
      </c>
      <c r="K196" s="364">
        <f>IF($G196="","",IF($H196=1,ROUND($G196*10/23,0),IF($H196=3,$G196-2*ROUND($G196/12,0),IF($H196=4,$G196,IF(OR($H196=5,$H196=7),ROUND($G196*10/11,0),0)))))</f>
        <v>0</v>
      </c>
      <c r="L196" s="364">
        <f>IF($G196="","",IF($H196=1,ROUND($G196/23,0),IF($H196=3,ROUND($G196/12,0),IF($H196=5,$G196-ROUND($G196*10/11,0),IF($H196=8,$G196,0)))))</f>
        <v>0</v>
      </c>
      <c r="M196" s="364">
        <f>IF($G196="","",IF($H196=1,ROUND($G196/23,0),IF($H196=3,ROUND($G196/12,0),IF($H196=6,$G196,IF($H196=7,$G196-ROUND($G196*10/11,0),0)))))</f>
        <v>0</v>
      </c>
      <c r="N196" s="364">
        <f>IF($G196="","",K196+L196+M196)</f>
        <v>0</v>
      </c>
      <c r="O196" s="365" t="str">
        <f>IF($G196="","",IFERROR(VLOOKUP($D196&amp;"|"&amp;$E196,科目表!$A$5:$B$200,2,FALSE),"※未登録"))</f>
        <v>賃借料</v>
      </c>
      <c r="P196" s="359">
        <f>IF(OR($G196="",$C196=""),"",IF($B196="決算整理",13,MOD(MONTH($C196)-4,12)+1))</f>
        <v>5</v>
      </c>
      <c r="Q196" s="366" t="str">
        <f>IF($G196="","",TRIM(IF(J196+K196+L196+M196&lt;&gt;$G196,"按分不一致 ","")&amp;IF(O196="※未登録","科目未登録 ","")&amp;IF(OR($H196="",ISERROR(MATCH($H196,{1,2,3,4,5,6,7,8},0))),"経費区分? ","")&amp;IF($I196="","状態未設定 ","")&amp;IF(AND(OR($I196="確認済",$I196="未確認"),$B196="月例",OR($C196="",$C196&lt;DATE(年度+2018,4,1),$C196&gt;DATE(年度+2019,3,31))),"年度外の日付 ","")&amp;IF(AND(OR($I196="確認済",$I196="未確認"),O196="対象外"),"対象外の科目 ","")))</f>
        <v/>
      </c>
      <c r="R196" s="366" t="inlineStr">
        <is>
          <t>月例!203</t>
        </is>
      </c>
    </row>
    <row r="197">
      <c r="A197" s="359" t="n">
        <v>193</v>
      </c>
      <c r="B197" s="360" t="inlineStr">
        <is>
          <t>月例</t>
        </is>
      </c>
      <c r="C197" s="361" t="n">
        <v>46248</v>
      </c>
      <c r="D197" s="362" t="inlineStr">
        <is>
          <t>賃金</t>
        </is>
      </c>
      <c r="E197" s="362" t="n"/>
      <c r="F197" s="362" t="inlineStr">
        <is>
          <t>臨時職員賃金７月分　天畠吏梨外１名分（短期１００％）</t>
        </is>
      </c>
      <c r="G197" s="363" t="n">
        <v>445720</v>
      </c>
      <c r="H197" s="360" t="n">
        <v>2</v>
      </c>
      <c r="I197" s="360" t="inlineStr">
        <is>
          <t>確認済</t>
        </is>
      </c>
      <c r="J197" s="364">
        <f>IF($G197="","",IF($H197=1,$G197-ROUND($G197*10/23,0)-2*ROUND($G197/23,0),IF($H197=2,$G197,0)))</f>
        <v>445720</v>
      </c>
      <c r="K197" s="364">
        <f>IF($G197="","",IF($H197=1,ROUND($G197*10/23,0),IF($H197=3,$G197-2*ROUND($G197/12,0),IF($H197=4,$G197,IF(OR($H197=5,$H197=7),ROUND($G197*10/11,0),0)))))</f>
        <v>0</v>
      </c>
      <c r="L197" s="364">
        <f>IF($G197="","",IF($H197=1,ROUND($G197/23,0),IF($H197=3,ROUND($G197/12,0),IF($H197=5,$G197-ROUND($G197*10/11,0),IF($H197=8,$G197,0)))))</f>
        <v>0</v>
      </c>
      <c r="M197" s="364">
        <f>IF($G197="","",IF($H197=1,ROUND($G197/23,0),IF($H197=3,ROUND($G197/12,0),IF($H197=6,$G197,IF($H197=7,$G197-ROUND($G197*10/11,0),0)))))</f>
        <v>0</v>
      </c>
      <c r="N197" s="364">
        <f>IF($G197="","",K197+L197+M197)</f>
        <v>0</v>
      </c>
      <c r="O197" s="365" t="str">
        <f>IF($G197="","",IFERROR(VLOOKUP($D197&amp;"|"&amp;$E197,科目表!$A$5:$B$200,2,FALSE),"※未登録"))</f>
        <v>賃金</v>
      </c>
      <c r="P197" s="359">
        <f>IF(OR($G197="",$C197=""),"",IF($B197="決算整理",13,MOD(MONTH($C197)-4,12)+1))</f>
        <v>5</v>
      </c>
      <c r="Q197" s="366" t="str">
        <f>IF($G197="","",TRIM(IF(J197+K197+L197+M197&lt;&gt;$G197,"按分不一致 ","")&amp;IF(O197="※未登録","科目未登録 ","")&amp;IF(OR($H197="",ISERROR(MATCH($H197,{1,2,3,4,5,6,7,8},0))),"経費区分? ","")&amp;IF($I197="","状態未設定 ","")&amp;IF(AND(OR($I197="確認済",$I197="未確認"),$B197="月例",OR($C197="",$C197&lt;DATE(年度+2018,4,1),$C197&gt;DATE(年度+2019,3,31))),"年度外の日付 ","")&amp;IF(AND(OR($I197="確認済",$I197="未確認"),O197="対象外"),"対象外の科目 ","")))</f>
        <v/>
      </c>
      <c r="R197" s="366" t="inlineStr">
        <is>
          <t>月例!205</t>
        </is>
      </c>
    </row>
    <row r="198">
      <c r="A198" s="359" t="n">
        <v>194</v>
      </c>
      <c r="B198" s="360" t="inlineStr">
        <is>
          <t>月例</t>
        </is>
      </c>
      <c r="C198" s="361" t="n">
        <v>46265</v>
      </c>
      <c r="D198" s="362" t="inlineStr">
        <is>
          <t>事務費</t>
        </is>
      </c>
      <c r="E198" s="362" t="inlineStr">
        <is>
          <t>図書印刷費</t>
        </is>
      </c>
      <c r="F198" s="362" t="inlineStr">
        <is>
          <t>厚生法規総覧追録　６１２６－６１３５号</t>
        </is>
      </c>
      <c r="G198" s="363" t="n">
        <v>33154</v>
      </c>
      <c r="H198" s="360" t="n">
        <v>2</v>
      </c>
      <c r="I198" s="360" t="inlineStr">
        <is>
          <t>確認済</t>
        </is>
      </c>
      <c r="J198" s="364">
        <f>IF($G198="","",IF($H198=1,$G198-ROUND($G198*10/23,0)-2*ROUND($G198/23,0),IF($H198=2,$G198,0)))</f>
        <v>33154</v>
      </c>
      <c r="K198" s="364">
        <f>IF($G198="","",IF($H198=1,ROUND($G198*10/23,0),IF($H198=3,$G198-2*ROUND($G198/12,0),IF($H198=4,$G198,IF(OR($H198=5,$H198=7),ROUND($G198*10/11,0),0)))))</f>
        <v>0</v>
      </c>
      <c r="L198" s="364">
        <f>IF($G198="","",IF($H198=1,ROUND($G198/23,0),IF($H198=3,ROUND($G198/12,0),IF($H198=5,$G198-ROUND($G198*10/11,0),IF($H198=8,$G198,0)))))</f>
        <v>0</v>
      </c>
      <c r="M198" s="364">
        <f>IF($G198="","",IF($H198=1,ROUND($G198/23,0),IF($H198=3,ROUND($G198/12,0),IF($H198=6,$G198,IF($H198=7,$G198-ROUND($G198*10/11,0),0)))))</f>
        <v>0</v>
      </c>
      <c r="N198" s="364">
        <f>IF($G198="","",K198+L198+M198)</f>
        <v>0</v>
      </c>
      <c r="O198" s="365" t="str">
        <f>IF($G198="","",IFERROR(VLOOKUP($D198&amp;"|"&amp;$E198,科目表!$A$5:$B$200,2,FALSE),"※未登録"))</f>
        <v>図書印刷費</v>
      </c>
      <c r="P198" s="359">
        <f>IF(OR($G198="",$C198=""),"",IF($B198="決算整理",13,MOD(MONTH($C198)-4,12)+1))</f>
        <v>5</v>
      </c>
      <c r="Q198" s="366" t="str">
        <f>IF($G198="","",TRIM(IF(J198+K198+L198+M198&lt;&gt;$G198,"按分不一致 ","")&amp;IF(O198="※未登録","科目未登録 ","")&amp;IF(OR($H198="",ISERROR(MATCH($H198,{1,2,3,4,5,6,7,8},0))),"経費区分? ","")&amp;IF($I198="","状態未設定 ","")&amp;IF(AND(OR($I198="確認済",$I198="未確認"),$B198="月例",OR($C198="",$C198&lt;DATE(年度+2018,4,1),$C198&gt;DATE(年度+2019,3,31))),"年度外の日付 ","")&amp;IF(AND(OR($I198="確認済",$I198="未確認"),O198="対象外"),"対象外の科目 ","")))</f>
        <v/>
      </c>
      <c r="R198" s="366" t="inlineStr">
        <is>
          <t>月例!206</t>
        </is>
      </c>
    </row>
    <row r="199">
      <c r="A199" s="359" t="n">
        <v>195</v>
      </c>
      <c r="B199" s="360" t="inlineStr">
        <is>
          <t>月例</t>
        </is>
      </c>
      <c r="C199" s="361" t="n">
        <v>46265</v>
      </c>
      <c r="D199" s="362" t="inlineStr">
        <is>
          <t>事務費</t>
        </is>
      </c>
      <c r="E199" s="362" t="inlineStr">
        <is>
          <t>送金料</t>
        </is>
      </c>
      <c r="F199" s="362" t="inlineStr">
        <is>
          <t>ゆうちょ銀行手数料（７月分）短期</t>
        </is>
      </c>
      <c r="G199" s="363" t="n">
        <v>13584</v>
      </c>
      <c r="H199" s="360" t="n">
        <v>2</v>
      </c>
      <c r="I199" s="360" t="inlineStr">
        <is>
          <t>確認済</t>
        </is>
      </c>
      <c r="J199" s="364">
        <f>IF($G199="","",IF($H199=1,$G199-ROUND($G199*10/23,0)-2*ROUND($G199/23,0),IF($H199=2,$G199,0)))</f>
        <v>13584</v>
      </c>
      <c r="K199" s="364">
        <f>IF($G199="","",IF($H199=1,ROUND($G199*10/23,0),IF($H199=3,$G199-2*ROUND($G199/12,0),IF($H199=4,$G199,IF(OR($H199=5,$H199=7),ROUND($G199*10/11,0),0)))))</f>
        <v>0</v>
      </c>
      <c r="L199" s="364">
        <f>IF($G199="","",IF($H199=1,ROUND($G199/23,0),IF($H199=3,ROUND($G199/12,0),IF($H199=5,$G199-ROUND($G199*10/11,0),IF($H199=8,$G199,0)))))</f>
        <v>0</v>
      </c>
      <c r="M199" s="364">
        <f>IF($G199="","",IF($H199=1,ROUND($G199/23,0),IF($H199=3,ROUND($G199/12,0),IF($H199=6,$G199,IF($H199=7,$G199-ROUND($G199*10/11,0),0)))))</f>
        <v>0</v>
      </c>
      <c r="N199" s="364">
        <f>IF($G199="","",K199+L199+M199)</f>
        <v>0</v>
      </c>
      <c r="O199" s="365" t="str">
        <f>IF($G199="","",IFERROR(VLOOKUP($D199&amp;"|"&amp;$E199,科目表!$A$5:$B$200,2,FALSE),"※未登録"))</f>
        <v>送金料</v>
      </c>
      <c r="P199" s="359">
        <f>IF(OR($G199="",$C199=""),"",IF($B199="決算整理",13,MOD(MONTH($C199)-4,12)+1))</f>
        <v>5</v>
      </c>
      <c r="Q199" s="366" t="str">
        <f>IF($G199="","",TRIM(IF(J199+K199+L199+M199&lt;&gt;$G199,"按分不一致 ","")&amp;IF(O199="※未登録","科目未登録 ","")&amp;IF(OR($H199="",ISERROR(MATCH($H199,{1,2,3,4,5,6,7,8},0))),"経費区分? ","")&amp;IF($I199="","状態未設定 ","")&amp;IF(AND(OR($I199="確認済",$I199="未確認"),$B199="月例",OR($C199="",$C199&lt;DATE(年度+2018,4,1),$C199&gt;DATE(年度+2019,3,31))),"年度外の日付 ","")&amp;IF(AND(OR($I199="確認済",$I199="未確認"),O199="対象外"),"対象外の科目 ","")))</f>
        <v/>
      </c>
      <c r="R199" s="366" t="inlineStr">
        <is>
          <t>月例!207</t>
        </is>
      </c>
    </row>
    <row r="200">
      <c r="A200" s="359" t="n">
        <v>196</v>
      </c>
      <c r="B200" s="360" t="inlineStr">
        <is>
          <t>月例</t>
        </is>
      </c>
      <c r="C200" s="361" t="n">
        <v>46265</v>
      </c>
      <c r="D200" s="362" t="inlineStr">
        <is>
          <t>事務費</t>
        </is>
      </c>
      <c r="E200" s="362" t="inlineStr">
        <is>
          <t>雑費</t>
        </is>
      </c>
      <c r="F200" s="362" t="inlineStr">
        <is>
          <t>ゆうちょ銀行振替口座残高証明（７月分）短期</t>
        </is>
      </c>
      <c r="G200" s="363" t="n">
        <v>550</v>
      </c>
      <c r="H200" s="360" t="n">
        <v>2</v>
      </c>
      <c r="I200" s="360" t="inlineStr">
        <is>
          <t>確認済</t>
        </is>
      </c>
      <c r="J200" s="364">
        <f>IF($G200="","",IF($H200=1,$G200-ROUND($G200*10/23,0)-2*ROUND($G200/23,0),IF($H200=2,$G200,0)))</f>
        <v>550</v>
      </c>
      <c r="K200" s="364">
        <f>IF($G200="","",IF($H200=1,ROUND($G200*10/23,0),IF($H200=3,$G200-2*ROUND($G200/12,0),IF($H200=4,$G200,IF(OR($H200=5,$H200=7),ROUND($G200*10/11,0),0)))))</f>
        <v>0</v>
      </c>
      <c r="L200" s="364">
        <f>IF($G200="","",IF($H200=1,ROUND($G200/23,0),IF($H200=3,ROUND($G200/12,0),IF($H200=5,$G200-ROUND($G200*10/11,0),IF($H200=8,$G200,0)))))</f>
        <v>0</v>
      </c>
      <c r="M200" s="364">
        <f>IF($G200="","",IF($H200=1,ROUND($G200/23,0),IF($H200=3,ROUND($G200/12,0),IF($H200=6,$G200,IF($H200=7,$G200-ROUND($G200*10/11,0),0)))))</f>
        <v>0</v>
      </c>
      <c r="N200" s="364">
        <f>IF($G200="","",K200+L200+M200)</f>
        <v>0</v>
      </c>
      <c r="O200" s="365" t="str">
        <f>IF($G200="","",IFERROR(VLOOKUP($D200&amp;"|"&amp;$E200,科目表!$A$5:$B$200,2,FALSE),"※未登録"))</f>
        <v>事務費・雑費</v>
      </c>
      <c r="P200" s="359">
        <f>IF(OR($G200="",$C200=""),"",IF($B200="決算整理",13,MOD(MONTH($C200)-4,12)+1))</f>
        <v>5</v>
      </c>
      <c r="Q200" s="366" t="str">
        <f>IF($G200="","",TRIM(IF(J200+K200+L200+M200&lt;&gt;$G200,"按分不一致 ","")&amp;IF(O200="※未登録","科目未登録 ","")&amp;IF(OR($H200="",ISERROR(MATCH($H200,{1,2,3,4,5,6,7,8},0))),"経費区分? ","")&amp;IF($I200="","状態未設定 ","")&amp;IF(AND(OR($I200="確認済",$I200="未確認"),$B200="月例",OR($C200="",$C200&lt;DATE(年度+2018,4,1),$C200&gt;DATE(年度+2019,3,31))),"年度外の日付 ","")&amp;IF(AND(OR($I200="確認済",$I200="未確認"),O200="対象外"),"対象外の科目 ","")))</f>
        <v/>
      </c>
      <c r="R200" s="366" t="inlineStr">
        <is>
          <t>月例!208</t>
        </is>
      </c>
    </row>
    <row r="201">
      <c r="A201" s="359" t="n">
        <v>197</v>
      </c>
      <c r="B201" s="360" t="inlineStr">
        <is>
          <t>月例</t>
        </is>
      </c>
      <c r="C201" s="361" t="n">
        <v>46265</v>
      </c>
      <c r="D201" s="362" t="inlineStr">
        <is>
          <t>事務費</t>
        </is>
      </c>
      <c r="E201" s="362" t="inlineStr">
        <is>
          <t>通信運搬費</t>
        </is>
      </c>
      <c r="F201" s="362" t="inlineStr">
        <is>
          <t>フレッツ光ネクスト利用料等（６月、７月利用・８月請求分）</t>
        </is>
      </c>
      <c r="G201" s="363" t="n">
        <v>13090</v>
      </c>
      <c r="H201" s="360" t="n">
        <v>2</v>
      </c>
      <c r="I201" s="360" t="inlineStr">
        <is>
          <t>確認済</t>
        </is>
      </c>
      <c r="J201" s="364">
        <f>IF($G201="","",IF($H201=1,$G201-ROUND($G201*10/23,0)-2*ROUND($G201/23,0),IF($H201=2,$G201,0)))</f>
        <v>13090</v>
      </c>
      <c r="K201" s="364">
        <f>IF($G201="","",IF($H201=1,ROUND($G201*10/23,0),IF($H201=3,$G201-2*ROUND($G201/12,0),IF($H201=4,$G201,IF(OR($H201=5,$H201=7),ROUND($G201*10/11,0),0)))))</f>
        <v>0</v>
      </c>
      <c r="L201" s="364">
        <f>IF($G201="","",IF($H201=1,ROUND($G201/23,0),IF($H201=3,ROUND($G201/12,0),IF($H201=5,$G201-ROUND($G201*10/11,0),IF($H201=8,$G201,0)))))</f>
        <v>0</v>
      </c>
      <c r="M201" s="364">
        <f>IF($G201="","",IF($H201=1,ROUND($G201/23,0),IF($H201=3,ROUND($G201/12,0),IF($H201=6,$G201,IF($H201=7,$G201-ROUND($G201*10/11,0),0)))))</f>
        <v>0</v>
      </c>
      <c r="N201" s="364">
        <f>IF($G201="","",K201+L201+M201)</f>
        <v>0</v>
      </c>
      <c r="O201" s="365" t="str">
        <f>IF($G201="","",IFERROR(VLOOKUP($D201&amp;"|"&amp;$E201,科目表!$A$5:$B$200,2,FALSE),"※未登録"))</f>
        <v>通信運搬費</v>
      </c>
      <c r="P201" s="359">
        <f>IF(OR($G201="",$C201=""),"",IF($B201="決算整理",13,MOD(MONTH($C201)-4,12)+1))</f>
        <v>5</v>
      </c>
      <c r="Q201" s="366" t="str">
        <f>IF($G201="","",TRIM(IF(J201+K201+L201+M201&lt;&gt;$G201,"按分不一致 ","")&amp;IF(O201="※未登録","科目未登録 ","")&amp;IF(OR($H201="",ISERROR(MATCH($H201,{1,2,3,4,5,6,7,8},0))),"経費区分? ","")&amp;IF($I201="","状態未設定 ","")&amp;IF(AND(OR($I201="確認済",$I201="未確認"),$B201="月例",OR($C201="",$C201&lt;DATE(年度+2018,4,1),$C201&gt;DATE(年度+2019,3,31))),"年度外の日付 ","")&amp;IF(AND(OR($I201="確認済",$I201="未確認"),O201="対象外"),"対象外の科目 ","")))</f>
        <v/>
      </c>
      <c r="R201" s="366" t="inlineStr">
        <is>
          <t>月例!209</t>
        </is>
      </c>
    </row>
    <row r="202">
      <c r="A202" s="359" t="n">
        <v>198</v>
      </c>
      <c r="B202" s="360" t="inlineStr">
        <is>
          <t>月例</t>
        </is>
      </c>
      <c r="C202" s="361" t="n">
        <v>46254</v>
      </c>
      <c r="D202" s="362" t="inlineStr">
        <is>
          <t>委託費</t>
        </is>
      </c>
      <c r="E202" s="362" t="n"/>
      <c r="F202" s="362" t="inlineStr">
        <is>
          <t>レセプト電子データ提供料（５月診療分）</t>
        </is>
      </c>
      <c r="G202" s="363" t="n">
        <v>56991</v>
      </c>
      <c r="H202" s="360" t="n">
        <v>2</v>
      </c>
      <c r="I202" s="360" t="inlineStr">
        <is>
          <t>確認済</t>
        </is>
      </c>
      <c r="J202" s="364">
        <f>IF($G202="","",IF($H202=1,$G202-ROUND($G202*10/23,0)-2*ROUND($G202/23,0),IF($H202=2,$G202,0)))</f>
        <v>56991</v>
      </c>
      <c r="K202" s="364">
        <f>IF($G202="","",IF($H202=1,ROUND($G202*10/23,0),IF($H202=3,$G202-2*ROUND($G202/12,0),IF($H202=4,$G202,IF(OR($H202=5,$H202=7),ROUND($G202*10/11,0),0)))))</f>
        <v>0</v>
      </c>
      <c r="L202" s="364">
        <f>IF($G202="","",IF($H202=1,ROUND($G202/23,0),IF($H202=3,ROUND($G202/12,0),IF($H202=5,$G202-ROUND($G202*10/11,0),IF($H202=8,$G202,0)))))</f>
        <v>0</v>
      </c>
      <c r="M202" s="364">
        <f>IF($G202="","",IF($H202=1,ROUND($G202/23,0),IF($H202=3,ROUND($G202/12,0),IF($H202=6,$G202,IF($H202=7,$G202-ROUND($G202*10/11,0),0)))))</f>
        <v>0</v>
      </c>
      <c r="N202" s="364">
        <f>IF($G202="","",K202+L202+M202)</f>
        <v>0</v>
      </c>
      <c r="O202" s="365" t="str">
        <f>IF($G202="","",IFERROR(VLOOKUP($D202&amp;"|"&amp;$E202,科目表!$A$5:$B$200,2,FALSE),"※未登録"))</f>
        <v>委託費</v>
      </c>
      <c r="P202" s="359">
        <f>IF(OR($G202="",$C202=""),"",IF($B202="決算整理",13,MOD(MONTH($C202)-4,12)+1))</f>
        <v>5</v>
      </c>
      <c r="Q202" s="366" t="str">
        <f>IF($G202="","",TRIM(IF(J202+K202+L202+M202&lt;&gt;$G202,"按分不一致 ","")&amp;IF(O202="※未登録","科目未登録 ","")&amp;IF(OR($H202="",ISERROR(MATCH($H202,{1,2,3,4,5,6,7,8},0))),"経費区分? ","")&amp;IF($I202="","状態未設定 ","")&amp;IF(AND(OR($I202="確認済",$I202="未確認"),$B202="月例",OR($C202="",$C202&lt;DATE(年度+2018,4,1),$C202&gt;DATE(年度+2019,3,31))),"年度外の日付 ","")&amp;IF(AND(OR($I202="確認済",$I202="未確認"),O202="対象外"),"対象外の科目 ","")))</f>
        <v/>
      </c>
      <c r="R202" s="366" t="inlineStr">
        <is>
          <t>月例!210</t>
        </is>
      </c>
    </row>
    <row r="203">
      <c r="A203" s="359" t="n">
        <v>199</v>
      </c>
      <c r="B203" s="360" t="inlineStr">
        <is>
          <t>月例</t>
        </is>
      </c>
      <c r="C203" s="361" t="n">
        <v>45895</v>
      </c>
      <c r="D203" s="362" t="inlineStr">
        <is>
          <t>事務費</t>
        </is>
      </c>
      <c r="E203" s="362" t="inlineStr">
        <is>
          <t>通信運搬費</t>
        </is>
      </c>
      <c r="F203" s="362" t="inlineStr">
        <is>
          <t>切手等</t>
        </is>
      </c>
      <c r="G203" s="363" t="n">
        <v>247100</v>
      </c>
      <c r="H203" s="360" t="n">
        <v>3</v>
      </c>
      <c r="I203" s="360" t="inlineStr">
        <is>
          <t>昨年実績</t>
        </is>
      </c>
      <c r="J203" s="364">
        <f>IF($G203="","",IF($H203=1,$G203-ROUND($G203*10/23,0)-2*ROUND($G203/23,0),IF($H203=2,$G203,0)))</f>
        <v>0</v>
      </c>
      <c r="K203" s="364">
        <f>IF($G203="","",IF($H203=1,ROUND($G203*10/23,0),IF($H203=3,$G203-2*ROUND($G203/12,0),IF($H203=4,$G203,IF(OR($H203=5,$H203=7),ROUND($G203*10/11,0),0)))))</f>
        <v>205916</v>
      </c>
      <c r="L203" s="364">
        <f>IF($G203="","",IF($H203=1,ROUND($G203/23,0),IF($H203=3,ROUND($G203/12,0),IF($H203=5,$G203-ROUND($G203*10/11,0),IF($H203=8,$G203,0)))))</f>
        <v>20592</v>
      </c>
      <c r="M203" s="364">
        <f>IF($G203="","",IF($H203=1,ROUND($G203/23,0),IF($H203=3,ROUND($G203/12,0),IF($H203=6,$G203,IF($H203=7,$G203-ROUND($G203*10/11,0),0)))))</f>
        <v>20592</v>
      </c>
      <c r="N203" s="364">
        <f>IF($G203="","",K203+L203+M203)</f>
        <v>247100</v>
      </c>
      <c r="O203" s="365" t="str">
        <f>IF($G203="","",IFERROR(VLOOKUP($D203&amp;"|"&amp;$E203,科目表!$A$5:$B$200,2,FALSE),"※未登録"))</f>
        <v>通信運搬費</v>
      </c>
      <c r="P203" s="359">
        <f>IF(OR($G203="",$C203=""),"",IF($B203="決算整理",13,MOD(MONTH($C203)-4,12)+1))</f>
        <v>5</v>
      </c>
      <c r="Q203" s="366" t="str">
        <f>IF($G203="","",TRIM(IF(J203+K203+L203+M203&lt;&gt;$G203,"按分不一致 ","")&amp;IF(O203="※未登録","科目未登録 ","")&amp;IF(OR($H203="",ISERROR(MATCH($H203,{1,2,3,4,5,6,7,8},0))),"経費区分? ","")&amp;IF($I203="","状態未設定 ","")&amp;IF(AND(OR($I203="確認済",$I203="未確認"),$B203="月例",OR($C203="",$C203&lt;DATE(年度+2018,4,1),$C203&gt;DATE(年度+2019,3,31))),"年度外の日付 ","")&amp;IF(AND(OR($I203="確認済",$I203="未確認"),O203="対象外"),"対象外の科目 ","")))</f>
        <v/>
      </c>
      <c r="R203" s="366" t="inlineStr">
        <is>
          <t>月例!211</t>
        </is>
      </c>
    </row>
    <row r="204">
      <c r="A204" s="359" t="n">
        <v>200</v>
      </c>
      <c r="B204" s="360" t="inlineStr">
        <is>
          <t>月例</t>
        </is>
      </c>
      <c r="C204" s="361" t="n">
        <v>46255</v>
      </c>
      <c r="D204" s="362" t="inlineStr">
        <is>
          <t>職員給与</t>
        </is>
      </c>
      <c r="E204" s="362" t="inlineStr">
        <is>
          <t>非常勤職員手当</t>
        </is>
      </c>
      <c r="F204" s="362" t="inlineStr">
        <is>
          <t>８月分給与（長期分）</t>
        </is>
      </c>
      <c r="G204" s="363" t="n">
        <v>380800</v>
      </c>
      <c r="H204" s="360" t="n">
        <v>3</v>
      </c>
      <c r="I204" s="360" t="inlineStr">
        <is>
          <t>確認済</t>
        </is>
      </c>
      <c r="J204" s="364">
        <f>IF($G204="","",IF($H204=1,$G204-ROUND($G204*10/23,0)-2*ROUND($G204/23,0),IF($H204=2,$G204,0)))</f>
        <v>0</v>
      </c>
      <c r="K204" s="364">
        <f>IF($G204="","",IF($H204=1,ROUND($G204*10/23,0),IF($H204=3,$G204-2*ROUND($G204/12,0),IF($H204=4,$G204,IF(OR($H204=5,$H204=7),ROUND($G204*10/11,0),0)))))</f>
        <v>317334</v>
      </c>
      <c r="L204" s="364">
        <f>IF($G204="","",IF($H204=1,ROUND($G204/23,0),IF($H204=3,ROUND($G204/12,0),IF($H204=5,$G204-ROUND($G204*10/11,0),IF($H204=8,$G204,0)))))</f>
        <v>31733</v>
      </c>
      <c r="M204" s="364">
        <f>IF($G204="","",IF($H204=1,ROUND($G204/23,0),IF($H204=3,ROUND($G204/12,0),IF($H204=6,$G204,IF($H204=7,$G204-ROUND($G204*10/11,0),0)))))</f>
        <v>31733</v>
      </c>
      <c r="N204" s="364">
        <f>IF($G204="","",K204+L204+M204)</f>
        <v>380800</v>
      </c>
      <c r="O204" s="365" t="str">
        <f>IF($G204="","",IFERROR(VLOOKUP($D204&amp;"|"&amp;$E204,科目表!$A$5:$B$200,2,FALSE),"※未登録"))</f>
        <v>非常勤職員手当</v>
      </c>
      <c r="P204" s="359">
        <f>IF(OR($G204="",$C204=""),"",IF($B204="決算整理",13,MOD(MONTH($C204)-4,12)+1))</f>
        <v>5</v>
      </c>
      <c r="Q204" s="366" t="str">
        <f>IF($G204="","",TRIM(IF(J204+K204+L204+M204&lt;&gt;$G204,"按分不一致 ","")&amp;IF(O204="※未登録","科目未登録 ","")&amp;IF(OR($H204="",ISERROR(MATCH($H204,{1,2,3,4,5,6,7,8},0))),"経費区分? ","")&amp;IF($I204="","状態未設定 ","")&amp;IF(AND(OR($I204="確認済",$I204="未確認"),$B204="月例",OR($C204="",$C204&lt;DATE(年度+2018,4,1),$C204&gt;DATE(年度+2019,3,31))),"年度外の日付 ","")&amp;IF(AND(OR($I204="確認済",$I204="未確認"),O204="対象外"),"対象外の科目 ","")))</f>
        <v/>
      </c>
      <c r="R204" s="366" t="inlineStr">
        <is>
          <t>月例!212</t>
        </is>
      </c>
    </row>
    <row r="205">
      <c r="A205" s="359" t="n">
        <v>201</v>
      </c>
      <c r="B205" s="360" t="inlineStr">
        <is>
          <t>月例</t>
        </is>
      </c>
      <c r="C205" s="361" t="n">
        <v>46255</v>
      </c>
      <c r="D205" s="362" t="inlineStr">
        <is>
          <t>職員給与</t>
        </is>
      </c>
      <c r="E205" s="362" t="inlineStr">
        <is>
          <t>非常勤職員手当</t>
        </is>
      </c>
      <c r="F205" s="362" t="inlineStr">
        <is>
          <t>８月分給与（短期分）</t>
        </is>
      </c>
      <c r="G205" s="363" t="n">
        <v>244300</v>
      </c>
      <c r="H205" s="360" t="n">
        <v>2</v>
      </c>
      <c r="I205" s="360" t="inlineStr">
        <is>
          <t>確認済</t>
        </is>
      </c>
      <c r="J205" s="364">
        <f>IF($G205="","",IF($H205=1,$G205-ROUND($G205*10/23,0)-2*ROUND($G205/23,0),IF($H205=2,$G205,0)))</f>
        <v>244300</v>
      </c>
      <c r="K205" s="364">
        <f>IF($G205="","",IF($H205=1,ROUND($G205*10/23,0),IF($H205=3,$G205-2*ROUND($G205/12,0),IF($H205=4,$G205,IF(OR($H205=5,$H205=7),ROUND($G205*10/11,0),0)))))</f>
        <v>0</v>
      </c>
      <c r="L205" s="364">
        <f>IF($G205="","",IF($H205=1,ROUND($G205/23,0),IF($H205=3,ROUND($G205/12,0),IF($H205=5,$G205-ROUND($G205*10/11,0),IF($H205=8,$G205,0)))))</f>
        <v>0</v>
      </c>
      <c r="M205" s="364">
        <f>IF($G205="","",IF($H205=1,ROUND($G205/23,0),IF($H205=3,ROUND($G205/12,0),IF($H205=6,$G205,IF($H205=7,$G205-ROUND($G205*10/11,0),0)))))</f>
        <v>0</v>
      </c>
      <c r="N205" s="364">
        <f>IF($G205="","",K205+L205+M205)</f>
        <v>0</v>
      </c>
      <c r="O205" s="365" t="str">
        <f>IF($G205="","",IFERROR(VLOOKUP($D205&amp;"|"&amp;$E205,科目表!$A$5:$B$200,2,FALSE),"※未登録"))</f>
        <v>非常勤職員手当</v>
      </c>
      <c r="P205" s="359">
        <f>IF(OR($G205="",$C205=""),"",IF($B205="決算整理",13,MOD(MONTH($C205)-4,12)+1))</f>
        <v>5</v>
      </c>
      <c r="Q205" s="366" t="str">
        <f>IF($G205="","",TRIM(IF(J205+K205+L205+M205&lt;&gt;$G205,"按分不一致 ","")&amp;IF(O205="※未登録","科目未登録 ","")&amp;IF(OR($H205="",ISERROR(MATCH($H205,{1,2,3,4,5,6,7,8},0))),"経費区分? ","")&amp;IF($I205="","状態未設定 ","")&amp;IF(AND(OR($I205="確認済",$I205="未確認"),$B205="月例",OR($C205="",$C205&lt;DATE(年度+2018,4,1),$C205&gt;DATE(年度+2019,3,31))),"年度外の日付 ","")&amp;IF(AND(OR($I205="確認済",$I205="未確認"),O205="対象外"),"対象外の科目 ","")))</f>
        <v/>
      </c>
      <c r="R205" s="366" t="inlineStr">
        <is>
          <t>月例!213</t>
        </is>
      </c>
    </row>
    <row r="206">
      <c r="A206" s="359" t="n">
        <v>202</v>
      </c>
      <c r="B206" s="360" t="inlineStr">
        <is>
          <t>月例</t>
        </is>
      </c>
      <c r="C206" s="361" t="n">
        <v>46255</v>
      </c>
      <c r="D206" s="362" t="inlineStr">
        <is>
          <t>負担金</t>
        </is>
      </c>
      <c r="E206" s="362" t="inlineStr">
        <is>
          <t>互助会費</t>
        </is>
      </c>
      <c r="F206" s="362" t="inlineStr">
        <is>
          <t>助成金（８月長期分）</t>
        </is>
      </c>
      <c r="G206" s="363" t="n">
        <v>466</v>
      </c>
      <c r="H206" s="360" t="n">
        <v>3</v>
      </c>
      <c r="I206" s="360" t="inlineStr">
        <is>
          <t>確認済</t>
        </is>
      </c>
      <c r="J206" s="364">
        <f>IF($G206="","",IF($H206=1,$G206-ROUND($G206*10/23,0)-2*ROUND($G206/23,0),IF($H206=2,$G206,0)))</f>
        <v>0</v>
      </c>
      <c r="K206" s="364">
        <f>IF($G206="","",IF($H206=1,ROUND($G206*10/23,0),IF($H206=3,$G206-2*ROUND($G206/12,0),IF($H206=4,$G206,IF(OR($H206=5,$H206=7),ROUND($G206*10/11,0),0)))))</f>
        <v>388</v>
      </c>
      <c r="L206" s="364">
        <f>IF($G206="","",IF($H206=1,ROUND($G206/23,0),IF($H206=3,ROUND($G206/12,0),IF($H206=5,$G206-ROUND($G206*10/11,0),IF($H206=8,$G206,0)))))</f>
        <v>39</v>
      </c>
      <c r="M206" s="364">
        <f>IF($G206="","",IF($H206=1,ROUND($G206/23,0),IF($H206=3,ROUND($G206/12,0),IF($H206=6,$G206,IF($H206=7,$G206-ROUND($G206*10/11,0),0)))))</f>
        <v>39</v>
      </c>
      <c r="N206" s="364">
        <f>IF($G206="","",K206+L206+M206)</f>
        <v>466</v>
      </c>
      <c r="O206" s="365" t="str">
        <f>IF($G206="","",IFERROR(VLOOKUP($D206&amp;"|"&amp;$E206,科目表!$A$5:$B$200,2,FALSE),"※未登録"))</f>
        <v>互助会費</v>
      </c>
      <c r="P206" s="359">
        <f>IF(OR($G206="",$C206=""),"",IF($B206="決算整理",13,MOD(MONTH($C206)-4,12)+1))</f>
        <v>5</v>
      </c>
      <c r="Q206" s="366" t="str">
        <f>IF($G206="","",TRIM(IF(J206+K206+L206+M206&lt;&gt;$G206,"按分不一致 ","")&amp;IF(O206="※未登録","科目未登録 ","")&amp;IF(OR($H206="",ISERROR(MATCH($H206,{1,2,3,4,5,6,7,8},0))),"経費区分? ","")&amp;IF($I206="","状態未設定 ","")&amp;IF(AND(OR($I206="確認済",$I206="未確認"),$B206="月例",OR($C206="",$C206&lt;DATE(年度+2018,4,1),$C206&gt;DATE(年度+2019,3,31))),"年度外の日付 ","")&amp;IF(AND(OR($I206="確認済",$I206="未確認"),O206="対象外"),"対象外の科目 ","")))</f>
        <v/>
      </c>
      <c r="R206" s="366" t="inlineStr">
        <is>
          <t>月例!214</t>
        </is>
      </c>
    </row>
    <row r="207">
      <c r="A207" s="359" t="n">
        <v>203</v>
      </c>
      <c r="B207" s="360" t="inlineStr">
        <is>
          <t>月例</t>
        </is>
      </c>
      <c r="C207" s="361" t="n">
        <v>46255</v>
      </c>
      <c r="D207" s="362" t="inlineStr">
        <is>
          <t>負担金</t>
        </is>
      </c>
      <c r="E207" s="362" t="inlineStr">
        <is>
          <t>互助会費</t>
        </is>
      </c>
      <c r="F207" s="362" t="inlineStr">
        <is>
          <t>助成金（８月短期分）</t>
        </is>
      </c>
      <c r="G207" s="363" t="n">
        <v>240</v>
      </c>
      <c r="H207" s="360" t="n">
        <v>2</v>
      </c>
      <c r="I207" s="360" t="inlineStr">
        <is>
          <t>確認済</t>
        </is>
      </c>
      <c r="J207" s="364">
        <f>IF($G207="","",IF($H207=1,$G207-ROUND($G207*10/23,0)-2*ROUND($G207/23,0),IF($H207=2,$G207,0)))</f>
        <v>240</v>
      </c>
      <c r="K207" s="364">
        <f>IF($G207="","",IF($H207=1,ROUND($G207*10/23,0),IF($H207=3,$G207-2*ROUND($G207/12,0),IF($H207=4,$G207,IF(OR($H207=5,$H207=7),ROUND($G207*10/11,0),0)))))</f>
        <v>0</v>
      </c>
      <c r="L207" s="364">
        <f>IF($G207="","",IF($H207=1,ROUND($G207/23,0),IF($H207=3,ROUND($G207/12,0),IF($H207=5,$G207-ROUND($G207*10/11,0),IF($H207=8,$G207,0)))))</f>
        <v>0</v>
      </c>
      <c r="M207" s="364">
        <f>IF($G207="","",IF($H207=1,ROUND($G207/23,0),IF($H207=3,ROUND($G207/12,0),IF($H207=6,$G207,IF($H207=7,$G207-ROUND($G207*10/11,0),0)))))</f>
        <v>0</v>
      </c>
      <c r="N207" s="364">
        <f>IF($G207="","",K207+L207+M207)</f>
        <v>0</v>
      </c>
      <c r="O207" s="365" t="str">
        <f>IF($G207="","",IFERROR(VLOOKUP($D207&amp;"|"&amp;$E207,科目表!$A$5:$B$200,2,FALSE),"※未登録"))</f>
        <v>互助会費</v>
      </c>
      <c r="P207" s="359">
        <f>IF(OR($G207="",$C207=""),"",IF($B207="決算整理",13,MOD(MONTH($C207)-4,12)+1))</f>
        <v>5</v>
      </c>
      <c r="Q207" s="366" t="str">
        <f>IF($G207="","",TRIM(IF(J207+K207+L207+M207&lt;&gt;$G207,"按分不一致 ","")&amp;IF(O207="※未登録","科目未登録 ","")&amp;IF(OR($H207="",ISERROR(MATCH($H207,{1,2,3,4,5,6,7,8},0))),"経費区分? ","")&amp;IF($I207="","状態未設定 ","")&amp;IF(AND(OR($I207="確認済",$I207="未確認"),$B207="月例",OR($C207="",$C207&lt;DATE(年度+2018,4,1),$C207&gt;DATE(年度+2019,3,31))),"年度外の日付 ","")&amp;IF(AND(OR($I207="確認済",$I207="未確認"),O207="対象外"),"対象外の科目 ","")))</f>
        <v/>
      </c>
      <c r="R207" s="366" t="inlineStr">
        <is>
          <t>月例!215</t>
        </is>
      </c>
    </row>
    <row r="208">
      <c r="A208" s="359" t="n">
        <v>204</v>
      </c>
      <c r="B208" s="360" t="inlineStr">
        <is>
          <t>月例</t>
        </is>
      </c>
      <c r="C208" s="361" t="n">
        <v>44407</v>
      </c>
      <c r="D208" s="362" t="inlineStr">
        <is>
          <t>委託費</t>
        </is>
      </c>
      <c r="E208" s="362" t="n"/>
      <c r="F208" s="362" t="inlineStr">
        <is>
          <t>社会保障等制度　中間サーバー等運営負担金</t>
        </is>
      </c>
      <c r="G208" s="363" t="n">
        <v>396912</v>
      </c>
      <c r="H208" s="360" t="n">
        <v>2</v>
      </c>
      <c r="I208" s="360" t="inlineStr">
        <is>
          <t>昨年実績</t>
        </is>
      </c>
      <c r="J208" s="364">
        <f>IF($G208="","",IF($H208=1,$G208-ROUND($G208*10/23,0)-2*ROUND($G208/23,0),IF($H208=2,$G208,0)))</f>
        <v>396912</v>
      </c>
      <c r="K208" s="364">
        <f>IF($G208="","",IF($H208=1,ROUND($G208*10/23,0),IF($H208=3,$G208-2*ROUND($G208/12,0),IF($H208=4,$G208,IF(OR($H208=5,$H208=7),ROUND($G208*10/11,0),0)))))</f>
        <v>0</v>
      </c>
      <c r="L208" s="364">
        <f>IF($G208="","",IF($H208=1,ROUND($G208/23,0),IF($H208=3,ROUND($G208/12,0),IF($H208=5,$G208-ROUND($G208*10/11,0),IF($H208=8,$G208,0)))))</f>
        <v>0</v>
      </c>
      <c r="M208" s="364">
        <f>IF($G208="","",IF($H208=1,ROUND($G208/23,0),IF($H208=3,ROUND($G208/12,0),IF($H208=6,$G208,IF($H208=7,$G208-ROUND($G208*10/11,0),0)))))</f>
        <v>0</v>
      </c>
      <c r="N208" s="364">
        <f>IF($G208="","",K208+L208+M208)</f>
        <v>0</v>
      </c>
      <c r="O208" s="365" t="str">
        <f>IF($G208="","",IFERROR(VLOOKUP($D208&amp;"|"&amp;$E208,科目表!$A$5:$B$200,2,FALSE),"※未登録"))</f>
        <v>委託費</v>
      </c>
      <c r="P208" s="359">
        <f>IF(OR($G208="",$C208=""),"",IF($B208="決算整理",13,MOD(MONTH($C208)-4,12)+1))</f>
        <v>4</v>
      </c>
      <c r="Q208" s="366" t="str">
        <f>IF($G208="","",TRIM(IF(J208+K208+L208+M208&lt;&gt;$G208,"按分不一致 ","")&amp;IF(O208="※未登録","科目未登録 ","")&amp;IF(OR($H208="",ISERROR(MATCH($H208,{1,2,3,4,5,6,7,8},0))),"経費区分? ","")&amp;IF($I208="","状態未設定 ","")&amp;IF(AND(OR($I208="確認済",$I208="未確認"),$B208="月例",OR($C208="",$C208&lt;DATE(年度+2018,4,1),$C208&gt;DATE(年度+2019,3,31))),"年度外の日付 ","")&amp;IF(AND(OR($I208="確認済",$I208="未確認"),O208="対象外"),"対象外の科目 ","")))</f>
        <v/>
      </c>
      <c r="R208" s="366" t="inlineStr">
        <is>
          <t>月例!216</t>
        </is>
      </c>
    </row>
    <row r="209">
      <c r="A209" s="359" t="n">
        <v>205</v>
      </c>
      <c r="B209" s="360" t="inlineStr">
        <is>
          <t>月例</t>
        </is>
      </c>
      <c r="C209" s="361" t="n">
        <v>44799</v>
      </c>
      <c r="D209" s="362" t="inlineStr">
        <is>
          <t>事務費</t>
        </is>
      </c>
      <c r="E209" s="362" t="inlineStr">
        <is>
          <t>雑費</t>
        </is>
      </c>
      <c r="F209" s="362" t="inlineStr">
        <is>
          <t>広島銀行口座残高証明（６月末時点）</t>
        </is>
      </c>
      <c r="G209" s="363" t="n">
        <v>770</v>
      </c>
      <c r="H209" s="360" t="n">
        <v>2</v>
      </c>
      <c r="I209" s="360" t="inlineStr">
        <is>
          <t>昨年実績</t>
        </is>
      </c>
      <c r="J209" s="364">
        <f>IF($G209="","",IF($H209=1,$G209-ROUND($G209*10/23,0)-2*ROUND($G209/23,0),IF($H209=2,$G209,0)))</f>
        <v>770</v>
      </c>
      <c r="K209" s="364">
        <f>IF($G209="","",IF($H209=1,ROUND($G209*10/23,0),IF($H209=3,$G209-2*ROUND($G209/12,0),IF($H209=4,$G209,IF(OR($H209=5,$H209=7),ROUND($G209*10/11,0),0)))))</f>
        <v>0</v>
      </c>
      <c r="L209" s="364">
        <f>IF($G209="","",IF($H209=1,ROUND($G209/23,0),IF($H209=3,ROUND($G209/12,0),IF($H209=5,$G209-ROUND($G209*10/11,0),IF($H209=8,$G209,0)))))</f>
        <v>0</v>
      </c>
      <c r="M209" s="364">
        <f>IF($G209="","",IF($H209=1,ROUND($G209/23,0),IF($H209=3,ROUND($G209/12,0),IF($H209=6,$G209,IF($H209=7,$G209-ROUND($G209*10/11,0),0)))))</f>
        <v>0</v>
      </c>
      <c r="N209" s="364">
        <f>IF($G209="","",K209+L209+M209)</f>
        <v>0</v>
      </c>
      <c r="O209" s="365" t="str">
        <f>IF($G209="","",IFERROR(VLOOKUP($D209&amp;"|"&amp;$E209,科目表!$A$5:$B$200,2,FALSE),"※未登録"))</f>
        <v>事務費・雑費</v>
      </c>
      <c r="P209" s="359">
        <f>IF(OR($G209="",$C209=""),"",IF($B209="決算整理",13,MOD(MONTH($C209)-4,12)+1))</f>
        <v>5</v>
      </c>
      <c r="Q209" s="366" t="str">
        <f>IF($G209="","",TRIM(IF(J209+K209+L209+M209&lt;&gt;$G209,"按分不一致 ","")&amp;IF(O209="※未登録","科目未登録 ","")&amp;IF(OR($H209="",ISERROR(MATCH($H209,{1,2,3,4,5,6,7,8},0))),"経費区分? ","")&amp;IF($I209="","状態未設定 ","")&amp;IF(AND(OR($I209="確認済",$I209="未確認"),$B209="月例",OR($C209="",$C209&lt;DATE(年度+2018,4,1),$C209&gt;DATE(年度+2019,3,31))),"年度外の日付 ","")&amp;IF(AND(OR($I209="確認済",$I209="未確認"),O209="対象外"),"対象外の科目 ","")))</f>
        <v/>
      </c>
      <c r="R209" s="366" t="inlineStr">
        <is>
          <t>月例!217</t>
        </is>
      </c>
    </row>
    <row r="210">
      <c r="A210" s="359" t="n">
        <v>206</v>
      </c>
      <c r="B210" s="360" t="inlineStr">
        <is>
          <t>月例</t>
        </is>
      </c>
      <c r="C210" s="361" t="n">
        <v>46244</v>
      </c>
      <c r="D210" s="362" t="inlineStr">
        <is>
          <t>旅費</t>
        </is>
      </c>
      <c r="E210" s="362" t="n"/>
      <c r="F210" s="362" t="inlineStr">
        <is>
          <t>9/10（大都市）互選役員協議会　大阪市　山田理事他2名</t>
        </is>
      </c>
      <c r="G210" s="363" t="n">
        <v>60780</v>
      </c>
      <c r="H210" s="360" t="n">
        <v>1</v>
      </c>
      <c r="I210" s="360" t="inlineStr">
        <is>
          <t>確認済</t>
        </is>
      </c>
      <c r="J210" s="364">
        <f>IF($G210="","",IF($H210=1,$G210-ROUND($G210*10/23,0)-2*ROUND($G210/23,0),IF($H210=2,$G210,0)))</f>
        <v>29068</v>
      </c>
      <c r="K210" s="364">
        <f>IF($G210="","",IF($H210=1,ROUND($G210*10/23,0),IF($H210=3,$G210-2*ROUND($G210/12,0),IF($H210=4,$G210,IF(OR($H210=5,$H210=7),ROUND($G210*10/11,0),0)))))</f>
        <v>26426</v>
      </c>
      <c r="L210" s="364">
        <f>IF($G210="","",IF($H210=1,ROUND($G210/23,0),IF($H210=3,ROUND($G210/12,0),IF($H210=5,$G210-ROUND($G210*10/11,0),IF($H210=8,$G210,0)))))</f>
        <v>2643</v>
      </c>
      <c r="M210" s="364">
        <f>IF($G210="","",IF($H210=1,ROUND($G210/23,0),IF($H210=3,ROUND($G210/12,0),IF($H210=6,$G210,IF($H210=7,$G210-ROUND($G210*10/11,0),0)))))</f>
        <v>2643</v>
      </c>
      <c r="N210" s="364">
        <f>IF($G210="","",K210+L210+M210)</f>
        <v>31712</v>
      </c>
      <c r="O210" s="365" t="str">
        <f>IF($G210="","",IFERROR(VLOOKUP($D210&amp;"|"&amp;$E210,科目表!$A$5:$B$200,2,FALSE),"※未登録"))</f>
        <v>旅費</v>
      </c>
      <c r="P210" s="359">
        <f>IF(OR($G210="",$C210=""),"",IF($B210="決算整理",13,MOD(MONTH($C210)-4,12)+1))</f>
        <v>5</v>
      </c>
      <c r="Q210" s="366" t="str">
        <f>IF($G210="","",TRIM(IF(J210+K210+L210+M210&lt;&gt;$G210,"按分不一致 ","")&amp;IF(O210="※未登録","科目未登録 ","")&amp;IF(OR($H210="",ISERROR(MATCH($H210,{1,2,3,4,5,6,7,8},0))),"経費区分? ","")&amp;IF($I210="","状態未設定 ","")&amp;IF(AND(OR($I210="確認済",$I210="未確認"),$B210="月例",OR($C210="",$C210&lt;DATE(年度+2018,4,1),$C210&gt;DATE(年度+2019,3,31))),"年度外の日付 ","")&amp;IF(AND(OR($I210="確認済",$I210="未確認"),O210="対象外"),"対象外の科目 ","")))</f>
        <v/>
      </c>
      <c r="R210" s="366" t="inlineStr">
        <is>
          <t>月例!218</t>
        </is>
      </c>
    </row>
    <row r="211">
      <c r="A211" s="359" t="n">
        <v>207</v>
      </c>
      <c r="B211" s="360" t="inlineStr">
        <is>
          <t>月例</t>
        </is>
      </c>
      <c r="C211" s="361" t="n">
        <v>46262</v>
      </c>
      <c r="D211" s="362" t="inlineStr">
        <is>
          <t>賃借料</t>
        </is>
      </c>
      <c r="E211" s="362" t="n"/>
      <c r="F211" s="362" t="inlineStr">
        <is>
          <t>パソコン（業務経理用）７月分</t>
        </is>
      </c>
      <c r="G211" s="363" t="n">
        <v>5060</v>
      </c>
      <c r="H211" s="360" t="n">
        <v>2</v>
      </c>
      <c r="I211" s="360" t="inlineStr">
        <is>
          <t>確認済</t>
        </is>
      </c>
      <c r="J211" s="364">
        <f>IF($G211="","",IF($H211=1,$G211-ROUND($G211*10/23,0)-2*ROUND($G211/23,0),IF($H211=2,$G211,0)))</f>
        <v>5060</v>
      </c>
      <c r="K211" s="364">
        <f>IF($G211="","",IF($H211=1,ROUND($G211*10/23,0),IF($H211=3,$G211-2*ROUND($G211/12,0),IF($H211=4,$G211,IF(OR($H211=5,$H211=7),ROUND($G211*10/11,0),0)))))</f>
        <v>0</v>
      </c>
      <c r="L211" s="364">
        <f>IF($G211="","",IF($H211=1,ROUND($G211/23,0),IF($H211=3,ROUND($G211/12,0),IF($H211=5,$G211-ROUND($G211*10/11,0),IF($H211=8,$G211,0)))))</f>
        <v>0</v>
      </c>
      <c r="M211" s="364">
        <f>IF($G211="","",IF($H211=1,ROUND($G211/23,0),IF($H211=3,ROUND($G211/12,0),IF($H211=6,$G211,IF($H211=7,$G211-ROUND($G211*10/11,0),0)))))</f>
        <v>0</v>
      </c>
      <c r="N211" s="364">
        <f>IF($G211="","",K211+L211+M211)</f>
        <v>0</v>
      </c>
      <c r="O211" s="365" t="str">
        <f>IF($G211="","",IFERROR(VLOOKUP($D211&amp;"|"&amp;$E211,科目表!$A$5:$B$200,2,FALSE),"※未登録"))</f>
        <v>賃借料</v>
      </c>
      <c r="P211" s="359">
        <f>IF(OR($G211="",$C211=""),"",IF($B211="決算整理",13,MOD(MONTH($C211)-4,12)+1))</f>
        <v>5</v>
      </c>
      <c r="Q211" s="366" t="str">
        <f>IF($G211="","",TRIM(IF(J211+K211+L211+M211&lt;&gt;$G211,"按分不一致 ","")&amp;IF(O211="※未登録","科目未登録 ","")&amp;IF(OR($H211="",ISERROR(MATCH($H211,{1,2,3,4,5,6,7,8},0))),"経費区分? ","")&amp;IF($I211="","状態未設定 ","")&amp;IF(AND(OR($I211="確認済",$I211="未確認"),$B211="月例",OR($C211="",$C211&lt;DATE(年度+2018,4,1),$C211&gt;DATE(年度+2019,3,31))),"年度外の日付 ","")&amp;IF(AND(OR($I211="確認済",$I211="未確認"),O211="対象外"),"対象外の科目 ","")))</f>
        <v/>
      </c>
      <c r="R211" s="366" t="inlineStr">
        <is>
          <t>月例!219</t>
        </is>
      </c>
    </row>
    <row r="212">
      <c r="A212" s="359" t="n">
        <v>208</v>
      </c>
      <c r="B212" s="360" t="inlineStr">
        <is>
          <t>月例</t>
        </is>
      </c>
      <c r="C212" s="361" t="n">
        <v>44435</v>
      </c>
      <c r="D212" s="362" t="inlineStr">
        <is>
          <t>賃借料</t>
        </is>
      </c>
      <c r="E212" s="362" t="n"/>
      <c r="F212" s="362" t="inlineStr">
        <is>
          <t>ﾊﾟｿｺﾝｳｨﾙｽ対策ｿﾌﾄ(業務用)ｻﾝﾈｯﾄ（７月分）</t>
        </is>
      </c>
      <c r="G212" s="363" t="n">
        <v>2090</v>
      </c>
      <c r="H212" s="360" t="n">
        <v>2</v>
      </c>
      <c r="I212" s="360" t="inlineStr">
        <is>
          <t>昨年実績</t>
        </is>
      </c>
      <c r="J212" s="364">
        <f>IF($G212="","",IF($H212=1,$G212-ROUND($G212*10/23,0)-2*ROUND($G212/23,0),IF($H212=2,$G212,0)))</f>
        <v>2090</v>
      </c>
      <c r="K212" s="364">
        <f>IF($G212="","",IF($H212=1,ROUND($G212*10/23,0),IF($H212=3,$G212-2*ROUND($G212/12,0),IF($H212=4,$G212,IF(OR($H212=5,$H212=7),ROUND($G212*10/11,0),0)))))</f>
        <v>0</v>
      </c>
      <c r="L212" s="364">
        <f>IF($G212="","",IF($H212=1,ROUND($G212/23,0),IF($H212=3,ROUND($G212/12,0),IF($H212=5,$G212-ROUND($G212*10/11,0),IF($H212=8,$G212,0)))))</f>
        <v>0</v>
      </c>
      <c r="M212" s="364">
        <f>IF($G212="","",IF($H212=1,ROUND($G212/23,0),IF($H212=3,ROUND($G212/12,0),IF($H212=6,$G212,IF($H212=7,$G212-ROUND($G212*10/11,0),0)))))</f>
        <v>0</v>
      </c>
      <c r="N212" s="364">
        <f>IF($G212="","",K212+L212+M212)</f>
        <v>0</v>
      </c>
      <c r="O212" s="365" t="str">
        <f>IF($G212="","",IFERROR(VLOOKUP($D212&amp;"|"&amp;$E212,科目表!$A$5:$B$200,2,FALSE),"※未登録"))</f>
        <v>賃借料</v>
      </c>
      <c r="P212" s="359">
        <f>IF(OR($G212="",$C212=""),"",IF($B212="決算整理",13,MOD(MONTH($C212)-4,12)+1))</f>
        <v>5</v>
      </c>
      <c r="Q212" s="366" t="str">
        <f>IF($G212="","",TRIM(IF(J212+K212+L212+M212&lt;&gt;$G212,"按分不一致 ","")&amp;IF(O212="※未登録","科目未登録 ","")&amp;IF(OR($H212="",ISERROR(MATCH($H212,{1,2,3,4,5,6,7,8},0))),"経費区分? ","")&amp;IF($I212="","状態未設定 ","")&amp;IF(AND(OR($I212="確認済",$I212="未確認"),$B212="月例",OR($C212="",$C212&lt;DATE(年度+2018,4,1),$C212&gt;DATE(年度+2019,3,31))),"年度外の日付 ","")&amp;IF(AND(OR($I212="確認済",$I212="未確認"),O212="対象外"),"対象外の科目 ","")))</f>
        <v/>
      </c>
      <c r="R212" s="366" t="inlineStr">
        <is>
          <t>月例!220</t>
        </is>
      </c>
    </row>
    <row r="213">
      <c r="A213" s="359" t="n">
        <v>209</v>
      </c>
      <c r="B213" s="360" t="inlineStr">
        <is>
          <t>月例</t>
        </is>
      </c>
      <c r="C213" s="361" t="n">
        <v>46261</v>
      </c>
      <c r="D213" s="362" t="inlineStr">
        <is>
          <t>負担金</t>
        </is>
      </c>
      <c r="E213" s="362" t="inlineStr">
        <is>
          <t>負担金</t>
        </is>
      </c>
      <c r="F213" s="362" t="inlineStr">
        <is>
          <t>共済短期・介護負担金（８月月例分）長期</t>
        </is>
      </c>
      <c r="G213" s="363" t="n">
        <v>22035</v>
      </c>
      <c r="H213" s="360" t="n">
        <v>3</v>
      </c>
      <c r="I213" s="360" t="inlineStr">
        <is>
          <t>確認済</t>
        </is>
      </c>
      <c r="J213" s="364">
        <f>IF($G213="","",IF($H213=1,$G213-ROUND($G213*10/23,0)-2*ROUND($G213/23,0),IF($H213=2,$G213,0)))</f>
        <v>0</v>
      </c>
      <c r="K213" s="364">
        <f>IF($G213="","",IF($H213=1,ROUND($G213*10/23,0),IF($H213=3,$G213-2*ROUND($G213/12,0),IF($H213=4,$G213,IF(OR($H213=5,$H213=7),ROUND($G213*10/11,0),0)))))</f>
        <v>18363</v>
      </c>
      <c r="L213" s="364">
        <f>IF($G213="","",IF($H213=1,ROUND($G213/23,0),IF($H213=3,ROUND($G213/12,0),IF($H213=5,$G213-ROUND($G213*10/11,0),IF($H213=8,$G213,0)))))</f>
        <v>1836</v>
      </c>
      <c r="M213" s="364">
        <f>IF($G213="","",IF($H213=1,ROUND($G213/23,0),IF($H213=3,ROUND($G213/12,0),IF($H213=6,$G213,IF($H213=7,$G213-ROUND($G213*10/11,0),0)))))</f>
        <v>1836</v>
      </c>
      <c r="N213" s="364">
        <f>IF($G213="","",K213+L213+M213)</f>
        <v>22035</v>
      </c>
      <c r="O213" s="365" t="str">
        <f>IF($G213="","",IFERROR(VLOOKUP($D213&amp;"|"&amp;$E213,科目表!$A$5:$B$200,2,FALSE),"※未登録"))</f>
        <v>共済負担金等</v>
      </c>
      <c r="P213" s="359">
        <f>IF(OR($G213="",$C213=""),"",IF($B213="決算整理",13,MOD(MONTH($C213)-4,12)+1))</f>
        <v>5</v>
      </c>
      <c r="Q213" s="366" t="str">
        <f>IF($G213="","",TRIM(IF(J213+K213+L213+M213&lt;&gt;$G213,"按分不一致 ","")&amp;IF(O213="※未登録","科目未登録 ","")&amp;IF(OR($H213="",ISERROR(MATCH($H213,{1,2,3,4,5,6,7,8},0))),"経費区分? ","")&amp;IF($I213="","状態未設定 ","")&amp;IF(AND(OR($I213="確認済",$I213="未確認"),$B213="月例",OR($C213="",$C213&lt;DATE(年度+2018,4,1),$C213&gt;DATE(年度+2019,3,31))),"年度外の日付 ","")&amp;IF(AND(OR($I213="確認済",$I213="未確認"),O213="対象外"),"対象外の科目 ","")))</f>
        <v/>
      </c>
      <c r="R213" s="366" t="inlineStr">
        <is>
          <t>月例!221</t>
        </is>
      </c>
    </row>
    <row r="214">
      <c r="A214" s="359" t="n">
        <v>210</v>
      </c>
      <c r="B214" s="360" t="inlineStr">
        <is>
          <t>月例</t>
        </is>
      </c>
      <c r="C214" s="361" t="n">
        <v>46261</v>
      </c>
      <c r="D214" s="362" t="inlineStr">
        <is>
          <t>負担金</t>
        </is>
      </c>
      <c r="E214" s="362" t="inlineStr">
        <is>
          <t>負担金</t>
        </is>
      </c>
      <c r="F214" s="362" t="inlineStr">
        <is>
          <t>共済短期・介護負担金（８月月例分）短期</t>
        </is>
      </c>
      <c r="G214" s="363" t="n">
        <v>37074</v>
      </c>
      <c r="H214" s="360" t="n">
        <v>2</v>
      </c>
      <c r="I214" s="360" t="inlineStr">
        <is>
          <t>確認済</t>
        </is>
      </c>
      <c r="J214" s="364">
        <f>IF($G214="","",IF($H214=1,$G214-ROUND($G214*10/23,0)-2*ROUND($G214/23,0),IF($H214=2,$G214,0)))</f>
        <v>37074</v>
      </c>
      <c r="K214" s="364">
        <f>IF($G214="","",IF($H214=1,ROUND($G214*10/23,0),IF($H214=3,$G214-2*ROUND($G214/12,0),IF($H214=4,$G214,IF(OR($H214=5,$H214=7),ROUND($G214*10/11,0),0)))))</f>
        <v>0</v>
      </c>
      <c r="L214" s="364">
        <f>IF($G214="","",IF($H214=1,ROUND($G214/23,0),IF($H214=3,ROUND($G214/12,0),IF($H214=5,$G214-ROUND($G214*10/11,0),IF($H214=8,$G214,0)))))</f>
        <v>0</v>
      </c>
      <c r="M214" s="364">
        <f>IF($G214="","",IF($H214=1,ROUND($G214/23,0),IF($H214=3,ROUND($G214/12,0),IF($H214=6,$G214,IF($H214=7,$G214-ROUND($G214*10/11,0),0)))))</f>
        <v>0</v>
      </c>
      <c r="N214" s="364">
        <f>IF($G214="","",K214+L214+M214)</f>
        <v>0</v>
      </c>
      <c r="O214" s="365" t="str">
        <f>IF($G214="","",IFERROR(VLOOKUP($D214&amp;"|"&amp;$E214,科目表!$A$5:$B$200,2,FALSE),"※未登録"))</f>
        <v>共済負担金等</v>
      </c>
      <c r="P214" s="359">
        <f>IF(OR($G214="",$C214=""),"",IF($B214="決算整理",13,MOD(MONTH($C214)-4,12)+1))</f>
        <v>5</v>
      </c>
      <c r="Q214" s="366" t="str">
        <f>IF($G214="","",TRIM(IF(J214+K214+L214+M214&lt;&gt;$G214,"按分不一致 ","")&amp;IF(O214="※未登録","科目未登録 ","")&amp;IF(OR($H214="",ISERROR(MATCH($H214,{1,2,3,4,5,6,7,8},0))),"経費区分? ","")&amp;IF($I214="","状態未設定 ","")&amp;IF(AND(OR($I214="確認済",$I214="未確認"),$B214="月例",OR($C214="",$C214&lt;DATE(年度+2018,4,1),$C214&gt;DATE(年度+2019,3,31))),"年度外の日付 ","")&amp;IF(AND(OR($I214="確認済",$I214="未確認"),O214="対象外"),"対象外の科目 ","")))</f>
        <v/>
      </c>
      <c r="R214" s="366" t="inlineStr">
        <is>
          <t>月例!222</t>
        </is>
      </c>
    </row>
    <row r="215">
      <c r="A215" s="359" t="n">
        <v>211</v>
      </c>
      <c r="B215" s="360" t="inlineStr">
        <is>
          <t>月例</t>
        </is>
      </c>
      <c r="C215" s="361" t="n">
        <v>46262</v>
      </c>
      <c r="D215" s="362" t="inlineStr">
        <is>
          <t>賃借料</t>
        </is>
      </c>
      <c r="E215" s="362" t="n"/>
      <c r="F215" s="362" t="inlineStr">
        <is>
          <t>基幹システム用機器賃借料　7月分（短期）</t>
        </is>
      </c>
      <c r="G215" s="363" t="n">
        <v>672934</v>
      </c>
      <c r="H215" s="360" t="n">
        <v>2</v>
      </c>
      <c r="I215" s="360" t="inlineStr">
        <is>
          <t>確認済</t>
        </is>
      </c>
      <c r="J215" s="364">
        <f>IF($G215="","",IF($H215=1,$G215-ROUND($G215*10/23,0)-2*ROUND($G215/23,0),IF($H215=2,$G215,0)))</f>
        <v>672934</v>
      </c>
      <c r="K215" s="364">
        <f>IF($G215="","",IF($H215=1,ROUND($G215*10/23,0),IF($H215=3,$G215-2*ROUND($G215/12,0),IF($H215=4,$G215,IF(OR($H215=5,$H215=7),ROUND($G215*10/11,0),0)))))</f>
        <v>0</v>
      </c>
      <c r="L215" s="364">
        <f>IF($G215="","",IF($H215=1,ROUND($G215/23,0),IF($H215=3,ROUND($G215/12,0),IF($H215=5,$G215-ROUND($G215*10/11,0),IF($H215=8,$G215,0)))))</f>
        <v>0</v>
      </c>
      <c r="M215" s="364">
        <f>IF($G215="","",IF($H215=1,ROUND($G215/23,0),IF($H215=3,ROUND($G215/12,0),IF($H215=6,$G215,IF($H215=7,$G215-ROUND($G215*10/11,0),0)))))</f>
        <v>0</v>
      </c>
      <c r="N215" s="364">
        <f>IF($G215="","",K215+L215+M215)</f>
        <v>0</v>
      </c>
      <c r="O215" s="365" t="str">
        <f>IF($G215="","",IFERROR(VLOOKUP($D215&amp;"|"&amp;$E215,科目表!$A$5:$B$200,2,FALSE),"※未登録"))</f>
        <v>賃借料</v>
      </c>
      <c r="P215" s="359">
        <f>IF(OR($G215="",$C215=""),"",IF($B215="決算整理",13,MOD(MONTH($C215)-4,12)+1))</f>
        <v>5</v>
      </c>
      <c r="Q215" s="366" t="str">
        <f>IF($G215="","",TRIM(IF(J215+K215+L215+M215&lt;&gt;$G215,"按分不一致 ","")&amp;IF(O215="※未登録","科目未登録 ","")&amp;IF(OR($H215="",ISERROR(MATCH($H215,{1,2,3,4,5,6,7,8},0))),"経費区分? ","")&amp;IF($I215="","状態未設定 ","")&amp;IF(AND(OR($I215="確認済",$I215="未確認"),$B215="月例",OR($C215="",$C215&lt;DATE(年度+2018,4,1),$C215&gt;DATE(年度+2019,3,31))),"年度外の日付 ","")&amp;IF(AND(OR($I215="確認済",$I215="未確認"),O215="対象外"),"対象外の科目 ","")))</f>
        <v/>
      </c>
      <c r="R215" s="366" t="inlineStr">
        <is>
          <t>月例!223</t>
        </is>
      </c>
    </row>
    <row r="216">
      <c r="A216" s="359" t="n">
        <v>212</v>
      </c>
      <c r="B216" s="360" t="inlineStr">
        <is>
          <t>月例</t>
        </is>
      </c>
      <c r="C216" s="361" t="n">
        <v>46262</v>
      </c>
      <c r="D216" s="362" t="inlineStr">
        <is>
          <t>賃借料</t>
        </is>
      </c>
      <c r="E216" s="362" t="n"/>
      <c r="F216" s="362" t="inlineStr">
        <is>
          <t>基幹システム用機器賃借料　7月分（長期）</t>
        </is>
      </c>
      <c r="G216" s="363" t="n">
        <v>69613</v>
      </c>
      <c r="H216" s="360" t="n">
        <v>3</v>
      </c>
      <c r="I216" s="360" t="inlineStr">
        <is>
          <t>確認済</t>
        </is>
      </c>
      <c r="J216" s="364">
        <f>IF($G216="","",IF($H216=1,$G216-ROUND($G216*10/23,0)-2*ROUND($G216/23,0),IF($H216=2,$G216,0)))</f>
        <v>0</v>
      </c>
      <c r="K216" s="364">
        <f>IF($G216="","",IF($H216=1,ROUND($G216*10/23,0),IF($H216=3,$G216-2*ROUND($G216/12,0),IF($H216=4,$G216,IF(OR($H216=5,$H216=7),ROUND($G216*10/11,0),0)))))</f>
        <v>58011</v>
      </c>
      <c r="L216" s="364">
        <f>IF($G216="","",IF($H216=1,ROUND($G216/23,0),IF($H216=3,ROUND($G216/12,0),IF($H216=5,$G216-ROUND($G216*10/11,0),IF($H216=8,$G216,0)))))</f>
        <v>5801</v>
      </c>
      <c r="M216" s="364">
        <f>IF($G216="","",IF($H216=1,ROUND($G216/23,0),IF($H216=3,ROUND($G216/12,0),IF($H216=6,$G216,IF($H216=7,$G216-ROUND($G216*10/11,0),0)))))</f>
        <v>5801</v>
      </c>
      <c r="N216" s="364">
        <f>IF($G216="","",K216+L216+M216)</f>
        <v>69613</v>
      </c>
      <c r="O216" s="365" t="str">
        <f>IF($G216="","",IFERROR(VLOOKUP($D216&amp;"|"&amp;$E216,科目表!$A$5:$B$200,2,FALSE),"※未登録"))</f>
        <v>賃借料</v>
      </c>
      <c r="P216" s="359">
        <f>IF(OR($G216="",$C216=""),"",IF($B216="決算整理",13,MOD(MONTH($C216)-4,12)+1))</f>
        <v>5</v>
      </c>
      <c r="Q216" s="366" t="str">
        <f>IF($G216="","",TRIM(IF(J216+K216+L216+M216&lt;&gt;$G216,"按分不一致 ","")&amp;IF(O216="※未登録","科目未登録 ","")&amp;IF(OR($H216="",ISERROR(MATCH($H216,{1,2,3,4,5,6,7,8},0))),"経費区分? ","")&amp;IF($I216="","状態未設定 ","")&amp;IF(AND(OR($I216="確認済",$I216="未確認"),$B216="月例",OR($C216="",$C216&lt;DATE(年度+2018,4,1),$C216&gt;DATE(年度+2019,3,31))),"年度外の日付 ","")&amp;IF(AND(OR($I216="確認済",$I216="未確認"),O216="対象外"),"対象外の科目 ","")))</f>
        <v/>
      </c>
      <c r="R216" s="366" t="inlineStr">
        <is>
          <t>月例!224</t>
        </is>
      </c>
    </row>
    <row r="217">
      <c r="A217" s="359" t="n">
        <v>213</v>
      </c>
      <c r="B217" s="360" t="inlineStr">
        <is>
          <t>月例</t>
        </is>
      </c>
      <c r="C217" s="361" t="n">
        <v>45169</v>
      </c>
      <c r="D217" s="362" t="inlineStr">
        <is>
          <t>事務費</t>
        </is>
      </c>
      <c r="E217" s="362" t="inlineStr">
        <is>
          <t>通信運搬費</t>
        </is>
      </c>
      <c r="F217" s="362" t="inlineStr">
        <is>
          <t>柔整申請書送付（７月分）</t>
        </is>
      </c>
      <c r="G217" s="363" t="n">
        <v>1489</v>
      </c>
      <c r="H217" s="360" t="n">
        <v>2</v>
      </c>
      <c r="I217" s="360" t="inlineStr">
        <is>
          <t>昨年実績</t>
        </is>
      </c>
      <c r="J217" s="364">
        <f>IF($G217="","",IF($H217=1,$G217-ROUND($G217*10/23,0)-2*ROUND($G217/23,0),IF($H217=2,$G217,0)))</f>
        <v>1489</v>
      </c>
      <c r="K217" s="364">
        <f>IF($G217="","",IF($H217=1,ROUND($G217*10/23,0),IF($H217=3,$G217-2*ROUND($G217/12,0),IF($H217=4,$G217,IF(OR($H217=5,$H217=7),ROUND($G217*10/11,0),0)))))</f>
        <v>0</v>
      </c>
      <c r="L217" s="364">
        <f>IF($G217="","",IF($H217=1,ROUND($G217/23,0),IF($H217=3,ROUND($G217/12,0),IF($H217=5,$G217-ROUND($G217*10/11,0),IF($H217=8,$G217,0)))))</f>
        <v>0</v>
      </c>
      <c r="M217" s="364">
        <f>IF($G217="","",IF($H217=1,ROUND($G217/23,0),IF($H217=3,ROUND($G217/12,0),IF($H217=6,$G217,IF($H217=7,$G217-ROUND($G217*10/11,0),0)))))</f>
        <v>0</v>
      </c>
      <c r="N217" s="364">
        <f>IF($G217="","",K217+L217+M217)</f>
        <v>0</v>
      </c>
      <c r="O217" s="365" t="str">
        <f>IF($G217="","",IFERROR(VLOOKUP($D217&amp;"|"&amp;$E217,科目表!$A$5:$B$200,2,FALSE),"※未登録"))</f>
        <v>通信運搬費</v>
      </c>
      <c r="P217" s="359">
        <f>IF(OR($G217="",$C217=""),"",IF($B217="決算整理",13,MOD(MONTH($C217)-4,12)+1))</f>
        <v>5</v>
      </c>
      <c r="Q217" s="366" t="str">
        <f>IF($G217="","",TRIM(IF(J217+K217+L217+M217&lt;&gt;$G217,"按分不一致 ","")&amp;IF(O217="※未登録","科目未登録 ","")&amp;IF(OR($H217="",ISERROR(MATCH($H217,{1,2,3,4,5,6,7,8},0))),"経費区分? ","")&amp;IF($I217="","状態未設定 ","")&amp;IF(AND(OR($I217="確認済",$I217="未確認"),$B217="月例",OR($C217="",$C217&lt;DATE(年度+2018,4,1),$C217&gt;DATE(年度+2019,3,31))),"年度外の日付 ","")&amp;IF(AND(OR($I217="確認済",$I217="未確認"),O217="対象外"),"対象外の科目 ","")))</f>
        <v/>
      </c>
      <c r="R217" s="366" t="inlineStr">
        <is>
          <t>月例!225</t>
        </is>
      </c>
    </row>
    <row r="218">
      <c r="A218" s="359" t="n">
        <v>214</v>
      </c>
      <c r="B218" s="360" t="inlineStr">
        <is>
          <t>月例</t>
        </is>
      </c>
      <c r="C218" s="361" t="n">
        <v>45838</v>
      </c>
      <c r="D218" s="362" t="inlineStr">
        <is>
          <t>事務費</t>
        </is>
      </c>
      <c r="E218" s="362" t="inlineStr">
        <is>
          <t>図書印刷費</t>
        </is>
      </c>
      <c r="F218" s="362" t="inlineStr">
        <is>
          <t>健康保険質疑応答集追録１０３－１０５</t>
        </is>
      </c>
      <c r="G218" s="363" t="n">
        <v>21780</v>
      </c>
      <c r="H218" s="360" t="n">
        <v>2</v>
      </c>
      <c r="I218" s="360" t="inlineStr">
        <is>
          <t>昨年実績</t>
        </is>
      </c>
      <c r="J218" s="364">
        <f>IF($G218="","",IF($H218=1,$G218-ROUND($G218*10/23,0)-2*ROUND($G218/23,0),IF($H218=2,$G218,0)))</f>
        <v>21780</v>
      </c>
      <c r="K218" s="364">
        <f>IF($G218="","",IF($H218=1,ROUND($G218*10/23,0),IF($H218=3,$G218-2*ROUND($G218/12,0),IF($H218=4,$G218,IF(OR($H218=5,$H218=7),ROUND($G218*10/11,0),0)))))</f>
        <v>0</v>
      </c>
      <c r="L218" s="364">
        <f>IF($G218="","",IF($H218=1,ROUND($G218/23,0),IF($H218=3,ROUND($G218/12,0),IF($H218=5,$G218-ROUND($G218*10/11,0),IF($H218=8,$G218,0)))))</f>
        <v>0</v>
      </c>
      <c r="M218" s="364">
        <f>IF($G218="","",IF($H218=1,ROUND($G218/23,0),IF($H218=3,ROUND($G218/12,0),IF($H218=6,$G218,IF($H218=7,$G218-ROUND($G218*10/11,0),0)))))</f>
        <v>0</v>
      </c>
      <c r="N218" s="364">
        <f>IF($G218="","",K218+L218+M218)</f>
        <v>0</v>
      </c>
      <c r="O218" s="365" t="str">
        <f>IF($G218="","",IFERROR(VLOOKUP($D218&amp;"|"&amp;$E218,科目表!$A$5:$B$200,2,FALSE),"※未登録"))</f>
        <v>図書印刷費</v>
      </c>
      <c r="P218" s="359">
        <f>IF(OR($G218="",$C218=""),"",IF($B218="決算整理",13,MOD(MONTH($C218)-4,12)+1))</f>
        <v>3</v>
      </c>
      <c r="Q218" s="366" t="str">
        <f>IF($G218="","",TRIM(IF(J218+K218+L218+M218&lt;&gt;$G218,"按分不一致 ","")&amp;IF(O218="※未登録","科目未登録 ","")&amp;IF(OR($H218="",ISERROR(MATCH($H218,{1,2,3,4,5,6,7,8},0))),"経費区分? ","")&amp;IF($I218="","状態未設定 ","")&amp;IF(AND(OR($I218="確認済",$I218="未確認"),$B218="月例",OR($C218="",$C218&lt;DATE(年度+2018,4,1),$C218&gt;DATE(年度+2019,3,31))),"年度外の日付 ","")&amp;IF(AND(OR($I218="確認済",$I218="未確認"),O218="対象外"),"対象外の科目 ","")))</f>
        <v/>
      </c>
      <c r="R218" s="366" t="inlineStr">
        <is>
          <t>月例!226</t>
        </is>
      </c>
    </row>
    <row r="219">
      <c r="A219" s="359" t="n">
        <v>215</v>
      </c>
      <c r="B219" s="360" t="inlineStr">
        <is>
          <t>月例</t>
        </is>
      </c>
      <c r="C219" s="361" t="n">
        <v>45898</v>
      </c>
      <c r="D219" s="362" t="inlineStr">
        <is>
          <t>事務費</t>
        </is>
      </c>
      <c r="E219" s="362" t="inlineStr">
        <is>
          <t>図書印刷費</t>
        </is>
      </c>
      <c r="F219" s="362" t="inlineStr">
        <is>
          <t>厚生法規総覧追録　６００６－６０１５号</t>
        </is>
      </c>
      <c r="G219" s="363" t="n">
        <v>33154</v>
      </c>
      <c r="H219" s="360" t="n">
        <v>2</v>
      </c>
      <c r="I219" s="360" t="inlineStr">
        <is>
          <t>昨年実績</t>
        </is>
      </c>
      <c r="J219" s="364">
        <f>IF($G219="","",IF($H219=1,$G219-ROUND($G219*10/23,0)-2*ROUND($G219/23,0),IF($H219=2,$G219,0)))</f>
        <v>33154</v>
      </c>
      <c r="K219" s="364">
        <f>IF($G219="","",IF($H219=1,ROUND($G219*10/23,0),IF($H219=3,$G219-2*ROUND($G219/12,0),IF($H219=4,$G219,IF(OR($H219=5,$H219=7),ROUND($G219*10/11,0),0)))))</f>
        <v>0</v>
      </c>
      <c r="L219" s="364">
        <f>IF($G219="","",IF($H219=1,ROUND($G219/23,0),IF($H219=3,ROUND($G219/12,0),IF($H219=5,$G219-ROUND($G219*10/11,0),IF($H219=8,$G219,0)))))</f>
        <v>0</v>
      </c>
      <c r="M219" s="364">
        <f>IF($G219="","",IF($H219=1,ROUND($G219/23,0),IF($H219=3,ROUND($G219/12,0),IF($H219=6,$G219,IF($H219=7,$G219-ROUND($G219*10/11,0),0)))))</f>
        <v>0</v>
      </c>
      <c r="N219" s="364">
        <f>IF($G219="","",K219+L219+M219)</f>
        <v>0</v>
      </c>
      <c r="O219" s="365" t="str">
        <f>IF($G219="","",IFERROR(VLOOKUP($D219&amp;"|"&amp;$E219,科目表!$A$5:$B$200,2,FALSE),"※未登録"))</f>
        <v>図書印刷費</v>
      </c>
      <c r="P219" s="359">
        <f>IF(OR($G219="",$C219=""),"",IF($B219="決算整理",13,MOD(MONTH($C219)-4,12)+1))</f>
        <v>5</v>
      </c>
      <c r="Q219" s="366" t="str">
        <f>IF($G219="","",TRIM(IF(J219+K219+L219+M219&lt;&gt;$G219,"按分不一致 ","")&amp;IF(O219="※未登録","科目未登録 ","")&amp;IF(OR($H219="",ISERROR(MATCH($H219,{1,2,3,4,5,6,7,8},0))),"経費区分? ","")&amp;IF($I219="","状態未設定 ","")&amp;IF(AND(OR($I219="確認済",$I219="未確認"),$B219="月例",OR($C219="",$C219&lt;DATE(年度+2018,4,1),$C219&gt;DATE(年度+2019,3,31))),"年度外の日付 ","")&amp;IF(AND(OR($I219="確認済",$I219="未確認"),O219="対象外"),"対象外の科目 ","")))</f>
        <v/>
      </c>
      <c r="R219" s="366" t="inlineStr">
        <is>
          <t>月例!227</t>
        </is>
      </c>
    </row>
    <row r="220">
      <c r="A220" s="359" t="n">
        <v>216</v>
      </c>
      <c r="B220" s="360" t="inlineStr">
        <is>
          <t>月例</t>
        </is>
      </c>
      <c r="C220" s="361" t="n">
        <v>45169</v>
      </c>
      <c r="D220" s="362" t="inlineStr">
        <is>
          <t>事務費</t>
        </is>
      </c>
      <c r="E220" s="362" t="inlineStr">
        <is>
          <t>通信運搬費</t>
        </is>
      </c>
      <c r="F220" s="362" t="inlineStr">
        <is>
          <t>メール便（任継者宛厚生だより７月分）</t>
        </is>
      </c>
      <c r="G220" s="363" t="n">
        <v>17724</v>
      </c>
      <c r="H220" s="360" t="n">
        <v>2</v>
      </c>
      <c r="I220" s="360" t="inlineStr">
        <is>
          <t>昨年実績</t>
        </is>
      </c>
      <c r="J220" s="364">
        <f>IF($G220="","",IF($H220=1,$G220-ROUND($G220*10/23,0)-2*ROUND($G220/23,0),IF($H220=2,$G220,0)))</f>
        <v>17724</v>
      </c>
      <c r="K220" s="364">
        <f>IF($G220="","",IF($H220=1,ROUND($G220*10/23,0),IF($H220=3,$G220-2*ROUND($G220/12,0),IF($H220=4,$G220,IF(OR($H220=5,$H220=7),ROUND($G220*10/11,0),0)))))</f>
        <v>0</v>
      </c>
      <c r="L220" s="364">
        <f>IF($G220="","",IF($H220=1,ROUND($G220/23,0),IF($H220=3,ROUND($G220/12,0),IF($H220=5,$G220-ROUND($G220*10/11,0),IF($H220=8,$G220,0)))))</f>
        <v>0</v>
      </c>
      <c r="M220" s="364">
        <f>IF($G220="","",IF($H220=1,ROUND($G220/23,0),IF($H220=3,ROUND($G220/12,0),IF($H220=6,$G220,IF($H220=7,$G220-ROUND($G220*10/11,0),0)))))</f>
        <v>0</v>
      </c>
      <c r="N220" s="364">
        <f>IF($G220="","",K220+L220+M220)</f>
        <v>0</v>
      </c>
      <c r="O220" s="365" t="str">
        <f>IF($G220="","",IFERROR(VLOOKUP($D220&amp;"|"&amp;$E220,科目表!$A$5:$B$200,2,FALSE),"※未登録"))</f>
        <v>通信運搬費</v>
      </c>
      <c r="P220" s="359">
        <f>IF(OR($G220="",$C220=""),"",IF($B220="決算整理",13,MOD(MONTH($C220)-4,12)+1))</f>
        <v>5</v>
      </c>
      <c r="Q220" s="366" t="str">
        <f>IF($G220="","",TRIM(IF(J220+K220+L220+M220&lt;&gt;$G220,"按分不一致 ","")&amp;IF(O220="※未登録","科目未登録 ","")&amp;IF(OR($H220="",ISERROR(MATCH($H220,{1,2,3,4,5,6,7,8},0))),"経費区分? ","")&amp;IF($I220="","状態未設定 ","")&amp;IF(AND(OR($I220="確認済",$I220="未確認"),$B220="月例",OR($C220="",$C220&lt;DATE(年度+2018,4,1),$C220&gt;DATE(年度+2019,3,31))),"年度外の日付 ","")&amp;IF(AND(OR($I220="確認済",$I220="未確認"),O220="対象外"),"対象外の科目 ","")))</f>
        <v/>
      </c>
      <c r="R220" s="366" t="inlineStr">
        <is>
          <t>月例!228</t>
        </is>
      </c>
    </row>
    <row r="221">
      <c r="A221" s="359" t="n">
        <v>217</v>
      </c>
      <c r="B221" s="360" t="inlineStr">
        <is>
          <t>月例</t>
        </is>
      </c>
      <c r="C221" s="361" t="n">
        <v>45169</v>
      </c>
      <c r="D221" s="362" t="inlineStr">
        <is>
          <t>事務費</t>
        </is>
      </c>
      <c r="E221" s="362" t="inlineStr">
        <is>
          <t>事務用消耗品費</t>
        </is>
      </c>
      <c r="F221" s="362" t="inlineStr">
        <is>
          <t>カシオ電卓　DF-120GT-N 2個　ほか</t>
        </is>
      </c>
      <c r="G221" s="363" t="n">
        <v>12811</v>
      </c>
      <c r="H221" s="360" t="n">
        <v>2</v>
      </c>
      <c r="I221" s="360" t="inlineStr">
        <is>
          <t>昨年実績</t>
        </is>
      </c>
      <c r="J221" s="364">
        <f>IF($G221="","",IF($H221=1,$G221-ROUND($G221*10/23,0)-2*ROUND($G221/23,0),IF($H221=2,$G221,0)))</f>
        <v>12811</v>
      </c>
      <c r="K221" s="364">
        <f>IF($G221="","",IF($H221=1,ROUND($G221*10/23,0),IF($H221=3,$G221-2*ROUND($G221/12,0),IF($H221=4,$G221,IF(OR($H221=5,$H221=7),ROUND($G221*10/11,0),0)))))</f>
        <v>0</v>
      </c>
      <c r="L221" s="364">
        <f>IF($G221="","",IF($H221=1,ROUND($G221/23,0),IF($H221=3,ROUND($G221/12,0),IF($H221=5,$G221-ROUND($G221*10/11,0),IF($H221=8,$G221,0)))))</f>
        <v>0</v>
      </c>
      <c r="M221" s="364">
        <f>IF($G221="","",IF($H221=1,ROUND($G221/23,0),IF($H221=3,ROUND($G221/12,0),IF($H221=6,$G221,IF($H221=7,$G221-ROUND($G221*10/11,0),0)))))</f>
        <v>0</v>
      </c>
      <c r="N221" s="364">
        <f>IF($G221="","",K221+L221+M221)</f>
        <v>0</v>
      </c>
      <c r="O221" s="365" t="str">
        <f>IF($G221="","",IFERROR(VLOOKUP($D221&amp;"|"&amp;$E221,科目表!$A$5:$B$200,2,FALSE),"※未登録"))</f>
        <v>事務用消耗品費</v>
      </c>
      <c r="P221" s="359">
        <f>IF(OR($G221="",$C221=""),"",IF($B221="決算整理",13,MOD(MONTH($C221)-4,12)+1))</f>
        <v>5</v>
      </c>
      <c r="Q221" s="366" t="str">
        <f>IF($G221="","",TRIM(IF(J221+K221+L221+M221&lt;&gt;$G221,"按分不一致 ","")&amp;IF(O221="※未登録","科目未登録 ","")&amp;IF(OR($H221="",ISERROR(MATCH($H221,{1,2,3,4,5,6,7,8},0))),"経費区分? ","")&amp;IF($I221="","状態未設定 ","")&amp;IF(AND(OR($I221="確認済",$I221="未確認"),$B221="月例",OR($C221="",$C221&lt;DATE(年度+2018,4,1),$C221&gt;DATE(年度+2019,3,31))),"年度外の日付 ","")&amp;IF(AND(OR($I221="確認済",$I221="未確認"),O221="対象外"),"対象外の科目 ","")))</f>
        <v/>
      </c>
      <c r="R221" s="366" t="inlineStr">
        <is>
          <t>月例!229</t>
        </is>
      </c>
    </row>
    <row r="222">
      <c r="A222" s="359" t="n">
        <v>218</v>
      </c>
      <c r="B222" s="360" t="inlineStr">
        <is>
          <t>月例</t>
        </is>
      </c>
      <c r="C222" s="361" t="n">
        <v>46265</v>
      </c>
      <c r="D222" s="362" t="inlineStr">
        <is>
          <t>委託費</t>
        </is>
      </c>
      <c r="E222" s="362" t="n"/>
      <c r="F222" s="362" t="inlineStr">
        <is>
          <t>柔整等療養費支給申請書の入力（７月分）</t>
        </is>
      </c>
      <c r="G222" s="363" t="n">
        <v>133786</v>
      </c>
      <c r="H222" s="360" t="n">
        <v>2</v>
      </c>
      <c r="I222" s="360" t="inlineStr">
        <is>
          <t>確認済</t>
        </is>
      </c>
      <c r="J222" s="364">
        <f>IF($G222="","",IF($H222=1,$G222-ROUND($G222*10/23,0)-2*ROUND($G222/23,0),IF($H222=2,$G222,0)))</f>
        <v>133786</v>
      </c>
      <c r="K222" s="364">
        <f>IF($G222="","",IF($H222=1,ROUND($G222*10/23,0),IF($H222=3,$G222-2*ROUND($G222/12,0),IF($H222=4,$G222,IF(OR($H222=5,$H222=7),ROUND($G222*10/11,0),0)))))</f>
        <v>0</v>
      </c>
      <c r="L222" s="364">
        <f>IF($G222="","",IF($H222=1,ROUND($G222/23,0),IF($H222=3,ROUND($G222/12,0),IF($H222=5,$G222-ROUND($G222*10/11,0),IF($H222=8,$G222,0)))))</f>
        <v>0</v>
      </c>
      <c r="M222" s="364">
        <f>IF($G222="","",IF($H222=1,ROUND($G222/23,0),IF($H222=3,ROUND($G222/12,0),IF($H222=6,$G222,IF($H222=7,$G222-ROUND($G222*10/11,0),0)))))</f>
        <v>0</v>
      </c>
      <c r="N222" s="364">
        <f>IF($G222="","",K222+L222+M222)</f>
        <v>0</v>
      </c>
      <c r="O222" s="365" t="str">
        <f>IF($G222="","",IFERROR(VLOOKUP($D222&amp;"|"&amp;$E222,科目表!$A$5:$B$200,2,FALSE),"※未登録"))</f>
        <v>委託費</v>
      </c>
      <c r="P222" s="359">
        <f>IF(OR($G222="",$C222=""),"",IF($B222="決算整理",13,MOD(MONTH($C222)-4,12)+1))</f>
        <v>5</v>
      </c>
      <c r="Q222" s="366" t="str">
        <f>IF($G222="","",TRIM(IF(J222+K222+L222+M222&lt;&gt;$G222,"按分不一致 ","")&amp;IF(O222="※未登録","科目未登録 ","")&amp;IF(OR($H222="",ISERROR(MATCH($H222,{1,2,3,4,5,6,7,8},0))),"経費区分? ","")&amp;IF($I222="","状態未設定 ","")&amp;IF(AND(OR($I222="確認済",$I222="未確認"),$B222="月例",OR($C222="",$C222&lt;DATE(年度+2018,4,1),$C222&gt;DATE(年度+2019,3,31))),"年度外の日付 ","")&amp;IF(AND(OR($I222="確認済",$I222="未確認"),O222="対象外"),"対象外の科目 ","")))</f>
        <v/>
      </c>
      <c r="R222" s="366" t="inlineStr">
        <is>
          <t>月例!230</t>
        </is>
      </c>
    </row>
    <row r="223">
      <c r="A223" s="359" t="n">
        <v>219</v>
      </c>
      <c r="B223" s="360" t="inlineStr">
        <is>
          <t>月例</t>
        </is>
      </c>
      <c r="C223" s="361" t="n">
        <v>45903</v>
      </c>
      <c r="D223" s="362" t="inlineStr">
        <is>
          <t>事務費</t>
        </is>
      </c>
      <c r="E223" s="362" t="inlineStr">
        <is>
          <t>会議費</t>
        </is>
      </c>
      <c r="F223" s="362" t="inlineStr">
        <is>
          <t>大都市職員共済組合互選関係役員協議会　会議負担金（村上理事長、児玉理事長職務代理者）</t>
        </is>
      </c>
      <c r="G223" s="363" t="n">
        <v>16000</v>
      </c>
      <c r="H223" s="360" t="n">
        <v>1</v>
      </c>
      <c r="I223" s="360" t="inlineStr">
        <is>
          <t>昨年実績</t>
        </is>
      </c>
      <c r="J223" s="364">
        <f>IF($G223="","",IF($H223=1,$G223-ROUND($G223*10/23,0)-2*ROUND($G223/23,0),IF($H223=2,$G223,0)))</f>
        <v>7651</v>
      </c>
      <c r="K223" s="364">
        <f>IF($G223="","",IF($H223=1,ROUND($G223*10/23,0),IF($H223=3,$G223-2*ROUND($G223/12,0),IF($H223=4,$G223,IF(OR($H223=5,$H223=7),ROUND($G223*10/11,0),0)))))</f>
        <v>6957</v>
      </c>
      <c r="L223" s="364">
        <f>IF($G223="","",IF($H223=1,ROUND($G223/23,0),IF($H223=3,ROUND($G223/12,0),IF($H223=5,$G223-ROUND($G223*10/11,0),IF($H223=8,$G223,0)))))</f>
        <v>696</v>
      </c>
      <c r="M223" s="364">
        <f>IF($G223="","",IF($H223=1,ROUND($G223/23,0),IF($H223=3,ROUND($G223/12,0),IF($H223=6,$G223,IF($H223=7,$G223-ROUND($G223*10/11,0),0)))))</f>
        <v>696</v>
      </c>
      <c r="N223" s="364">
        <f>IF($G223="","",K223+L223+M223)</f>
        <v>8349</v>
      </c>
      <c r="O223" s="365" t="str">
        <f>IF($G223="","",IFERROR(VLOOKUP($D223&amp;"|"&amp;$E223,科目表!$A$5:$B$200,2,FALSE),"※未登録"))</f>
        <v>会議費</v>
      </c>
      <c r="P223" s="359">
        <f>IF(OR($G223="",$C223=""),"",IF($B223="決算整理",13,MOD(MONTH($C223)-4,12)+1))</f>
        <v>6</v>
      </c>
      <c r="Q223" s="366" t="str">
        <f>IF($G223="","",TRIM(IF(J223+K223+L223+M223&lt;&gt;$G223,"按分不一致 ","")&amp;IF(O223="※未登録","科目未登録 ","")&amp;IF(OR($H223="",ISERROR(MATCH($H223,{1,2,3,4,5,6,7,8},0))),"経費区分? ","")&amp;IF($I223="","状態未設定 ","")&amp;IF(AND(OR($I223="確認済",$I223="未確認"),$B223="月例",OR($C223="",$C223&lt;DATE(年度+2018,4,1),$C223&gt;DATE(年度+2019,3,31))),"年度外の日付 ","")&amp;IF(AND(OR($I223="確認済",$I223="未確認"),O223="対象外"),"対象外の科目 ","")))</f>
        <v/>
      </c>
      <c r="R223" s="366" t="inlineStr">
        <is>
          <t>月例!231</t>
        </is>
      </c>
    </row>
    <row r="224">
      <c r="A224" s="359" t="n">
        <v>220</v>
      </c>
      <c r="B224" s="360" t="inlineStr">
        <is>
          <t>月例</t>
        </is>
      </c>
      <c r="C224" s="361" t="n">
        <v>45895</v>
      </c>
      <c r="D224" s="362" t="inlineStr">
        <is>
          <t>事務費</t>
        </is>
      </c>
      <c r="E224" s="362" t="inlineStr">
        <is>
          <t>通信運搬費</t>
        </is>
      </c>
      <c r="F224" s="362" t="inlineStr">
        <is>
          <t>切手</t>
        </is>
      </c>
      <c r="G224" s="363" t="n">
        <v>73000</v>
      </c>
      <c r="H224" s="360" t="n">
        <v>2</v>
      </c>
      <c r="I224" s="360" t="inlineStr">
        <is>
          <t>昨年実績</t>
        </is>
      </c>
      <c r="J224" s="364">
        <f>IF($G224="","",IF($H224=1,$G224-ROUND($G224*10/23,0)-2*ROUND($G224/23,0),IF($H224=2,$G224,0)))</f>
        <v>73000</v>
      </c>
      <c r="K224" s="364">
        <f>IF($G224="","",IF($H224=1,ROUND($G224*10/23,0),IF($H224=3,$G224-2*ROUND($G224/12,0),IF($H224=4,$G224,IF(OR($H224=5,$H224=7),ROUND($G224*10/11,0),0)))))</f>
        <v>0</v>
      </c>
      <c r="L224" s="364">
        <f>IF($G224="","",IF($H224=1,ROUND($G224/23,0),IF($H224=3,ROUND($G224/12,0),IF($H224=5,$G224-ROUND($G224*10/11,0),IF($H224=8,$G224,0)))))</f>
        <v>0</v>
      </c>
      <c r="M224" s="364">
        <f>IF($G224="","",IF($H224=1,ROUND($G224/23,0),IF($H224=3,ROUND($G224/12,0),IF($H224=6,$G224,IF($H224=7,$G224-ROUND($G224*10/11,0),0)))))</f>
        <v>0</v>
      </c>
      <c r="N224" s="364">
        <f>IF($G224="","",K224+L224+M224)</f>
        <v>0</v>
      </c>
      <c r="O224" s="365" t="str">
        <f>IF($G224="","",IFERROR(VLOOKUP($D224&amp;"|"&amp;$E224,科目表!$A$5:$B$200,2,FALSE),"※未登録"))</f>
        <v>通信運搬費</v>
      </c>
      <c r="P224" s="359">
        <f>IF(OR($G224="",$C224=""),"",IF($B224="決算整理",13,MOD(MONTH($C224)-4,12)+1))</f>
        <v>5</v>
      </c>
      <c r="Q224" s="366" t="str">
        <f>IF($G224="","",TRIM(IF(J224+K224+L224+M224&lt;&gt;$G224,"按分不一致 ","")&amp;IF(O224="※未登録","科目未登録 ","")&amp;IF(OR($H224="",ISERROR(MATCH($H224,{1,2,3,4,5,6,7,8},0))),"経費区分? ","")&amp;IF($I224="","状態未設定 ","")&amp;IF(AND(OR($I224="確認済",$I224="未確認"),$B224="月例",OR($C224="",$C224&lt;DATE(年度+2018,4,1),$C224&gt;DATE(年度+2019,3,31))),"年度外の日付 ","")&amp;IF(AND(OR($I224="確認済",$I224="未確認"),O224="対象外"),"対象外の科目 ","")))</f>
        <v/>
      </c>
      <c r="R224" s="366" t="inlineStr">
        <is>
          <t>月例!232</t>
        </is>
      </c>
    </row>
    <row r="225">
      <c r="A225" s="359" t="n">
        <v>221</v>
      </c>
      <c r="B225" s="360" t="inlineStr">
        <is>
          <t>月例</t>
        </is>
      </c>
      <c r="C225" s="361" t="n">
        <v>46265</v>
      </c>
      <c r="D225" s="362" t="inlineStr">
        <is>
          <t>負担金</t>
        </is>
      </c>
      <c r="E225" s="362" t="inlineStr">
        <is>
          <t>厚年負担金等</t>
        </is>
      </c>
      <c r="F225" s="362" t="inlineStr">
        <is>
          <t>７月月例・６月期末分（短期分）子ども子育て拠出金を含む</t>
        </is>
      </c>
      <c r="G225" s="363" t="n">
        <v>105276</v>
      </c>
      <c r="H225" s="360" t="n">
        <v>2</v>
      </c>
      <c r="I225" s="360" t="inlineStr">
        <is>
          <t>確認済</t>
        </is>
      </c>
      <c r="J225" s="364">
        <f>IF($G225="","",IF($H225=1,$G225-ROUND($G225*10/23,0)-2*ROUND($G225/23,0),IF($H225=2,$G225,0)))</f>
        <v>105276</v>
      </c>
      <c r="K225" s="364">
        <f>IF($G225="","",IF($H225=1,ROUND($G225*10/23,0),IF($H225=3,$G225-2*ROUND($G225/12,0),IF($H225=4,$G225,IF(OR($H225=5,$H225=7),ROUND($G225*10/11,0),0)))))</f>
        <v>0</v>
      </c>
      <c r="L225" s="364">
        <f>IF($G225="","",IF($H225=1,ROUND($G225/23,0),IF($H225=3,ROUND($G225/12,0),IF($H225=5,$G225-ROUND($G225*10/11,0),IF($H225=8,$G225,0)))))</f>
        <v>0</v>
      </c>
      <c r="M225" s="364">
        <f>IF($G225="","",IF($H225=1,ROUND($G225/23,0),IF($H225=3,ROUND($G225/12,0),IF($H225=6,$G225,IF($H225=7,$G225-ROUND($G225*10/11,0),0)))))</f>
        <v>0</v>
      </c>
      <c r="N225" s="364">
        <f>IF($G225="","",K225+L225+M225)</f>
        <v>0</v>
      </c>
      <c r="O225" s="365" t="str">
        <f>IF($G225="","",IFERROR(VLOOKUP($D225&amp;"|"&amp;$E225,科目表!$A$5:$B$200,2,FALSE),"※未登録"))</f>
        <v>厚年負担金等</v>
      </c>
      <c r="P225" s="359">
        <f>IF(OR($G225="",$C225=""),"",IF($B225="決算整理",13,MOD(MONTH($C225)-4,12)+1))</f>
        <v>5</v>
      </c>
      <c r="Q225" s="366" t="str">
        <f>IF($G225="","",TRIM(IF(J225+K225+L225+M225&lt;&gt;$G225,"按分不一致 ","")&amp;IF(O225="※未登録","科目未登録 ","")&amp;IF(OR($H225="",ISERROR(MATCH($H225,{1,2,3,4,5,6,7,8},0))),"経費区分? ","")&amp;IF($I225="","状態未設定 ","")&amp;IF(AND(OR($I225="確認済",$I225="未確認"),$B225="月例",OR($C225="",$C225&lt;DATE(年度+2018,4,1),$C225&gt;DATE(年度+2019,3,31))),"年度外の日付 ","")&amp;IF(AND(OR($I225="確認済",$I225="未確認"),O225="対象外"),"対象外の科目 ","")))</f>
        <v/>
      </c>
      <c r="R225" s="366" t="inlineStr">
        <is>
          <t>月例!233</t>
        </is>
      </c>
    </row>
    <row r="226">
      <c r="A226" s="359" t="n">
        <v>222</v>
      </c>
      <c r="B226" s="360" t="inlineStr">
        <is>
          <t>月例</t>
        </is>
      </c>
      <c r="C226" s="361" t="n">
        <v>46265</v>
      </c>
      <c r="D226" s="362" t="inlineStr">
        <is>
          <t>負担金</t>
        </is>
      </c>
      <c r="E226" s="362" t="inlineStr">
        <is>
          <t>厚年負担金等</t>
        </is>
      </c>
      <c r="F226" s="362" t="inlineStr">
        <is>
          <t>７月月例・６月期末分（長期分）子ども子育て拠出金を含む</t>
        </is>
      </c>
      <c r="G226" s="363" t="n">
        <v>119541</v>
      </c>
      <c r="H226" s="360" t="n">
        <v>3</v>
      </c>
      <c r="I226" s="360" t="inlineStr">
        <is>
          <t>確認済</t>
        </is>
      </c>
      <c r="J226" s="364">
        <f>IF($G226="","",IF($H226=1,$G226-ROUND($G226*10/23,0)-2*ROUND($G226/23,0),IF($H226=2,$G226,0)))</f>
        <v>0</v>
      </c>
      <c r="K226" s="364">
        <f>IF($G226="","",IF($H226=1,ROUND($G226*10/23,0),IF($H226=3,$G226-2*ROUND($G226/12,0),IF($H226=4,$G226,IF(OR($H226=5,$H226=7),ROUND($G226*10/11,0),0)))))</f>
        <v>99617</v>
      </c>
      <c r="L226" s="364">
        <f>IF($G226="","",IF($H226=1,ROUND($G226/23,0),IF($H226=3,ROUND($G226/12,0),IF($H226=5,$G226-ROUND($G226*10/11,0),IF($H226=8,$G226,0)))))</f>
        <v>9962</v>
      </c>
      <c r="M226" s="364">
        <f>IF($G226="","",IF($H226=1,ROUND($G226/23,0),IF($H226=3,ROUND($G226/12,0),IF($H226=6,$G226,IF($H226=7,$G226-ROUND($G226*10/11,0),0)))))</f>
        <v>9962</v>
      </c>
      <c r="N226" s="364">
        <f>IF($G226="","",K226+L226+M226)</f>
        <v>119541</v>
      </c>
      <c r="O226" s="365" t="str">
        <f>IF($G226="","",IFERROR(VLOOKUP($D226&amp;"|"&amp;$E226,科目表!$A$5:$B$200,2,FALSE),"※未登録"))</f>
        <v>厚年負担金等</v>
      </c>
      <c r="P226" s="359">
        <f>IF(OR($G226="",$C226=""),"",IF($B226="決算整理",13,MOD(MONTH($C226)-4,12)+1))</f>
        <v>5</v>
      </c>
      <c r="Q226" s="366" t="str">
        <f>IF($G226="","",TRIM(IF(J226+K226+L226+M226&lt;&gt;$G226,"按分不一致 ","")&amp;IF(O226="※未登録","科目未登録 ","")&amp;IF(OR($H226="",ISERROR(MATCH($H226,{1,2,3,4,5,6,7,8},0))),"経費区分? ","")&amp;IF($I226="","状態未設定 ","")&amp;IF(AND(OR($I226="確認済",$I226="未確認"),$B226="月例",OR($C226="",$C226&lt;DATE(年度+2018,4,1),$C226&gt;DATE(年度+2019,3,31))),"年度外の日付 ","")&amp;IF(AND(OR($I226="確認済",$I226="未確認"),O226="対象外"),"対象外の科目 ","")))</f>
        <v/>
      </c>
      <c r="R226" s="366" t="inlineStr">
        <is>
          <t>月例!234</t>
        </is>
      </c>
    </row>
    <row r="227">
      <c r="A227" s="359" t="n">
        <v>223</v>
      </c>
      <c r="B227" s="360" t="inlineStr">
        <is>
          <t>月例</t>
        </is>
      </c>
      <c r="C227" s="361" t="n">
        <v>46265</v>
      </c>
      <c r="D227" s="362" t="inlineStr">
        <is>
          <t>賃借料</t>
        </is>
      </c>
      <c r="E227" s="362" t="n"/>
      <c r="F227" s="362" t="inlineStr">
        <is>
          <t>統合管理端末リース料（７月分）</t>
        </is>
      </c>
      <c r="G227" s="363" t="n">
        <v>12738</v>
      </c>
      <c r="H227" s="360" t="n">
        <v>2</v>
      </c>
      <c r="I227" s="360" t="inlineStr">
        <is>
          <t>確認済</t>
        </is>
      </c>
      <c r="J227" s="364">
        <f>IF($G227="","",IF($H227=1,$G227-ROUND($G227*10/23,0)-2*ROUND($G227/23,0),IF($H227=2,$G227,0)))</f>
        <v>12738</v>
      </c>
      <c r="K227" s="364">
        <f>IF($G227="","",IF($H227=1,ROUND($G227*10/23,0),IF($H227=3,$G227-2*ROUND($G227/12,0),IF($H227=4,$G227,IF(OR($H227=5,$H227=7),ROUND($G227*10/11,0),0)))))</f>
        <v>0</v>
      </c>
      <c r="L227" s="364">
        <f>IF($G227="","",IF($H227=1,ROUND($G227/23,0),IF($H227=3,ROUND($G227/12,0),IF($H227=5,$G227-ROUND($G227*10/11,0),IF($H227=8,$G227,0)))))</f>
        <v>0</v>
      </c>
      <c r="M227" s="364">
        <f>IF($G227="","",IF($H227=1,ROUND($G227/23,0),IF($H227=3,ROUND($G227/12,0),IF($H227=6,$G227,IF($H227=7,$G227-ROUND($G227*10/11,0),0)))))</f>
        <v>0</v>
      </c>
      <c r="N227" s="364">
        <f>IF($G227="","",K227+L227+M227)</f>
        <v>0</v>
      </c>
      <c r="O227" s="365" t="str">
        <f>IF($G227="","",IFERROR(VLOOKUP($D227&amp;"|"&amp;$E227,科目表!$A$5:$B$200,2,FALSE),"※未登録"))</f>
        <v>賃借料</v>
      </c>
      <c r="P227" s="359">
        <f>IF(OR($G227="",$C227=""),"",IF($B227="決算整理",13,MOD(MONTH($C227)-4,12)+1))</f>
        <v>5</v>
      </c>
      <c r="Q227" s="366" t="str">
        <f>IF($G227="","",TRIM(IF(J227+K227+L227+M227&lt;&gt;$G227,"按分不一致 ","")&amp;IF(O227="※未登録","科目未登録 ","")&amp;IF(OR($H227="",ISERROR(MATCH($H227,{1,2,3,4,5,6,7,8},0))),"経費区分? ","")&amp;IF($I227="","状態未設定 ","")&amp;IF(AND(OR($I227="確認済",$I227="未確認"),$B227="月例",OR($C227="",$C227&lt;DATE(年度+2018,4,1),$C227&gt;DATE(年度+2019,3,31))),"年度外の日付 ","")&amp;IF(AND(OR($I227="確認済",$I227="未確認"),O227="対象外"),"対象外の科目 ","")))</f>
        <v/>
      </c>
      <c r="R227" s="366" t="inlineStr">
        <is>
          <t>月例!235</t>
        </is>
      </c>
    </row>
    <row r="228">
      <c r="A228" s="359" t="n">
        <v>224</v>
      </c>
      <c r="B228" s="360" t="inlineStr">
        <is>
          <t>月例</t>
        </is>
      </c>
      <c r="C228" s="361" t="n">
        <v>44804</v>
      </c>
      <c r="D228" s="362" t="inlineStr">
        <is>
          <t>委託費</t>
        </is>
      </c>
      <c r="E228" s="362" t="n"/>
      <c r="F228" s="362" t="inlineStr">
        <is>
          <t>統合管理端末保守料（7月分）</t>
        </is>
      </c>
      <c r="G228" s="363" t="n">
        <v>770</v>
      </c>
      <c r="H228" s="360" t="n">
        <v>2</v>
      </c>
      <c r="I228" s="360" t="inlineStr">
        <is>
          <t>昨年実績</t>
        </is>
      </c>
      <c r="J228" s="364">
        <f>IF($G228="","",IF($H228=1,$G228-ROUND($G228*10/23,0)-2*ROUND($G228/23,0),IF($H228=2,$G228,0)))</f>
        <v>770</v>
      </c>
      <c r="K228" s="364">
        <f>IF($G228="","",IF($H228=1,ROUND($G228*10/23,0),IF($H228=3,$G228-2*ROUND($G228/12,0),IF($H228=4,$G228,IF(OR($H228=5,$H228=7),ROUND($G228*10/11,0),0)))))</f>
        <v>0</v>
      </c>
      <c r="L228" s="364">
        <f>IF($G228="","",IF($H228=1,ROUND($G228/23,0),IF($H228=3,ROUND($G228/12,0),IF($H228=5,$G228-ROUND($G228*10/11,0),IF($H228=8,$G228,0)))))</f>
        <v>0</v>
      </c>
      <c r="M228" s="364">
        <f>IF($G228="","",IF($H228=1,ROUND($G228/23,0),IF($H228=3,ROUND($G228/12,0),IF($H228=6,$G228,IF($H228=7,$G228-ROUND($G228*10/11,0),0)))))</f>
        <v>0</v>
      </c>
      <c r="N228" s="364">
        <f>IF($G228="","",K228+L228+M228)</f>
        <v>0</v>
      </c>
      <c r="O228" s="365" t="str">
        <f>IF($G228="","",IFERROR(VLOOKUP($D228&amp;"|"&amp;$E228,科目表!$A$5:$B$200,2,FALSE),"※未登録"))</f>
        <v>委託費</v>
      </c>
      <c r="P228" s="359">
        <f>IF(OR($G228="",$C228=""),"",IF($B228="決算整理",13,MOD(MONTH($C228)-4,12)+1))</f>
        <v>5</v>
      </c>
      <c r="Q228" s="366" t="str">
        <f>IF($G228="","",TRIM(IF(J228+K228+L228+M228&lt;&gt;$G228,"按分不一致 ","")&amp;IF(O228="※未登録","科目未登録 ","")&amp;IF(OR($H228="",ISERROR(MATCH($H228,{1,2,3,4,5,6,7,8},0))),"経費区分? ","")&amp;IF($I228="","状態未設定 ","")&amp;IF(AND(OR($I228="確認済",$I228="未確認"),$B228="月例",OR($C228="",$C228&lt;DATE(年度+2018,4,1),$C228&gt;DATE(年度+2019,3,31))),"年度外の日付 ","")&amp;IF(AND(OR($I228="確認済",$I228="未確認"),O228="対象外"),"対象外の科目 ","")))</f>
        <v/>
      </c>
      <c r="R228" s="366" t="inlineStr">
        <is>
          <t>月例!236</t>
        </is>
      </c>
    </row>
    <row r="229">
      <c r="A229" s="359" t="n">
        <v>225</v>
      </c>
      <c r="B229" s="360" t="inlineStr">
        <is>
          <t>月例</t>
        </is>
      </c>
      <c r="C229" s="361" t="n">
        <v>45926</v>
      </c>
      <c r="D229" s="362" t="inlineStr">
        <is>
          <t>事務費</t>
        </is>
      </c>
      <c r="E229" s="362" t="inlineStr">
        <is>
          <t>会議費</t>
        </is>
      </c>
      <c r="F229" s="362" t="inlineStr">
        <is>
          <t>大都市職員共済組合互選関係役員協議会　会議負担金</t>
        </is>
      </c>
      <c r="G229" s="363" t="n">
        <v>308264</v>
      </c>
      <c r="H229" s="360" t="n">
        <v>1</v>
      </c>
      <c r="I229" s="360" t="inlineStr">
        <is>
          <t>昨年実績</t>
        </is>
      </c>
      <c r="J229" s="364">
        <f>IF($G229="","",IF($H229=1,$G229-ROUND($G229*10/23,0)-2*ROUND($G229/23,0),IF($H229=2,$G229,0)))</f>
        <v>147430</v>
      </c>
      <c r="K229" s="364">
        <f>IF($G229="","",IF($H229=1,ROUND($G229*10/23,0),IF($H229=3,$G229-2*ROUND($G229/12,0),IF($H229=4,$G229,IF(OR($H229=5,$H229=7),ROUND($G229*10/11,0),0)))))</f>
        <v>134028</v>
      </c>
      <c r="L229" s="364">
        <f>IF($G229="","",IF($H229=1,ROUND($G229/23,0),IF($H229=3,ROUND($G229/12,0),IF($H229=5,$G229-ROUND($G229*10/11,0),IF($H229=8,$G229,0)))))</f>
        <v>13403</v>
      </c>
      <c r="M229" s="364">
        <f>IF($G229="","",IF($H229=1,ROUND($G229/23,0),IF($H229=3,ROUND($G229/12,0),IF($H229=6,$G229,IF($H229=7,$G229-ROUND($G229*10/11,0),0)))))</f>
        <v>13403</v>
      </c>
      <c r="N229" s="364">
        <f>IF($G229="","",K229+L229+M229)</f>
        <v>160834</v>
      </c>
      <c r="O229" s="365" t="str">
        <f>IF($G229="","",IFERROR(VLOOKUP($D229&amp;"|"&amp;$E229,科目表!$A$5:$B$200,2,FALSE),"※未登録"))</f>
        <v>会議費</v>
      </c>
      <c r="P229" s="359">
        <f>IF(OR($G229="",$C229=""),"",IF($B229="決算整理",13,MOD(MONTH($C229)-4,12)+1))</f>
        <v>6</v>
      </c>
      <c r="Q229" s="366" t="str">
        <f>IF($G229="","",TRIM(IF(J229+K229+L229+M229&lt;&gt;$G229,"按分不一致 ","")&amp;IF(O229="※未登録","科目未登録 ","")&amp;IF(OR($H229="",ISERROR(MATCH($H229,{1,2,3,4,5,6,7,8},0))),"経費区分? ","")&amp;IF($I229="","状態未設定 ","")&amp;IF(AND(OR($I229="確認済",$I229="未確認"),$B229="月例",OR($C229="",$C229&lt;DATE(年度+2018,4,1),$C229&gt;DATE(年度+2019,3,31))),"年度外の日付 ","")&amp;IF(AND(OR($I229="確認済",$I229="未確認"),O229="対象外"),"対象外の科目 ","")))</f>
        <v/>
      </c>
      <c r="R229" s="366" t="inlineStr">
        <is>
          <t>月例!237</t>
        </is>
      </c>
    </row>
    <row r="230">
      <c r="A230" s="359" t="n">
        <v>226</v>
      </c>
      <c r="B230" s="360" t="inlineStr">
        <is>
          <t>月例</t>
        </is>
      </c>
      <c r="C230" s="361" t="n">
        <v>46295</v>
      </c>
      <c r="D230" s="362" t="inlineStr">
        <is>
          <t>委託費</t>
        </is>
      </c>
      <c r="E230" s="362" t="n"/>
      <c r="F230" s="362" t="inlineStr">
        <is>
          <t>基幹システム用カードプリンタの保守</t>
        </is>
      </c>
      <c r="G230" s="363" t="n">
        <v>79200</v>
      </c>
      <c r="H230" s="360" t="n">
        <v>2</v>
      </c>
      <c r="I230" s="360" t="inlineStr">
        <is>
          <t>確認済</t>
        </is>
      </c>
      <c r="J230" s="364">
        <f>IF($G230="","",IF($H230=1,$G230-ROUND($G230*10/23,0)-2*ROUND($G230/23,0),IF($H230=2,$G230,0)))</f>
        <v>79200</v>
      </c>
      <c r="K230" s="364">
        <f>IF($G230="","",IF($H230=1,ROUND($G230*10/23,0),IF($H230=3,$G230-2*ROUND($G230/12,0),IF($H230=4,$G230,IF(OR($H230=5,$H230=7),ROUND($G230*10/11,0),0)))))</f>
        <v>0</v>
      </c>
      <c r="L230" s="364">
        <f>IF($G230="","",IF($H230=1,ROUND($G230/23,0),IF($H230=3,ROUND($G230/12,0),IF($H230=5,$G230-ROUND($G230*10/11,0),IF($H230=8,$G230,0)))))</f>
        <v>0</v>
      </c>
      <c r="M230" s="364">
        <f>IF($G230="","",IF($H230=1,ROUND($G230/23,0),IF($H230=3,ROUND($G230/12,0),IF($H230=6,$G230,IF($H230=7,$G230-ROUND($G230*10/11,0),0)))))</f>
        <v>0</v>
      </c>
      <c r="N230" s="364">
        <f>IF($G230="","",K230+L230+M230)</f>
        <v>0</v>
      </c>
      <c r="O230" s="365" t="str">
        <f>IF($G230="","",IFERROR(VLOOKUP($D230&amp;"|"&amp;$E230,科目表!$A$5:$B$200,2,FALSE),"※未登録"))</f>
        <v>委託費</v>
      </c>
      <c r="P230" s="359">
        <f>IF(OR($G230="",$C230=""),"",IF($B230="決算整理",13,MOD(MONTH($C230)-4,12)+1))</f>
        <v>6</v>
      </c>
      <c r="Q230" s="366" t="str">
        <f>IF($G230="","",TRIM(IF(J230+K230+L230+M230&lt;&gt;$G230,"按分不一致 ","")&amp;IF(O230="※未登録","科目未登録 ","")&amp;IF(OR($H230="",ISERROR(MATCH($H230,{1,2,3,4,5,6,7,8},0))),"経費区分? ","")&amp;IF($I230="","状態未設定 ","")&amp;IF(AND(OR($I230="確認済",$I230="未確認"),$B230="月例",OR($C230="",$C230&lt;DATE(年度+2018,4,1),$C230&gt;DATE(年度+2019,3,31))),"年度外の日付 ","")&amp;IF(AND(OR($I230="確認済",$I230="未確認"),O230="対象外"),"対象外の科目 ","")))</f>
        <v/>
      </c>
      <c r="R230" s="366" t="inlineStr">
        <is>
          <t>月例!238</t>
        </is>
      </c>
    </row>
    <row r="231">
      <c r="A231" s="359" t="n">
        <v>227</v>
      </c>
      <c r="B231" s="360" t="inlineStr">
        <is>
          <t>月例</t>
        </is>
      </c>
      <c r="C231" s="361" t="n">
        <v>44804</v>
      </c>
      <c r="D231" s="362" t="inlineStr">
        <is>
          <t>事務費</t>
        </is>
      </c>
      <c r="E231" s="362" t="inlineStr">
        <is>
          <t>事務用消耗品費</t>
        </is>
      </c>
      <c r="F231" s="362" t="inlineStr">
        <is>
          <t>SIGMA DS3 リボンキット　15個　ほか</t>
        </is>
      </c>
      <c r="G231" s="363" t="n">
        <v>86350</v>
      </c>
      <c r="H231" s="360" t="n">
        <v>2</v>
      </c>
      <c r="I231" s="360" t="inlineStr">
        <is>
          <t>昨年実績</t>
        </is>
      </c>
      <c r="J231" s="364">
        <f>IF($G231="","",IF($H231=1,$G231-ROUND($G231*10/23,0)-2*ROUND($G231/23,0),IF($H231=2,$G231,0)))</f>
        <v>86350</v>
      </c>
      <c r="K231" s="364">
        <f>IF($G231="","",IF($H231=1,ROUND($G231*10/23,0),IF($H231=3,$G231-2*ROUND($G231/12,0),IF($H231=4,$G231,IF(OR($H231=5,$H231=7),ROUND($G231*10/11,0),0)))))</f>
        <v>0</v>
      </c>
      <c r="L231" s="364">
        <f>IF($G231="","",IF($H231=1,ROUND($G231/23,0),IF($H231=3,ROUND($G231/12,0),IF($H231=5,$G231-ROUND($G231*10/11,0),IF($H231=8,$G231,0)))))</f>
        <v>0</v>
      </c>
      <c r="M231" s="364">
        <f>IF($G231="","",IF($H231=1,ROUND($G231/23,0),IF($H231=3,ROUND($G231/12,0),IF($H231=6,$G231,IF($H231=7,$G231-ROUND($G231*10/11,0),0)))))</f>
        <v>0</v>
      </c>
      <c r="N231" s="364">
        <f>IF($G231="","",K231+L231+M231)</f>
        <v>0</v>
      </c>
      <c r="O231" s="365" t="str">
        <f>IF($G231="","",IFERROR(VLOOKUP($D231&amp;"|"&amp;$E231,科目表!$A$5:$B$200,2,FALSE),"※未登録"))</f>
        <v>事務用消耗品費</v>
      </c>
      <c r="P231" s="359">
        <f>IF(OR($G231="",$C231=""),"",IF($B231="決算整理",13,MOD(MONTH($C231)-4,12)+1))</f>
        <v>5</v>
      </c>
      <c r="Q231" s="366" t="str">
        <f>IF($G231="","",TRIM(IF(J231+K231+L231+M231&lt;&gt;$G231,"按分不一致 ","")&amp;IF(O231="※未登録","科目未登録 ","")&amp;IF(OR($H231="",ISERROR(MATCH($H231,{1,2,3,4,5,6,7,8},0))),"経費区分? ","")&amp;IF($I231="","状態未設定 ","")&amp;IF(AND(OR($I231="確認済",$I231="未確認"),$B231="月例",OR($C231="",$C231&lt;DATE(年度+2018,4,1),$C231&gt;DATE(年度+2019,3,31))),"年度外の日付 ","")&amp;IF(AND(OR($I231="確認済",$I231="未確認"),O231="対象外"),"対象外の科目 ","")))</f>
        <v/>
      </c>
      <c r="R231" s="366" t="inlineStr">
        <is>
          <t>月例!239</t>
        </is>
      </c>
    </row>
    <row r="232">
      <c r="A232" s="359" t="n">
        <v>228</v>
      </c>
      <c r="B232" s="360" t="inlineStr">
        <is>
          <t>月例</t>
        </is>
      </c>
      <c r="C232" s="361" t="n">
        <v>44439</v>
      </c>
      <c r="D232" s="362" t="inlineStr">
        <is>
          <t>委託費</t>
        </is>
      </c>
      <c r="E232" s="362" t="n"/>
      <c r="F232" s="362" t="inlineStr">
        <is>
          <t>短期給付個人番号管理システム端末保守サービス（７月分）</t>
        </is>
      </c>
      <c r="G232" s="363" t="n">
        <v>385</v>
      </c>
      <c r="H232" s="360" t="n">
        <v>2</v>
      </c>
      <c r="I232" s="360" t="inlineStr">
        <is>
          <t>昨年実績</t>
        </is>
      </c>
      <c r="J232" s="364">
        <f>IF($G232="","",IF($H232=1,$G232-ROUND($G232*10/23,0)-2*ROUND($G232/23,0),IF($H232=2,$G232,0)))</f>
        <v>385</v>
      </c>
      <c r="K232" s="364">
        <f>IF($G232="","",IF($H232=1,ROUND($G232*10/23,0),IF($H232=3,$G232-2*ROUND($G232/12,0),IF($H232=4,$G232,IF(OR($H232=5,$H232=7),ROUND($G232*10/11,0),0)))))</f>
        <v>0</v>
      </c>
      <c r="L232" s="364">
        <f>IF($G232="","",IF($H232=1,ROUND($G232/23,0),IF($H232=3,ROUND($G232/12,0),IF($H232=5,$G232-ROUND($G232*10/11,0),IF($H232=8,$G232,0)))))</f>
        <v>0</v>
      </c>
      <c r="M232" s="364">
        <f>IF($G232="","",IF($H232=1,ROUND($G232/23,0),IF($H232=3,ROUND($G232/12,0),IF($H232=6,$G232,IF($H232=7,$G232-ROUND($G232*10/11,0),0)))))</f>
        <v>0</v>
      </c>
      <c r="N232" s="364">
        <f>IF($G232="","",K232+L232+M232)</f>
        <v>0</v>
      </c>
      <c r="O232" s="365" t="str">
        <f>IF($G232="","",IFERROR(VLOOKUP($D232&amp;"|"&amp;$E232,科目表!$A$5:$B$200,2,FALSE),"※未登録"))</f>
        <v>委託費</v>
      </c>
      <c r="P232" s="359">
        <f>IF(OR($G232="",$C232=""),"",IF($B232="決算整理",13,MOD(MONTH($C232)-4,12)+1))</f>
        <v>5</v>
      </c>
      <c r="Q232" s="366" t="str">
        <f>IF($G232="","",TRIM(IF(J232+K232+L232+M232&lt;&gt;$G232,"按分不一致 ","")&amp;IF(O232="※未登録","科目未登録 ","")&amp;IF(OR($H232="",ISERROR(MATCH($H232,{1,2,3,4,5,6,7,8},0))),"経費区分? ","")&amp;IF($I232="","状態未設定 ","")&amp;IF(AND(OR($I232="確認済",$I232="未確認"),$B232="月例",OR($C232="",$C232&lt;DATE(年度+2018,4,1),$C232&gt;DATE(年度+2019,3,31))),"年度外の日付 ","")&amp;IF(AND(OR($I232="確認済",$I232="未確認"),O232="対象外"),"対象外の科目 ","")))</f>
        <v/>
      </c>
      <c r="R232" s="366" t="inlineStr">
        <is>
          <t>月例!240</t>
        </is>
      </c>
    </row>
    <row r="233">
      <c r="A233" s="359" t="n">
        <v>229</v>
      </c>
      <c r="B233" s="360" t="inlineStr">
        <is>
          <t>月例</t>
        </is>
      </c>
      <c r="C233" s="361" t="n">
        <v>44804</v>
      </c>
      <c r="D233" s="362" t="inlineStr">
        <is>
          <t>器具及び備品</t>
        </is>
      </c>
      <c r="E233" s="362" t="n"/>
      <c r="F233" s="362" t="inlineStr">
        <is>
          <t>基幹システム用カードプリンタ（SIGMA DS3/両面/125枚ホッパー　1個　ほか）</t>
        </is>
      </c>
      <c r="G233" s="363" t="n">
        <v>723140</v>
      </c>
      <c r="H233" s="360" t="n">
        <v>2</v>
      </c>
      <c r="I233" s="360" t="inlineStr">
        <is>
          <t>昨年実績</t>
        </is>
      </c>
      <c r="J233" s="364">
        <f>IF($G233="","",IF($H233=1,$G233-ROUND($G233*10/23,0)-2*ROUND($G233/23,0),IF($H233=2,$G233,0)))</f>
        <v>723140</v>
      </c>
      <c r="K233" s="364">
        <f>IF($G233="","",IF($H233=1,ROUND($G233*10/23,0),IF($H233=3,$G233-2*ROUND($G233/12,0),IF($H233=4,$G233,IF(OR($H233=5,$H233=7),ROUND($G233*10/11,0),0)))))</f>
        <v>0</v>
      </c>
      <c r="L233" s="364">
        <f>IF($G233="","",IF($H233=1,ROUND($G233/23,0),IF($H233=3,ROUND($G233/12,0),IF($H233=5,$G233-ROUND($G233*10/11,0),IF($H233=8,$G233,0)))))</f>
        <v>0</v>
      </c>
      <c r="M233" s="364">
        <f>IF($G233="","",IF($H233=1,ROUND($G233/23,0),IF($H233=3,ROUND($G233/12,0),IF($H233=6,$G233,IF($H233=7,$G233-ROUND($G233*10/11,0),0)))))</f>
        <v>0</v>
      </c>
      <c r="N233" s="364">
        <f>IF($G233="","",K233+L233+M233)</f>
        <v>0</v>
      </c>
      <c r="O233" s="365" t="str">
        <f>IF($G233="","",IFERROR(VLOOKUP($D233&amp;"|"&amp;$E233,科目表!$A$5:$B$200,2,FALSE),"※未登録"))</f>
        <v>対象外</v>
      </c>
      <c r="P233" s="359">
        <f>IF(OR($G233="",$C233=""),"",IF($B233="決算整理",13,MOD(MONTH($C233)-4,12)+1))</f>
        <v>5</v>
      </c>
      <c r="Q233" s="366" t="str">
        <f>IF($G233="","",TRIM(IF(J233+K233+L233+M233&lt;&gt;$G233,"按分不一致 ","")&amp;IF(O233="※未登録","科目未登録 ","")&amp;IF(OR($H233="",ISERROR(MATCH($H233,{1,2,3,4,5,6,7,8},0))),"経費区分? ","")&amp;IF($I233="","状態未設定 ","")&amp;IF(AND(OR($I233="確認済",$I233="未確認"),$B233="月例",OR($C233="",$C233&lt;DATE(年度+2018,4,1),$C233&gt;DATE(年度+2019,3,31))),"年度外の日付 ","")&amp;IF(AND(OR($I233="確認済",$I233="未確認"),O233="対象外"),"対象外の科目 ","")))</f>
        <v/>
      </c>
      <c r="R233" s="366" t="inlineStr">
        <is>
          <t>月例!241</t>
        </is>
      </c>
    </row>
    <row r="234">
      <c r="A234" s="359" t="n">
        <v>230</v>
      </c>
      <c r="B234" s="360" t="inlineStr">
        <is>
          <t>月例</t>
        </is>
      </c>
      <c r="C234" s="361" t="n">
        <v>46262</v>
      </c>
      <c r="D234" s="362" t="inlineStr">
        <is>
          <t>厚生費</t>
        </is>
      </c>
      <c r="E234" s="362" t="inlineStr">
        <is>
          <t>健康診断費</t>
        </is>
      </c>
      <c r="F234" s="362" t="inlineStr">
        <is>
          <t>情報機器作業従事員健康診断（佐々木）</t>
        </is>
      </c>
      <c r="G234" s="363" t="n">
        <v>1980</v>
      </c>
      <c r="H234" s="360" t="n">
        <v>3</v>
      </c>
      <c r="I234" s="360" t="inlineStr">
        <is>
          <t>確認済</t>
        </is>
      </c>
      <c r="J234" s="364">
        <f>IF($G234="","",IF($H234=1,$G234-ROUND($G234*10/23,0)-2*ROUND($G234/23,0),IF($H234=2,$G234,0)))</f>
        <v>0</v>
      </c>
      <c r="K234" s="364">
        <f>IF($G234="","",IF($H234=1,ROUND($G234*10/23,0),IF($H234=3,$G234-2*ROUND($G234/12,0),IF($H234=4,$G234,IF(OR($H234=5,$H234=7),ROUND($G234*10/11,0),0)))))</f>
        <v>1650</v>
      </c>
      <c r="L234" s="364">
        <f>IF($G234="","",IF($H234=1,ROUND($G234/23,0),IF($H234=3,ROUND($G234/12,0),IF($H234=5,$G234-ROUND($G234*10/11,0),IF($H234=8,$G234,0)))))</f>
        <v>165</v>
      </c>
      <c r="M234" s="364">
        <f>IF($G234="","",IF($H234=1,ROUND($G234/23,0),IF($H234=3,ROUND($G234/12,0),IF($H234=6,$G234,IF($H234=7,$G234-ROUND($G234*10/11,0),0)))))</f>
        <v>165</v>
      </c>
      <c r="N234" s="364">
        <f>IF($G234="","",K234+L234+M234)</f>
        <v>1980</v>
      </c>
      <c r="O234" s="365" t="str">
        <f>IF($G234="","",IFERROR(VLOOKUP($D234&amp;"|"&amp;$E234,科目表!$A$5:$B$200,2,FALSE),"※未登録"))</f>
        <v>厚生費</v>
      </c>
      <c r="P234" s="359">
        <f>IF(OR($G234="",$C234=""),"",IF($B234="決算整理",13,MOD(MONTH($C234)-4,12)+1))</f>
        <v>5</v>
      </c>
      <c r="Q234" s="366" t="str">
        <f>IF($G234="","",TRIM(IF(J234+K234+L234+M234&lt;&gt;$G234,"按分不一致 ","")&amp;IF(O234="※未登録","科目未登録 ","")&amp;IF(OR($H234="",ISERROR(MATCH($H234,{1,2,3,4,5,6,7,8},0))),"経費区分? ","")&amp;IF($I234="","状態未設定 ","")&amp;IF(AND(OR($I234="確認済",$I234="未確認"),$B234="月例",OR($C234="",$C234&lt;DATE(年度+2018,4,1),$C234&gt;DATE(年度+2019,3,31))),"年度外の日付 ","")&amp;IF(AND(OR($I234="確認済",$I234="未確認"),O234="対象外"),"対象外の科目 ","")))</f>
        <v/>
      </c>
      <c r="R234" s="366" t="inlineStr">
        <is>
          <t>月例!242</t>
        </is>
      </c>
    </row>
    <row r="235">
      <c r="A235" s="359" t="n">
        <v>231</v>
      </c>
      <c r="B235" s="360" t="inlineStr">
        <is>
          <t>月例</t>
        </is>
      </c>
      <c r="C235" s="361" t="n">
        <v>45884</v>
      </c>
      <c r="D235" s="362" t="inlineStr">
        <is>
          <t>厚生費</t>
        </is>
      </c>
      <c r="E235" s="362" t="inlineStr">
        <is>
          <t>健康診断費</t>
        </is>
      </c>
      <c r="F235" s="362" t="inlineStr">
        <is>
          <t>定期健康診断等（天畠、高橋）</t>
        </is>
      </c>
      <c r="G235" s="363" t="n">
        <v>5742</v>
      </c>
      <c r="H235" s="360" t="n">
        <v>2</v>
      </c>
      <c r="I235" s="360" t="inlineStr">
        <is>
          <t>昨年実績</t>
        </is>
      </c>
      <c r="J235" s="364">
        <f>IF($G235="","",IF($H235=1,$G235-ROUND($G235*10/23,0)-2*ROUND($G235/23,0),IF($H235=2,$G235,0)))</f>
        <v>5742</v>
      </c>
      <c r="K235" s="364">
        <f>IF($G235="","",IF($H235=1,ROUND($G235*10/23,0),IF($H235=3,$G235-2*ROUND($G235/12,0),IF($H235=4,$G235,IF(OR($H235=5,$H235=7),ROUND($G235*10/11,0),0)))))</f>
        <v>0</v>
      </c>
      <c r="L235" s="364">
        <f>IF($G235="","",IF($H235=1,ROUND($G235/23,0),IF($H235=3,ROUND($G235/12,0),IF($H235=5,$G235-ROUND($G235*10/11,0),IF($H235=8,$G235,0)))))</f>
        <v>0</v>
      </c>
      <c r="M235" s="364">
        <f>IF($G235="","",IF($H235=1,ROUND($G235/23,0),IF($H235=3,ROUND($G235/12,0),IF($H235=6,$G235,IF($H235=7,$G235-ROUND($G235*10/11,0),0)))))</f>
        <v>0</v>
      </c>
      <c r="N235" s="364">
        <f>IF($G235="","",K235+L235+M235)</f>
        <v>0</v>
      </c>
      <c r="O235" s="365" t="str">
        <f>IF($G235="","",IFERROR(VLOOKUP($D235&amp;"|"&amp;$E235,科目表!$A$5:$B$200,2,FALSE),"※未登録"))</f>
        <v>厚生費</v>
      </c>
      <c r="P235" s="359">
        <f>IF(OR($G235="",$C235=""),"",IF($B235="決算整理",13,MOD(MONTH($C235)-4,12)+1))</f>
        <v>5</v>
      </c>
      <c r="Q235" s="366" t="str">
        <f>IF($G235="","",TRIM(IF(J235+K235+L235+M235&lt;&gt;$G235,"按分不一致 ","")&amp;IF(O235="※未登録","科目未登録 ","")&amp;IF(OR($H235="",ISERROR(MATCH($H235,{1,2,3,4,5,6,7,8},0))),"経費区分? ","")&amp;IF($I235="","状態未設定 ","")&amp;IF(AND(OR($I235="確認済",$I235="未確認"),$B235="月例",OR($C235="",$C235&lt;DATE(年度+2018,4,1),$C235&gt;DATE(年度+2019,3,31))),"年度外の日付 ","")&amp;IF(AND(OR($I235="確認済",$I235="未確認"),O235="対象外"),"対象外の科目 ","")))</f>
        <v/>
      </c>
      <c r="R235" s="366" t="inlineStr">
        <is>
          <t>月例!243</t>
        </is>
      </c>
    </row>
    <row r="236">
      <c r="A236" s="359" t="n">
        <v>232</v>
      </c>
      <c r="B236" s="360" t="inlineStr">
        <is>
          <t>月例</t>
        </is>
      </c>
      <c r="C236" s="361" t="n">
        <v>46265</v>
      </c>
      <c r="D236" s="362" t="inlineStr">
        <is>
          <t>事務費</t>
        </is>
      </c>
      <c r="E236" s="362" t="inlineStr">
        <is>
          <t>事務用消耗品費</t>
        </is>
      </c>
      <c r="F236" s="362" t="inlineStr">
        <is>
          <t>レールホルダー　Ｄ１０１Ｊ―ＢＬ　１パック　他４点</t>
        </is>
      </c>
      <c r="G236" s="363" t="n">
        <v>12824</v>
      </c>
      <c r="H236" s="360" t="n">
        <v>2</v>
      </c>
      <c r="I236" s="360" t="inlineStr">
        <is>
          <t>確認済</t>
        </is>
      </c>
      <c r="J236" s="364">
        <f>IF($G236="","",IF($H236=1,$G236-ROUND($G236*10/23,0)-2*ROUND($G236/23,0),IF($H236=2,$G236,0)))</f>
        <v>12824</v>
      </c>
      <c r="K236" s="364">
        <f>IF($G236="","",IF($H236=1,ROUND($G236*10/23,0),IF($H236=3,$G236-2*ROUND($G236/12,0),IF($H236=4,$G236,IF(OR($H236=5,$H236=7),ROUND($G236*10/11,0),0)))))</f>
        <v>0</v>
      </c>
      <c r="L236" s="364">
        <f>IF($G236="","",IF($H236=1,ROUND($G236/23,0),IF($H236=3,ROUND($G236/12,0),IF($H236=5,$G236-ROUND($G236*10/11,0),IF($H236=8,$G236,0)))))</f>
        <v>0</v>
      </c>
      <c r="M236" s="364">
        <f>IF($G236="","",IF($H236=1,ROUND($G236/23,0),IF($H236=3,ROUND($G236/12,0),IF($H236=6,$G236,IF($H236=7,$G236-ROUND($G236*10/11,0),0)))))</f>
        <v>0</v>
      </c>
      <c r="N236" s="364">
        <f>IF($G236="","",K236+L236+M236)</f>
        <v>0</v>
      </c>
      <c r="O236" s="365" t="str">
        <f>IF($G236="","",IFERROR(VLOOKUP($D236&amp;"|"&amp;$E236,科目表!$A$5:$B$200,2,FALSE),"※未登録"))</f>
        <v>事務用消耗品費</v>
      </c>
      <c r="P236" s="359">
        <f>IF(OR($G236="",$C236=""),"",IF($B236="決算整理",13,MOD(MONTH($C236)-4,12)+1))</f>
        <v>5</v>
      </c>
      <c r="Q236" s="366" t="str">
        <f>IF($G236="","",TRIM(IF(J236+K236+L236+M236&lt;&gt;$G236,"按分不一致 ","")&amp;IF(O236="※未登録","科目未登録 ","")&amp;IF(OR($H236="",ISERROR(MATCH($H236,{1,2,3,4,5,6,7,8},0))),"経費区分? ","")&amp;IF($I236="","状態未設定 ","")&amp;IF(AND(OR($I236="確認済",$I236="未確認"),$B236="月例",OR($C236="",$C236&lt;DATE(年度+2018,4,1),$C236&gt;DATE(年度+2019,3,31))),"年度外の日付 ","")&amp;IF(AND(OR($I236="確認済",$I236="未確認"),O236="対象外"),"対象外の科目 ","")))</f>
        <v/>
      </c>
      <c r="R236" s="366" t="inlineStr">
        <is>
          <t>月例!244</t>
        </is>
      </c>
    </row>
    <row r="237">
      <c r="A237" s="359" t="n">
        <v>233</v>
      </c>
      <c r="B237" s="360" t="inlineStr">
        <is>
          <t>月例</t>
        </is>
      </c>
      <c r="C237" s="361" t="n">
        <v>46272</v>
      </c>
      <c r="D237" s="362" t="inlineStr">
        <is>
          <t>事務費負担金払込金</t>
        </is>
      </c>
      <c r="E237" s="362" t="n"/>
      <c r="F237" s="362" t="inlineStr">
        <is>
          <t>８月分事務費負担金払込金相殺及び連合会へ払込</t>
        </is>
      </c>
      <c r="G237" s="363" t="n">
        <v>5366000</v>
      </c>
      <c r="H237" s="360" t="n">
        <v>5</v>
      </c>
      <c r="I237" s="360" t="inlineStr">
        <is>
          <t>確認済</t>
        </is>
      </c>
      <c r="J237" s="364">
        <f>IF($G237="","",IF($H237=1,$G237-ROUND($G237*10/23,0)-2*ROUND($G237/23,0),IF($H237=2,$G237,0)))</f>
        <v>0</v>
      </c>
      <c r="K237" s="364">
        <f>IF($G237="","",IF($H237=1,ROUND($G237*10/23,0),IF($H237=3,$G237-2*ROUND($G237/12,0),IF($H237=4,$G237,IF(OR($H237=5,$H237=7),ROUND($G237*10/11,0),0)))))</f>
        <v>4878182</v>
      </c>
      <c r="L237" s="364">
        <f>IF($G237="","",IF($H237=1,ROUND($G237/23,0),IF($H237=3,ROUND($G237/12,0),IF($H237=5,$G237-ROUND($G237*10/11,0),IF($H237=8,$G237,0)))))</f>
        <v>487818</v>
      </c>
      <c r="M237" s="364">
        <f>IF($G237="","",IF($H237=1,ROUND($G237/23,0),IF($H237=3,ROUND($G237/12,0),IF($H237=6,$G237,IF($H237=7,$G237-ROUND($G237*10/11,0),0)))))</f>
        <v>0</v>
      </c>
      <c r="N237" s="364">
        <f>IF($G237="","",K237+L237+M237)</f>
        <v>5366000</v>
      </c>
      <c r="O237" s="365" t="str">
        <f>IF($G237="","",IFERROR(VLOOKUP($D237&amp;"|"&amp;$E237,科目表!$A$5:$B$200,2,FALSE),"※未登録"))</f>
        <v>事務費負担金払込金</v>
      </c>
      <c r="P237" s="359">
        <f>IF(OR($G237="",$C237=""),"",IF($B237="決算整理",13,MOD(MONTH($C237)-4,12)+1))</f>
        <v>6</v>
      </c>
      <c r="Q237" s="366" t="str">
        <f>IF($G237="","",TRIM(IF(J237+K237+L237+M237&lt;&gt;$G237,"按分不一致 ","")&amp;IF(O237="※未登録","科目未登録 ","")&amp;IF(OR($H237="",ISERROR(MATCH($H237,{1,2,3,4,5,6,7,8},0))),"経費区分? ","")&amp;IF($I237="","状態未設定 ","")&amp;IF(AND(OR($I237="確認済",$I237="未確認"),$B237="月例",OR($C237="",$C237&lt;DATE(年度+2018,4,1),$C237&gt;DATE(年度+2019,3,31))),"年度外の日付 ","")&amp;IF(AND(OR($I237="確認済",$I237="未確認"),O237="対象外"),"対象外の科目 ","")))</f>
        <v/>
      </c>
      <c r="R237" s="366" t="inlineStr">
        <is>
          <t>月例!245</t>
        </is>
      </c>
    </row>
    <row r="238">
      <c r="A238" s="359" t="n">
        <v>234</v>
      </c>
      <c r="B238" s="360" t="inlineStr">
        <is>
          <t>月例</t>
        </is>
      </c>
      <c r="C238" s="361" t="n">
        <v>43350</v>
      </c>
      <c r="D238" s="362" t="inlineStr">
        <is>
          <t>旅費</t>
        </is>
      </c>
      <c r="E238" s="362" t="n"/>
      <c r="F238" s="362" t="inlineStr">
        <is>
          <t>（大都市）互選役員協議会　福岡市　塩見理事返還金</t>
        </is>
      </c>
      <c r="G238" s="363" t="n">
        <v>-15700</v>
      </c>
      <c r="H238" s="360" t="n">
        <v>1</v>
      </c>
      <c r="I238" s="360" t="inlineStr">
        <is>
          <t>昨年実績</t>
        </is>
      </c>
      <c r="J238" s="364">
        <f>IF($G238="","",IF($H238=1,$G238-ROUND($G238*10/23,0)-2*ROUND($G238/23,0),IF($H238=2,$G238,0)))</f>
        <v>-7508</v>
      </c>
      <c r="K238" s="364">
        <f>IF($G238="","",IF($H238=1,ROUND($G238*10/23,0),IF($H238=3,$G238-2*ROUND($G238/12,0),IF($H238=4,$G238,IF(OR($H238=5,$H238=7),ROUND($G238*10/11,0),0)))))</f>
        <v>-6826</v>
      </c>
      <c r="L238" s="364">
        <f>IF($G238="","",IF($H238=1,ROUND($G238/23,0),IF($H238=3,ROUND($G238/12,0),IF($H238=5,$G238-ROUND($G238*10/11,0),IF($H238=8,$G238,0)))))</f>
        <v>-683</v>
      </c>
      <c r="M238" s="364">
        <f>IF($G238="","",IF($H238=1,ROUND($G238/23,0),IF($H238=3,ROUND($G238/12,0),IF($H238=6,$G238,IF($H238=7,$G238-ROUND($G238*10/11,0),0)))))</f>
        <v>-683</v>
      </c>
      <c r="N238" s="364">
        <f>IF($G238="","",K238+L238+M238)</f>
        <v>-8192</v>
      </c>
      <c r="O238" s="365" t="str">
        <f>IF($G238="","",IFERROR(VLOOKUP($D238&amp;"|"&amp;$E238,科目表!$A$5:$B$200,2,FALSE),"※未登録"))</f>
        <v>旅費</v>
      </c>
      <c r="P238" s="359">
        <f>IF(OR($G238="",$C238=""),"",IF($B238="決算整理",13,MOD(MONTH($C238)-4,12)+1))</f>
        <v>6</v>
      </c>
      <c r="Q238" s="366" t="str">
        <f>IF($G238="","",TRIM(IF(J238+K238+L238+M238&lt;&gt;$G238,"按分不一致 ","")&amp;IF(O238="※未登録","科目未登録 ","")&amp;IF(OR($H238="",ISERROR(MATCH($H238,{1,2,3,4,5,6,7,8},0))),"経費区分? ","")&amp;IF($I238="","状態未設定 ","")&amp;IF(AND(OR($I238="確認済",$I238="未確認"),$B238="月例",OR($C238="",$C238&lt;DATE(年度+2018,4,1),$C238&gt;DATE(年度+2019,3,31))),"年度外の日付 ","")&amp;IF(AND(OR($I238="確認済",$I238="未確認"),O238="対象外"),"対象外の科目 ","")))</f>
        <v/>
      </c>
      <c r="R238" s="366" t="inlineStr">
        <is>
          <t>月例!246</t>
        </is>
      </c>
    </row>
    <row r="239">
      <c r="A239" s="359" t="n">
        <v>235</v>
      </c>
      <c r="B239" s="360" t="inlineStr">
        <is>
          <t>月例</t>
        </is>
      </c>
      <c r="C239" s="361" t="n">
        <v>46275</v>
      </c>
      <c r="D239" s="362" t="inlineStr">
        <is>
          <t>事務費</t>
        </is>
      </c>
      <c r="E239" s="362" t="inlineStr">
        <is>
          <t>送金料</t>
        </is>
      </c>
      <c r="F239" s="362" t="inlineStr">
        <is>
          <t>振込手数料（広銀）８月分　長期分</t>
        </is>
      </c>
      <c r="G239" s="363" t="n">
        <v>14984</v>
      </c>
      <c r="H239" s="360" t="n">
        <v>3</v>
      </c>
      <c r="I239" s="360" t="inlineStr">
        <is>
          <t>確認済</t>
        </is>
      </c>
      <c r="J239" s="364">
        <f>IF($G239="","",IF($H239=1,$G239-ROUND($G239*10/23,0)-2*ROUND($G239/23,0),IF($H239=2,$G239,0)))</f>
        <v>0</v>
      </c>
      <c r="K239" s="364">
        <f>IF($G239="","",IF($H239=1,ROUND($G239*10/23,0),IF($H239=3,$G239-2*ROUND($G239/12,0),IF($H239=4,$G239,IF(OR($H239=5,$H239=7),ROUND($G239*10/11,0),0)))))</f>
        <v>12486</v>
      </c>
      <c r="L239" s="364">
        <f>IF($G239="","",IF($H239=1,ROUND($G239/23,0),IF($H239=3,ROUND($G239/12,0),IF($H239=5,$G239-ROUND($G239*10/11,0),IF($H239=8,$G239,0)))))</f>
        <v>1249</v>
      </c>
      <c r="M239" s="364">
        <f>IF($G239="","",IF($H239=1,ROUND($G239/23,0),IF($H239=3,ROUND($G239/12,0),IF($H239=6,$G239,IF($H239=7,$G239-ROUND($G239*10/11,0),0)))))</f>
        <v>1249</v>
      </c>
      <c r="N239" s="364">
        <f>IF($G239="","",K239+L239+M239)</f>
        <v>14984</v>
      </c>
      <c r="O239" s="365" t="str">
        <f>IF($G239="","",IFERROR(VLOOKUP($D239&amp;"|"&amp;$E239,科目表!$A$5:$B$200,2,FALSE),"※未登録"))</f>
        <v>送金料</v>
      </c>
      <c r="P239" s="359">
        <f>IF(OR($G239="",$C239=""),"",IF($B239="決算整理",13,MOD(MONTH($C239)-4,12)+1))</f>
        <v>6</v>
      </c>
      <c r="Q239" s="366" t="str">
        <f>IF($G239="","",TRIM(IF(J239+K239+L239+M239&lt;&gt;$G239,"按分不一致 ","")&amp;IF(O239="※未登録","科目未登録 ","")&amp;IF(OR($H239="",ISERROR(MATCH($H239,{1,2,3,4,5,6,7,8},0))),"経費区分? ","")&amp;IF($I239="","状態未設定 ","")&amp;IF(AND(OR($I239="確認済",$I239="未確認"),$B239="月例",OR($C239="",$C239&lt;DATE(年度+2018,4,1),$C239&gt;DATE(年度+2019,3,31))),"年度外の日付 ","")&amp;IF(AND(OR($I239="確認済",$I239="未確認"),O239="対象外"),"対象外の科目 ","")))</f>
        <v/>
      </c>
      <c r="R239" s="366" t="inlineStr">
        <is>
          <t>月例!247</t>
        </is>
      </c>
    </row>
    <row r="240">
      <c r="A240" s="359" t="n">
        <v>236</v>
      </c>
      <c r="B240" s="360" t="inlineStr">
        <is>
          <t>月例</t>
        </is>
      </c>
      <c r="C240" s="361" t="n">
        <v>46275</v>
      </c>
      <c r="D240" s="362" t="inlineStr">
        <is>
          <t>事務費</t>
        </is>
      </c>
      <c r="E240" s="362" t="inlineStr">
        <is>
          <t>送金料</t>
        </is>
      </c>
      <c r="F240" s="362" t="inlineStr">
        <is>
          <t>振込手数料（広銀）８月分　短期分</t>
        </is>
      </c>
      <c r="G240" s="363" t="n">
        <v>145326</v>
      </c>
      <c r="H240" s="360" t="n">
        <v>2</v>
      </c>
      <c r="I240" s="360" t="inlineStr">
        <is>
          <t>確認済</t>
        </is>
      </c>
      <c r="J240" s="364">
        <f>IF($G240="","",IF($H240=1,$G240-ROUND($G240*10/23,0)-2*ROUND($G240/23,0),IF($H240=2,$G240,0)))</f>
        <v>145326</v>
      </c>
      <c r="K240" s="364">
        <f>IF($G240="","",IF($H240=1,ROUND($G240*10/23,0),IF($H240=3,$G240-2*ROUND($G240/12,0),IF($H240=4,$G240,IF(OR($H240=5,$H240=7),ROUND($G240*10/11,0),0)))))</f>
        <v>0</v>
      </c>
      <c r="L240" s="364">
        <f>IF($G240="","",IF($H240=1,ROUND($G240/23,0),IF($H240=3,ROUND($G240/12,0),IF($H240=5,$G240-ROUND($G240*10/11,0),IF($H240=8,$G240,0)))))</f>
        <v>0</v>
      </c>
      <c r="M240" s="364">
        <f>IF($G240="","",IF($H240=1,ROUND($G240/23,0),IF($H240=3,ROUND($G240/12,0),IF($H240=6,$G240,IF($H240=7,$G240-ROUND($G240*10/11,0),0)))))</f>
        <v>0</v>
      </c>
      <c r="N240" s="364">
        <f>IF($G240="","",K240+L240+M240)</f>
        <v>0</v>
      </c>
      <c r="O240" s="365" t="str">
        <f>IF($G240="","",IFERROR(VLOOKUP($D240&amp;"|"&amp;$E240,科目表!$A$5:$B$200,2,FALSE),"※未登録"))</f>
        <v>送金料</v>
      </c>
      <c r="P240" s="359">
        <f>IF(OR($G240="",$C240=""),"",IF($B240="決算整理",13,MOD(MONTH($C240)-4,12)+1))</f>
        <v>6</v>
      </c>
      <c r="Q240" s="366" t="str">
        <f>IF($G240="","",TRIM(IF(J240+K240+L240+M240&lt;&gt;$G240,"按分不一致 ","")&amp;IF(O240="※未登録","科目未登録 ","")&amp;IF(OR($H240="",ISERROR(MATCH($H240,{1,2,3,4,5,6,7,8},0))),"経費区分? ","")&amp;IF($I240="","状態未設定 ","")&amp;IF(AND(OR($I240="確認済",$I240="未確認"),$B240="月例",OR($C240="",$C240&lt;DATE(年度+2018,4,1),$C240&gt;DATE(年度+2019,3,31))),"年度外の日付 ","")&amp;IF(AND(OR($I240="確認済",$I240="未確認"),O240="対象外"),"対象外の科目 ","")))</f>
        <v/>
      </c>
      <c r="R240" s="366" t="inlineStr">
        <is>
          <t>月例!248</t>
        </is>
      </c>
    </row>
    <row r="241">
      <c r="A241" s="359" t="n">
        <v>237</v>
      </c>
      <c r="B241" s="360" t="inlineStr">
        <is>
          <t>月例</t>
        </is>
      </c>
      <c r="C241" s="361" t="n">
        <v>46280</v>
      </c>
      <c r="D241" s="362" t="inlineStr">
        <is>
          <t>事務費</t>
        </is>
      </c>
      <c r="E241" s="362" t="inlineStr">
        <is>
          <t>図書印刷費</t>
        </is>
      </c>
      <c r="F241" s="362" t="inlineStr">
        <is>
          <t>Ａ４用窓付封筒（２２０×３１０）のり付　７，０００枚　他１点</t>
        </is>
      </c>
      <c r="G241" s="363" t="n">
        <v>221540</v>
      </c>
      <c r="H241" s="360" t="n">
        <v>3</v>
      </c>
      <c r="I241" s="360" t="inlineStr">
        <is>
          <t>確認済</t>
        </is>
      </c>
      <c r="J241" s="364">
        <f>IF($G241="","",IF($H241=1,$G241-ROUND($G241*10/23,0)-2*ROUND($G241/23,0),IF($H241=2,$G241,0)))</f>
        <v>0</v>
      </c>
      <c r="K241" s="364">
        <f>IF($G241="","",IF($H241=1,ROUND($G241*10/23,0),IF($H241=3,$G241-2*ROUND($G241/12,0),IF($H241=4,$G241,IF(OR($H241=5,$H241=7),ROUND($G241*10/11,0),0)))))</f>
        <v>184616</v>
      </c>
      <c r="L241" s="364">
        <f>IF($G241="","",IF($H241=1,ROUND($G241/23,0),IF($H241=3,ROUND($G241/12,0),IF($H241=5,$G241-ROUND($G241*10/11,0),IF($H241=8,$G241,0)))))</f>
        <v>18462</v>
      </c>
      <c r="M241" s="364">
        <f>IF($G241="","",IF($H241=1,ROUND($G241/23,0),IF($H241=3,ROUND($G241/12,0),IF($H241=6,$G241,IF($H241=7,$G241-ROUND($G241*10/11,0),0)))))</f>
        <v>18462</v>
      </c>
      <c r="N241" s="364">
        <f>IF($G241="","",K241+L241+M241)</f>
        <v>221540</v>
      </c>
      <c r="O241" s="365" t="str">
        <f>IF($G241="","",IFERROR(VLOOKUP($D241&amp;"|"&amp;$E241,科目表!$A$5:$B$200,2,FALSE),"※未登録"))</f>
        <v>図書印刷費</v>
      </c>
      <c r="P241" s="359">
        <f>IF(OR($G241="",$C241=""),"",IF($B241="決算整理",13,MOD(MONTH($C241)-4,12)+1))</f>
        <v>6</v>
      </c>
      <c r="Q241" s="366" t="str">
        <f>IF($G241="","",TRIM(IF(J241+K241+L241+M241&lt;&gt;$G241,"按分不一致 ","")&amp;IF(O241="※未登録","科目未登録 ","")&amp;IF(OR($H241="",ISERROR(MATCH($H241,{1,2,3,4,5,6,7,8},0))),"経費区分? ","")&amp;IF($I241="","状態未設定 ","")&amp;IF(AND(OR($I241="確認済",$I241="未確認"),$B241="月例",OR($C241="",$C241&lt;DATE(年度+2018,4,1),$C241&gt;DATE(年度+2019,3,31))),"年度外の日付 ","")&amp;IF(AND(OR($I241="確認済",$I241="未確認"),O241="対象外"),"対象外の科目 ","")))</f>
        <v/>
      </c>
      <c r="R241" s="366" t="inlineStr">
        <is>
          <t>月例!249</t>
        </is>
      </c>
    </row>
    <row r="242">
      <c r="A242" s="359" t="n">
        <v>238</v>
      </c>
      <c r="B242" s="360" t="inlineStr">
        <is>
          <t>月例</t>
        </is>
      </c>
      <c r="C242" s="361" t="n">
        <v>46294</v>
      </c>
      <c r="D242" s="362" t="inlineStr">
        <is>
          <t>委託費</t>
        </is>
      </c>
      <c r="E242" s="362" t="n"/>
      <c r="F242" s="362" t="inlineStr">
        <is>
          <t>ねんきん定期便（８月分）送付業務</t>
        </is>
      </c>
      <c r="G242" s="363" t="n">
        <v>97989</v>
      </c>
      <c r="H242" s="360" t="n">
        <v>5</v>
      </c>
      <c r="I242" s="360" t="inlineStr">
        <is>
          <t>確認済</t>
        </is>
      </c>
      <c r="J242" s="364">
        <f>IF($G242="","",IF($H242=1,$G242-ROUND($G242*10/23,0)-2*ROUND($G242/23,0),IF($H242=2,$G242,0)))</f>
        <v>0</v>
      </c>
      <c r="K242" s="364">
        <f>IF($G242="","",IF($H242=1,ROUND($G242*10/23,0),IF($H242=3,$G242-2*ROUND($G242/12,0),IF($H242=4,$G242,IF(OR($H242=5,$H242=7),ROUND($G242*10/11,0),0)))))</f>
        <v>89081</v>
      </c>
      <c r="L242" s="364">
        <f>IF($G242="","",IF($H242=1,ROUND($G242/23,0),IF($H242=3,ROUND($G242/12,0),IF($H242=5,$G242-ROUND($G242*10/11,0),IF($H242=8,$G242,0)))))</f>
        <v>8908</v>
      </c>
      <c r="M242" s="364">
        <f>IF($G242="","",IF($H242=1,ROUND($G242/23,0),IF($H242=3,ROUND($G242/12,0),IF($H242=6,$G242,IF($H242=7,$G242-ROUND($G242*10/11,0),0)))))</f>
        <v>0</v>
      </c>
      <c r="N242" s="364">
        <f>IF($G242="","",K242+L242+M242)</f>
        <v>97989</v>
      </c>
      <c r="O242" s="365" t="str">
        <f>IF($G242="","",IFERROR(VLOOKUP($D242&amp;"|"&amp;$E242,科目表!$A$5:$B$200,2,FALSE),"※未登録"))</f>
        <v>委託費</v>
      </c>
      <c r="P242" s="359">
        <f>IF(OR($G242="",$C242=""),"",IF($B242="決算整理",13,MOD(MONTH($C242)-4,12)+1))</f>
        <v>6</v>
      </c>
      <c r="Q242" s="366" t="str">
        <f>IF($G242="","",TRIM(IF(J242+K242+L242+M242&lt;&gt;$G242,"按分不一致 ","")&amp;IF(O242="※未登録","科目未登録 ","")&amp;IF(OR($H242="",ISERROR(MATCH($H242,{1,2,3,4,5,6,7,8},0))),"経費区分? ","")&amp;IF($I242="","状態未設定 ","")&amp;IF(AND(OR($I242="確認済",$I242="未確認"),$B242="月例",OR($C242="",$C242&lt;DATE(年度+2018,4,1),$C242&gt;DATE(年度+2019,3,31))),"年度外の日付 ","")&amp;IF(AND(OR($I242="確認済",$I242="未確認"),O242="対象外"),"対象外の科目 ","")))</f>
        <v/>
      </c>
      <c r="R242" s="366" t="inlineStr">
        <is>
          <t>月例!250</t>
        </is>
      </c>
    </row>
    <row r="243">
      <c r="A243" s="359" t="n">
        <v>239</v>
      </c>
      <c r="B243" s="360" t="inlineStr">
        <is>
          <t>月例</t>
        </is>
      </c>
      <c r="C243" s="361" t="n">
        <v>45930</v>
      </c>
      <c r="D243" s="362" t="inlineStr">
        <is>
          <t>事務費</t>
        </is>
      </c>
      <c r="E243" s="362" t="inlineStr">
        <is>
          <t>事務用消耗品費</t>
        </is>
      </c>
      <c r="F243" s="362" t="inlineStr">
        <is>
          <t>受話器用カールコード　DC-J406/WH  ２個</t>
        </is>
      </c>
      <c r="G243" s="363" t="n">
        <v>1316</v>
      </c>
      <c r="H243" s="360" t="n">
        <v>2</v>
      </c>
      <c r="I243" s="360" t="inlineStr">
        <is>
          <t>昨年実績</t>
        </is>
      </c>
      <c r="J243" s="364">
        <f>IF($G243="","",IF($H243=1,$G243-ROUND($G243*10/23,0)-2*ROUND($G243/23,0),IF($H243=2,$G243,0)))</f>
        <v>1316</v>
      </c>
      <c r="K243" s="364">
        <f>IF($G243="","",IF($H243=1,ROUND($G243*10/23,0),IF($H243=3,$G243-2*ROUND($G243/12,0),IF($H243=4,$G243,IF(OR($H243=5,$H243=7),ROUND($G243*10/11,0),0)))))</f>
        <v>0</v>
      </c>
      <c r="L243" s="364">
        <f>IF($G243="","",IF($H243=1,ROUND($G243/23,0),IF($H243=3,ROUND($G243/12,0),IF($H243=5,$G243-ROUND($G243*10/11,0),IF($H243=8,$G243,0)))))</f>
        <v>0</v>
      </c>
      <c r="M243" s="364">
        <f>IF($G243="","",IF($H243=1,ROUND($G243/23,0),IF($H243=3,ROUND($G243/12,0),IF($H243=6,$G243,IF($H243=7,$G243-ROUND($G243*10/11,0),0)))))</f>
        <v>0</v>
      </c>
      <c r="N243" s="364">
        <f>IF($G243="","",K243+L243+M243)</f>
        <v>0</v>
      </c>
      <c r="O243" s="365" t="str">
        <f>IF($G243="","",IFERROR(VLOOKUP($D243&amp;"|"&amp;$E243,科目表!$A$5:$B$200,2,FALSE),"※未登録"))</f>
        <v>事務用消耗品費</v>
      </c>
      <c r="P243" s="359">
        <f>IF(OR($G243="",$C243=""),"",IF($B243="決算整理",13,MOD(MONTH($C243)-4,12)+1))</f>
        <v>6</v>
      </c>
      <c r="Q243" s="366" t="str">
        <f>IF($G243="","",TRIM(IF(J243+K243+L243+M243&lt;&gt;$G243,"按分不一致 ","")&amp;IF(O243="※未登録","科目未登録 ","")&amp;IF(OR($H243="",ISERROR(MATCH($H243,{1,2,3,4,5,6,7,8},0))),"経費区分? ","")&amp;IF($I243="","状態未設定 ","")&amp;IF(AND(OR($I243="確認済",$I243="未確認"),$B243="月例",OR($C243="",$C243&lt;DATE(年度+2018,4,1),$C243&gt;DATE(年度+2019,3,31))),"年度外の日付 ","")&amp;IF(AND(OR($I243="確認済",$I243="未確認"),O243="対象外"),"対象外の科目 ","")))</f>
        <v/>
      </c>
      <c r="R243" s="366" t="inlineStr">
        <is>
          <t>月例!251</t>
        </is>
      </c>
    </row>
    <row r="244">
      <c r="A244" s="359" t="n">
        <v>240</v>
      </c>
      <c r="B244" s="360" t="inlineStr">
        <is>
          <t>月例</t>
        </is>
      </c>
      <c r="C244" s="361" t="n">
        <v>44089</v>
      </c>
      <c r="D244" s="362" t="inlineStr">
        <is>
          <t>賃借料</t>
        </is>
      </c>
      <c r="E244" s="362" t="n"/>
      <c r="F244" s="362" t="inlineStr">
        <is>
          <t>パソコン（業務経理用）８月分</t>
        </is>
      </c>
      <c r="G244" s="363" t="n">
        <v>3132</v>
      </c>
      <c r="H244" s="360" t="n">
        <v>2</v>
      </c>
      <c r="I244" s="360" t="inlineStr">
        <is>
          <t>昨年実績</t>
        </is>
      </c>
      <c r="J244" s="364">
        <f>IF($G244="","",IF($H244=1,$G244-ROUND($G244*10/23,0)-2*ROUND($G244/23,0),IF($H244=2,$G244,0)))</f>
        <v>3132</v>
      </c>
      <c r="K244" s="364">
        <f>IF($G244="","",IF($H244=1,ROUND($G244*10/23,0),IF($H244=3,$G244-2*ROUND($G244/12,0),IF($H244=4,$G244,IF(OR($H244=5,$H244=7),ROUND($G244*10/11,0),0)))))</f>
        <v>0</v>
      </c>
      <c r="L244" s="364">
        <f>IF($G244="","",IF($H244=1,ROUND($G244/23,0),IF($H244=3,ROUND($G244/12,0),IF($H244=5,$G244-ROUND($G244*10/11,0),IF($H244=8,$G244,0)))))</f>
        <v>0</v>
      </c>
      <c r="M244" s="364">
        <f>IF($G244="","",IF($H244=1,ROUND($G244/23,0),IF($H244=3,ROUND($G244/12,0),IF($H244=6,$G244,IF($H244=7,$G244-ROUND($G244*10/11,0),0)))))</f>
        <v>0</v>
      </c>
      <c r="N244" s="364">
        <f>IF($G244="","",K244+L244+M244)</f>
        <v>0</v>
      </c>
      <c r="O244" s="365" t="str">
        <f>IF($G244="","",IFERROR(VLOOKUP($D244&amp;"|"&amp;$E244,科目表!$A$5:$B$200,2,FALSE),"※未登録"))</f>
        <v>賃借料</v>
      </c>
      <c r="P244" s="359">
        <f>IF(OR($G244="",$C244=""),"",IF($B244="決算整理",13,MOD(MONTH($C244)-4,12)+1))</f>
        <v>6</v>
      </c>
      <c r="Q244" s="366" t="str">
        <f>IF($G244="","",TRIM(IF(J244+K244+L244+M244&lt;&gt;$G244,"按分不一致 ","")&amp;IF(O244="※未登録","科目未登録 ","")&amp;IF(OR($H244="",ISERROR(MATCH($H244,{1,2,3,4,5,6,7,8},0))),"経費区分? ","")&amp;IF($I244="","状態未設定 ","")&amp;IF(AND(OR($I244="確認済",$I244="未確認"),$B244="月例",OR($C244="",$C244&lt;DATE(年度+2018,4,1),$C244&gt;DATE(年度+2019,3,31))),"年度外の日付 ","")&amp;IF(AND(OR($I244="確認済",$I244="未確認"),O244="対象外"),"対象外の科目 ","")))</f>
        <v/>
      </c>
      <c r="R244" s="366" t="inlineStr">
        <is>
          <t>月例!252</t>
        </is>
      </c>
    </row>
    <row r="245">
      <c r="A245" s="359" t="n">
        <v>241</v>
      </c>
      <c r="B245" s="360" t="inlineStr">
        <is>
          <t>月例</t>
        </is>
      </c>
      <c r="C245" s="361" t="n">
        <v>46280</v>
      </c>
      <c r="D245" s="362" t="inlineStr">
        <is>
          <t>賃金</t>
        </is>
      </c>
      <c r="E245" s="362" t="n"/>
      <c r="F245" s="362" t="inlineStr">
        <is>
          <t>臨時職員賃金８月分　一山登代子外１名分（短期１００％）</t>
        </is>
      </c>
      <c r="G245" s="363" t="n">
        <v>384480</v>
      </c>
      <c r="H245" s="360" t="n">
        <v>2</v>
      </c>
      <c r="I245" s="360" t="inlineStr">
        <is>
          <t>確認済</t>
        </is>
      </c>
      <c r="J245" s="364">
        <f>IF($G245="","",IF($H245=1,$G245-ROUND($G245*10/23,0)-2*ROUND($G245/23,0),IF($H245=2,$G245,0)))</f>
        <v>384480</v>
      </c>
      <c r="K245" s="364">
        <f>IF($G245="","",IF($H245=1,ROUND($G245*10/23,0),IF($H245=3,$G245-2*ROUND($G245/12,0),IF($H245=4,$G245,IF(OR($H245=5,$H245=7),ROUND($G245*10/11,0),0)))))</f>
        <v>0</v>
      </c>
      <c r="L245" s="364">
        <f>IF($G245="","",IF($H245=1,ROUND($G245/23,0),IF($H245=3,ROUND($G245/12,0),IF($H245=5,$G245-ROUND($G245*10/11,0),IF($H245=8,$G245,0)))))</f>
        <v>0</v>
      </c>
      <c r="M245" s="364">
        <f>IF($G245="","",IF($H245=1,ROUND($G245/23,0),IF($H245=3,ROUND($G245/12,0),IF($H245=6,$G245,IF($H245=7,$G245-ROUND($G245*10/11,0),0)))))</f>
        <v>0</v>
      </c>
      <c r="N245" s="364">
        <f>IF($G245="","",K245+L245+M245)</f>
        <v>0</v>
      </c>
      <c r="O245" s="365" t="str">
        <f>IF($G245="","",IFERROR(VLOOKUP($D245&amp;"|"&amp;$E245,科目表!$A$5:$B$200,2,FALSE),"※未登録"))</f>
        <v>賃金</v>
      </c>
      <c r="P245" s="359">
        <f>IF(OR($G245="",$C245=""),"",IF($B245="決算整理",13,MOD(MONTH($C245)-4,12)+1))</f>
        <v>6</v>
      </c>
      <c r="Q245" s="366" t="str">
        <f>IF($G245="","",TRIM(IF(J245+K245+L245+M245&lt;&gt;$G245,"按分不一致 ","")&amp;IF(O245="※未登録","科目未登録 ","")&amp;IF(OR($H245="",ISERROR(MATCH($H245,{1,2,3,4,5,6,7,8},0))),"経費区分? ","")&amp;IF($I245="","状態未設定 ","")&amp;IF(AND(OR($I245="確認済",$I245="未確認"),$B245="月例",OR($C245="",$C245&lt;DATE(年度+2018,4,1),$C245&gt;DATE(年度+2019,3,31))),"年度外の日付 ","")&amp;IF(AND(OR($I245="確認済",$I245="未確認"),O245="対象外"),"対象外の科目 ","")))</f>
        <v/>
      </c>
      <c r="R245" s="366" t="inlineStr">
        <is>
          <t>月例!253</t>
        </is>
      </c>
    </row>
    <row r="246">
      <c r="A246" s="359" t="n">
        <v>242</v>
      </c>
      <c r="B246" s="360" t="inlineStr">
        <is>
          <t>月例</t>
        </is>
      </c>
      <c r="C246" s="361" t="n">
        <v>46294</v>
      </c>
      <c r="D246" s="362" t="inlineStr">
        <is>
          <t>事務費</t>
        </is>
      </c>
      <c r="E246" s="362" t="inlineStr">
        <is>
          <t>図書印刷費</t>
        </is>
      </c>
      <c r="F246" s="362" t="inlineStr">
        <is>
          <t>短期給付決定通知書　４，０００セット</t>
        </is>
      </c>
      <c r="G246" s="363" t="n">
        <v>154000</v>
      </c>
      <c r="H246" s="360" t="n">
        <v>2</v>
      </c>
      <c r="I246" s="360" t="inlineStr">
        <is>
          <t>確認済</t>
        </is>
      </c>
      <c r="J246" s="364">
        <f>IF($G246="","",IF($H246=1,$G246-ROUND($G246*10/23,0)-2*ROUND($G246/23,0),IF($H246=2,$G246,0)))</f>
        <v>154000</v>
      </c>
      <c r="K246" s="364">
        <f>IF($G246="","",IF($H246=1,ROUND($G246*10/23,0),IF($H246=3,$G246-2*ROUND($G246/12,0),IF($H246=4,$G246,IF(OR($H246=5,$H246=7),ROUND($G246*10/11,0),0)))))</f>
        <v>0</v>
      </c>
      <c r="L246" s="364">
        <f>IF($G246="","",IF($H246=1,ROUND($G246/23,0),IF($H246=3,ROUND($G246/12,0),IF($H246=5,$G246-ROUND($G246*10/11,0),IF($H246=8,$G246,0)))))</f>
        <v>0</v>
      </c>
      <c r="M246" s="364">
        <f>IF($G246="","",IF($H246=1,ROUND($G246/23,0),IF($H246=3,ROUND($G246/12,0),IF($H246=6,$G246,IF($H246=7,$G246-ROUND($G246*10/11,0),0)))))</f>
        <v>0</v>
      </c>
      <c r="N246" s="364">
        <f>IF($G246="","",K246+L246+M246)</f>
        <v>0</v>
      </c>
      <c r="O246" s="365" t="str">
        <f>IF($G246="","",IFERROR(VLOOKUP($D246&amp;"|"&amp;$E246,科目表!$A$5:$B$200,2,FALSE),"※未登録"))</f>
        <v>図書印刷費</v>
      </c>
      <c r="P246" s="359">
        <f>IF(OR($G246="",$C246=""),"",IF($B246="決算整理",13,MOD(MONTH($C246)-4,12)+1))</f>
        <v>6</v>
      </c>
      <c r="Q246" s="366" t="str">
        <f>IF($G246="","",TRIM(IF(J246+K246+L246+M246&lt;&gt;$G246,"按分不一致 ","")&amp;IF(O246="※未登録","科目未登録 ","")&amp;IF(OR($H246="",ISERROR(MATCH($H246,{1,2,3,4,5,6,7,8},0))),"経費区分? ","")&amp;IF($I246="","状態未設定 ","")&amp;IF(AND(OR($I246="確認済",$I246="未確認"),$B246="月例",OR($C246="",$C246&lt;DATE(年度+2018,4,1),$C246&gt;DATE(年度+2019,3,31))),"年度外の日付 ","")&amp;IF(AND(OR($I246="確認済",$I246="未確認"),O246="対象外"),"対象外の科目 ","")))</f>
        <v/>
      </c>
      <c r="R246" s="366" t="inlineStr">
        <is>
          <t>月例!254</t>
        </is>
      </c>
    </row>
    <row r="247">
      <c r="A247" s="359" t="n">
        <v>243</v>
      </c>
      <c r="B247" s="360" t="inlineStr">
        <is>
          <t>月例</t>
        </is>
      </c>
      <c r="C247" s="361" t="n">
        <v>44420</v>
      </c>
      <c r="D247" s="362" t="inlineStr">
        <is>
          <t>事務費</t>
        </is>
      </c>
      <c r="E247" s="362" t="inlineStr">
        <is>
          <t>雑費</t>
        </is>
      </c>
      <c r="F247" s="362" t="inlineStr">
        <is>
          <t>ＪＡ残高証明書（手数料）R3.6.30時点　他</t>
        </is>
      </c>
      <c r="G247" s="363" t="n">
        <v>990</v>
      </c>
      <c r="H247" s="360" t="n">
        <v>2</v>
      </c>
      <c r="I247" s="360" t="inlineStr">
        <is>
          <t>昨年実績</t>
        </is>
      </c>
      <c r="J247" s="364">
        <f>IF($G247="","",IF($H247=1,$G247-ROUND($G247*10/23,0)-2*ROUND($G247/23,0),IF($H247=2,$G247,0)))</f>
        <v>990</v>
      </c>
      <c r="K247" s="364">
        <f>IF($G247="","",IF($H247=1,ROUND($G247*10/23,0),IF($H247=3,$G247-2*ROUND($G247/12,0),IF($H247=4,$G247,IF(OR($H247=5,$H247=7),ROUND($G247*10/11,0),0)))))</f>
        <v>0</v>
      </c>
      <c r="L247" s="364">
        <f>IF($G247="","",IF($H247=1,ROUND($G247/23,0),IF($H247=3,ROUND($G247/12,0),IF($H247=5,$G247-ROUND($G247*10/11,0),IF($H247=8,$G247,0)))))</f>
        <v>0</v>
      </c>
      <c r="M247" s="364">
        <f>IF($G247="","",IF($H247=1,ROUND($G247/23,0),IF($H247=3,ROUND($G247/12,0),IF($H247=6,$G247,IF($H247=7,$G247-ROUND($G247*10/11,0),0)))))</f>
        <v>0</v>
      </c>
      <c r="N247" s="364">
        <f>IF($G247="","",K247+L247+M247)</f>
        <v>0</v>
      </c>
      <c r="O247" s="365" t="str">
        <f>IF($G247="","",IFERROR(VLOOKUP($D247&amp;"|"&amp;$E247,科目表!$A$5:$B$200,2,FALSE),"※未登録"))</f>
        <v>事務費・雑費</v>
      </c>
      <c r="P247" s="359">
        <f>IF(OR($G247="",$C247=""),"",IF($B247="決算整理",13,MOD(MONTH($C247)-4,12)+1))</f>
        <v>5</v>
      </c>
      <c r="Q247" s="366" t="str">
        <f>IF($G247="","",TRIM(IF(J247+K247+L247+M247&lt;&gt;$G247,"按分不一致 ","")&amp;IF(O247="※未登録","科目未登録 ","")&amp;IF(OR($H247="",ISERROR(MATCH($H247,{1,2,3,4,5,6,7,8},0))),"経費区分? ","")&amp;IF($I247="","状態未設定 ","")&amp;IF(AND(OR($I247="確認済",$I247="未確認"),$B247="月例",OR($C247="",$C247&lt;DATE(年度+2018,4,1),$C247&gt;DATE(年度+2019,3,31))),"年度外の日付 ","")&amp;IF(AND(OR($I247="確認済",$I247="未確認"),O247="対象外"),"対象外の科目 ","")))</f>
        <v/>
      </c>
      <c r="R247" s="366" t="inlineStr">
        <is>
          <t>月例!255</t>
        </is>
      </c>
    </row>
    <row r="248">
      <c r="A248" s="359" t="n">
        <v>244</v>
      </c>
      <c r="B248" s="360" t="inlineStr">
        <is>
          <t>月例</t>
        </is>
      </c>
      <c r="C248" s="361" t="n">
        <v>46244</v>
      </c>
      <c r="D248" s="362" t="inlineStr">
        <is>
          <t>旅費</t>
        </is>
      </c>
      <c r="E248" s="362" t="n"/>
      <c r="F248" s="362" t="inlineStr">
        <is>
          <t>8/28地方公務員共済の長期給付に係る資金運用・財政等に関する全国説明会　福岡市　山田理事</t>
        </is>
      </c>
      <c r="G248" s="363" t="n">
        <v>18140</v>
      </c>
      <c r="H248" s="360" t="n">
        <v>3</v>
      </c>
      <c r="I248" s="360" t="inlineStr">
        <is>
          <t>昨年実績</t>
        </is>
      </c>
      <c r="J248" s="364">
        <f>IF($G248="","",IF($H248=1,$G248-ROUND($G248*10/23,0)-2*ROUND($G248/23,0),IF($H248=2,$G248,0)))</f>
        <v>0</v>
      </c>
      <c r="K248" s="364">
        <f>IF($G248="","",IF($H248=1,ROUND($G248*10/23,0),IF($H248=3,$G248-2*ROUND($G248/12,0),IF($H248=4,$G248,IF(OR($H248=5,$H248=7),ROUND($G248*10/11,0),0)))))</f>
        <v>15116</v>
      </c>
      <c r="L248" s="364">
        <f>IF($G248="","",IF($H248=1,ROUND($G248/23,0),IF($H248=3,ROUND($G248/12,0),IF($H248=5,$G248-ROUND($G248*10/11,0),IF($H248=8,$G248,0)))))</f>
        <v>1512</v>
      </c>
      <c r="M248" s="364">
        <f>IF($G248="","",IF($H248=1,ROUND($G248/23,0),IF($H248=3,ROUND($G248/12,0),IF($H248=6,$G248,IF($H248=7,$G248-ROUND($G248*10/11,0),0)))))</f>
        <v>1512</v>
      </c>
      <c r="N248" s="364">
        <f>IF($G248="","",K248+L248+M248)</f>
        <v>18140</v>
      </c>
      <c r="O248" s="365" t="str">
        <f>IF($G248="","",IFERROR(VLOOKUP($D248&amp;"|"&amp;$E248,科目表!$A$5:$B$200,2,FALSE),"※未登録"))</f>
        <v>旅費</v>
      </c>
      <c r="P248" s="359">
        <f>IF(OR($G248="",$C248=""),"",IF($B248="決算整理",13,MOD(MONTH($C248)-4,12)+1))</f>
        <v>5</v>
      </c>
      <c r="Q248" s="366" t="str">
        <f>IF($G248="","",TRIM(IF(J248+K248+L248+M248&lt;&gt;$G248,"按分不一致 ","")&amp;IF(O248="※未登録","科目未登録 ","")&amp;IF(OR($H248="",ISERROR(MATCH($H248,{1,2,3,4,5,6,7,8},0))),"経費区分? ","")&amp;IF($I248="","状態未設定 ","")&amp;IF(AND(OR($I248="確認済",$I248="未確認"),$B248="月例",OR($C248="",$C248&lt;DATE(年度+2018,4,1),$C248&gt;DATE(年度+2019,3,31))),"年度外の日付 ","")&amp;IF(AND(OR($I248="確認済",$I248="未確認"),O248="対象外"),"対象外の科目 ","")))</f>
        <v/>
      </c>
      <c r="R248" s="366" t="inlineStr">
        <is>
          <t>月例!256</t>
        </is>
      </c>
    </row>
    <row r="249">
      <c r="A249" s="359" t="n">
        <v>245</v>
      </c>
      <c r="B249" s="360" t="inlineStr">
        <is>
          <t>月例</t>
        </is>
      </c>
      <c r="C249" s="361" t="n">
        <v>45198</v>
      </c>
      <c r="D249" s="362" t="inlineStr">
        <is>
          <t>旅費</t>
        </is>
      </c>
      <c r="E249" s="362" t="n"/>
      <c r="F249" s="362" t="inlineStr">
        <is>
          <t>9/29　長期給付に係る資金運用・財政等に関する全国説明会　山田理事欠席　精算金</t>
        </is>
      </c>
      <c r="G249" s="363" t="n">
        <v>-22380</v>
      </c>
      <c r="H249" s="360" t="n">
        <v>1</v>
      </c>
      <c r="I249" s="360" t="inlineStr">
        <is>
          <t>昨年実績</t>
        </is>
      </c>
      <c r="J249" s="364">
        <f>IF($G249="","",IF($H249=1,$G249-ROUND($G249*10/23,0)-2*ROUND($G249/23,0),IF($H249=2,$G249,0)))</f>
        <v>-10704</v>
      </c>
      <c r="K249" s="364">
        <f>IF($G249="","",IF($H249=1,ROUND($G249*10/23,0),IF($H249=3,$G249-2*ROUND($G249/12,0),IF($H249=4,$G249,IF(OR($H249=5,$H249=7),ROUND($G249*10/11,0),0)))))</f>
        <v>-9730</v>
      </c>
      <c r="L249" s="364">
        <f>IF($G249="","",IF($H249=1,ROUND($G249/23,0),IF($H249=3,ROUND($G249/12,0),IF($H249=5,$G249-ROUND($G249*10/11,0),IF($H249=8,$G249,0)))))</f>
        <v>-973</v>
      </c>
      <c r="M249" s="364">
        <f>IF($G249="","",IF($H249=1,ROUND($G249/23,0),IF($H249=3,ROUND($G249/12,0),IF($H249=6,$G249,IF($H249=7,$G249-ROUND($G249*10/11,0),0)))))</f>
        <v>-973</v>
      </c>
      <c r="N249" s="364">
        <f>IF($G249="","",K249+L249+M249)</f>
        <v>-11676</v>
      </c>
      <c r="O249" s="365" t="str">
        <f>IF($G249="","",IFERROR(VLOOKUP($D249&amp;"|"&amp;$E249,科目表!$A$5:$B$200,2,FALSE),"※未登録"))</f>
        <v>旅費</v>
      </c>
      <c r="P249" s="359">
        <f>IF(OR($G249="",$C249=""),"",IF($B249="決算整理",13,MOD(MONTH($C249)-4,12)+1))</f>
        <v>6</v>
      </c>
      <c r="Q249" s="366" t="str">
        <f>IF($G249="","",TRIM(IF(J249+K249+L249+M249&lt;&gt;$G249,"按分不一致 ","")&amp;IF(O249="※未登録","科目未登録 ","")&amp;IF(OR($H249="",ISERROR(MATCH($H249,{1,2,3,4,5,6,7,8},0))),"経費区分? ","")&amp;IF($I249="","状態未設定 ","")&amp;IF(AND(OR($I249="確認済",$I249="未確認"),$B249="月例",OR($C249="",$C249&lt;DATE(年度+2018,4,1),$C249&gt;DATE(年度+2019,3,31))),"年度外の日付 ","")&amp;IF(AND(OR($I249="確認済",$I249="未確認"),O249="対象外"),"対象外の科目 ","")))</f>
        <v/>
      </c>
      <c r="R249" s="366" t="inlineStr">
        <is>
          <t>月例!257</t>
        </is>
      </c>
    </row>
    <row r="250">
      <c r="A250" s="359" t="n">
        <v>246</v>
      </c>
      <c r="B250" s="360" t="inlineStr">
        <is>
          <t>月例</t>
        </is>
      </c>
      <c r="C250" s="361" t="n">
        <v>46283</v>
      </c>
      <c r="D250" s="362" t="inlineStr">
        <is>
          <t>委託費</t>
        </is>
      </c>
      <c r="E250" s="362" t="n"/>
      <c r="F250" s="362" t="inlineStr">
        <is>
          <t>レセプト電子データ提供料（６月診療分）</t>
        </is>
      </c>
      <c r="G250" s="363" t="n">
        <v>57533</v>
      </c>
      <c r="H250" s="360" t="n">
        <v>2</v>
      </c>
      <c r="I250" s="360" t="inlineStr">
        <is>
          <t>確認済</t>
        </is>
      </c>
      <c r="J250" s="364">
        <f>IF($G250="","",IF($H250=1,$G250-ROUND($G250*10/23,0)-2*ROUND($G250/23,0),IF($H250=2,$G250,0)))</f>
        <v>57533</v>
      </c>
      <c r="K250" s="364">
        <f>IF($G250="","",IF($H250=1,ROUND($G250*10/23,0),IF($H250=3,$G250-2*ROUND($G250/12,0),IF($H250=4,$G250,IF(OR($H250=5,$H250=7),ROUND($G250*10/11,0),0)))))</f>
        <v>0</v>
      </c>
      <c r="L250" s="364">
        <f>IF($G250="","",IF($H250=1,ROUND($G250/23,0),IF($H250=3,ROUND($G250/12,0),IF($H250=5,$G250-ROUND($G250*10/11,0),IF($H250=8,$G250,0)))))</f>
        <v>0</v>
      </c>
      <c r="M250" s="364">
        <f>IF($G250="","",IF($H250=1,ROUND($G250/23,0),IF($H250=3,ROUND($G250/12,0),IF($H250=6,$G250,IF($H250=7,$G250-ROUND($G250*10/11,0),0)))))</f>
        <v>0</v>
      </c>
      <c r="N250" s="364">
        <f>IF($G250="","",K250+L250+M250)</f>
        <v>0</v>
      </c>
      <c r="O250" s="365" t="str">
        <f>IF($G250="","",IFERROR(VLOOKUP($D250&amp;"|"&amp;$E250,科目表!$A$5:$B$200,2,FALSE),"※未登録"))</f>
        <v>委託費</v>
      </c>
      <c r="P250" s="359">
        <f>IF(OR($G250="",$C250=""),"",IF($B250="決算整理",13,MOD(MONTH($C250)-4,12)+1))</f>
        <v>6</v>
      </c>
      <c r="Q250" s="366" t="str">
        <f>IF($G250="","",TRIM(IF(J250+K250+L250+M250&lt;&gt;$G250,"按分不一致 ","")&amp;IF(O250="※未登録","科目未登録 ","")&amp;IF(OR($H250="",ISERROR(MATCH($H250,{1,2,3,4,5,6,7,8},0))),"経費区分? ","")&amp;IF($I250="","状態未設定 ","")&amp;IF(AND(OR($I250="確認済",$I250="未確認"),$B250="月例",OR($C250="",$C250&lt;DATE(年度+2018,4,1),$C250&gt;DATE(年度+2019,3,31))),"年度外の日付 ","")&amp;IF(AND(OR($I250="確認済",$I250="未確認"),O250="対象外"),"対象外の科目 ","")))</f>
        <v/>
      </c>
      <c r="R250" s="366" t="inlineStr">
        <is>
          <t>月例!258</t>
        </is>
      </c>
    </row>
    <row r="251">
      <c r="A251" s="359" t="n">
        <v>247</v>
      </c>
      <c r="B251" s="360" t="inlineStr">
        <is>
          <t>月例</t>
        </is>
      </c>
      <c r="C251" s="361" t="n">
        <v>44460</v>
      </c>
      <c r="D251" s="362" t="inlineStr">
        <is>
          <t>事務費</t>
        </is>
      </c>
      <c r="E251" s="362" t="inlineStr">
        <is>
          <t>通信運搬費</t>
        </is>
      </c>
      <c r="F251" s="362" t="inlineStr">
        <is>
          <t>電話料金（８月使用・９月請求分）</t>
        </is>
      </c>
      <c r="G251" s="363" t="n">
        <v>5408</v>
      </c>
      <c r="H251" s="360" t="n">
        <v>2</v>
      </c>
      <c r="I251" s="360" t="inlineStr">
        <is>
          <t>昨年実績</t>
        </is>
      </c>
      <c r="J251" s="364">
        <f>IF($G251="","",IF($H251=1,$G251-ROUND($G251*10/23,0)-2*ROUND($G251/23,0),IF($H251=2,$G251,0)))</f>
        <v>5408</v>
      </c>
      <c r="K251" s="364">
        <f>IF($G251="","",IF($H251=1,ROUND($G251*10/23,0),IF($H251=3,$G251-2*ROUND($G251/12,0),IF($H251=4,$G251,IF(OR($H251=5,$H251=7),ROUND($G251*10/11,0),0)))))</f>
        <v>0</v>
      </c>
      <c r="L251" s="364">
        <f>IF($G251="","",IF($H251=1,ROUND($G251/23,0),IF($H251=3,ROUND($G251/12,0),IF($H251=5,$G251-ROUND($G251*10/11,0),IF($H251=8,$G251,0)))))</f>
        <v>0</v>
      </c>
      <c r="M251" s="364">
        <f>IF($G251="","",IF($H251=1,ROUND($G251/23,0),IF($H251=3,ROUND($G251/12,0),IF($H251=6,$G251,IF($H251=7,$G251-ROUND($G251*10/11,0),0)))))</f>
        <v>0</v>
      </c>
      <c r="N251" s="364">
        <f>IF($G251="","",K251+L251+M251)</f>
        <v>0</v>
      </c>
      <c r="O251" s="365" t="str">
        <f>IF($G251="","",IFERROR(VLOOKUP($D251&amp;"|"&amp;$E251,科目表!$A$5:$B$200,2,FALSE),"※未登録"))</f>
        <v>通信運搬費</v>
      </c>
      <c r="P251" s="359">
        <f>IF(OR($G251="",$C251=""),"",IF($B251="決算整理",13,MOD(MONTH($C251)-4,12)+1))</f>
        <v>6</v>
      </c>
      <c r="Q251" s="366" t="str">
        <f>IF($G251="","",TRIM(IF(J251+K251+L251+M251&lt;&gt;$G251,"按分不一致 ","")&amp;IF(O251="※未登録","科目未登録 ","")&amp;IF(OR($H251="",ISERROR(MATCH($H251,{1,2,3,4,5,6,7,8},0))),"経費区分? ","")&amp;IF($I251="","状態未設定 ","")&amp;IF(AND(OR($I251="確認済",$I251="未確認"),$B251="月例",OR($C251="",$C251&lt;DATE(年度+2018,4,1),$C251&gt;DATE(年度+2019,3,31))),"年度外の日付 ","")&amp;IF(AND(OR($I251="確認済",$I251="未確認"),O251="対象外"),"対象外の科目 ","")))</f>
        <v/>
      </c>
      <c r="R251" s="366" t="inlineStr">
        <is>
          <t>月例!259</t>
        </is>
      </c>
    </row>
    <row r="252">
      <c r="A252" s="359" t="n">
        <v>248</v>
      </c>
      <c r="B252" s="360" t="inlineStr">
        <is>
          <t>月例</t>
        </is>
      </c>
      <c r="C252" s="361" t="n">
        <v>46295</v>
      </c>
      <c r="D252" s="362" t="inlineStr">
        <is>
          <t>事務費</t>
        </is>
      </c>
      <c r="E252" s="362" t="inlineStr">
        <is>
          <t>送金料</t>
        </is>
      </c>
      <c r="F252" s="362" t="inlineStr">
        <is>
          <t>ゆうちょ銀行手数料（８月分）短期</t>
        </is>
      </c>
      <c r="G252" s="363" t="n">
        <v>17222</v>
      </c>
      <c r="H252" s="360" t="n">
        <v>2</v>
      </c>
      <c r="I252" s="360" t="inlineStr">
        <is>
          <t>確認済</t>
        </is>
      </c>
      <c r="J252" s="364">
        <f>IF($G252="","",IF($H252=1,$G252-ROUND($G252*10/23,0)-2*ROUND($G252/23,0),IF($H252=2,$G252,0)))</f>
        <v>17222</v>
      </c>
      <c r="K252" s="364">
        <f>IF($G252="","",IF($H252=1,ROUND($G252*10/23,0),IF($H252=3,$G252-2*ROUND($G252/12,0),IF($H252=4,$G252,IF(OR($H252=5,$H252=7),ROUND($G252*10/11,0),0)))))</f>
        <v>0</v>
      </c>
      <c r="L252" s="364">
        <f>IF($G252="","",IF($H252=1,ROUND($G252/23,0),IF($H252=3,ROUND($G252/12,0),IF($H252=5,$G252-ROUND($G252*10/11,0),IF($H252=8,$G252,0)))))</f>
        <v>0</v>
      </c>
      <c r="M252" s="364">
        <f>IF($G252="","",IF($H252=1,ROUND($G252/23,0),IF($H252=3,ROUND($G252/12,0),IF($H252=6,$G252,IF($H252=7,$G252-ROUND($G252*10/11,0),0)))))</f>
        <v>0</v>
      </c>
      <c r="N252" s="364">
        <f>IF($G252="","",K252+L252+M252)</f>
        <v>0</v>
      </c>
      <c r="O252" s="365" t="str">
        <f>IF($G252="","",IFERROR(VLOOKUP($D252&amp;"|"&amp;$E252,科目表!$A$5:$B$200,2,FALSE),"※未登録"))</f>
        <v>送金料</v>
      </c>
      <c r="P252" s="359">
        <f>IF(OR($G252="",$C252=""),"",IF($B252="決算整理",13,MOD(MONTH($C252)-4,12)+1))</f>
        <v>6</v>
      </c>
      <c r="Q252" s="366" t="str">
        <f>IF($G252="","",TRIM(IF(J252+K252+L252+M252&lt;&gt;$G252,"按分不一致 ","")&amp;IF(O252="※未登録","科目未登録 ","")&amp;IF(OR($H252="",ISERROR(MATCH($H252,{1,2,3,4,5,6,7,8},0))),"経費区分? ","")&amp;IF($I252="","状態未設定 ","")&amp;IF(AND(OR($I252="確認済",$I252="未確認"),$B252="月例",OR($C252="",$C252&lt;DATE(年度+2018,4,1),$C252&gt;DATE(年度+2019,3,31))),"年度外の日付 ","")&amp;IF(AND(OR($I252="確認済",$I252="未確認"),O252="対象外"),"対象外の科目 ","")))</f>
        <v/>
      </c>
      <c r="R252" s="366" t="inlineStr">
        <is>
          <t>月例!260</t>
        </is>
      </c>
    </row>
    <row r="253">
      <c r="A253" s="359" t="n">
        <v>249</v>
      </c>
      <c r="B253" s="360" t="inlineStr">
        <is>
          <t>月例</t>
        </is>
      </c>
      <c r="C253" s="361" t="n">
        <v>46295</v>
      </c>
      <c r="D253" s="362" t="inlineStr">
        <is>
          <t>事務費</t>
        </is>
      </c>
      <c r="E253" s="362" t="inlineStr">
        <is>
          <t>雑費</t>
        </is>
      </c>
      <c r="F253" s="362" t="inlineStr">
        <is>
          <t>ゆうちょ銀行振替口座残高証明（８月分）短期</t>
        </is>
      </c>
      <c r="G253" s="363" t="n">
        <v>550</v>
      </c>
      <c r="H253" s="360" t="n">
        <v>2</v>
      </c>
      <c r="I253" s="360" t="inlineStr">
        <is>
          <t>確認済</t>
        </is>
      </c>
      <c r="J253" s="364">
        <f>IF($G253="","",IF($H253=1,$G253-ROUND($G253*10/23,0)-2*ROUND($G253/23,0),IF($H253=2,$G253,0)))</f>
        <v>550</v>
      </c>
      <c r="K253" s="364">
        <f>IF($G253="","",IF($H253=1,ROUND($G253*10/23,0),IF($H253=3,$G253-2*ROUND($G253/12,0),IF($H253=4,$G253,IF(OR($H253=5,$H253=7),ROUND($G253*10/11,0),0)))))</f>
        <v>0</v>
      </c>
      <c r="L253" s="364">
        <f>IF($G253="","",IF($H253=1,ROUND($G253/23,0),IF($H253=3,ROUND($G253/12,0),IF($H253=5,$G253-ROUND($G253*10/11,0),IF($H253=8,$G253,0)))))</f>
        <v>0</v>
      </c>
      <c r="M253" s="364">
        <f>IF($G253="","",IF($H253=1,ROUND($G253/23,0),IF($H253=3,ROUND($G253/12,0),IF($H253=6,$G253,IF($H253=7,$G253-ROUND($G253*10/11,0),0)))))</f>
        <v>0</v>
      </c>
      <c r="N253" s="364">
        <f>IF($G253="","",K253+L253+M253)</f>
        <v>0</v>
      </c>
      <c r="O253" s="365" t="str">
        <f>IF($G253="","",IFERROR(VLOOKUP($D253&amp;"|"&amp;$E253,科目表!$A$5:$B$200,2,FALSE),"※未登録"))</f>
        <v>事務費・雑費</v>
      </c>
      <c r="P253" s="359">
        <f>IF(OR($G253="",$C253=""),"",IF($B253="決算整理",13,MOD(MONTH($C253)-4,12)+1))</f>
        <v>6</v>
      </c>
      <c r="Q253" s="366" t="str">
        <f>IF($G253="","",TRIM(IF(J253+K253+L253+M253&lt;&gt;$G253,"按分不一致 ","")&amp;IF(O253="※未登録","科目未登録 ","")&amp;IF(OR($H253="",ISERROR(MATCH($H253,{1,2,3,4,5,6,7,8},0))),"経費区分? ","")&amp;IF($I253="","状態未設定 ","")&amp;IF(AND(OR($I253="確認済",$I253="未確認"),$B253="月例",OR($C253="",$C253&lt;DATE(年度+2018,4,1),$C253&gt;DATE(年度+2019,3,31))),"年度外の日付 ","")&amp;IF(AND(OR($I253="確認済",$I253="未確認"),O253="対象外"),"対象外の科目 ","")))</f>
        <v/>
      </c>
      <c r="R253" s="366" t="inlineStr">
        <is>
          <t>月例!261</t>
        </is>
      </c>
    </row>
    <row r="254">
      <c r="A254" s="359" t="n">
        <v>250</v>
      </c>
      <c r="B254" s="360" t="inlineStr">
        <is>
          <t>月例</t>
        </is>
      </c>
      <c r="C254" s="361" t="n">
        <v>44092</v>
      </c>
      <c r="D254" s="362" t="inlineStr">
        <is>
          <t>職員給与</t>
        </is>
      </c>
      <c r="E254" s="362" t="inlineStr">
        <is>
          <t>非常勤職員手当</t>
        </is>
      </c>
      <c r="F254" s="362" t="inlineStr">
        <is>
          <t>９月分給与（長期分）</t>
        </is>
      </c>
      <c r="G254" s="363" t="n">
        <v>340401</v>
      </c>
      <c r="H254" s="360" t="n">
        <v>3</v>
      </c>
      <c r="I254" s="360" t="inlineStr">
        <is>
          <t>昨年実績</t>
        </is>
      </c>
      <c r="J254" s="364">
        <f>IF($G254="","",IF($H254=1,$G254-ROUND($G254*10/23,0)-2*ROUND($G254/23,0),IF($H254=2,$G254,0)))</f>
        <v>0</v>
      </c>
      <c r="K254" s="364">
        <f>IF($G254="","",IF($H254=1,ROUND($G254*10/23,0),IF($H254=3,$G254-2*ROUND($G254/12,0),IF($H254=4,$G254,IF(OR($H254=5,$H254=7),ROUND($G254*10/11,0),0)))))</f>
        <v>283667</v>
      </c>
      <c r="L254" s="364">
        <f>IF($G254="","",IF($H254=1,ROUND($G254/23,0),IF($H254=3,ROUND($G254/12,0),IF($H254=5,$G254-ROUND($G254*10/11,0),IF($H254=8,$G254,0)))))</f>
        <v>28367</v>
      </c>
      <c r="M254" s="364">
        <f>IF($G254="","",IF($H254=1,ROUND($G254/23,0),IF($H254=3,ROUND($G254/12,0),IF($H254=6,$G254,IF($H254=7,$G254-ROUND($G254*10/11,0),0)))))</f>
        <v>28367</v>
      </c>
      <c r="N254" s="364">
        <f>IF($G254="","",K254+L254+M254)</f>
        <v>340401</v>
      </c>
      <c r="O254" s="365" t="str">
        <f>IF($G254="","",IFERROR(VLOOKUP($D254&amp;"|"&amp;$E254,科目表!$A$5:$B$200,2,FALSE),"※未登録"))</f>
        <v>非常勤職員手当</v>
      </c>
      <c r="P254" s="359">
        <f>IF(OR($G254="",$C254=""),"",IF($B254="決算整理",13,MOD(MONTH($C254)-4,12)+1))</f>
        <v>6</v>
      </c>
      <c r="Q254" s="366" t="str">
        <f>IF($G254="","",TRIM(IF(J254+K254+L254+M254&lt;&gt;$G254,"按分不一致 ","")&amp;IF(O254="※未登録","科目未登録 ","")&amp;IF(OR($H254="",ISERROR(MATCH($H254,{1,2,3,4,5,6,7,8},0))),"経費区分? ","")&amp;IF($I254="","状態未設定 ","")&amp;IF(AND(OR($I254="確認済",$I254="未確認"),$B254="月例",OR($C254="",$C254&lt;DATE(年度+2018,4,1),$C254&gt;DATE(年度+2019,3,31))),"年度外の日付 ","")&amp;IF(AND(OR($I254="確認済",$I254="未確認"),O254="対象外"),"対象外の科目 ","")))</f>
        <v/>
      </c>
      <c r="R254" s="366" t="inlineStr">
        <is>
          <t>月例!262</t>
        </is>
      </c>
    </row>
    <row r="255">
      <c r="A255" s="359" t="n">
        <v>251</v>
      </c>
      <c r="B255" s="360" t="inlineStr">
        <is>
          <t>月例</t>
        </is>
      </c>
      <c r="C255" s="361" t="n">
        <v>46283</v>
      </c>
      <c r="D255" s="362" t="inlineStr">
        <is>
          <t>職員給与</t>
        </is>
      </c>
      <c r="E255" s="362" t="inlineStr">
        <is>
          <t>非常勤職員手当</t>
        </is>
      </c>
      <c r="F255" s="362" t="inlineStr">
        <is>
          <t>９月分給与（長期分）</t>
        </is>
      </c>
      <c r="G255" s="363" t="n">
        <v>380800</v>
      </c>
      <c r="H255" s="360" t="n">
        <v>3</v>
      </c>
      <c r="I255" s="360" t="inlineStr">
        <is>
          <t>確認済</t>
        </is>
      </c>
      <c r="J255" s="364">
        <f>IF($G255="","",IF($H255=1,$G255-ROUND($G255*10/23,0)-2*ROUND($G255/23,0),IF($H255=2,$G255,0)))</f>
        <v>0</v>
      </c>
      <c r="K255" s="364">
        <f>IF($G255="","",IF($H255=1,ROUND($G255*10/23,0),IF($H255=3,$G255-2*ROUND($G255/12,0),IF($H255=4,$G255,IF(OR($H255=5,$H255=7),ROUND($G255*10/11,0),0)))))</f>
        <v>317334</v>
      </c>
      <c r="L255" s="364">
        <f>IF($G255="","",IF($H255=1,ROUND($G255/23,0),IF($H255=3,ROUND($G255/12,0),IF($H255=5,$G255-ROUND($G255*10/11,0),IF($H255=8,$G255,0)))))</f>
        <v>31733</v>
      </c>
      <c r="M255" s="364">
        <f>IF($G255="","",IF($H255=1,ROUND($G255/23,0),IF($H255=3,ROUND($G255/12,0),IF($H255=6,$G255,IF($H255=7,$G255-ROUND($G255*10/11,0),0)))))</f>
        <v>31733</v>
      </c>
      <c r="N255" s="364">
        <f>IF($G255="","",K255+L255+M255)</f>
        <v>380800</v>
      </c>
      <c r="O255" s="365" t="str">
        <f>IF($G255="","",IFERROR(VLOOKUP($D255&amp;"|"&amp;$E255,科目表!$A$5:$B$200,2,FALSE),"※未登録"))</f>
        <v>非常勤職員手当</v>
      </c>
      <c r="P255" s="359">
        <f>IF(OR($G255="",$C255=""),"",IF($B255="決算整理",13,MOD(MONTH($C255)-4,12)+1))</f>
        <v>6</v>
      </c>
      <c r="Q255" s="366" t="str">
        <f>IF($G255="","",TRIM(IF(J255+K255+L255+M255&lt;&gt;$G255,"按分不一致 ","")&amp;IF(O255="※未登録","科目未登録 ","")&amp;IF(OR($H255="",ISERROR(MATCH($H255,{1,2,3,4,5,6,7,8},0))),"経費区分? ","")&amp;IF($I255="","状態未設定 ","")&amp;IF(AND(OR($I255="確認済",$I255="未確認"),$B255="月例",OR($C255="",$C255&lt;DATE(年度+2018,4,1),$C255&gt;DATE(年度+2019,3,31))),"年度外の日付 ","")&amp;IF(AND(OR($I255="確認済",$I255="未確認"),O255="対象外"),"対象外の科目 ","")))</f>
        <v/>
      </c>
      <c r="R255" s="366" t="inlineStr">
        <is>
          <t>月例!264</t>
        </is>
      </c>
    </row>
    <row r="256">
      <c r="A256" s="359" t="n">
        <v>252</v>
      </c>
      <c r="B256" s="360" t="inlineStr">
        <is>
          <t>月例</t>
        </is>
      </c>
      <c r="C256" s="361" t="n">
        <v>46283</v>
      </c>
      <c r="D256" s="362" t="inlineStr">
        <is>
          <t>職員給与</t>
        </is>
      </c>
      <c r="E256" s="362" t="inlineStr">
        <is>
          <t>非常勤職員手当</t>
        </is>
      </c>
      <c r="F256" s="362" t="inlineStr">
        <is>
          <t>９月分給与（短期分）</t>
        </is>
      </c>
      <c r="G256" s="363" t="n">
        <v>258776</v>
      </c>
      <c r="H256" s="360" t="n">
        <v>2</v>
      </c>
      <c r="I256" s="360" t="inlineStr">
        <is>
          <t>確認済</t>
        </is>
      </c>
      <c r="J256" s="364">
        <f>IF($G256="","",IF($H256=1,$G256-ROUND($G256*10/23,0)-2*ROUND($G256/23,0),IF($H256=2,$G256,0)))</f>
        <v>258776</v>
      </c>
      <c r="K256" s="364">
        <f>IF($G256="","",IF($H256=1,ROUND($G256*10/23,0),IF($H256=3,$G256-2*ROUND($G256/12,0),IF($H256=4,$G256,IF(OR($H256=5,$H256=7),ROUND($G256*10/11,0),0)))))</f>
        <v>0</v>
      </c>
      <c r="L256" s="364">
        <f>IF($G256="","",IF($H256=1,ROUND($G256/23,0),IF($H256=3,ROUND($G256/12,0),IF($H256=5,$G256-ROUND($G256*10/11,0),IF($H256=8,$G256,0)))))</f>
        <v>0</v>
      </c>
      <c r="M256" s="364">
        <f>IF($G256="","",IF($H256=1,ROUND($G256/23,0),IF($H256=3,ROUND($G256/12,0),IF($H256=6,$G256,IF($H256=7,$G256-ROUND($G256*10/11,0),0)))))</f>
        <v>0</v>
      </c>
      <c r="N256" s="364">
        <f>IF($G256="","",K256+L256+M256)</f>
        <v>0</v>
      </c>
      <c r="O256" s="365" t="str">
        <f>IF($G256="","",IFERROR(VLOOKUP($D256&amp;"|"&amp;$E256,科目表!$A$5:$B$200,2,FALSE),"※未登録"))</f>
        <v>非常勤職員手当</v>
      </c>
      <c r="P256" s="359">
        <f>IF(OR($G256="",$C256=""),"",IF($B256="決算整理",13,MOD(MONTH($C256)-4,12)+1))</f>
        <v>6</v>
      </c>
      <c r="Q256" s="366" t="str">
        <f>IF($G256="","",TRIM(IF(J256+K256+L256+M256&lt;&gt;$G256,"按分不一致 ","")&amp;IF(O256="※未登録","科目未登録 ","")&amp;IF(OR($H256="",ISERROR(MATCH($H256,{1,2,3,4,5,6,7,8},0))),"経費区分? ","")&amp;IF($I256="","状態未設定 ","")&amp;IF(AND(OR($I256="確認済",$I256="未確認"),$B256="月例",OR($C256="",$C256&lt;DATE(年度+2018,4,1),$C256&gt;DATE(年度+2019,3,31))),"年度外の日付 ","")&amp;IF(AND(OR($I256="確認済",$I256="未確認"),O256="対象外"),"対象外の科目 ","")))</f>
        <v/>
      </c>
      <c r="R256" s="366" t="inlineStr">
        <is>
          <t>月例!265</t>
        </is>
      </c>
    </row>
    <row r="257">
      <c r="A257" s="359" t="n">
        <v>253</v>
      </c>
      <c r="B257" s="360" t="inlineStr">
        <is>
          <t>月例</t>
        </is>
      </c>
      <c r="C257" s="361" t="n">
        <v>46283</v>
      </c>
      <c r="D257" s="362" t="inlineStr">
        <is>
          <t>負担金</t>
        </is>
      </c>
      <c r="E257" s="362" t="inlineStr">
        <is>
          <t>互助会費</t>
        </is>
      </c>
      <c r="F257" s="362" t="inlineStr">
        <is>
          <t>助成金（９月長期分）</t>
        </is>
      </c>
      <c r="G257" s="363" t="n">
        <v>466</v>
      </c>
      <c r="H257" s="360" t="n">
        <v>3</v>
      </c>
      <c r="I257" s="360" t="inlineStr">
        <is>
          <t>確認済</t>
        </is>
      </c>
      <c r="J257" s="364">
        <f>IF($G257="","",IF($H257=1,$G257-ROUND($G257*10/23,0)-2*ROUND($G257/23,0),IF($H257=2,$G257,0)))</f>
        <v>0</v>
      </c>
      <c r="K257" s="364">
        <f>IF($G257="","",IF($H257=1,ROUND($G257*10/23,0),IF($H257=3,$G257-2*ROUND($G257/12,0),IF($H257=4,$G257,IF(OR($H257=5,$H257=7),ROUND($G257*10/11,0),0)))))</f>
        <v>388</v>
      </c>
      <c r="L257" s="364">
        <f>IF($G257="","",IF($H257=1,ROUND($G257/23,0),IF($H257=3,ROUND($G257/12,0),IF($H257=5,$G257-ROUND($G257*10/11,0),IF($H257=8,$G257,0)))))</f>
        <v>39</v>
      </c>
      <c r="M257" s="364">
        <f>IF($G257="","",IF($H257=1,ROUND($G257/23,0),IF($H257=3,ROUND($G257/12,0),IF($H257=6,$G257,IF($H257=7,$G257-ROUND($G257*10/11,0),0)))))</f>
        <v>39</v>
      </c>
      <c r="N257" s="364">
        <f>IF($G257="","",K257+L257+M257)</f>
        <v>466</v>
      </c>
      <c r="O257" s="365" t="str">
        <f>IF($G257="","",IFERROR(VLOOKUP($D257&amp;"|"&amp;$E257,科目表!$A$5:$B$200,2,FALSE),"※未登録"))</f>
        <v>互助会費</v>
      </c>
      <c r="P257" s="359">
        <f>IF(OR($G257="",$C257=""),"",IF($B257="決算整理",13,MOD(MONTH($C257)-4,12)+1))</f>
        <v>6</v>
      </c>
      <c r="Q257" s="366" t="str">
        <f>IF($G257="","",TRIM(IF(J257+K257+L257+M257&lt;&gt;$G257,"按分不一致 ","")&amp;IF(O257="※未登録","科目未登録 ","")&amp;IF(OR($H257="",ISERROR(MATCH($H257,{1,2,3,4,5,6,7,8},0))),"経費区分? ","")&amp;IF($I257="","状態未設定 ","")&amp;IF(AND(OR($I257="確認済",$I257="未確認"),$B257="月例",OR($C257="",$C257&lt;DATE(年度+2018,4,1),$C257&gt;DATE(年度+2019,3,31))),"年度外の日付 ","")&amp;IF(AND(OR($I257="確認済",$I257="未確認"),O257="対象外"),"対象外の科目 ","")))</f>
        <v/>
      </c>
      <c r="R257" s="366" t="inlineStr">
        <is>
          <t>月例!266</t>
        </is>
      </c>
    </row>
    <row r="258">
      <c r="A258" s="359" t="n">
        <v>254</v>
      </c>
      <c r="B258" s="360" t="inlineStr">
        <is>
          <t>月例</t>
        </is>
      </c>
      <c r="C258" s="361" t="n">
        <v>46283</v>
      </c>
      <c r="D258" s="362" t="inlineStr">
        <is>
          <t>負担金</t>
        </is>
      </c>
      <c r="E258" s="362" t="inlineStr">
        <is>
          <t>互助会費</t>
        </is>
      </c>
      <c r="F258" s="362" t="inlineStr">
        <is>
          <t>助成金（９月短期分）</t>
        </is>
      </c>
      <c r="G258" s="363" t="n">
        <v>240</v>
      </c>
      <c r="H258" s="360" t="n">
        <v>2</v>
      </c>
      <c r="I258" s="360" t="inlineStr">
        <is>
          <t>確認済</t>
        </is>
      </c>
      <c r="J258" s="364">
        <f>IF($G258="","",IF($H258=1,$G258-ROUND($G258*10/23,0)-2*ROUND($G258/23,0),IF($H258=2,$G258,0)))</f>
        <v>240</v>
      </c>
      <c r="K258" s="364">
        <f>IF($G258="","",IF($H258=1,ROUND($G258*10/23,0),IF($H258=3,$G258-2*ROUND($G258/12,0),IF($H258=4,$G258,IF(OR($H258=5,$H258=7),ROUND($G258*10/11,0),0)))))</f>
        <v>0</v>
      </c>
      <c r="L258" s="364">
        <f>IF($G258="","",IF($H258=1,ROUND($G258/23,0),IF($H258=3,ROUND($G258/12,0),IF($H258=5,$G258-ROUND($G258*10/11,0),IF($H258=8,$G258,0)))))</f>
        <v>0</v>
      </c>
      <c r="M258" s="364">
        <f>IF($G258="","",IF($H258=1,ROUND($G258/23,0),IF($H258=3,ROUND($G258/12,0),IF($H258=6,$G258,IF($H258=7,$G258-ROUND($G258*10/11,0),0)))))</f>
        <v>0</v>
      </c>
      <c r="N258" s="364">
        <f>IF($G258="","",K258+L258+M258)</f>
        <v>0</v>
      </c>
      <c r="O258" s="365" t="str">
        <f>IF($G258="","",IFERROR(VLOOKUP($D258&amp;"|"&amp;$E258,科目表!$A$5:$B$200,2,FALSE),"※未登録"))</f>
        <v>互助会費</v>
      </c>
      <c r="P258" s="359">
        <f>IF(OR($G258="",$C258=""),"",IF($B258="決算整理",13,MOD(MONTH($C258)-4,12)+1))</f>
        <v>6</v>
      </c>
      <c r="Q258" s="366" t="str">
        <f>IF($G258="","",TRIM(IF(J258+K258+L258+M258&lt;&gt;$G258,"按分不一致 ","")&amp;IF(O258="※未登録","科目未登録 ","")&amp;IF(OR($H258="",ISERROR(MATCH($H258,{1,2,3,4,5,6,7,8},0))),"経費区分? ","")&amp;IF($I258="","状態未設定 ","")&amp;IF(AND(OR($I258="確認済",$I258="未確認"),$B258="月例",OR($C258="",$C258&lt;DATE(年度+2018,4,1),$C258&gt;DATE(年度+2019,3,31))),"年度外の日付 ","")&amp;IF(AND(OR($I258="確認済",$I258="未確認"),O258="対象外"),"対象外の科目 ","")))</f>
        <v/>
      </c>
      <c r="R258" s="366" t="inlineStr">
        <is>
          <t>月例!267</t>
        </is>
      </c>
    </row>
    <row r="259">
      <c r="A259" s="359" t="n">
        <v>255</v>
      </c>
      <c r="B259" s="360" t="inlineStr">
        <is>
          <t>月例</t>
        </is>
      </c>
      <c r="C259" s="361" t="n">
        <v>45518</v>
      </c>
      <c r="D259" s="362" t="inlineStr">
        <is>
          <t>事務費</t>
        </is>
      </c>
      <c r="E259" s="362" t="inlineStr">
        <is>
          <t>通信運搬費</t>
        </is>
      </c>
      <c r="F259" s="362" t="inlineStr">
        <is>
          <t>切手</t>
        </is>
      </c>
      <c r="G259" s="363" t="n">
        <v>83820</v>
      </c>
      <c r="H259" s="360" t="n">
        <v>3</v>
      </c>
      <c r="I259" s="360" t="inlineStr">
        <is>
          <t>昨年実績</t>
        </is>
      </c>
      <c r="J259" s="364">
        <f>IF($G259="","",IF($H259=1,$G259-ROUND($G259*10/23,0)-2*ROUND($G259/23,0),IF($H259=2,$G259,0)))</f>
        <v>0</v>
      </c>
      <c r="K259" s="364">
        <f>IF($G259="","",IF($H259=1,ROUND($G259*10/23,0),IF($H259=3,$G259-2*ROUND($G259/12,0),IF($H259=4,$G259,IF(OR($H259=5,$H259=7),ROUND($G259*10/11,0),0)))))</f>
        <v>69850</v>
      </c>
      <c r="L259" s="364">
        <f>IF($G259="","",IF($H259=1,ROUND($G259/23,0),IF($H259=3,ROUND($G259/12,0),IF($H259=5,$G259-ROUND($G259*10/11,0),IF($H259=8,$G259,0)))))</f>
        <v>6985</v>
      </c>
      <c r="M259" s="364">
        <f>IF($G259="","",IF($H259=1,ROUND($G259/23,0),IF($H259=3,ROUND($G259/12,0),IF($H259=6,$G259,IF($H259=7,$G259-ROUND($G259*10/11,0),0)))))</f>
        <v>6985</v>
      </c>
      <c r="N259" s="364">
        <f>IF($G259="","",K259+L259+M259)</f>
        <v>83820</v>
      </c>
      <c r="O259" s="365" t="str">
        <f>IF($G259="","",IFERROR(VLOOKUP($D259&amp;"|"&amp;$E259,科目表!$A$5:$B$200,2,FALSE),"※未登録"))</f>
        <v>通信運搬費</v>
      </c>
      <c r="P259" s="359">
        <f>IF(OR($G259="",$C259=""),"",IF($B259="決算整理",13,MOD(MONTH($C259)-4,12)+1))</f>
        <v>5</v>
      </c>
      <c r="Q259" s="366" t="str">
        <f>IF($G259="","",TRIM(IF(J259+K259+L259+M259&lt;&gt;$G259,"按分不一致 ","")&amp;IF(O259="※未登録","科目未登録 ","")&amp;IF(OR($H259="",ISERROR(MATCH($H259,{1,2,3,4,5,6,7,8},0))),"経費区分? ","")&amp;IF($I259="","状態未設定 ","")&amp;IF(AND(OR($I259="確認済",$I259="未確認"),$B259="月例",OR($C259="",$C259&lt;DATE(年度+2018,4,1),$C259&gt;DATE(年度+2019,3,31))),"年度外の日付 ","")&amp;IF(AND(OR($I259="確認済",$I259="未確認"),O259="対象外"),"対象外の科目 ","")))</f>
        <v/>
      </c>
      <c r="R259" s="366" t="inlineStr">
        <is>
          <t>月例!268</t>
        </is>
      </c>
    </row>
    <row r="260">
      <c r="A260" s="359" t="n">
        <v>256</v>
      </c>
      <c r="B260" s="360" t="inlineStr">
        <is>
          <t>月例</t>
        </is>
      </c>
      <c r="C260" s="361" t="n">
        <v>46280</v>
      </c>
      <c r="D260" s="362" t="inlineStr">
        <is>
          <t>厚生費</t>
        </is>
      </c>
      <c r="E260" s="362" t="inlineStr">
        <is>
          <t>健康診断費</t>
        </is>
      </c>
      <c r="F260" s="362" t="inlineStr">
        <is>
          <t>定期健康診断等（高橋、天畠、西本）</t>
        </is>
      </c>
      <c r="G260" s="363" t="n">
        <v>14894</v>
      </c>
      <c r="H260" s="360" t="n">
        <v>2</v>
      </c>
      <c r="I260" s="360" t="inlineStr">
        <is>
          <t>確認済</t>
        </is>
      </c>
      <c r="J260" s="364">
        <f>IF($G260="","",IF($H260=1,$G260-ROUND($G260*10/23,0)-2*ROUND($G260/23,0),IF($H260=2,$G260,0)))</f>
        <v>14894</v>
      </c>
      <c r="K260" s="364">
        <f>IF($G260="","",IF($H260=1,ROUND($G260*10/23,0),IF($H260=3,$G260-2*ROUND($G260/12,0),IF($H260=4,$G260,IF(OR($H260=5,$H260=7),ROUND($G260*10/11,0),0)))))</f>
        <v>0</v>
      </c>
      <c r="L260" s="364">
        <f>IF($G260="","",IF($H260=1,ROUND($G260/23,0),IF($H260=3,ROUND($G260/12,0),IF($H260=5,$G260-ROUND($G260*10/11,0),IF($H260=8,$G260,0)))))</f>
        <v>0</v>
      </c>
      <c r="M260" s="364">
        <f>IF($G260="","",IF($H260=1,ROUND($G260/23,0),IF($H260=3,ROUND($G260/12,0),IF($H260=6,$G260,IF($H260=7,$G260-ROUND($G260*10/11,0),0)))))</f>
        <v>0</v>
      </c>
      <c r="N260" s="364">
        <f>IF($G260="","",K260+L260+M260)</f>
        <v>0</v>
      </c>
      <c r="O260" s="365" t="str">
        <f>IF($G260="","",IFERROR(VLOOKUP($D260&amp;"|"&amp;$E260,科目表!$A$5:$B$200,2,FALSE),"※未登録"))</f>
        <v>厚生費</v>
      </c>
      <c r="P260" s="359">
        <f>IF(OR($G260="",$C260=""),"",IF($B260="決算整理",13,MOD(MONTH($C260)-4,12)+1))</f>
        <v>6</v>
      </c>
      <c r="Q260" s="366" t="str">
        <f>IF($G260="","",TRIM(IF(J260+K260+L260+M260&lt;&gt;$G260,"按分不一致 ","")&amp;IF(O260="※未登録","科目未登録 ","")&amp;IF(OR($H260="",ISERROR(MATCH($H260,{1,2,3,4,5,6,7,8},0))),"経費区分? ","")&amp;IF($I260="","状態未設定 ","")&amp;IF(AND(OR($I260="確認済",$I260="未確認"),$B260="月例",OR($C260="",$C260&lt;DATE(年度+2018,4,1),$C260&gt;DATE(年度+2019,3,31))),"年度外の日付 ","")&amp;IF(AND(OR($I260="確認済",$I260="未確認"),O260="対象外"),"対象外の科目 ","")))</f>
        <v/>
      </c>
      <c r="R260" s="366" t="inlineStr">
        <is>
          <t>月例!269</t>
        </is>
      </c>
    </row>
    <row r="261">
      <c r="A261" s="359" t="n">
        <v>257</v>
      </c>
      <c r="B261" s="360" t="inlineStr">
        <is>
          <t>月例</t>
        </is>
      </c>
      <c r="C261" s="361" t="n">
        <v>46280</v>
      </c>
      <c r="D261" s="362" t="inlineStr">
        <is>
          <t>厚生費</t>
        </is>
      </c>
      <c r="E261" s="362" t="inlineStr">
        <is>
          <t>健康診断費</t>
        </is>
      </c>
      <c r="F261" s="362" t="inlineStr">
        <is>
          <t>情報機器作業従事員健康診断（上久保）</t>
        </is>
      </c>
      <c r="G261" s="363" t="n">
        <v>1980</v>
      </c>
      <c r="H261" s="360" t="n">
        <v>3</v>
      </c>
      <c r="I261" s="360" t="inlineStr">
        <is>
          <t>確認済</t>
        </is>
      </c>
      <c r="J261" s="364">
        <f>IF($G261="","",IF($H261=1,$G261-ROUND($G261*10/23,0)-2*ROUND($G261/23,0),IF($H261=2,$G261,0)))</f>
        <v>0</v>
      </c>
      <c r="K261" s="364">
        <f>IF($G261="","",IF($H261=1,ROUND($G261*10/23,0),IF($H261=3,$G261-2*ROUND($G261/12,0),IF($H261=4,$G261,IF(OR($H261=5,$H261=7),ROUND($G261*10/11,0),0)))))</f>
        <v>1650</v>
      </c>
      <c r="L261" s="364">
        <f>IF($G261="","",IF($H261=1,ROUND($G261/23,0),IF($H261=3,ROUND($G261/12,0),IF($H261=5,$G261-ROUND($G261*10/11,0),IF($H261=8,$G261,0)))))</f>
        <v>165</v>
      </c>
      <c r="M261" s="364">
        <f>IF($G261="","",IF($H261=1,ROUND($G261/23,0),IF($H261=3,ROUND($G261/12,0),IF($H261=6,$G261,IF($H261=7,$G261-ROUND($G261*10/11,0),0)))))</f>
        <v>165</v>
      </c>
      <c r="N261" s="364">
        <f>IF($G261="","",K261+L261+M261)</f>
        <v>1980</v>
      </c>
      <c r="O261" s="365" t="str">
        <f>IF($G261="","",IFERROR(VLOOKUP($D261&amp;"|"&amp;$E261,科目表!$A$5:$B$200,2,FALSE),"※未登録"))</f>
        <v>厚生費</v>
      </c>
      <c r="P261" s="359">
        <f>IF(OR($G261="",$C261=""),"",IF($B261="決算整理",13,MOD(MONTH($C261)-4,12)+1))</f>
        <v>6</v>
      </c>
      <c r="Q261" s="366" t="str">
        <f>IF($G261="","",TRIM(IF(J261+K261+L261+M261&lt;&gt;$G261,"按分不一致 ","")&amp;IF(O261="※未登録","科目未登録 ","")&amp;IF(OR($H261="",ISERROR(MATCH($H261,{1,2,3,4,5,6,7,8},0))),"経費区分? ","")&amp;IF($I261="","状態未設定 ","")&amp;IF(AND(OR($I261="確認済",$I261="未確認"),$B261="月例",OR($C261="",$C261&lt;DATE(年度+2018,4,1),$C261&gt;DATE(年度+2019,3,31))),"年度外の日付 ","")&amp;IF(AND(OR($I261="確認済",$I261="未確認"),O261="対象外"),"対象外の科目 ","")))</f>
        <v/>
      </c>
      <c r="R261" s="366" t="inlineStr">
        <is>
          <t>月例!270</t>
        </is>
      </c>
    </row>
    <row r="262">
      <c r="A262" s="359" t="n">
        <v>258</v>
      </c>
      <c r="B262" s="360" t="inlineStr">
        <is>
          <t>月例</t>
        </is>
      </c>
      <c r="C262" s="361" t="n">
        <v>46294</v>
      </c>
      <c r="D262" s="362" t="inlineStr">
        <is>
          <t>賃借料</t>
        </is>
      </c>
      <c r="E262" s="362" t="n"/>
      <c r="F262" s="362" t="inlineStr">
        <is>
          <t>パソコン（業務経理用）８月分</t>
        </is>
      </c>
      <c r="G262" s="363" t="n">
        <v>5060</v>
      </c>
      <c r="H262" s="360" t="n">
        <v>2</v>
      </c>
      <c r="I262" s="360" t="inlineStr">
        <is>
          <t>確認済</t>
        </is>
      </c>
      <c r="J262" s="364">
        <f>IF($G262="","",IF($H262=1,$G262-ROUND($G262*10/23,0)-2*ROUND($G262/23,0),IF($H262=2,$G262,0)))</f>
        <v>5060</v>
      </c>
      <c r="K262" s="364">
        <f>IF($G262="","",IF($H262=1,ROUND($G262*10/23,0),IF($H262=3,$G262-2*ROUND($G262/12,0),IF($H262=4,$G262,IF(OR($H262=5,$H262=7),ROUND($G262*10/11,0),0)))))</f>
        <v>0</v>
      </c>
      <c r="L262" s="364">
        <f>IF($G262="","",IF($H262=1,ROUND($G262/23,0),IF($H262=3,ROUND($G262/12,0),IF($H262=5,$G262-ROUND($G262*10/11,0),IF($H262=8,$G262,0)))))</f>
        <v>0</v>
      </c>
      <c r="M262" s="364">
        <f>IF($G262="","",IF($H262=1,ROUND($G262/23,0),IF($H262=3,ROUND($G262/12,0),IF($H262=6,$G262,IF($H262=7,$G262-ROUND($G262*10/11,0),0)))))</f>
        <v>0</v>
      </c>
      <c r="N262" s="364">
        <f>IF($G262="","",K262+L262+M262)</f>
        <v>0</v>
      </c>
      <c r="O262" s="365" t="str">
        <f>IF($G262="","",IFERROR(VLOOKUP($D262&amp;"|"&amp;$E262,科目表!$A$5:$B$200,2,FALSE),"※未登録"))</f>
        <v>賃借料</v>
      </c>
      <c r="P262" s="359">
        <f>IF(OR($G262="",$C262=""),"",IF($B262="決算整理",13,MOD(MONTH($C262)-4,12)+1))</f>
        <v>6</v>
      </c>
      <c r="Q262" s="366" t="str">
        <f>IF($G262="","",TRIM(IF(J262+K262+L262+M262&lt;&gt;$G262,"按分不一致 ","")&amp;IF(O262="※未登録","科目未登録 ","")&amp;IF(OR($H262="",ISERROR(MATCH($H262,{1,2,3,4,5,6,7,8},0))),"経費区分? ","")&amp;IF($I262="","状態未設定 ","")&amp;IF(AND(OR($I262="確認済",$I262="未確認"),$B262="月例",OR($C262="",$C262&lt;DATE(年度+2018,4,1),$C262&gt;DATE(年度+2019,3,31))),"年度外の日付 ","")&amp;IF(AND(OR($I262="確認済",$I262="未確認"),O262="対象外"),"対象外の科目 ","")))</f>
        <v/>
      </c>
      <c r="R262" s="366" t="inlineStr">
        <is>
          <t>月例!271</t>
        </is>
      </c>
    </row>
    <row r="263">
      <c r="A263" s="359" t="n">
        <v>259</v>
      </c>
      <c r="B263" s="360" t="inlineStr">
        <is>
          <t>月例</t>
        </is>
      </c>
      <c r="C263" s="361" t="n">
        <v>44468</v>
      </c>
      <c r="D263" s="362" t="inlineStr">
        <is>
          <t>賃借料</t>
        </is>
      </c>
      <c r="E263" s="362" t="n"/>
      <c r="F263" s="362" t="inlineStr">
        <is>
          <t>ﾊﾟｿｺﾝｳｨﾙｽ対策ｿﾌﾄ(業務用)ｻﾝﾈｯﾄ（８月分）</t>
        </is>
      </c>
      <c r="G263" s="363" t="n">
        <v>2090</v>
      </c>
      <c r="H263" s="360" t="n">
        <v>2</v>
      </c>
      <c r="I263" s="360" t="inlineStr">
        <is>
          <t>昨年実績</t>
        </is>
      </c>
      <c r="J263" s="364">
        <f>IF($G263="","",IF($H263=1,$G263-ROUND($G263*10/23,0)-2*ROUND($G263/23,0),IF($H263=2,$G263,0)))</f>
        <v>2090</v>
      </c>
      <c r="K263" s="364">
        <f>IF($G263="","",IF($H263=1,ROUND($G263*10/23,0),IF($H263=3,$G263-2*ROUND($G263/12,0),IF($H263=4,$G263,IF(OR($H263=5,$H263=7),ROUND($G263*10/11,0),0)))))</f>
        <v>0</v>
      </c>
      <c r="L263" s="364">
        <f>IF($G263="","",IF($H263=1,ROUND($G263/23,0),IF($H263=3,ROUND($G263/12,0),IF($H263=5,$G263-ROUND($G263*10/11,0),IF($H263=8,$G263,0)))))</f>
        <v>0</v>
      </c>
      <c r="M263" s="364">
        <f>IF($G263="","",IF($H263=1,ROUND($G263/23,0),IF($H263=3,ROUND($G263/12,0),IF($H263=6,$G263,IF($H263=7,$G263-ROUND($G263*10/11,0),0)))))</f>
        <v>0</v>
      </c>
      <c r="N263" s="364">
        <f>IF($G263="","",K263+L263+M263)</f>
        <v>0</v>
      </c>
      <c r="O263" s="365" t="str">
        <f>IF($G263="","",IFERROR(VLOOKUP($D263&amp;"|"&amp;$E263,科目表!$A$5:$B$200,2,FALSE),"※未登録"))</f>
        <v>賃借料</v>
      </c>
      <c r="P263" s="359">
        <f>IF(OR($G263="",$C263=""),"",IF($B263="決算整理",13,MOD(MONTH($C263)-4,12)+1))</f>
        <v>6</v>
      </c>
      <c r="Q263" s="366" t="str">
        <f>IF($G263="","",TRIM(IF(J263+K263+L263+M263&lt;&gt;$G263,"按分不一致 ","")&amp;IF(O263="※未登録","科目未登録 ","")&amp;IF(OR($H263="",ISERROR(MATCH($H263,{1,2,3,4,5,6,7,8},0))),"経費区分? ","")&amp;IF($I263="","状態未設定 ","")&amp;IF(AND(OR($I263="確認済",$I263="未確認"),$B263="月例",OR($C263="",$C263&lt;DATE(年度+2018,4,1),$C263&gt;DATE(年度+2019,3,31))),"年度外の日付 ","")&amp;IF(AND(OR($I263="確認済",$I263="未確認"),O263="対象外"),"対象外の科目 ","")))</f>
        <v/>
      </c>
      <c r="R263" s="366" t="inlineStr">
        <is>
          <t>月例!272</t>
        </is>
      </c>
    </row>
    <row r="264">
      <c r="A264" s="359" t="n">
        <v>260</v>
      </c>
      <c r="B264" s="360" t="inlineStr">
        <is>
          <t>月例</t>
        </is>
      </c>
      <c r="C264" s="361" t="n">
        <v>46283</v>
      </c>
      <c r="D264" s="362" t="inlineStr">
        <is>
          <t>連合会分担金</t>
        </is>
      </c>
      <c r="E264" s="362" t="inlineStr">
        <is>
          <t>市町村連合会分担金</t>
        </is>
      </c>
      <c r="F264" s="362" t="inlineStr">
        <is>
          <t>令和８年度連合会分担金（短期給付事務費分）</t>
        </is>
      </c>
      <c r="G264" s="363" t="n">
        <v>20439958</v>
      </c>
      <c r="H264" s="360" t="n">
        <v>2</v>
      </c>
      <c r="I264" s="360" t="inlineStr">
        <is>
          <t>確認済</t>
        </is>
      </c>
      <c r="J264" s="364">
        <f>IF($G264="","",IF($H264=1,$G264-ROUND($G264*10/23,0)-2*ROUND($G264/23,0),IF($H264=2,$G264,0)))</f>
        <v>20439958</v>
      </c>
      <c r="K264" s="364">
        <f>IF($G264="","",IF($H264=1,ROUND($G264*10/23,0),IF($H264=3,$G264-2*ROUND($G264/12,0),IF($H264=4,$G264,IF(OR($H264=5,$H264=7),ROUND($G264*10/11,0),0)))))</f>
        <v>0</v>
      </c>
      <c r="L264" s="364">
        <f>IF($G264="","",IF($H264=1,ROUND($G264/23,0),IF($H264=3,ROUND($G264/12,0),IF($H264=5,$G264-ROUND($G264*10/11,0),IF($H264=8,$G264,0)))))</f>
        <v>0</v>
      </c>
      <c r="M264" s="364">
        <f>IF($G264="","",IF($H264=1,ROUND($G264/23,0),IF($H264=3,ROUND($G264/12,0),IF($H264=6,$G264,IF($H264=7,$G264-ROUND($G264*10/11,0),0)))))</f>
        <v>0</v>
      </c>
      <c r="N264" s="364">
        <f>IF($G264="","",K264+L264+M264)</f>
        <v>0</v>
      </c>
      <c r="O264" s="365" t="str">
        <f>IF($G264="","",IFERROR(VLOOKUP($D264&amp;"|"&amp;$E264,科目表!$A$5:$B$200,2,FALSE),"※未登録"))</f>
        <v>連合会分担金</v>
      </c>
      <c r="P264" s="359">
        <f>IF(OR($G264="",$C264=""),"",IF($B264="決算整理",13,MOD(MONTH($C264)-4,12)+1))</f>
        <v>6</v>
      </c>
      <c r="Q264" s="366" t="str">
        <f>IF($G264="","",TRIM(IF(J264+K264+L264+M264&lt;&gt;$G264,"按分不一致 ","")&amp;IF(O264="※未登録","科目未登録 ","")&amp;IF(OR($H264="",ISERROR(MATCH($H264,{1,2,3,4,5,6,7,8},0))),"経費区分? ","")&amp;IF($I264="","状態未設定 ","")&amp;IF(AND(OR($I264="確認済",$I264="未確認"),$B264="月例",OR($C264="",$C264&lt;DATE(年度+2018,4,1),$C264&gt;DATE(年度+2019,3,31))),"年度外の日付 ","")&amp;IF(AND(OR($I264="確認済",$I264="未確認"),O264="対象外"),"対象外の科目 ","")))</f>
        <v/>
      </c>
      <c r="R264" s="366" t="inlineStr">
        <is>
          <t>月例!273</t>
        </is>
      </c>
    </row>
    <row r="265">
      <c r="A265" s="359" t="n">
        <v>261</v>
      </c>
      <c r="B265" s="360" t="inlineStr">
        <is>
          <t>月例</t>
        </is>
      </c>
      <c r="C265" s="361" t="n">
        <v>44469</v>
      </c>
      <c r="D265" s="362" t="inlineStr">
        <is>
          <t>委託費</t>
        </is>
      </c>
      <c r="E265" s="362" t="n"/>
      <c r="F265" s="362" t="inlineStr">
        <is>
          <t>短期給付個人番号管理システム端末保守サービス（8月分）</t>
        </is>
      </c>
      <c r="G265" s="363" t="n">
        <v>385</v>
      </c>
      <c r="H265" s="360" t="n">
        <v>2</v>
      </c>
      <c r="I265" s="360" t="inlineStr">
        <is>
          <t>昨年実績</t>
        </is>
      </c>
      <c r="J265" s="364">
        <f>IF($G265="","",IF($H265=1,$G265-ROUND($G265*10/23,0)-2*ROUND($G265/23,0),IF($H265=2,$G265,0)))</f>
        <v>385</v>
      </c>
      <c r="K265" s="364">
        <f>IF($G265="","",IF($H265=1,ROUND($G265*10/23,0),IF($H265=3,$G265-2*ROUND($G265/12,0),IF($H265=4,$G265,IF(OR($H265=5,$H265=7),ROUND($G265*10/11,0),0)))))</f>
        <v>0</v>
      </c>
      <c r="L265" s="364">
        <f>IF($G265="","",IF($H265=1,ROUND($G265/23,0),IF($H265=3,ROUND($G265/12,0),IF($H265=5,$G265-ROUND($G265*10/11,0),IF($H265=8,$G265,0)))))</f>
        <v>0</v>
      </c>
      <c r="M265" s="364">
        <f>IF($G265="","",IF($H265=1,ROUND($G265/23,0),IF($H265=3,ROUND($G265/12,0),IF($H265=6,$G265,IF($H265=7,$G265-ROUND($G265*10/11,0),0)))))</f>
        <v>0</v>
      </c>
      <c r="N265" s="364">
        <f>IF($G265="","",K265+L265+M265)</f>
        <v>0</v>
      </c>
      <c r="O265" s="365" t="str">
        <f>IF($G265="","",IFERROR(VLOOKUP($D265&amp;"|"&amp;$E265,科目表!$A$5:$B$200,2,FALSE),"※未登録"))</f>
        <v>委託費</v>
      </c>
      <c r="P265" s="359">
        <f>IF(OR($G265="",$C265=""),"",IF($B265="決算整理",13,MOD(MONTH($C265)-4,12)+1))</f>
        <v>6</v>
      </c>
      <c r="Q265" s="366" t="str">
        <f>IF($G265="","",TRIM(IF(J265+K265+L265+M265&lt;&gt;$G265,"按分不一致 ","")&amp;IF(O265="※未登録","科目未登録 ","")&amp;IF(OR($H265="",ISERROR(MATCH($H265,{1,2,3,4,5,6,7,8},0))),"経費区分? ","")&amp;IF($I265="","状態未設定 ","")&amp;IF(AND(OR($I265="確認済",$I265="未確認"),$B265="月例",OR($C265="",$C265&lt;DATE(年度+2018,4,1),$C265&gt;DATE(年度+2019,3,31))),"年度外の日付 ","")&amp;IF(AND(OR($I265="確認済",$I265="未確認"),O265="対象外"),"対象外の科目 ","")))</f>
        <v/>
      </c>
      <c r="R265" s="366" t="inlineStr">
        <is>
          <t>月例!274</t>
        </is>
      </c>
    </row>
    <row r="266">
      <c r="A266" s="359" t="n">
        <v>262</v>
      </c>
      <c r="B266" s="360" t="inlineStr">
        <is>
          <t>月例</t>
        </is>
      </c>
      <c r="C266" s="361" t="n">
        <v>45198</v>
      </c>
      <c r="D266" s="362" t="inlineStr">
        <is>
          <t>事務費</t>
        </is>
      </c>
      <c r="E266" s="362" t="inlineStr">
        <is>
          <t>通信運搬費</t>
        </is>
      </c>
      <c r="F266" s="362" t="inlineStr">
        <is>
          <t>メール便（任継者宛厚生だより８・９月分）</t>
        </is>
      </c>
      <c r="G266" s="363" t="n">
        <v>37296</v>
      </c>
      <c r="H266" s="360" t="n">
        <v>2</v>
      </c>
      <c r="I266" s="360" t="inlineStr">
        <is>
          <t>昨年実績</t>
        </is>
      </c>
      <c r="J266" s="364">
        <f>IF($G266="","",IF($H266=1,$G266-ROUND($G266*10/23,0)-2*ROUND($G266/23,0),IF($H266=2,$G266,0)))</f>
        <v>37296</v>
      </c>
      <c r="K266" s="364">
        <f>IF($G266="","",IF($H266=1,ROUND($G266*10/23,0),IF($H266=3,$G266-2*ROUND($G266/12,0),IF($H266=4,$G266,IF(OR($H266=5,$H266=7),ROUND($G266*10/11,0),0)))))</f>
        <v>0</v>
      </c>
      <c r="L266" s="364">
        <f>IF($G266="","",IF($H266=1,ROUND($G266/23,0),IF($H266=3,ROUND($G266/12,0),IF($H266=5,$G266-ROUND($G266*10/11,0),IF($H266=8,$G266,0)))))</f>
        <v>0</v>
      </c>
      <c r="M266" s="364">
        <f>IF($G266="","",IF($H266=1,ROUND($G266/23,0),IF($H266=3,ROUND($G266/12,0),IF($H266=6,$G266,IF($H266=7,$G266-ROUND($G266*10/11,0),0)))))</f>
        <v>0</v>
      </c>
      <c r="N266" s="364">
        <f>IF($G266="","",K266+L266+M266)</f>
        <v>0</v>
      </c>
      <c r="O266" s="365" t="str">
        <f>IF($G266="","",IFERROR(VLOOKUP($D266&amp;"|"&amp;$E266,科目表!$A$5:$B$200,2,FALSE),"※未登録"))</f>
        <v>通信運搬費</v>
      </c>
      <c r="P266" s="359">
        <f>IF(OR($G266="",$C266=""),"",IF($B266="決算整理",13,MOD(MONTH($C266)-4,12)+1))</f>
        <v>6</v>
      </c>
      <c r="Q266" s="366" t="str">
        <f>IF($G266="","",TRIM(IF(J266+K266+L266+M266&lt;&gt;$G266,"按分不一致 ","")&amp;IF(O266="※未登録","科目未登録 ","")&amp;IF(OR($H266="",ISERROR(MATCH($H266,{1,2,3,4,5,6,7,8},0))),"経費区分? ","")&amp;IF($I266="","状態未設定 ","")&amp;IF(AND(OR($I266="確認済",$I266="未確認"),$B266="月例",OR($C266="",$C266&lt;DATE(年度+2018,4,1),$C266&gt;DATE(年度+2019,3,31))),"年度外の日付 ","")&amp;IF(AND(OR($I266="確認済",$I266="未確認"),O266="対象外"),"対象外の科目 ","")))</f>
        <v/>
      </c>
      <c r="R266" s="366" t="inlineStr">
        <is>
          <t>月例!275</t>
        </is>
      </c>
    </row>
    <row r="267">
      <c r="A267" s="359" t="n">
        <v>263</v>
      </c>
      <c r="B267" s="360" t="inlineStr">
        <is>
          <t>月例</t>
        </is>
      </c>
      <c r="C267" s="361" t="n">
        <v>45198</v>
      </c>
      <c r="D267" s="362" t="inlineStr">
        <is>
          <t>事務費</t>
        </is>
      </c>
      <c r="E267" s="362" t="inlineStr">
        <is>
          <t>通信運搬費</t>
        </is>
      </c>
      <c r="F267" s="362" t="inlineStr">
        <is>
          <t>柔整申請書送付（８月分）</t>
        </is>
      </c>
      <c r="G267" s="363" t="n">
        <v>1489</v>
      </c>
      <c r="H267" s="360" t="n">
        <v>2</v>
      </c>
      <c r="I267" s="360" t="inlineStr">
        <is>
          <t>昨年実績</t>
        </is>
      </c>
      <c r="J267" s="364">
        <f>IF($G267="","",IF($H267=1,$G267-ROUND($G267*10/23,0)-2*ROUND($G267/23,0),IF($H267=2,$G267,0)))</f>
        <v>1489</v>
      </c>
      <c r="K267" s="364">
        <f>IF($G267="","",IF($H267=1,ROUND($G267*10/23,0),IF($H267=3,$G267-2*ROUND($G267/12,0),IF($H267=4,$G267,IF(OR($H267=5,$H267=7),ROUND($G267*10/11,0),0)))))</f>
        <v>0</v>
      </c>
      <c r="L267" s="364">
        <f>IF($G267="","",IF($H267=1,ROUND($G267/23,0),IF($H267=3,ROUND($G267/12,0),IF($H267=5,$G267-ROUND($G267*10/11,0),IF($H267=8,$G267,0)))))</f>
        <v>0</v>
      </c>
      <c r="M267" s="364">
        <f>IF($G267="","",IF($H267=1,ROUND($G267/23,0),IF($H267=3,ROUND($G267/12,0),IF($H267=6,$G267,IF($H267=7,$G267-ROUND($G267*10/11,0),0)))))</f>
        <v>0</v>
      </c>
      <c r="N267" s="364">
        <f>IF($G267="","",K267+L267+M267)</f>
        <v>0</v>
      </c>
      <c r="O267" s="365" t="str">
        <f>IF($G267="","",IFERROR(VLOOKUP($D267&amp;"|"&amp;$E267,科目表!$A$5:$B$200,2,FALSE),"※未登録"))</f>
        <v>通信運搬費</v>
      </c>
      <c r="P267" s="359">
        <f>IF(OR($G267="",$C267=""),"",IF($B267="決算整理",13,MOD(MONTH($C267)-4,12)+1))</f>
        <v>6</v>
      </c>
      <c r="Q267" s="366" t="str">
        <f>IF($G267="","",TRIM(IF(J267+K267+L267+M267&lt;&gt;$G267,"按分不一致 ","")&amp;IF(O267="※未登録","科目未登録 ","")&amp;IF(OR($H267="",ISERROR(MATCH($H267,{1,2,3,4,5,6,7,8},0))),"経費区分? ","")&amp;IF($I267="","状態未設定 ","")&amp;IF(AND(OR($I267="確認済",$I267="未確認"),$B267="月例",OR($C267="",$C267&lt;DATE(年度+2018,4,1),$C267&gt;DATE(年度+2019,3,31))),"年度外の日付 ","")&amp;IF(AND(OR($I267="確認済",$I267="未確認"),O267="対象外"),"対象外の科目 ","")))</f>
        <v/>
      </c>
      <c r="R267" s="366" t="inlineStr">
        <is>
          <t>月例!276</t>
        </is>
      </c>
    </row>
    <row r="268">
      <c r="A268" s="359" t="n">
        <v>264</v>
      </c>
      <c r="B268" s="360" t="inlineStr">
        <is>
          <t>月例</t>
        </is>
      </c>
      <c r="C268" s="361" t="n">
        <v>46294</v>
      </c>
      <c r="D268" s="362" t="inlineStr">
        <is>
          <t>事務費</t>
        </is>
      </c>
      <c r="E268" s="362" t="inlineStr">
        <is>
          <t>通信運搬費</t>
        </is>
      </c>
      <c r="F268" s="362" t="inlineStr">
        <is>
          <t>料金後納利用料（８月分）</t>
        </is>
      </c>
      <c r="G268" s="363" t="n">
        <v>83355</v>
      </c>
      <c r="H268" s="360" t="n">
        <v>3</v>
      </c>
      <c r="I268" s="360" t="inlineStr">
        <is>
          <t>確認済</t>
        </is>
      </c>
      <c r="J268" s="364">
        <f>IF($G268="","",IF($H268=1,$G268-ROUND($G268*10/23,0)-2*ROUND($G268/23,0),IF($H268=2,$G268,0)))</f>
        <v>0</v>
      </c>
      <c r="K268" s="364">
        <f>IF($G268="","",IF($H268=1,ROUND($G268*10/23,0),IF($H268=3,$G268-2*ROUND($G268/12,0),IF($H268=4,$G268,IF(OR($H268=5,$H268=7),ROUND($G268*10/11,0),0)))))</f>
        <v>69463</v>
      </c>
      <c r="L268" s="364">
        <f>IF($G268="","",IF($H268=1,ROUND($G268/23,0),IF($H268=3,ROUND($G268/12,0),IF($H268=5,$G268-ROUND($G268*10/11,0),IF($H268=8,$G268,0)))))</f>
        <v>6946</v>
      </c>
      <c r="M268" s="364">
        <f>IF($G268="","",IF($H268=1,ROUND($G268/23,0),IF($H268=3,ROUND($G268/12,0),IF($H268=6,$G268,IF($H268=7,$G268-ROUND($G268*10/11,0),0)))))</f>
        <v>6946</v>
      </c>
      <c r="N268" s="364">
        <f>IF($G268="","",K268+L268+M268)</f>
        <v>83355</v>
      </c>
      <c r="O268" s="365" t="str">
        <f>IF($G268="","",IFERROR(VLOOKUP($D268&amp;"|"&amp;$E268,科目表!$A$5:$B$200,2,FALSE),"※未登録"))</f>
        <v>通信運搬費</v>
      </c>
      <c r="P268" s="359">
        <f>IF(OR($G268="",$C268=""),"",IF($B268="決算整理",13,MOD(MONTH($C268)-4,12)+1))</f>
        <v>6</v>
      </c>
      <c r="Q268" s="366" t="str">
        <f>IF($G268="","",TRIM(IF(J268+K268+L268+M268&lt;&gt;$G268,"按分不一致 ","")&amp;IF(O268="※未登録","科目未登録 ","")&amp;IF(OR($H268="",ISERROR(MATCH($H268,{1,2,3,4,5,6,7,8},0))),"経費区分? ","")&amp;IF($I268="","状態未設定 ","")&amp;IF(AND(OR($I268="確認済",$I268="未確認"),$B268="月例",OR($C268="",$C268&lt;DATE(年度+2018,4,1),$C268&gt;DATE(年度+2019,3,31))),"年度外の日付 ","")&amp;IF(AND(OR($I268="確認済",$I268="未確認"),O268="対象外"),"対象外の科目 ","")))</f>
        <v/>
      </c>
      <c r="R268" s="366" t="inlineStr">
        <is>
          <t>月例!277</t>
        </is>
      </c>
    </row>
    <row r="269">
      <c r="A269" s="359" t="n">
        <v>265</v>
      </c>
      <c r="B269" s="360" t="inlineStr">
        <is>
          <t>月例</t>
        </is>
      </c>
      <c r="C269" s="361" t="n">
        <v>46294</v>
      </c>
      <c r="D269" s="362" t="inlineStr">
        <is>
          <t>事務費</t>
        </is>
      </c>
      <c r="E269" s="362" t="inlineStr">
        <is>
          <t>通信運搬費</t>
        </is>
      </c>
      <c r="F269" s="362" t="inlineStr">
        <is>
          <t>料金後納利用料（８月分）</t>
        </is>
      </c>
      <c r="G269" s="363" t="n">
        <v>26460</v>
      </c>
      <c r="H269" s="360" t="n">
        <v>2</v>
      </c>
      <c r="I269" s="360" t="inlineStr">
        <is>
          <t>確認済</t>
        </is>
      </c>
      <c r="J269" s="364">
        <f>IF($G269="","",IF($H269=1,$G269-ROUND($G269*10/23,0)-2*ROUND($G269/23,0),IF($H269=2,$G269,0)))</f>
        <v>26460</v>
      </c>
      <c r="K269" s="364">
        <f>IF($G269="","",IF($H269=1,ROUND($G269*10/23,0),IF($H269=3,$G269-2*ROUND($G269/12,0),IF($H269=4,$G269,IF(OR($H269=5,$H269=7),ROUND($G269*10/11,0),0)))))</f>
        <v>0</v>
      </c>
      <c r="L269" s="364">
        <f>IF($G269="","",IF($H269=1,ROUND($G269/23,0),IF($H269=3,ROUND($G269/12,0),IF($H269=5,$G269-ROUND($G269*10/11,0),IF($H269=8,$G269,0)))))</f>
        <v>0</v>
      </c>
      <c r="M269" s="364">
        <f>IF($G269="","",IF($H269=1,ROUND($G269/23,0),IF($H269=3,ROUND($G269/12,0),IF($H269=6,$G269,IF($H269=7,$G269-ROUND($G269*10/11,0),0)))))</f>
        <v>0</v>
      </c>
      <c r="N269" s="364">
        <f>IF($G269="","",K269+L269+M269)</f>
        <v>0</v>
      </c>
      <c r="O269" s="365" t="str">
        <f>IF($G269="","",IFERROR(VLOOKUP($D269&amp;"|"&amp;$E269,科目表!$A$5:$B$200,2,FALSE),"※未登録"))</f>
        <v>通信運搬費</v>
      </c>
      <c r="P269" s="359">
        <f>IF(OR($G269="",$C269=""),"",IF($B269="決算整理",13,MOD(MONTH($C269)-4,12)+1))</f>
        <v>6</v>
      </c>
      <c r="Q269" s="366" t="str">
        <f>IF($G269="","",TRIM(IF(J269+K269+L269+M269&lt;&gt;$G269,"按分不一致 ","")&amp;IF(O269="※未登録","科目未登録 ","")&amp;IF(OR($H269="",ISERROR(MATCH($H269,{1,2,3,4,5,6,7,8},0))),"経費区分? ","")&amp;IF($I269="","状態未設定 ","")&amp;IF(AND(OR($I269="確認済",$I269="未確認"),$B269="月例",OR($C269="",$C269&lt;DATE(年度+2018,4,1),$C269&gt;DATE(年度+2019,3,31))),"年度外の日付 ","")&amp;IF(AND(OR($I269="確認済",$I269="未確認"),O269="対象外"),"対象外の科目 ","")))</f>
        <v/>
      </c>
      <c r="R269" s="366" t="inlineStr">
        <is>
          <t>月例!278</t>
        </is>
      </c>
    </row>
    <row r="270">
      <c r="A270" s="359" t="n">
        <v>266</v>
      </c>
      <c r="B270" s="360" t="inlineStr">
        <is>
          <t>月例</t>
        </is>
      </c>
      <c r="C270" s="361" t="n">
        <v>43738</v>
      </c>
      <c r="D270" s="362" t="inlineStr">
        <is>
          <t>賃借料</t>
        </is>
      </c>
      <c r="E270" s="362" t="n"/>
      <c r="F270" s="362" t="inlineStr">
        <is>
          <t>基幹システム（短期）用機器リース料８月分</t>
        </is>
      </c>
      <c r="G270" s="363" t="n">
        <v>193676</v>
      </c>
      <c r="H270" s="360" t="n">
        <v>2</v>
      </c>
      <c r="I270" s="360" t="inlineStr">
        <is>
          <t>昨年実績</t>
        </is>
      </c>
      <c r="J270" s="364">
        <f>IF($G270="","",IF($H270=1,$G270-ROUND($G270*10/23,0)-2*ROUND($G270/23,0),IF($H270=2,$G270,0)))</f>
        <v>193676</v>
      </c>
      <c r="K270" s="364">
        <f>IF($G270="","",IF($H270=1,ROUND($G270*10/23,0),IF($H270=3,$G270-2*ROUND($G270/12,0),IF($H270=4,$G270,IF(OR($H270=5,$H270=7),ROUND($G270*10/11,0),0)))))</f>
        <v>0</v>
      </c>
      <c r="L270" s="364">
        <f>IF($G270="","",IF($H270=1,ROUND($G270/23,0),IF($H270=3,ROUND($G270/12,0),IF($H270=5,$G270-ROUND($G270*10/11,0),IF($H270=8,$G270,0)))))</f>
        <v>0</v>
      </c>
      <c r="M270" s="364">
        <f>IF($G270="","",IF($H270=1,ROUND($G270/23,0),IF($H270=3,ROUND($G270/12,0),IF($H270=6,$G270,IF($H270=7,$G270-ROUND($G270*10/11,0),0)))))</f>
        <v>0</v>
      </c>
      <c r="N270" s="364">
        <f>IF($G270="","",K270+L270+M270)</f>
        <v>0</v>
      </c>
      <c r="O270" s="365" t="str">
        <f>IF($G270="","",IFERROR(VLOOKUP($D270&amp;"|"&amp;$E270,科目表!$A$5:$B$200,2,FALSE),"※未登録"))</f>
        <v>賃借料</v>
      </c>
      <c r="P270" s="359">
        <f>IF(OR($G270="",$C270=""),"",IF($B270="決算整理",13,MOD(MONTH($C270)-4,12)+1))</f>
        <v>6</v>
      </c>
      <c r="Q270" s="366" t="str">
        <f>IF($G270="","",TRIM(IF(J270+K270+L270+M270&lt;&gt;$G270,"按分不一致 ","")&amp;IF(O270="※未登録","科目未登録 ","")&amp;IF(OR($H270="",ISERROR(MATCH($H270,{1,2,3,4,5,6,7,8},0))),"経費区分? ","")&amp;IF($I270="","状態未設定 ","")&amp;IF(AND(OR($I270="確認済",$I270="未確認"),$B270="月例",OR($C270="",$C270&lt;DATE(年度+2018,4,1),$C270&gt;DATE(年度+2019,3,31))),"年度外の日付 ","")&amp;IF(AND(OR($I270="確認済",$I270="未確認"),O270="対象外"),"対象外の科目 ","")))</f>
        <v/>
      </c>
      <c r="R270" s="366" t="inlineStr">
        <is>
          <t>月例!279</t>
        </is>
      </c>
    </row>
    <row r="271">
      <c r="A271" s="359" t="n">
        <v>267</v>
      </c>
      <c r="B271" s="360" t="inlineStr">
        <is>
          <t>月例</t>
        </is>
      </c>
      <c r="C271" s="361" t="n">
        <v>46294</v>
      </c>
      <c r="D271" s="362" t="inlineStr">
        <is>
          <t>賃借料</t>
        </is>
      </c>
      <c r="E271" s="362" t="n"/>
      <c r="F271" s="362" t="inlineStr">
        <is>
          <t>基幹システム用機器賃借料　8月分（短期）</t>
        </is>
      </c>
      <c r="G271" s="363" t="n">
        <v>672934</v>
      </c>
      <c r="H271" s="360" t="n">
        <v>2</v>
      </c>
      <c r="I271" s="360" t="inlineStr">
        <is>
          <t>確認済</t>
        </is>
      </c>
      <c r="J271" s="364">
        <f>IF($G271="","",IF($H271=1,$G271-ROUND($G271*10/23,0)-2*ROUND($G271/23,0),IF($H271=2,$G271,0)))</f>
        <v>672934</v>
      </c>
      <c r="K271" s="364">
        <f>IF($G271="","",IF($H271=1,ROUND($G271*10/23,0),IF($H271=3,$G271-2*ROUND($G271/12,0),IF($H271=4,$G271,IF(OR($H271=5,$H271=7),ROUND($G271*10/11,0),0)))))</f>
        <v>0</v>
      </c>
      <c r="L271" s="364">
        <f>IF($G271="","",IF($H271=1,ROUND($G271/23,0),IF($H271=3,ROUND($G271/12,0),IF($H271=5,$G271-ROUND($G271*10/11,0),IF($H271=8,$G271,0)))))</f>
        <v>0</v>
      </c>
      <c r="M271" s="364">
        <f>IF($G271="","",IF($H271=1,ROUND($G271/23,0),IF($H271=3,ROUND($G271/12,0),IF($H271=6,$G271,IF($H271=7,$G271-ROUND($G271*10/11,0),0)))))</f>
        <v>0</v>
      </c>
      <c r="N271" s="364">
        <f>IF($G271="","",K271+L271+M271)</f>
        <v>0</v>
      </c>
      <c r="O271" s="365" t="str">
        <f>IF($G271="","",IFERROR(VLOOKUP($D271&amp;"|"&amp;$E271,科目表!$A$5:$B$200,2,FALSE),"※未登録"))</f>
        <v>賃借料</v>
      </c>
      <c r="P271" s="359">
        <f>IF(OR($G271="",$C271=""),"",IF($B271="決算整理",13,MOD(MONTH($C271)-4,12)+1))</f>
        <v>6</v>
      </c>
      <c r="Q271" s="366" t="str">
        <f>IF($G271="","",TRIM(IF(J271+K271+L271+M271&lt;&gt;$G271,"按分不一致 ","")&amp;IF(O271="※未登録","科目未登録 ","")&amp;IF(OR($H271="",ISERROR(MATCH($H271,{1,2,3,4,5,6,7,8},0))),"経費区分? ","")&amp;IF($I271="","状態未設定 ","")&amp;IF(AND(OR($I271="確認済",$I271="未確認"),$B271="月例",OR($C271="",$C271&lt;DATE(年度+2018,4,1),$C271&gt;DATE(年度+2019,3,31))),"年度外の日付 ","")&amp;IF(AND(OR($I271="確認済",$I271="未確認"),O271="対象外"),"対象外の科目 ","")))</f>
        <v/>
      </c>
      <c r="R271" s="366" t="inlineStr">
        <is>
          <t>月例!280</t>
        </is>
      </c>
    </row>
    <row r="272">
      <c r="A272" s="359" t="n">
        <v>268</v>
      </c>
      <c r="B272" s="360" t="inlineStr">
        <is>
          <t>月例</t>
        </is>
      </c>
      <c r="C272" s="361" t="n">
        <v>46294</v>
      </c>
      <c r="D272" s="362" t="inlineStr">
        <is>
          <t>賃借料</t>
        </is>
      </c>
      <c r="E272" s="362" t="n"/>
      <c r="F272" s="362" t="inlineStr">
        <is>
          <t>基幹システム用機器賃借料　8月分（長期）</t>
        </is>
      </c>
      <c r="G272" s="363" t="n">
        <v>69613</v>
      </c>
      <c r="H272" s="360" t="n">
        <v>3</v>
      </c>
      <c r="I272" s="360" t="inlineStr">
        <is>
          <t>確認済</t>
        </is>
      </c>
      <c r="J272" s="364">
        <f>IF($G272="","",IF($H272=1,$G272-ROUND($G272*10/23,0)-2*ROUND($G272/23,0),IF($H272=2,$G272,0)))</f>
        <v>0</v>
      </c>
      <c r="K272" s="364">
        <f>IF($G272="","",IF($H272=1,ROUND($G272*10/23,0),IF($H272=3,$G272-2*ROUND($G272/12,0),IF($H272=4,$G272,IF(OR($H272=5,$H272=7),ROUND($G272*10/11,0),0)))))</f>
        <v>58011</v>
      </c>
      <c r="L272" s="364">
        <f>IF($G272="","",IF($H272=1,ROUND($G272/23,0),IF($H272=3,ROUND($G272/12,0),IF($H272=5,$G272-ROUND($G272*10/11,0),IF($H272=8,$G272,0)))))</f>
        <v>5801</v>
      </c>
      <c r="M272" s="364">
        <f>IF($G272="","",IF($H272=1,ROUND($G272/23,0),IF($H272=3,ROUND($G272/12,0),IF($H272=6,$G272,IF($H272=7,$G272-ROUND($G272*10/11,0),0)))))</f>
        <v>5801</v>
      </c>
      <c r="N272" s="364">
        <f>IF($G272="","",K272+L272+M272)</f>
        <v>69613</v>
      </c>
      <c r="O272" s="365" t="str">
        <f>IF($G272="","",IFERROR(VLOOKUP($D272&amp;"|"&amp;$E272,科目表!$A$5:$B$200,2,FALSE),"※未登録"))</f>
        <v>賃借料</v>
      </c>
      <c r="P272" s="359">
        <f>IF(OR($G272="",$C272=""),"",IF($B272="決算整理",13,MOD(MONTH($C272)-4,12)+1))</f>
        <v>6</v>
      </c>
      <c r="Q272" s="366" t="str">
        <f>IF($G272="","",TRIM(IF(J272+K272+L272+M272&lt;&gt;$G272,"按分不一致 ","")&amp;IF(O272="※未登録","科目未登録 ","")&amp;IF(OR($H272="",ISERROR(MATCH($H272,{1,2,3,4,5,6,7,8},0))),"経費区分? ","")&amp;IF($I272="","状態未設定 ","")&amp;IF(AND(OR($I272="確認済",$I272="未確認"),$B272="月例",OR($C272="",$C272&lt;DATE(年度+2018,4,1),$C272&gt;DATE(年度+2019,3,31))),"年度外の日付 ","")&amp;IF(AND(OR($I272="確認済",$I272="未確認"),O272="対象外"),"対象外の科目 ","")))</f>
        <v/>
      </c>
      <c r="R272" s="366" t="inlineStr">
        <is>
          <t>月例!281</t>
        </is>
      </c>
    </row>
    <row r="273">
      <c r="A273" s="359" t="n">
        <v>269</v>
      </c>
      <c r="B273" s="360" t="inlineStr">
        <is>
          <t>月例</t>
        </is>
      </c>
      <c r="C273" s="361" t="n">
        <v>45946</v>
      </c>
      <c r="D273" s="362" t="inlineStr">
        <is>
          <t>事務費</t>
        </is>
      </c>
      <c r="E273" s="362" t="inlineStr">
        <is>
          <t>通信運搬費</t>
        </is>
      </c>
      <c r="F273" s="362" t="inlineStr">
        <is>
          <t>切手</t>
        </is>
      </c>
      <c r="G273" s="363" t="n">
        <v>68000</v>
      </c>
      <c r="H273" s="360" t="n">
        <v>2</v>
      </c>
      <c r="I273" s="360" t="inlineStr">
        <is>
          <t>昨年実績</t>
        </is>
      </c>
      <c r="J273" s="364">
        <f>IF($G273="","",IF($H273=1,$G273-ROUND($G273*10/23,0)-2*ROUND($G273/23,0),IF($H273=2,$G273,0)))</f>
        <v>68000</v>
      </c>
      <c r="K273" s="364">
        <f>IF($G273="","",IF($H273=1,ROUND($G273*10/23,0),IF($H273=3,$G273-2*ROUND($G273/12,0),IF($H273=4,$G273,IF(OR($H273=5,$H273=7),ROUND($G273*10/11,0),0)))))</f>
        <v>0</v>
      </c>
      <c r="L273" s="364">
        <f>IF($G273="","",IF($H273=1,ROUND($G273/23,0),IF($H273=3,ROUND($G273/12,0),IF($H273=5,$G273-ROUND($G273*10/11,0),IF($H273=8,$G273,0)))))</f>
        <v>0</v>
      </c>
      <c r="M273" s="364">
        <f>IF($G273="","",IF($H273=1,ROUND($G273/23,0),IF($H273=3,ROUND($G273/12,0),IF($H273=6,$G273,IF($H273=7,$G273-ROUND($G273*10/11,0),0)))))</f>
        <v>0</v>
      </c>
      <c r="N273" s="364">
        <f>IF($G273="","",K273+L273+M273)</f>
        <v>0</v>
      </c>
      <c r="O273" s="365" t="str">
        <f>IF($G273="","",IFERROR(VLOOKUP($D273&amp;"|"&amp;$E273,科目表!$A$5:$B$200,2,FALSE),"※未登録"))</f>
        <v>通信運搬費</v>
      </c>
      <c r="P273" s="359">
        <f>IF(OR($G273="",$C273=""),"",IF($B273="決算整理",13,MOD(MONTH($C273)-4,12)+1))</f>
        <v>7</v>
      </c>
      <c r="Q273" s="366" t="str">
        <f>IF($G273="","",TRIM(IF(J273+K273+L273+M273&lt;&gt;$G273,"按分不一致 ","")&amp;IF(O273="※未登録","科目未登録 ","")&amp;IF(OR($H273="",ISERROR(MATCH($H273,{1,2,3,4,5,6,7,8},0))),"経費区分? ","")&amp;IF($I273="","状態未設定 ","")&amp;IF(AND(OR($I273="確認済",$I273="未確認"),$B273="月例",OR($C273="",$C273&lt;DATE(年度+2018,4,1),$C273&gt;DATE(年度+2019,3,31))),"年度外の日付 ","")&amp;IF(AND(OR($I273="確認済",$I273="未確認"),O273="対象外"),"対象外の科目 ","")))</f>
        <v/>
      </c>
      <c r="R273" s="366" t="inlineStr">
        <is>
          <t>月例!282</t>
        </is>
      </c>
    </row>
    <row r="274">
      <c r="A274" s="359" t="n">
        <v>270</v>
      </c>
      <c r="B274" s="360" t="inlineStr">
        <is>
          <t>月例</t>
        </is>
      </c>
      <c r="C274" s="361" t="n">
        <v>46295</v>
      </c>
      <c r="D274" s="362" t="inlineStr">
        <is>
          <t>事務費</t>
        </is>
      </c>
      <c r="E274" s="362" t="inlineStr">
        <is>
          <t>図書印刷費</t>
        </is>
      </c>
      <c r="F274" s="362" t="inlineStr">
        <is>
          <t>厚生法規総覧追録　６１３６－６１４５号</t>
        </is>
      </c>
      <c r="G274" s="363" t="n">
        <v>33154</v>
      </c>
      <c r="H274" s="360" t="n">
        <v>2</v>
      </c>
      <c r="I274" s="360" t="inlineStr">
        <is>
          <t>確認済</t>
        </is>
      </c>
      <c r="J274" s="364">
        <f>IF($G274="","",IF($H274=1,$G274-ROUND($G274*10/23,0)-2*ROUND($G274/23,0),IF($H274=2,$G274,0)))</f>
        <v>33154</v>
      </c>
      <c r="K274" s="364">
        <f>IF($G274="","",IF($H274=1,ROUND($G274*10/23,0),IF($H274=3,$G274-2*ROUND($G274/12,0),IF($H274=4,$G274,IF(OR($H274=5,$H274=7),ROUND($G274*10/11,0),0)))))</f>
        <v>0</v>
      </c>
      <c r="L274" s="364">
        <f>IF($G274="","",IF($H274=1,ROUND($G274/23,0),IF($H274=3,ROUND($G274/12,0),IF($H274=5,$G274-ROUND($G274*10/11,0),IF($H274=8,$G274,0)))))</f>
        <v>0</v>
      </c>
      <c r="M274" s="364">
        <f>IF($G274="","",IF($H274=1,ROUND($G274/23,0),IF($H274=3,ROUND($G274/12,0),IF($H274=6,$G274,IF($H274=7,$G274-ROUND($G274*10/11,0),0)))))</f>
        <v>0</v>
      </c>
      <c r="N274" s="364">
        <f>IF($G274="","",K274+L274+M274)</f>
        <v>0</v>
      </c>
      <c r="O274" s="365" t="str">
        <f>IF($G274="","",IFERROR(VLOOKUP($D274&amp;"|"&amp;$E274,科目表!$A$5:$B$200,2,FALSE),"※未登録"))</f>
        <v>図書印刷費</v>
      </c>
      <c r="P274" s="359">
        <f>IF(OR($G274="",$C274=""),"",IF($B274="決算整理",13,MOD(MONTH($C274)-4,12)+1))</f>
        <v>6</v>
      </c>
      <c r="Q274" s="366" t="str">
        <f>IF($G274="","",TRIM(IF(J274+K274+L274+M274&lt;&gt;$G274,"按分不一致 ","")&amp;IF(O274="※未登録","科目未登録 ","")&amp;IF(OR($H274="",ISERROR(MATCH($H274,{1,2,3,4,5,6,7,8},0))),"経費区分? ","")&amp;IF($I274="","状態未設定 ","")&amp;IF(AND(OR($I274="確認済",$I274="未確認"),$B274="月例",OR($C274="",$C274&lt;DATE(年度+2018,4,1),$C274&gt;DATE(年度+2019,3,31))),"年度外の日付 ","")&amp;IF(AND(OR($I274="確認済",$I274="未確認"),O274="対象外"),"対象外の科目 ","")))</f>
        <v/>
      </c>
      <c r="R274" s="366" t="inlineStr">
        <is>
          <t>月例!283</t>
        </is>
      </c>
    </row>
    <row r="275">
      <c r="A275" s="359" t="n">
        <v>271</v>
      </c>
      <c r="B275" s="360" t="inlineStr">
        <is>
          <t>月例</t>
        </is>
      </c>
      <c r="C275" s="361" t="n">
        <v>46295</v>
      </c>
      <c r="D275" s="362" t="inlineStr">
        <is>
          <t>賃借料</t>
        </is>
      </c>
      <c r="E275" s="362" t="n"/>
      <c r="F275" s="362" t="inlineStr">
        <is>
          <t>統合管理端末リース料（８月分）</t>
        </is>
      </c>
      <c r="G275" s="363" t="n">
        <v>12738</v>
      </c>
      <c r="H275" s="360" t="n">
        <v>2</v>
      </c>
      <c r="I275" s="360" t="inlineStr">
        <is>
          <t>確認済</t>
        </is>
      </c>
      <c r="J275" s="364">
        <f>IF($G275="","",IF($H275=1,$G275-ROUND($G275*10/23,0)-2*ROUND($G275/23,0),IF($H275=2,$G275,0)))</f>
        <v>12738</v>
      </c>
      <c r="K275" s="364">
        <f>IF($G275="","",IF($H275=1,ROUND($G275*10/23,0),IF($H275=3,$G275-2*ROUND($G275/12,0),IF($H275=4,$G275,IF(OR($H275=5,$H275=7),ROUND($G275*10/11,0),0)))))</f>
        <v>0</v>
      </c>
      <c r="L275" s="364">
        <f>IF($G275="","",IF($H275=1,ROUND($G275/23,0),IF($H275=3,ROUND($G275/12,0),IF($H275=5,$G275-ROUND($G275*10/11,0),IF($H275=8,$G275,0)))))</f>
        <v>0</v>
      </c>
      <c r="M275" s="364">
        <f>IF($G275="","",IF($H275=1,ROUND($G275/23,0),IF($H275=3,ROUND($G275/12,0),IF($H275=6,$G275,IF($H275=7,$G275-ROUND($G275*10/11,0),0)))))</f>
        <v>0</v>
      </c>
      <c r="N275" s="364">
        <f>IF($G275="","",K275+L275+M275)</f>
        <v>0</v>
      </c>
      <c r="O275" s="365" t="str">
        <f>IF($G275="","",IFERROR(VLOOKUP($D275&amp;"|"&amp;$E275,科目表!$A$5:$B$200,2,FALSE),"※未登録"))</f>
        <v>賃借料</v>
      </c>
      <c r="P275" s="359">
        <f>IF(OR($G275="",$C275=""),"",IF($B275="決算整理",13,MOD(MONTH($C275)-4,12)+1))</f>
        <v>6</v>
      </c>
      <c r="Q275" s="366" t="str">
        <f>IF($G275="","",TRIM(IF(J275+K275+L275+M275&lt;&gt;$G275,"按分不一致 ","")&amp;IF(O275="※未登録","科目未登録 ","")&amp;IF(OR($H275="",ISERROR(MATCH($H275,{1,2,3,4,5,6,7,8},0))),"経費区分? ","")&amp;IF($I275="","状態未設定 ","")&amp;IF(AND(OR($I275="確認済",$I275="未確認"),$B275="月例",OR($C275="",$C275&lt;DATE(年度+2018,4,1),$C275&gt;DATE(年度+2019,3,31))),"年度外の日付 ","")&amp;IF(AND(OR($I275="確認済",$I275="未確認"),O275="対象外"),"対象外の科目 ","")))</f>
        <v/>
      </c>
      <c r="R275" s="366" t="inlineStr">
        <is>
          <t>月例!284</t>
        </is>
      </c>
    </row>
    <row r="276">
      <c r="A276" s="359" t="n">
        <v>272</v>
      </c>
      <c r="B276" s="360" t="inlineStr">
        <is>
          <t>月例</t>
        </is>
      </c>
      <c r="C276" s="361" t="n">
        <v>45230</v>
      </c>
      <c r="D276" s="362" t="inlineStr">
        <is>
          <t>委託費</t>
        </is>
      </c>
      <c r="E276" s="362" t="n"/>
      <c r="F276" s="362" t="inlineStr">
        <is>
          <t>統合管理端末保守料（4～9月分）</t>
        </is>
      </c>
      <c r="G276" s="363" t="n">
        <v>32340</v>
      </c>
      <c r="H276" s="360" t="n">
        <v>2</v>
      </c>
      <c r="I276" s="360" t="inlineStr">
        <is>
          <t>昨年実績</t>
        </is>
      </c>
      <c r="J276" s="364">
        <f>IF($G276="","",IF($H276=1,$G276-ROUND($G276*10/23,0)-2*ROUND($G276/23,0),IF($H276=2,$G276,0)))</f>
        <v>32340</v>
      </c>
      <c r="K276" s="364">
        <f>IF($G276="","",IF($H276=1,ROUND($G276*10/23,0),IF($H276=3,$G276-2*ROUND($G276/12,0),IF($H276=4,$G276,IF(OR($H276=5,$H276=7),ROUND($G276*10/11,0),0)))))</f>
        <v>0</v>
      </c>
      <c r="L276" s="364">
        <f>IF($G276="","",IF($H276=1,ROUND($G276/23,0),IF($H276=3,ROUND($G276/12,0),IF($H276=5,$G276-ROUND($G276*10/11,0),IF($H276=8,$G276,0)))))</f>
        <v>0</v>
      </c>
      <c r="M276" s="364">
        <f>IF($G276="","",IF($H276=1,ROUND($G276/23,0),IF($H276=3,ROUND($G276/12,0),IF($H276=6,$G276,IF($H276=7,$G276-ROUND($G276*10/11,0),0)))))</f>
        <v>0</v>
      </c>
      <c r="N276" s="364">
        <f>IF($G276="","",K276+L276+M276)</f>
        <v>0</v>
      </c>
      <c r="O276" s="365" t="str">
        <f>IF($G276="","",IFERROR(VLOOKUP($D276&amp;"|"&amp;$E276,科目表!$A$5:$B$200,2,FALSE),"※未登録"))</f>
        <v>委託費</v>
      </c>
      <c r="P276" s="359">
        <f>IF(OR($G276="",$C276=""),"",IF($B276="決算整理",13,MOD(MONTH($C276)-4,12)+1))</f>
        <v>7</v>
      </c>
      <c r="Q276" s="366" t="str">
        <f>IF($G276="","",TRIM(IF(J276+K276+L276+M276&lt;&gt;$G276,"按分不一致 ","")&amp;IF(O276="※未登録","科目未登録 ","")&amp;IF(OR($H276="",ISERROR(MATCH($H276,{1,2,3,4,5,6,7,8},0))),"経費区分? ","")&amp;IF($I276="","状態未設定 ","")&amp;IF(AND(OR($I276="確認済",$I276="未確認"),$B276="月例",OR($C276="",$C276&lt;DATE(年度+2018,4,1),$C276&gt;DATE(年度+2019,3,31))),"年度外の日付 ","")&amp;IF(AND(OR($I276="確認済",$I276="未確認"),O276="対象外"),"対象外の科目 ","")))</f>
        <v/>
      </c>
      <c r="R276" s="366" t="inlineStr">
        <is>
          <t>月例!285</t>
        </is>
      </c>
    </row>
    <row r="277">
      <c r="A277" s="359" t="n">
        <v>273</v>
      </c>
      <c r="B277" s="360" t="inlineStr">
        <is>
          <t>月例</t>
        </is>
      </c>
      <c r="C277" s="361" t="n">
        <v>44834</v>
      </c>
      <c r="D277" s="362" t="inlineStr">
        <is>
          <t>前期損益修正損</t>
        </is>
      </c>
      <c r="E277" s="362" t="n"/>
      <c r="F277" s="362" t="inlineStr">
        <is>
          <t>退職等年金給付業務に係る構成組合交付金（Ｒ３年度分精算）返還金</t>
        </is>
      </c>
      <c r="G277" s="363" t="n">
        <v>1893758</v>
      </c>
      <c r="H277" s="360" t="n">
        <v>6</v>
      </c>
      <c r="I277" s="360" t="inlineStr">
        <is>
          <t>昨年実績</t>
        </is>
      </c>
      <c r="J277" s="364">
        <f>IF($G277="","",IF($H277=1,$G277-ROUND($G277*10/23,0)-2*ROUND($G277/23,0),IF($H277=2,$G277,0)))</f>
        <v>0</v>
      </c>
      <c r="K277" s="364">
        <f>IF($G277="","",IF($H277=1,ROUND($G277*10/23,0),IF($H277=3,$G277-2*ROUND($G277/12,0),IF($H277=4,$G277,IF(OR($H277=5,$H277=7),ROUND($G277*10/11,0),0)))))</f>
        <v>0</v>
      </c>
      <c r="L277" s="364">
        <f>IF($G277="","",IF($H277=1,ROUND($G277/23,0),IF($H277=3,ROUND($G277/12,0),IF($H277=5,$G277-ROUND($G277*10/11,0),IF($H277=8,$G277,0)))))</f>
        <v>0</v>
      </c>
      <c r="M277" s="364">
        <f>IF($G277="","",IF($H277=1,ROUND($G277/23,0),IF($H277=3,ROUND($G277/12,0),IF($H277=6,$G277,IF($H277=7,$G277-ROUND($G277*10/11,0),0)))))</f>
        <v>1893758</v>
      </c>
      <c r="N277" s="364">
        <f>IF($G277="","",K277+L277+M277)</f>
        <v>1893758</v>
      </c>
      <c r="O277" s="365" t="str">
        <f>IF($G277="","",IFERROR(VLOOKUP($D277&amp;"|"&amp;$E277,科目表!$A$5:$B$200,2,FALSE),"※未登録"))</f>
        <v>対象外</v>
      </c>
      <c r="P277" s="359">
        <f>IF(OR($G277="",$C277=""),"",IF($B277="決算整理",13,MOD(MONTH($C277)-4,12)+1))</f>
        <v>6</v>
      </c>
      <c r="Q277" s="366" t="str">
        <f>IF($G277="","",TRIM(IF(J277+K277+L277+M277&lt;&gt;$G277,"按分不一致 ","")&amp;IF(O277="※未登録","科目未登録 ","")&amp;IF(OR($H277="",ISERROR(MATCH($H277,{1,2,3,4,5,6,7,8},0))),"経費区分? ","")&amp;IF($I277="","状態未設定 ","")&amp;IF(AND(OR($I277="確認済",$I277="未確認"),$B277="月例",OR($C277="",$C277&lt;DATE(年度+2018,4,1),$C277&gt;DATE(年度+2019,3,31))),"年度外の日付 ","")&amp;IF(AND(OR($I277="確認済",$I277="未確認"),O277="対象外"),"対象外の科目 ","")))</f>
        <v/>
      </c>
      <c r="R277" s="366" t="inlineStr">
        <is>
          <t>月例!286</t>
        </is>
      </c>
    </row>
    <row r="278">
      <c r="A278" s="359" t="n">
        <v>274</v>
      </c>
      <c r="B278" s="360" t="inlineStr">
        <is>
          <t>月例</t>
        </is>
      </c>
      <c r="C278" s="361" t="n">
        <v>46293</v>
      </c>
      <c r="D278" s="362" t="inlineStr">
        <is>
          <t>負担金</t>
        </is>
      </c>
      <c r="E278" s="362" t="inlineStr">
        <is>
          <t>負担金</t>
        </is>
      </c>
      <c r="F278" s="362" t="inlineStr">
        <is>
          <t>共済短期・介護負担金（９月月例分）長期</t>
        </is>
      </c>
      <c r="G278" s="363" t="n">
        <v>20974</v>
      </c>
      <c r="H278" s="360" t="n">
        <v>3</v>
      </c>
      <c r="I278" s="360" t="inlineStr">
        <is>
          <t>確認済</t>
        </is>
      </c>
      <c r="J278" s="364">
        <f>IF($G278="","",IF($H278=1,$G278-ROUND($G278*10/23,0)-2*ROUND($G278/23,0),IF($H278=2,$G278,0)))</f>
        <v>0</v>
      </c>
      <c r="K278" s="364">
        <f>IF($G278="","",IF($H278=1,ROUND($G278*10/23,0),IF($H278=3,$G278-2*ROUND($G278/12,0),IF($H278=4,$G278,IF(OR($H278=5,$H278=7),ROUND($G278*10/11,0),0)))))</f>
        <v>17478</v>
      </c>
      <c r="L278" s="364">
        <f>IF($G278="","",IF($H278=1,ROUND($G278/23,0),IF($H278=3,ROUND($G278/12,0),IF($H278=5,$G278-ROUND($G278*10/11,0),IF($H278=8,$G278,0)))))</f>
        <v>1748</v>
      </c>
      <c r="M278" s="364">
        <f>IF($G278="","",IF($H278=1,ROUND($G278/23,0),IF($H278=3,ROUND($G278/12,0),IF($H278=6,$G278,IF($H278=7,$G278-ROUND($G278*10/11,0),0)))))</f>
        <v>1748</v>
      </c>
      <c r="N278" s="364">
        <f>IF($G278="","",K278+L278+M278)</f>
        <v>20974</v>
      </c>
      <c r="O278" s="365" t="str">
        <f>IF($G278="","",IFERROR(VLOOKUP($D278&amp;"|"&amp;$E278,科目表!$A$5:$B$200,2,FALSE),"※未登録"))</f>
        <v>共済負担金等</v>
      </c>
      <c r="P278" s="359">
        <f>IF(OR($G278="",$C278=""),"",IF($B278="決算整理",13,MOD(MONTH($C278)-4,12)+1))</f>
        <v>6</v>
      </c>
      <c r="Q278" s="366" t="str">
        <f>IF($G278="","",TRIM(IF(J278+K278+L278+M278&lt;&gt;$G278,"按分不一致 ","")&amp;IF(O278="※未登録","科目未登録 ","")&amp;IF(OR($H278="",ISERROR(MATCH($H278,{1,2,3,4,5,6,7,8},0))),"経費区分? ","")&amp;IF($I278="","状態未設定 ","")&amp;IF(AND(OR($I278="確認済",$I278="未確認"),$B278="月例",OR($C278="",$C278&lt;DATE(年度+2018,4,1),$C278&gt;DATE(年度+2019,3,31))),"年度外の日付 ","")&amp;IF(AND(OR($I278="確認済",$I278="未確認"),O278="対象外"),"対象外の科目 ","")))</f>
        <v/>
      </c>
      <c r="R278" s="366" t="inlineStr">
        <is>
          <t>月例!287</t>
        </is>
      </c>
    </row>
    <row r="279">
      <c r="A279" s="359" t="n">
        <v>275</v>
      </c>
      <c r="B279" s="360" t="inlineStr">
        <is>
          <t>月例</t>
        </is>
      </c>
      <c r="C279" s="361" t="n">
        <v>46293</v>
      </c>
      <c r="D279" s="362" t="inlineStr">
        <is>
          <t>負担金</t>
        </is>
      </c>
      <c r="E279" s="362" t="inlineStr">
        <is>
          <t>負担金</t>
        </is>
      </c>
      <c r="F279" s="362" t="inlineStr">
        <is>
          <t>共済短期・介護負担金（９月月例分）短期</t>
        </is>
      </c>
      <c r="G279" s="363" t="n">
        <v>37763</v>
      </c>
      <c r="H279" s="360" t="n">
        <v>2</v>
      </c>
      <c r="I279" s="360" t="inlineStr">
        <is>
          <t>確認済</t>
        </is>
      </c>
      <c r="J279" s="364">
        <f>IF($G279="","",IF($H279=1,$G279-ROUND($G279*10/23,0)-2*ROUND($G279/23,0),IF($H279=2,$G279,0)))</f>
        <v>37763</v>
      </c>
      <c r="K279" s="364">
        <f>IF($G279="","",IF($H279=1,ROUND($G279*10/23,0),IF($H279=3,$G279-2*ROUND($G279/12,0),IF($H279=4,$G279,IF(OR($H279=5,$H279=7),ROUND($G279*10/11,0),0)))))</f>
        <v>0</v>
      </c>
      <c r="L279" s="364">
        <f>IF($G279="","",IF($H279=1,ROUND($G279/23,0),IF($H279=3,ROUND($G279/12,0),IF($H279=5,$G279-ROUND($G279*10/11,0),IF($H279=8,$G279,0)))))</f>
        <v>0</v>
      </c>
      <c r="M279" s="364">
        <f>IF($G279="","",IF($H279=1,ROUND($G279/23,0),IF($H279=3,ROUND($G279/12,0),IF($H279=6,$G279,IF($H279=7,$G279-ROUND($G279*10/11,0),0)))))</f>
        <v>0</v>
      </c>
      <c r="N279" s="364">
        <f>IF($G279="","",K279+L279+M279)</f>
        <v>0</v>
      </c>
      <c r="O279" s="365" t="str">
        <f>IF($G279="","",IFERROR(VLOOKUP($D279&amp;"|"&amp;$E279,科目表!$A$5:$B$200,2,FALSE),"※未登録"))</f>
        <v>共済負担金等</v>
      </c>
      <c r="P279" s="359">
        <f>IF(OR($G279="",$C279=""),"",IF($B279="決算整理",13,MOD(MONTH($C279)-4,12)+1))</f>
        <v>6</v>
      </c>
      <c r="Q279" s="366" t="str">
        <f>IF($G279="","",TRIM(IF(J279+K279+L279+M279&lt;&gt;$G279,"按分不一致 ","")&amp;IF(O279="※未登録","科目未登録 ","")&amp;IF(OR($H279="",ISERROR(MATCH($H279,{1,2,3,4,5,6,7,8},0))),"経費区分? ","")&amp;IF($I279="","状態未設定 ","")&amp;IF(AND(OR($I279="確認済",$I279="未確認"),$B279="月例",OR($C279="",$C279&lt;DATE(年度+2018,4,1),$C279&gt;DATE(年度+2019,3,31))),"年度外の日付 ","")&amp;IF(AND(OR($I279="確認済",$I279="未確認"),O279="対象外"),"対象外の科目 ","")))</f>
        <v/>
      </c>
      <c r="R279" s="366" t="inlineStr">
        <is>
          <t>月例!288</t>
        </is>
      </c>
    </row>
    <row r="280">
      <c r="A280" s="359" t="n">
        <v>276</v>
      </c>
      <c r="B280" s="360" t="inlineStr">
        <is>
          <t>月例</t>
        </is>
      </c>
      <c r="C280" s="361" t="n">
        <v>46325</v>
      </c>
      <c r="D280" s="362" t="inlineStr">
        <is>
          <t>事務費</t>
        </is>
      </c>
      <c r="E280" s="362" t="inlineStr">
        <is>
          <t>図書印刷費</t>
        </is>
      </c>
      <c r="F280" s="362" t="inlineStr">
        <is>
          <t>健康保険質疑応答集 追録106－108号</t>
        </is>
      </c>
      <c r="G280" s="363" t="n">
        <v>21780</v>
      </c>
      <c r="H280" s="360" t="n">
        <v>2</v>
      </c>
      <c r="I280" s="360" t="inlineStr">
        <is>
          <t>確認済</t>
        </is>
      </c>
      <c r="J280" s="364">
        <f>IF($G280="","",IF($H280=1,$G280-ROUND($G280*10/23,0)-2*ROUND($G280/23,0),IF($H280=2,$G280,0)))</f>
        <v>21780</v>
      </c>
      <c r="K280" s="364">
        <f>IF($G280="","",IF($H280=1,ROUND($G280*10/23,0),IF($H280=3,$G280-2*ROUND($G280/12,0),IF($H280=4,$G280,IF(OR($H280=5,$H280=7),ROUND($G280*10/11,0),0)))))</f>
        <v>0</v>
      </c>
      <c r="L280" s="364">
        <f>IF($G280="","",IF($H280=1,ROUND($G280/23,0),IF($H280=3,ROUND($G280/12,0),IF($H280=5,$G280-ROUND($G280*10/11,0),IF($H280=8,$G280,0)))))</f>
        <v>0</v>
      </c>
      <c r="M280" s="364">
        <f>IF($G280="","",IF($H280=1,ROUND($G280/23,0),IF($H280=3,ROUND($G280/12,0),IF($H280=6,$G280,IF($H280=7,$G280-ROUND($G280*10/11,0),0)))))</f>
        <v>0</v>
      </c>
      <c r="N280" s="364">
        <f>IF($G280="","",K280+L280+M280)</f>
        <v>0</v>
      </c>
      <c r="O280" s="365" t="str">
        <f>IF($G280="","",IFERROR(VLOOKUP($D280&amp;"|"&amp;$E280,科目表!$A$5:$B$200,2,FALSE),"※未登録"))</f>
        <v>図書印刷費</v>
      </c>
      <c r="P280" s="359">
        <f>IF(OR($G280="",$C280=""),"",IF($B280="決算整理",13,MOD(MONTH($C280)-4,12)+1))</f>
        <v>7</v>
      </c>
      <c r="Q280" s="366" t="str">
        <f>IF($G280="","",TRIM(IF(J280+K280+L280+M280&lt;&gt;$G280,"按分不一致 ","")&amp;IF(O280="※未登録","科目未登録 ","")&amp;IF(OR($H280="",ISERROR(MATCH($H280,{1,2,3,4,5,6,7,8},0))),"経費区分? ","")&amp;IF($I280="","状態未設定 ","")&amp;IF(AND(OR($I280="確認済",$I280="未確認"),$B280="月例",OR($C280="",$C280&lt;DATE(年度+2018,4,1),$C280&gt;DATE(年度+2019,3,31))),"年度外の日付 ","")&amp;IF(AND(OR($I280="確認済",$I280="未確認"),O280="対象外"),"対象外の科目 ","")))</f>
        <v/>
      </c>
      <c r="R280" s="366" t="inlineStr">
        <is>
          <t>月例!289</t>
        </is>
      </c>
    </row>
    <row r="281">
      <c r="A281" s="359" t="n">
        <v>277</v>
      </c>
      <c r="B281" s="360" t="inlineStr">
        <is>
          <t>月例</t>
        </is>
      </c>
      <c r="C281" s="361" t="n">
        <v>46295</v>
      </c>
      <c r="D281" s="362" t="inlineStr">
        <is>
          <t>事務費</t>
        </is>
      </c>
      <c r="E281" s="362" t="inlineStr">
        <is>
          <t>事務用消耗品費</t>
        </is>
      </c>
      <c r="F281" s="362" t="inlineStr">
        <is>
          <t>PPフラットファイル　青　３パック　他９点</t>
        </is>
      </c>
      <c r="G281" s="363" t="n">
        <v>45203</v>
      </c>
      <c r="H281" s="360" t="n">
        <v>2</v>
      </c>
      <c r="I281" s="360" t="inlineStr">
        <is>
          <t>確認済</t>
        </is>
      </c>
      <c r="J281" s="364">
        <f>IF($G281="","",IF($H281=1,$G281-ROUND($G281*10/23,0)-2*ROUND($G281/23,0),IF($H281=2,$G281,0)))</f>
        <v>45203</v>
      </c>
      <c r="K281" s="364">
        <f>IF($G281="","",IF($H281=1,ROUND($G281*10/23,0),IF($H281=3,$G281-2*ROUND($G281/12,0),IF($H281=4,$G281,IF(OR($H281=5,$H281=7),ROUND($G281*10/11,0),0)))))</f>
        <v>0</v>
      </c>
      <c r="L281" s="364">
        <f>IF($G281="","",IF($H281=1,ROUND($G281/23,0),IF($H281=3,ROUND($G281/12,0),IF($H281=5,$G281-ROUND($G281*10/11,0),IF($H281=8,$G281,0)))))</f>
        <v>0</v>
      </c>
      <c r="M281" s="364">
        <f>IF($G281="","",IF($H281=1,ROUND($G281/23,0),IF($H281=3,ROUND($G281/12,0),IF($H281=6,$G281,IF($H281=7,$G281-ROUND($G281*10/11,0),0)))))</f>
        <v>0</v>
      </c>
      <c r="N281" s="364">
        <f>IF($G281="","",K281+L281+M281)</f>
        <v>0</v>
      </c>
      <c r="O281" s="365" t="str">
        <f>IF($G281="","",IFERROR(VLOOKUP($D281&amp;"|"&amp;$E281,科目表!$A$5:$B$200,2,FALSE),"※未登録"))</f>
        <v>事務用消耗品費</v>
      </c>
      <c r="P281" s="359">
        <f>IF(OR($G281="",$C281=""),"",IF($B281="決算整理",13,MOD(MONTH($C281)-4,12)+1))</f>
        <v>6</v>
      </c>
      <c r="Q281" s="366" t="str">
        <f>IF($G281="","",TRIM(IF(J281+K281+L281+M281&lt;&gt;$G281,"按分不一致 ","")&amp;IF(O281="※未登録","科目未登録 ","")&amp;IF(OR($H281="",ISERROR(MATCH($H281,{1,2,3,4,5,6,7,8},0))),"経費区分? ","")&amp;IF($I281="","状態未設定 ","")&amp;IF(AND(OR($I281="確認済",$I281="未確認"),$B281="月例",OR($C281="",$C281&lt;DATE(年度+2018,4,1),$C281&gt;DATE(年度+2019,3,31))),"年度外の日付 ","")&amp;IF(AND(OR($I281="確認済",$I281="未確認"),O281="対象外"),"対象外の科目 ","")))</f>
        <v/>
      </c>
      <c r="R281" s="366" t="inlineStr">
        <is>
          <t>月例!290</t>
        </is>
      </c>
    </row>
    <row r="282">
      <c r="A282" s="359" t="n">
        <v>278</v>
      </c>
      <c r="B282" s="360" t="inlineStr">
        <is>
          <t>月例</t>
        </is>
      </c>
      <c r="C282" s="361" t="n">
        <v>44104</v>
      </c>
      <c r="D282" s="362" t="inlineStr">
        <is>
          <t>事務費</t>
        </is>
      </c>
      <c r="E282" s="362" t="inlineStr">
        <is>
          <t>事務用消耗品費</t>
        </is>
      </c>
      <c r="F282" s="362" t="inlineStr">
        <is>
          <t>ウイルス飛沫防止板　アクリル製　他(長期）</t>
        </is>
      </c>
      <c r="G282" s="363" t="n">
        <v>10725</v>
      </c>
      <c r="H282" s="360" t="n">
        <v>3</v>
      </c>
      <c r="I282" s="360" t="inlineStr">
        <is>
          <t>昨年実績</t>
        </is>
      </c>
      <c r="J282" s="364">
        <f>IF($G282="","",IF($H282=1,$G282-ROUND($G282*10/23,0)-2*ROUND($G282/23,0),IF($H282=2,$G282,0)))</f>
        <v>0</v>
      </c>
      <c r="K282" s="364">
        <f>IF($G282="","",IF($H282=1,ROUND($G282*10/23,0),IF($H282=3,$G282-2*ROUND($G282/12,0),IF($H282=4,$G282,IF(OR($H282=5,$H282=7),ROUND($G282*10/11,0),0)))))</f>
        <v>8937</v>
      </c>
      <c r="L282" s="364">
        <f>IF($G282="","",IF($H282=1,ROUND($G282/23,0),IF($H282=3,ROUND($G282/12,0),IF($H282=5,$G282-ROUND($G282*10/11,0),IF($H282=8,$G282,0)))))</f>
        <v>894</v>
      </c>
      <c r="M282" s="364">
        <f>IF($G282="","",IF($H282=1,ROUND($G282/23,0),IF($H282=3,ROUND($G282/12,0),IF($H282=6,$G282,IF($H282=7,$G282-ROUND($G282*10/11,0),0)))))</f>
        <v>894</v>
      </c>
      <c r="N282" s="364">
        <f>IF($G282="","",K282+L282+M282)</f>
        <v>10725</v>
      </c>
      <c r="O282" s="365" t="str">
        <f>IF($G282="","",IFERROR(VLOOKUP($D282&amp;"|"&amp;$E282,科目表!$A$5:$B$200,2,FALSE),"※未登録"))</f>
        <v>事務用消耗品費</v>
      </c>
      <c r="P282" s="359">
        <f>IF(OR($G282="",$C282=""),"",IF($B282="決算整理",13,MOD(MONTH($C282)-4,12)+1))</f>
        <v>6</v>
      </c>
      <c r="Q282" s="366" t="str">
        <f>IF($G282="","",TRIM(IF(J282+K282+L282+M282&lt;&gt;$G282,"按分不一致 ","")&amp;IF(O282="※未登録","科目未登録 ","")&amp;IF(OR($H282="",ISERROR(MATCH($H282,{1,2,3,4,5,6,7,8},0))),"経費区分? ","")&amp;IF($I282="","状態未設定 ","")&amp;IF(AND(OR($I282="確認済",$I282="未確認"),$B282="月例",OR($C282="",$C282&lt;DATE(年度+2018,4,1),$C282&gt;DATE(年度+2019,3,31))),"年度外の日付 ","")&amp;IF(AND(OR($I282="確認済",$I282="未確認"),O282="対象外"),"対象外の科目 ","")))</f>
        <v/>
      </c>
      <c r="R282" s="366" t="inlineStr">
        <is>
          <t>月例!291</t>
        </is>
      </c>
    </row>
    <row r="283">
      <c r="A283" s="359" t="n">
        <v>279</v>
      </c>
      <c r="B283" s="360" t="inlineStr">
        <is>
          <t>月例</t>
        </is>
      </c>
      <c r="C283" s="361" t="n">
        <v>46295</v>
      </c>
      <c r="D283" s="362" t="inlineStr">
        <is>
          <t>委託費</t>
        </is>
      </c>
      <c r="E283" s="362" t="n"/>
      <c r="F283" s="362" t="inlineStr">
        <is>
          <t>柔整等療養費支給申請書の入力（８月分）</t>
        </is>
      </c>
      <c r="G283" s="363" t="n">
        <v>141958</v>
      </c>
      <c r="H283" s="360" t="n">
        <v>2</v>
      </c>
      <c r="I283" s="360" t="inlineStr">
        <is>
          <t>確認済</t>
        </is>
      </c>
      <c r="J283" s="364">
        <f>IF($G283="","",IF($H283=1,$G283-ROUND($G283*10/23,0)-2*ROUND($G283/23,0),IF($H283=2,$G283,0)))</f>
        <v>141958</v>
      </c>
      <c r="K283" s="364">
        <f>IF($G283="","",IF($H283=1,ROUND($G283*10/23,0),IF($H283=3,$G283-2*ROUND($G283/12,0),IF($H283=4,$G283,IF(OR($H283=5,$H283=7),ROUND($G283*10/11,0),0)))))</f>
        <v>0</v>
      </c>
      <c r="L283" s="364">
        <f>IF($G283="","",IF($H283=1,ROUND($G283/23,0),IF($H283=3,ROUND($G283/12,0),IF($H283=5,$G283-ROUND($G283*10/11,0),IF($H283=8,$G283,0)))))</f>
        <v>0</v>
      </c>
      <c r="M283" s="364">
        <f>IF($G283="","",IF($H283=1,ROUND($G283/23,0),IF($H283=3,ROUND($G283/12,0),IF($H283=6,$G283,IF($H283=7,$G283-ROUND($G283*10/11,0),0)))))</f>
        <v>0</v>
      </c>
      <c r="N283" s="364">
        <f>IF($G283="","",K283+L283+M283)</f>
        <v>0</v>
      </c>
      <c r="O283" s="365" t="str">
        <f>IF($G283="","",IFERROR(VLOOKUP($D283&amp;"|"&amp;$E283,科目表!$A$5:$B$200,2,FALSE),"※未登録"))</f>
        <v>委託費</v>
      </c>
      <c r="P283" s="359">
        <f>IF(OR($G283="",$C283=""),"",IF($B283="決算整理",13,MOD(MONTH($C283)-4,12)+1))</f>
        <v>6</v>
      </c>
      <c r="Q283" s="366" t="str">
        <f>IF($G283="","",TRIM(IF(J283+K283+L283+M283&lt;&gt;$G283,"按分不一致 ","")&amp;IF(O283="※未登録","科目未登録 ","")&amp;IF(OR($H283="",ISERROR(MATCH($H283,{1,2,3,4,5,6,7,8},0))),"経費区分? ","")&amp;IF($I283="","状態未設定 ","")&amp;IF(AND(OR($I283="確認済",$I283="未確認"),$B283="月例",OR($C283="",$C283&lt;DATE(年度+2018,4,1),$C283&gt;DATE(年度+2019,3,31))),"年度外の日付 ","")&amp;IF(AND(OR($I283="確認済",$I283="未確認"),O283="対象外"),"対象外の科目 ","")))</f>
        <v/>
      </c>
      <c r="R283" s="366" t="inlineStr">
        <is>
          <t>月例!292</t>
        </is>
      </c>
    </row>
    <row r="284">
      <c r="A284" s="359" t="n">
        <v>280</v>
      </c>
      <c r="B284" s="360" t="inlineStr">
        <is>
          <t>月例</t>
        </is>
      </c>
      <c r="C284" s="361" t="n">
        <v>46295</v>
      </c>
      <c r="D284" s="362" t="inlineStr">
        <is>
          <t>負担金</t>
        </is>
      </c>
      <c r="E284" s="362" t="inlineStr">
        <is>
          <t>厚年負担金等</t>
        </is>
      </c>
      <c r="F284" s="362" t="inlineStr">
        <is>
          <t>８月月例分（短期分）子ども子育て拠出金を含む</t>
        </is>
      </c>
      <c r="G284" s="363" t="n">
        <v>62766</v>
      </c>
      <c r="H284" s="360" t="n">
        <v>2</v>
      </c>
      <c r="I284" s="360" t="inlineStr">
        <is>
          <t>確認済</t>
        </is>
      </c>
      <c r="J284" s="364">
        <f>IF($G284="","",IF($H284=1,$G284-ROUND($G284*10/23,0)-2*ROUND($G284/23,0),IF($H284=2,$G284,0)))</f>
        <v>62766</v>
      </c>
      <c r="K284" s="364">
        <f>IF($G284="","",IF($H284=1,ROUND($G284*10/23,0),IF($H284=3,$G284-2*ROUND($G284/12,0),IF($H284=4,$G284,IF(OR($H284=5,$H284=7),ROUND($G284*10/11,0),0)))))</f>
        <v>0</v>
      </c>
      <c r="L284" s="364">
        <f>IF($G284="","",IF($H284=1,ROUND($G284/23,0),IF($H284=3,ROUND($G284/12,0),IF($H284=5,$G284-ROUND($G284*10/11,0),IF($H284=8,$G284,0)))))</f>
        <v>0</v>
      </c>
      <c r="M284" s="364">
        <f>IF($G284="","",IF($H284=1,ROUND($G284/23,0),IF($H284=3,ROUND($G284/12,0),IF($H284=6,$G284,IF($H284=7,$G284-ROUND($G284*10/11,0),0)))))</f>
        <v>0</v>
      </c>
      <c r="N284" s="364">
        <f>IF($G284="","",K284+L284+M284)</f>
        <v>0</v>
      </c>
      <c r="O284" s="365" t="str">
        <f>IF($G284="","",IFERROR(VLOOKUP($D284&amp;"|"&amp;$E284,科目表!$A$5:$B$200,2,FALSE),"※未登録"))</f>
        <v>厚年負担金等</v>
      </c>
      <c r="P284" s="359">
        <f>IF(OR($G284="",$C284=""),"",IF($B284="決算整理",13,MOD(MONTH($C284)-4,12)+1))</f>
        <v>6</v>
      </c>
      <c r="Q284" s="366" t="str">
        <f>IF($G284="","",TRIM(IF(J284+K284+L284+M284&lt;&gt;$G284,"按分不一致 ","")&amp;IF(O284="※未登録","科目未登録 ","")&amp;IF(OR($H284="",ISERROR(MATCH($H284,{1,2,3,4,5,6,7,8},0))),"経費区分? ","")&amp;IF($I284="","状態未設定 ","")&amp;IF(AND(OR($I284="確認済",$I284="未確認"),$B284="月例",OR($C284="",$C284&lt;DATE(年度+2018,4,1),$C284&gt;DATE(年度+2019,3,31))),"年度外の日付 ","")&amp;IF(AND(OR($I284="確認済",$I284="未確認"),O284="対象外"),"対象外の科目 ","")))</f>
        <v/>
      </c>
      <c r="R284" s="366" t="inlineStr">
        <is>
          <t>月例!294</t>
        </is>
      </c>
    </row>
    <row r="285">
      <c r="A285" s="359" t="n">
        <v>281</v>
      </c>
      <c r="B285" s="360" t="inlineStr">
        <is>
          <t>月例</t>
        </is>
      </c>
      <c r="C285" s="361" t="n">
        <v>46295</v>
      </c>
      <c r="D285" s="362" t="inlineStr">
        <is>
          <t>負担金</t>
        </is>
      </c>
      <c r="E285" s="362" t="inlineStr">
        <is>
          <t>厚年負担金等</t>
        </is>
      </c>
      <c r="F285" s="362" t="inlineStr">
        <is>
          <t>８月月例分（長期分）子ども子育て拠出金を含む</t>
        </is>
      </c>
      <c r="G285" s="363" t="n">
        <v>37089</v>
      </c>
      <c r="H285" s="360" t="n">
        <v>3</v>
      </c>
      <c r="I285" s="360" t="inlineStr">
        <is>
          <t>確認済</t>
        </is>
      </c>
      <c r="J285" s="364">
        <f>IF($G285="","",IF($H285=1,$G285-ROUND($G285*10/23,0)-2*ROUND($G285/23,0),IF($H285=2,$G285,0)))</f>
        <v>0</v>
      </c>
      <c r="K285" s="364">
        <f>IF($G285="","",IF($H285=1,ROUND($G285*10/23,0),IF($H285=3,$G285-2*ROUND($G285/12,0),IF($H285=4,$G285,IF(OR($H285=5,$H285=7),ROUND($G285*10/11,0),0)))))</f>
        <v>30907</v>
      </c>
      <c r="L285" s="364">
        <f>IF($G285="","",IF($H285=1,ROUND($G285/23,0),IF($H285=3,ROUND($G285/12,0),IF($H285=5,$G285-ROUND($G285*10/11,0),IF($H285=8,$G285,0)))))</f>
        <v>3091</v>
      </c>
      <c r="M285" s="364">
        <f>IF($G285="","",IF($H285=1,ROUND($G285/23,0),IF($H285=3,ROUND($G285/12,0),IF($H285=6,$G285,IF($H285=7,$G285-ROUND($G285*10/11,0),0)))))</f>
        <v>3091</v>
      </c>
      <c r="N285" s="364">
        <f>IF($G285="","",K285+L285+M285)</f>
        <v>37089</v>
      </c>
      <c r="O285" s="365" t="str">
        <f>IF($G285="","",IFERROR(VLOOKUP($D285&amp;"|"&amp;$E285,科目表!$A$5:$B$200,2,FALSE),"※未登録"))</f>
        <v>厚年負担金等</v>
      </c>
      <c r="P285" s="359">
        <f>IF(OR($G285="",$C285=""),"",IF($B285="決算整理",13,MOD(MONTH($C285)-4,12)+1))</f>
        <v>6</v>
      </c>
      <c r="Q285" s="366" t="str">
        <f>IF($G285="","",TRIM(IF(J285+K285+L285+M285&lt;&gt;$G285,"按分不一致 ","")&amp;IF(O285="※未登録","科目未登録 ","")&amp;IF(OR($H285="",ISERROR(MATCH($H285,{1,2,3,4,5,6,7,8},0))),"経費区分? ","")&amp;IF($I285="","状態未設定 ","")&amp;IF(AND(OR($I285="確認済",$I285="未確認"),$B285="月例",OR($C285="",$C285&lt;DATE(年度+2018,4,1),$C285&gt;DATE(年度+2019,3,31))),"年度外の日付 ","")&amp;IF(AND(OR($I285="確認済",$I285="未確認"),O285="対象外"),"対象外の科目 ","")))</f>
        <v/>
      </c>
      <c r="R285" s="366" t="inlineStr">
        <is>
          <t>月例!296</t>
        </is>
      </c>
    </row>
    <row r="286">
      <c r="A286" s="359" t="n">
        <v>282</v>
      </c>
      <c r="B286" s="360" t="inlineStr">
        <is>
          <t>月例</t>
        </is>
      </c>
      <c r="C286" s="361" t="n">
        <v>46300</v>
      </c>
      <c r="D286" s="362" t="inlineStr">
        <is>
          <t>事務費</t>
        </is>
      </c>
      <c r="E286" s="362" t="inlineStr">
        <is>
          <t>通信運搬費</t>
        </is>
      </c>
      <c r="F286" s="362" t="inlineStr">
        <is>
          <t>インターネット通信料金（７・８月利用・９月請求分）</t>
        </is>
      </c>
      <c r="G286" s="363" t="n">
        <v>3663</v>
      </c>
      <c r="H286" s="360" t="n">
        <v>2</v>
      </c>
      <c r="I286" s="360" t="inlineStr">
        <is>
          <t>確認済</t>
        </is>
      </c>
      <c r="J286" s="364">
        <f>IF($G286="","",IF($H286=1,$G286-ROUND($G286*10/23,0)-2*ROUND($G286/23,0),IF($H286=2,$G286,0)))</f>
        <v>3663</v>
      </c>
      <c r="K286" s="364">
        <f>IF($G286="","",IF($H286=1,ROUND($G286*10/23,0),IF($H286=3,$G286-2*ROUND($G286/12,0),IF($H286=4,$G286,IF(OR($H286=5,$H286=7),ROUND($G286*10/11,0),0)))))</f>
        <v>0</v>
      </c>
      <c r="L286" s="364">
        <f>IF($G286="","",IF($H286=1,ROUND($G286/23,0),IF($H286=3,ROUND($G286/12,0),IF($H286=5,$G286-ROUND($G286*10/11,0),IF($H286=8,$G286,0)))))</f>
        <v>0</v>
      </c>
      <c r="M286" s="364">
        <f>IF($G286="","",IF($H286=1,ROUND($G286/23,0),IF($H286=3,ROUND($G286/12,0),IF($H286=6,$G286,IF($H286=7,$G286-ROUND($G286*10/11,0),0)))))</f>
        <v>0</v>
      </c>
      <c r="N286" s="364">
        <f>IF($G286="","",K286+L286+M286)</f>
        <v>0</v>
      </c>
      <c r="O286" s="365" t="str">
        <f>IF($G286="","",IFERROR(VLOOKUP($D286&amp;"|"&amp;$E286,科目表!$A$5:$B$200,2,FALSE),"※未登録"))</f>
        <v>通信運搬費</v>
      </c>
      <c r="P286" s="359">
        <f>IF(OR($G286="",$C286=""),"",IF($B286="決算整理",13,MOD(MONTH($C286)-4,12)+1))</f>
        <v>7</v>
      </c>
      <c r="Q286" s="366" t="str">
        <f>IF($G286="","",TRIM(IF(J286+K286+L286+M286&lt;&gt;$G286,"按分不一致 ","")&amp;IF(O286="※未登録","科目未登録 ","")&amp;IF(OR($H286="",ISERROR(MATCH($H286,{1,2,3,4,5,6,7,8},0))),"経費区分? ","")&amp;IF($I286="","状態未設定 ","")&amp;IF(AND(OR($I286="確認済",$I286="未確認"),$B286="月例",OR($C286="",$C286&lt;DATE(年度+2018,4,1),$C286&gt;DATE(年度+2019,3,31))),"年度外の日付 ","")&amp;IF(AND(OR($I286="確認済",$I286="未確認"),O286="対象外"),"対象外の科目 ","")))</f>
        <v/>
      </c>
      <c r="R286" s="366" t="inlineStr">
        <is>
          <t>月例!297</t>
        </is>
      </c>
    </row>
    <row r="287">
      <c r="A287" s="359" t="n">
        <v>283</v>
      </c>
      <c r="B287" s="360" t="inlineStr">
        <is>
          <t>月例</t>
        </is>
      </c>
      <c r="C287" s="361" t="n">
        <v>45565</v>
      </c>
      <c r="D287" s="362" t="inlineStr">
        <is>
          <t>事務費</t>
        </is>
      </c>
      <c r="E287" s="362" t="inlineStr">
        <is>
          <t>通信運搬費</t>
        </is>
      </c>
      <c r="F287" s="362" t="inlineStr">
        <is>
          <t>フレッツ光ネクスト利用料等（８月利用・９月請求分）</t>
        </is>
      </c>
      <c r="G287" s="363" t="n">
        <v>5126</v>
      </c>
      <c r="H287" s="360" t="n">
        <v>2</v>
      </c>
      <c r="I287" s="360" t="inlineStr">
        <is>
          <t>昨年実績</t>
        </is>
      </c>
      <c r="J287" s="364">
        <f>IF($G287="","",IF($H287=1,$G287-ROUND($G287*10/23,0)-2*ROUND($G287/23,0),IF($H287=2,$G287,0)))</f>
        <v>5126</v>
      </c>
      <c r="K287" s="364">
        <f>IF($G287="","",IF($H287=1,ROUND($G287*10/23,0),IF($H287=3,$G287-2*ROUND($G287/12,0),IF($H287=4,$G287,IF(OR($H287=5,$H287=7),ROUND($G287*10/11,0),0)))))</f>
        <v>0</v>
      </c>
      <c r="L287" s="364">
        <f>IF($G287="","",IF($H287=1,ROUND($G287/23,0),IF($H287=3,ROUND($G287/12,0),IF($H287=5,$G287-ROUND($G287*10/11,0),IF($H287=8,$G287,0)))))</f>
        <v>0</v>
      </c>
      <c r="M287" s="364">
        <f>IF($G287="","",IF($H287=1,ROUND($G287/23,0),IF($H287=3,ROUND($G287/12,0),IF($H287=6,$G287,IF($H287=7,$G287-ROUND($G287*10/11,0),0)))))</f>
        <v>0</v>
      </c>
      <c r="N287" s="364">
        <f>IF($G287="","",K287+L287+M287)</f>
        <v>0</v>
      </c>
      <c r="O287" s="365" t="str">
        <f>IF($G287="","",IFERROR(VLOOKUP($D287&amp;"|"&amp;$E287,科目表!$A$5:$B$200,2,FALSE),"※未登録"))</f>
        <v>通信運搬費</v>
      </c>
      <c r="P287" s="359">
        <f>IF(OR($G287="",$C287=""),"",IF($B287="決算整理",13,MOD(MONTH($C287)-4,12)+1))</f>
        <v>6</v>
      </c>
      <c r="Q287" s="366" t="str">
        <f>IF($G287="","",TRIM(IF(J287+K287+L287+M287&lt;&gt;$G287,"按分不一致 ","")&amp;IF(O287="※未登録","科目未登録 ","")&amp;IF(OR($H287="",ISERROR(MATCH($H287,{1,2,3,4,5,6,7,8},0))),"経費区分? ","")&amp;IF($I287="","状態未設定 ","")&amp;IF(AND(OR($I287="確認済",$I287="未確認"),$B287="月例",OR($C287="",$C287&lt;DATE(年度+2018,4,1),$C287&gt;DATE(年度+2019,3,31))),"年度外の日付 ","")&amp;IF(AND(OR($I287="確認済",$I287="未確認"),O287="対象外"),"対象外の科目 ","")))</f>
        <v/>
      </c>
      <c r="R287" s="366" t="inlineStr">
        <is>
          <t>月例!298</t>
        </is>
      </c>
    </row>
    <row r="288">
      <c r="A288" s="359" t="n">
        <v>284</v>
      </c>
      <c r="B288" s="360" t="inlineStr">
        <is>
          <t>月例</t>
        </is>
      </c>
      <c r="C288" s="361" t="n">
        <v>46302</v>
      </c>
      <c r="D288" s="362" t="inlineStr">
        <is>
          <t>事務費負担金払込金</t>
        </is>
      </c>
      <c r="E288" s="362" t="n"/>
      <c r="F288" s="362" t="inlineStr">
        <is>
          <t>９月分事務費負担金払込金　連合会へ払込</t>
        </is>
      </c>
      <c r="G288" s="363" t="n">
        <v>5366000</v>
      </c>
      <c r="H288" s="360" t="n">
        <v>5</v>
      </c>
      <c r="I288" s="360" t="inlineStr">
        <is>
          <t>確認済</t>
        </is>
      </c>
      <c r="J288" s="364">
        <f>IF($G288="","",IF($H288=1,$G288-ROUND($G288*10/23,0)-2*ROUND($G288/23,0),IF($H288=2,$G288,0)))</f>
        <v>0</v>
      </c>
      <c r="K288" s="364">
        <f>IF($G288="","",IF($H288=1,ROUND($G288*10/23,0),IF($H288=3,$G288-2*ROUND($G288/12,0),IF($H288=4,$G288,IF(OR($H288=5,$H288=7),ROUND($G288*10/11,0),0)))))</f>
        <v>4878182</v>
      </c>
      <c r="L288" s="364">
        <f>IF($G288="","",IF($H288=1,ROUND($G288/23,0),IF($H288=3,ROUND($G288/12,0),IF($H288=5,$G288-ROUND($G288*10/11,0),IF($H288=8,$G288,0)))))</f>
        <v>487818</v>
      </c>
      <c r="M288" s="364">
        <f>IF($G288="","",IF($H288=1,ROUND($G288/23,0),IF($H288=3,ROUND($G288/12,0),IF($H288=6,$G288,IF($H288=7,$G288-ROUND($G288*10/11,0),0)))))</f>
        <v>0</v>
      </c>
      <c r="N288" s="364">
        <f>IF($G288="","",K288+L288+M288)</f>
        <v>5366000</v>
      </c>
      <c r="O288" s="365" t="str">
        <f>IF($G288="","",IFERROR(VLOOKUP($D288&amp;"|"&amp;$E288,科目表!$A$5:$B$200,2,FALSE),"※未登録"))</f>
        <v>事務費負担金払込金</v>
      </c>
      <c r="P288" s="359">
        <f>IF(OR($G288="",$C288=""),"",IF($B288="決算整理",13,MOD(MONTH($C288)-4,12)+1))</f>
        <v>7</v>
      </c>
      <c r="Q288" s="366" t="str">
        <f>IF($G288="","",TRIM(IF(J288+K288+L288+M288&lt;&gt;$G288,"按分不一致 ","")&amp;IF(O288="※未登録","科目未登録 ","")&amp;IF(OR($H288="",ISERROR(MATCH($H288,{1,2,3,4,5,6,7,8},0))),"経費区分? ","")&amp;IF($I288="","状態未設定 ","")&amp;IF(AND(OR($I288="確認済",$I288="未確認"),$B288="月例",OR($C288="",$C288&lt;DATE(年度+2018,4,1),$C288&gt;DATE(年度+2019,3,31))),"年度外の日付 ","")&amp;IF(AND(OR($I288="確認済",$I288="未確認"),O288="対象外"),"対象外の科目 ","")))</f>
        <v/>
      </c>
      <c r="R288" s="366" t="inlineStr">
        <is>
          <t>月例!299</t>
        </is>
      </c>
    </row>
    <row r="289">
      <c r="A289" s="359" t="n">
        <v>285</v>
      </c>
      <c r="B289" s="360" t="inlineStr">
        <is>
          <t>月例</t>
        </is>
      </c>
      <c r="C289" s="361" t="n">
        <v>43745</v>
      </c>
      <c r="D289" s="362" t="inlineStr">
        <is>
          <t>負担金</t>
        </is>
      </c>
      <c r="E289" s="362" t="inlineStr">
        <is>
          <t>負担金</t>
        </is>
      </c>
      <c r="F289" s="362" t="inlineStr">
        <is>
          <t>収入印紙</t>
        </is>
      </c>
      <c r="G289" s="363" t="n">
        <v>1000</v>
      </c>
      <c r="H289" s="360" t="n">
        <v>3</v>
      </c>
      <c r="I289" s="360" t="inlineStr">
        <is>
          <t>昨年実績</t>
        </is>
      </c>
      <c r="J289" s="364">
        <f>IF($G289="","",IF($H289=1,$G289-ROUND($G289*10/23,0)-2*ROUND($G289/23,0),IF($H289=2,$G289,0)))</f>
        <v>0</v>
      </c>
      <c r="K289" s="364">
        <f>IF($G289="","",IF($H289=1,ROUND($G289*10/23,0),IF($H289=3,$G289-2*ROUND($G289/12,0),IF($H289=4,$G289,IF(OR($H289=5,$H289=7),ROUND($G289*10/11,0),0)))))</f>
        <v>834</v>
      </c>
      <c r="L289" s="364">
        <f>IF($G289="","",IF($H289=1,ROUND($G289/23,0),IF($H289=3,ROUND($G289/12,0),IF($H289=5,$G289-ROUND($G289*10/11,0),IF($H289=8,$G289,0)))))</f>
        <v>83</v>
      </c>
      <c r="M289" s="364">
        <f>IF($G289="","",IF($H289=1,ROUND($G289/23,0),IF($H289=3,ROUND($G289/12,0),IF($H289=6,$G289,IF($H289=7,$G289-ROUND($G289*10/11,0),0)))))</f>
        <v>83</v>
      </c>
      <c r="N289" s="364">
        <f>IF($G289="","",K289+L289+M289)</f>
        <v>1000</v>
      </c>
      <c r="O289" s="365" t="str">
        <f>IF($G289="","",IFERROR(VLOOKUP($D289&amp;"|"&amp;$E289,科目表!$A$5:$B$200,2,FALSE),"※未登録"))</f>
        <v>共済負担金等</v>
      </c>
      <c r="P289" s="359">
        <f>IF(OR($G289="",$C289=""),"",IF($B289="決算整理",13,MOD(MONTH($C289)-4,12)+1))</f>
        <v>7</v>
      </c>
      <c r="Q289" s="366" t="str">
        <f>IF($G289="","",TRIM(IF(J289+K289+L289+M289&lt;&gt;$G289,"按分不一致 ","")&amp;IF(O289="※未登録","科目未登録 ","")&amp;IF(OR($H289="",ISERROR(MATCH($H289,{1,2,3,4,5,6,7,8},0))),"経費区分? ","")&amp;IF($I289="","状態未設定 ","")&amp;IF(AND(OR($I289="確認済",$I289="未確認"),$B289="月例",OR($C289="",$C289&lt;DATE(年度+2018,4,1),$C289&gt;DATE(年度+2019,3,31))),"年度外の日付 ","")&amp;IF(AND(OR($I289="確認済",$I289="未確認"),O289="対象外"),"対象外の科目 ","")))</f>
        <v/>
      </c>
      <c r="R289" s="366" t="inlineStr">
        <is>
          <t>月例!300</t>
        </is>
      </c>
    </row>
    <row r="290">
      <c r="A290" s="359" t="n">
        <v>286</v>
      </c>
      <c r="B290" s="360" t="inlineStr">
        <is>
          <t>月例</t>
        </is>
      </c>
      <c r="C290" s="361" t="n">
        <v>46308</v>
      </c>
      <c r="D290" s="362" t="inlineStr">
        <is>
          <t>事務費</t>
        </is>
      </c>
      <c r="E290" s="362" t="inlineStr">
        <is>
          <t>送金料</t>
        </is>
      </c>
      <c r="F290" s="362" t="inlineStr">
        <is>
          <t>振込手数料（広銀）９月分　長期分</t>
        </is>
      </c>
      <c r="G290" s="363" t="n">
        <v>15324</v>
      </c>
      <c r="H290" s="360" t="n">
        <v>3</v>
      </c>
      <c r="I290" s="360" t="inlineStr">
        <is>
          <t>確認済</t>
        </is>
      </c>
      <c r="J290" s="364">
        <f>IF($G290="","",IF($H290=1,$G290-ROUND($G290*10/23,0)-2*ROUND($G290/23,0),IF($H290=2,$G290,0)))</f>
        <v>0</v>
      </c>
      <c r="K290" s="364">
        <f>IF($G290="","",IF($H290=1,ROUND($G290*10/23,0),IF($H290=3,$G290-2*ROUND($G290/12,0),IF($H290=4,$G290,IF(OR($H290=5,$H290=7),ROUND($G290*10/11,0),0)))))</f>
        <v>12770</v>
      </c>
      <c r="L290" s="364">
        <f>IF($G290="","",IF($H290=1,ROUND($G290/23,0),IF($H290=3,ROUND($G290/12,0),IF($H290=5,$G290-ROUND($G290*10/11,0),IF($H290=8,$G290,0)))))</f>
        <v>1277</v>
      </c>
      <c r="M290" s="364">
        <f>IF($G290="","",IF($H290=1,ROUND($G290/23,0),IF($H290=3,ROUND($G290/12,0),IF($H290=6,$G290,IF($H290=7,$G290-ROUND($G290*10/11,0),0)))))</f>
        <v>1277</v>
      </c>
      <c r="N290" s="364">
        <f>IF($G290="","",K290+L290+M290)</f>
        <v>15324</v>
      </c>
      <c r="O290" s="365" t="str">
        <f>IF($G290="","",IFERROR(VLOOKUP($D290&amp;"|"&amp;$E290,科目表!$A$5:$B$200,2,FALSE),"※未登録"))</f>
        <v>送金料</v>
      </c>
      <c r="P290" s="359">
        <f>IF(OR($G290="",$C290=""),"",IF($B290="決算整理",13,MOD(MONTH($C290)-4,12)+1))</f>
        <v>7</v>
      </c>
      <c r="Q290" s="366" t="str">
        <f>IF($G290="","",TRIM(IF(J290+K290+L290+M290&lt;&gt;$G290,"按分不一致 ","")&amp;IF(O290="※未登録","科目未登録 ","")&amp;IF(OR($H290="",ISERROR(MATCH($H290,{1,2,3,4,5,6,7,8},0))),"経費区分? ","")&amp;IF($I290="","状態未設定 ","")&amp;IF(AND(OR($I290="確認済",$I290="未確認"),$B290="月例",OR($C290="",$C290&lt;DATE(年度+2018,4,1),$C290&gt;DATE(年度+2019,3,31))),"年度外の日付 ","")&amp;IF(AND(OR($I290="確認済",$I290="未確認"),O290="対象外"),"対象外の科目 ","")))</f>
        <v/>
      </c>
      <c r="R290" s="366" t="inlineStr">
        <is>
          <t>月例!301</t>
        </is>
      </c>
    </row>
    <row r="291">
      <c r="A291" s="359" t="n">
        <v>287</v>
      </c>
      <c r="B291" s="360" t="inlineStr">
        <is>
          <t>月例</t>
        </is>
      </c>
      <c r="C291" s="361" t="n">
        <v>46308</v>
      </c>
      <c r="D291" s="362" t="inlineStr">
        <is>
          <t>事務費</t>
        </is>
      </c>
      <c r="E291" s="362" t="inlineStr">
        <is>
          <t>送金料</t>
        </is>
      </c>
      <c r="F291" s="362" t="inlineStr">
        <is>
          <t>振込手数料（広銀）９月分　短期分</t>
        </is>
      </c>
      <c r="G291" s="363" t="n">
        <v>152707</v>
      </c>
      <c r="H291" s="360" t="n">
        <v>2</v>
      </c>
      <c r="I291" s="360" t="inlineStr">
        <is>
          <t>確認済</t>
        </is>
      </c>
      <c r="J291" s="364">
        <f>IF($G291="","",IF($H291=1,$G291-ROUND($G291*10/23,0)-2*ROUND($G291/23,0),IF($H291=2,$G291,0)))</f>
        <v>152707</v>
      </c>
      <c r="K291" s="364">
        <f>IF($G291="","",IF($H291=1,ROUND($G291*10/23,0),IF($H291=3,$G291-2*ROUND($G291/12,0),IF($H291=4,$G291,IF(OR($H291=5,$H291=7),ROUND($G291*10/11,0),0)))))</f>
        <v>0</v>
      </c>
      <c r="L291" s="364">
        <f>IF($G291="","",IF($H291=1,ROUND($G291/23,0),IF($H291=3,ROUND($G291/12,0),IF($H291=5,$G291-ROUND($G291*10/11,0),IF($H291=8,$G291,0)))))</f>
        <v>0</v>
      </c>
      <c r="M291" s="364">
        <f>IF($G291="","",IF($H291=1,ROUND($G291/23,0),IF($H291=3,ROUND($G291/12,0),IF($H291=6,$G291,IF($H291=7,$G291-ROUND($G291*10/11,0),0)))))</f>
        <v>0</v>
      </c>
      <c r="N291" s="364">
        <f>IF($G291="","",K291+L291+M291)</f>
        <v>0</v>
      </c>
      <c r="O291" s="365" t="str">
        <f>IF($G291="","",IFERROR(VLOOKUP($D291&amp;"|"&amp;$E291,科目表!$A$5:$B$200,2,FALSE),"※未登録"))</f>
        <v>送金料</v>
      </c>
      <c r="P291" s="359">
        <f>IF(OR($G291="",$C291=""),"",IF($B291="決算整理",13,MOD(MONTH($C291)-4,12)+1))</f>
        <v>7</v>
      </c>
      <c r="Q291" s="366" t="str">
        <f>IF($G291="","",TRIM(IF(J291+K291+L291+M291&lt;&gt;$G291,"按分不一致 ","")&amp;IF(O291="※未登録","科目未登録 ","")&amp;IF(OR($H291="",ISERROR(MATCH($H291,{1,2,3,4,5,6,7,8},0))),"経費区分? ","")&amp;IF($I291="","状態未設定 ","")&amp;IF(AND(OR($I291="確認済",$I291="未確認"),$B291="月例",OR($C291="",$C291&lt;DATE(年度+2018,4,1),$C291&gt;DATE(年度+2019,3,31))),"年度外の日付 ","")&amp;IF(AND(OR($I291="確認済",$I291="未確認"),O291="対象外"),"対象外の科目 ","")))</f>
        <v/>
      </c>
      <c r="R291" s="366" t="inlineStr">
        <is>
          <t>月例!302</t>
        </is>
      </c>
    </row>
    <row r="292">
      <c r="A292" s="359" t="n">
        <v>288</v>
      </c>
      <c r="B292" s="360" t="inlineStr">
        <is>
          <t>月例</t>
        </is>
      </c>
      <c r="C292" s="361" t="n">
        <v>43385</v>
      </c>
      <c r="D292" s="362" t="inlineStr">
        <is>
          <t>事務費</t>
        </is>
      </c>
      <c r="E292" s="362" t="inlineStr">
        <is>
          <t>通信運搬費</t>
        </is>
      </c>
      <c r="F292" s="362" t="inlineStr">
        <is>
          <t>切手</t>
        </is>
      </c>
      <c r="G292" s="363" t="n">
        <v>1137800</v>
      </c>
      <c r="H292" s="360" t="n">
        <v>3</v>
      </c>
      <c r="I292" s="360" t="inlineStr">
        <is>
          <t>昨年実績</t>
        </is>
      </c>
      <c r="J292" s="364">
        <f>IF($G292="","",IF($H292=1,$G292-ROUND($G292*10/23,0)-2*ROUND($G292/23,0),IF($H292=2,$G292,0)))</f>
        <v>0</v>
      </c>
      <c r="K292" s="364">
        <f>IF($G292="","",IF($H292=1,ROUND($G292*10/23,0),IF($H292=3,$G292-2*ROUND($G292/12,0),IF($H292=4,$G292,IF(OR($H292=5,$H292=7),ROUND($G292*10/11,0),0)))))</f>
        <v>948166</v>
      </c>
      <c r="L292" s="364">
        <f>IF($G292="","",IF($H292=1,ROUND($G292/23,0),IF($H292=3,ROUND($G292/12,0),IF($H292=5,$G292-ROUND($G292*10/11,0),IF($H292=8,$G292,0)))))</f>
        <v>94817</v>
      </c>
      <c r="M292" s="364">
        <f>IF($G292="","",IF($H292=1,ROUND($G292/23,0),IF($H292=3,ROUND($G292/12,0),IF($H292=6,$G292,IF($H292=7,$G292-ROUND($G292*10/11,0),0)))))</f>
        <v>94817</v>
      </c>
      <c r="N292" s="364">
        <f>IF($G292="","",K292+L292+M292)</f>
        <v>1137800</v>
      </c>
      <c r="O292" s="365" t="str">
        <f>IF($G292="","",IFERROR(VLOOKUP($D292&amp;"|"&amp;$E292,科目表!$A$5:$B$200,2,FALSE),"※未登録"))</f>
        <v>通信運搬費</v>
      </c>
      <c r="P292" s="359">
        <f>IF(OR($G292="",$C292=""),"",IF($B292="決算整理",13,MOD(MONTH($C292)-4,12)+1))</f>
        <v>7</v>
      </c>
      <c r="Q292" s="366" t="str">
        <f>IF($G292="","",TRIM(IF(J292+K292+L292+M292&lt;&gt;$G292,"按分不一致 ","")&amp;IF(O292="※未登録","科目未登録 ","")&amp;IF(OR($H292="",ISERROR(MATCH($H292,{1,2,3,4,5,6,7,8},0))),"経費区分? ","")&amp;IF($I292="","状態未設定 ","")&amp;IF(AND(OR($I292="確認済",$I292="未確認"),$B292="月例",OR($C292="",$C292&lt;DATE(年度+2018,4,1),$C292&gt;DATE(年度+2019,3,31))),"年度外の日付 ","")&amp;IF(AND(OR($I292="確認済",$I292="未確認"),O292="対象外"),"対象外の科目 ","")))</f>
        <v/>
      </c>
      <c r="R292" s="366" t="inlineStr">
        <is>
          <t>月例!303</t>
        </is>
      </c>
    </row>
    <row r="293">
      <c r="A293" s="359" t="n">
        <v>289</v>
      </c>
      <c r="B293" s="360" t="inlineStr">
        <is>
          <t>月例</t>
        </is>
      </c>
      <c r="C293" s="361" t="n">
        <v>44119</v>
      </c>
      <c r="D293" s="362" t="inlineStr">
        <is>
          <t>事務費</t>
        </is>
      </c>
      <c r="E293" s="362" t="inlineStr">
        <is>
          <t>図書印刷費</t>
        </is>
      </c>
      <c r="F293" s="362" t="inlineStr">
        <is>
          <t>窓付封筒（290×240）1,000枚</t>
        </is>
      </c>
      <c r="G293" s="363" t="n">
        <v>35750</v>
      </c>
      <c r="H293" s="360" t="n">
        <v>3</v>
      </c>
      <c r="I293" s="360" t="inlineStr">
        <is>
          <t>昨年実績</t>
        </is>
      </c>
      <c r="J293" s="364">
        <f>IF($G293="","",IF($H293=1,$G293-ROUND($G293*10/23,0)-2*ROUND($G293/23,0),IF($H293=2,$G293,0)))</f>
        <v>0</v>
      </c>
      <c r="K293" s="364">
        <f>IF($G293="","",IF($H293=1,ROUND($G293*10/23,0),IF($H293=3,$G293-2*ROUND($G293/12,0),IF($H293=4,$G293,IF(OR($H293=5,$H293=7),ROUND($G293*10/11,0),0)))))</f>
        <v>29792</v>
      </c>
      <c r="L293" s="364">
        <f>IF($G293="","",IF($H293=1,ROUND($G293/23,0),IF($H293=3,ROUND($G293/12,0),IF($H293=5,$G293-ROUND($G293*10/11,0),IF($H293=8,$G293,0)))))</f>
        <v>2979</v>
      </c>
      <c r="M293" s="364">
        <f>IF($G293="","",IF($H293=1,ROUND($G293/23,0),IF($H293=3,ROUND($G293/12,0),IF($H293=6,$G293,IF($H293=7,$G293-ROUND($G293*10/11,0),0)))))</f>
        <v>2979</v>
      </c>
      <c r="N293" s="364">
        <f>IF($G293="","",K293+L293+M293)</f>
        <v>35750</v>
      </c>
      <c r="O293" s="365" t="str">
        <f>IF($G293="","",IFERROR(VLOOKUP($D293&amp;"|"&amp;$E293,科目表!$A$5:$B$200,2,FALSE),"※未登録"))</f>
        <v>図書印刷費</v>
      </c>
      <c r="P293" s="359">
        <f>IF(OR($G293="",$C293=""),"",IF($B293="決算整理",13,MOD(MONTH($C293)-4,12)+1))</f>
        <v>7</v>
      </c>
      <c r="Q293" s="366" t="str">
        <f>IF($G293="","",TRIM(IF(J293+K293+L293+M293&lt;&gt;$G293,"按分不一致 ","")&amp;IF(O293="※未登録","科目未登録 ","")&amp;IF(OR($H293="",ISERROR(MATCH($H293,{1,2,3,4,5,6,7,8},0))),"経費区分? ","")&amp;IF($I293="","状態未設定 ","")&amp;IF(AND(OR($I293="確認済",$I293="未確認"),$B293="月例",OR($C293="",$C293&lt;DATE(年度+2018,4,1),$C293&gt;DATE(年度+2019,3,31))),"年度外の日付 ","")&amp;IF(AND(OR($I293="確認済",$I293="未確認"),O293="対象外"),"対象外の科目 ","")))</f>
        <v/>
      </c>
      <c r="R293" s="366" t="inlineStr">
        <is>
          <t>月例!304</t>
        </is>
      </c>
    </row>
    <row r="294">
      <c r="A294" s="359" t="n">
        <v>290</v>
      </c>
      <c r="B294" s="360" t="inlineStr">
        <is>
          <t>月例</t>
        </is>
      </c>
      <c r="C294" s="361" t="n">
        <v>46324</v>
      </c>
      <c r="D294" s="362" t="inlineStr">
        <is>
          <t>委託費</t>
        </is>
      </c>
      <c r="E294" s="362" t="n"/>
      <c r="F294" s="362" t="inlineStr">
        <is>
          <t>ねんきん定期便（９月分）送付業務</t>
        </is>
      </c>
      <c r="G294" s="363" t="n">
        <v>89824</v>
      </c>
      <c r="H294" s="360" t="n">
        <v>5</v>
      </c>
      <c r="I294" s="360" t="inlineStr">
        <is>
          <t>確認済</t>
        </is>
      </c>
      <c r="J294" s="364">
        <f>IF($G294="","",IF($H294=1,$G294-ROUND($G294*10/23,0)-2*ROUND($G294/23,0),IF($H294=2,$G294,0)))</f>
        <v>0</v>
      </c>
      <c r="K294" s="364">
        <f>IF($G294="","",IF($H294=1,ROUND($G294*10/23,0),IF($H294=3,$G294-2*ROUND($G294/12,0),IF($H294=4,$G294,IF(OR($H294=5,$H294=7),ROUND($G294*10/11,0),0)))))</f>
        <v>81658</v>
      </c>
      <c r="L294" s="364">
        <f>IF($G294="","",IF($H294=1,ROUND($G294/23,0),IF($H294=3,ROUND($G294/12,0),IF($H294=5,$G294-ROUND($G294*10/11,0),IF($H294=8,$G294,0)))))</f>
        <v>8166</v>
      </c>
      <c r="M294" s="364">
        <f>IF($G294="","",IF($H294=1,ROUND($G294/23,0),IF($H294=3,ROUND($G294/12,0),IF($H294=6,$G294,IF($H294=7,$G294-ROUND($G294*10/11,0),0)))))</f>
        <v>0</v>
      </c>
      <c r="N294" s="364">
        <f>IF($G294="","",K294+L294+M294)</f>
        <v>89824</v>
      </c>
      <c r="O294" s="365" t="str">
        <f>IF($G294="","",IFERROR(VLOOKUP($D294&amp;"|"&amp;$E294,科目表!$A$5:$B$200,2,FALSE),"※未登録"))</f>
        <v>委託費</v>
      </c>
      <c r="P294" s="359">
        <f>IF(OR($G294="",$C294=""),"",IF($B294="決算整理",13,MOD(MONTH($C294)-4,12)+1))</f>
        <v>7</v>
      </c>
      <c r="Q294" s="366" t="str">
        <f>IF($G294="","",TRIM(IF(J294+K294+L294+M294&lt;&gt;$G294,"按分不一致 ","")&amp;IF(O294="※未登録","科目未登録 ","")&amp;IF(OR($H294="",ISERROR(MATCH($H294,{1,2,3,4,5,6,7,8},0))),"経費区分? ","")&amp;IF($I294="","状態未設定 ","")&amp;IF(AND(OR($I294="確認済",$I294="未確認"),$B294="月例",OR($C294="",$C294&lt;DATE(年度+2018,4,1),$C294&gt;DATE(年度+2019,3,31))),"年度外の日付 ","")&amp;IF(AND(OR($I294="確認済",$I294="未確認"),O294="対象外"),"対象外の科目 ","")))</f>
        <v/>
      </c>
      <c r="R294" s="366" t="inlineStr">
        <is>
          <t>月例!305</t>
        </is>
      </c>
    </row>
    <row r="295">
      <c r="A295" s="359" t="n">
        <v>291</v>
      </c>
      <c r="B295" s="360" t="inlineStr">
        <is>
          <t>月例</t>
        </is>
      </c>
      <c r="C295" s="361" t="n">
        <v>45959</v>
      </c>
      <c r="D295" s="362" t="inlineStr">
        <is>
          <t>賃借料</t>
        </is>
      </c>
      <c r="E295" s="362" t="n"/>
      <c r="F295" s="362" t="inlineStr">
        <is>
          <t>パソコン（業務経理用）９月分</t>
        </is>
      </c>
      <c r="G295" s="363" t="n">
        <v>5060</v>
      </c>
      <c r="H295" s="360" t="n">
        <v>2</v>
      </c>
      <c r="I295" s="360" t="inlineStr">
        <is>
          <t>昨年実績</t>
        </is>
      </c>
      <c r="J295" s="364">
        <f>IF($G295="","",IF($H295=1,$G295-ROUND($G295*10/23,0)-2*ROUND($G295/23,0),IF($H295=2,$G295,0)))</f>
        <v>5060</v>
      </c>
      <c r="K295" s="364">
        <f>IF($G295="","",IF($H295=1,ROUND($G295*10/23,0),IF($H295=3,$G295-2*ROUND($G295/12,0),IF($H295=4,$G295,IF(OR($H295=5,$H295=7),ROUND($G295*10/11,0),0)))))</f>
        <v>0</v>
      </c>
      <c r="L295" s="364">
        <f>IF($G295="","",IF($H295=1,ROUND($G295/23,0),IF($H295=3,ROUND($G295/12,0),IF($H295=5,$G295-ROUND($G295*10/11,0),IF($H295=8,$G295,0)))))</f>
        <v>0</v>
      </c>
      <c r="M295" s="364">
        <f>IF($G295="","",IF($H295=1,ROUND($G295/23,0),IF($H295=3,ROUND($G295/12,0),IF($H295=6,$G295,IF($H295=7,$G295-ROUND($G295*10/11,0),0)))))</f>
        <v>0</v>
      </c>
      <c r="N295" s="364">
        <f>IF($G295="","",K295+L295+M295)</f>
        <v>0</v>
      </c>
      <c r="O295" s="365" t="str">
        <f>IF($G295="","",IFERROR(VLOOKUP($D295&amp;"|"&amp;$E295,科目表!$A$5:$B$200,2,FALSE),"※未登録"))</f>
        <v>賃借料</v>
      </c>
      <c r="P295" s="359">
        <f>IF(OR($G295="",$C295=""),"",IF($B295="決算整理",13,MOD(MONTH($C295)-4,12)+1))</f>
        <v>7</v>
      </c>
      <c r="Q295" s="366" t="str">
        <f>IF($G295="","",TRIM(IF(J295+K295+L295+M295&lt;&gt;$G295,"按分不一致 ","")&amp;IF(O295="※未登録","科目未登録 ","")&amp;IF(OR($H295="",ISERROR(MATCH($H295,{1,2,3,4,5,6,7,8},0))),"経費区分? ","")&amp;IF($I295="","状態未設定 ","")&amp;IF(AND(OR($I295="確認済",$I295="未確認"),$B295="月例",OR($C295="",$C295&lt;DATE(年度+2018,4,1),$C295&gt;DATE(年度+2019,3,31))),"年度外の日付 ","")&amp;IF(AND(OR($I295="確認済",$I295="未確認"),O295="対象外"),"対象外の科目 ","")))</f>
        <v/>
      </c>
      <c r="R295" s="366" t="inlineStr">
        <is>
          <t>月例!306</t>
        </is>
      </c>
    </row>
    <row r="296">
      <c r="A296" s="359" t="n">
        <v>292</v>
      </c>
      <c r="B296" s="360" t="inlineStr">
        <is>
          <t>月例</t>
        </is>
      </c>
      <c r="C296" s="361" t="n">
        <v>46310</v>
      </c>
      <c r="D296" s="362" t="inlineStr">
        <is>
          <t>賃金</t>
        </is>
      </c>
      <c r="E296" s="362" t="n"/>
      <c r="F296" s="362" t="inlineStr">
        <is>
          <t>臨時職員賃金９月分　天畠吏梨　外１名分（短期１００％）</t>
        </is>
      </c>
      <c r="G296" s="363" t="n">
        <v>378520</v>
      </c>
      <c r="H296" s="360" t="n">
        <v>2</v>
      </c>
      <c r="I296" s="360" t="inlineStr">
        <is>
          <t>確認済</t>
        </is>
      </c>
      <c r="J296" s="364">
        <f>IF($G296="","",IF($H296=1,$G296-ROUND($G296*10/23,0)-2*ROUND($G296/23,0),IF($H296=2,$G296,0)))</f>
        <v>378520</v>
      </c>
      <c r="K296" s="364">
        <f>IF($G296="","",IF($H296=1,ROUND($G296*10/23,0),IF($H296=3,$G296-2*ROUND($G296/12,0),IF($H296=4,$G296,IF(OR($H296=5,$H296=7),ROUND($G296*10/11,0),0)))))</f>
        <v>0</v>
      </c>
      <c r="L296" s="364">
        <f>IF($G296="","",IF($H296=1,ROUND($G296/23,0),IF($H296=3,ROUND($G296/12,0),IF($H296=5,$G296-ROUND($G296*10/11,0),IF($H296=8,$G296,0)))))</f>
        <v>0</v>
      </c>
      <c r="M296" s="364">
        <f>IF($G296="","",IF($H296=1,ROUND($G296/23,0),IF($H296=3,ROUND($G296/12,0),IF($H296=6,$G296,IF($H296=7,$G296-ROUND($G296*10/11,0),0)))))</f>
        <v>0</v>
      </c>
      <c r="N296" s="364">
        <f>IF($G296="","",K296+L296+M296)</f>
        <v>0</v>
      </c>
      <c r="O296" s="365" t="str">
        <f>IF($G296="","",IFERROR(VLOOKUP($D296&amp;"|"&amp;$E296,科目表!$A$5:$B$200,2,FALSE),"※未登録"))</f>
        <v>賃金</v>
      </c>
      <c r="P296" s="359">
        <f>IF(OR($G296="",$C296=""),"",IF($B296="決算整理",13,MOD(MONTH($C296)-4,12)+1))</f>
        <v>7</v>
      </c>
      <c r="Q296" s="366" t="str">
        <f>IF($G296="","",TRIM(IF(J296+K296+L296+M296&lt;&gt;$G296,"按分不一致 ","")&amp;IF(O296="※未登録","科目未登録 ","")&amp;IF(OR($H296="",ISERROR(MATCH($H296,{1,2,3,4,5,6,7,8},0))),"経費区分? ","")&amp;IF($I296="","状態未設定 ","")&amp;IF(AND(OR($I296="確認済",$I296="未確認"),$B296="月例",OR($C296="",$C296&lt;DATE(年度+2018,4,1),$C296&gt;DATE(年度+2019,3,31))),"年度外の日付 ","")&amp;IF(AND(OR($I296="確認済",$I296="未確認"),O296="対象外"),"対象外の科目 ","")))</f>
        <v/>
      </c>
      <c r="R296" s="366" t="inlineStr">
        <is>
          <t>月例!307</t>
        </is>
      </c>
    </row>
    <row r="297">
      <c r="A297" s="359" t="n">
        <v>293</v>
      </c>
      <c r="B297" s="360" t="inlineStr">
        <is>
          <t>月例</t>
        </is>
      </c>
      <c r="C297" s="361" t="n">
        <v>46294</v>
      </c>
      <c r="D297" s="362" t="inlineStr">
        <is>
          <t>事務費</t>
        </is>
      </c>
      <c r="E297" s="362" t="inlineStr">
        <is>
          <t>図書印刷費</t>
        </is>
      </c>
      <c r="F297" s="362" t="inlineStr">
        <is>
          <t>地方公務員共済組合関係法令実例判例集追録1180-1188号</t>
        </is>
      </c>
      <c r="G297" s="363" t="n">
        <v>26136</v>
      </c>
      <c r="H297" s="360" t="n">
        <v>3</v>
      </c>
      <c r="I297" s="360" t="inlineStr">
        <is>
          <t>確認済</t>
        </is>
      </c>
      <c r="J297" s="364">
        <f>IF($G297="","",IF($H297=1,$G297-ROUND($G297*10/23,0)-2*ROUND($G297/23,0),IF($H297=2,$G297,0)))</f>
        <v>0</v>
      </c>
      <c r="K297" s="364">
        <f>IF($G297="","",IF($H297=1,ROUND($G297*10/23,0),IF($H297=3,$G297-2*ROUND($G297/12,0),IF($H297=4,$G297,IF(OR($H297=5,$H297=7),ROUND($G297*10/11,0),0)))))</f>
        <v>21780</v>
      </c>
      <c r="L297" s="364">
        <f>IF($G297="","",IF($H297=1,ROUND($G297/23,0),IF($H297=3,ROUND($G297/12,0),IF($H297=5,$G297-ROUND($G297*10/11,0),IF($H297=8,$G297,0)))))</f>
        <v>2178</v>
      </c>
      <c r="M297" s="364">
        <f>IF($G297="","",IF($H297=1,ROUND($G297/23,0),IF($H297=3,ROUND($G297/12,0),IF($H297=6,$G297,IF($H297=7,$G297-ROUND($G297*10/11,0),0)))))</f>
        <v>2178</v>
      </c>
      <c r="N297" s="364">
        <f>IF($G297="","",K297+L297+M297)</f>
        <v>26136</v>
      </c>
      <c r="O297" s="365" t="str">
        <f>IF($G297="","",IFERROR(VLOOKUP($D297&amp;"|"&amp;$E297,科目表!$A$5:$B$200,2,FALSE),"※未登録"))</f>
        <v>図書印刷費</v>
      </c>
      <c r="P297" s="359">
        <f>IF(OR($G297="",$C297=""),"",IF($B297="決算整理",13,MOD(MONTH($C297)-4,12)+1))</f>
        <v>6</v>
      </c>
      <c r="Q297" s="366" t="str">
        <f>IF($G297="","",TRIM(IF(J297+K297+L297+M297&lt;&gt;$G297,"按分不一致 ","")&amp;IF(O297="※未登録","科目未登録 ","")&amp;IF(OR($H297="",ISERROR(MATCH($H297,{1,2,3,4,5,6,7,8},0))),"経費区分? ","")&amp;IF($I297="","状態未設定 ","")&amp;IF(AND(OR($I297="確認済",$I297="未確認"),$B297="月例",OR($C297="",$C297&lt;DATE(年度+2018,4,1),$C297&gt;DATE(年度+2019,3,31))),"年度外の日付 ","")&amp;IF(AND(OR($I297="確認済",$I297="未確認"),O297="対象外"),"対象外の科目 ","")))</f>
        <v/>
      </c>
      <c r="R297" s="366" t="inlineStr">
        <is>
          <t>月例!308</t>
        </is>
      </c>
    </row>
    <row r="298">
      <c r="A298" s="359" t="n">
        <v>294</v>
      </c>
      <c r="B298" s="360" t="inlineStr">
        <is>
          <t>月例</t>
        </is>
      </c>
      <c r="C298" s="361" t="n">
        <v>44799</v>
      </c>
      <c r="D298" s="362" t="inlineStr">
        <is>
          <t>事務費</t>
        </is>
      </c>
      <c r="E298" s="362" t="inlineStr">
        <is>
          <t>図書印刷費</t>
        </is>
      </c>
      <c r="F298" s="362" t="inlineStr">
        <is>
          <t>窓付洋形（２３５×１２０）封筒のり付　１２，０００枚</t>
        </is>
      </c>
      <c r="G298" s="363" t="n">
        <v>109560</v>
      </c>
      <c r="H298" s="360" t="n">
        <v>3</v>
      </c>
      <c r="I298" s="360" t="inlineStr">
        <is>
          <t>昨年実績</t>
        </is>
      </c>
      <c r="J298" s="364">
        <f>IF($G298="","",IF($H298=1,$G298-ROUND($G298*10/23,0)-2*ROUND($G298/23,0),IF($H298=2,$G298,0)))</f>
        <v>0</v>
      </c>
      <c r="K298" s="364">
        <f>IF($G298="","",IF($H298=1,ROUND($G298*10/23,0),IF($H298=3,$G298-2*ROUND($G298/12,0),IF($H298=4,$G298,IF(OR($H298=5,$H298=7),ROUND($G298*10/11,0),0)))))</f>
        <v>91300</v>
      </c>
      <c r="L298" s="364">
        <f>IF($G298="","",IF($H298=1,ROUND($G298/23,0),IF($H298=3,ROUND($G298/12,0),IF($H298=5,$G298-ROUND($G298*10/11,0),IF($H298=8,$G298,0)))))</f>
        <v>9130</v>
      </c>
      <c r="M298" s="364">
        <f>IF($G298="","",IF($H298=1,ROUND($G298/23,0),IF($H298=3,ROUND($G298/12,0),IF($H298=6,$G298,IF($H298=7,$G298-ROUND($G298*10/11,0),0)))))</f>
        <v>9130</v>
      </c>
      <c r="N298" s="364">
        <f>IF($G298="","",K298+L298+M298)</f>
        <v>109560</v>
      </c>
      <c r="O298" s="365" t="str">
        <f>IF($G298="","",IFERROR(VLOOKUP($D298&amp;"|"&amp;$E298,科目表!$A$5:$B$200,2,FALSE),"※未登録"))</f>
        <v>図書印刷費</v>
      </c>
      <c r="P298" s="359">
        <f>IF(OR($G298="",$C298=""),"",IF($B298="決算整理",13,MOD(MONTH($C298)-4,12)+1))</f>
        <v>5</v>
      </c>
      <c r="Q298" s="366" t="str">
        <f>IF($G298="","",TRIM(IF(J298+K298+L298+M298&lt;&gt;$G298,"按分不一致 ","")&amp;IF(O298="※未登録","科目未登録 ","")&amp;IF(OR($H298="",ISERROR(MATCH($H298,{1,2,3,4,5,6,7,8},0))),"経費区分? ","")&amp;IF($I298="","状態未設定 ","")&amp;IF(AND(OR($I298="確認済",$I298="未確認"),$B298="月例",OR($C298="",$C298&lt;DATE(年度+2018,4,1),$C298&gt;DATE(年度+2019,3,31))),"年度外の日付 ","")&amp;IF(AND(OR($I298="確認済",$I298="未確認"),O298="対象外"),"対象外の科目 ","")))</f>
        <v/>
      </c>
      <c r="R298" s="366" t="inlineStr">
        <is>
          <t>月例!309</t>
        </is>
      </c>
    </row>
    <row r="299">
      <c r="A299" s="359" t="n">
        <v>295</v>
      </c>
      <c r="B299" s="360" t="inlineStr">
        <is>
          <t>月例</t>
        </is>
      </c>
      <c r="C299" s="361" t="n">
        <v>45912</v>
      </c>
      <c r="D299" s="362" t="inlineStr">
        <is>
          <t>事務費</t>
        </is>
      </c>
      <c r="E299" s="362" t="inlineStr">
        <is>
          <t>事務用消耗品費</t>
        </is>
      </c>
      <c r="F299" s="362" t="inlineStr">
        <is>
          <t>トナーカートリッジ（再生品）ＬＰＢ３Ｔ３４　４個</t>
        </is>
      </c>
      <c r="G299" s="363" t="n">
        <v>30360</v>
      </c>
      <c r="H299" s="360" t="n">
        <v>3</v>
      </c>
      <c r="I299" s="360" t="inlineStr">
        <is>
          <t>昨年実績</t>
        </is>
      </c>
      <c r="J299" s="364">
        <f>IF($G299="","",IF($H299=1,$G299-ROUND($G299*10/23,0)-2*ROUND($G299/23,0),IF($H299=2,$G299,0)))</f>
        <v>0</v>
      </c>
      <c r="K299" s="364">
        <f>IF($G299="","",IF($H299=1,ROUND($G299*10/23,0),IF($H299=3,$G299-2*ROUND($G299/12,0),IF($H299=4,$G299,IF(OR($H299=5,$H299=7),ROUND($G299*10/11,0),0)))))</f>
        <v>25300</v>
      </c>
      <c r="L299" s="364">
        <f>IF($G299="","",IF($H299=1,ROUND($G299/23,0),IF($H299=3,ROUND($G299/12,0),IF($H299=5,$G299-ROUND($G299*10/11,0),IF($H299=8,$G299,0)))))</f>
        <v>2530</v>
      </c>
      <c r="M299" s="364">
        <f>IF($G299="","",IF($H299=1,ROUND($G299/23,0),IF($H299=3,ROUND($G299/12,0),IF($H299=6,$G299,IF($H299=7,$G299-ROUND($G299*10/11,0),0)))))</f>
        <v>2530</v>
      </c>
      <c r="N299" s="364">
        <f>IF($G299="","",K299+L299+M299)</f>
        <v>30360</v>
      </c>
      <c r="O299" s="365" t="str">
        <f>IF($G299="","",IFERROR(VLOOKUP($D299&amp;"|"&amp;$E299,科目表!$A$5:$B$200,2,FALSE),"※未登録"))</f>
        <v>事務用消耗品費</v>
      </c>
      <c r="P299" s="359">
        <f>IF(OR($G299="",$C299=""),"",IF($B299="決算整理",13,MOD(MONTH($C299)-4,12)+1))</f>
        <v>6</v>
      </c>
      <c r="Q299" s="366" t="str">
        <f>IF($G299="","",TRIM(IF(J299+K299+L299+M299&lt;&gt;$G299,"按分不一致 ","")&amp;IF(O299="※未登録","科目未登録 ","")&amp;IF(OR($H299="",ISERROR(MATCH($H299,{1,2,3,4,5,6,7,8},0))),"経費区分? ","")&amp;IF($I299="","状態未設定 ","")&amp;IF(AND(OR($I299="確認済",$I299="未確認"),$B299="月例",OR($C299="",$C299&lt;DATE(年度+2018,4,1),$C299&gt;DATE(年度+2019,3,31))),"年度外の日付 ","")&amp;IF(AND(OR($I299="確認済",$I299="未確認"),O299="対象外"),"対象外の科目 ","")))</f>
        <v/>
      </c>
      <c r="R299" s="366" t="inlineStr">
        <is>
          <t>月例!310</t>
        </is>
      </c>
    </row>
    <row r="300">
      <c r="A300" s="359" t="n">
        <v>296</v>
      </c>
      <c r="B300" s="360" t="inlineStr">
        <is>
          <t>月例</t>
        </is>
      </c>
      <c r="C300" s="361" t="n">
        <v>46325</v>
      </c>
      <c r="D300" s="362" t="inlineStr">
        <is>
          <t>事務費</t>
        </is>
      </c>
      <c r="E300" s="362" t="inlineStr">
        <is>
          <t>図書印刷費</t>
        </is>
      </c>
      <c r="F300" s="362" t="inlineStr">
        <is>
          <t>厚生法規総覧追録　6146-6155号</t>
        </is>
      </c>
      <c r="G300" s="363" t="n">
        <v>33154</v>
      </c>
      <c r="H300" s="360" t="n">
        <v>2</v>
      </c>
      <c r="I300" s="360" t="inlineStr">
        <is>
          <t>確認済</t>
        </is>
      </c>
      <c r="J300" s="364">
        <f>IF($G300="","",IF($H300=1,$G300-ROUND($G300*10/23,0)-2*ROUND($G300/23,0),IF($H300=2,$G300,0)))</f>
        <v>33154</v>
      </c>
      <c r="K300" s="364">
        <f>IF($G300="","",IF($H300=1,ROUND($G300*10/23,0),IF($H300=3,$G300-2*ROUND($G300/12,0),IF($H300=4,$G300,IF(OR($H300=5,$H300=7),ROUND($G300*10/11,0),0)))))</f>
        <v>0</v>
      </c>
      <c r="L300" s="364">
        <f>IF($G300="","",IF($H300=1,ROUND($G300/23,0),IF($H300=3,ROUND($G300/12,0),IF($H300=5,$G300-ROUND($G300*10/11,0),IF($H300=8,$G300,0)))))</f>
        <v>0</v>
      </c>
      <c r="M300" s="364">
        <f>IF($G300="","",IF($H300=1,ROUND($G300/23,0),IF($H300=3,ROUND($G300/12,0),IF($H300=6,$G300,IF($H300=7,$G300-ROUND($G300*10/11,0),0)))))</f>
        <v>0</v>
      </c>
      <c r="N300" s="364">
        <f>IF($G300="","",K300+L300+M300)</f>
        <v>0</v>
      </c>
      <c r="O300" s="365" t="str">
        <f>IF($G300="","",IFERROR(VLOOKUP($D300&amp;"|"&amp;$E300,科目表!$A$5:$B$200,2,FALSE),"※未登録"))</f>
        <v>図書印刷費</v>
      </c>
      <c r="P300" s="359">
        <f>IF(OR($G300="",$C300=""),"",IF($B300="決算整理",13,MOD(MONTH($C300)-4,12)+1))</f>
        <v>7</v>
      </c>
      <c r="Q300" s="366" t="str">
        <f>IF($G300="","",TRIM(IF(J300+K300+L300+M300&lt;&gt;$G300,"按分不一致 ","")&amp;IF(O300="※未登録","科目未登録 ","")&amp;IF(OR($H300="",ISERROR(MATCH($H300,{1,2,3,4,5,6,7,8},0))),"経費区分? ","")&amp;IF($I300="","状態未設定 ","")&amp;IF(AND(OR($I300="確認済",$I300="未確認"),$B300="月例",OR($C300="",$C300&lt;DATE(年度+2018,4,1),$C300&gt;DATE(年度+2019,3,31))),"年度外の日付 ","")&amp;IF(AND(OR($I300="確認済",$I300="未確認"),O300="対象外"),"対象外の科目 ","")))</f>
        <v/>
      </c>
      <c r="R300" s="366" t="inlineStr">
        <is>
          <t>月例!311</t>
        </is>
      </c>
    </row>
    <row r="301">
      <c r="A301" s="359" t="n">
        <v>297</v>
      </c>
      <c r="B301" s="360" t="inlineStr">
        <is>
          <t>月例</t>
        </is>
      </c>
      <c r="C301" s="361" t="n">
        <v>44848</v>
      </c>
      <c r="D301" s="362" t="inlineStr">
        <is>
          <t>事務費</t>
        </is>
      </c>
      <c r="E301" s="362" t="inlineStr">
        <is>
          <t>図書印刷費</t>
        </is>
      </c>
      <c r="F301" s="362" t="inlineStr">
        <is>
          <t>組合員原票（Ａ４）700部</t>
        </is>
      </c>
      <c r="G301" s="363" t="n">
        <v>49665</v>
      </c>
      <c r="H301" s="360" t="n">
        <v>3</v>
      </c>
      <c r="I301" s="360" t="inlineStr">
        <is>
          <t>昨年実績</t>
        </is>
      </c>
      <c r="J301" s="364">
        <f>IF($G301="","",IF($H301=1,$G301-ROUND($G301*10/23,0)-2*ROUND($G301/23,0),IF($H301=2,$G301,0)))</f>
        <v>0</v>
      </c>
      <c r="K301" s="364">
        <f>IF($G301="","",IF($H301=1,ROUND($G301*10/23,0),IF($H301=3,$G301-2*ROUND($G301/12,0),IF($H301=4,$G301,IF(OR($H301=5,$H301=7),ROUND($G301*10/11,0),0)))))</f>
        <v>41387</v>
      </c>
      <c r="L301" s="364">
        <f>IF($G301="","",IF($H301=1,ROUND($G301/23,0),IF($H301=3,ROUND($G301/12,0),IF($H301=5,$G301-ROUND($G301*10/11,0),IF($H301=8,$G301,0)))))</f>
        <v>4139</v>
      </c>
      <c r="M301" s="364">
        <f>IF($G301="","",IF($H301=1,ROUND($G301/23,0),IF($H301=3,ROUND($G301/12,0),IF($H301=6,$G301,IF($H301=7,$G301-ROUND($G301*10/11,0),0)))))</f>
        <v>4139</v>
      </c>
      <c r="N301" s="364">
        <f>IF($G301="","",K301+L301+M301)</f>
        <v>49665</v>
      </c>
      <c r="O301" s="365" t="str">
        <f>IF($G301="","",IFERROR(VLOOKUP($D301&amp;"|"&amp;$E301,科目表!$A$5:$B$200,2,FALSE),"※未登録"))</f>
        <v>図書印刷費</v>
      </c>
      <c r="P301" s="359">
        <f>IF(OR($G301="",$C301=""),"",IF($B301="決算整理",13,MOD(MONTH($C301)-4,12)+1))</f>
        <v>7</v>
      </c>
      <c r="Q301" s="366" t="str">
        <f>IF($G301="","",TRIM(IF(J301+K301+L301+M301&lt;&gt;$G301,"按分不一致 ","")&amp;IF(O301="※未登録","科目未登録 ","")&amp;IF(OR($H301="",ISERROR(MATCH($H301,{1,2,3,4,5,6,7,8},0))),"経費区分? ","")&amp;IF($I301="","状態未設定 ","")&amp;IF(AND(OR($I301="確認済",$I301="未確認"),$B301="月例",OR($C301="",$C301&lt;DATE(年度+2018,4,1),$C301&gt;DATE(年度+2019,3,31))),"年度外の日付 ","")&amp;IF(AND(OR($I301="確認済",$I301="未確認"),O301="対象外"),"対象外の科目 ","")))</f>
        <v/>
      </c>
      <c r="R301" s="366" t="inlineStr">
        <is>
          <t>月例!312</t>
        </is>
      </c>
    </row>
    <row r="302">
      <c r="A302" s="359" t="n">
        <v>298</v>
      </c>
      <c r="B302" s="360" t="inlineStr">
        <is>
          <t>月例</t>
        </is>
      </c>
      <c r="C302" s="361" t="n">
        <v>44848</v>
      </c>
      <c r="D302" s="362" t="inlineStr">
        <is>
          <t>事務費</t>
        </is>
      </c>
      <c r="E302" s="362" t="inlineStr">
        <is>
          <t>図書印刷費</t>
        </is>
      </c>
      <c r="F302" s="362" t="inlineStr">
        <is>
          <t>長３封筒（両面テープ付）1,000枚</t>
        </is>
      </c>
      <c r="G302" s="363" t="n">
        <v>13200</v>
      </c>
      <c r="H302" s="360" t="n">
        <v>3</v>
      </c>
      <c r="I302" s="360" t="inlineStr">
        <is>
          <t>昨年実績</t>
        </is>
      </c>
      <c r="J302" s="364">
        <f>IF($G302="","",IF($H302=1,$G302-ROUND($G302*10/23,0)-2*ROUND($G302/23,0),IF($H302=2,$G302,0)))</f>
        <v>0</v>
      </c>
      <c r="K302" s="364">
        <f>IF($G302="","",IF($H302=1,ROUND($G302*10/23,0),IF($H302=3,$G302-2*ROUND($G302/12,0),IF($H302=4,$G302,IF(OR($H302=5,$H302=7),ROUND($G302*10/11,0),0)))))</f>
        <v>11000</v>
      </c>
      <c r="L302" s="364">
        <f>IF($G302="","",IF($H302=1,ROUND($G302/23,0),IF($H302=3,ROUND($G302/12,0),IF($H302=5,$G302-ROUND($G302*10/11,0),IF($H302=8,$G302,0)))))</f>
        <v>1100</v>
      </c>
      <c r="M302" s="364">
        <f>IF($G302="","",IF($H302=1,ROUND($G302/23,0),IF($H302=3,ROUND($G302/12,0),IF($H302=6,$G302,IF($H302=7,$G302-ROUND($G302*10/11,0),0)))))</f>
        <v>1100</v>
      </c>
      <c r="N302" s="364">
        <f>IF($G302="","",K302+L302+M302)</f>
        <v>13200</v>
      </c>
      <c r="O302" s="365" t="str">
        <f>IF($G302="","",IFERROR(VLOOKUP($D302&amp;"|"&amp;$E302,科目表!$A$5:$B$200,2,FALSE),"※未登録"))</f>
        <v>図書印刷費</v>
      </c>
      <c r="P302" s="359">
        <f>IF(OR($G302="",$C302=""),"",IF($B302="決算整理",13,MOD(MONTH($C302)-4,12)+1))</f>
        <v>7</v>
      </c>
      <c r="Q302" s="366" t="str">
        <f>IF($G302="","",TRIM(IF(J302+K302+L302+M302&lt;&gt;$G302,"按分不一致 ","")&amp;IF(O302="※未登録","科目未登録 ","")&amp;IF(OR($H302="",ISERROR(MATCH($H302,{1,2,3,4,5,6,7,8},0))),"経費区分? ","")&amp;IF($I302="","状態未設定 ","")&amp;IF(AND(OR($I302="確認済",$I302="未確認"),$B302="月例",OR($C302="",$C302&lt;DATE(年度+2018,4,1),$C302&gt;DATE(年度+2019,3,31))),"年度外の日付 ","")&amp;IF(AND(OR($I302="確認済",$I302="未確認"),O302="対象外"),"対象外の科目 ","")))</f>
        <v/>
      </c>
      <c r="R302" s="366" t="inlineStr">
        <is>
          <t>月例!313</t>
        </is>
      </c>
    </row>
    <row r="303">
      <c r="A303" s="359" t="n">
        <v>299</v>
      </c>
      <c r="B303" s="360" t="inlineStr">
        <is>
          <t>月例</t>
        </is>
      </c>
      <c r="C303" s="361" t="n">
        <v>46316</v>
      </c>
      <c r="D303" s="362" t="inlineStr">
        <is>
          <t>事務費</t>
        </is>
      </c>
      <c r="E303" s="362" t="inlineStr">
        <is>
          <t>送金料</t>
        </is>
      </c>
      <c r="F303" s="362" t="inlineStr">
        <is>
          <t>年金過払金等返還金振替料金（ゆうちょ銀行）</t>
        </is>
      </c>
      <c r="G303" s="363" t="n">
        <v>584</v>
      </c>
      <c r="H303" s="360" t="n">
        <v>3</v>
      </c>
      <c r="I303" s="360" t="inlineStr">
        <is>
          <t>確認済</t>
        </is>
      </c>
      <c r="J303" s="364">
        <f>IF($G303="","",IF($H303=1,$G303-ROUND($G303*10/23,0)-2*ROUND($G303/23,0),IF($H303=2,$G303,0)))</f>
        <v>0</v>
      </c>
      <c r="K303" s="364">
        <f>IF($G303="","",IF($H303=1,ROUND($G303*10/23,0),IF($H303=3,$G303-2*ROUND($G303/12,0),IF($H303=4,$G303,IF(OR($H303=5,$H303=7),ROUND($G303*10/11,0),0)))))</f>
        <v>486</v>
      </c>
      <c r="L303" s="364">
        <f>IF($G303="","",IF($H303=1,ROUND($G303/23,0),IF($H303=3,ROUND($G303/12,0),IF($H303=5,$G303-ROUND($G303*10/11,0),IF($H303=8,$G303,0)))))</f>
        <v>49</v>
      </c>
      <c r="M303" s="364">
        <f>IF($G303="","",IF($H303=1,ROUND($G303/23,0),IF($H303=3,ROUND($G303/12,0),IF($H303=6,$G303,IF($H303=7,$G303-ROUND($G303*10/11,0),0)))))</f>
        <v>49</v>
      </c>
      <c r="N303" s="364">
        <f>IF($G303="","",K303+L303+M303)</f>
        <v>584</v>
      </c>
      <c r="O303" s="365" t="str">
        <f>IF($G303="","",IFERROR(VLOOKUP($D303&amp;"|"&amp;$E303,科目表!$A$5:$B$200,2,FALSE),"※未登録"))</f>
        <v>送金料</v>
      </c>
      <c r="P303" s="359">
        <f>IF(OR($G303="",$C303=""),"",IF($B303="決算整理",13,MOD(MONTH($C303)-4,12)+1))</f>
        <v>7</v>
      </c>
      <c r="Q303" s="366" t="str">
        <f>IF($G303="","",TRIM(IF(J303+K303+L303+M303&lt;&gt;$G303,"按分不一致 ","")&amp;IF(O303="※未登録","科目未登録 ","")&amp;IF(OR($H303="",ISERROR(MATCH($H303,{1,2,3,4,5,6,7,8},0))),"経費区分? ","")&amp;IF($I303="","状態未設定 ","")&amp;IF(AND(OR($I303="確認済",$I303="未確認"),$B303="月例",OR($C303="",$C303&lt;DATE(年度+2018,4,1),$C303&gt;DATE(年度+2019,3,31))),"年度外の日付 ","")&amp;IF(AND(OR($I303="確認済",$I303="未確認"),O303="対象外"),"対象外の科目 ","")))</f>
        <v/>
      </c>
      <c r="R303" s="366" t="inlineStr">
        <is>
          <t>月例!314</t>
        </is>
      </c>
    </row>
    <row r="304">
      <c r="A304" s="359" t="n">
        <v>300</v>
      </c>
      <c r="B304" s="360" t="inlineStr">
        <is>
          <t>月例</t>
        </is>
      </c>
      <c r="C304" s="361" t="n">
        <v>46316</v>
      </c>
      <c r="D304" s="362" t="inlineStr">
        <is>
          <t>事務費</t>
        </is>
      </c>
      <c r="E304" s="362" t="inlineStr">
        <is>
          <t>雑費</t>
        </is>
      </c>
      <c r="F304" s="362" t="inlineStr">
        <is>
          <t>ゆうちょ銀行一般振替口座　残高証明書発行手数料</t>
        </is>
      </c>
      <c r="G304" s="363" t="n">
        <v>3300</v>
      </c>
      <c r="H304" s="360" t="n">
        <v>3</v>
      </c>
      <c r="I304" s="360" t="inlineStr">
        <is>
          <t>確認済</t>
        </is>
      </c>
      <c r="J304" s="364">
        <f>IF($G304="","",IF($H304=1,$G304-ROUND($G304*10/23,0)-2*ROUND($G304/23,0),IF($H304=2,$G304,0)))</f>
        <v>0</v>
      </c>
      <c r="K304" s="364">
        <f>IF($G304="","",IF($H304=1,ROUND($G304*10/23,0),IF($H304=3,$G304-2*ROUND($G304/12,0),IF($H304=4,$G304,IF(OR($H304=5,$H304=7),ROUND($G304*10/11,0),0)))))</f>
        <v>2750</v>
      </c>
      <c r="L304" s="364">
        <f>IF($G304="","",IF($H304=1,ROUND($G304/23,0),IF($H304=3,ROUND($G304/12,0),IF($H304=5,$G304-ROUND($G304*10/11,0),IF($H304=8,$G304,0)))))</f>
        <v>275</v>
      </c>
      <c r="M304" s="364">
        <f>IF($G304="","",IF($H304=1,ROUND($G304/23,0),IF($H304=3,ROUND($G304/12,0),IF($H304=6,$G304,IF($H304=7,$G304-ROUND($G304*10/11,0),0)))))</f>
        <v>275</v>
      </c>
      <c r="N304" s="364">
        <f>IF($G304="","",K304+L304+M304)</f>
        <v>3300</v>
      </c>
      <c r="O304" s="365" t="str">
        <f>IF($G304="","",IFERROR(VLOOKUP($D304&amp;"|"&amp;$E304,科目表!$A$5:$B$200,2,FALSE),"※未登録"))</f>
        <v>事務費・雑費</v>
      </c>
      <c r="P304" s="359">
        <f>IF(OR($G304="",$C304=""),"",IF($B304="決算整理",13,MOD(MONTH($C304)-4,12)+1))</f>
        <v>7</v>
      </c>
      <c r="Q304" s="366" t="str">
        <f>IF($G304="","",TRIM(IF(J304+K304+L304+M304&lt;&gt;$G304,"按分不一致 ","")&amp;IF(O304="※未登録","科目未登録 ","")&amp;IF(OR($H304="",ISERROR(MATCH($H304,{1,2,3,4,5,6,7,8},0))),"経費区分? ","")&amp;IF($I304="","状態未設定 ","")&amp;IF(AND(OR($I304="確認済",$I304="未確認"),$B304="月例",OR($C304="",$C304&lt;DATE(年度+2018,4,1),$C304&gt;DATE(年度+2019,3,31))),"年度外の日付 ","")&amp;IF(AND(OR($I304="確認済",$I304="未確認"),O304="対象外"),"対象外の科目 ","")))</f>
        <v/>
      </c>
      <c r="R304" s="366" t="inlineStr">
        <is>
          <t>月例!315</t>
        </is>
      </c>
    </row>
    <row r="305">
      <c r="A305" s="359" t="n">
        <v>301</v>
      </c>
      <c r="B305" s="360" t="inlineStr">
        <is>
          <t>月例</t>
        </is>
      </c>
      <c r="C305" s="361" t="n">
        <v>46324</v>
      </c>
      <c r="D305" s="362" t="inlineStr">
        <is>
          <t>事務費</t>
        </is>
      </c>
      <c r="E305" s="362" t="inlineStr">
        <is>
          <t>事務用消耗品費</t>
        </is>
      </c>
      <c r="F305" s="362" t="inlineStr">
        <is>
          <t>トナーカートリッジ（再生品）ＬＰＢ３Ｔ３４　7個</t>
        </is>
      </c>
      <c r="G305" s="363" t="n">
        <v>53130</v>
      </c>
      <c r="H305" s="360" t="n">
        <v>3</v>
      </c>
      <c r="I305" s="360" t="inlineStr">
        <is>
          <t>確認済</t>
        </is>
      </c>
      <c r="J305" s="364">
        <f>IF($G305="","",IF($H305=1,$G305-ROUND($G305*10/23,0)-2*ROUND($G305/23,0),IF($H305=2,$G305,0)))</f>
        <v>0</v>
      </c>
      <c r="K305" s="364">
        <f>IF($G305="","",IF($H305=1,ROUND($G305*10/23,0),IF($H305=3,$G305-2*ROUND($G305/12,0),IF($H305=4,$G305,IF(OR($H305=5,$H305=7),ROUND($G305*10/11,0),0)))))</f>
        <v>44274</v>
      </c>
      <c r="L305" s="364">
        <f>IF($G305="","",IF($H305=1,ROUND($G305/23,0),IF($H305=3,ROUND($G305/12,0),IF($H305=5,$G305-ROUND($G305*10/11,0),IF($H305=8,$G305,0)))))</f>
        <v>4428</v>
      </c>
      <c r="M305" s="364">
        <f>IF($G305="","",IF($H305=1,ROUND($G305/23,0),IF($H305=3,ROUND($G305/12,0),IF($H305=6,$G305,IF($H305=7,$G305-ROUND($G305*10/11,0),0)))))</f>
        <v>4428</v>
      </c>
      <c r="N305" s="364">
        <f>IF($G305="","",K305+L305+M305)</f>
        <v>53130</v>
      </c>
      <c r="O305" s="365" t="str">
        <f>IF($G305="","",IFERROR(VLOOKUP($D305&amp;"|"&amp;$E305,科目表!$A$5:$B$200,2,FALSE),"※未登録"))</f>
        <v>事務用消耗品費</v>
      </c>
      <c r="P305" s="359">
        <f>IF(OR($G305="",$C305=""),"",IF($B305="決算整理",13,MOD(MONTH($C305)-4,12)+1))</f>
        <v>7</v>
      </c>
      <c r="Q305" s="366" t="str">
        <f>IF($G305="","",TRIM(IF(J305+K305+L305+M305&lt;&gt;$G305,"按分不一致 ","")&amp;IF(O305="※未登録","科目未登録 ","")&amp;IF(OR($H305="",ISERROR(MATCH($H305,{1,2,3,4,5,6,7,8},0))),"経費区分? ","")&amp;IF($I305="","状態未設定 ","")&amp;IF(AND(OR($I305="確認済",$I305="未確認"),$B305="月例",OR($C305="",$C305&lt;DATE(年度+2018,4,1),$C305&gt;DATE(年度+2019,3,31))),"年度外の日付 ","")&amp;IF(AND(OR($I305="確認済",$I305="未確認"),O305="対象外"),"対象外の科目 ","")))</f>
        <v/>
      </c>
      <c r="R305" s="366" t="inlineStr">
        <is>
          <t>月例!316</t>
        </is>
      </c>
    </row>
    <row r="306">
      <c r="A306" s="359" t="n">
        <v>302</v>
      </c>
      <c r="B306" s="360" t="inlineStr">
        <is>
          <t>月例</t>
        </is>
      </c>
      <c r="C306" s="361" t="n">
        <v>46315</v>
      </c>
      <c r="D306" s="362" t="inlineStr">
        <is>
          <t>委託費</t>
        </is>
      </c>
      <c r="E306" s="362" t="n"/>
      <c r="F306" s="362" t="inlineStr">
        <is>
          <t>レセプト電子データ提供料（７月診療分）</t>
        </is>
      </c>
      <c r="G306" s="363" t="n">
        <v>59462</v>
      </c>
      <c r="H306" s="360" t="n">
        <v>2</v>
      </c>
      <c r="I306" s="360" t="inlineStr">
        <is>
          <t>確認済</t>
        </is>
      </c>
      <c r="J306" s="364">
        <f>IF($G306="","",IF($H306=1,$G306-ROUND($G306*10/23,0)-2*ROUND($G306/23,0),IF($H306=2,$G306,0)))</f>
        <v>59462</v>
      </c>
      <c r="K306" s="364">
        <f>IF($G306="","",IF($H306=1,ROUND($G306*10/23,0),IF($H306=3,$G306-2*ROUND($G306/12,0),IF($H306=4,$G306,IF(OR($H306=5,$H306=7),ROUND($G306*10/11,0),0)))))</f>
        <v>0</v>
      </c>
      <c r="L306" s="364">
        <f>IF($G306="","",IF($H306=1,ROUND($G306/23,0),IF($H306=3,ROUND($G306/12,0),IF($H306=5,$G306-ROUND($G306*10/11,0),IF($H306=8,$G306,0)))))</f>
        <v>0</v>
      </c>
      <c r="M306" s="364">
        <f>IF($G306="","",IF($H306=1,ROUND($G306/23,0),IF($H306=3,ROUND($G306/12,0),IF($H306=6,$G306,IF($H306=7,$G306-ROUND($G306*10/11,0),0)))))</f>
        <v>0</v>
      </c>
      <c r="N306" s="364">
        <f>IF($G306="","",K306+L306+M306)</f>
        <v>0</v>
      </c>
      <c r="O306" s="365" t="str">
        <f>IF($G306="","",IFERROR(VLOOKUP($D306&amp;"|"&amp;$E306,科目表!$A$5:$B$200,2,FALSE),"※未登録"))</f>
        <v>委託費</v>
      </c>
      <c r="P306" s="359">
        <f>IF(OR($G306="",$C306=""),"",IF($B306="決算整理",13,MOD(MONTH($C306)-4,12)+1))</f>
        <v>7</v>
      </c>
      <c r="Q306" s="366" t="str">
        <f>IF($G306="","",TRIM(IF(J306+K306+L306+M306&lt;&gt;$G306,"按分不一致 ","")&amp;IF(O306="※未登録","科目未登録 ","")&amp;IF(OR($H306="",ISERROR(MATCH($H306,{1,2,3,4,5,6,7,8},0))),"経費区分? ","")&amp;IF($I306="","状態未設定 ","")&amp;IF(AND(OR($I306="確認済",$I306="未確認"),$B306="月例",OR($C306="",$C306&lt;DATE(年度+2018,4,1),$C306&gt;DATE(年度+2019,3,31))),"年度外の日付 ","")&amp;IF(AND(OR($I306="確認済",$I306="未確認"),O306="対象外"),"対象外の科目 ","")))</f>
        <v/>
      </c>
      <c r="R306" s="366" t="inlineStr">
        <is>
          <t>月例!317</t>
        </is>
      </c>
    </row>
    <row r="307">
      <c r="A307" s="359" t="n">
        <v>303</v>
      </c>
      <c r="B307" s="360" t="inlineStr">
        <is>
          <t>月例</t>
        </is>
      </c>
      <c r="C307" s="361" t="n">
        <v>46316</v>
      </c>
      <c r="D307" s="362" t="inlineStr">
        <is>
          <t>職員給与</t>
        </is>
      </c>
      <c r="E307" s="362" t="inlineStr">
        <is>
          <t>非常勤職員手当</t>
        </is>
      </c>
      <c r="F307" s="362" t="inlineStr">
        <is>
          <t>10月分給与（長期分）</t>
        </is>
      </c>
      <c r="G307" s="363" t="n">
        <v>380800</v>
      </c>
      <c r="H307" s="360" t="n">
        <v>3</v>
      </c>
      <c r="I307" s="360" t="inlineStr">
        <is>
          <t>確認済</t>
        </is>
      </c>
      <c r="J307" s="364">
        <f>IF($G307="","",IF($H307=1,$G307-ROUND($G307*10/23,0)-2*ROUND($G307/23,0),IF($H307=2,$G307,0)))</f>
        <v>0</v>
      </c>
      <c r="K307" s="364">
        <f>IF($G307="","",IF($H307=1,ROUND($G307*10/23,0),IF($H307=3,$G307-2*ROUND($G307/12,0),IF($H307=4,$G307,IF(OR($H307=5,$H307=7),ROUND($G307*10/11,0),0)))))</f>
        <v>317334</v>
      </c>
      <c r="L307" s="364">
        <f>IF($G307="","",IF($H307=1,ROUND($G307/23,0),IF($H307=3,ROUND($G307/12,0),IF($H307=5,$G307-ROUND($G307*10/11,0),IF($H307=8,$G307,0)))))</f>
        <v>31733</v>
      </c>
      <c r="M307" s="364">
        <f>IF($G307="","",IF($H307=1,ROUND($G307/23,0),IF($H307=3,ROUND($G307/12,0),IF($H307=6,$G307,IF($H307=7,$G307-ROUND($G307*10/11,0),0)))))</f>
        <v>31733</v>
      </c>
      <c r="N307" s="364">
        <f>IF($G307="","",K307+L307+M307)</f>
        <v>380800</v>
      </c>
      <c r="O307" s="365" t="str">
        <f>IF($G307="","",IFERROR(VLOOKUP($D307&amp;"|"&amp;$E307,科目表!$A$5:$B$200,2,FALSE),"※未登録"))</f>
        <v>非常勤職員手当</v>
      </c>
      <c r="P307" s="359">
        <f>IF(OR($G307="",$C307=""),"",IF($B307="決算整理",13,MOD(MONTH($C307)-4,12)+1))</f>
        <v>7</v>
      </c>
      <c r="Q307" s="366" t="str">
        <f>IF($G307="","",TRIM(IF(J307+K307+L307+M307&lt;&gt;$G307,"按分不一致 ","")&amp;IF(O307="※未登録","科目未登録 ","")&amp;IF(OR($H307="",ISERROR(MATCH($H307,{1,2,3,4,5,6,7,8},0))),"経費区分? ","")&amp;IF($I307="","状態未設定 ","")&amp;IF(AND(OR($I307="確認済",$I307="未確認"),$B307="月例",OR($C307="",$C307&lt;DATE(年度+2018,4,1),$C307&gt;DATE(年度+2019,3,31))),"年度外の日付 ","")&amp;IF(AND(OR($I307="確認済",$I307="未確認"),O307="対象外"),"対象外の科目 ","")))</f>
        <v/>
      </c>
      <c r="R307" s="366" t="inlineStr">
        <is>
          <t>月例!318</t>
        </is>
      </c>
    </row>
    <row r="308">
      <c r="A308" s="359" t="n">
        <v>304</v>
      </c>
      <c r="B308" s="360" t="inlineStr">
        <is>
          <t>月例</t>
        </is>
      </c>
      <c r="C308" s="361" t="n">
        <v>46316</v>
      </c>
      <c r="D308" s="362" t="inlineStr">
        <is>
          <t>職員給与</t>
        </is>
      </c>
      <c r="E308" s="362" t="inlineStr">
        <is>
          <t>非常勤職員手当</t>
        </is>
      </c>
      <c r="F308" s="362" t="inlineStr">
        <is>
          <t>10月分給与（短期分）</t>
        </is>
      </c>
      <c r="G308" s="363" t="n">
        <v>379380</v>
      </c>
      <c r="H308" s="360" t="n">
        <v>2</v>
      </c>
      <c r="I308" s="360" t="inlineStr">
        <is>
          <t>確認済</t>
        </is>
      </c>
      <c r="J308" s="364">
        <f>IF($G308="","",IF($H308=1,$G308-ROUND($G308*10/23,0)-2*ROUND($G308/23,0),IF($H308=2,$G308,0)))</f>
        <v>379380</v>
      </c>
      <c r="K308" s="364">
        <f>IF($G308="","",IF($H308=1,ROUND($G308*10/23,0),IF($H308=3,$G308-2*ROUND($G308/12,0),IF($H308=4,$G308,IF(OR($H308=5,$H308=7),ROUND($G308*10/11,0),0)))))</f>
        <v>0</v>
      </c>
      <c r="L308" s="364">
        <f>IF($G308="","",IF($H308=1,ROUND($G308/23,0),IF($H308=3,ROUND($G308/12,0),IF($H308=5,$G308-ROUND($G308*10/11,0),IF($H308=8,$G308,0)))))</f>
        <v>0</v>
      </c>
      <c r="M308" s="364">
        <f>IF($G308="","",IF($H308=1,ROUND($G308/23,0),IF($H308=3,ROUND($G308/12,0),IF($H308=6,$G308,IF($H308=7,$G308-ROUND($G308*10/11,0),0)))))</f>
        <v>0</v>
      </c>
      <c r="N308" s="364">
        <f>IF($G308="","",K308+L308+M308)</f>
        <v>0</v>
      </c>
      <c r="O308" s="365" t="str">
        <f>IF($G308="","",IFERROR(VLOOKUP($D308&amp;"|"&amp;$E308,科目表!$A$5:$B$200,2,FALSE),"※未登録"))</f>
        <v>非常勤職員手当</v>
      </c>
      <c r="P308" s="359">
        <f>IF(OR($G308="",$C308=""),"",IF($B308="決算整理",13,MOD(MONTH($C308)-4,12)+1))</f>
        <v>7</v>
      </c>
      <c r="Q308" s="366" t="str">
        <f>IF($G308="","",TRIM(IF(J308+K308+L308+M308&lt;&gt;$G308,"按分不一致 ","")&amp;IF(O308="※未登録","科目未登録 ","")&amp;IF(OR($H308="",ISERROR(MATCH($H308,{1,2,3,4,5,6,7,8},0))),"経費区分? ","")&amp;IF($I308="","状態未設定 ","")&amp;IF(AND(OR($I308="確認済",$I308="未確認"),$B308="月例",OR($C308="",$C308&lt;DATE(年度+2018,4,1),$C308&gt;DATE(年度+2019,3,31))),"年度外の日付 ","")&amp;IF(AND(OR($I308="確認済",$I308="未確認"),O308="対象外"),"対象外の科目 ","")))</f>
        <v/>
      </c>
      <c r="R308" s="366" t="inlineStr">
        <is>
          <t>月例!319</t>
        </is>
      </c>
    </row>
    <row r="309">
      <c r="A309" s="359" t="n">
        <v>305</v>
      </c>
      <c r="B309" s="360" t="inlineStr">
        <is>
          <t>月例</t>
        </is>
      </c>
      <c r="C309" s="361" t="n">
        <v>46316</v>
      </c>
      <c r="D309" s="362" t="inlineStr">
        <is>
          <t>負担金</t>
        </is>
      </c>
      <c r="E309" s="362" t="inlineStr">
        <is>
          <t>互助会費</t>
        </is>
      </c>
      <c r="F309" s="362" t="inlineStr">
        <is>
          <t>助成金（10月長期分）</t>
        </is>
      </c>
      <c r="G309" s="363" t="n">
        <v>466</v>
      </c>
      <c r="H309" s="360" t="n">
        <v>3</v>
      </c>
      <c r="I309" s="360" t="inlineStr">
        <is>
          <t>確認済</t>
        </is>
      </c>
      <c r="J309" s="364">
        <f>IF($G309="","",IF($H309=1,$G309-ROUND($G309*10/23,0)-2*ROUND($G309/23,0),IF($H309=2,$G309,0)))</f>
        <v>0</v>
      </c>
      <c r="K309" s="364">
        <f>IF($G309="","",IF($H309=1,ROUND($G309*10/23,0),IF($H309=3,$G309-2*ROUND($G309/12,0),IF($H309=4,$G309,IF(OR($H309=5,$H309=7),ROUND($G309*10/11,0),0)))))</f>
        <v>388</v>
      </c>
      <c r="L309" s="364">
        <f>IF($G309="","",IF($H309=1,ROUND($G309/23,0),IF($H309=3,ROUND($G309/12,0),IF($H309=5,$G309-ROUND($G309*10/11,0),IF($H309=8,$G309,0)))))</f>
        <v>39</v>
      </c>
      <c r="M309" s="364">
        <f>IF($G309="","",IF($H309=1,ROUND($G309/23,0),IF($H309=3,ROUND($G309/12,0),IF($H309=6,$G309,IF($H309=7,$G309-ROUND($G309*10/11,0),0)))))</f>
        <v>39</v>
      </c>
      <c r="N309" s="364">
        <f>IF($G309="","",K309+L309+M309)</f>
        <v>466</v>
      </c>
      <c r="O309" s="365" t="str">
        <f>IF($G309="","",IFERROR(VLOOKUP($D309&amp;"|"&amp;$E309,科目表!$A$5:$B$200,2,FALSE),"※未登録"))</f>
        <v>互助会費</v>
      </c>
      <c r="P309" s="359">
        <f>IF(OR($G309="",$C309=""),"",IF($B309="決算整理",13,MOD(MONTH($C309)-4,12)+1))</f>
        <v>7</v>
      </c>
      <c r="Q309" s="366" t="str">
        <f>IF($G309="","",TRIM(IF(J309+K309+L309+M309&lt;&gt;$G309,"按分不一致 ","")&amp;IF(O309="※未登録","科目未登録 ","")&amp;IF(OR($H309="",ISERROR(MATCH($H309,{1,2,3,4,5,6,7,8},0))),"経費区分? ","")&amp;IF($I309="","状態未設定 ","")&amp;IF(AND(OR($I309="確認済",$I309="未確認"),$B309="月例",OR($C309="",$C309&lt;DATE(年度+2018,4,1),$C309&gt;DATE(年度+2019,3,31))),"年度外の日付 ","")&amp;IF(AND(OR($I309="確認済",$I309="未確認"),O309="対象外"),"対象外の科目 ","")))</f>
        <v/>
      </c>
      <c r="R309" s="366" t="inlineStr">
        <is>
          <t>月例!320</t>
        </is>
      </c>
    </row>
    <row r="310">
      <c r="A310" s="359" t="n">
        <v>306</v>
      </c>
      <c r="B310" s="360" t="inlineStr">
        <is>
          <t>月例</t>
        </is>
      </c>
      <c r="C310" s="361" t="n">
        <v>46316</v>
      </c>
      <c r="D310" s="362" t="inlineStr">
        <is>
          <t>負担金</t>
        </is>
      </c>
      <c r="E310" s="362" t="inlineStr">
        <is>
          <t>互助会費</t>
        </is>
      </c>
      <c r="F310" s="362" t="inlineStr">
        <is>
          <t>助成金（10月短期分）</t>
        </is>
      </c>
      <c r="G310" s="363" t="n">
        <v>240</v>
      </c>
      <c r="H310" s="360" t="n">
        <v>2</v>
      </c>
      <c r="I310" s="360" t="inlineStr">
        <is>
          <t>確認済</t>
        </is>
      </c>
      <c r="J310" s="364">
        <f>IF($G310="","",IF($H310=1,$G310-ROUND($G310*10/23,0)-2*ROUND($G310/23,0),IF($H310=2,$G310,0)))</f>
        <v>240</v>
      </c>
      <c r="K310" s="364">
        <f>IF($G310="","",IF($H310=1,ROUND($G310*10/23,0),IF($H310=3,$G310-2*ROUND($G310/12,0),IF($H310=4,$G310,IF(OR($H310=5,$H310=7),ROUND($G310*10/11,0),0)))))</f>
        <v>0</v>
      </c>
      <c r="L310" s="364">
        <f>IF($G310="","",IF($H310=1,ROUND($G310/23,0),IF($H310=3,ROUND($G310/12,0),IF($H310=5,$G310-ROUND($G310*10/11,0),IF($H310=8,$G310,0)))))</f>
        <v>0</v>
      </c>
      <c r="M310" s="364">
        <f>IF($G310="","",IF($H310=1,ROUND($G310/23,0),IF($H310=3,ROUND($G310/12,0),IF($H310=6,$G310,IF($H310=7,$G310-ROUND($G310*10/11,0),0)))))</f>
        <v>0</v>
      </c>
      <c r="N310" s="364">
        <f>IF($G310="","",K310+L310+M310)</f>
        <v>0</v>
      </c>
      <c r="O310" s="365" t="str">
        <f>IF($G310="","",IFERROR(VLOOKUP($D310&amp;"|"&amp;$E310,科目表!$A$5:$B$200,2,FALSE),"※未登録"))</f>
        <v>互助会費</v>
      </c>
      <c r="P310" s="359">
        <f>IF(OR($G310="",$C310=""),"",IF($B310="決算整理",13,MOD(MONTH($C310)-4,12)+1))</f>
        <v>7</v>
      </c>
      <c r="Q310" s="366" t="str">
        <f>IF($G310="","",TRIM(IF(J310+K310+L310+M310&lt;&gt;$G310,"按分不一致 ","")&amp;IF(O310="※未登録","科目未登録 ","")&amp;IF(OR($H310="",ISERROR(MATCH($H310,{1,2,3,4,5,6,7,8},0))),"経費区分? ","")&amp;IF($I310="","状態未設定 ","")&amp;IF(AND(OR($I310="確認済",$I310="未確認"),$B310="月例",OR($C310="",$C310&lt;DATE(年度+2018,4,1),$C310&gt;DATE(年度+2019,3,31))),"年度外の日付 ","")&amp;IF(AND(OR($I310="確認済",$I310="未確認"),O310="対象外"),"対象外の科目 ","")))</f>
        <v/>
      </c>
      <c r="R310" s="366" t="inlineStr">
        <is>
          <t>月例!321</t>
        </is>
      </c>
    </row>
    <row r="311">
      <c r="A311" s="359" t="n">
        <v>307</v>
      </c>
      <c r="B311" s="360" t="inlineStr">
        <is>
          <t>月例</t>
        </is>
      </c>
      <c r="C311" s="361" t="n">
        <v>44489</v>
      </c>
      <c r="D311" s="362" t="inlineStr">
        <is>
          <t>事務費</t>
        </is>
      </c>
      <c r="E311" s="362" t="inlineStr">
        <is>
          <t>通信運搬費</t>
        </is>
      </c>
      <c r="F311" s="362" t="inlineStr">
        <is>
          <t>電話料金（９月使用・１０月請求分）</t>
        </is>
      </c>
      <c r="G311" s="363" t="n">
        <v>5408</v>
      </c>
      <c r="H311" s="360" t="n">
        <v>2</v>
      </c>
      <c r="I311" s="360" t="inlineStr">
        <is>
          <t>昨年実績</t>
        </is>
      </c>
      <c r="J311" s="364">
        <f>IF($G311="","",IF($H311=1,$G311-ROUND($G311*10/23,0)-2*ROUND($G311/23,0),IF($H311=2,$G311,0)))</f>
        <v>5408</v>
      </c>
      <c r="K311" s="364">
        <f>IF($G311="","",IF($H311=1,ROUND($G311*10/23,0),IF($H311=3,$G311-2*ROUND($G311/12,0),IF($H311=4,$G311,IF(OR($H311=5,$H311=7),ROUND($G311*10/11,0),0)))))</f>
        <v>0</v>
      </c>
      <c r="L311" s="364">
        <f>IF($G311="","",IF($H311=1,ROUND($G311/23,0),IF($H311=3,ROUND($G311/12,0),IF($H311=5,$G311-ROUND($G311*10/11,0),IF($H311=8,$G311,0)))))</f>
        <v>0</v>
      </c>
      <c r="M311" s="364">
        <f>IF($G311="","",IF($H311=1,ROUND($G311/23,0),IF($H311=3,ROUND($G311/12,0),IF($H311=6,$G311,IF($H311=7,$G311-ROUND($G311*10/11,0),0)))))</f>
        <v>0</v>
      </c>
      <c r="N311" s="364">
        <f>IF($G311="","",K311+L311+M311)</f>
        <v>0</v>
      </c>
      <c r="O311" s="365" t="str">
        <f>IF($G311="","",IFERROR(VLOOKUP($D311&amp;"|"&amp;$E311,科目表!$A$5:$B$200,2,FALSE),"※未登録"))</f>
        <v>通信運搬費</v>
      </c>
      <c r="P311" s="359">
        <f>IF(OR($G311="",$C311=""),"",IF($B311="決算整理",13,MOD(MONTH($C311)-4,12)+1))</f>
        <v>7</v>
      </c>
      <c r="Q311" s="366" t="str">
        <f>IF($G311="","",TRIM(IF(J311+K311+L311+M311&lt;&gt;$G311,"按分不一致 ","")&amp;IF(O311="※未登録","科目未登録 ","")&amp;IF(OR($H311="",ISERROR(MATCH($H311,{1,2,3,4,5,6,7,8},0))),"経費区分? ","")&amp;IF($I311="","状態未設定 ","")&amp;IF(AND(OR($I311="確認済",$I311="未確認"),$B311="月例",OR($C311="",$C311&lt;DATE(年度+2018,4,1),$C311&gt;DATE(年度+2019,3,31))),"年度外の日付 ","")&amp;IF(AND(OR($I311="確認済",$I311="未確認"),O311="対象外"),"対象外の科目 ","")))</f>
        <v/>
      </c>
      <c r="R311" s="366" t="inlineStr">
        <is>
          <t>月例!322</t>
        </is>
      </c>
    </row>
    <row r="312">
      <c r="A312" s="359" t="n">
        <v>308</v>
      </c>
      <c r="B312" s="360" t="inlineStr">
        <is>
          <t>月例</t>
        </is>
      </c>
      <c r="C312" s="361" t="n">
        <v>46325</v>
      </c>
      <c r="D312" s="362" t="inlineStr">
        <is>
          <t>事務費</t>
        </is>
      </c>
      <c r="E312" s="362" t="inlineStr">
        <is>
          <t>送金料</t>
        </is>
      </c>
      <c r="F312" s="362" t="inlineStr">
        <is>
          <t>ゆうちょ銀行手数料（９月分）短期</t>
        </is>
      </c>
      <c r="G312" s="363" t="n">
        <v>27204</v>
      </c>
      <c r="H312" s="360" t="n">
        <v>2</v>
      </c>
      <c r="I312" s="360" t="inlineStr">
        <is>
          <t>確認済</t>
        </is>
      </c>
      <c r="J312" s="364">
        <f>IF($G312="","",IF($H312=1,$G312-ROUND($G312*10/23,0)-2*ROUND($G312/23,0),IF($H312=2,$G312,0)))</f>
        <v>27204</v>
      </c>
      <c r="K312" s="364">
        <f>IF($G312="","",IF($H312=1,ROUND($G312*10/23,0),IF($H312=3,$G312-2*ROUND($G312/12,0),IF($H312=4,$G312,IF(OR($H312=5,$H312=7),ROUND($G312*10/11,0),0)))))</f>
        <v>0</v>
      </c>
      <c r="L312" s="364">
        <f>IF($G312="","",IF($H312=1,ROUND($G312/23,0),IF($H312=3,ROUND($G312/12,0),IF($H312=5,$G312-ROUND($G312*10/11,0),IF($H312=8,$G312,0)))))</f>
        <v>0</v>
      </c>
      <c r="M312" s="364">
        <f>IF($G312="","",IF($H312=1,ROUND($G312/23,0),IF($H312=3,ROUND($G312/12,0),IF($H312=6,$G312,IF($H312=7,$G312-ROUND($G312*10/11,0),0)))))</f>
        <v>0</v>
      </c>
      <c r="N312" s="364">
        <f>IF($G312="","",K312+L312+M312)</f>
        <v>0</v>
      </c>
      <c r="O312" s="365" t="str">
        <f>IF($G312="","",IFERROR(VLOOKUP($D312&amp;"|"&amp;$E312,科目表!$A$5:$B$200,2,FALSE),"※未登録"))</f>
        <v>送金料</v>
      </c>
      <c r="P312" s="359">
        <f>IF(OR($G312="",$C312=""),"",IF($B312="決算整理",13,MOD(MONTH($C312)-4,12)+1))</f>
        <v>7</v>
      </c>
      <c r="Q312" s="366" t="str">
        <f>IF($G312="","",TRIM(IF(J312+K312+L312+M312&lt;&gt;$G312,"按分不一致 ","")&amp;IF(O312="※未登録","科目未登録 ","")&amp;IF(OR($H312="",ISERROR(MATCH($H312,{1,2,3,4,5,6,7,8},0))),"経費区分? ","")&amp;IF($I312="","状態未設定 ","")&amp;IF(AND(OR($I312="確認済",$I312="未確認"),$B312="月例",OR($C312="",$C312&lt;DATE(年度+2018,4,1),$C312&gt;DATE(年度+2019,3,31))),"年度外の日付 ","")&amp;IF(AND(OR($I312="確認済",$I312="未確認"),O312="対象外"),"対象外の科目 ","")))</f>
        <v/>
      </c>
      <c r="R312" s="366" t="inlineStr">
        <is>
          <t>月例!323</t>
        </is>
      </c>
    </row>
    <row r="313">
      <c r="A313" s="359" t="n">
        <v>309</v>
      </c>
      <c r="B313" s="360" t="inlineStr">
        <is>
          <t>月例</t>
        </is>
      </c>
      <c r="C313" s="361" t="n">
        <v>46325</v>
      </c>
      <c r="D313" s="362" t="inlineStr">
        <is>
          <t>事務費</t>
        </is>
      </c>
      <c r="E313" s="362" t="inlineStr">
        <is>
          <t>雑費</t>
        </is>
      </c>
      <c r="F313" s="362" t="inlineStr">
        <is>
          <t>ゆうちょ銀行振替口座残高証明（９月分）短期</t>
        </is>
      </c>
      <c r="G313" s="363" t="n">
        <v>550</v>
      </c>
      <c r="H313" s="360" t="n">
        <v>2</v>
      </c>
      <c r="I313" s="360" t="inlineStr">
        <is>
          <t>確認済</t>
        </is>
      </c>
      <c r="J313" s="364">
        <f>IF($G313="","",IF($H313=1,$G313-ROUND($G313*10/23,0)-2*ROUND($G313/23,0),IF($H313=2,$G313,0)))</f>
        <v>550</v>
      </c>
      <c r="K313" s="364">
        <f>IF($G313="","",IF($H313=1,ROUND($G313*10/23,0),IF($H313=3,$G313-2*ROUND($G313/12,0),IF($H313=4,$G313,IF(OR($H313=5,$H313=7),ROUND($G313*10/11,0),0)))))</f>
        <v>0</v>
      </c>
      <c r="L313" s="364">
        <f>IF($G313="","",IF($H313=1,ROUND($G313/23,0),IF($H313=3,ROUND($G313/12,0),IF($H313=5,$G313-ROUND($G313*10/11,0),IF($H313=8,$G313,0)))))</f>
        <v>0</v>
      </c>
      <c r="M313" s="364">
        <f>IF($G313="","",IF($H313=1,ROUND($G313/23,0),IF($H313=3,ROUND($G313/12,0),IF($H313=6,$G313,IF($H313=7,$G313-ROUND($G313*10/11,0),0)))))</f>
        <v>0</v>
      </c>
      <c r="N313" s="364">
        <f>IF($G313="","",K313+L313+M313)</f>
        <v>0</v>
      </c>
      <c r="O313" s="365" t="str">
        <f>IF($G313="","",IFERROR(VLOOKUP($D313&amp;"|"&amp;$E313,科目表!$A$5:$B$200,2,FALSE),"※未登録"))</f>
        <v>事務費・雑費</v>
      </c>
      <c r="P313" s="359">
        <f>IF(OR($G313="",$C313=""),"",IF($B313="決算整理",13,MOD(MONTH($C313)-4,12)+1))</f>
        <v>7</v>
      </c>
      <c r="Q313" s="366" t="str">
        <f>IF($G313="","",TRIM(IF(J313+K313+L313+M313&lt;&gt;$G313,"按分不一致 ","")&amp;IF(O313="※未登録","科目未登録 ","")&amp;IF(OR($H313="",ISERROR(MATCH($H313,{1,2,3,4,5,6,7,8},0))),"経費区分? ","")&amp;IF($I313="","状態未設定 ","")&amp;IF(AND(OR($I313="確認済",$I313="未確認"),$B313="月例",OR($C313="",$C313&lt;DATE(年度+2018,4,1),$C313&gt;DATE(年度+2019,3,31))),"年度外の日付 ","")&amp;IF(AND(OR($I313="確認済",$I313="未確認"),O313="対象外"),"対象外の科目 ","")))</f>
        <v/>
      </c>
      <c r="R313" s="366" t="inlineStr">
        <is>
          <t>月例!324</t>
        </is>
      </c>
    </row>
    <row r="314">
      <c r="A314" s="359" t="n">
        <v>310</v>
      </c>
      <c r="B314" s="360" t="inlineStr">
        <is>
          <t>月例</t>
        </is>
      </c>
      <c r="C314" s="361" t="n">
        <v>45315</v>
      </c>
      <c r="D314" s="362" t="inlineStr">
        <is>
          <t>賃借料</t>
        </is>
      </c>
      <c r="E314" s="362" t="n"/>
      <c r="F314" s="362" t="inlineStr">
        <is>
          <t>サーバ版標準システム構成機器の賃借料（R5.4～9月分)</t>
        </is>
      </c>
      <c r="G314" s="363" t="n">
        <v>26598</v>
      </c>
      <c r="H314" s="360" t="n">
        <v>3</v>
      </c>
      <c r="I314" s="360" t="inlineStr">
        <is>
          <t>昨年実績</t>
        </is>
      </c>
      <c r="J314" s="364">
        <f>IF($G314="","",IF($H314=1,$G314-ROUND($G314*10/23,0)-2*ROUND($G314/23,0),IF($H314=2,$G314,0)))</f>
        <v>0</v>
      </c>
      <c r="K314" s="364">
        <f>IF($G314="","",IF($H314=1,ROUND($G314*10/23,0),IF($H314=3,$G314-2*ROUND($G314/12,0),IF($H314=4,$G314,IF(OR($H314=5,$H314=7),ROUND($G314*10/11,0),0)))))</f>
        <v>22164</v>
      </c>
      <c r="L314" s="364">
        <f>IF($G314="","",IF($H314=1,ROUND($G314/23,0),IF($H314=3,ROUND($G314/12,0),IF($H314=5,$G314-ROUND($G314*10/11,0),IF($H314=8,$G314,0)))))</f>
        <v>2217</v>
      </c>
      <c r="M314" s="364">
        <f>IF($G314="","",IF($H314=1,ROUND($G314/23,0),IF($H314=3,ROUND($G314/12,0),IF($H314=6,$G314,IF($H314=7,$G314-ROUND($G314*10/11,0),0)))))</f>
        <v>2217</v>
      </c>
      <c r="N314" s="364">
        <f>IF($G314="","",K314+L314+M314)</f>
        <v>26598</v>
      </c>
      <c r="O314" s="365" t="str">
        <f>IF($G314="","",IFERROR(VLOOKUP($D314&amp;"|"&amp;$E314,科目表!$A$5:$B$200,2,FALSE),"※未登録"))</f>
        <v>賃借料</v>
      </c>
      <c r="P314" s="359">
        <f>IF(OR($G314="",$C314=""),"",IF($B314="決算整理",13,MOD(MONTH($C314)-4,12)+1))</f>
        <v>10</v>
      </c>
      <c r="Q314" s="366" t="str">
        <f>IF($G314="","",TRIM(IF(J314+K314+L314+M314&lt;&gt;$G314,"按分不一致 ","")&amp;IF(O314="※未登録","科目未登録 ","")&amp;IF(OR($H314="",ISERROR(MATCH($H314,{1,2,3,4,5,6,7,8},0))),"経費区分? ","")&amp;IF($I314="","状態未設定 ","")&amp;IF(AND(OR($I314="確認済",$I314="未確認"),$B314="月例",OR($C314="",$C314&lt;DATE(年度+2018,4,1),$C314&gt;DATE(年度+2019,3,31))),"年度外の日付 ","")&amp;IF(AND(OR($I314="確認済",$I314="未確認"),O314="対象外"),"対象外の科目 ","")))</f>
        <v/>
      </c>
      <c r="R314" s="366" t="inlineStr">
        <is>
          <t>月例!325</t>
        </is>
      </c>
    </row>
    <row r="315">
      <c r="A315" s="359" t="n">
        <v>311</v>
      </c>
      <c r="B315" s="360" t="inlineStr">
        <is>
          <t>月例</t>
        </is>
      </c>
      <c r="C315" s="361" t="n">
        <v>46323</v>
      </c>
      <c r="D315" s="362" t="inlineStr">
        <is>
          <t>負担金</t>
        </is>
      </c>
      <c r="E315" s="362" t="inlineStr">
        <is>
          <t>負担金</t>
        </is>
      </c>
      <c r="F315" s="362" t="inlineStr">
        <is>
          <t>共済短期・介護負担金（10月月例分）長期</t>
        </is>
      </c>
      <c r="G315" s="363" t="n">
        <v>20974</v>
      </c>
      <c r="H315" s="360" t="n">
        <v>3</v>
      </c>
      <c r="I315" s="360" t="inlineStr">
        <is>
          <t>確認済</t>
        </is>
      </c>
      <c r="J315" s="364">
        <f>IF($G315="","",IF($H315=1,$G315-ROUND($G315*10/23,0)-2*ROUND($G315/23,0),IF($H315=2,$G315,0)))</f>
        <v>0</v>
      </c>
      <c r="K315" s="364">
        <f>IF($G315="","",IF($H315=1,ROUND($G315*10/23,0),IF($H315=3,$G315-2*ROUND($G315/12,0),IF($H315=4,$G315,IF(OR($H315=5,$H315=7),ROUND($G315*10/11,0),0)))))</f>
        <v>17478</v>
      </c>
      <c r="L315" s="364">
        <f>IF($G315="","",IF($H315=1,ROUND($G315/23,0),IF($H315=3,ROUND($G315/12,0),IF($H315=5,$G315-ROUND($G315*10/11,0),IF($H315=8,$G315,0)))))</f>
        <v>1748</v>
      </c>
      <c r="M315" s="364">
        <f>IF($G315="","",IF($H315=1,ROUND($G315/23,0),IF($H315=3,ROUND($G315/12,0),IF($H315=6,$G315,IF($H315=7,$G315-ROUND($G315*10/11,0),0)))))</f>
        <v>1748</v>
      </c>
      <c r="N315" s="364">
        <f>IF($G315="","",K315+L315+M315)</f>
        <v>20974</v>
      </c>
      <c r="O315" s="365" t="str">
        <f>IF($G315="","",IFERROR(VLOOKUP($D315&amp;"|"&amp;$E315,科目表!$A$5:$B$200,2,FALSE),"※未登録"))</f>
        <v>共済負担金等</v>
      </c>
      <c r="P315" s="359">
        <f>IF(OR($G315="",$C315=""),"",IF($B315="決算整理",13,MOD(MONTH($C315)-4,12)+1))</f>
        <v>7</v>
      </c>
      <c r="Q315" s="366" t="str">
        <f>IF($G315="","",TRIM(IF(J315+K315+L315+M315&lt;&gt;$G315,"按分不一致 ","")&amp;IF(O315="※未登録","科目未登録 ","")&amp;IF(OR($H315="",ISERROR(MATCH($H315,{1,2,3,4,5,6,7,8},0))),"経費区分? ","")&amp;IF($I315="","状態未設定 ","")&amp;IF(AND(OR($I315="確認済",$I315="未確認"),$B315="月例",OR($C315="",$C315&lt;DATE(年度+2018,4,1),$C315&gt;DATE(年度+2019,3,31))),"年度外の日付 ","")&amp;IF(AND(OR($I315="確認済",$I315="未確認"),O315="対象外"),"対象外の科目 ","")))</f>
        <v/>
      </c>
      <c r="R315" s="366" t="inlineStr">
        <is>
          <t>月例!326</t>
        </is>
      </c>
    </row>
    <row r="316">
      <c r="A316" s="359" t="n">
        <v>312</v>
      </c>
      <c r="B316" s="360" t="inlineStr">
        <is>
          <t>月例</t>
        </is>
      </c>
      <c r="C316" s="361" t="n">
        <v>46323</v>
      </c>
      <c r="D316" s="362" t="inlineStr">
        <is>
          <t>負担金</t>
        </is>
      </c>
      <c r="E316" s="362" t="inlineStr">
        <is>
          <t>負担金</t>
        </is>
      </c>
      <c r="F316" s="362" t="inlineStr">
        <is>
          <t>共済短期・介護負担金（10月月例分）短期</t>
        </is>
      </c>
      <c r="G316" s="363" t="n">
        <v>40844</v>
      </c>
      <c r="H316" s="360" t="n">
        <v>2</v>
      </c>
      <c r="I316" s="360" t="inlineStr">
        <is>
          <t>確認済</t>
        </is>
      </c>
      <c r="J316" s="364">
        <f>IF($G316="","",IF($H316=1,$G316-ROUND($G316*10/23,0)-2*ROUND($G316/23,0),IF($H316=2,$G316,0)))</f>
        <v>40844</v>
      </c>
      <c r="K316" s="364">
        <f>IF($G316="","",IF($H316=1,ROUND($G316*10/23,0),IF($H316=3,$G316-2*ROUND($G316/12,0),IF($H316=4,$G316,IF(OR($H316=5,$H316=7),ROUND($G316*10/11,0),0)))))</f>
        <v>0</v>
      </c>
      <c r="L316" s="364">
        <f>IF($G316="","",IF($H316=1,ROUND($G316/23,0),IF($H316=3,ROUND($G316/12,0),IF($H316=5,$G316-ROUND($G316*10/11,0),IF($H316=8,$G316,0)))))</f>
        <v>0</v>
      </c>
      <c r="M316" s="364">
        <f>IF($G316="","",IF($H316=1,ROUND($G316/23,0),IF($H316=3,ROUND($G316/12,0),IF($H316=6,$G316,IF($H316=7,$G316-ROUND($G316*10/11,0),0)))))</f>
        <v>0</v>
      </c>
      <c r="N316" s="364">
        <f>IF($G316="","",K316+L316+M316)</f>
        <v>0</v>
      </c>
      <c r="O316" s="365" t="str">
        <f>IF($G316="","",IFERROR(VLOOKUP($D316&amp;"|"&amp;$E316,科目表!$A$5:$B$200,2,FALSE),"※未登録"))</f>
        <v>共済負担金等</v>
      </c>
      <c r="P316" s="359">
        <f>IF(OR($G316="",$C316=""),"",IF($B316="決算整理",13,MOD(MONTH($C316)-4,12)+1))</f>
        <v>7</v>
      </c>
      <c r="Q316" s="366" t="str">
        <f>IF($G316="","",TRIM(IF(J316+K316+L316+M316&lt;&gt;$G316,"按分不一致 ","")&amp;IF(O316="※未登録","科目未登録 ","")&amp;IF(OR($H316="",ISERROR(MATCH($H316,{1,2,3,4,5,6,7,8},0))),"経費区分? ","")&amp;IF($I316="","状態未設定 ","")&amp;IF(AND(OR($I316="確認済",$I316="未確認"),$B316="月例",OR($C316="",$C316&lt;DATE(年度+2018,4,1),$C316&gt;DATE(年度+2019,3,31))),"年度外の日付 ","")&amp;IF(AND(OR($I316="確認済",$I316="未確認"),O316="対象外"),"対象外の科目 ","")))</f>
        <v/>
      </c>
      <c r="R316" s="366" t="inlineStr">
        <is>
          <t>月例!327</t>
        </is>
      </c>
    </row>
    <row r="317">
      <c r="A317" s="359" t="n">
        <v>313</v>
      </c>
      <c r="B317" s="360" t="inlineStr">
        <is>
          <t>月例</t>
        </is>
      </c>
      <c r="C317" s="361" t="n">
        <v>43766</v>
      </c>
      <c r="D317" s="362" t="inlineStr">
        <is>
          <t>旅費</t>
        </is>
      </c>
      <c r="E317" s="362" t="n"/>
      <c r="F317" s="362" t="inlineStr">
        <is>
          <t>10/30　全国共済組合事務局長会議　特別区　胡子事務局長</t>
        </is>
      </c>
      <c r="G317" s="363" t="n">
        <v>39100</v>
      </c>
      <c r="H317" s="360" t="n">
        <v>1</v>
      </c>
      <c r="I317" s="360" t="inlineStr">
        <is>
          <t>昨年実績</t>
        </is>
      </c>
      <c r="J317" s="364">
        <f>IF($G317="","",IF($H317=1,$G317-ROUND($G317*10/23,0)-2*ROUND($G317/23,0),IF($H317=2,$G317,0)))</f>
        <v>18700</v>
      </c>
      <c r="K317" s="364">
        <f>IF($G317="","",IF($H317=1,ROUND($G317*10/23,0),IF($H317=3,$G317-2*ROUND($G317/12,0),IF($H317=4,$G317,IF(OR($H317=5,$H317=7),ROUND($G317*10/11,0),0)))))</f>
        <v>17000</v>
      </c>
      <c r="L317" s="364">
        <f>IF($G317="","",IF($H317=1,ROUND($G317/23,0),IF($H317=3,ROUND($G317/12,0),IF($H317=5,$G317-ROUND($G317*10/11,0),IF($H317=8,$G317,0)))))</f>
        <v>1700</v>
      </c>
      <c r="M317" s="364">
        <f>IF($G317="","",IF($H317=1,ROUND($G317/23,0),IF($H317=3,ROUND($G317/12,0),IF($H317=6,$G317,IF($H317=7,$G317-ROUND($G317*10/11,0),0)))))</f>
        <v>1700</v>
      </c>
      <c r="N317" s="364">
        <f>IF($G317="","",K317+L317+M317)</f>
        <v>20400</v>
      </c>
      <c r="O317" s="365" t="str">
        <f>IF($G317="","",IFERROR(VLOOKUP($D317&amp;"|"&amp;$E317,科目表!$A$5:$B$200,2,FALSE),"※未登録"))</f>
        <v>旅費</v>
      </c>
      <c r="P317" s="359">
        <f>IF(OR($G317="",$C317=""),"",IF($B317="決算整理",13,MOD(MONTH($C317)-4,12)+1))</f>
        <v>7</v>
      </c>
      <c r="Q317" s="366" t="str">
        <f>IF($G317="","",TRIM(IF(J317+K317+L317+M317&lt;&gt;$G317,"按分不一致 ","")&amp;IF(O317="※未登録","科目未登録 ","")&amp;IF(OR($H317="",ISERROR(MATCH($H317,{1,2,3,4,5,6,7,8},0))),"経費区分? ","")&amp;IF($I317="","状態未設定 ","")&amp;IF(AND(OR($I317="確認済",$I317="未確認"),$B317="月例",OR($C317="",$C317&lt;DATE(年度+2018,4,1),$C317&gt;DATE(年度+2019,3,31))),"年度外の日付 ","")&amp;IF(AND(OR($I317="確認済",$I317="未確認"),O317="対象外"),"対象外の科目 ","")))</f>
        <v/>
      </c>
      <c r="R317" s="366" t="inlineStr">
        <is>
          <t>月例!328</t>
        </is>
      </c>
    </row>
    <row r="318">
      <c r="A318" s="359" t="n">
        <v>314</v>
      </c>
      <c r="B318" s="360" t="inlineStr">
        <is>
          <t>月例</t>
        </is>
      </c>
      <c r="C318" s="361" t="n">
        <v>46324</v>
      </c>
      <c r="D318" s="362" t="inlineStr">
        <is>
          <t>賃借料</t>
        </is>
      </c>
      <c r="E318" s="362" t="n"/>
      <c r="F318" s="362" t="inlineStr">
        <is>
          <t>基幹システム用機器賃借料　9月分（短期）</t>
        </is>
      </c>
      <c r="G318" s="363" t="n">
        <v>672934</v>
      </c>
      <c r="H318" s="360" t="n">
        <v>2</v>
      </c>
      <c r="I318" s="360" t="inlineStr">
        <is>
          <t>確認済</t>
        </is>
      </c>
      <c r="J318" s="364">
        <f>IF($G318="","",IF($H318=1,$G318-ROUND($G318*10/23,0)-2*ROUND($G318/23,0),IF($H318=2,$G318,0)))</f>
        <v>672934</v>
      </c>
      <c r="K318" s="364">
        <f>IF($G318="","",IF($H318=1,ROUND($G318*10/23,0),IF($H318=3,$G318-2*ROUND($G318/12,0),IF($H318=4,$G318,IF(OR($H318=5,$H318=7),ROUND($G318*10/11,0),0)))))</f>
        <v>0</v>
      </c>
      <c r="L318" s="364">
        <f>IF($G318="","",IF($H318=1,ROUND($G318/23,0),IF($H318=3,ROUND($G318/12,0),IF($H318=5,$G318-ROUND($G318*10/11,0),IF($H318=8,$G318,0)))))</f>
        <v>0</v>
      </c>
      <c r="M318" s="364">
        <f>IF($G318="","",IF($H318=1,ROUND($G318/23,0),IF($H318=3,ROUND($G318/12,0),IF($H318=6,$G318,IF($H318=7,$G318-ROUND($G318*10/11,0),0)))))</f>
        <v>0</v>
      </c>
      <c r="N318" s="364">
        <f>IF($G318="","",K318+L318+M318)</f>
        <v>0</v>
      </c>
      <c r="O318" s="365" t="str">
        <f>IF($G318="","",IFERROR(VLOOKUP($D318&amp;"|"&amp;$E318,科目表!$A$5:$B$200,2,FALSE),"※未登録"))</f>
        <v>賃借料</v>
      </c>
      <c r="P318" s="359">
        <f>IF(OR($G318="",$C318=""),"",IF($B318="決算整理",13,MOD(MONTH($C318)-4,12)+1))</f>
        <v>7</v>
      </c>
      <c r="Q318" s="366" t="str">
        <f>IF($G318="","",TRIM(IF(J318+K318+L318+M318&lt;&gt;$G318,"按分不一致 ","")&amp;IF(O318="※未登録","科目未登録 ","")&amp;IF(OR($H318="",ISERROR(MATCH($H318,{1,2,3,4,5,6,7,8},0))),"経費区分? ","")&amp;IF($I318="","状態未設定 ","")&amp;IF(AND(OR($I318="確認済",$I318="未確認"),$B318="月例",OR($C318="",$C318&lt;DATE(年度+2018,4,1),$C318&gt;DATE(年度+2019,3,31))),"年度外の日付 ","")&amp;IF(AND(OR($I318="確認済",$I318="未確認"),O318="対象外"),"対象外の科目 ","")))</f>
        <v/>
      </c>
      <c r="R318" s="366" t="inlineStr">
        <is>
          <t>月例!329</t>
        </is>
      </c>
    </row>
    <row r="319">
      <c r="A319" s="359" t="n">
        <v>315</v>
      </c>
      <c r="B319" s="360" t="inlineStr">
        <is>
          <t>月例</t>
        </is>
      </c>
      <c r="C319" s="361" t="n">
        <v>46324</v>
      </c>
      <c r="D319" s="362" t="inlineStr">
        <is>
          <t>賃借料</t>
        </is>
      </c>
      <c r="E319" s="362" t="n"/>
      <c r="F319" s="362" t="inlineStr">
        <is>
          <t>基幹システム用機器賃借料　9月分（長期）</t>
        </is>
      </c>
      <c r="G319" s="363" t="n">
        <v>69613</v>
      </c>
      <c r="H319" s="360" t="n">
        <v>3</v>
      </c>
      <c r="I319" s="360" t="inlineStr">
        <is>
          <t>確認済</t>
        </is>
      </c>
      <c r="J319" s="364">
        <f>IF($G319="","",IF($H319=1,$G319-ROUND($G319*10/23,0)-2*ROUND($G319/23,0),IF($H319=2,$G319,0)))</f>
        <v>0</v>
      </c>
      <c r="K319" s="364">
        <f>IF($G319="","",IF($H319=1,ROUND($G319*10/23,0),IF($H319=3,$G319-2*ROUND($G319/12,0),IF($H319=4,$G319,IF(OR($H319=5,$H319=7),ROUND($G319*10/11,0),0)))))</f>
        <v>58011</v>
      </c>
      <c r="L319" s="364">
        <f>IF($G319="","",IF($H319=1,ROUND($G319/23,0),IF($H319=3,ROUND($G319/12,0),IF($H319=5,$G319-ROUND($G319*10/11,0),IF($H319=8,$G319,0)))))</f>
        <v>5801</v>
      </c>
      <c r="M319" s="364">
        <f>IF($G319="","",IF($H319=1,ROUND($G319/23,0),IF($H319=3,ROUND($G319/12,0),IF($H319=6,$G319,IF($H319=7,$G319-ROUND($G319*10/11,0),0)))))</f>
        <v>5801</v>
      </c>
      <c r="N319" s="364">
        <f>IF($G319="","",K319+L319+M319)</f>
        <v>69613</v>
      </c>
      <c r="O319" s="365" t="str">
        <f>IF($G319="","",IFERROR(VLOOKUP($D319&amp;"|"&amp;$E319,科目表!$A$5:$B$200,2,FALSE),"※未登録"))</f>
        <v>賃借料</v>
      </c>
      <c r="P319" s="359">
        <f>IF(OR($G319="",$C319=""),"",IF($B319="決算整理",13,MOD(MONTH($C319)-4,12)+1))</f>
        <v>7</v>
      </c>
      <c r="Q319" s="366" t="str">
        <f>IF($G319="","",TRIM(IF(J319+K319+L319+M319&lt;&gt;$G319,"按分不一致 ","")&amp;IF(O319="※未登録","科目未登録 ","")&amp;IF(OR($H319="",ISERROR(MATCH($H319,{1,2,3,4,5,6,7,8},0))),"経費区分? ","")&amp;IF($I319="","状態未設定 ","")&amp;IF(AND(OR($I319="確認済",$I319="未確認"),$B319="月例",OR($C319="",$C319&lt;DATE(年度+2018,4,1),$C319&gt;DATE(年度+2019,3,31))),"年度外の日付 ","")&amp;IF(AND(OR($I319="確認済",$I319="未確認"),O319="対象外"),"対象外の科目 ","")))</f>
        <v/>
      </c>
      <c r="R319" s="366" t="inlineStr">
        <is>
          <t>月例!330</t>
        </is>
      </c>
    </row>
    <row r="320">
      <c r="A320" s="359" t="n">
        <v>316</v>
      </c>
      <c r="B320" s="360" t="inlineStr">
        <is>
          <t>月例</t>
        </is>
      </c>
      <c r="C320" s="361" t="n">
        <v>46324</v>
      </c>
      <c r="D320" s="362" t="inlineStr">
        <is>
          <t>賃借料</t>
        </is>
      </c>
      <c r="E320" s="362" t="n"/>
      <c r="F320" s="362" t="inlineStr">
        <is>
          <t>パソコン（業務経理用）９月分</t>
        </is>
      </c>
      <c r="G320" s="363" t="n">
        <v>5060</v>
      </c>
      <c r="H320" s="360" t="n">
        <v>2</v>
      </c>
      <c r="I320" s="360" t="inlineStr">
        <is>
          <t>確認済</t>
        </is>
      </c>
      <c r="J320" s="364">
        <f>IF($G320="","",IF($H320=1,$G320-ROUND($G320*10/23,0)-2*ROUND($G320/23,0),IF($H320=2,$G320,0)))</f>
        <v>5060</v>
      </c>
      <c r="K320" s="364">
        <f>IF($G320="","",IF($H320=1,ROUND($G320*10/23,0),IF($H320=3,$G320-2*ROUND($G320/12,0),IF($H320=4,$G320,IF(OR($H320=5,$H320=7),ROUND($G320*10/11,0),0)))))</f>
        <v>0</v>
      </c>
      <c r="L320" s="364">
        <f>IF($G320="","",IF($H320=1,ROUND($G320/23,0),IF($H320=3,ROUND($G320/12,0),IF($H320=5,$G320-ROUND($G320*10/11,0),IF($H320=8,$G320,0)))))</f>
        <v>0</v>
      </c>
      <c r="M320" s="364">
        <f>IF($G320="","",IF($H320=1,ROUND($G320/23,0),IF($H320=3,ROUND($G320/12,0),IF($H320=6,$G320,IF($H320=7,$G320-ROUND($G320*10/11,0),0)))))</f>
        <v>0</v>
      </c>
      <c r="N320" s="364">
        <f>IF($G320="","",K320+L320+M320)</f>
        <v>0</v>
      </c>
      <c r="O320" s="365" t="str">
        <f>IF($G320="","",IFERROR(VLOOKUP($D320&amp;"|"&amp;$E320,科目表!$A$5:$B$200,2,FALSE),"※未登録"))</f>
        <v>賃借料</v>
      </c>
      <c r="P320" s="359">
        <f>IF(OR($G320="",$C320=""),"",IF($B320="決算整理",13,MOD(MONTH($C320)-4,12)+1))</f>
        <v>7</v>
      </c>
      <c r="Q320" s="366" t="str">
        <f>IF($G320="","",TRIM(IF(J320+K320+L320+M320&lt;&gt;$G320,"按分不一致 ","")&amp;IF(O320="※未登録","科目未登録 ","")&amp;IF(OR($H320="",ISERROR(MATCH($H320,{1,2,3,4,5,6,7,8},0))),"経費区分? ","")&amp;IF($I320="","状態未設定 ","")&amp;IF(AND(OR($I320="確認済",$I320="未確認"),$B320="月例",OR($C320="",$C320&lt;DATE(年度+2018,4,1),$C320&gt;DATE(年度+2019,3,31))),"年度外の日付 ","")&amp;IF(AND(OR($I320="確認済",$I320="未確認"),O320="対象外"),"対象外の科目 ","")))</f>
        <v/>
      </c>
      <c r="R320" s="366" t="inlineStr">
        <is>
          <t>月例!331</t>
        </is>
      </c>
    </row>
    <row r="321">
      <c r="A321" s="359" t="n">
        <v>317</v>
      </c>
      <c r="B321" s="360" t="inlineStr">
        <is>
          <t>月例</t>
        </is>
      </c>
      <c r="C321" s="361" t="n">
        <v>44498</v>
      </c>
      <c r="D321" s="362" t="inlineStr">
        <is>
          <t>賃借料</t>
        </is>
      </c>
      <c r="E321" s="362" t="n"/>
      <c r="F321" s="362" t="inlineStr">
        <is>
          <t>ﾊﾟｿｺﾝｳｨﾙｽ対策ｿﾌﾄ(業務用)ｻﾝﾈｯﾄ（９月分）</t>
        </is>
      </c>
      <c r="G321" s="363" t="n">
        <v>2090</v>
      </c>
      <c r="H321" s="360" t="n">
        <v>2</v>
      </c>
      <c r="I321" s="360" t="inlineStr">
        <is>
          <t>昨年実績</t>
        </is>
      </c>
      <c r="J321" s="364">
        <f>IF($G321="","",IF($H321=1,$G321-ROUND($G321*10/23,0)-2*ROUND($G321/23,0),IF($H321=2,$G321,0)))</f>
        <v>2090</v>
      </c>
      <c r="K321" s="364">
        <f>IF($G321="","",IF($H321=1,ROUND($G321*10/23,0),IF($H321=3,$G321-2*ROUND($G321/12,0),IF($H321=4,$G321,IF(OR($H321=5,$H321=7),ROUND($G321*10/11,0),0)))))</f>
        <v>0</v>
      </c>
      <c r="L321" s="364">
        <f>IF($G321="","",IF($H321=1,ROUND($G321/23,0),IF($H321=3,ROUND($G321/12,0),IF($H321=5,$G321-ROUND($G321*10/11,0),IF($H321=8,$G321,0)))))</f>
        <v>0</v>
      </c>
      <c r="M321" s="364">
        <f>IF($G321="","",IF($H321=1,ROUND($G321/23,0),IF($H321=3,ROUND($G321/12,0),IF($H321=6,$G321,IF($H321=7,$G321-ROUND($G321*10/11,0),0)))))</f>
        <v>0</v>
      </c>
      <c r="N321" s="364">
        <f>IF($G321="","",K321+L321+M321)</f>
        <v>0</v>
      </c>
      <c r="O321" s="365" t="str">
        <f>IF($G321="","",IFERROR(VLOOKUP($D321&amp;"|"&amp;$E321,科目表!$A$5:$B$200,2,FALSE),"※未登録"))</f>
        <v>賃借料</v>
      </c>
      <c r="P321" s="359">
        <f>IF(OR($G321="",$C321=""),"",IF($B321="決算整理",13,MOD(MONTH($C321)-4,12)+1))</f>
        <v>7</v>
      </c>
      <c r="Q321" s="366" t="str">
        <f>IF($G321="","",TRIM(IF(J321+K321+L321+M321&lt;&gt;$G321,"按分不一致 ","")&amp;IF(O321="※未登録","科目未登録 ","")&amp;IF(OR($H321="",ISERROR(MATCH($H321,{1,2,3,4,5,6,7,8},0))),"経費区分? ","")&amp;IF($I321="","状態未設定 ","")&amp;IF(AND(OR($I321="確認済",$I321="未確認"),$B321="月例",OR($C321="",$C321&lt;DATE(年度+2018,4,1),$C321&gt;DATE(年度+2019,3,31))),"年度外の日付 ","")&amp;IF(AND(OR($I321="確認済",$I321="未確認"),O321="対象外"),"対象外の科目 ","")))</f>
        <v/>
      </c>
      <c r="R321" s="366" t="inlineStr">
        <is>
          <t>月例!332</t>
        </is>
      </c>
    </row>
    <row r="322">
      <c r="A322" s="359" t="n">
        <v>318</v>
      </c>
      <c r="B322" s="360" t="inlineStr">
        <is>
          <t>月例</t>
        </is>
      </c>
      <c r="C322" s="361" t="n">
        <v>45580</v>
      </c>
      <c r="D322" s="362" t="inlineStr">
        <is>
          <t>事務費</t>
        </is>
      </c>
      <c r="E322" s="362" t="inlineStr">
        <is>
          <t>事務用消耗品費</t>
        </is>
      </c>
      <c r="F322" s="362" t="inlineStr">
        <is>
          <t>スイッチングＨＵＢ　ＥＨＣ－Ｇ０５ＰＡ２－Ｗ</t>
        </is>
      </c>
      <c r="G322" s="363" t="n">
        <v>3201</v>
      </c>
      <c r="H322" s="360" t="n">
        <v>2</v>
      </c>
      <c r="I322" s="360" t="inlineStr">
        <is>
          <t>昨年実績</t>
        </is>
      </c>
      <c r="J322" s="364">
        <f>IF($G322="","",IF($H322=1,$G322-ROUND($G322*10/23,0)-2*ROUND($G322/23,0),IF($H322=2,$G322,0)))</f>
        <v>3201</v>
      </c>
      <c r="K322" s="364">
        <f>IF($G322="","",IF($H322=1,ROUND($G322*10/23,0),IF($H322=3,$G322-2*ROUND($G322/12,0),IF($H322=4,$G322,IF(OR($H322=5,$H322=7),ROUND($G322*10/11,0),0)))))</f>
        <v>0</v>
      </c>
      <c r="L322" s="364">
        <f>IF($G322="","",IF($H322=1,ROUND($G322/23,0),IF($H322=3,ROUND($G322/12,0),IF($H322=5,$G322-ROUND($G322*10/11,0),IF($H322=8,$G322,0)))))</f>
        <v>0</v>
      </c>
      <c r="M322" s="364">
        <f>IF($G322="","",IF($H322=1,ROUND($G322/23,0),IF($H322=3,ROUND($G322/12,0),IF($H322=6,$G322,IF($H322=7,$G322-ROUND($G322*10/11,0),0)))))</f>
        <v>0</v>
      </c>
      <c r="N322" s="364">
        <f>IF($G322="","",K322+L322+M322)</f>
        <v>0</v>
      </c>
      <c r="O322" s="365" t="str">
        <f>IF($G322="","",IFERROR(VLOOKUP($D322&amp;"|"&amp;$E322,科目表!$A$5:$B$200,2,FALSE),"※未登録"))</f>
        <v>事務用消耗品費</v>
      </c>
      <c r="P322" s="359">
        <f>IF(OR($G322="",$C322=""),"",IF($B322="決算整理",13,MOD(MONTH($C322)-4,12)+1))</f>
        <v>7</v>
      </c>
      <c r="Q322" s="366" t="str">
        <f>IF($G322="","",TRIM(IF(J322+K322+L322+M322&lt;&gt;$G322,"按分不一致 ","")&amp;IF(O322="※未登録","科目未登録 ","")&amp;IF(OR($H322="",ISERROR(MATCH($H322,{1,2,3,4,5,6,7,8},0))),"経費区分? ","")&amp;IF($I322="","状態未設定 ","")&amp;IF(AND(OR($I322="確認済",$I322="未確認"),$B322="月例",OR($C322="",$C322&lt;DATE(年度+2018,4,1),$C322&gt;DATE(年度+2019,3,31))),"年度外の日付 ","")&amp;IF(AND(OR($I322="確認済",$I322="未確認"),O322="対象外"),"対象外の科目 ","")))</f>
        <v/>
      </c>
      <c r="R322" s="366" t="inlineStr">
        <is>
          <t>月例!333</t>
        </is>
      </c>
    </row>
    <row r="323">
      <c r="A323" s="359" t="n">
        <v>319</v>
      </c>
      <c r="B323" s="360" t="inlineStr">
        <is>
          <t>月例</t>
        </is>
      </c>
      <c r="C323" s="361" t="n">
        <v>45961</v>
      </c>
      <c r="D323" s="362" t="inlineStr">
        <is>
          <t>事務費</t>
        </is>
      </c>
      <c r="E323" s="362" t="inlineStr">
        <is>
          <t>図書印刷費</t>
        </is>
      </c>
      <c r="F323" s="362" t="inlineStr">
        <is>
          <t>厚生法規総覧追録　6026-6035号</t>
        </is>
      </c>
      <c r="G323" s="363" t="n">
        <v>33154</v>
      </c>
      <c r="H323" s="360" t="n">
        <v>2</v>
      </c>
      <c r="I323" s="360" t="inlineStr">
        <is>
          <t>昨年実績</t>
        </is>
      </c>
      <c r="J323" s="364">
        <f>IF($G323="","",IF($H323=1,$G323-ROUND($G323*10/23,0)-2*ROUND($G323/23,0),IF($H323=2,$G323,0)))</f>
        <v>33154</v>
      </c>
      <c r="K323" s="364">
        <f>IF($G323="","",IF($H323=1,ROUND($G323*10/23,0),IF($H323=3,$G323-2*ROUND($G323/12,0),IF($H323=4,$G323,IF(OR($H323=5,$H323=7),ROUND($G323*10/11,0),0)))))</f>
        <v>0</v>
      </c>
      <c r="L323" s="364">
        <f>IF($G323="","",IF($H323=1,ROUND($G323/23,0),IF($H323=3,ROUND($G323/12,0),IF($H323=5,$G323-ROUND($G323*10/11,0),IF($H323=8,$G323,0)))))</f>
        <v>0</v>
      </c>
      <c r="M323" s="364">
        <f>IF($G323="","",IF($H323=1,ROUND($G323/23,0),IF($H323=3,ROUND($G323/12,0),IF($H323=6,$G323,IF($H323=7,$G323-ROUND($G323*10/11,0),0)))))</f>
        <v>0</v>
      </c>
      <c r="N323" s="364">
        <f>IF($G323="","",K323+L323+M323)</f>
        <v>0</v>
      </c>
      <c r="O323" s="365" t="str">
        <f>IF($G323="","",IFERROR(VLOOKUP($D323&amp;"|"&amp;$E323,科目表!$A$5:$B$200,2,FALSE),"※未登録"))</f>
        <v>図書印刷費</v>
      </c>
      <c r="P323" s="359">
        <f>IF(OR($G323="",$C323=""),"",IF($B323="決算整理",13,MOD(MONTH($C323)-4,12)+1))</f>
        <v>7</v>
      </c>
      <c r="Q323" s="366" t="str">
        <f>IF($G323="","",TRIM(IF(J323+K323+L323+M323&lt;&gt;$G323,"按分不一致 ","")&amp;IF(O323="※未登録","科目未登録 ","")&amp;IF(OR($H323="",ISERROR(MATCH($H323,{1,2,3,4,5,6,7,8},0))),"経費区分? ","")&amp;IF($I323="","状態未設定 ","")&amp;IF(AND(OR($I323="確認済",$I323="未確認"),$B323="月例",OR($C323="",$C323&lt;DATE(年度+2018,4,1),$C323&gt;DATE(年度+2019,3,31))),"年度外の日付 ","")&amp;IF(AND(OR($I323="確認済",$I323="未確認"),O323="対象外"),"対象外の科目 ","")))</f>
        <v/>
      </c>
      <c r="R323" s="366" t="inlineStr">
        <is>
          <t>月例!334</t>
        </is>
      </c>
    </row>
    <row r="324">
      <c r="A324" s="359" t="n">
        <v>320</v>
      </c>
      <c r="B324" s="360" t="inlineStr">
        <is>
          <t>月例</t>
        </is>
      </c>
      <c r="C324" s="361" t="n">
        <v>44862</v>
      </c>
      <c r="D324" s="362" t="inlineStr">
        <is>
          <t>事務費</t>
        </is>
      </c>
      <c r="E324" s="362" t="inlineStr">
        <is>
          <t>事務用消耗品費</t>
        </is>
      </c>
      <c r="F324" s="362" t="inlineStr">
        <is>
          <t>高齢受給者証　3,000枚</t>
        </is>
      </c>
      <c r="G324" s="363" t="n">
        <v>36300</v>
      </c>
      <c r="H324" s="360" t="n">
        <v>2</v>
      </c>
      <c r="I324" s="360" t="inlineStr">
        <is>
          <t>昨年実績</t>
        </is>
      </c>
      <c r="J324" s="364">
        <f>IF($G324="","",IF($H324=1,$G324-ROUND($G324*10/23,0)-2*ROUND($G324/23,0),IF($H324=2,$G324,0)))</f>
        <v>36300</v>
      </c>
      <c r="K324" s="364">
        <f>IF($G324="","",IF($H324=1,ROUND($G324*10/23,0),IF($H324=3,$G324-2*ROUND($G324/12,0),IF($H324=4,$G324,IF(OR($H324=5,$H324=7),ROUND($G324*10/11,0),0)))))</f>
        <v>0</v>
      </c>
      <c r="L324" s="364">
        <f>IF($G324="","",IF($H324=1,ROUND($G324/23,0),IF($H324=3,ROUND($G324/12,0),IF($H324=5,$G324-ROUND($G324*10/11,0),IF($H324=8,$G324,0)))))</f>
        <v>0</v>
      </c>
      <c r="M324" s="364">
        <f>IF($G324="","",IF($H324=1,ROUND($G324/23,0),IF($H324=3,ROUND($G324/12,0),IF($H324=6,$G324,IF($H324=7,$G324-ROUND($G324*10/11,0),0)))))</f>
        <v>0</v>
      </c>
      <c r="N324" s="364">
        <f>IF($G324="","",K324+L324+M324)</f>
        <v>0</v>
      </c>
      <c r="O324" s="365" t="str">
        <f>IF($G324="","",IFERROR(VLOOKUP($D324&amp;"|"&amp;$E324,科目表!$A$5:$B$200,2,FALSE),"※未登録"))</f>
        <v>事務用消耗品費</v>
      </c>
      <c r="P324" s="359">
        <f>IF(OR($G324="",$C324=""),"",IF($B324="決算整理",13,MOD(MONTH($C324)-4,12)+1))</f>
        <v>7</v>
      </c>
      <c r="Q324" s="366" t="str">
        <f>IF($G324="","",TRIM(IF(J324+K324+L324+M324&lt;&gt;$G324,"按分不一致 ","")&amp;IF(O324="※未登録","科目未登録 ","")&amp;IF(OR($H324="",ISERROR(MATCH($H324,{1,2,3,4,5,6,7,8},0))),"経費区分? ","")&amp;IF($I324="","状態未設定 ","")&amp;IF(AND(OR($I324="確認済",$I324="未確認"),$B324="月例",OR($C324="",$C324&lt;DATE(年度+2018,4,1),$C324&gt;DATE(年度+2019,3,31))),"年度外の日付 ","")&amp;IF(AND(OR($I324="確認済",$I324="未確認"),O324="対象外"),"対象外の科目 ","")))</f>
        <v/>
      </c>
      <c r="R324" s="366" t="inlineStr">
        <is>
          <t>月例!335</t>
        </is>
      </c>
    </row>
    <row r="325">
      <c r="A325" s="359" t="n">
        <v>321</v>
      </c>
      <c r="B325" s="360" t="inlineStr">
        <is>
          <t>月例</t>
        </is>
      </c>
      <c r="C325" s="361" t="n">
        <v>46325</v>
      </c>
      <c r="D325" s="362" t="inlineStr">
        <is>
          <t>事務費</t>
        </is>
      </c>
      <c r="E325" s="362" t="inlineStr">
        <is>
          <t>事務用消耗品費</t>
        </is>
      </c>
      <c r="F325" s="362" t="inlineStr">
        <is>
          <t>ぴたえもん　ＭＳＰＬ－Ａ４／１０冊セット　７４２－５５０　１セット　他８点</t>
        </is>
      </c>
      <c r="G325" s="363" t="n">
        <v>35119</v>
      </c>
      <c r="H325" s="360" t="n">
        <v>2</v>
      </c>
      <c r="I325" s="360" t="inlineStr">
        <is>
          <t>確認済</t>
        </is>
      </c>
      <c r="J325" s="364">
        <f>IF($G325="","",IF($H325=1,$G325-ROUND($G325*10/23,0)-2*ROUND($G325/23,0),IF($H325=2,$G325,0)))</f>
        <v>35119</v>
      </c>
      <c r="K325" s="364">
        <f>IF($G325="","",IF($H325=1,ROUND($G325*10/23,0),IF($H325=3,$G325-2*ROUND($G325/12,0),IF($H325=4,$G325,IF(OR($H325=5,$H325=7),ROUND($G325*10/11,0),0)))))</f>
        <v>0</v>
      </c>
      <c r="L325" s="364">
        <f>IF($G325="","",IF($H325=1,ROUND($G325/23,0),IF($H325=3,ROUND($G325/12,0),IF($H325=5,$G325-ROUND($G325*10/11,0),IF($H325=8,$G325,0)))))</f>
        <v>0</v>
      </c>
      <c r="M325" s="364">
        <f>IF($G325="","",IF($H325=1,ROUND($G325/23,0),IF($H325=3,ROUND($G325/12,0),IF($H325=6,$G325,IF($H325=7,$G325-ROUND($G325*10/11,0),0)))))</f>
        <v>0</v>
      </c>
      <c r="N325" s="364">
        <f>IF($G325="","",K325+L325+M325)</f>
        <v>0</v>
      </c>
      <c r="O325" s="365" t="str">
        <f>IF($G325="","",IFERROR(VLOOKUP($D325&amp;"|"&amp;$E325,科目表!$A$5:$B$200,2,FALSE),"※未登録"))</f>
        <v>事務用消耗品費</v>
      </c>
      <c r="P325" s="359">
        <f>IF(OR($G325="",$C325=""),"",IF($B325="決算整理",13,MOD(MONTH($C325)-4,12)+1))</f>
        <v>7</v>
      </c>
      <c r="Q325" s="366" t="str">
        <f>IF($G325="","",TRIM(IF(J325+K325+L325+M325&lt;&gt;$G325,"按分不一致 ","")&amp;IF(O325="※未登録","科目未登録 ","")&amp;IF(OR($H325="",ISERROR(MATCH($H325,{1,2,3,4,5,6,7,8},0))),"経費区分? ","")&amp;IF($I325="","状態未設定 ","")&amp;IF(AND(OR($I325="確認済",$I325="未確認"),$B325="月例",OR($C325="",$C325&lt;DATE(年度+2018,4,1),$C325&gt;DATE(年度+2019,3,31))),"年度外の日付 ","")&amp;IF(AND(OR($I325="確認済",$I325="未確認"),O325="対象外"),"対象外の科目 ","")))</f>
        <v/>
      </c>
      <c r="R325" s="366" t="inlineStr">
        <is>
          <t>月例!336</t>
        </is>
      </c>
    </row>
    <row r="326">
      <c r="A326" s="359" t="n">
        <v>322</v>
      </c>
      <c r="B326" s="360" t="inlineStr">
        <is>
          <t>月例</t>
        </is>
      </c>
      <c r="C326" s="361" t="n">
        <v>46324</v>
      </c>
      <c r="D326" s="362" t="inlineStr">
        <is>
          <t>事務費</t>
        </is>
      </c>
      <c r="E326" s="362" t="inlineStr">
        <is>
          <t>通信運搬費</t>
        </is>
      </c>
      <c r="F326" s="362" t="inlineStr">
        <is>
          <t>料金後納利用料（９月分）</t>
        </is>
      </c>
      <c r="G326" s="363" t="n">
        <v>34665</v>
      </c>
      <c r="H326" s="360" t="n">
        <v>3</v>
      </c>
      <c r="I326" s="360" t="inlineStr">
        <is>
          <t>確認済</t>
        </is>
      </c>
      <c r="J326" s="364">
        <f>IF($G326="","",IF($H326=1,$G326-ROUND($G326*10/23,0)-2*ROUND($G326/23,0),IF($H326=2,$G326,0)))</f>
        <v>0</v>
      </c>
      <c r="K326" s="364">
        <f>IF($G326="","",IF($H326=1,ROUND($G326*10/23,0),IF($H326=3,$G326-2*ROUND($G326/12,0),IF($H326=4,$G326,IF(OR($H326=5,$H326=7),ROUND($G326*10/11,0),0)))))</f>
        <v>28887</v>
      </c>
      <c r="L326" s="364">
        <f>IF($G326="","",IF($H326=1,ROUND($G326/23,0),IF($H326=3,ROUND($G326/12,0),IF($H326=5,$G326-ROUND($G326*10/11,0),IF($H326=8,$G326,0)))))</f>
        <v>2889</v>
      </c>
      <c r="M326" s="364">
        <f>IF($G326="","",IF($H326=1,ROUND($G326/23,0),IF($H326=3,ROUND($G326/12,0),IF($H326=6,$G326,IF($H326=7,$G326-ROUND($G326*10/11,0),0)))))</f>
        <v>2889</v>
      </c>
      <c r="N326" s="364">
        <f>IF($G326="","",K326+L326+M326)</f>
        <v>34665</v>
      </c>
      <c r="O326" s="365" t="str">
        <f>IF($G326="","",IFERROR(VLOOKUP($D326&amp;"|"&amp;$E326,科目表!$A$5:$B$200,2,FALSE),"※未登録"))</f>
        <v>通信運搬費</v>
      </c>
      <c r="P326" s="359">
        <f>IF(OR($G326="",$C326=""),"",IF($B326="決算整理",13,MOD(MONTH($C326)-4,12)+1))</f>
        <v>7</v>
      </c>
      <c r="Q326" s="366" t="str">
        <f>IF($G326="","",TRIM(IF(J326+K326+L326+M326&lt;&gt;$G326,"按分不一致 ","")&amp;IF(O326="※未登録","科目未登録 ","")&amp;IF(OR($H326="",ISERROR(MATCH($H326,{1,2,3,4,5,6,7,8},0))),"経費区分? ","")&amp;IF($I326="","状態未設定 ","")&amp;IF(AND(OR($I326="確認済",$I326="未確認"),$B326="月例",OR($C326="",$C326&lt;DATE(年度+2018,4,1),$C326&gt;DATE(年度+2019,3,31))),"年度外の日付 ","")&amp;IF(AND(OR($I326="確認済",$I326="未確認"),O326="対象外"),"対象外の科目 ","")))</f>
        <v/>
      </c>
      <c r="R326" s="366" t="inlineStr">
        <is>
          <t>月例!337</t>
        </is>
      </c>
    </row>
    <row r="327">
      <c r="A327" s="359" t="n">
        <v>323</v>
      </c>
      <c r="B327" s="360" t="inlineStr">
        <is>
          <t>月例</t>
        </is>
      </c>
      <c r="C327" s="361" t="n">
        <v>46324</v>
      </c>
      <c r="D327" s="362" t="inlineStr">
        <is>
          <t>事務費</t>
        </is>
      </c>
      <c r="E327" s="362" t="inlineStr">
        <is>
          <t>通信運搬費</t>
        </is>
      </c>
      <c r="F327" s="362" t="inlineStr">
        <is>
          <t>料金後納利用料（９月分）</t>
        </is>
      </c>
      <c r="G327" s="363" t="n">
        <v>26280</v>
      </c>
      <c r="H327" s="360" t="n">
        <v>2</v>
      </c>
      <c r="I327" s="360" t="inlineStr">
        <is>
          <t>確認済</t>
        </is>
      </c>
      <c r="J327" s="364">
        <f>IF($G327="","",IF($H327=1,$G327-ROUND($G327*10/23,0)-2*ROUND($G327/23,0),IF($H327=2,$G327,0)))</f>
        <v>26280</v>
      </c>
      <c r="K327" s="364">
        <f>IF($G327="","",IF($H327=1,ROUND($G327*10/23,0),IF($H327=3,$G327-2*ROUND($G327/12,0),IF($H327=4,$G327,IF(OR($H327=5,$H327=7),ROUND($G327*10/11,0),0)))))</f>
        <v>0</v>
      </c>
      <c r="L327" s="364">
        <f>IF($G327="","",IF($H327=1,ROUND($G327/23,0),IF($H327=3,ROUND($G327/12,0),IF($H327=5,$G327-ROUND($G327*10/11,0),IF($H327=8,$G327,0)))))</f>
        <v>0</v>
      </c>
      <c r="M327" s="364">
        <f>IF($G327="","",IF($H327=1,ROUND($G327/23,0),IF($H327=3,ROUND($G327/12,0),IF($H327=6,$G327,IF($H327=7,$G327-ROUND($G327*10/11,0),0)))))</f>
        <v>0</v>
      </c>
      <c r="N327" s="364">
        <f>IF($G327="","",K327+L327+M327)</f>
        <v>0</v>
      </c>
      <c r="O327" s="365" t="str">
        <f>IF($G327="","",IFERROR(VLOOKUP($D327&amp;"|"&amp;$E327,科目表!$A$5:$B$200,2,FALSE),"※未登録"))</f>
        <v>通信運搬費</v>
      </c>
      <c r="P327" s="359">
        <f>IF(OR($G327="",$C327=""),"",IF($B327="決算整理",13,MOD(MONTH($C327)-4,12)+1))</f>
        <v>7</v>
      </c>
      <c r="Q327" s="366" t="str">
        <f>IF($G327="","",TRIM(IF(J327+K327+L327+M327&lt;&gt;$G327,"按分不一致 ","")&amp;IF(O327="※未登録","科目未登録 ","")&amp;IF(OR($H327="",ISERROR(MATCH($H327,{1,2,3,4,5,6,7,8},0))),"経費区分? ","")&amp;IF($I327="","状態未設定 ","")&amp;IF(AND(OR($I327="確認済",$I327="未確認"),$B327="月例",OR($C327="",$C327&lt;DATE(年度+2018,4,1),$C327&gt;DATE(年度+2019,3,31))),"年度外の日付 ","")&amp;IF(AND(OR($I327="確認済",$I327="未確認"),O327="対象外"),"対象外の科目 ","")))</f>
        <v/>
      </c>
      <c r="R327" s="366" t="inlineStr">
        <is>
          <t>月例!338</t>
        </is>
      </c>
    </row>
    <row r="328">
      <c r="A328" s="359" t="n">
        <v>324</v>
      </c>
      <c r="B328" s="360" t="inlineStr">
        <is>
          <t>月例</t>
        </is>
      </c>
      <c r="C328" s="361" t="n">
        <v>46328</v>
      </c>
      <c r="D328" s="362" t="inlineStr">
        <is>
          <t>負担金</t>
        </is>
      </c>
      <c r="E328" s="362" t="inlineStr">
        <is>
          <t>厚年負担金等</t>
        </is>
      </c>
      <c r="F328" s="362" t="inlineStr">
        <is>
          <t>９月月例分（短期分）子ども子育て拠出金を含む</t>
        </is>
      </c>
      <c r="G328" s="363" t="n">
        <v>63717</v>
      </c>
      <c r="H328" s="360" t="n">
        <v>2</v>
      </c>
      <c r="I328" s="360" t="inlineStr">
        <is>
          <t>確認済</t>
        </is>
      </c>
      <c r="J328" s="364">
        <f>IF($G328="","",IF($H328=1,$G328-ROUND($G328*10/23,0)-2*ROUND($G328/23,0),IF($H328=2,$G328,0)))</f>
        <v>63717</v>
      </c>
      <c r="K328" s="364">
        <f>IF($G328="","",IF($H328=1,ROUND($G328*10/23,0),IF($H328=3,$G328-2*ROUND($G328/12,0),IF($H328=4,$G328,IF(OR($H328=5,$H328=7),ROUND($G328*10/11,0),0)))))</f>
        <v>0</v>
      </c>
      <c r="L328" s="364">
        <f>IF($G328="","",IF($H328=1,ROUND($G328/23,0),IF($H328=3,ROUND($G328/12,0),IF($H328=5,$G328-ROUND($G328*10/11,0),IF($H328=8,$G328,0)))))</f>
        <v>0</v>
      </c>
      <c r="M328" s="364">
        <f>IF($G328="","",IF($H328=1,ROUND($G328/23,0),IF($H328=3,ROUND($G328/12,0),IF($H328=6,$G328,IF($H328=7,$G328-ROUND($G328*10/11,0),0)))))</f>
        <v>0</v>
      </c>
      <c r="N328" s="364">
        <f>IF($G328="","",K328+L328+M328)</f>
        <v>0</v>
      </c>
      <c r="O328" s="365" t="str">
        <f>IF($G328="","",IFERROR(VLOOKUP($D328&amp;"|"&amp;$E328,科目表!$A$5:$B$200,2,FALSE),"※未登録"))</f>
        <v>厚年負担金等</v>
      </c>
      <c r="P328" s="359">
        <f>IF(OR($G328="",$C328=""),"",IF($B328="決算整理",13,MOD(MONTH($C328)-4,12)+1))</f>
        <v>8</v>
      </c>
      <c r="Q328" s="366" t="str">
        <f>IF($G328="","",TRIM(IF(J328+K328+L328+M328&lt;&gt;$G328,"按分不一致 ","")&amp;IF(O328="※未登録","科目未登録 ","")&amp;IF(OR($H328="",ISERROR(MATCH($H328,{1,2,3,4,5,6,7,8},0))),"経費区分? ","")&amp;IF($I328="","状態未設定 ","")&amp;IF(AND(OR($I328="確認済",$I328="未確認"),$B328="月例",OR($C328="",$C328&lt;DATE(年度+2018,4,1),$C328&gt;DATE(年度+2019,3,31))),"年度外の日付 ","")&amp;IF(AND(OR($I328="確認済",$I328="未確認"),O328="対象外"),"対象外の科目 ","")))</f>
        <v/>
      </c>
      <c r="R328" s="366" t="inlineStr">
        <is>
          <t>月例!339</t>
        </is>
      </c>
    </row>
    <row r="329">
      <c r="A329" s="359" t="n">
        <v>325</v>
      </c>
      <c r="B329" s="360" t="inlineStr">
        <is>
          <t>月例</t>
        </is>
      </c>
      <c r="C329" s="361" t="n">
        <v>46328</v>
      </c>
      <c r="D329" s="362" t="inlineStr">
        <is>
          <t>負担金</t>
        </is>
      </c>
      <c r="E329" s="362" t="inlineStr">
        <is>
          <t>厚年負担金等</t>
        </is>
      </c>
      <c r="F329" s="362" t="inlineStr">
        <is>
          <t>９月月例分（長期分）子ども子育て拠出金を含む</t>
        </is>
      </c>
      <c r="G329" s="363" t="n">
        <v>35187</v>
      </c>
      <c r="H329" s="360" t="n">
        <v>3</v>
      </c>
      <c r="I329" s="360" t="inlineStr">
        <is>
          <t>確認済</t>
        </is>
      </c>
      <c r="J329" s="364">
        <f>IF($G329="","",IF($H329=1,$G329-ROUND($G329*10/23,0)-2*ROUND($G329/23,0),IF($H329=2,$G329,0)))</f>
        <v>0</v>
      </c>
      <c r="K329" s="364">
        <f>IF($G329="","",IF($H329=1,ROUND($G329*10/23,0),IF($H329=3,$G329-2*ROUND($G329/12,0),IF($H329=4,$G329,IF(OR($H329=5,$H329=7),ROUND($G329*10/11,0),0)))))</f>
        <v>29323</v>
      </c>
      <c r="L329" s="364">
        <f>IF($G329="","",IF($H329=1,ROUND($G329/23,0),IF($H329=3,ROUND($G329/12,0),IF($H329=5,$G329-ROUND($G329*10/11,0),IF($H329=8,$G329,0)))))</f>
        <v>2932</v>
      </c>
      <c r="M329" s="364">
        <f>IF($G329="","",IF($H329=1,ROUND($G329/23,0),IF($H329=3,ROUND($G329/12,0),IF($H329=6,$G329,IF($H329=7,$G329-ROUND($G329*10/11,0),0)))))</f>
        <v>2932</v>
      </c>
      <c r="N329" s="364">
        <f>IF($G329="","",K329+L329+M329)</f>
        <v>35187</v>
      </c>
      <c r="O329" s="365" t="str">
        <f>IF($G329="","",IFERROR(VLOOKUP($D329&amp;"|"&amp;$E329,科目表!$A$5:$B$200,2,FALSE),"※未登録"))</f>
        <v>厚年負担金等</v>
      </c>
      <c r="P329" s="359">
        <f>IF(OR($G329="",$C329=""),"",IF($B329="決算整理",13,MOD(MONTH($C329)-4,12)+1))</f>
        <v>8</v>
      </c>
      <c r="Q329" s="366" t="str">
        <f>IF($G329="","",TRIM(IF(J329+K329+L329+M329&lt;&gt;$G329,"按分不一致 ","")&amp;IF(O329="※未登録","科目未登録 ","")&amp;IF(OR($H329="",ISERROR(MATCH($H329,{1,2,3,4,5,6,7,8},0))),"経費区分? ","")&amp;IF($I329="","状態未設定 ","")&amp;IF(AND(OR($I329="確認済",$I329="未確認"),$B329="月例",OR($C329="",$C329&lt;DATE(年度+2018,4,1),$C329&gt;DATE(年度+2019,3,31))),"年度外の日付 ","")&amp;IF(AND(OR($I329="確認済",$I329="未確認"),O329="対象外"),"対象外の科目 ","")))</f>
        <v/>
      </c>
      <c r="R329" s="366" t="inlineStr">
        <is>
          <t>月例!341</t>
        </is>
      </c>
    </row>
    <row r="330">
      <c r="A330" s="359" t="n">
        <v>326</v>
      </c>
      <c r="B330" s="360" t="inlineStr">
        <is>
          <t>月例</t>
        </is>
      </c>
      <c r="C330" s="361" t="n">
        <v>45618</v>
      </c>
      <c r="D330" s="362" t="inlineStr">
        <is>
          <t>事務費</t>
        </is>
      </c>
      <c r="E330" s="362" t="inlineStr">
        <is>
          <t>事務用消耗品費</t>
        </is>
      </c>
      <c r="F330" s="362" t="inlineStr">
        <is>
          <t>ディスプレイ切替器　１台</t>
        </is>
      </c>
      <c r="G330" s="363" t="n">
        <v>6160</v>
      </c>
      <c r="H330" s="360" t="n">
        <v>3</v>
      </c>
      <c r="I330" s="360" t="inlineStr">
        <is>
          <t>昨年実績</t>
        </is>
      </c>
      <c r="J330" s="364">
        <f>IF($G330="","",IF($H330=1,$G330-ROUND($G330*10/23,0)-2*ROUND($G330/23,0),IF($H330=2,$G330,0)))</f>
        <v>0</v>
      </c>
      <c r="K330" s="364">
        <f>IF($G330="","",IF($H330=1,ROUND($G330*10/23,0),IF($H330=3,$G330-2*ROUND($G330/12,0),IF($H330=4,$G330,IF(OR($H330=5,$H330=7),ROUND($G330*10/11,0),0)))))</f>
        <v>5134</v>
      </c>
      <c r="L330" s="364">
        <f>IF($G330="","",IF($H330=1,ROUND($G330/23,0),IF($H330=3,ROUND($G330/12,0),IF($H330=5,$G330-ROUND($G330*10/11,0),IF($H330=8,$G330,0)))))</f>
        <v>513</v>
      </c>
      <c r="M330" s="364">
        <f>IF($G330="","",IF($H330=1,ROUND($G330/23,0),IF($H330=3,ROUND($G330/12,0),IF($H330=6,$G330,IF($H330=7,$G330-ROUND($G330*10/11,0),0)))))</f>
        <v>513</v>
      </c>
      <c r="N330" s="364">
        <f>IF($G330="","",K330+L330+M330)</f>
        <v>6160</v>
      </c>
      <c r="O330" s="365" t="str">
        <f>IF($G330="","",IFERROR(VLOOKUP($D330&amp;"|"&amp;$E330,科目表!$A$5:$B$200,2,FALSE),"※未登録"))</f>
        <v>事務用消耗品費</v>
      </c>
      <c r="P330" s="359">
        <f>IF(OR($G330="",$C330=""),"",IF($B330="決算整理",13,MOD(MONTH($C330)-4,12)+1))</f>
        <v>8</v>
      </c>
      <c r="Q330" s="366" t="str">
        <f>IF($G330="","",TRIM(IF(J330+K330+L330+M330&lt;&gt;$G330,"按分不一致 ","")&amp;IF(O330="※未登録","科目未登録 ","")&amp;IF(OR($H330="",ISERROR(MATCH($H330,{1,2,3,4,5,6,7,8},0))),"経費区分? ","")&amp;IF($I330="","状態未設定 ","")&amp;IF(AND(OR($I330="確認済",$I330="未確認"),$B330="月例",OR($C330="",$C330&lt;DATE(年度+2018,4,1),$C330&gt;DATE(年度+2019,3,31))),"年度外の日付 ","")&amp;IF(AND(OR($I330="確認済",$I330="未確認"),O330="対象外"),"対象外の科目 ","")))</f>
        <v/>
      </c>
      <c r="R330" s="366" t="inlineStr">
        <is>
          <t>月例!342</t>
        </is>
      </c>
    </row>
    <row r="331">
      <c r="A331" s="359" t="n">
        <v>327</v>
      </c>
      <c r="B331" s="360" t="inlineStr">
        <is>
          <t>月例</t>
        </is>
      </c>
      <c r="C331" s="361" t="n">
        <v>44074</v>
      </c>
      <c r="D331" s="362" t="inlineStr">
        <is>
          <t>事務費</t>
        </is>
      </c>
      <c r="E331" s="362" t="inlineStr">
        <is>
          <t>事務用消耗品費</t>
        </is>
      </c>
      <c r="F331" s="362" t="inlineStr">
        <is>
          <t>ニスカカードプリンタ用リボン</t>
        </is>
      </c>
      <c r="G331" s="363" t="n">
        <v>46750</v>
      </c>
      <c r="H331" s="360" t="n">
        <v>2</v>
      </c>
      <c r="I331" s="360" t="inlineStr">
        <is>
          <t>昨年実績</t>
        </is>
      </c>
      <c r="J331" s="364">
        <f>IF($G331="","",IF($H331=1,$G331-ROUND($G331*10/23,0)-2*ROUND($G331/23,0),IF($H331=2,$G331,0)))</f>
        <v>46750</v>
      </c>
      <c r="K331" s="364">
        <f>IF($G331="","",IF($H331=1,ROUND($G331*10/23,0),IF($H331=3,$G331-2*ROUND($G331/12,0),IF($H331=4,$G331,IF(OR($H331=5,$H331=7),ROUND($G331*10/11,0),0)))))</f>
        <v>0</v>
      </c>
      <c r="L331" s="364">
        <f>IF($G331="","",IF($H331=1,ROUND($G331/23,0),IF($H331=3,ROUND($G331/12,0),IF($H331=5,$G331-ROUND($G331*10/11,0),IF($H331=8,$G331,0)))))</f>
        <v>0</v>
      </c>
      <c r="M331" s="364">
        <f>IF($G331="","",IF($H331=1,ROUND($G331/23,0),IF($H331=3,ROUND($G331/12,0),IF($H331=6,$G331,IF($H331=7,$G331-ROUND($G331*10/11,0),0)))))</f>
        <v>0</v>
      </c>
      <c r="N331" s="364">
        <f>IF($G331="","",K331+L331+M331)</f>
        <v>0</v>
      </c>
      <c r="O331" s="365" t="str">
        <f>IF($G331="","",IFERROR(VLOOKUP($D331&amp;"|"&amp;$E331,科目表!$A$5:$B$200,2,FALSE),"※未登録"))</f>
        <v>事務用消耗品費</v>
      </c>
      <c r="P331" s="359">
        <f>IF(OR($G331="",$C331=""),"",IF($B331="決算整理",13,MOD(MONTH($C331)-4,12)+1))</f>
        <v>5</v>
      </c>
      <c r="Q331" s="366" t="str">
        <f>IF($G331="","",TRIM(IF(J331+K331+L331+M331&lt;&gt;$G331,"按分不一致 ","")&amp;IF(O331="※未登録","科目未登録 ","")&amp;IF(OR($H331="",ISERROR(MATCH($H331,{1,2,3,4,5,6,7,8},0))),"経費区分? ","")&amp;IF($I331="","状態未設定 ","")&amp;IF(AND(OR($I331="確認済",$I331="未確認"),$B331="月例",OR($C331="",$C331&lt;DATE(年度+2018,4,1),$C331&gt;DATE(年度+2019,3,31))),"年度外の日付 ","")&amp;IF(AND(OR($I331="確認済",$I331="未確認"),O331="対象外"),"対象外の科目 ","")))</f>
        <v/>
      </c>
      <c r="R331" s="366" t="inlineStr">
        <is>
          <t>月例!343</t>
        </is>
      </c>
    </row>
    <row r="332">
      <c r="A332" s="359" t="n">
        <v>328</v>
      </c>
      <c r="B332" s="360" t="inlineStr">
        <is>
          <t>月例</t>
        </is>
      </c>
      <c r="C332" s="361" t="n">
        <v>44498</v>
      </c>
      <c r="D332" s="362" t="inlineStr">
        <is>
          <t>委託費</t>
        </is>
      </c>
      <c r="E332" s="362" t="n"/>
      <c r="F332" s="362" t="inlineStr">
        <is>
          <t>短期給付個人番号管理システム端末保守サービス（９月分）</t>
        </is>
      </c>
      <c r="G332" s="363" t="n">
        <v>385</v>
      </c>
      <c r="H332" s="360" t="n">
        <v>2</v>
      </c>
      <c r="I332" s="360" t="inlineStr">
        <is>
          <t>昨年実績</t>
        </is>
      </c>
      <c r="J332" s="364">
        <f>IF($G332="","",IF($H332=1,$G332-ROUND($G332*10/23,0)-2*ROUND($G332/23,0),IF($H332=2,$G332,0)))</f>
        <v>385</v>
      </c>
      <c r="K332" s="364">
        <f>IF($G332="","",IF($H332=1,ROUND($G332*10/23,0),IF($H332=3,$G332-2*ROUND($G332/12,0),IF($H332=4,$G332,IF(OR($H332=5,$H332=7),ROUND($G332*10/11,0),0)))))</f>
        <v>0</v>
      </c>
      <c r="L332" s="364">
        <f>IF($G332="","",IF($H332=1,ROUND($G332/23,0),IF($H332=3,ROUND($G332/12,0),IF($H332=5,$G332-ROUND($G332*10/11,0),IF($H332=8,$G332,0)))))</f>
        <v>0</v>
      </c>
      <c r="M332" s="364">
        <f>IF($G332="","",IF($H332=1,ROUND($G332/23,0),IF($H332=3,ROUND($G332/12,0),IF($H332=6,$G332,IF($H332=7,$G332-ROUND($G332*10/11,0),0)))))</f>
        <v>0</v>
      </c>
      <c r="N332" s="364">
        <f>IF($G332="","",K332+L332+M332)</f>
        <v>0</v>
      </c>
      <c r="O332" s="365" t="str">
        <f>IF($G332="","",IFERROR(VLOOKUP($D332&amp;"|"&amp;$E332,科目表!$A$5:$B$200,2,FALSE),"※未登録"))</f>
        <v>委託費</v>
      </c>
      <c r="P332" s="359">
        <f>IF(OR($G332="",$C332=""),"",IF($B332="決算整理",13,MOD(MONTH($C332)-4,12)+1))</f>
        <v>7</v>
      </c>
      <c r="Q332" s="366" t="str">
        <f>IF($G332="","",TRIM(IF(J332+K332+L332+M332&lt;&gt;$G332,"按分不一致 ","")&amp;IF(O332="※未登録","科目未登録 ","")&amp;IF(OR($H332="",ISERROR(MATCH($H332,{1,2,3,4,5,6,7,8},0))),"経費区分? ","")&amp;IF($I332="","状態未設定 ","")&amp;IF(AND(OR($I332="確認済",$I332="未確認"),$B332="月例",OR($C332="",$C332&lt;DATE(年度+2018,4,1),$C332&gt;DATE(年度+2019,3,31))),"年度外の日付 ","")&amp;IF(AND(OR($I332="確認済",$I332="未確認"),O332="対象外"),"対象外の科目 ","")))</f>
        <v/>
      </c>
      <c r="R332" s="366" t="inlineStr">
        <is>
          <t>月例!344</t>
        </is>
      </c>
    </row>
    <row r="333">
      <c r="A333" s="359" t="n">
        <v>329</v>
      </c>
      <c r="B333" s="360" t="inlineStr">
        <is>
          <t>月例</t>
        </is>
      </c>
      <c r="C333" s="361" t="n">
        <v>45230</v>
      </c>
      <c r="D333" s="362" t="inlineStr">
        <is>
          <t>事務費</t>
        </is>
      </c>
      <c r="E333" s="362" t="inlineStr">
        <is>
          <t>通信運搬費</t>
        </is>
      </c>
      <c r="F333" s="362" t="inlineStr">
        <is>
          <t>柔整申請書送付（９月分）</t>
        </is>
      </c>
      <c r="G333" s="363" t="n">
        <v>1489</v>
      </c>
      <c r="H333" s="360" t="n">
        <v>2</v>
      </c>
      <c r="I333" s="360" t="inlineStr">
        <is>
          <t>昨年実績</t>
        </is>
      </c>
      <c r="J333" s="364">
        <f>IF($G333="","",IF($H333=1,$G333-ROUND($G333*10/23,0)-2*ROUND($G333/23,0),IF($H333=2,$G333,0)))</f>
        <v>1489</v>
      </c>
      <c r="K333" s="364">
        <f>IF($G333="","",IF($H333=1,ROUND($G333*10/23,0),IF($H333=3,$G333-2*ROUND($G333/12,0),IF($H333=4,$G333,IF(OR($H333=5,$H333=7),ROUND($G333*10/11,0),0)))))</f>
        <v>0</v>
      </c>
      <c r="L333" s="364">
        <f>IF($G333="","",IF($H333=1,ROUND($G333/23,0),IF($H333=3,ROUND($G333/12,0),IF($H333=5,$G333-ROUND($G333*10/11,0),IF($H333=8,$G333,0)))))</f>
        <v>0</v>
      </c>
      <c r="M333" s="364">
        <f>IF($G333="","",IF($H333=1,ROUND($G333/23,0),IF($H333=3,ROUND($G333/12,0),IF($H333=6,$G333,IF($H333=7,$G333-ROUND($G333*10/11,0),0)))))</f>
        <v>0</v>
      </c>
      <c r="N333" s="364">
        <f>IF($G333="","",K333+L333+M333)</f>
        <v>0</v>
      </c>
      <c r="O333" s="365" t="str">
        <f>IF($G333="","",IFERROR(VLOOKUP($D333&amp;"|"&amp;$E333,科目表!$A$5:$B$200,2,FALSE),"※未登録"))</f>
        <v>通信運搬費</v>
      </c>
      <c r="P333" s="359">
        <f>IF(OR($G333="",$C333=""),"",IF($B333="決算整理",13,MOD(MONTH($C333)-4,12)+1))</f>
        <v>7</v>
      </c>
      <c r="Q333" s="366" t="str">
        <f>IF($G333="","",TRIM(IF(J333+K333+L333+M333&lt;&gt;$G333,"按分不一致 ","")&amp;IF(O333="※未登録","科目未登録 ","")&amp;IF(OR($H333="",ISERROR(MATCH($H333,{1,2,3,4,5,6,7,8},0))),"経費区分? ","")&amp;IF($I333="","状態未設定 ","")&amp;IF(AND(OR($I333="確認済",$I333="未確認"),$B333="月例",OR($C333="",$C333&lt;DATE(年度+2018,4,1),$C333&gt;DATE(年度+2019,3,31))),"年度外の日付 ","")&amp;IF(AND(OR($I333="確認済",$I333="未確認"),O333="対象外"),"対象外の科目 ","")))</f>
        <v/>
      </c>
      <c r="R333" s="366" t="inlineStr">
        <is>
          <t>月例!345</t>
        </is>
      </c>
    </row>
    <row r="334">
      <c r="A334" s="359" t="n">
        <v>330</v>
      </c>
      <c r="B334" s="360" t="inlineStr">
        <is>
          <t>月例</t>
        </is>
      </c>
      <c r="C334" s="361" t="n">
        <v>44865</v>
      </c>
      <c r="D334" s="362" t="inlineStr">
        <is>
          <t>事務費</t>
        </is>
      </c>
      <c r="E334" s="362" t="inlineStr">
        <is>
          <t>通信運搬費</t>
        </is>
      </c>
      <c r="F334" s="362" t="inlineStr">
        <is>
          <t>メール便（任継者宛厚生だより９月分）</t>
        </is>
      </c>
      <c r="G334" s="363" t="n">
        <v>9240</v>
      </c>
      <c r="H334" s="360" t="n">
        <v>2</v>
      </c>
      <c r="I334" s="360" t="inlineStr">
        <is>
          <t>昨年実績</t>
        </is>
      </c>
      <c r="J334" s="364">
        <f>IF($G334="","",IF($H334=1,$G334-ROUND($G334*10/23,0)-2*ROUND($G334/23,0),IF($H334=2,$G334,0)))</f>
        <v>9240</v>
      </c>
      <c r="K334" s="364">
        <f>IF($G334="","",IF($H334=1,ROUND($G334*10/23,0),IF($H334=3,$G334-2*ROUND($G334/12,0),IF($H334=4,$G334,IF(OR($H334=5,$H334=7),ROUND($G334*10/11,0),0)))))</f>
        <v>0</v>
      </c>
      <c r="L334" s="364">
        <f>IF($G334="","",IF($H334=1,ROUND($G334/23,0),IF($H334=3,ROUND($G334/12,0),IF($H334=5,$G334-ROUND($G334*10/11,0),IF($H334=8,$G334,0)))))</f>
        <v>0</v>
      </c>
      <c r="M334" s="364">
        <f>IF($G334="","",IF($H334=1,ROUND($G334/23,0),IF($H334=3,ROUND($G334/12,0),IF($H334=6,$G334,IF($H334=7,$G334-ROUND($G334*10/11,0),0)))))</f>
        <v>0</v>
      </c>
      <c r="N334" s="364">
        <f>IF($G334="","",K334+L334+M334)</f>
        <v>0</v>
      </c>
      <c r="O334" s="365" t="str">
        <f>IF($G334="","",IFERROR(VLOOKUP($D334&amp;"|"&amp;$E334,科目表!$A$5:$B$200,2,FALSE),"※未登録"))</f>
        <v>通信運搬費</v>
      </c>
      <c r="P334" s="359">
        <f>IF(OR($G334="",$C334=""),"",IF($B334="決算整理",13,MOD(MONTH($C334)-4,12)+1))</f>
        <v>7</v>
      </c>
      <c r="Q334" s="366" t="str">
        <f>IF($G334="","",TRIM(IF(J334+K334+L334+M334&lt;&gt;$G334,"按分不一致 ","")&amp;IF(O334="※未登録","科目未登録 ","")&amp;IF(OR($H334="",ISERROR(MATCH($H334,{1,2,3,4,5,6,7,8},0))),"経費区分? ","")&amp;IF($I334="","状態未設定 ","")&amp;IF(AND(OR($I334="確認済",$I334="未確認"),$B334="月例",OR($C334="",$C334&lt;DATE(年度+2018,4,1),$C334&gt;DATE(年度+2019,3,31))),"年度外の日付 ","")&amp;IF(AND(OR($I334="確認済",$I334="未確認"),O334="対象外"),"対象外の科目 ","")))</f>
        <v/>
      </c>
      <c r="R334" s="366" t="inlineStr">
        <is>
          <t>月例!346</t>
        </is>
      </c>
    </row>
    <row r="335">
      <c r="A335" s="359" t="n">
        <v>331</v>
      </c>
      <c r="B335" s="360" t="inlineStr">
        <is>
          <t>月例</t>
        </is>
      </c>
      <c r="C335" s="361" t="n">
        <v>45565</v>
      </c>
      <c r="D335" s="362" t="inlineStr">
        <is>
          <t>委託費</t>
        </is>
      </c>
      <c r="E335" s="362" t="n"/>
      <c r="F335" s="362" t="inlineStr">
        <is>
          <t>基幹システム用カードプリンタの保守</t>
        </is>
      </c>
      <c r="G335" s="363" t="n">
        <v>79200</v>
      </c>
      <c r="H335" s="360" t="n">
        <v>2</v>
      </c>
      <c r="I335" s="360" t="inlineStr">
        <is>
          <t>昨年実績</t>
        </is>
      </c>
      <c r="J335" s="364">
        <f>IF($G335="","",IF($H335=1,$G335-ROUND($G335*10/23,0)-2*ROUND($G335/23,0),IF($H335=2,$G335,0)))</f>
        <v>79200</v>
      </c>
      <c r="K335" s="364">
        <f>IF($G335="","",IF($H335=1,ROUND($G335*10/23,0),IF($H335=3,$G335-2*ROUND($G335/12,0),IF($H335=4,$G335,IF(OR($H335=5,$H335=7),ROUND($G335*10/11,0),0)))))</f>
        <v>0</v>
      </c>
      <c r="L335" s="364">
        <f>IF($G335="","",IF($H335=1,ROUND($G335/23,0),IF($H335=3,ROUND($G335/12,0),IF($H335=5,$G335-ROUND($G335*10/11,0),IF($H335=8,$G335,0)))))</f>
        <v>0</v>
      </c>
      <c r="M335" s="364">
        <f>IF($G335="","",IF($H335=1,ROUND($G335/23,0),IF($H335=3,ROUND($G335/12,0),IF($H335=6,$G335,IF($H335=7,$G335-ROUND($G335*10/11,0),0)))))</f>
        <v>0</v>
      </c>
      <c r="N335" s="364">
        <f>IF($G335="","",K335+L335+M335)</f>
        <v>0</v>
      </c>
      <c r="O335" s="365" t="str">
        <f>IF($G335="","",IFERROR(VLOOKUP($D335&amp;"|"&amp;$E335,科目表!$A$5:$B$200,2,FALSE),"※未登録"))</f>
        <v>委託費</v>
      </c>
      <c r="P335" s="359">
        <f>IF(OR($G335="",$C335=""),"",IF($B335="決算整理",13,MOD(MONTH($C335)-4,12)+1))</f>
        <v>6</v>
      </c>
      <c r="Q335" s="366" t="str">
        <f>IF($G335="","",TRIM(IF(J335+K335+L335+M335&lt;&gt;$G335,"按分不一致 ","")&amp;IF(O335="※未登録","科目未登録 ","")&amp;IF(OR($H335="",ISERROR(MATCH($H335,{1,2,3,4,5,6,7,8},0))),"経費区分? ","")&amp;IF($I335="","状態未設定 ","")&amp;IF(AND(OR($I335="確認済",$I335="未確認"),$B335="月例",OR($C335="",$C335&lt;DATE(年度+2018,4,1),$C335&gt;DATE(年度+2019,3,31))),"年度外の日付 ","")&amp;IF(AND(OR($I335="確認済",$I335="未確認"),O335="対象外"),"対象外の科目 ","")))</f>
        <v/>
      </c>
      <c r="R335" s="366" t="inlineStr">
        <is>
          <t>月例!347</t>
        </is>
      </c>
    </row>
    <row r="336">
      <c r="A336" s="359" t="n">
        <v>332</v>
      </c>
      <c r="B336" s="360" t="inlineStr">
        <is>
          <t>月例</t>
        </is>
      </c>
      <c r="C336" s="361" t="n">
        <v>44074</v>
      </c>
      <c r="D336" s="362" t="inlineStr">
        <is>
          <t>事務費</t>
        </is>
      </c>
      <c r="E336" s="362" t="inlineStr">
        <is>
          <t>事務用消耗品費</t>
        </is>
      </c>
      <c r="F336" s="362" t="inlineStr">
        <is>
          <t>ボタン電池LR41P 370-121　他</t>
        </is>
      </c>
      <c r="G336" s="363" t="n">
        <v>10590</v>
      </c>
      <c r="H336" s="360" t="n">
        <v>2</v>
      </c>
      <c r="I336" s="360" t="inlineStr">
        <is>
          <t>昨年実績</t>
        </is>
      </c>
      <c r="J336" s="364">
        <f>IF($G336="","",IF($H336=1,$G336-ROUND($G336*10/23,0)-2*ROUND($G336/23,0),IF($H336=2,$G336,0)))</f>
        <v>10590</v>
      </c>
      <c r="K336" s="364">
        <f>IF($G336="","",IF($H336=1,ROUND($G336*10/23,0),IF($H336=3,$G336-2*ROUND($G336/12,0),IF($H336=4,$G336,IF(OR($H336=5,$H336=7),ROUND($G336*10/11,0),0)))))</f>
        <v>0</v>
      </c>
      <c r="L336" s="364">
        <f>IF($G336="","",IF($H336=1,ROUND($G336/23,0),IF($H336=3,ROUND($G336/12,0),IF($H336=5,$G336-ROUND($G336*10/11,0),IF($H336=8,$G336,0)))))</f>
        <v>0</v>
      </c>
      <c r="M336" s="364">
        <f>IF($G336="","",IF($H336=1,ROUND($G336/23,0),IF($H336=3,ROUND($G336/12,0),IF($H336=6,$G336,IF($H336=7,$G336-ROUND($G336*10/11,0),0)))))</f>
        <v>0</v>
      </c>
      <c r="N336" s="364">
        <f>IF($G336="","",K336+L336+M336)</f>
        <v>0</v>
      </c>
      <c r="O336" s="365" t="str">
        <f>IF($G336="","",IFERROR(VLOOKUP($D336&amp;"|"&amp;$E336,科目表!$A$5:$B$200,2,FALSE),"※未登録"))</f>
        <v>事務用消耗品費</v>
      </c>
      <c r="P336" s="359">
        <f>IF(OR($G336="",$C336=""),"",IF($B336="決算整理",13,MOD(MONTH($C336)-4,12)+1))</f>
        <v>5</v>
      </c>
      <c r="Q336" s="366" t="str">
        <f>IF($G336="","",TRIM(IF(J336+K336+L336+M336&lt;&gt;$G336,"按分不一致 ","")&amp;IF(O336="※未登録","科目未登録 ","")&amp;IF(OR($H336="",ISERROR(MATCH($H336,{1,2,3,4,5,6,7,8},0))),"経費区分? ","")&amp;IF($I336="","状態未設定 ","")&amp;IF(AND(OR($I336="確認済",$I336="未確認"),$B336="月例",OR($C336="",$C336&lt;DATE(年度+2018,4,1),$C336&gt;DATE(年度+2019,3,31))),"年度外の日付 ","")&amp;IF(AND(OR($I336="確認済",$I336="未確認"),O336="対象外"),"対象外の科目 ","")))</f>
        <v/>
      </c>
      <c r="R336" s="366" t="inlineStr">
        <is>
          <t>月例!348</t>
        </is>
      </c>
    </row>
    <row r="337">
      <c r="A337" s="359" t="n">
        <v>333</v>
      </c>
      <c r="B337" s="360" t="inlineStr">
        <is>
          <t>月例</t>
        </is>
      </c>
      <c r="C337" s="361" t="n">
        <v>44865</v>
      </c>
      <c r="D337" s="362" t="inlineStr">
        <is>
          <t>事務費</t>
        </is>
      </c>
      <c r="E337" s="362" t="inlineStr">
        <is>
          <t>事務用消耗品費</t>
        </is>
      </c>
      <c r="F337" s="362" t="inlineStr">
        <is>
          <t>輪ゴム　B105J　№16　192-292　８箱　他</t>
        </is>
      </c>
      <c r="G337" s="363" t="n">
        <v>1590</v>
      </c>
      <c r="H337" s="360" t="n">
        <v>2</v>
      </c>
      <c r="I337" s="360" t="inlineStr">
        <is>
          <t>昨年実績</t>
        </is>
      </c>
      <c r="J337" s="364">
        <f>IF($G337="","",IF($H337=1,$G337-ROUND($G337*10/23,0)-2*ROUND($G337/23,0),IF($H337=2,$G337,0)))</f>
        <v>1590</v>
      </c>
      <c r="K337" s="364">
        <f>IF($G337="","",IF($H337=1,ROUND($G337*10/23,0),IF($H337=3,$G337-2*ROUND($G337/12,0),IF($H337=4,$G337,IF(OR($H337=5,$H337=7),ROUND($G337*10/11,0),0)))))</f>
        <v>0</v>
      </c>
      <c r="L337" s="364">
        <f>IF($G337="","",IF($H337=1,ROUND($G337/23,0),IF($H337=3,ROUND($G337/12,0),IF($H337=5,$G337-ROUND($G337*10/11,0),IF($H337=8,$G337,0)))))</f>
        <v>0</v>
      </c>
      <c r="M337" s="364">
        <f>IF($G337="","",IF($H337=1,ROUND($G337/23,0),IF($H337=3,ROUND($G337/12,0),IF($H337=6,$G337,IF($H337=7,$G337-ROUND($G337*10/11,0),0)))))</f>
        <v>0</v>
      </c>
      <c r="N337" s="364">
        <f>IF($G337="","",K337+L337+M337)</f>
        <v>0</v>
      </c>
      <c r="O337" s="365" t="str">
        <f>IF($G337="","",IFERROR(VLOOKUP($D337&amp;"|"&amp;$E337,科目表!$A$5:$B$200,2,FALSE),"※未登録"))</f>
        <v>事務用消耗品費</v>
      </c>
      <c r="P337" s="359">
        <f>IF(OR($G337="",$C337=""),"",IF($B337="決算整理",13,MOD(MONTH($C337)-4,12)+1))</f>
        <v>7</v>
      </c>
      <c r="Q337" s="366" t="str">
        <f>IF($G337="","",TRIM(IF(J337+K337+L337+M337&lt;&gt;$G337,"按分不一致 ","")&amp;IF(O337="※未登録","科目未登録 ","")&amp;IF(OR($H337="",ISERROR(MATCH($H337,{1,2,3,4,5,6,7,8},0))),"経費区分? ","")&amp;IF($I337="","状態未設定 ","")&amp;IF(AND(OR($I337="確認済",$I337="未確認"),$B337="月例",OR($C337="",$C337&lt;DATE(年度+2018,4,1),$C337&gt;DATE(年度+2019,3,31))),"年度外の日付 ","")&amp;IF(AND(OR($I337="確認済",$I337="未確認"),O337="対象外"),"対象外の科目 ","")))</f>
        <v/>
      </c>
      <c r="R337" s="366" t="inlineStr">
        <is>
          <t>月例!349</t>
        </is>
      </c>
    </row>
    <row r="338">
      <c r="A338" s="359" t="n">
        <v>334</v>
      </c>
      <c r="B338" s="360" t="inlineStr">
        <is>
          <t>月例</t>
        </is>
      </c>
      <c r="C338" s="361" t="n">
        <v>43769</v>
      </c>
      <c r="D338" s="362" t="inlineStr">
        <is>
          <t>事務費</t>
        </is>
      </c>
      <c r="E338" s="362" t="inlineStr">
        <is>
          <t>事務用消耗品費</t>
        </is>
      </c>
      <c r="F338" s="362" t="inlineStr">
        <is>
          <t>桐１０Sプレミアムクラブ優待版　２２本</t>
        </is>
      </c>
      <c r="G338" s="363" t="n">
        <v>582120</v>
      </c>
      <c r="H338" s="360" t="n">
        <v>2</v>
      </c>
      <c r="I338" s="360" t="inlineStr">
        <is>
          <t>昨年実績</t>
        </is>
      </c>
      <c r="J338" s="364">
        <f>IF($G338="","",IF($H338=1,$G338-ROUND($G338*10/23,0)-2*ROUND($G338/23,0),IF($H338=2,$G338,0)))</f>
        <v>582120</v>
      </c>
      <c r="K338" s="364">
        <f>IF($G338="","",IF($H338=1,ROUND($G338*10/23,0),IF($H338=3,$G338-2*ROUND($G338/12,0),IF($H338=4,$G338,IF(OR($H338=5,$H338=7),ROUND($G338*10/11,0),0)))))</f>
        <v>0</v>
      </c>
      <c r="L338" s="364">
        <f>IF($G338="","",IF($H338=1,ROUND($G338/23,0),IF($H338=3,ROUND($G338/12,0),IF($H338=5,$G338-ROUND($G338*10/11,0),IF($H338=8,$G338,0)))))</f>
        <v>0</v>
      </c>
      <c r="M338" s="364">
        <f>IF($G338="","",IF($H338=1,ROUND($G338/23,0),IF($H338=3,ROUND($G338/12,0),IF($H338=6,$G338,IF($H338=7,$G338-ROUND($G338*10/11,0),0)))))</f>
        <v>0</v>
      </c>
      <c r="N338" s="364">
        <f>IF($G338="","",K338+L338+M338)</f>
        <v>0</v>
      </c>
      <c r="O338" s="365" t="str">
        <f>IF($G338="","",IFERROR(VLOOKUP($D338&amp;"|"&amp;$E338,科目表!$A$5:$B$200,2,FALSE),"※未登録"))</f>
        <v>事務用消耗品費</v>
      </c>
      <c r="P338" s="359">
        <f>IF(OR($G338="",$C338=""),"",IF($B338="決算整理",13,MOD(MONTH($C338)-4,12)+1))</f>
        <v>7</v>
      </c>
      <c r="Q338" s="366" t="str">
        <f>IF($G338="","",TRIM(IF(J338+K338+L338+M338&lt;&gt;$G338,"按分不一致 ","")&amp;IF(O338="※未登録","科目未登録 ","")&amp;IF(OR($H338="",ISERROR(MATCH($H338,{1,2,3,4,5,6,7,8},0))),"経費区分? ","")&amp;IF($I338="","状態未設定 ","")&amp;IF(AND(OR($I338="確認済",$I338="未確認"),$B338="月例",OR($C338="",$C338&lt;DATE(年度+2018,4,1),$C338&gt;DATE(年度+2019,3,31))),"年度外の日付 ","")&amp;IF(AND(OR($I338="確認済",$I338="未確認"),O338="対象外"),"対象外の科目 ","")))</f>
        <v/>
      </c>
      <c r="R338" s="366" t="inlineStr">
        <is>
          <t>月例!350</t>
        </is>
      </c>
    </row>
    <row r="339">
      <c r="A339" s="359" t="n">
        <v>335</v>
      </c>
      <c r="B339" s="360" t="inlineStr">
        <is>
          <t>月例</t>
        </is>
      </c>
      <c r="C339" s="361" t="n">
        <v>46325</v>
      </c>
      <c r="D339" s="362" t="inlineStr">
        <is>
          <t>事務費</t>
        </is>
      </c>
      <c r="E339" s="362" t="inlineStr">
        <is>
          <t>事務用消耗品費</t>
        </is>
      </c>
      <c r="F339" s="362" t="inlineStr">
        <is>
          <t>コピー用紙等購入代分担金　互助会（第２四半期）</t>
        </is>
      </c>
      <c r="G339" s="363" t="n">
        <v>147320</v>
      </c>
      <c r="H339" s="360" t="n">
        <v>3</v>
      </c>
      <c r="I339" s="360" t="inlineStr">
        <is>
          <t>確認済</t>
        </is>
      </c>
      <c r="J339" s="364">
        <f>IF($G339="","",IF($H339=1,$G339-ROUND($G339*10/23,0)-2*ROUND($G339/23,0),IF($H339=2,$G339,0)))</f>
        <v>0</v>
      </c>
      <c r="K339" s="364">
        <f>IF($G339="","",IF($H339=1,ROUND($G339*10/23,0),IF($H339=3,$G339-2*ROUND($G339/12,0),IF($H339=4,$G339,IF(OR($H339=5,$H339=7),ROUND($G339*10/11,0),0)))))</f>
        <v>122766</v>
      </c>
      <c r="L339" s="364">
        <f>IF($G339="","",IF($H339=1,ROUND($G339/23,0),IF($H339=3,ROUND($G339/12,0),IF($H339=5,$G339-ROUND($G339*10/11,0),IF($H339=8,$G339,0)))))</f>
        <v>12277</v>
      </c>
      <c r="M339" s="364">
        <f>IF($G339="","",IF($H339=1,ROUND($G339/23,0),IF($H339=3,ROUND($G339/12,0),IF($H339=6,$G339,IF($H339=7,$G339-ROUND($G339*10/11,0),0)))))</f>
        <v>12277</v>
      </c>
      <c r="N339" s="364">
        <f>IF($G339="","",K339+L339+M339)</f>
        <v>147320</v>
      </c>
      <c r="O339" s="365" t="str">
        <f>IF($G339="","",IFERROR(VLOOKUP($D339&amp;"|"&amp;$E339,科目表!$A$5:$B$200,2,FALSE),"※未登録"))</f>
        <v>事務用消耗品費</v>
      </c>
      <c r="P339" s="359">
        <f>IF(OR($G339="",$C339=""),"",IF($B339="決算整理",13,MOD(MONTH($C339)-4,12)+1))</f>
        <v>7</v>
      </c>
      <c r="Q339" s="366" t="str">
        <f>IF($G339="","",TRIM(IF(J339+K339+L339+M339&lt;&gt;$G339,"按分不一致 ","")&amp;IF(O339="※未登録","科目未登録 ","")&amp;IF(OR($H339="",ISERROR(MATCH($H339,{1,2,3,4,5,6,7,8},0))),"経費区分? ","")&amp;IF($I339="","状態未設定 ","")&amp;IF(AND(OR($I339="確認済",$I339="未確認"),$B339="月例",OR($C339="",$C339&lt;DATE(年度+2018,4,1),$C339&gt;DATE(年度+2019,3,31))),"年度外の日付 ","")&amp;IF(AND(OR($I339="確認済",$I339="未確認"),O339="対象外"),"対象外の科目 ","")))</f>
        <v/>
      </c>
      <c r="R339" s="366" t="inlineStr">
        <is>
          <t>月例!351</t>
        </is>
      </c>
    </row>
    <row r="340">
      <c r="A340" s="359" t="n">
        <v>336</v>
      </c>
      <c r="B340" s="360" t="inlineStr">
        <is>
          <t>月例</t>
        </is>
      </c>
      <c r="C340" s="361" t="n">
        <v>46325</v>
      </c>
      <c r="D340" s="362" t="inlineStr">
        <is>
          <t>普及費</t>
        </is>
      </c>
      <c r="E340" s="362" t="n"/>
      <c r="F340" s="362" t="inlineStr">
        <is>
          <t>厚生だより等印刷代分担金　互助会（第２四半期）</t>
        </is>
      </c>
      <c r="G340" s="363" t="n">
        <v>165090</v>
      </c>
      <c r="H340" s="360" t="n">
        <v>3</v>
      </c>
      <c r="I340" s="360" t="inlineStr">
        <is>
          <t>確認済</t>
        </is>
      </c>
      <c r="J340" s="364">
        <f>IF($G340="","",IF($H340=1,$G340-ROUND($G340*10/23,0)-2*ROUND($G340/23,0),IF($H340=2,$G340,0)))</f>
        <v>0</v>
      </c>
      <c r="K340" s="364">
        <f>IF($G340="","",IF($H340=1,ROUND($G340*10/23,0),IF($H340=3,$G340-2*ROUND($G340/12,0),IF($H340=4,$G340,IF(OR($H340=5,$H340=7),ROUND($G340*10/11,0),0)))))</f>
        <v>137574</v>
      </c>
      <c r="L340" s="364">
        <f>IF($G340="","",IF($H340=1,ROUND($G340/23,0),IF($H340=3,ROUND($G340/12,0),IF($H340=5,$G340-ROUND($G340*10/11,0),IF($H340=8,$G340,0)))))</f>
        <v>13758</v>
      </c>
      <c r="M340" s="364">
        <f>IF($G340="","",IF($H340=1,ROUND($G340/23,0),IF($H340=3,ROUND($G340/12,0),IF($H340=6,$G340,IF($H340=7,$G340-ROUND($G340*10/11,0),0)))))</f>
        <v>13758</v>
      </c>
      <c r="N340" s="364">
        <f>IF($G340="","",K340+L340+M340)</f>
        <v>165090</v>
      </c>
      <c r="O340" s="365" t="str">
        <f>IF($G340="","",IFERROR(VLOOKUP($D340&amp;"|"&amp;$E340,科目表!$A$5:$B$200,2,FALSE),"※未登録"))</f>
        <v>普及費</v>
      </c>
      <c r="P340" s="359">
        <f>IF(OR($G340="",$C340=""),"",IF($B340="決算整理",13,MOD(MONTH($C340)-4,12)+1))</f>
        <v>7</v>
      </c>
      <c r="Q340" s="366" t="str">
        <f>IF($G340="","",TRIM(IF(J340+K340+L340+M340&lt;&gt;$G340,"按分不一致 ","")&amp;IF(O340="※未登録","科目未登録 ","")&amp;IF(OR($H340="",ISERROR(MATCH($H340,{1,2,3,4,5,6,7,8},0))),"経費区分? ","")&amp;IF($I340="","状態未設定 ","")&amp;IF(AND(OR($I340="確認済",$I340="未確認"),$B340="月例",OR($C340="",$C340&lt;DATE(年度+2018,4,1),$C340&gt;DATE(年度+2019,3,31))),"年度外の日付 ","")&amp;IF(AND(OR($I340="確認済",$I340="未確認"),O340="対象外"),"対象外の科目 ","")))</f>
        <v/>
      </c>
      <c r="R340" s="366" t="inlineStr">
        <is>
          <t>月例!352</t>
        </is>
      </c>
    </row>
    <row r="341">
      <c r="A341" s="359" t="n">
        <v>337</v>
      </c>
      <c r="B341" s="360" t="inlineStr">
        <is>
          <t>月例</t>
        </is>
      </c>
      <c r="C341" s="361" t="n">
        <v>46325</v>
      </c>
      <c r="D341" s="362" t="inlineStr">
        <is>
          <t>事務費</t>
        </is>
      </c>
      <c r="E341" s="362" t="inlineStr">
        <is>
          <t>通信運搬費</t>
        </is>
      </c>
      <c r="F341" s="362" t="inlineStr">
        <is>
          <t>ＦＡＸ電話代等分担金　互助会（第２四半期）</t>
        </is>
      </c>
      <c r="G341" s="363" t="n">
        <v>5125</v>
      </c>
      <c r="H341" s="360" t="n">
        <v>3</v>
      </c>
      <c r="I341" s="360" t="inlineStr">
        <is>
          <t>確認済</t>
        </is>
      </c>
      <c r="J341" s="364">
        <f>IF($G341="","",IF($H341=1,$G341-ROUND($G341*10/23,0)-2*ROUND($G341/23,0),IF($H341=2,$G341,0)))</f>
        <v>0</v>
      </c>
      <c r="K341" s="364">
        <f>IF($G341="","",IF($H341=1,ROUND($G341*10/23,0),IF($H341=3,$G341-2*ROUND($G341/12,0),IF($H341=4,$G341,IF(OR($H341=5,$H341=7),ROUND($G341*10/11,0),0)))))</f>
        <v>4271</v>
      </c>
      <c r="L341" s="364">
        <f>IF($G341="","",IF($H341=1,ROUND($G341/23,0),IF($H341=3,ROUND($G341/12,0),IF($H341=5,$G341-ROUND($G341*10/11,0),IF($H341=8,$G341,0)))))</f>
        <v>427</v>
      </c>
      <c r="M341" s="364">
        <f>IF($G341="","",IF($H341=1,ROUND($G341/23,0),IF($H341=3,ROUND($G341/12,0),IF($H341=6,$G341,IF($H341=7,$G341-ROUND($G341*10/11,0),0)))))</f>
        <v>427</v>
      </c>
      <c r="N341" s="364">
        <f>IF($G341="","",K341+L341+M341)</f>
        <v>5125</v>
      </c>
      <c r="O341" s="365" t="str">
        <f>IF($G341="","",IFERROR(VLOOKUP($D341&amp;"|"&amp;$E341,科目表!$A$5:$B$200,2,FALSE),"※未登録"))</f>
        <v>通信運搬費</v>
      </c>
      <c r="P341" s="359">
        <f>IF(OR($G341="",$C341=""),"",IF($B341="決算整理",13,MOD(MONTH($C341)-4,12)+1))</f>
        <v>7</v>
      </c>
      <c r="Q341" s="366" t="str">
        <f>IF($G341="","",TRIM(IF(J341+K341+L341+M341&lt;&gt;$G341,"按分不一致 ","")&amp;IF(O341="※未登録","科目未登録 ","")&amp;IF(OR($H341="",ISERROR(MATCH($H341,{1,2,3,4,5,6,7,8},0))),"経費区分? ","")&amp;IF($I341="","状態未設定 ","")&amp;IF(AND(OR($I341="確認済",$I341="未確認"),$B341="月例",OR($C341="",$C341&lt;DATE(年度+2018,4,1),$C341&gt;DATE(年度+2019,3,31))),"年度外の日付 ","")&amp;IF(AND(OR($I341="確認済",$I341="未確認"),O341="対象外"),"対象外の科目 ","")))</f>
        <v/>
      </c>
      <c r="R341" s="366" t="inlineStr">
        <is>
          <t>月例!353</t>
        </is>
      </c>
    </row>
    <row r="342">
      <c r="A342" s="359" t="n">
        <v>338</v>
      </c>
      <c r="B342" s="360" t="inlineStr">
        <is>
          <t>月例</t>
        </is>
      </c>
      <c r="C342" s="361" t="n">
        <v>46325</v>
      </c>
      <c r="D342" s="362" t="inlineStr">
        <is>
          <t>事務費</t>
        </is>
      </c>
      <c r="E342" s="362" t="inlineStr">
        <is>
          <t>事務用消耗品費</t>
        </is>
      </c>
      <c r="F342" s="362" t="inlineStr">
        <is>
          <t>コピー用紙等購入代分担金　互助会（第２四半期）</t>
        </is>
      </c>
      <c r="G342" s="363" t="n">
        <v>84920</v>
      </c>
      <c r="H342" s="360" t="n">
        <v>2</v>
      </c>
      <c r="I342" s="360" t="inlineStr">
        <is>
          <t>確認済</t>
        </is>
      </c>
      <c r="J342" s="364">
        <f>IF($G342="","",IF($H342=1,$G342-ROUND($G342*10/23,0)-2*ROUND($G342/23,0),IF($H342=2,$G342,0)))</f>
        <v>84920</v>
      </c>
      <c r="K342" s="364">
        <f>IF($G342="","",IF($H342=1,ROUND($G342*10/23,0),IF($H342=3,$G342-2*ROUND($G342/12,0),IF($H342=4,$G342,IF(OR($H342=5,$H342=7),ROUND($G342*10/11,0),0)))))</f>
        <v>0</v>
      </c>
      <c r="L342" s="364">
        <f>IF($G342="","",IF($H342=1,ROUND($G342/23,0),IF($H342=3,ROUND($G342/12,0),IF($H342=5,$G342-ROUND($G342*10/11,0),IF($H342=8,$G342,0)))))</f>
        <v>0</v>
      </c>
      <c r="M342" s="364">
        <f>IF($G342="","",IF($H342=1,ROUND($G342/23,0),IF($H342=3,ROUND($G342/12,0),IF($H342=6,$G342,IF($H342=7,$G342-ROUND($G342*10/11,0),0)))))</f>
        <v>0</v>
      </c>
      <c r="N342" s="364">
        <f>IF($G342="","",K342+L342+M342)</f>
        <v>0</v>
      </c>
      <c r="O342" s="365" t="str">
        <f>IF($G342="","",IFERROR(VLOOKUP($D342&amp;"|"&amp;$E342,科目表!$A$5:$B$200,2,FALSE),"※未登録"))</f>
        <v>事務用消耗品費</v>
      </c>
      <c r="P342" s="359">
        <f>IF(OR($G342="",$C342=""),"",IF($B342="決算整理",13,MOD(MONTH($C342)-4,12)+1))</f>
        <v>7</v>
      </c>
      <c r="Q342" s="366" t="str">
        <f>IF($G342="","",TRIM(IF(J342+K342+L342+M342&lt;&gt;$G342,"按分不一致 ","")&amp;IF(O342="※未登録","科目未登録 ","")&amp;IF(OR($H342="",ISERROR(MATCH($H342,{1,2,3,4,5,6,7,8},0))),"経費区分? ","")&amp;IF($I342="","状態未設定 ","")&amp;IF(AND(OR($I342="確認済",$I342="未確認"),$B342="月例",OR($C342="",$C342&lt;DATE(年度+2018,4,1),$C342&gt;DATE(年度+2019,3,31))),"年度外の日付 ","")&amp;IF(AND(OR($I342="確認済",$I342="未確認"),O342="対象外"),"対象外の科目 ","")))</f>
        <v/>
      </c>
      <c r="R342" s="366" t="inlineStr">
        <is>
          <t>月例!354</t>
        </is>
      </c>
    </row>
    <row r="343">
      <c r="A343" s="359" t="n">
        <v>339</v>
      </c>
      <c r="B343" s="360" t="inlineStr">
        <is>
          <t>月例</t>
        </is>
      </c>
      <c r="C343" s="361" t="n">
        <v>46325</v>
      </c>
      <c r="D343" s="362" t="inlineStr">
        <is>
          <t>普及費</t>
        </is>
      </c>
      <c r="E343" s="362" t="n"/>
      <c r="F343" s="362" t="inlineStr">
        <is>
          <t>厚生だより等印刷代分担金　互助会（第２四半期）</t>
        </is>
      </c>
      <c r="G343" s="363" t="n">
        <v>124434</v>
      </c>
      <c r="H343" s="360" t="n">
        <v>2</v>
      </c>
      <c r="I343" s="360" t="inlineStr">
        <is>
          <t>確認済</t>
        </is>
      </c>
      <c r="J343" s="364">
        <f>IF($G343="","",IF($H343=1,$G343-ROUND($G343*10/23,0)-2*ROUND($G343/23,0),IF($H343=2,$G343,0)))</f>
        <v>124434</v>
      </c>
      <c r="K343" s="364">
        <f>IF($G343="","",IF($H343=1,ROUND($G343*10/23,0),IF($H343=3,$G343-2*ROUND($G343/12,0),IF($H343=4,$G343,IF(OR($H343=5,$H343=7),ROUND($G343*10/11,0),0)))))</f>
        <v>0</v>
      </c>
      <c r="L343" s="364">
        <f>IF($G343="","",IF($H343=1,ROUND($G343/23,0),IF($H343=3,ROUND($G343/12,0),IF($H343=5,$G343-ROUND($G343*10/11,0),IF($H343=8,$G343,0)))))</f>
        <v>0</v>
      </c>
      <c r="M343" s="364">
        <f>IF($G343="","",IF($H343=1,ROUND($G343/23,0),IF($H343=3,ROUND($G343/12,0),IF($H343=6,$G343,IF($H343=7,$G343-ROUND($G343*10/11,0),0)))))</f>
        <v>0</v>
      </c>
      <c r="N343" s="364">
        <f>IF($G343="","",K343+L343+M343)</f>
        <v>0</v>
      </c>
      <c r="O343" s="365" t="str">
        <f>IF($G343="","",IFERROR(VLOOKUP($D343&amp;"|"&amp;$E343,科目表!$A$5:$B$200,2,FALSE),"※未登録"))</f>
        <v>普及費</v>
      </c>
      <c r="P343" s="359">
        <f>IF(OR($G343="",$C343=""),"",IF($B343="決算整理",13,MOD(MONTH($C343)-4,12)+1))</f>
        <v>7</v>
      </c>
      <c r="Q343" s="366" t="str">
        <f>IF($G343="","",TRIM(IF(J343+K343+L343+M343&lt;&gt;$G343,"按分不一致 ","")&amp;IF(O343="※未登録","科目未登録 ","")&amp;IF(OR($H343="",ISERROR(MATCH($H343,{1,2,3,4,5,6,7,8},0))),"経費区分? ","")&amp;IF($I343="","状態未設定 ","")&amp;IF(AND(OR($I343="確認済",$I343="未確認"),$B343="月例",OR($C343="",$C343&lt;DATE(年度+2018,4,1),$C343&gt;DATE(年度+2019,3,31))),"年度外の日付 ","")&amp;IF(AND(OR($I343="確認済",$I343="未確認"),O343="対象外"),"対象外の科目 ","")))</f>
        <v/>
      </c>
      <c r="R343" s="366" t="inlineStr">
        <is>
          <t>月例!355</t>
        </is>
      </c>
    </row>
    <row r="344">
      <c r="A344" s="359" t="n">
        <v>340</v>
      </c>
      <c r="B344" s="360" t="inlineStr">
        <is>
          <t>月例</t>
        </is>
      </c>
      <c r="C344" s="361" t="n">
        <v>46325</v>
      </c>
      <c r="D344" s="362" t="inlineStr">
        <is>
          <t>事務費</t>
        </is>
      </c>
      <c r="E344" s="362" t="inlineStr">
        <is>
          <t>通信運搬費</t>
        </is>
      </c>
      <c r="F344" s="362" t="inlineStr">
        <is>
          <t>ＦＡＸ電話代等分担金　互助会（第２四半期）</t>
        </is>
      </c>
      <c r="G344" s="363" t="n">
        <v>5125</v>
      </c>
      <c r="H344" s="360" t="n">
        <v>2</v>
      </c>
      <c r="I344" s="360" t="inlineStr">
        <is>
          <t>確認済</t>
        </is>
      </c>
      <c r="J344" s="364">
        <f>IF($G344="","",IF($H344=1,$G344-ROUND($G344*10/23,0)-2*ROUND($G344/23,0),IF($H344=2,$G344,0)))</f>
        <v>5125</v>
      </c>
      <c r="K344" s="364">
        <f>IF($G344="","",IF($H344=1,ROUND($G344*10/23,0),IF($H344=3,$G344-2*ROUND($G344/12,0),IF($H344=4,$G344,IF(OR($H344=5,$H344=7),ROUND($G344*10/11,0),0)))))</f>
        <v>0</v>
      </c>
      <c r="L344" s="364">
        <f>IF($G344="","",IF($H344=1,ROUND($G344/23,0),IF($H344=3,ROUND($G344/12,0),IF($H344=5,$G344-ROUND($G344*10/11,0),IF($H344=8,$G344,0)))))</f>
        <v>0</v>
      </c>
      <c r="M344" s="364">
        <f>IF($G344="","",IF($H344=1,ROUND($G344/23,0),IF($H344=3,ROUND($G344/12,0),IF($H344=6,$G344,IF($H344=7,$G344-ROUND($G344*10/11,0),0)))))</f>
        <v>0</v>
      </c>
      <c r="N344" s="364">
        <f>IF($G344="","",K344+L344+M344)</f>
        <v>0</v>
      </c>
      <c r="O344" s="365" t="str">
        <f>IF($G344="","",IFERROR(VLOOKUP($D344&amp;"|"&amp;$E344,科目表!$A$5:$B$200,2,FALSE),"※未登録"))</f>
        <v>通信運搬費</v>
      </c>
      <c r="P344" s="359">
        <f>IF(OR($G344="",$C344=""),"",IF($B344="決算整理",13,MOD(MONTH($C344)-4,12)+1))</f>
        <v>7</v>
      </c>
      <c r="Q344" s="366" t="str">
        <f>IF($G344="","",TRIM(IF(J344+K344+L344+M344&lt;&gt;$G344,"按分不一致 ","")&amp;IF(O344="※未登録","科目未登録 ","")&amp;IF(OR($H344="",ISERROR(MATCH($H344,{1,2,3,4,5,6,7,8},0))),"経費区分? ","")&amp;IF($I344="","状態未設定 ","")&amp;IF(AND(OR($I344="確認済",$I344="未確認"),$B344="月例",OR($C344="",$C344&lt;DATE(年度+2018,4,1),$C344&gt;DATE(年度+2019,3,31))),"年度外の日付 ","")&amp;IF(AND(OR($I344="確認済",$I344="未確認"),O344="対象外"),"対象外の科目 ","")))</f>
        <v/>
      </c>
      <c r="R344" s="366" t="inlineStr">
        <is>
          <t>月例!356</t>
        </is>
      </c>
    </row>
    <row r="345">
      <c r="A345" s="359" t="n">
        <v>341</v>
      </c>
      <c r="B345" s="360" t="inlineStr">
        <is>
          <t>月例</t>
        </is>
      </c>
      <c r="C345" s="361" t="n">
        <v>46325</v>
      </c>
      <c r="D345" s="362" t="inlineStr">
        <is>
          <t>委託費</t>
        </is>
      </c>
      <c r="E345" s="362" t="n"/>
      <c r="F345" s="362" t="inlineStr">
        <is>
          <t>柔整等療養費支給申請書の入力（９月分）</t>
        </is>
      </c>
      <c r="G345" s="363" t="n">
        <v>125177</v>
      </c>
      <c r="H345" s="360" t="n">
        <v>2</v>
      </c>
      <c r="I345" s="360" t="inlineStr">
        <is>
          <t>確認済</t>
        </is>
      </c>
      <c r="J345" s="364">
        <f>IF($G345="","",IF($H345=1,$G345-ROUND($G345*10/23,0)-2*ROUND($G345/23,0),IF($H345=2,$G345,0)))</f>
        <v>125177</v>
      </c>
      <c r="K345" s="364">
        <f>IF($G345="","",IF($H345=1,ROUND($G345*10/23,0),IF($H345=3,$G345-2*ROUND($G345/12,0),IF($H345=4,$G345,IF(OR($H345=5,$H345=7),ROUND($G345*10/11,0),0)))))</f>
        <v>0</v>
      </c>
      <c r="L345" s="364">
        <f>IF($G345="","",IF($H345=1,ROUND($G345/23,0),IF($H345=3,ROUND($G345/12,0),IF($H345=5,$G345-ROUND($G345*10/11,0),IF($H345=8,$G345,0)))))</f>
        <v>0</v>
      </c>
      <c r="M345" s="364">
        <f>IF($G345="","",IF($H345=1,ROUND($G345/23,0),IF($H345=3,ROUND($G345/12,0),IF($H345=6,$G345,IF($H345=7,$G345-ROUND($G345*10/11,0),0)))))</f>
        <v>0</v>
      </c>
      <c r="N345" s="364">
        <f>IF($G345="","",K345+L345+M345)</f>
        <v>0</v>
      </c>
      <c r="O345" s="365" t="str">
        <f>IF($G345="","",IFERROR(VLOOKUP($D345&amp;"|"&amp;$E345,科目表!$A$5:$B$200,2,FALSE),"※未登録"))</f>
        <v>委託費</v>
      </c>
      <c r="P345" s="359">
        <f>IF(OR($G345="",$C345=""),"",IF($B345="決算整理",13,MOD(MONTH($C345)-4,12)+1))</f>
        <v>7</v>
      </c>
      <c r="Q345" s="366" t="str">
        <f>IF($G345="","",TRIM(IF(J345+K345+L345+M345&lt;&gt;$G345,"按分不一致 ","")&amp;IF(O345="※未登録","科目未登録 ","")&amp;IF(OR($H345="",ISERROR(MATCH($H345,{1,2,3,4,5,6,7,8},0))),"経費区分? ","")&amp;IF($I345="","状態未設定 ","")&amp;IF(AND(OR($I345="確認済",$I345="未確認"),$B345="月例",OR($C345="",$C345&lt;DATE(年度+2018,4,1),$C345&gt;DATE(年度+2019,3,31))),"年度外の日付 ","")&amp;IF(AND(OR($I345="確認済",$I345="未確認"),O345="対象外"),"対象外の科目 ","")))</f>
        <v/>
      </c>
      <c r="R345" s="366" t="inlineStr">
        <is>
          <t>月例!357</t>
        </is>
      </c>
    </row>
    <row r="346">
      <c r="A346" s="359" t="n">
        <v>342</v>
      </c>
      <c r="B346" s="360" t="inlineStr">
        <is>
          <t>月例</t>
        </is>
      </c>
      <c r="C346" s="361" t="n">
        <v>43769</v>
      </c>
      <c r="D346" s="362" t="inlineStr">
        <is>
          <t>賃借料</t>
        </is>
      </c>
      <c r="E346" s="362" t="n"/>
      <c r="F346" s="362" t="inlineStr">
        <is>
          <t>基幹システム（短期）用機器リース料９月分</t>
        </is>
      </c>
      <c r="G346" s="363" t="n">
        <v>193676</v>
      </c>
      <c r="H346" s="360" t="n">
        <v>2</v>
      </c>
      <c r="I346" s="360" t="inlineStr">
        <is>
          <t>昨年実績</t>
        </is>
      </c>
      <c r="J346" s="364">
        <f>IF($G346="","",IF($H346=1,$G346-ROUND($G346*10/23,0)-2*ROUND($G346/23,0),IF($H346=2,$G346,0)))</f>
        <v>193676</v>
      </c>
      <c r="K346" s="364">
        <f>IF($G346="","",IF($H346=1,ROUND($G346*10/23,0),IF($H346=3,$G346-2*ROUND($G346/12,0),IF($H346=4,$G346,IF(OR($H346=5,$H346=7),ROUND($G346*10/11,0),0)))))</f>
        <v>0</v>
      </c>
      <c r="L346" s="364">
        <f>IF($G346="","",IF($H346=1,ROUND($G346/23,0),IF($H346=3,ROUND($G346/12,0),IF($H346=5,$G346-ROUND($G346*10/11,0),IF($H346=8,$G346,0)))))</f>
        <v>0</v>
      </c>
      <c r="M346" s="364">
        <f>IF($G346="","",IF($H346=1,ROUND($G346/23,0),IF($H346=3,ROUND($G346/12,0),IF($H346=6,$G346,IF($H346=7,$G346-ROUND($G346*10/11,0),0)))))</f>
        <v>0</v>
      </c>
      <c r="N346" s="364">
        <f>IF($G346="","",K346+L346+M346)</f>
        <v>0</v>
      </c>
      <c r="O346" s="365" t="str">
        <f>IF($G346="","",IFERROR(VLOOKUP($D346&amp;"|"&amp;$E346,科目表!$A$5:$B$200,2,FALSE),"※未登録"))</f>
        <v>賃借料</v>
      </c>
      <c r="P346" s="359">
        <f>IF(OR($G346="",$C346=""),"",IF($B346="決算整理",13,MOD(MONTH($C346)-4,12)+1))</f>
        <v>7</v>
      </c>
      <c r="Q346" s="366" t="str">
        <f>IF($G346="","",TRIM(IF(J346+K346+L346+M346&lt;&gt;$G346,"按分不一致 ","")&amp;IF(O346="※未登録","科目未登録 ","")&amp;IF(OR($H346="",ISERROR(MATCH($H346,{1,2,3,4,5,6,7,8},0))),"経費区分? ","")&amp;IF($I346="","状態未設定 ","")&amp;IF(AND(OR($I346="確認済",$I346="未確認"),$B346="月例",OR($C346="",$C346&lt;DATE(年度+2018,4,1),$C346&gt;DATE(年度+2019,3,31))),"年度外の日付 ","")&amp;IF(AND(OR($I346="確認済",$I346="未確認"),O346="対象外"),"対象外の科目 ","")))</f>
        <v/>
      </c>
      <c r="R346" s="366" t="inlineStr">
        <is>
          <t>月例!358</t>
        </is>
      </c>
    </row>
    <row r="347">
      <c r="A347" s="359" t="n">
        <v>343</v>
      </c>
      <c r="B347" s="360" t="inlineStr">
        <is>
          <t>月例</t>
        </is>
      </c>
      <c r="C347" s="361" t="n">
        <v>46325</v>
      </c>
      <c r="D347" s="362" t="inlineStr">
        <is>
          <t>賃借料</t>
        </is>
      </c>
      <c r="E347" s="362" t="n"/>
      <c r="F347" s="362" t="inlineStr">
        <is>
          <t>統合管理端末リース料（９月分）</t>
        </is>
      </c>
      <c r="G347" s="363" t="n">
        <v>12738</v>
      </c>
      <c r="H347" s="360" t="n">
        <v>2</v>
      </c>
      <c r="I347" s="360" t="inlineStr">
        <is>
          <t>確認済</t>
        </is>
      </c>
      <c r="J347" s="364">
        <f>IF($G347="","",IF($H347=1,$G347-ROUND($G347*10/23,0)-2*ROUND($G347/23,0),IF($H347=2,$G347,0)))</f>
        <v>12738</v>
      </c>
      <c r="K347" s="364">
        <f>IF($G347="","",IF($H347=1,ROUND($G347*10/23,0),IF($H347=3,$G347-2*ROUND($G347/12,0),IF($H347=4,$G347,IF(OR($H347=5,$H347=7),ROUND($G347*10/11,0),0)))))</f>
        <v>0</v>
      </c>
      <c r="L347" s="364">
        <f>IF($G347="","",IF($H347=1,ROUND($G347/23,0),IF($H347=3,ROUND($G347/12,0),IF($H347=5,$G347-ROUND($G347*10/11,0),IF($H347=8,$G347,0)))))</f>
        <v>0</v>
      </c>
      <c r="M347" s="364">
        <f>IF($G347="","",IF($H347=1,ROUND($G347/23,0),IF($H347=3,ROUND($G347/12,0),IF($H347=6,$G347,IF($H347=7,$G347-ROUND($G347*10/11,0),0)))))</f>
        <v>0</v>
      </c>
      <c r="N347" s="364">
        <f>IF($G347="","",K347+L347+M347)</f>
        <v>0</v>
      </c>
      <c r="O347" s="365" t="str">
        <f>IF($G347="","",IFERROR(VLOOKUP($D347&amp;"|"&amp;$E347,科目表!$A$5:$B$200,2,FALSE),"※未登録"))</f>
        <v>賃借料</v>
      </c>
      <c r="P347" s="359">
        <f>IF(OR($G347="",$C347=""),"",IF($B347="決算整理",13,MOD(MONTH($C347)-4,12)+1))</f>
        <v>7</v>
      </c>
      <c r="Q347" s="366" t="str">
        <f>IF($G347="","",TRIM(IF(J347+K347+L347+M347&lt;&gt;$G347,"按分不一致 ","")&amp;IF(O347="※未登録","科目未登録 ","")&amp;IF(OR($H347="",ISERROR(MATCH($H347,{1,2,3,4,5,6,7,8},0))),"経費区分? ","")&amp;IF($I347="","状態未設定 ","")&amp;IF(AND(OR($I347="確認済",$I347="未確認"),$B347="月例",OR($C347="",$C347&lt;DATE(年度+2018,4,1),$C347&gt;DATE(年度+2019,3,31))),"年度外の日付 ","")&amp;IF(AND(OR($I347="確認済",$I347="未確認"),O347="対象外"),"対象外の科目 ","")))</f>
        <v/>
      </c>
      <c r="R347" s="366" t="inlineStr">
        <is>
          <t>月例!359</t>
        </is>
      </c>
    </row>
    <row r="348">
      <c r="A348" s="359" t="n">
        <v>344</v>
      </c>
      <c r="B348" s="360" t="inlineStr">
        <is>
          <t>月例</t>
        </is>
      </c>
      <c r="C348" s="361" t="n">
        <v>44865</v>
      </c>
      <c r="D348" s="362" t="inlineStr">
        <is>
          <t>委託費</t>
        </is>
      </c>
      <c r="E348" s="362" t="n"/>
      <c r="F348" s="362" t="inlineStr">
        <is>
          <t>統合管理端末保守料（９月分）</t>
        </is>
      </c>
      <c r="G348" s="363" t="n">
        <v>770</v>
      </c>
      <c r="H348" s="360" t="n">
        <v>2</v>
      </c>
      <c r="I348" s="360" t="inlineStr">
        <is>
          <t>昨年実績</t>
        </is>
      </c>
      <c r="J348" s="364">
        <f>IF($G348="","",IF($H348=1,$G348-ROUND($G348*10/23,0)-2*ROUND($G348/23,0),IF($H348=2,$G348,0)))</f>
        <v>770</v>
      </c>
      <c r="K348" s="364">
        <f>IF($G348="","",IF($H348=1,ROUND($G348*10/23,0),IF($H348=3,$G348-2*ROUND($G348/12,0),IF($H348=4,$G348,IF(OR($H348=5,$H348=7),ROUND($G348*10/11,0),0)))))</f>
        <v>0</v>
      </c>
      <c r="L348" s="364">
        <f>IF($G348="","",IF($H348=1,ROUND($G348/23,0),IF($H348=3,ROUND($G348/12,0),IF($H348=5,$G348-ROUND($G348*10/11,0),IF($H348=8,$G348,0)))))</f>
        <v>0</v>
      </c>
      <c r="M348" s="364">
        <f>IF($G348="","",IF($H348=1,ROUND($G348/23,0),IF($H348=3,ROUND($G348/12,0),IF($H348=6,$G348,IF($H348=7,$G348-ROUND($G348*10/11,0),0)))))</f>
        <v>0</v>
      </c>
      <c r="N348" s="364">
        <f>IF($G348="","",K348+L348+M348)</f>
        <v>0</v>
      </c>
      <c r="O348" s="365" t="str">
        <f>IF($G348="","",IFERROR(VLOOKUP($D348&amp;"|"&amp;$E348,科目表!$A$5:$B$200,2,FALSE),"※未登録"))</f>
        <v>委託費</v>
      </c>
      <c r="P348" s="359">
        <f>IF(OR($G348="",$C348=""),"",IF($B348="決算整理",13,MOD(MONTH($C348)-4,12)+1))</f>
        <v>7</v>
      </c>
      <c r="Q348" s="366" t="str">
        <f>IF($G348="","",TRIM(IF(J348+K348+L348+M348&lt;&gt;$G348,"按分不一致 ","")&amp;IF(O348="※未登録","科目未登録 ","")&amp;IF(OR($H348="",ISERROR(MATCH($H348,{1,2,3,4,5,6,7,8},0))),"経費区分? ","")&amp;IF($I348="","状態未設定 ","")&amp;IF(AND(OR($I348="確認済",$I348="未確認"),$B348="月例",OR($C348="",$C348&lt;DATE(年度+2018,4,1),$C348&gt;DATE(年度+2019,3,31))),"年度外の日付 ","")&amp;IF(AND(OR($I348="確認済",$I348="未確認"),O348="対象外"),"対象外の科目 ","")))</f>
        <v/>
      </c>
      <c r="R348" s="366" t="inlineStr">
        <is>
          <t>月例!360</t>
        </is>
      </c>
    </row>
    <row r="349">
      <c r="A349" s="359" t="n">
        <v>345</v>
      </c>
      <c r="B349" s="360" t="inlineStr">
        <is>
          <t>月例</t>
        </is>
      </c>
      <c r="C349" s="361" t="n">
        <v>45103</v>
      </c>
      <c r="D349" s="362" t="inlineStr">
        <is>
          <t>旅費</t>
        </is>
      </c>
      <c r="E349" s="362" t="n"/>
      <c r="F349" s="362" t="inlineStr">
        <is>
          <t>4/1付人事異動　連合会派遣終了に伴う赴任旅費　梅谷主事</t>
        </is>
      </c>
      <c r="G349" s="363" t="n">
        <v>189120</v>
      </c>
      <c r="H349" s="360" t="n">
        <v>3</v>
      </c>
      <c r="I349" s="360" t="inlineStr">
        <is>
          <t>昨年実績</t>
        </is>
      </c>
      <c r="J349" s="364">
        <f>IF($G349="","",IF($H349=1,$G349-ROUND($G349*10/23,0)-2*ROUND($G349/23,0),IF($H349=2,$G349,0)))</f>
        <v>0</v>
      </c>
      <c r="K349" s="364">
        <f>IF($G349="","",IF($H349=1,ROUND($G349*10/23,0),IF($H349=3,$G349-2*ROUND($G349/12,0),IF($H349=4,$G349,IF(OR($H349=5,$H349=7),ROUND($G349*10/11,0),0)))))</f>
        <v>157600</v>
      </c>
      <c r="L349" s="364">
        <f>IF($G349="","",IF($H349=1,ROUND($G349/23,0),IF($H349=3,ROUND($G349/12,0),IF($H349=5,$G349-ROUND($G349*10/11,0),IF($H349=8,$G349,0)))))</f>
        <v>15760</v>
      </c>
      <c r="M349" s="364">
        <f>IF($G349="","",IF($H349=1,ROUND($G349/23,0),IF($H349=3,ROUND($G349/12,0),IF($H349=6,$G349,IF($H349=7,$G349-ROUND($G349*10/11,0),0)))))</f>
        <v>15760</v>
      </c>
      <c r="N349" s="364">
        <f>IF($G349="","",K349+L349+M349)</f>
        <v>189120</v>
      </c>
      <c r="O349" s="365" t="str">
        <f>IF($G349="","",IFERROR(VLOOKUP($D349&amp;"|"&amp;$E349,科目表!$A$5:$B$200,2,FALSE),"※未登録"))</f>
        <v>旅費</v>
      </c>
      <c r="P349" s="359">
        <f>IF(OR($G349="",$C349=""),"",IF($B349="決算整理",13,MOD(MONTH($C349)-4,12)+1))</f>
        <v>3</v>
      </c>
      <c r="Q349" s="366" t="str">
        <f>IF($G349="","",TRIM(IF(J349+K349+L349+M349&lt;&gt;$G349,"按分不一致 ","")&amp;IF(O349="※未登録","科目未登録 ","")&amp;IF(OR($H349="",ISERROR(MATCH($H349,{1,2,3,4,5,6,7,8},0))),"経費区分? ","")&amp;IF($I349="","状態未設定 ","")&amp;IF(AND(OR($I349="確認済",$I349="未確認"),$B349="月例",OR($C349="",$C349&lt;DATE(年度+2018,4,1),$C349&gt;DATE(年度+2019,3,31))),"年度外の日付 ","")&amp;IF(AND(OR($I349="確認済",$I349="未確認"),O349="対象外"),"対象外の科目 ","")))</f>
        <v/>
      </c>
      <c r="R349" s="366" t="inlineStr">
        <is>
          <t>月例!361</t>
        </is>
      </c>
    </row>
    <row r="350">
      <c r="A350" s="359" t="n">
        <v>346</v>
      </c>
      <c r="B350" s="360" t="inlineStr">
        <is>
          <t>月例</t>
        </is>
      </c>
      <c r="C350" s="361" t="n">
        <v>43790</v>
      </c>
      <c r="D350" s="362" t="inlineStr">
        <is>
          <t>旅費</t>
        </is>
      </c>
      <c r="E350" s="362" t="n"/>
      <c r="F350" s="362" t="inlineStr">
        <is>
          <t>11/25・26（小連合）データヘルス研修会（第2回）　特別区　吉野技師</t>
        </is>
      </c>
      <c r="G350" s="363" t="n">
        <v>51400</v>
      </c>
      <c r="H350" s="360" t="n">
        <v>2</v>
      </c>
      <c r="I350" s="360" t="inlineStr">
        <is>
          <t>昨年実績</t>
        </is>
      </c>
      <c r="J350" s="364">
        <f>IF($G350="","",IF($H350=1,$G350-ROUND($G350*10/23,0)-2*ROUND($G350/23,0),IF($H350=2,$G350,0)))</f>
        <v>51400</v>
      </c>
      <c r="K350" s="364">
        <f>IF($G350="","",IF($H350=1,ROUND($G350*10/23,0),IF($H350=3,$G350-2*ROUND($G350/12,0),IF($H350=4,$G350,IF(OR($H350=5,$H350=7),ROUND($G350*10/11,0),0)))))</f>
        <v>0</v>
      </c>
      <c r="L350" s="364">
        <f>IF($G350="","",IF($H350=1,ROUND($G350/23,0),IF($H350=3,ROUND($G350/12,0),IF($H350=5,$G350-ROUND($G350*10/11,0),IF($H350=8,$G350,0)))))</f>
        <v>0</v>
      </c>
      <c r="M350" s="364">
        <f>IF($G350="","",IF($H350=1,ROUND($G350/23,0),IF($H350=3,ROUND($G350/12,0),IF($H350=6,$G350,IF($H350=7,$G350-ROUND($G350*10/11,0),0)))))</f>
        <v>0</v>
      </c>
      <c r="N350" s="364">
        <f>IF($G350="","",K350+L350+M350)</f>
        <v>0</v>
      </c>
      <c r="O350" s="365" t="str">
        <f>IF($G350="","",IFERROR(VLOOKUP($D350&amp;"|"&amp;$E350,科目表!$A$5:$B$200,2,FALSE),"※未登録"))</f>
        <v>旅費</v>
      </c>
      <c r="P350" s="359">
        <f>IF(OR($G350="",$C350=""),"",IF($B350="決算整理",13,MOD(MONTH($C350)-4,12)+1))</f>
        <v>8</v>
      </c>
      <c r="Q350" s="366" t="str">
        <f>IF($G350="","",TRIM(IF(J350+K350+L350+M350&lt;&gt;$G350,"按分不一致 ","")&amp;IF(O350="※未登録","科目未登録 ","")&amp;IF(OR($H350="",ISERROR(MATCH($H350,{1,2,3,4,5,6,7,8},0))),"経費区分? ","")&amp;IF($I350="","状態未設定 ","")&amp;IF(AND(OR($I350="確認済",$I350="未確認"),$B350="月例",OR($C350="",$C350&lt;DATE(年度+2018,4,1),$C350&gt;DATE(年度+2019,3,31))),"年度外の日付 ","")&amp;IF(AND(OR($I350="確認済",$I350="未確認"),O350="対象外"),"対象外の科目 ","")))</f>
        <v/>
      </c>
      <c r="R350" s="366" t="inlineStr">
        <is>
          <t>月例!362</t>
        </is>
      </c>
    </row>
    <row r="351">
      <c r="A351" s="359" t="n">
        <v>347</v>
      </c>
      <c r="B351" s="360" t="inlineStr">
        <is>
          <t>月例</t>
        </is>
      </c>
      <c r="C351" s="361" t="n">
        <v>46328</v>
      </c>
      <c r="D351" s="362" t="inlineStr">
        <is>
          <t>事務費</t>
        </is>
      </c>
      <c r="E351" s="362" t="inlineStr">
        <is>
          <t>通信運搬費</t>
        </is>
      </c>
      <c r="F351" s="362" t="inlineStr">
        <is>
          <t>フレッツ光ネクスト利用料等（８月、９月利用・１０月請求分）</t>
        </is>
      </c>
      <c r="G351" s="363" t="n">
        <v>13090</v>
      </c>
      <c r="H351" s="360" t="n">
        <v>2</v>
      </c>
      <c r="I351" s="360" t="inlineStr">
        <is>
          <t>確認済</t>
        </is>
      </c>
      <c r="J351" s="364">
        <f>IF($G351="","",IF($H351=1,$G351-ROUND($G351*10/23,0)-2*ROUND($G351/23,0),IF($H351=2,$G351,0)))</f>
        <v>13090</v>
      </c>
      <c r="K351" s="364">
        <f>IF($G351="","",IF($H351=1,ROUND($G351*10/23,0),IF($H351=3,$G351-2*ROUND($G351/12,0),IF($H351=4,$G351,IF(OR($H351=5,$H351=7),ROUND($G351*10/11,0),0)))))</f>
        <v>0</v>
      </c>
      <c r="L351" s="364">
        <f>IF($G351="","",IF($H351=1,ROUND($G351/23,0),IF($H351=3,ROUND($G351/12,0),IF($H351=5,$G351-ROUND($G351*10/11,0),IF($H351=8,$G351,0)))))</f>
        <v>0</v>
      </c>
      <c r="M351" s="364">
        <f>IF($G351="","",IF($H351=1,ROUND($G351/23,0),IF($H351=3,ROUND($G351/12,0),IF($H351=6,$G351,IF($H351=7,$G351-ROUND($G351*10/11,0),0)))))</f>
        <v>0</v>
      </c>
      <c r="N351" s="364">
        <f>IF($G351="","",K351+L351+M351)</f>
        <v>0</v>
      </c>
      <c r="O351" s="365" t="str">
        <f>IF($G351="","",IFERROR(VLOOKUP($D351&amp;"|"&amp;$E351,科目表!$A$5:$B$200,2,FALSE),"※未登録"))</f>
        <v>通信運搬費</v>
      </c>
      <c r="P351" s="359">
        <f>IF(OR($G351="",$C351=""),"",IF($B351="決算整理",13,MOD(MONTH($C351)-4,12)+1))</f>
        <v>8</v>
      </c>
      <c r="Q351" s="366" t="str">
        <f>IF($G351="","",TRIM(IF(J351+K351+L351+M351&lt;&gt;$G351,"按分不一致 ","")&amp;IF(O351="※未登録","科目未登録 ","")&amp;IF(OR($H351="",ISERROR(MATCH($H351,{1,2,3,4,5,6,7,8},0))),"経費区分? ","")&amp;IF($I351="","状態未設定 ","")&amp;IF(AND(OR($I351="確認済",$I351="未確認"),$B351="月例",OR($C351="",$C351&lt;DATE(年度+2018,4,1),$C351&gt;DATE(年度+2019,3,31))),"年度外の日付 ","")&amp;IF(AND(OR($I351="確認済",$I351="未確認"),O351="対象外"),"対象外の科目 ","")))</f>
        <v/>
      </c>
      <c r="R351" s="366" t="inlineStr">
        <is>
          <t>月例!363</t>
        </is>
      </c>
    </row>
    <row r="352">
      <c r="A352" s="359" t="n">
        <v>348</v>
      </c>
      <c r="B352" s="360" t="inlineStr">
        <is>
          <t>月例</t>
        </is>
      </c>
      <c r="C352" s="361" t="n">
        <v>46335</v>
      </c>
      <c r="D352" s="362" t="inlineStr">
        <is>
          <t>事務費負担金払込金</t>
        </is>
      </c>
      <c r="E352" s="362" t="n"/>
      <c r="F352" s="362" t="inlineStr">
        <is>
          <t>１０月分事務費負担金払込金　連合会へ払込</t>
        </is>
      </c>
      <c r="G352" s="363" t="n">
        <v>5366000</v>
      </c>
      <c r="H352" s="360" t="n">
        <v>5</v>
      </c>
      <c r="I352" s="360" t="inlineStr">
        <is>
          <t>確認済</t>
        </is>
      </c>
      <c r="J352" s="364">
        <f>IF($G352="","",IF($H352=1,$G352-ROUND($G352*10/23,0)-2*ROUND($G352/23,0),IF($H352=2,$G352,0)))</f>
        <v>0</v>
      </c>
      <c r="K352" s="364">
        <f>IF($G352="","",IF($H352=1,ROUND($G352*10/23,0),IF($H352=3,$G352-2*ROUND($G352/12,0),IF($H352=4,$G352,IF(OR($H352=5,$H352=7),ROUND($G352*10/11,0),0)))))</f>
        <v>4878182</v>
      </c>
      <c r="L352" s="364">
        <f>IF($G352="","",IF($H352=1,ROUND($G352/23,0),IF($H352=3,ROUND($G352/12,0),IF($H352=5,$G352-ROUND($G352*10/11,0),IF($H352=8,$G352,0)))))</f>
        <v>487818</v>
      </c>
      <c r="M352" s="364">
        <f>IF($G352="","",IF($H352=1,ROUND($G352/23,0),IF($H352=3,ROUND($G352/12,0),IF($H352=6,$G352,IF($H352=7,$G352-ROUND($G352*10/11,0),0)))))</f>
        <v>0</v>
      </c>
      <c r="N352" s="364">
        <f>IF($G352="","",K352+L352+M352)</f>
        <v>5366000</v>
      </c>
      <c r="O352" s="365" t="str">
        <f>IF($G352="","",IFERROR(VLOOKUP($D352&amp;"|"&amp;$E352,科目表!$A$5:$B$200,2,FALSE),"※未登録"))</f>
        <v>事務費負担金払込金</v>
      </c>
      <c r="P352" s="359">
        <f>IF(OR($G352="",$C352=""),"",IF($B352="決算整理",13,MOD(MONTH($C352)-4,12)+1))</f>
        <v>8</v>
      </c>
      <c r="Q352" s="366" t="str">
        <f>IF($G352="","",TRIM(IF(J352+K352+L352+M352&lt;&gt;$G352,"按分不一致 ","")&amp;IF(O352="※未登録","科目未登録 ","")&amp;IF(OR($H352="",ISERROR(MATCH($H352,{1,2,3,4,5,6,7,8},0))),"経費区分? ","")&amp;IF($I352="","状態未設定 ","")&amp;IF(AND(OR($I352="確認済",$I352="未確認"),$B352="月例",OR($C352="",$C352&lt;DATE(年度+2018,4,1),$C352&gt;DATE(年度+2019,3,31))),"年度外の日付 ","")&amp;IF(AND(OR($I352="確認済",$I352="未確認"),O352="対象外"),"対象外の科目 ","")))</f>
        <v/>
      </c>
      <c r="R352" s="366" t="inlineStr">
        <is>
          <t>月例!368</t>
        </is>
      </c>
    </row>
    <row r="353">
      <c r="A353" s="359" t="n">
        <v>349</v>
      </c>
      <c r="B353" s="360" t="inlineStr">
        <is>
          <t>月例</t>
        </is>
      </c>
      <c r="C353" s="361" t="n">
        <v>45583</v>
      </c>
      <c r="D353" s="362" t="inlineStr">
        <is>
          <t>事務費</t>
        </is>
      </c>
      <c r="E353" s="362" t="inlineStr">
        <is>
          <t>通信運搬費</t>
        </is>
      </c>
      <c r="F353" s="362" t="inlineStr">
        <is>
          <t>切手</t>
        </is>
      </c>
      <c r="G353" s="363" t="n">
        <v>110100</v>
      </c>
      <c r="H353" s="360" t="n">
        <v>2</v>
      </c>
      <c r="I353" s="360" t="inlineStr">
        <is>
          <t>昨年実績</t>
        </is>
      </c>
      <c r="J353" s="364">
        <f>IF($G353="","",IF($H353=1,$G353-ROUND($G353*10/23,0)-2*ROUND($G353/23,0),IF($H353=2,$G353,0)))</f>
        <v>110100</v>
      </c>
      <c r="K353" s="364">
        <f>IF($G353="","",IF($H353=1,ROUND($G353*10/23,0),IF($H353=3,$G353-2*ROUND($G353/12,0),IF($H353=4,$G353,IF(OR($H353=5,$H353=7),ROUND($G353*10/11,0),0)))))</f>
        <v>0</v>
      </c>
      <c r="L353" s="364">
        <f>IF($G353="","",IF($H353=1,ROUND($G353/23,0),IF($H353=3,ROUND($G353/12,0),IF($H353=5,$G353-ROUND($G353*10/11,0),IF($H353=8,$G353,0)))))</f>
        <v>0</v>
      </c>
      <c r="M353" s="364">
        <f>IF($G353="","",IF($H353=1,ROUND($G353/23,0),IF($H353=3,ROUND($G353/12,0),IF($H353=6,$G353,IF($H353=7,$G353-ROUND($G353*10/11,0),0)))))</f>
        <v>0</v>
      </c>
      <c r="N353" s="364">
        <f>IF($G353="","",K353+L353+M353)</f>
        <v>0</v>
      </c>
      <c r="O353" s="365" t="str">
        <f>IF($G353="","",IFERROR(VLOOKUP($D353&amp;"|"&amp;$E353,科目表!$A$5:$B$200,2,FALSE),"※未登録"))</f>
        <v>通信運搬費</v>
      </c>
      <c r="P353" s="359">
        <f>IF(OR($G353="",$C353=""),"",IF($B353="決算整理",13,MOD(MONTH($C353)-4,12)+1))</f>
        <v>7</v>
      </c>
      <c r="Q353" s="366" t="str">
        <f>IF($G353="","",TRIM(IF(J353+K353+L353+M353&lt;&gt;$G353,"按分不一致 ","")&amp;IF(O353="※未登録","科目未登録 ","")&amp;IF(OR($H353="",ISERROR(MATCH($H353,{1,2,3,4,5,6,7,8},0))),"経費区分? ","")&amp;IF($I353="","状態未設定 ","")&amp;IF(AND(OR($I353="確認済",$I353="未確認"),$B353="月例",OR($C353="",$C353&lt;DATE(年度+2018,4,1),$C353&gt;DATE(年度+2019,3,31))),"年度外の日付 ","")&amp;IF(AND(OR($I353="確認済",$I353="未確認"),O353="対象外"),"対象外の科目 ","")))</f>
        <v/>
      </c>
      <c r="R353" s="366" t="inlineStr">
        <is>
          <t>月例!369</t>
        </is>
      </c>
    </row>
    <row r="354">
      <c r="A354" s="359" t="n">
        <v>350</v>
      </c>
      <c r="B354" s="360" t="inlineStr">
        <is>
          <t>月例</t>
        </is>
      </c>
      <c r="C354" s="361" t="n">
        <v>45958</v>
      </c>
      <c r="D354" s="362" t="inlineStr">
        <is>
          <t>事務費</t>
        </is>
      </c>
      <c r="E354" s="362" t="inlineStr">
        <is>
          <t>通信運搬費</t>
        </is>
      </c>
      <c r="F354" s="362" t="inlineStr">
        <is>
          <t>切手</t>
        </is>
      </c>
      <c r="G354" s="363" t="n">
        <v>229700</v>
      </c>
      <c r="H354" s="360" t="n">
        <v>3</v>
      </c>
      <c r="I354" s="360" t="inlineStr">
        <is>
          <t>昨年実績</t>
        </is>
      </c>
      <c r="J354" s="364">
        <f>IF($G354="","",IF($H354=1,$G354-ROUND($G354*10/23,0)-2*ROUND($G354/23,0),IF($H354=2,$G354,0)))</f>
        <v>0</v>
      </c>
      <c r="K354" s="364">
        <f>IF($G354="","",IF($H354=1,ROUND($G354*10/23,0),IF($H354=3,$G354-2*ROUND($G354/12,0),IF($H354=4,$G354,IF(OR($H354=5,$H354=7),ROUND($G354*10/11,0),0)))))</f>
        <v>191416</v>
      </c>
      <c r="L354" s="364">
        <f>IF($G354="","",IF($H354=1,ROUND($G354/23,0),IF($H354=3,ROUND($G354/12,0),IF($H354=5,$G354-ROUND($G354*10/11,0),IF($H354=8,$G354,0)))))</f>
        <v>19142</v>
      </c>
      <c r="M354" s="364">
        <f>IF($G354="","",IF($H354=1,ROUND($G354/23,0),IF($H354=3,ROUND($G354/12,0),IF($H354=6,$G354,IF($H354=7,$G354-ROUND($G354*10/11,0),0)))))</f>
        <v>19142</v>
      </c>
      <c r="N354" s="364">
        <f>IF($G354="","",K354+L354+M354)</f>
        <v>229700</v>
      </c>
      <c r="O354" s="365" t="str">
        <f>IF($G354="","",IFERROR(VLOOKUP($D354&amp;"|"&amp;$E354,科目表!$A$5:$B$200,2,FALSE),"※未登録"))</f>
        <v>通信運搬費</v>
      </c>
      <c r="P354" s="359">
        <f>IF(OR($G354="",$C354=""),"",IF($B354="決算整理",13,MOD(MONTH($C354)-4,12)+1))</f>
        <v>7</v>
      </c>
      <c r="Q354" s="366" t="str">
        <f>IF($G354="","",TRIM(IF(J354+K354+L354+M354&lt;&gt;$G354,"按分不一致 ","")&amp;IF(O354="※未登録","科目未登録 ","")&amp;IF(OR($H354="",ISERROR(MATCH($H354,{1,2,3,4,5,6,7,8},0))),"経費区分? ","")&amp;IF($I354="","状態未設定 ","")&amp;IF(AND(OR($I354="確認済",$I354="未確認"),$B354="月例",OR($C354="",$C354&lt;DATE(年度+2018,4,1),$C354&gt;DATE(年度+2019,3,31))),"年度外の日付 ","")&amp;IF(AND(OR($I354="確認済",$I354="未確認"),O354="対象外"),"対象外の科目 ","")))</f>
        <v/>
      </c>
      <c r="R354" s="366" t="inlineStr">
        <is>
          <t>月例!370</t>
        </is>
      </c>
    </row>
    <row r="355">
      <c r="A355" s="359" t="n">
        <v>351</v>
      </c>
      <c r="B355" s="360" t="inlineStr">
        <is>
          <t>月例</t>
        </is>
      </c>
      <c r="C355" s="361" t="n">
        <v>44876</v>
      </c>
      <c r="D355" s="362" t="inlineStr">
        <is>
          <t>事務費</t>
        </is>
      </c>
      <c r="E355" s="362" t="inlineStr">
        <is>
          <t>事務用消耗品費</t>
        </is>
      </c>
      <c r="F355" s="362" t="inlineStr">
        <is>
          <t>個人情報保護シール</t>
        </is>
      </c>
      <c r="G355" s="363" t="n">
        <v>154000</v>
      </c>
      <c r="H355" s="360" t="n">
        <v>2</v>
      </c>
      <c r="I355" s="360" t="inlineStr">
        <is>
          <t>昨年実績</t>
        </is>
      </c>
      <c r="J355" s="364">
        <f>IF($G355="","",IF($H355=1,$G355-ROUND($G355*10/23,0)-2*ROUND($G355/23,0),IF($H355=2,$G355,0)))</f>
        <v>154000</v>
      </c>
      <c r="K355" s="364">
        <f>IF($G355="","",IF($H355=1,ROUND($G355*10/23,0),IF($H355=3,$G355-2*ROUND($G355/12,0),IF($H355=4,$G355,IF(OR($H355=5,$H355=7),ROUND($G355*10/11,0),0)))))</f>
        <v>0</v>
      </c>
      <c r="L355" s="364">
        <f>IF($G355="","",IF($H355=1,ROUND($G355/23,0),IF($H355=3,ROUND($G355/12,0),IF($H355=5,$G355-ROUND($G355*10/11,0),IF($H355=8,$G355,0)))))</f>
        <v>0</v>
      </c>
      <c r="M355" s="364">
        <f>IF($G355="","",IF($H355=1,ROUND($G355/23,0),IF($H355=3,ROUND($G355/12,0),IF($H355=6,$G355,IF($H355=7,$G355-ROUND($G355*10/11,0),0)))))</f>
        <v>0</v>
      </c>
      <c r="N355" s="364">
        <f>IF($G355="","",K355+L355+M355)</f>
        <v>0</v>
      </c>
      <c r="O355" s="365" t="str">
        <f>IF($G355="","",IFERROR(VLOOKUP($D355&amp;"|"&amp;$E355,科目表!$A$5:$B$200,2,FALSE),"※未登録"))</f>
        <v>事務用消耗品費</v>
      </c>
      <c r="P355" s="359">
        <f>IF(OR($G355="",$C355=""),"",IF($B355="決算整理",13,MOD(MONTH($C355)-4,12)+1))</f>
        <v>8</v>
      </c>
      <c r="Q355" s="366" t="str">
        <f>IF($G355="","",TRIM(IF(J355+K355+L355+M355&lt;&gt;$G355,"按分不一致 ","")&amp;IF(O355="※未登録","科目未登録 ","")&amp;IF(OR($H355="",ISERROR(MATCH($H355,{1,2,3,4,5,6,7,8},0))),"経費区分? ","")&amp;IF($I355="","状態未設定 ","")&amp;IF(AND(OR($I355="確認済",$I355="未確認"),$B355="月例",OR($C355="",$C355&lt;DATE(年度+2018,4,1),$C355&gt;DATE(年度+2019,3,31))),"年度外の日付 ","")&amp;IF(AND(OR($I355="確認済",$I355="未確認"),O355="対象外"),"対象外の科目 ","")))</f>
        <v/>
      </c>
      <c r="R355" s="366" t="inlineStr">
        <is>
          <t>月例!371</t>
        </is>
      </c>
    </row>
    <row r="356">
      <c r="A356" s="359" t="n">
        <v>352</v>
      </c>
      <c r="B356" s="360" t="inlineStr">
        <is>
          <t>月例</t>
        </is>
      </c>
      <c r="C356" s="361" t="n">
        <v>43734</v>
      </c>
      <c r="D356" s="362" t="inlineStr">
        <is>
          <t>旅費</t>
        </is>
      </c>
      <c r="E356" s="362" t="n"/>
      <c r="F356" s="362" t="inlineStr">
        <is>
          <t>10/1・2　年金・社会保障研究セミナー　特別区　名桑次長</t>
        </is>
      </c>
      <c r="G356" s="363" t="n">
        <v>50020</v>
      </c>
      <c r="H356" s="360" t="n">
        <v>3</v>
      </c>
      <c r="I356" s="360" t="inlineStr">
        <is>
          <t>昨年実績</t>
        </is>
      </c>
      <c r="J356" s="364">
        <f>IF($G356="","",IF($H356=1,$G356-ROUND($G356*10/23,0)-2*ROUND($G356/23,0),IF($H356=2,$G356,0)))</f>
        <v>0</v>
      </c>
      <c r="K356" s="364">
        <f>IF($G356="","",IF($H356=1,ROUND($G356*10/23,0),IF($H356=3,$G356-2*ROUND($G356/12,0),IF($H356=4,$G356,IF(OR($H356=5,$H356=7),ROUND($G356*10/11,0),0)))))</f>
        <v>41684</v>
      </c>
      <c r="L356" s="364">
        <f>IF($G356="","",IF($H356=1,ROUND($G356/23,0),IF($H356=3,ROUND($G356/12,0),IF($H356=5,$G356-ROUND($G356*10/11,0),IF($H356=8,$G356,0)))))</f>
        <v>4168</v>
      </c>
      <c r="M356" s="364">
        <f>IF($G356="","",IF($H356=1,ROUND($G356/23,0),IF($H356=3,ROUND($G356/12,0),IF($H356=6,$G356,IF($H356=7,$G356-ROUND($G356*10/11,0),0)))))</f>
        <v>4168</v>
      </c>
      <c r="N356" s="364">
        <f>IF($G356="","",K356+L356+M356)</f>
        <v>50020</v>
      </c>
      <c r="O356" s="365" t="str">
        <f>IF($G356="","",IFERROR(VLOOKUP($D356&amp;"|"&amp;$E356,科目表!$A$5:$B$200,2,FALSE),"※未登録"))</f>
        <v>旅費</v>
      </c>
      <c r="P356" s="359">
        <f>IF(OR($G356="",$C356=""),"",IF($B356="決算整理",13,MOD(MONTH($C356)-4,12)+1))</f>
        <v>6</v>
      </c>
      <c r="Q356" s="366" t="str">
        <f>IF($G356="","",TRIM(IF(J356+K356+L356+M356&lt;&gt;$G356,"按分不一致 ","")&amp;IF(O356="※未登録","科目未登録 ","")&amp;IF(OR($H356="",ISERROR(MATCH($H356,{1,2,3,4,5,6,7,8},0))),"経費区分? ","")&amp;IF($I356="","状態未設定 ","")&amp;IF(AND(OR($I356="確認済",$I356="未確認"),$B356="月例",OR($C356="",$C356&lt;DATE(年度+2018,4,1),$C356&gt;DATE(年度+2019,3,31))),"年度外の日付 ","")&amp;IF(AND(OR($I356="確認済",$I356="未確認"),O356="対象外"),"対象外の科目 ","")))</f>
        <v/>
      </c>
      <c r="R356" s="366" t="inlineStr">
        <is>
          <t>月例!372</t>
        </is>
      </c>
    </row>
    <row r="357">
      <c r="A357" s="359" t="n">
        <v>353</v>
      </c>
      <c r="B357" s="360" t="inlineStr">
        <is>
          <t>月例</t>
        </is>
      </c>
      <c r="C357" s="361" t="n">
        <v>45971</v>
      </c>
      <c r="D357" s="362" t="inlineStr">
        <is>
          <t>事務費</t>
        </is>
      </c>
      <c r="E357" s="362" t="inlineStr">
        <is>
          <t>送金料</t>
        </is>
      </c>
      <c r="F357" s="362" t="inlineStr">
        <is>
          <t>振込手数料（広銀）１０月分　長期分</t>
        </is>
      </c>
      <c r="G357" s="363" t="n">
        <v>15579</v>
      </c>
      <c r="H357" s="360" t="n">
        <v>3</v>
      </c>
      <c r="I357" s="360" t="inlineStr">
        <is>
          <t>昨年実績</t>
        </is>
      </c>
      <c r="J357" s="364">
        <f>IF($G357="","",IF($H357=1,$G357-ROUND($G357*10/23,0)-2*ROUND($G357/23,0),IF($H357=2,$G357,0)))</f>
        <v>0</v>
      </c>
      <c r="K357" s="364">
        <f>IF($G357="","",IF($H357=1,ROUND($G357*10/23,0),IF($H357=3,$G357-2*ROUND($G357/12,0),IF($H357=4,$G357,IF(OR($H357=5,$H357=7),ROUND($G357*10/11,0),0)))))</f>
        <v>12983</v>
      </c>
      <c r="L357" s="364">
        <f>IF($G357="","",IF($H357=1,ROUND($G357/23,0),IF($H357=3,ROUND($G357/12,0),IF($H357=5,$G357-ROUND($G357*10/11,0),IF($H357=8,$G357,0)))))</f>
        <v>1298</v>
      </c>
      <c r="M357" s="364">
        <f>IF($G357="","",IF($H357=1,ROUND($G357/23,0),IF($H357=3,ROUND($G357/12,0),IF($H357=6,$G357,IF($H357=7,$G357-ROUND($G357*10/11,0),0)))))</f>
        <v>1298</v>
      </c>
      <c r="N357" s="364">
        <f>IF($G357="","",K357+L357+M357)</f>
        <v>15579</v>
      </c>
      <c r="O357" s="365" t="str">
        <f>IF($G357="","",IFERROR(VLOOKUP($D357&amp;"|"&amp;$E357,科目表!$A$5:$B$200,2,FALSE),"※未登録"))</f>
        <v>送金料</v>
      </c>
      <c r="P357" s="359">
        <f>IF(OR($G357="",$C357=""),"",IF($B357="決算整理",13,MOD(MONTH($C357)-4,12)+1))</f>
        <v>8</v>
      </c>
      <c r="Q357" s="366" t="str">
        <f>IF($G357="","",TRIM(IF(J357+K357+L357+M357&lt;&gt;$G357,"按分不一致 ","")&amp;IF(O357="※未登録","科目未登録 ","")&amp;IF(OR($H357="",ISERROR(MATCH($H357,{1,2,3,4,5,6,7,8},0))),"経費区分? ","")&amp;IF($I357="","状態未設定 ","")&amp;IF(AND(OR($I357="確認済",$I357="未確認"),$B357="月例",OR($C357="",$C357&lt;DATE(年度+2018,4,1),$C357&gt;DATE(年度+2019,3,31))),"年度外の日付 ","")&amp;IF(AND(OR($I357="確認済",$I357="未確認"),O357="対象外"),"対象外の科目 ","")))</f>
        <v/>
      </c>
      <c r="R357" s="366" t="inlineStr">
        <is>
          <t>月例!373</t>
        </is>
      </c>
    </row>
    <row r="358">
      <c r="A358" s="359" t="n">
        <v>354</v>
      </c>
      <c r="B358" s="360" t="inlineStr">
        <is>
          <t>月例</t>
        </is>
      </c>
      <c r="C358" s="361" t="n">
        <v>45971</v>
      </c>
      <c r="D358" s="362" t="inlineStr">
        <is>
          <t>事務費</t>
        </is>
      </c>
      <c r="E358" s="362" t="inlineStr">
        <is>
          <t>送金料</t>
        </is>
      </c>
      <c r="F358" s="362" t="inlineStr">
        <is>
          <t>振込手数料（広銀）１０月分　短期分</t>
        </is>
      </c>
      <c r="G358" s="363" t="n">
        <v>144958</v>
      </c>
      <c r="H358" s="360" t="n">
        <v>2</v>
      </c>
      <c r="I358" s="360" t="inlineStr">
        <is>
          <t>昨年実績</t>
        </is>
      </c>
      <c r="J358" s="364">
        <f>IF($G358="","",IF($H358=1,$G358-ROUND($G358*10/23,0)-2*ROUND($G358/23,0),IF($H358=2,$G358,0)))</f>
        <v>144958</v>
      </c>
      <c r="K358" s="364">
        <f>IF($G358="","",IF($H358=1,ROUND($G358*10/23,0),IF($H358=3,$G358-2*ROUND($G358/12,0),IF($H358=4,$G358,IF(OR($H358=5,$H358=7),ROUND($G358*10/11,0),0)))))</f>
        <v>0</v>
      </c>
      <c r="L358" s="364">
        <f>IF($G358="","",IF($H358=1,ROUND($G358/23,0),IF($H358=3,ROUND($G358/12,0),IF($H358=5,$G358-ROUND($G358*10/11,0),IF($H358=8,$G358,0)))))</f>
        <v>0</v>
      </c>
      <c r="M358" s="364">
        <f>IF($G358="","",IF($H358=1,ROUND($G358/23,0),IF($H358=3,ROUND($G358/12,0),IF($H358=6,$G358,IF($H358=7,$G358-ROUND($G358*10/11,0),0)))))</f>
        <v>0</v>
      </c>
      <c r="N358" s="364">
        <f>IF($G358="","",K358+L358+M358)</f>
        <v>0</v>
      </c>
      <c r="O358" s="365" t="str">
        <f>IF($G358="","",IFERROR(VLOOKUP($D358&amp;"|"&amp;$E358,科目表!$A$5:$B$200,2,FALSE),"※未登録"))</f>
        <v>送金料</v>
      </c>
      <c r="P358" s="359">
        <f>IF(OR($G358="",$C358=""),"",IF($B358="決算整理",13,MOD(MONTH($C358)-4,12)+1))</f>
        <v>8</v>
      </c>
      <c r="Q358" s="366" t="str">
        <f>IF($G358="","",TRIM(IF(J358+K358+L358+M358&lt;&gt;$G358,"按分不一致 ","")&amp;IF(O358="※未登録","科目未登録 ","")&amp;IF(OR($H358="",ISERROR(MATCH($H358,{1,2,3,4,5,6,7,8},0))),"経費区分? ","")&amp;IF($I358="","状態未設定 ","")&amp;IF(AND(OR($I358="確認済",$I358="未確認"),$B358="月例",OR($C358="",$C358&lt;DATE(年度+2018,4,1),$C358&gt;DATE(年度+2019,3,31))),"年度外の日付 ","")&amp;IF(AND(OR($I358="確認済",$I358="未確認"),O358="対象外"),"対象外の科目 ","")))</f>
        <v/>
      </c>
      <c r="R358" s="366" t="inlineStr">
        <is>
          <t>月例!374</t>
        </is>
      </c>
    </row>
    <row r="359">
      <c r="A359" s="359" t="n">
        <v>355</v>
      </c>
      <c r="B359" s="360" t="inlineStr">
        <is>
          <t>月例</t>
        </is>
      </c>
      <c r="C359" s="361" t="n">
        <v>45975</v>
      </c>
      <c r="D359" s="362" t="inlineStr">
        <is>
          <t>事務費</t>
        </is>
      </c>
      <c r="E359" s="362" t="inlineStr">
        <is>
          <t>事務用消耗品費</t>
        </is>
      </c>
      <c r="F359" s="362" t="inlineStr">
        <is>
          <t>コピー用紙等購入代分担金　互助会（第２四半期）[短期]</t>
        </is>
      </c>
      <c r="G359" s="363" t="n">
        <v>117393</v>
      </c>
      <c r="H359" s="360" t="n">
        <v>2</v>
      </c>
      <c r="I359" s="360" t="inlineStr">
        <is>
          <t>昨年実績</t>
        </is>
      </c>
      <c r="J359" s="364">
        <f>IF($G359="","",IF($H359=1,$G359-ROUND($G359*10/23,0)-2*ROUND($G359/23,0),IF($H359=2,$G359,0)))</f>
        <v>117393</v>
      </c>
      <c r="K359" s="364">
        <f>IF($G359="","",IF($H359=1,ROUND($G359*10/23,0),IF($H359=3,$G359-2*ROUND($G359/12,0),IF($H359=4,$G359,IF(OR($H359=5,$H359=7),ROUND($G359*10/11,0),0)))))</f>
        <v>0</v>
      </c>
      <c r="L359" s="364">
        <f>IF($G359="","",IF($H359=1,ROUND($G359/23,0),IF($H359=3,ROUND($G359/12,0),IF($H359=5,$G359-ROUND($G359*10/11,0),IF($H359=8,$G359,0)))))</f>
        <v>0</v>
      </c>
      <c r="M359" s="364">
        <f>IF($G359="","",IF($H359=1,ROUND($G359/23,0),IF($H359=3,ROUND($G359/12,0),IF($H359=6,$G359,IF($H359=7,$G359-ROUND($G359*10/11,0),0)))))</f>
        <v>0</v>
      </c>
      <c r="N359" s="364">
        <f>IF($G359="","",K359+L359+M359)</f>
        <v>0</v>
      </c>
      <c r="O359" s="365" t="str">
        <f>IF($G359="","",IFERROR(VLOOKUP($D359&amp;"|"&amp;$E359,科目表!$A$5:$B$200,2,FALSE),"※未登録"))</f>
        <v>事務用消耗品費</v>
      </c>
      <c r="P359" s="359">
        <f>IF(OR($G359="",$C359=""),"",IF($B359="決算整理",13,MOD(MONTH($C359)-4,12)+1))</f>
        <v>8</v>
      </c>
      <c r="Q359" s="366" t="str">
        <f>IF($G359="","",TRIM(IF(J359+K359+L359+M359&lt;&gt;$G359,"按分不一致 ","")&amp;IF(O359="※未登録","科目未登録 ","")&amp;IF(OR($H359="",ISERROR(MATCH($H359,{1,2,3,4,5,6,7,8},0))),"経費区分? ","")&amp;IF($I359="","状態未設定 ","")&amp;IF(AND(OR($I359="確認済",$I359="未確認"),$B359="月例",OR($C359="",$C359&lt;DATE(年度+2018,4,1),$C359&gt;DATE(年度+2019,3,31))),"年度外の日付 ","")&amp;IF(AND(OR($I359="確認済",$I359="未確認"),O359="対象外"),"対象外の科目 ","")))</f>
        <v/>
      </c>
      <c r="R359" s="366" t="inlineStr">
        <is>
          <t>月例!375</t>
        </is>
      </c>
    </row>
    <row r="360">
      <c r="A360" s="359" t="n">
        <v>356</v>
      </c>
      <c r="B360" s="360" t="inlineStr">
        <is>
          <t>月例</t>
        </is>
      </c>
      <c r="C360" s="361" t="n">
        <v>45975</v>
      </c>
      <c r="D360" s="362" t="inlineStr">
        <is>
          <t>普及費</t>
        </is>
      </c>
      <c r="E360" s="362" t="n"/>
      <c r="F360" s="362" t="inlineStr">
        <is>
          <t>厚生だより等印刷代分担金　互助会（第２四半期）[短期]</t>
        </is>
      </c>
      <c r="G360" s="363" t="n">
        <v>277667</v>
      </c>
      <c r="H360" s="360" t="n">
        <v>2</v>
      </c>
      <c r="I360" s="360" t="inlineStr">
        <is>
          <t>昨年実績</t>
        </is>
      </c>
      <c r="J360" s="364">
        <f>IF($G360="","",IF($H360=1,$G360-ROUND($G360*10/23,0)-2*ROUND($G360/23,0),IF($H360=2,$G360,0)))</f>
        <v>277667</v>
      </c>
      <c r="K360" s="364">
        <f>IF($G360="","",IF($H360=1,ROUND($G360*10/23,0),IF($H360=3,$G360-2*ROUND($G360/12,0),IF($H360=4,$G360,IF(OR($H360=5,$H360=7),ROUND($G360*10/11,0),0)))))</f>
        <v>0</v>
      </c>
      <c r="L360" s="364">
        <f>IF($G360="","",IF($H360=1,ROUND($G360/23,0),IF($H360=3,ROUND($G360/12,0),IF($H360=5,$G360-ROUND($G360*10/11,0),IF($H360=8,$G360,0)))))</f>
        <v>0</v>
      </c>
      <c r="M360" s="364">
        <f>IF($G360="","",IF($H360=1,ROUND($G360/23,0),IF($H360=3,ROUND($G360/12,0),IF($H360=6,$G360,IF($H360=7,$G360-ROUND($G360*10/11,0),0)))))</f>
        <v>0</v>
      </c>
      <c r="N360" s="364">
        <f>IF($G360="","",K360+L360+M360)</f>
        <v>0</v>
      </c>
      <c r="O360" s="365" t="str">
        <f>IF($G360="","",IFERROR(VLOOKUP($D360&amp;"|"&amp;$E360,科目表!$A$5:$B$200,2,FALSE),"※未登録"))</f>
        <v>普及費</v>
      </c>
      <c r="P360" s="359">
        <f>IF(OR($G360="",$C360=""),"",IF($B360="決算整理",13,MOD(MONTH($C360)-4,12)+1))</f>
        <v>8</v>
      </c>
      <c r="Q360" s="366" t="str">
        <f>IF($G360="","",TRIM(IF(J360+K360+L360+M360&lt;&gt;$G360,"按分不一致 ","")&amp;IF(O360="※未登録","科目未登録 ","")&amp;IF(OR($H360="",ISERROR(MATCH($H360,{1,2,3,4,5,6,7,8},0))),"経費区分? ","")&amp;IF($I360="","状態未設定 ","")&amp;IF(AND(OR($I360="確認済",$I360="未確認"),$B360="月例",OR($C360="",$C360&lt;DATE(年度+2018,4,1),$C360&gt;DATE(年度+2019,3,31))),"年度外の日付 ","")&amp;IF(AND(OR($I360="確認済",$I360="未確認"),O360="対象外"),"対象外の科目 ","")))</f>
        <v/>
      </c>
      <c r="R360" s="366" t="inlineStr">
        <is>
          <t>月例!376</t>
        </is>
      </c>
    </row>
    <row r="361">
      <c r="A361" s="359" t="n">
        <v>357</v>
      </c>
      <c r="B361" s="360" t="inlineStr">
        <is>
          <t>月例</t>
        </is>
      </c>
      <c r="C361" s="361" t="n">
        <v>45975</v>
      </c>
      <c r="D361" s="362" t="inlineStr">
        <is>
          <t>事務費</t>
        </is>
      </c>
      <c r="E361" s="362" t="inlineStr">
        <is>
          <t>通信運搬費</t>
        </is>
      </c>
      <c r="F361" s="362" t="inlineStr">
        <is>
          <t>ＦＡＸ電話代等分担金　互助会（第２四半期）[短期]</t>
        </is>
      </c>
      <c r="G361" s="363" t="n">
        <v>5626</v>
      </c>
      <c r="H361" s="360" t="n">
        <v>2</v>
      </c>
      <c r="I361" s="360" t="inlineStr">
        <is>
          <t>昨年実績</t>
        </is>
      </c>
      <c r="J361" s="364">
        <f>IF($G361="","",IF($H361=1,$G361-ROUND($G361*10/23,0)-2*ROUND($G361/23,0),IF($H361=2,$G361,0)))</f>
        <v>5626</v>
      </c>
      <c r="K361" s="364">
        <f>IF($G361="","",IF($H361=1,ROUND($G361*10/23,0),IF($H361=3,$G361-2*ROUND($G361/12,0),IF($H361=4,$G361,IF(OR($H361=5,$H361=7),ROUND($G361*10/11,0),0)))))</f>
        <v>0</v>
      </c>
      <c r="L361" s="364">
        <f>IF($G361="","",IF($H361=1,ROUND($G361/23,0),IF($H361=3,ROUND($G361/12,0),IF($H361=5,$G361-ROUND($G361*10/11,0),IF($H361=8,$G361,0)))))</f>
        <v>0</v>
      </c>
      <c r="M361" s="364">
        <f>IF($G361="","",IF($H361=1,ROUND($G361/23,0),IF($H361=3,ROUND($G361/12,0),IF($H361=6,$G361,IF($H361=7,$G361-ROUND($G361*10/11,0),0)))))</f>
        <v>0</v>
      </c>
      <c r="N361" s="364">
        <f>IF($G361="","",K361+L361+M361)</f>
        <v>0</v>
      </c>
      <c r="O361" s="365" t="str">
        <f>IF($G361="","",IFERROR(VLOOKUP($D361&amp;"|"&amp;$E361,科目表!$A$5:$B$200,2,FALSE),"※未登録"))</f>
        <v>通信運搬費</v>
      </c>
      <c r="P361" s="359">
        <f>IF(OR($G361="",$C361=""),"",IF($B361="決算整理",13,MOD(MONTH($C361)-4,12)+1))</f>
        <v>8</v>
      </c>
      <c r="Q361" s="366" t="str">
        <f>IF($G361="","",TRIM(IF(J361+K361+L361+M361&lt;&gt;$G361,"按分不一致 ","")&amp;IF(O361="※未登録","科目未登録 ","")&amp;IF(OR($H361="",ISERROR(MATCH($H361,{1,2,3,4,5,6,7,8},0))),"経費区分? ","")&amp;IF($I361="","状態未設定 ","")&amp;IF(AND(OR($I361="確認済",$I361="未確認"),$B361="月例",OR($C361="",$C361&lt;DATE(年度+2018,4,1),$C361&gt;DATE(年度+2019,3,31))),"年度外の日付 ","")&amp;IF(AND(OR($I361="確認済",$I361="未確認"),O361="対象外"),"対象外の科目 ","")))</f>
        <v/>
      </c>
      <c r="R361" s="366" t="inlineStr">
        <is>
          <t>月例!377</t>
        </is>
      </c>
    </row>
    <row r="362">
      <c r="A362" s="359" t="n">
        <v>358</v>
      </c>
      <c r="B362" s="360" t="inlineStr">
        <is>
          <t>月例</t>
        </is>
      </c>
      <c r="C362" s="361" t="n">
        <v>45975</v>
      </c>
      <c r="D362" s="362" t="inlineStr">
        <is>
          <t>事務費</t>
        </is>
      </c>
      <c r="E362" s="362" t="inlineStr">
        <is>
          <t>事務用消耗品費</t>
        </is>
      </c>
      <c r="F362" s="362" t="inlineStr">
        <is>
          <t>コピー用紙等購入代分担金　互助会（第２四半期）[長期]</t>
        </is>
      </c>
      <c r="G362" s="363" t="n">
        <v>184593</v>
      </c>
      <c r="H362" s="360" t="n">
        <v>3</v>
      </c>
      <c r="I362" s="360" t="inlineStr">
        <is>
          <t>昨年実績</t>
        </is>
      </c>
      <c r="J362" s="364">
        <f>IF($G362="","",IF($H362=1,$G362-ROUND($G362*10/23,0)-2*ROUND($G362/23,0),IF($H362=2,$G362,0)))</f>
        <v>0</v>
      </c>
      <c r="K362" s="364">
        <f>IF($G362="","",IF($H362=1,ROUND($G362*10/23,0),IF($H362=3,$G362-2*ROUND($G362/12,0),IF($H362=4,$G362,IF(OR($H362=5,$H362=7),ROUND($G362*10/11,0),0)))))</f>
        <v>153827</v>
      </c>
      <c r="L362" s="364">
        <f>IF($G362="","",IF($H362=1,ROUND($G362/23,0),IF($H362=3,ROUND($G362/12,0),IF($H362=5,$G362-ROUND($G362*10/11,0),IF($H362=8,$G362,0)))))</f>
        <v>15383</v>
      </c>
      <c r="M362" s="364">
        <f>IF($G362="","",IF($H362=1,ROUND($G362/23,0),IF($H362=3,ROUND($G362/12,0),IF($H362=6,$G362,IF($H362=7,$G362-ROUND($G362*10/11,0),0)))))</f>
        <v>15383</v>
      </c>
      <c r="N362" s="364">
        <f>IF($G362="","",K362+L362+M362)</f>
        <v>184593</v>
      </c>
      <c r="O362" s="365" t="str">
        <f>IF($G362="","",IFERROR(VLOOKUP($D362&amp;"|"&amp;$E362,科目表!$A$5:$B$200,2,FALSE),"※未登録"))</f>
        <v>事務用消耗品費</v>
      </c>
      <c r="P362" s="359">
        <f>IF(OR($G362="",$C362=""),"",IF($B362="決算整理",13,MOD(MONTH($C362)-4,12)+1))</f>
        <v>8</v>
      </c>
      <c r="Q362" s="366" t="str">
        <f>IF($G362="","",TRIM(IF(J362+K362+L362+M362&lt;&gt;$G362,"按分不一致 ","")&amp;IF(O362="※未登録","科目未登録 ","")&amp;IF(OR($H362="",ISERROR(MATCH($H362,{1,2,3,4,5,6,7,8},0))),"経費区分? ","")&amp;IF($I362="","状態未設定 ","")&amp;IF(AND(OR($I362="確認済",$I362="未確認"),$B362="月例",OR($C362="",$C362&lt;DATE(年度+2018,4,1),$C362&gt;DATE(年度+2019,3,31))),"年度外の日付 ","")&amp;IF(AND(OR($I362="確認済",$I362="未確認"),O362="対象外"),"対象外の科目 ","")))</f>
        <v/>
      </c>
      <c r="R362" s="366" t="inlineStr">
        <is>
          <t>月例!378</t>
        </is>
      </c>
    </row>
    <row r="363">
      <c r="A363" s="359" t="n">
        <v>359</v>
      </c>
      <c r="B363" s="360" t="inlineStr">
        <is>
          <t>月例</t>
        </is>
      </c>
      <c r="C363" s="361" t="n">
        <v>45975</v>
      </c>
      <c r="D363" s="362" t="inlineStr">
        <is>
          <t>普及費</t>
        </is>
      </c>
      <c r="E363" s="362" t="n"/>
      <c r="F363" s="362" t="inlineStr">
        <is>
          <t>厚生だより等印刷代分担金　互助会（第２四半期）[長期]</t>
        </is>
      </c>
      <c r="G363" s="363" t="n">
        <v>151989</v>
      </c>
      <c r="H363" s="360" t="n">
        <v>3</v>
      </c>
      <c r="I363" s="360" t="inlineStr">
        <is>
          <t>昨年実績</t>
        </is>
      </c>
      <c r="J363" s="364">
        <f>IF($G363="","",IF($H363=1,$G363-ROUND($G363*10/23,0)-2*ROUND($G363/23,0),IF($H363=2,$G363,0)))</f>
        <v>0</v>
      </c>
      <c r="K363" s="364">
        <f>IF($G363="","",IF($H363=1,ROUND($G363*10/23,0),IF($H363=3,$G363-2*ROUND($G363/12,0),IF($H363=4,$G363,IF(OR($H363=5,$H363=7),ROUND($G363*10/11,0),0)))))</f>
        <v>126657</v>
      </c>
      <c r="L363" s="364">
        <f>IF($G363="","",IF($H363=1,ROUND($G363/23,0),IF($H363=3,ROUND($G363/12,0),IF($H363=5,$G363-ROUND($G363*10/11,0),IF($H363=8,$G363,0)))))</f>
        <v>12666</v>
      </c>
      <c r="M363" s="364">
        <f>IF($G363="","",IF($H363=1,ROUND($G363/23,0),IF($H363=3,ROUND($G363/12,0),IF($H363=6,$G363,IF($H363=7,$G363-ROUND($G363*10/11,0),0)))))</f>
        <v>12666</v>
      </c>
      <c r="N363" s="364">
        <f>IF($G363="","",K363+L363+M363)</f>
        <v>151989</v>
      </c>
      <c r="O363" s="365" t="str">
        <f>IF($G363="","",IFERROR(VLOOKUP($D363&amp;"|"&amp;$E363,科目表!$A$5:$B$200,2,FALSE),"※未登録"))</f>
        <v>普及費</v>
      </c>
      <c r="P363" s="359">
        <f>IF(OR($G363="",$C363=""),"",IF($B363="決算整理",13,MOD(MONTH($C363)-4,12)+1))</f>
        <v>8</v>
      </c>
      <c r="Q363" s="366" t="str">
        <f>IF($G363="","",TRIM(IF(J363+K363+L363+M363&lt;&gt;$G363,"按分不一致 ","")&amp;IF(O363="※未登録","科目未登録 ","")&amp;IF(OR($H363="",ISERROR(MATCH($H363,{1,2,3,4,5,6,7,8},0))),"経費区分? ","")&amp;IF($I363="","状態未設定 ","")&amp;IF(AND(OR($I363="確認済",$I363="未確認"),$B363="月例",OR($C363="",$C363&lt;DATE(年度+2018,4,1),$C363&gt;DATE(年度+2019,3,31))),"年度外の日付 ","")&amp;IF(AND(OR($I363="確認済",$I363="未確認"),O363="対象外"),"対象外の科目 ","")))</f>
        <v/>
      </c>
      <c r="R363" s="366" t="inlineStr">
        <is>
          <t>月例!379</t>
        </is>
      </c>
    </row>
    <row r="364">
      <c r="A364" s="359" t="n">
        <v>360</v>
      </c>
      <c r="B364" s="360" t="inlineStr">
        <is>
          <t>月例</t>
        </is>
      </c>
      <c r="C364" s="361" t="n">
        <v>45975</v>
      </c>
      <c r="D364" s="362" t="inlineStr">
        <is>
          <t>事務費</t>
        </is>
      </c>
      <c r="E364" s="362" t="inlineStr">
        <is>
          <t>通信運搬費</t>
        </is>
      </c>
      <c r="F364" s="362" t="inlineStr">
        <is>
          <t>ＦＡＸ電話代等分担金　互助会（第２四半期）[長期]</t>
        </is>
      </c>
      <c r="G364" s="363" t="n">
        <v>5626</v>
      </c>
      <c r="H364" s="360" t="n">
        <v>3</v>
      </c>
      <c r="I364" s="360" t="inlineStr">
        <is>
          <t>昨年実績</t>
        </is>
      </c>
      <c r="J364" s="364">
        <f>IF($G364="","",IF($H364=1,$G364-ROUND($G364*10/23,0)-2*ROUND($G364/23,0),IF($H364=2,$G364,0)))</f>
        <v>0</v>
      </c>
      <c r="K364" s="364">
        <f>IF($G364="","",IF($H364=1,ROUND($G364*10/23,0),IF($H364=3,$G364-2*ROUND($G364/12,0),IF($H364=4,$G364,IF(OR($H364=5,$H364=7),ROUND($G364*10/11,0),0)))))</f>
        <v>4688</v>
      </c>
      <c r="L364" s="364">
        <f>IF($G364="","",IF($H364=1,ROUND($G364/23,0),IF($H364=3,ROUND($G364/12,0),IF($H364=5,$G364-ROUND($G364*10/11,0),IF($H364=8,$G364,0)))))</f>
        <v>469</v>
      </c>
      <c r="M364" s="364">
        <f>IF($G364="","",IF($H364=1,ROUND($G364/23,0),IF($H364=3,ROUND($G364/12,0),IF($H364=6,$G364,IF($H364=7,$G364-ROUND($G364*10/11,0),0)))))</f>
        <v>469</v>
      </c>
      <c r="N364" s="364">
        <f>IF($G364="","",K364+L364+M364)</f>
        <v>5626</v>
      </c>
      <c r="O364" s="365" t="str">
        <f>IF($G364="","",IFERROR(VLOOKUP($D364&amp;"|"&amp;$E364,科目表!$A$5:$B$200,2,FALSE),"※未登録"))</f>
        <v>通信運搬費</v>
      </c>
      <c r="P364" s="359">
        <f>IF(OR($G364="",$C364=""),"",IF($B364="決算整理",13,MOD(MONTH($C364)-4,12)+1))</f>
        <v>8</v>
      </c>
      <c r="Q364" s="366" t="str">
        <f>IF($G364="","",TRIM(IF(J364+K364+L364+M364&lt;&gt;$G364,"按分不一致 ","")&amp;IF(O364="※未登録","科目未登録 ","")&amp;IF(OR($H364="",ISERROR(MATCH($H364,{1,2,3,4,5,6,7,8},0))),"経費区分? ","")&amp;IF($I364="","状態未設定 ","")&amp;IF(AND(OR($I364="確認済",$I364="未確認"),$B364="月例",OR($C364="",$C364&lt;DATE(年度+2018,4,1),$C364&gt;DATE(年度+2019,3,31))),"年度外の日付 ","")&amp;IF(AND(OR($I364="確認済",$I364="未確認"),O364="対象外"),"対象外の科目 ","")))</f>
        <v/>
      </c>
      <c r="R364" s="366" t="inlineStr">
        <is>
          <t>月例!380</t>
        </is>
      </c>
    </row>
    <row r="365">
      <c r="A365" s="359" t="n">
        <v>361</v>
      </c>
      <c r="B365" s="360" t="inlineStr">
        <is>
          <t>月例</t>
        </is>
      </c>
      <c r="C365" s="361" t="n">
        <v>44515</v>
      </c>
      <c r="D365" s="362" t="inlineStr">
        <is>
          <t>厚生費</t>
        </is>
      </c>
      <c r="E365" s="362" t="inlineStr">
        <is>
          <t>健康診断費</t>
        </is>
      </c>
      <c r="F365" s="362" t="inlineStr">
        <is>
          <t>人間ドック自己負担超分（上久保）</t>
        </is>
      </c>
      <c r="G365" s="363" t="n">
        <v>8900</v>
      </c>
      <c r="H365" s="360" t="n">
        <v>3</v>
      </c>
      <c r="I365" s="360" t="inlineStr">
        <is>
          <t>昨年実績</t>
        </is>
      </c>
      <c r="J365" s="364">
        <f>IF($G365="","",IF($H365=1,$G365-ROUND($G365*10/23,0)-2*ROUND($G365/23,0),IF($H365=2,$G365,0)))</f>
        <v>0</v>
      </c>
      <c r="K365" s="364">
        <f>IF($G365="","",IF($H365=1,ROUND($G365*10/23,0),IF($H365=3,$G365-2*ROUND($G365/12,0),IF($H365=4,$G365,IF(OR($H365=5,$H365=7),ROUND($G365*10/11,0),0)))))</f>
        <v>7416</v>
      </c>
      <c r="L365" s="364">
        <f>IF($G365="","",IF($H365=1,ROUND($G365/23,0),IF($H365=3,ROUND($G365/12,0),IF($H365=5,$G365-ROUND($G365*10/11,0),IF($H365=8,$G365,0)))))</f>
        <v>742</v>
      </c>
      <c r="M365" s="364">
        <f>IF($G365="","",IF($H365=1,ROUND($G365/23,0),IF($H365=3,ROUND($G365/12,0),IF($H365=6,$G365,IF($H365=7,$G365-ROUND($G365*10/11,0),0)))))</f>
        <v>742</v>
      </c>
      <c r="N365" s="364">
        <f>IF($G365="","",K365+L365+M365)</f>
        <v>8900</v>
      </c>
      <c r="O365" s="365" t="str">
        <f>IF($G365="","",IFERROR(VLOOKUP($D365&amp;"|"&amp;$E365,科目表!$A$5:$B$200,2,FALSE),"※未登録"))</f>
        <v>厚生費</v>
      </c>
      <c r="P365" s="359">
        <f>IF(OR($G365="",$C365=""),"",IF($B365="決算整理",13,MOD(MONTH($C365)-4,12)+1))</f>
        <v>8</v>
      </c>
      <c r="Q365" s="366" t="str">
        <f>IF($G365="","",TRIM(IF(J365+K365+L365+M365&lt;&gt;$G365,"按分不一致 ","")&amp;IF(O365="※未登録","科目未登録 ","")&amp;IF(OR($H365="",ISERROR(MATCH($H365,{1,2,3,4,5,6,7,8},0))),"経費区分? ","")&amp;IF($I365="","状態未設定 ","")&amp;IF(AND(OR($I365="確認済",$I365="未確認"),$B365="月例",OR($C365="",$C365&lt;DATE(年度+2018,4,1),$C365&gt;DATE(年度+2019,3,31))),"年度外の日付 ","")&amp;IF(AND(OR($I365="確認済",$I365="未確認"),O365="対象外"),"対象外の科目 ","")))</f>
        <v/>
      </c>
      <c r="R365" s="366" t="inlineStr">
        <is>
          <t>月例!381</t>
        </is>
      </c>
    </row>
    <row r="366">
      <c r="A366" s="359" t="n">
        <v>362</v>
      </c>
      <c r="B366" s="360" t="inlineStr">
        <is>
          <t>月例</t>
        </is>
      </c>
      <c r="C366" s="361" t="n">
        <v>45625</v>
      </c>
      <c r="D366" s="362" t="inlineStr">
        <is>
          <t>事務費</t>
        </is>
      </c>
      <c r="E366" s="362" t="inlineStr">
        <is>
          <t>事務用消耗品費</t>
        </is>
      </c>
      <c r="F366" s="362" t="inlineStr">
        <is>
          <t>プリンタ（リース満了品）</t>
        </is>
      </c>
      <c r="G366" s="363" t="n">
        <v>22000</v>
      </c>
      <c r="H366" s="360" t="n">
        <v>2</v>
      </c>
      <c r="I366" s="360" t="inlineStr">
        <is>
          <t>昨年実績</t>
        </is>
      </c>
      <c r="J366" s="364">
        <f>IF($G366="","",IF($H366=1,$G366-ROUND($G366*10/23,0)-2*ROUND($G366/23,0),IF($H366=2,$G366,0)))</f>
        <v>22000</v>
      </c>
      <c r="K366" s="364">
        <f>IF($G366="","",IF($H366=1,ROUND($G366*10/23,0),IF($H366=3,$G366-2*ROUND($G366/12,0),IF($H366=4,$G366,IF(OR($H366=5,$H366=7),ROUND($G366*10/11,0),0)))))</f>
        <v>0</v>
      </c>
      <c r="L366" s="364">
        <f>IF($G366="","",IF($H366=1,ROUND($G366/23,0),IF($H366=3,ROUND($G366/12,0),IF($H366=5,$G366-ROUND($G366*10/11,0),IF($H366=8,$G366,0)))))</f>
        <v>0</v>
      </c>
      <c r="M366" s="364">
        <f>IF($G366="","",IF($H366=1,ROUND($G366/23,0),IF($H366=3,ROUND($G366/12,0),IF($H366=6,$G366,IF($H366=7,$G366-ROUND($G366*10/11,0),0)))))</f>
        <v>0</v>
      </c>
      <c r="N366" s="364">
        <f>IF($G366="","",K366+L366+M366)</f>
        <v>0</v>
      </c>
      <c r="O366" s="365" t="str">
        <f>IF($G366="","",IFERROR(VLOOKUP($D366&amp;"|"&amp;$E366,科目表!$A$5:$B$200,2,FALSE),"※未登録"))</f>
        <v>事務用消耗品費</v>
      </c>
      <c r="P366" s="359">
        <f>IF(OR($G366="",$C366=""),"",IF($B366="決算整理",13,MOD(MONTH($C366)-4,12)+1))</f>
        <v>8</v>
      </c>
      <c r="Q366" s="366" t="str">
        <f>IF($G366="","",TRIM(IF(J366+K366+L366+M366&lt;&gt;$G366,"按分不一致 ","")&amp;IF(O366="※未登録","科目未登録 ","")&amp;IF(OR($H366="",ISERROR(MATCH($H366,{1,2,3,4,5,6,7,8},0))),"経費区分? ","")&amp;IF($I366="","状態未設定 ","")&amp;IF(AND(OR($I366="確認済",$I366="未確認"),$B366="月例",OR($C366="",$C366&lt;DATE(年度+2018,4,1),$C366&gt;DATE(年度+2019,3,31))),"年度外の日付 ","")&amp;IF(AND(OR($I366="確認済",$I366="未確認"),O366="対象外"),"対象外の科目 ","")))</f>
        <v/>
      </c>
      <c r="R366" s="366" t="inlineStr">
        <is>
          <t>月例!382</t>
        </is>
      </c>
    </row>
    <row r="367">
      <c r="A367" s="359" t="n">
        <v>363</v>
      </c>
      <c r="B367" s="360" t="inlineStr">
        <is>
          <t>月例</t>
        </is>
      </c>
      <c r="C367" s="361" t="n">
        <v>45989</v>
      </c>
      <c r="D367" s="362" t="inlineStr">
        <is>
          <t>委託費</t>
        </is>
      </c>
      <c r="E367" s="362" t="n"/>
      <c r="F367" s="362" t="inlineStr">
        <is>
          <t>ねんきん定期便（１０月分）送付業務</t>
        </is>
      </c>
      <c r="G367" s="363" t="n">
        <v>84947</v>
      </c>
      <c r="H367" s="360" t="n">
        <v>5</v>
      </c>
      <c r="I367" s="360" t="inlineStr">
        <is>
          <t>昨年実績</t>
        </is>
      </c>
      <c r="J367" s="364">
        <f>IF($G367="","",IF($H367=1,$G367-ROUND($G367*10/23,0)-2*ROUND($G367/23,0),IF($H367=2,$G367,0)))</f>
        <v>0</v>
      </c>
      <c r="K367" s="364">
        <f>IF($G367="","",IF($H367=1,ROUND($G367*10/23,0),IF($H367=3,$G367-2*ROUND($G367/12,0),IF($H367=4,$G367,IF(OR($H367=5,$H367=7),ROUND($G367*10/11,0),0)))))</f>
        <v>77225</v>
      </c>
      <c r="L367" s="364">
        <f>IF($G367="","",IF($H367=1,ROUND($G367/23,0),IF($H367=3,ROUND($G367/12,0),IF($H367=5,$G367-ROUND($G367*10/11,0),IF($H367=8,$G367,0)))))</f>
        <v>7722</v>
      </c>
      <c r="M367" s="364">
        <f>IF($G367="","",IF($H367=1,ROUND($G367/23,0),IF($H367=3,ROUND($G367/12,0),IF($H367=6,$G367,IF($H367=7,$G367-ROUND($G367*10/11,0),0)))))</f>
        <v>0</v>
      </c>
      <c r="N367" s="364">
        <f>IF($G367="","",K367+L367+M367)</f>
        <v>84947</v>
      </c>
      <c r="O367" s="365" t="str">
        <f>IF($G367="","",IFERROR(VLOOKUP($D367&amp;"|"&amp;$E367,科目表!$A$5:$B$200,2,FALSE),"※未登録"))</f>
        <v>委託費</v>
      </c>
      <c r="P367" s="359">
        <f>IF(OR($G367="",$C367=""),"",IF($B367="決算整理",13,MOD(MONTH($C367)-4,12)+1))</f>
        <v>8</v>
      </c>
      <c r="Q367" s="366" t="str">
        <f>IF($G367="","",TRIM(IF(J367+K367+L367+M367&lt;&gt;$G367,"按分不一致 ","")&amp;IF(O367="※未登録","科目未登録 ","")&amp;IF(OR($H367="",ISERROR(MATCH($H367,{1,2,3,4,5,6,7,8},0))),"経費区分? ","")&amp;IF($I367="","状態未設定 ","")&amp;IF(AND(OR($I367="確認済",$I367="未確認"),$B367="月例",OR($C367="",$C367&lt;DATE(年度+2018,4,1),$C367&gt;DATE(年度+2019,3,31))),"年度外の日付 ","")&amp;IF(AND(OR($I367="確認済",$I367="未確認"),O367="対象外"),"対象外の科目 ","")))</f>
        <v/>
      </c>
      <c r="R367" s="366" t="inlineStr">
        <is>
          <t>月例!383</t>
        </is>
      </c>
    </row>
    <row r="368">
      <c r="A368" s="359" t="n">
        <v>364</v>
      </c>
      <c r="B368" s="360" t="inlineStr">
        <is>
          <t>月例</t>
        </is>
      </c>
      <c r="C368" s="361" t="n">
        <v>45989</v>
      </c>
      <c r="D368" s="362" t="inlineStr">
        <is>
          <t>賃借料</t>
        </is>
      </c>
      <c r="E368" s="362" t="n"/>
      <c r="F368" s="362" t="inlineStr">
        <is>
          <t>パソコン（業務経理用）１０月分</t>
        </is>
      </c>
      <c r="G368" s="363" t="n">
        <v>5060</v>
      </c>
      <c r="H368" s="360" t="n">
        <v>2</v>
      </c>
      <c r="I368" s="360" t="inlineStr">
        <is>
          <t>昨年実績</t>
        </is>
      </c>
      <c r="J368" s="364">
        <f>IF($G368="","",IF($H368=1,$G368-ROUND($G368*10/23,0)-2*ROUND($G368/23,0),IF($H368=2,$G368,0)))</f>
        <v>5060</v>
      </c>
      <c r="K368" s="364">
        <f>IF($G368="","",IF($H368=1,ROUND($G368*10/23,0),IF($H368=3,$G368-2*ROUND($G368/12,0),IF($H368=4,$G368,IF(OR($H368=5,$H368=7),ROUND($G368*10/11,0),0)))))</f>
        <v>0</v>
      </c>
      <c r="L368" s="364">
        <f>IF($G368="","",IF($H368=1,ROUND($G368/23,0),IF($H368=3,ROUND($G368/12,0),IF($H368=5,$G368-ROUND($G368*10/11,0),IF($H368=8,$G368,0)))))</f>
        <v>0</v>
      </c>
      <c r="M368" s="364">
        <f>IF($G368="","",IF($H368=1,ROUND($G368/23,0),IF($H368=3,ROUND($G368/12,0),IF($H368=6,$G368,IF($H368=7,$G368-ROUND($G368*10/11,0),0)))))</f>
        <v>0</v>
      </c>
      <c r="N368" s="364">
        <f>IF($G368="","",K368+L368+M368)</f>
        <v>0</v>
      </c>
      <c r="O368" s="365" t="str">
        <f>IF($G368="","",IFERROR(VLOOKUP($D368&amp;"|"&amp;$E368,科目表!$A$5:$B$200,2,FALSE),"※未登録"))</f>
        <v>賃借料</v>
      </c>
      <c r="P368" s="359">
        <f>IF(OR($G368="",$C368=""),"",IF($B368="決算整理",13,MOD(MONTH($C368)-4,12)+1))</f>
        <v>8</v>
      </c>
      <c r="Q368" s="366" t="str">
        <f>IF($G368="","",TRIM(IF(J368+K368+L368+M368&lt;&gt;$G368,"按分不一致 ","")&amp;IF(O368="※未登録","科目未登録 ","")&amp;IF(OR($H368="",ISERROR(MATCH($H368,{1,2,3,4,5,6,7,8},0))),"経費区分? ","")&amp;IF($I368="","状態未設定 ","")&amp;IF(AND(OR($I368="確認済",$I368="未確認"),$B368="月例",OR($C368="",$C368&lt;DATE(年度+2018,4,1),$C368&gt;DATE(年度+2019,3,31))),"年度外の日付 ","")&amp;IF(AND(OR($I368="確認済",$I368="未確認"),O368="対象外"),"対象外の科目 ","")))</f>
        <v/>
      </c>
      <c r="R368" s="366" t="inlineStr">
        <is>
          <t>月例!384</t>
        </is>
      </c>
    </row>
    <row r="369">
      <c r="A369" s="359" t="n">
        <v>365</v>
      </c>
      <c r="B369" s="360" t="inlineStr">
        <is>
          <t>月例</t>
        </is>
      </c>
      <c r="C369" s="361" t="n">
        <v>45975</v>
      </c>
      <c r="D369" s="362" t="inlineStr">
        <is>
          <t>賃金</t>
        </is>
      </c>
      <c r="E369" s="362" t="n"/>
      <c r="F369" s="362" t="inlineStr">
        <is>
          <t>臨時職員賃金１０月分　佐藤幸恵外１名分（短期１００％）</t>
        </is>
      </c>
      <c r="G369" s="363" t="n">
        <v>416580</v>
      </c>
      <c r="H369" s="360" t="n">
        <v>2</v>
      </c>
      <c r="I369" s="360" t="inlineStr">
        <is>
          <t>昨年実績</t>
        </is>
      </c>
      <c r="J369" s="364">
        <f>IF($G369="","",IF($H369=1,$G369-ROUND($G369*10/23,0)-2*ROUND($G369/23,0),IF($H369=2,$G369,0)))</f>
        <v>416580</v>
      </c>
      <c r="K369" s="364">
        <f>IF($G369="","",IF($H369=1,ROUND($G369*10/23,0),IF($H369=3,$G369-2*ROUND($G369/12,0),IF($H369=4,$G369,IF(OR($H369=5,$H369=7),ROUND($G369*10/11,0),0)))))</f>
        <v>0</v>
      </c>
      <c r="L369" s="364">
        <f>IF($G369="","",IF($H369=1,ROUND($G369/23,0),IF($H369=3,ROUND($G369/12,0),IF($H369=5,$G369-ROUND($G369*10/11,0),IF($H369=8,$G369,0)))))</f>
        <v>0</v>
      </c>
      <c r="M369" s="364">
        <f>IF($G369="","",IF($H369=1,ROUND($G369/23,0),IF($H369=3,ROUND($G369/12,0),IF($H369=6,$G369,IF($H369=7,$G369-ROUND($G369*10/11,0),0)))))</f>
        <v>0</v>
      </c>
      <c r="N369" s="364">
        <f>IF($G369="","",K369+L369+M369)</f>
        <v>0</v>
      </c>
      <c r="O369" s="365" t="str">
        <f>IF($G369="","",IFERROR(VLOOKUP($D369&amp;"|"&amp;$E369,科目表!$A$5:$B$200,2,FALSE),"※未登録"))</f>
        <v>賃金</v>
      </c>
      <c r="P369" s="359">
        <f>IF(OR($G369="",$C369=""),"",IF($B369="決算整理",13,MOD(MONTH($C369)-4,12)+1))</f>
        <v>8</v>
      </c>
      <c r="Q369" s="366" t="str">
        <f>IF($G369="","",TRIM(IF(J369+K369+L369+M369&lt;&gt;$G369,"按分不一致 ","")&amp;IF(O369="※未登録","科目未登録 ","")&amp;IF(OR($H369="",ISERROR(MATCH($H369,{1,2,3,4,5,6,7,8},0))),"経費区分? ","")&amp;IF($I369="","状態未設定 ","")&amp;IF(AND(OR($I369="確認済",$I369="未確認"),$B369="月例",OR($C369="",$C369&lt;DATE(年度+2018,4,1),$C369&gt;DATE(年度+2019,3,31))),"年度外の日付 ","")&amp;IF(AND(OR($I369="確認済",$I369="未確認"),O369="対象外"),"対象外の科目 ","")))</f>
        <v/>
      </c>
      <c r="R369" s="366" t="inlineStr">
        <is>
          <t>月例!385</t>
        </is>
      </c>
    </row>
    <row r="370">
      <c r="A370" s="359" t="n">
        <v>366</v>
      </c>
      <c r="B370" s="360" t="inlineStr">
        <is>
          <t>月例</t>
        </is>
      </c>
      <c r="C370" s="361" t="n">
        <v>44522</v>
      </c>
      <c r="D370" s="362" t="inlineStr">
        <is>
          <t>事務費</t>
        </is>
      </c>
      <c r="E370" s="362" t="inlineStr">
        <is>
          <t>通信運搬費</t>
        </is>
      </c>
      <c r="F370" s="362" t="inlineStr">
        <is>
          <t>電話料金（１０月使用・１１月請求分）</t>
        </is>
      </c>
      <c r="G370" s="363" t="n">
        <v>5408</v>
      </c>
      <c r="H370" s="360" t="n">
        <v>2</v>
      </c>
      <c r="I370" s="360" t="inlineStr">
        <is>
          <t>昨年実績</t>
        </is>
      </c>
      <c r="J370" s="364">
        <f>IF($G370="","",IF($H370=1,$G370-ROUND($G370*10/23,0)-2*ROUND($G370/23,0),IF($H370=2,$G370,0)))</f>
        <v>5408</v>
      </c>
      <c r="K370" s="364">
        <f>IF($G370="","",IF($H370=1,ROUND($G370*10/23,0),IF($H370=3,$G370-2*ROUND($G370/12,0),IF($H370=4,$G370,IF(OR($H370=5,$H370=7),ROUND($G370*10/11,0),0)))))</f>
        <v>0</v>
      </c>
      <c r="L370" s="364">
        <f>IF($G370="","",IF($H370=1,ROUND($G370/23,0),IF($H370=3,ROUND($G370/12,0),IF($H370=5,$G370-ROUND($G370*10/11,0),IF($H370=8,$G370,0)))))</f>
        <v>0</v>
      </c>
      <c r="M370" s="364">
        <f>IF($G370="","",IF($H370=1,ROUND($G370/23,0),IF($H370=3,ROUND($G370/12,0),IF($H370=6,$G370,IF($H370=7,$G370-ROUND($G370*10/11,0),0)))))</f>
        <v>0</v>
      </c>
      <c r="N370" s="364">
        <f>IF($G370="","",K370+L370+M370)</f>
        <v>0</v>
      </c>
      <c r="O370" s="365" t="str">
        <f>IF($G370="","",IFERROR(VLOOKUP($D370&amp;"|"&amp;$E370,科目表!$A$5:$B$200,2,FALSE),"※未登録"))</f>
        <v>通信運搬費</v>
      </c>
      <c r="P370" s="359">
        <f>IF(OR($G370="",$C370=""),"",IF($B370="決算整理",13,MOD(MONTH($C370)-4,12)+1))</f>
        <v>8</v>
      </c>
      <c r="Q370" s="366" t="str">
        <f>IF($G370="","",TRIM(IF(J370+K370+L370+M370&lt;&gt;$G370,"按分不一致 ","")&amp;IF(O370="※未登録","科目未登録 ","")&amp;IF(OR($H370="",ISERROR(MATCH($H370,{1,2,3,4,5,6,7,8},0))),"経費区分? ","")&amp;IF($I370="","状態未設定 ","")&amp;IF(AND(OR($I370="確認済",$I370="未確認"),$B370="月例",OR($C370="",$C370&lt;DATE(年度+2018,4,1),$C370&gt;DATE(年度+2019,3,31))),"年度外の日付 ","")&amp;IF(AND(OR($I370="確認済",$I370="未確認"),O370="対象外"),"対象外の科目 ","")))</f>
        <v/>
      </c>
      <c r="R370" s="366" t="inlineStr">
        <is>
          <t>月例!386</t>
        </is>
      </c>
    </row>
    <row r="371">
      <c r="A371" s="359" t="n">
        <v>367</v>
      </c>
      <c r="B371" s="360" t="inlineStr">
        <is>
          <t>月例</t>
        </is>
      </c>
      <c r="C371" s="361" t="n">
        <v>45981</v>
      </c>
      <c r="D371" s="362" t="inlineStr">
        <is>
          <t>委託費</t>
        </is>
      </c>
      <c r="E371" s="362" t="n"/>
      <c r="F371" s="362" t="inlineStr">
        <is>
          <t>レセプト電子データ提供料（８月診療分）</t>
        </is>
      </c>
      <c r="G371" s="363" t="n">
        <v>56116</v>
      </c>
      <c r="H371" s="360" t="n">
        <v>2</v>
      </c>
      <c r="I371" s="360" t="inlineStr">
        <is>
          <t>昨年実績</t>
        </is>
      </c>
      <c r="J371" s="364">
        <f>IF($G371="","",IF($H371=1,$G371-ROUND($G371*10/23,0)-2*ROUND($G371/23,0),IF($H371=2,$G371,0)))</f>
        <v>56116</v>
      </c>
      <c r="K371" s="364">
        <f>IF($G371="","",IF($H371=1,ROUND($G371*10/23,0),IF($H371=3,$G371-2*ROUND($G371/12,0),IF($H371=4,$G371,IF(OR($H371=5,$H371=7),ROUND($G371*10/11,0),0)))))</f>
        <v>0</v>
      </c>
      <c r="L371" s="364">
        <f>IF($G371="","",IF($H371=1,ROUND($G371/23,0),IF($H371=3,ROUND($G371/12,0),IF($H371=5,$G371-ROUND($G371*10/11,0),IF($H371=8,$G371,0)))))</f>
        <v>0</v>
      </c>
      <c r="M371" s="364">
        <f>IF($G371="","",IF($H371=1,ROUND($G371/23,0),IF($H371=3,ROUND($G371/12,0),IF($H371=6,$G371,IF($H371=7,$G371-ROUND($G371*10/11,0),0)))))</f>
        <v>0</v>
      </c>
      <c r="N371" s="364">
        <f>IF($G371="","",K371+L371+M371)</f>
        <v>0</v>
      </c>
      <c r="O371" s="365" t="str">
        <f>IF($G371="","",IFERROR(VLOOKUP($D371&amp;"|"&amp;$E371,科目表!$A$5:$B$200,2,FALSE),"※未登録"))</f>
        <v>委託費</v>
      </c>
      <c r="P371" s="359">
        <f>IF(OR($G371="",$C371=""),"",IF($B371="決算整理",13,MOD(MONTH($C371)-4,12)+1))</f>
        <v>8</v>
      </c>
      <c r="Q371" s="366" t="str">
        <f>IF($G371="","",TRIM(IF(J371+K371+L371+M371&lt;&gt;$G371,"按分不一致 ","")&amp;IF(O371="※未登録","科目未登録 ","")&amp;IF(OR($H371="",ISERROR(MATCH($H371,{1,2,3,4,5,6,7,8},0))),"経費区分? ","")&amp;IF($I371="","状態未設定 ","")&amp;IF(AND(OR($I371="確認済",$I371="未確認"),$B371="月例",OR($C371="",$C371&lt;DATE(年度+2018,4,1),$C371&gt;DATE(年度+2019,3,31))),"年度外の日付 ","")&amp;IF(AND(OR($I371="確認済",$I371="未確認"),O371="対象外"),"対象外の科目 ","")))</f>
        <v/>
      </c>
      <c r="R371" s="366" t="inlineStr">
        <is>
          <t>月例!387</t>
        </is>
      </c>
    </row>
    <row r="372">
      <c r="A372" s="359" t="n">
        <v>368</v>
      </c>
      <c r="B372" s="360" t="inlineStr">
        <is>
          <t>月例</t>
        </is>
      </c>
      <c r="C372" s="361" t="n">
        <v>44154</v>
      </c>
      <c r="D372" s="362" t="inlineStr">
        <is>
          <t>委託費</t>
        </is>
      </c>
      <c r="E372" s="362" t="n"/>
      <c r="F372" s="362" t="inlineStr">
        <is>
          <t>社会保障等制度情報提供手数料（７～９月分）</t>
        </is>
      </c>
      <c r="G372" s="363" t="n">
        <v>40</v>
      </c>
      <c r="H372" s="360" t="n">
        <v>2</v>
      </c>
      <c r="I372" s="360" t="inlineStr">
        <is>
          <t>昨年実績</t>
        </is>
      </c>
      <c r="J372" s="364">
        <f>IF($G372="","",IF($H372=1,$G372-ROUND($G372*10/23,0)-2*ROUND($G372/23,0),IF($H372=2,$G372,0)))</f>
        <v>40</v>
      </c>
      <c r="K372" s="364">
        <f>IF($G372="","",IF($H372=1,ROUND($G372*10/23,0),IF($H372=3,$G372-2*ROUND($G372/12,0),IF($H372=4,$G372,IF(OR($H372=5,$H372=7),ROUND($G372*10/11,0),0)))))</f>
        <v>0</v>
      </c>
      <c r="L372" s="364">
        <f>IF($G372="","",IF($H372=1,ROUND($G372/23,0),IF($H372=3,ROUND($G372/12,0),IF($H372=5,$G372-ROUND($G372*10/11,0),IF($H372=8,$G372,0)))))</f>
        <v>0</v>
      </c>
      <c r="M372" s="364">
        <f>IF($G372="","",IF($H372=1,ROUND($G372/23,0),IF($H372=3,ROUND($G372/12,0),IF($H372=6,$G372,IF($H372=7,$G372-ROUND($G372*10/11,0),0)))))</f>
        <v>0</v>
      </c>
      <c r="N372" s="364">
        <f>IF($G372="","",K372+L372+M372)</f>
        <v>0</v>
      </c>
      <c r="O372" s="365" t="str">
        <f>IF($G372="","",IFERROR(VLOOKUP($D372&amp;"|"&amp;$E372,科目表!$A$5:$B$200,2,FALSE),"※未登録"))</f>
        <v>委託費</v>
      </c>
      <c r="P372" s="359">
        <f>IF(OR($G372="",$C372=""),"",IF($B372="決算整理",13,MOD(MONTH($C372)-4,12)+1))</f>
        <v>8</v>
      </c>
      <c r="Q372" s="366" t="str">
        <f>IF($G372="","",TRIM(IF(J372+K372+L372+M372&lt;&gt;$G372,"按分不一致 ","")&amp;IF(O372="※未登録","科目未登録 ","")&amp;IF(OR($H372="",ISERROR(MATCH($H372,{1,2,3,4,5,6,7,8},0))),"経費区分? ","")&amp;IF($I372="","状態未設定 ","")&amp;IF(AND(OR($I372="確認済",$I372="未確認"),$B372="月例",OR($C372="",$C372&lt;DATE(年度+2018,4,1),$C372&gt;DATE(年度+2019,3,31))),"年度外の日付 ","")&amp;IF(AND(OR($I372="確認済",$I372="未確認"),O372="対象外"),"対象外の科目 ","")))</f>
        <v/>
      </c>
      <c r="R372" s="366" t="inlineStr">
        <is>
          <t>月例!388</t>
        </is>
      </c>
    </row>
    <row r="373">
      <c r="A373" s="359" t="n">
        <v>369</v>
      </c>
      <c r="B373" s="360" t="inlineStr">
        <is>
          <t>月例</t>
        </is>
      </c>
      <c r="C373" s="361" t="n">
        <v>45982</v>
      </c>
      <c r="D373" s="362" t="inlineStr">
        <is>
          <t>職員給与</t>
        </is>
      </c>
      <c r="E373" s="362" t="inlineStr">
        <is>
          <t>非常勤職員手当</t>
        </is>
      </c>
      <c r="F373" s="362" t="inlineStr">
        <is>
          <t>11月分給与（長期分）</t>
        </is>
      </c>
      <c r="G373" s="363" t="n">
        <v>381773</v>
      </c>
      <c r="H373" s="360" t="n">
        <v>3</v>
      </c>
      <c r="I373" s="360" t="inlineStr">
        <is>
          <t>昨年実績</t>
        </is>
      </c>
      <c r="J373" s="364">
        <f>IF($G373="","",IF($H373=1,$G373-ROUND($G373*10/23,0)-2*ROUND($G373/23,0),IF($H373=2,$G373,0)))</f>
        <v>0</v>
      </c>
      <c r="K373" s="364">
        <f>IF($G373="","",IF($H373=1,ROUND($G373*10/23,0),IF($H373=3,$G373-2*ROUND($G373/12,0),IF($H373=4,$G373,IF(OR($H373=5,$H373=7),ROUND($G373*10/11,0),0)))))</f>
        <v>318145</v>
      </c>
      <c r="L373" s="364">
        <f>IF($G373="","",IF($H373=1,ROUND($G373/23,0),IF($H373=3,ROUND($G373/12,0),IF($H373=5,$G373-ROUND($G373*10/11,0),IF($H373=8,$G373,0)))))</f>
        <v>31814</v>
      </c>
      <c r="M373" s="364">
        <f>IF($G373="","",IF($H373=1,ROUND($G373/23,0),IF($H373=3,ROUND($G373/12,0),IF($H373=6,$G373,IF($H373=7,$G373-ROUND($G373*10/11,0),0)))))</f>
        <v>31814</v>
      </c>
      <c r="N373" s="364">
        <f>IF($G373="","",K373+L373+M373)</f>
        <v>381773</v>
      </c>
      <c r="O373" s="365" t="str">
        <f>IF($G373="","",IFERROR(VLOOKUP($D373&amp;"|"&amp;$E373,科目表!$A$5:$B$200,2,FALSE),"※未登録"))</f>
        <v>非常勤職員手当</v>
      </c>
      <c r="P373" s="359">
        <f>IF(OR($G373="",$C373=""),"",IF($B373="決算整理",13,MOD(MONTH($C373)-4,12)+1))</f>
        <v>8</v>
      </c>
      <c r="Q373" s="366" t="str">
        <f>IF($G373="","",TRIM(IF(J373+K373+L373+M373&lt;&gt;$G373,"按分不一致 ","")&amp;IF(O373="※未登録","科目未登録 ","")&amp;IF(OR($H373="",ISERROR(MATCH($H373,{1,2,3,4,5,6,7,8},0))),"経費区分? ","")&amp;IF($I373="","状態未設定 ","")&amp;IF(AND(OR($I373="確認済",$I373="未確認"),$B373="月例",OR($C373="",$C373&lt;DATE(年度+2018,4,1),$C373&gt;DATE(年度+2019,3,31))),"年度外の日付 ","")&amp;IF(AND(OR($I373="確認済",$I373="未確認"),O373="対象外"),"対象外の科目 ","")))</f>
        <v/>
      </c>
      <c r="R373" s="366" t="inlineStr">
        <is>
          <t>月例!389</t>
        </is>
      </c>
    </row>
    <row r="374">
      <c r="A374" s="359" t="n">
        <v>370</v>
      </c>
      <c r="B374" s="360" t="inlineStr">
        <is>
          <t>月例</t>
        </is>
      </c>
      <c r="C374" s="361" t="n">
        <v>45982</v>
      </c>
      <c r="D374" s="362" t="inlineStr">
        <is>
          <t>職員給与</t>
        </is>
      </c>
      <c r="E374" s="362" t="inlineStr">
        <is>
          <t>非常勤職員手当</t>
        </is>
      </c>
      <c r="F374" s="362" t="inlineStr">
        <is>
          <t>11月分給与（短期分）</t>
        </is>
      </c>
      <c r="G374" s="363" t="n">
        <v>227838</v>
      </c>
      <c r="H374" s="360" t="n">
        <v>2</v>
      </c>
      <c r="I374" s="360" t="inlineStr">
        <is>
          <t>昨年実績</t>
        </is>
      </c>
      <c r="J374" s="364">
        <f>IF($G374="","",IF($H374=1,$G374-ROUND($G374*10/23,0)-2*ROUND($G374/23,0),IF($H374=2,$G374,0)))</f>
        <v>227838</v>
      </c>
      <c r="K374" s="364">
        <f>IF($G374="","",IF($H374=1,ROUND($G374*10/23,0),IF($H374=3,$G374-2*ROUND($G374/12,0),IF($H374=4,$G374,IF(OR($H374=5,$H374=7),ROUND($G374*10/11,0),0)))))</f>
        <v>0</v>
      </c>
      <c r="L374" s="364">
        <f>IF($G374="","",IF($H374=1,ROUND($G374/23,0),IF($H374=3,ROUND($G374/12,0),IF($H374=5,$G374-ROUND($G374*10/11,0),IF($H374=8,$G374,0)))))</f>
        <v>0</v>
      </c>
      <c r="M374" s="364">
        <f>IF($G374="","",IF($H374=1,ROUND($G374/23,0),IF($H374=3,ROUND($G374/12,0),IF($H374=6,$G374,IF($H374=7,$G374-ROUND($G374*10/11,0),0)))))</f>
        <v>0</v>
      </c>
      <c r="N374" s="364">
        <f>IF($G374="","",K374+L374+M374)</f>
        <v>0</v>
      </c>
      <c r="O374" s="365" t="str">
        <f>IF($G374="","",IFERROR(VLOOKUP($D374&amp;"|"&amp;$E374,科目表!$A$5:$B$200,2,FALSE),"※未登録"))</f>
        <v>非常勤職員手当</v>
      </c>
      <c r="P374" s="359">
        <f>IF(OR($G374="",$C374=""),"",IF($B374="決算整理",13,MOD(MONTH($C374)-4,12)+1))</f>
        <v>8</v>
      </c>
      <c r="Q374" s="366" t="str">
        <f>IF($G374="","",TRIM(IF(J374+K374+L374+M374&lt;&gt;$G374,"按分不一致 ","")&amp;IF(O374="※未登録","科目未登録 ","")&amp;IF(OR($H374="",ISERROR(MATCH($H374,{1,2,3,4,5,6,7,8},0))),"経費区分? ","")&amp;IF($I374="","状態未設定 ","")&amp;IF(AND(OR($I374="確認済",$I374="未確認"),$B374="月例",OR($C374="",$C374&lt;DATE(年度+2018,4,1),$C374&gt;DATE(年度+2019,3,31))),"年度外の日付 ","")&amp;IF(AND(OR($I374="確認済",$I374="未確認"),O374="対象外"),"対象外の科目 ","")))</f>
        <v/>
      </c>
      <c r="R374" s="366" t="inlineStr">
        <is>
          <t>月例!390</t>
        </is>
      </c>
    </row>
    <row r="375">
      <c r="A375" s="359" t="n">
        <v>371</v>
      </c>
      <c r="B375" s="360" t="inlineStr">
        <is>
          <t>月例</t>
        </is>
      </c>
      <c r="C375" s="361" t="n">
        <v>45982</v>
      </c>
      <c r="D375" s="362" t="inlineStr">
        <is>
          <t>負担金</t>
        </is>
      </c>
      <c r="E375" s="362" t="inlineStr">
        <is>
          <t>互助会費</t>
        </is>
      </c>
      <c r="F375" s="362" t="inlineStr">
        <is>
          <t>助成金（11月長期分）</t>
        </is>
      </c>
      <c r="G375" s="363" t="n">
        <v>535</v>
      </c>
      <c r="H375" s="360" t="n">
        <v>3</v>
      </c>
      <c r="I375" s="360" t="inlineStr">
        <is>
          <t>昨年実績</t>
        </is>
      </c>
      <c r="J375" s="364">
        <f>IF($G375="","",IF($H375=1,$G375-ROUND($G375*10/23,0)-2*ROUND($G375/23,0),IF($H375=2,$G375,0)))</f>
        <v>0</v>
      </c>
      <c r="K375" s="364">
        <f>IF($G375="","",IF($H375=1,ROUND($G375*10/23,0),IF($H375=3,$G375-2*ROUND($G375/12,0),IF($H375=4,$G375,IF(OR($H375=5,$H375=7),ROUND($G375*10/11,0),0)))))</f>
        <v>445</v>
      </c>
      <c r="L375" s="364">
        <f>IF($G375="","",IF($H375=1,ROUND($G375/23,0),IF($H375=3,ROUND($G375/12,0),IF($H375=5,$G375-ROUND($G375*10/11,0),IF($H375=8,$G375,0)))))</f>
        <v>45</v>
      </c>
      <c r="M375" s="364">
        <f>IF($G375="","",IF($H375=1,ROUND($G375/23,0),IF($H375=3,ROUND($G375/12,0),IF($H375=6,$G375,IF($H375=7,$G375-ROUND($G375*10/11,0),0)))))</f>
        <v>45</v>
      </c>
      <c r="N375" s="364">
        <f>IF($G375="","",K375+L375+M375)</f>
        <v>535</v>
      </c>
      <c r="O375" s="365" t="str">
        <f>IF($G375="","",IFERROR(VLOOKUP($D375&amp;"|"&amp;$E375,科目表!$A$5:$B$200,2,FALSE),"※未登録"))</f>
        <v>互助会費</v>
      </c>
      <c r="P375" s="359">
        <f>IF(OR($G375="",$C375=""),"",IF($B375="決算整理",13,MOD(MONTH($C375)-4,12)+1))</f>
        <v>8</v>
      </c>
      <c r="Q375" s="366" t="str">
        <f>IF($G375="","",TRIM(IF(J375+K375+L375+M375&lt;&gt;$G375,"按分不一致 ","")&amp;IF(O375="※未登録","科目未登録 ","")&amp;IF(OR($H375="",ISERROR(MATCH($H375,{1,2,3,4,5,6,7,8},0))),"経費区分? ","")&amp;IF($I375="","状態未設定 ","")&amp;IF(AND(OR($I375="確認済",$I375="未確認"),$B375="月例",OR($C375="",$C375&lt;DATE(年度+2018,4,1),$C375&gt;DATE(年度+2019,3,31))),"年度外の日付 ","")&amp;IF(AND(OR($I375="確認済",$I375="未確認"),O375="対象外"),"対象外の科目 ","")))</f>
        <v/>
      </c>
      <c r="R375" s="366" t="inlineStr">
        <is>
          <t>月例!391</t>
        </is>
      </c>
    </row>
    <row r="376">
      <c r="A376" s="359" t="n">
        <v>372</v>
      </c>
      <c r="B376" s="360" t="inlineStr">
        <is>
          <t>月例</t>
        </is>
      </c>
      <c r="C376" s="361" t="n">
        <v>45982</v>
      </c>
      <c r="D376" s="362" t="inlineStr">
        <is>
          <t>負担金</t>
        </is>
      </c>
      <c r="E376" s="362" t="inlineStr">
        <is>
          <t>互助会費</t>
        </is>
      </c>
      <c r="F376" s="362" t="inlineStr">
        <is>
          <t>助成金（11月短期分）</t>
        </is>
      </c>
      <c r="G376" s="363" t="n">
        <v>276</v>
      </c>
      <c r="H376" s="360" t="n">
        <v>2</v>
      </c>
      <c r="I376" s="360" t="inlineStr">
        <is>
          <t>昨年実績</t>
        </is>
      </c>
      <c r="J376" s="364">
        <f>IF($G376="","",IF($H376=1,$G376-ROUND($G376*10/23,0)-2*ROUND($G376/23,0),IF($H376=2,$G376,0)))</f>
        <v>276</v>
      </c>
      <c r="K376" s="364">
        <f>IF($G376="","",IF($H376=1,ROUND($G376*10/23,0),IF($H376=3,$G376-2*ROUND($G376/12,0),IF($H376=4,$G376,IF(OR($H376=5,$H376=7),ROUND($G376*10/11,0),0)))))</f>
        <v>0</v>
      </c>
      <c r="L376" s="364">
        <f>IF($G376="","",IF($H376=1,ROUND($G376/23,0),IF($H376=3,ROUND($G376/12,0),IF($H376=5,$G376-ROUND($G376*10/11,0),IF($H376=8,$G376,0)))))</f>
        <v>0</v>
      </c>
      <c r="M376" s="364">
        <f>IF($G376="","",IF($H376=1,ROUND($G376/23,0),IF($H376=3,ROUND($G376/12,0),IF($H376=6,$G376,IF($H376=7,$G376-ROUND($G376*10/11,0),0)))))</f>
        <v>0</v>
      </c>
      <c r="N376" s="364">
        <f>IF($G376="","",K376+L376+M376)</f>
        <v>0</v>
      </c>
      <c r="O376" s="365" t="str">
        <f>IF($G376="","",IFERROR(VLOOKUP($D376&amp;"|"&amp;$E376,科目表!$A$5:$B$200,2,FALSE),"※未登録"))</f>
        <v>互助会費</v>
      </c>
      <c r="P376" s="359">
        <f>IF(OR($G376="",$C376=""),"",IF($B376="決算整理",13,MOD(MONTH($C376)-4,12)+1))</f>
        <v>8</v>
      </c>
      <c r="Q376" s="366" t="str">
        <f>IF($G376="","",TRIM(IF(J376+K376+L376+M376&lt;&gt;$G376,"按分不一致 ","")&amp;IF(O376="※未登録","科目未登録 ","")&amp;IF(OR($H376="",ISERROR(MATCH($H376,{1,2,3,4,5,6,7,8},0))),"経費区分? ","")&amp;IF($I376="","状態未設定 ","")&amp;IF(AND(OR($I376="確認済",$I376="未確認"),$B376="月例",OR($C376="",$C376&lt;DATE(年度+2018,4,1),$C376&gt;DATE(年度+2019,3,31))),"年度外の日付 ","")&amp;IF(AND(OR($I376="確認済",$I376="未確認"),O376="対象外"),"対象外の科目 ","")))</f>
        <v/>
      </c>
      <c r="R376" s="366" t="inlineStr">
        <is>
          <t>月例!392</t>
        </is>
      </c>
    </row>
    <row r="377">
      <c r="A377" s="359" t="n">
        <v>373</v>
      </c>
      <c r="B377" s="360" t="inlineStr">
        <is>
          <t>月例</t>
        </is>
      </c>
      <c r="C377" s="361" t="n">
        <v>45981</v>
      </c>
      <c r="D377" s="362" t="inlineStr">
        <is>
          <t>委託費</t>
        </is>
      </c>
      <c r="E377" s="362" t="n"/>
      <c r="F377" s="362" t="inlineStr">
        <is>
          <t>社会保障等制度情報提供手数料（７～９月分）</t>
        </is>
      </c>
      <c r="G377" s="363" t="n">
        <v>7660</v>
      </c>
      <c r="H377" s="360" t="n">
        <v>2</v>
      </c>
      <c r="I377" s="360" t="inlineStr">
        <is>
          <t>昨年実績</t>
        </is>
      </c>
      <c r="J377" s="364">
        <f>IF($G377="","",IF($H377=1,$G377-ROUND($G377*10/23,0)-2*ROUND($G377/23,0),IF($H377=2,$G377,0)))</f>
        <v>7660</v>
      </c>
      <c r="K377" s="364">
        <f>IF($G377="","",IF($H377=1,ROUND($G377*10/23,0),IF($H377=3,$G377-2*ROUND($G377/12,0),IF($H377=4,$G377,IF(OR($H377=5,$H377=7),ROUND($G377*10/11,0),0)))))</f>
        <v>0</v>
      </c>
      <c r="L377" s="364">
        <f>IF($G377="","",IF($H377=1,ROUND($G377/23,0),IF($H377=3,ROUND($G377/12,0),IF($H377=5,$G377-ROUND($G377*10/11,0),IF($H377=8,$G377,0)))))</f>
        <v>0</v>
      </c>
      <c r="M377" s="364">
        <f>IF($G377="","",IF($H377=1,ROUND($G377/23,0),IF($H377=3,ROUND($G377/12,0),IF($H377=6,$G377,IF($H377=7,$G377-ROUND($G377*10/11,0),0)))))</f>
        <v>0</v>
      </c>
      <c r="N377" s="364">
        <f>IF($G377="","",K377+L377+M377)</f>
        <v>0</v>
      </c>
      <c r="O377" s="365" t="str">
        <f>IF($G377="","",IFERROR(VLOOKUP($D377&amp;"|"&amp;$E377,科目表!$A$5:$B$200,2,FALSE),"※未登録"))</f>
        <v>委託費</v>
      </c>
      <c r="P377" s="359">
        <f>IF(OR($G377="",$C377=""),"",IF($B377="決算整理",13,MOD(MONTH($C377)-4,12)+1))</f>
        <v>8</v>
      </c>
      <c r="Q377" s="366" t="str">
        <f>IF($G377="","",TRIM(IF(J377+K377+L377+M377&lt;&gt;$G377,"按分不一致 ","")&amp;IF(O377="※未登録","科目未登録 ","")&amp;IF(OR($H377="",ISERROR(MATCH($H377,{1,2,3,4,5,6,7,8},0))),"経費区分? ","")&amp;IF($I377="","状態未設定 ","")&amp;IF(AND(OR($I377="確認済",$I377="未確認"),$B377="月例",OR($C377="",$C377&lt;DATE(年度+2018,4,1),$C377&gt;DATE(年度+2019,3,31))),"年度外の日付 ","")&amp;IF(AND(OR($I377="確認済",$I377="未確認"),O377="対象外"),"対象外の科目 ","")))</f>
        <v/>
      </c>
      <c r="R377" s="366" t="inlineStr">
        <is>
          <t>月例!393</t>
        </is>
      </c>
    </row>
    <row r="378">
      <c r="A378" s="359" t="n">
        <v>374</v>
      </c>
      <c r="B378" s="360" t="inlineStr">
        <is>
          <t>月例</t>
        </is>
      </c>
      <c r="C378" s="361" t="n">
        <v>45989</v>
      </c>
      <c r="D378" s="362" t="inlineStr">
        <is>
          <t>事務費</t>
        </is>
      </c>
      <c r="E378" s="362" t="inlineStr">
        <is>
          <t>送金料</t>
        </is>
      </c>
      <c r="F378" s="362" t="inlineStr">
        <is>
          <t>ゆうちょ銀行手数料（１０月分）短期</t>
        </is>
      </c>
      <c r="G378" s="363" t="n">
        <v>13567</v>
      </c>
      <c r="H378" s="360" t="n">
        <v>2</v>
      </c>
      <c r="I378" s="360" t="inlineStr">
        <is>
          <t>昨年実績</t>
        </is>
      </c>
      <c r="J378" s="364">
        <f>IF($G378="","",IF($H378=1,$G378-ROUND($G378*10/23,0)-2*ROUND($G378/23,0),IF($H378=2,$G378,0)))</f>
        <v>13567</v>
      </c>
      <c r="K378" s="364">
        <f>IF($G378="","",IF($H378=1,ROUND($G378*10/23,0),IF($H378=3,$G378-2*ROUND($G378/12,0),IF($H378=4,$G378,IF(OR($H378=5,$H378=7),ROUND($G378*10/11,0),0)))))</f>
        <v>0</v>
      </c>
      <c r="L378" s="364">
        <f>IF($G378="","",IF($H378=1,ROUND($G378/23,0),IF($H378=3,ROUND($G378/12,0),IF($H378=5,$G378-ROUND($G378*10/11,0),IF($H378=8,$G378,0)))))</f>
        <v>0</v>
      </c>
      <c r="M378" s="364">
        <f>IF($G378="","",IF($H378=1,ROUND($G378/23,0),IF($H378=3,ROUND($G378/12,0),IF($H378=6,$G378,IF($H378=7,$G378-ROUND($G378*10/11,0),0)))))</f>
        <v>0</v>
      </c>
      <c r="N378" s="364">
        <f>IF($G378="","",K378+L378+M378)</f>
        <v>0</v>
      </c>
      <c r="O378" s="365" t="str">
        <f>IF($G378="","",IFERROR(VLOOKUP($D378&amp;"|"&amp;$E378,科目表!$A$5:$B$200,2,FALSE),"※未登録"))</f>
        <v>送金料</v>
      </c>
      <c r="P378" s="359">
        <f>IF(OR($G378="",$C378=""),"",IF($B378="決算整理",13,MOD(MONTH($C378)-4,12)+1))</f>
        <v>8</v>
      </c>
      <c r="Q378" s="366" t="str">
        <f>IF($G378="","",TRIM(IF(J378+K378+L378+M378&lt;&gt;$G378,"按分不一致 ","")&amp;IF(O378="※未登録","科目未登録 ","")&amp;IF(OR($H378="",ISERROR(MATCH($H378,{1,2,3,4,5,6,7,8},0))),"経費区分? ","")&amp;IF($I378="","状態未設定 ","")&amp;IF(AND(OR($I378="確認済",$I378="未確認"),$B378="月例",OR($C378="",$C378&lt;DATE(年度+2018,4,1),$C378&gt;DATE(年度+2019,3,31))),"年度外の日付 ","")&amp;IF(AND(OR($I378="確認済",$I378="未確認"),O378="対象外"),"対象外の科目 ","")))</f>
        <v/>
      </c>
      <c r="R378" s="366" t="inlineStr">
        <is>
          <t>月例!394</t>
        </is>
      </c>
    </row>
    <row r="379">
      <c r="A379" s="359" t="n">
        <v>375</v>
      </c>
      <c r="B379" s="360" t="inlineStr">
        <is>
          <t>月例</t>
        </is>
      </c>
      <c r="C379" s="361" t="n">
        <v>45989</v>
      </c>
      <c r="D379" s="362" t="inlineStr">
        <is>
          <t>事務費</t>
        </is>
      </c>
      <c r="E379" s="362" t="inlineStr">
        <is>
          <t>雑費</t>
        </is>
      </c>
      <c r="F379" s="362" t="inlineStr">
        <is>
          <t>ゆうちょ銀行振替口座残高証明（１０月分）短期</t>
        </is>
      </c>
      <c r="G379" s="363" t="n">
        <v>550</v>
      </c>
      <c r="H379" s="360" t="n">
        <v>2</v>
      </c>
      <c r="I379" s="360" t="inlineStr">
        <is>
          <t>昨年実績</t>
        </is>
      </c>
      <c r="J379" s="364">
        <f>IF($G379="","",IF($H379=1,$G379-ROUND($G379*10/23,0)-2*ROUND($G379/23,0),IF($H379=2,$G379,0)))</f>
        <v>550</v>
      </c>
      <c r="K379" s="364">
        <f>IF($G379="","",IF($H379=1,ROUND($G379*10/23,0),IF($H379=3,$G379-2*ROUND($G379/12,0),IF($H379=4,$G379,IF(OR($H379=5,$H379=7),ROUND($G379*10/11,0),0)))))</f>
        <v>0</v>
      </c>
      <c r="L379" s="364">
        <f>IF($G379="","",IF($H379=1,ROUND($G379/23,0),IF($H379=3,ROUND($G379/12,0),IF($H379=5,$G379-ROUND($G379*10/11,0),IF($H379=8,$G379,0)))))</f>
        <v>0</v>
      </c>
      <c r="M379" s="364">
        <f>IF($G379="","",IF($H379=1,ROUND($G379/23,0),IF($H379=3,ROUND($G379/12,0),IF($H379=6,$G379,IF($H379=7,$G379-ROUND($G379*10/11,0),0)))))</f>
        <v>0</v>
      </c>
      <c r="N379" s="364">
        <f>IF($G379="","",K379+L379+M379)</f>
        <v>0</v>
      </c>
      <c r="O379" s="365" t="str">
        <f>IF($G379="","",IFERROR(VLOOKUP($D379&amp;"|"&amp;$E379,科目表!$A$5:$B$200,2,FALSE),"※未登録"))</f>
        <v>事務費・雑費</v>
      </c>
      <c r="P379" s="359">
        <f>IF(OR($G379="",$C379=""),"",IF($B379="決算整理",13,MOD(MONTH($C379)-4,12)+1))</f>
        <v>8</v>
      </c>
      <c r="Q379" s="366" t="str">
        <f>IF($G379="","",TRIM(IF(J379+K379+L379+M379&lt;&gt;$G379,"按分不一致 ","")&amp;IF(O379="※未登録","科目未登録 ","")&amp;IF(OR($H379="",ISERROR(MATCH($H379,{1,2,3,4,5,6,7,8},0))),"経費区分? ","")&amp;IF($I379="","状態未設定 ","")&amp;IF(AND(OR($I379="確認済",$I379="未確認"),$B379="月例",OR($C379="",$C379&lt;DATE(年度+2018,4,1),$C379&gt;DATE(年度+2019,3,31))),"年度外の日付 ","")&amp;IF(AND(OR($I379="確認済",$I379="未確認"),O379="対象外"),"対象外の科目 ","")))</f>
        <v/>
      </c>
      <c r="R379" s="366" t="inlineStr">
        <is>
          <t>月例!395</t>
        </is>
      </c>
    </row>
    <row r="380">
      <c r="A380" s="359" t="n">
        <v>376</v>
      </c>
      <c r="B380" s="360" t="inlineStr">
        <is>
          <t>月例</t>
        </is>
      </c>
      <c r="C380" s="361" t="n">
        <v>43791</v>
      </c>
      <c r="D380" s="362" t="inlineStr">
        <is>
          <t>事務費</t>
        </is>
      </c>
      <c r="E380" s="362" t="inlineStr">
        <is>
          <t>通信運搬費</t>
        </is>
      </c>
      <c r="F380" s="362" t="inlineStr">
        <is>
          <t>切手等</t>
        </is>
      </c>
      <c r="G380" s="363" t="n">
        <v>224400</v>
      </c>
      <c r="H380" s="360" t="n">
        <v>3</v>
      </c>
      <c r="I380" s="360" t="inlineStr">
        <is>
          <t>昨年実績</t>
        </is>
      </c>
      <c r="J380" s="364">
        <f>IF($G380="","",IF($H380=1,$G380-ROUND($G380*10/23,0)-2*ROUND($G380/23,0),IF($H380=2,$G380,0)))</f>
        <v>0</v>
      </c>
      <c r="K380" s="364">
        <f>IF($G380="","",IF($H380=1,ROUND($G380*10/23,0),IF($H380=3,$G380-2*ROUND($G380/12,0),IF($H380=4,$G380,IF(OR($H380=5,$H380=7),ROUND($G380*10/11,0),0)))))</f>
        <v>187000</v>
      </c>
      <c r="L380" s="364">
        <f>IF($G380="","",IF($H380=1,ROUND($G380/23,0),IF($H380=3,ROUND($G380/12,0),IF($H380=5,$G380-ROUND($G380*10/11,0),IF($H380=8,$G380,0)))))</f>
        <v>18700</v>
      </c>
      <c r="M380" s="364">
        <f>IF($G380="","",IF($H380=1,ROUND($G380/23,0),IF($H380=3,ROUND($G380/12,0),IF($H380=6,$G380,IF($H380=7,$G380-ROUND($G380*10/11,0),0)))))</f>
        <v>18700</v>
      </c>
      <c r="N380" s="364">
        <f>IF($G380="","",K380+L380+M380)</f>
        <v>224400</v>
      </c>
      <c r="O380" s="365" t="str">
        <f>IF($G380="","",IFERROR(VLOOKUP($D380&amp;"|"&amp;$E380,科目表!$A$5:$B$200,2,FALSE),"※未登録"))</f>
        <v>通信運搬費</v>
      </c>
      <c r="P380" s="359">
        <f>IF(OR($G380="",$C380=""),"",IF($B380="決算整理",13,MOD(MONTH($C380)-4,12)+1))</f>
        <v>8</v>
      </c>
      <c r="Q380" s="366" t="str">
        <f>IF($G380="","",TRIM(IF(J380+K380+L380+M380&lt;&gt;$G380,"按分不一致 ","")&amp;IF(O380="※未登録","科目未登録 ","")&amp;IF(OR($H380="",ISERROR(MATCH($H380,{1,2,3,4,5,6,7,8},0))),"経費区分? ","")&amp;IF($I380="","状態未設定 ","")&amp;IF(AND(OR($I380="確認済",$I380="未確認"),$B380="月例",OR($C380="",$C380&lt;DATE(年度+2018,4,1),$C380&gt;DATE(年度+2019,3,31))),"年度外の日付 ","")&amp;IF(AND(OR($I380="確認済",$I380="未確認"),O380="対象外"),"対象外の科目 ","")))</f>
        <v/>
      </c>
      <c r="R380" s="366" t="inlineStr">
        <is>
          <t>月例!396</t>
        </is>
      </c>
    </row>
    <row r="381">
      <c r="A381" s="359" t="n">
        <v>377</v>
      </c>
      <c r="B381" s="360" t="inlineStr">
        <is>
          <t>月例</t>
        </is>
      </c>
      <c r="C381" s="361" t="n">
        <v>43791</v>
      </c>
      <c r="D381" s="362" t="inlineStr">
        <is>
          <t>事務費</t>
        </is>
      </c>
      <c r="E381" s="362" t="inlineStr">
        <is>
          <t>通信運搬費</t>
        </is>
      </c>
      <c r="F381" s="362" t="inlineStr">
        <is>
          <t>切手等</t>
        </is>
      </c>
      <c r="G381" s="363" t="n">
        <v>9200</v>
      </c>
      <c r="H381" s="360" t="n">
        <v>2</v>
      </c>
      <c r="I381" s="360" t="inlineStr">
        <is>
          <t>昨年実績</t>
        </is>
      </c>
      <c r="J381" s="364">
        <f>IF($G381="","",IF($H381=1,$G381-ROUND($G381*10/23,0)-2*ROUND($G381/23,0),IF($H381=2,$G381,0)))</f>
        <v>9200</v>
      </c>
      <c r="K381" s="364">
        <f>IF($G381="","",IF($H381=1,ROUND($G381*10/23,0),IF($H381=3,$G381-2*ROUND($G381/12,0),IF($H381=4,$G381,IF(OR($H381=5,$H381=7),ROUND($G381*10/11,0),0)))))</f>
        <v>0</v>
      </c>
      <c r="L381" s="364">
        <f>IF($G381="","",IF($H381=1,ROUND($G381/23,0),IF($H381=3,ROUND($G381/12,0),IF($H381=5,$G381-ROUND($G381*10/11,0),IF($H381=8,$G381,0)))))</f>
        <v>0</v>
      </c>
      <c r="M381" s="364">
        <f>IF($G381="","",IF($H381=1,ROUND($G381/23,0),IF($H381=3,ROUND($G381/12,0),IF($H381=6,$G381,IF($H381=7,$G381-ROUND($G381*10/11,0),0)))))</f>
        <v>0</v>
      </c>
      <c r="N381" s="364">
        <f>IF($G381="","",K381+L381+M381)</f>
        <v>0</v>
      </c>
      <c r="O381" s="365" t="str">
        <f>IF($G381="","",IFERROR(VLOOKUP($D381&amp;"|"&amp;$E381,科目表!$A$5:$B$200,2,FALSE),"※未登録"))</f>
        <v>通信運搬費</v>
      </c>
      <c r="P381" s="359">
        <f>IF(OR($G381="",$C381=""),"",IF($B381="決算整理",13,MOD(MONTH($C381)-4,12)+1))</f>
        <v>8</v>
      </c>
      <c r="Q381" s="366" t="str">
        <f>IF($G381="","",TRIM(IF(J381+K381+L381+M381&lt;&gt;$G381,"按分不一致 ","")&amp;IF(O381="※未登録","科目未登録 ","")&amp;IF(OR($H381="",ISERROR(MATCH($H381,{1,2,3,4,5,6,7,8},0))),"経費区分? ","")&amp;IF($I381="","状態未設定 ","")&amp;IF(AND(OR($I381="確認済",$I381="未確認"),$B381="月例",OR($C381="",$C381&lt;DATE(年度+2018,4,1),$C381&gt;DATE(年度+2019,3,31))),"年度外の日付 ","")&amp;IF(AND(OR($I381="確認済",$I381="未確認"),O381="対象外"),"対象外の科目 ","")))</f>
        <v/>
      </c>
      <c r="R381" s="366" t="inlineStr">
        <is>
          <t>月例!397</t>
        </is>
      </c>
    </row>
    <row r="382">
      <c r="A382" s="359" t="n">
        <v>378</v>
      </c>
      <c r="B382" s="360" t="inlineStr">
        <is>
          <t>月例</t>
        </is>
      </c>
      <c r="C382" s="361" t="n">
        <v>45555</v>
      </c>
      <c r="D382" s="362" t="inlineStr">
        <is>
          <t>旅費</t>
        </is>
      </c>
      <c r="E382" s="362" t="n"/>
      <c r="F382" s="362" t="inlineStr">
        <is>
          <t>9/24 短期給付事務研修会　特別区　石田主任技師</t>
        </is>
      </c>
      <c r="G382" s="363" t="n">
        <v>50940</v>
      </c>
      <c r="H382" s="360" t="n">
        <v>2</v>
      </c>
      <c r="I382" s="360" t="inlineStr">
        <is>
          <t>昨年実績</t>
        </is>
      </c>
      <c r="J382" s="364">
        <f>IF($G382="","",IF($H382=1,$G382-ROUND($G382*10/23,0)-2*ROUND($G382/23,0),IF($H382=2,$G382,0)))</f>
        <v>50940</v>
      </c>
      <c r="K382" s="364">
        <f>IF($G382="","",IF($H382=1,ROUND($G382*10/23,0),IF($H382=3,$G382-2*ROUND($G382/12,0),IF($H382=4,$G382,IF(OR($H382=5,$H382=7),ROUND($G382*10/11,0),0)))))</f>
        <v>0</v>
      </c>
      <c r="L382" s="364">
        <f>IF($G382="","",IF($H382=1,ROUND($G382/23,0),IF($H382=3,ROUND($G382/12,0),IF($H382=5,$G382-ROUND($G382*10/11,0),IF($H382=8,$G382,0)))))</f>
        <v>0</v>
      </c>
      <c r="M382" s="364">
        <f>IF($G382="","",IF($H382=1,ROUND($G382/23,0),IF($H382=3,ROUND($G382/12,0),IF($H382=6,$G382,IF($H382=7,$G382-ROUND($G382*10/11,0),0)))))</f>
        <v>0</v>
      </c>
      <c r="N382" s="364">
        <f>IF($G382="","",K382+L382+M382)</f>
        <v>0</v>
      </c>
      <c r="O382" s="365" t="str">
        <f>IF($G382="","",IFERROR(VLOOKUP($D382&amp;"|"&amp;$E382,科目表!$A$5:$B$200,2,FALSE),"※未登録"))</f>
        <v>旅費</v>
      </c>
      <c r="P382" s="359">
        <f>IF(OR($G382="",$C382=""),"",IF($B382="決算整理",13,MOD(MONTH($C382)-4,12)+1))</f>
        <v>6</v>
      </c>
      <c r="Q382" s="366" t="str">
        <f>IF($G382="","",TRIM(IF(J382+K382+L382+M382&lt;&gt;$G382,"按分不一致 ","")&amp;IF(O382="※未登録","科目未登録 ","")&amp;IF(OR($H382="",ISERROR(MATCH($H382,{1,2,3,4,5,6,7,8},0))),"経費区分? ","")&amp;IF($I382="","状態未設定 ","")&amp;IF(AND(OR($I382="確認済",$I382="未確認"),$B382="月例",OR($C382="",$C382&lt;DATE(年度+2018,4,1),$C382&gt;DATE(年度+2019,3,31))),"年度外の日付 ","")&amp;IF(AND(OR($I382="確認済",$I382="未確認"),O382="対象外"),"対象外の科目 ","")))</f>
        <v/>
      </c>
      <c r="R382" s="366" t="inlineStr">
        <is>
          <t>月例!398</t>
        </is>
      </c>
    </row>
    <row r="383">
      <c r="A383" s="359" t="n">
        <v>379</v>
      </c>
      <c r="B383" s="360" t="inlineStr">
        <is>
          <t>月例</t>
        </is>
      </c>
      <c r="C383" s="361" t="n">
        <v>45555</v>
      </c>
      <c r="D383" s="362" t="inlineStr">
        <is>
          <t>旅費</t>
        </is>
      </c>
      <c r="E383" s="362" t="n"/>
      <c r="F383" s="362" t="inlineStr">
        <is>
          <t>9/24 短期給付事務研修会　特別区　上野主事</t>
        </is>
      </c>
      <c r="G383" s="363" t="n">
        <v>50940</v>
      </c>
      <c r="H383" s="360" t="n">
        <v>2</v>
      </c>
      <c r="I383" s="360" t="inlineStr">
        <is>
          <t>昨年実績</t>
        </is>
      </c>
      <c r="J383" s="364">
        <f>IF($G383="","",IF($H383=1,$G383-ROUND($G383*10/23,0)-2*ROUND($G383/23,0),IF($H383=2,$G383,0)))</f>
        <v>50940</v>
      </c>
      <c r="K383" s="364">
        <f>IF($G383="","",IF($H383=1,ROUND($G383*10/23,0),IF($H383=3,$G383-2*ROUND($G383/12,0),IF($H383=4,$G383,IF(OR($H383=5,$H383=7),ROUND($G383*10/11,0),0)))))</f>
        <v>0</v>
      </c>
      <c r="L383" s="364">
        <f>IF($G383="","",IF($H383=1,ROUND($G383/23,0),IF($H383=3,ROUND($G383/12,0),IF($H383=5,$G383-ROUND($G383*10/11,0),IF($H383=8,$G383,0)))))</f>
        <v>0</v>
      </c>
      <c r="M383" s="364">
        <f>IF($G383="","",IF($H383=1,ROUND($G383/23,0),IF($H383=3,ROUND($G383/12,0),IF($H383=6,$G383,IF($H383=7,$G383-ROUND($G383*10/11,0),0)))))</f>
        <v>0</v>
      </c>
      <c r="N383" s="364">
        <f>IF($G383="","",K383+L383+M383)</f>
        <v>0</v>
      </c>
      <c r="O383" s="365" t="str">
        <f>IF($G383="","",IFERROR(VLOOKUP($D383&amp;"|"&amp;$E383,科目表!$A$5:$B$200,2,FALSE),"※未登録"))</f>
        <v>旅費</v>
      </c>
      <c r="P383" s="359">
        <f>IF(OR($G383="",$C383=""),"",IF($B383="決算整理",13,MOD(MONTH($C383)-4,12)+1))</f>
        <v>6</v>
      </c>
      <c r="Q383" s="366" t="str">
        <f>IF($G383="","",TRIM(IF(J383+K383+L383+M383&lt;&gt;$G383,"按分不一致 ","")&amp;IF(O383="※未登録","科目未登録 ","")&amp;IF(OR($H383="",ISERROR(MATCH($H383,{1,2,3,4,5,6,7,8},0))),"経費区分? ","")&amp;IF($I383="","状態未設定 ","")&amp;IF(AND(OR($I383="確認済",$I383="未確認"),$B383="月例",OR($C383="",$C383&lt;DATE(年度+2018,4,1),$C383&gt;DATE(年度+2019,3,31))),"年度外の日付 ","")&amp;IF(AND(OR($I383="確認済",$I383="未確認"),O383="対象外"),"対象外の科目 ","")))</f>
        <v/>
      </c>
      <c r="R383" s="366" t="inlineStr">
        <is>
          <t>月例!399</t>
        </is>
      </c>
    </row>
    <row r="384">
      <c r="A384" s="359" t="n">
        <v>380</v>
      </c>
      <c r="B384" s="360" t="inlineStr">
        <is>
          <t>月例</t>
        </is>
      </c>
      <c r="C384" s="361" t="n">
        <v>43781</v>
      </c>
      <c r="D384" s="362" t="inlineStr">
        <is>
          <t>旅費</t>
        </is>
      </c>
      <c r="E384" s="362" t="n"/>
      <c r="F384" s="362" t="inlineStr">
        <is>
          <t>11/14・15　大都市事務連絡会　大阪市　濱尾次長</t>
        </is>
      </c>
      <c r="G384" s="363" t="n">
        <v>35080</v>
      </c>
      <c r="H384" s="360" t="n">
        <v>1</v>
      </c>
      <c r="I384" s="360" t="inlineStr">
        <is>
          <t>昨年実績</t>
        </is>
      </c>
      <c r="J384" s="364">
        <f>IF($G384="","",IF($H384=1,$G384-ROUND($G384*10/23,0)-2*ROUND($G384/23,0),IF($H384=2,$G384,0)))</f>
        <v>16778</v>
      </c>
      <c r="K384" s="364">
        <f>IF($G384="","",IF($H384=1,ROUND($G384*10/23,0),IF($H384=3,$G384-2*ROUND($G384/12,0),IF($H384=4,$G384,IF(OR($H384=5,$H384=7),ROUND($G384*10/11,0),0)))))</f>
        <v>15252</v>
      </c>
      <c r="L384" s="364">
        <f>IF($G384="","",IF($H384=1,ROUND($G384/23,0),IF($H384=3,ROUND($G384/12,0),IF($H384=5,$G384-ROUND($G384*10/11,0),IF($H384=8,$G384,0)))))</f>
        <v>1525</v>
      </c>
      <c r="M384" s="364">
        <f>IF($G384="","",IF($H384=1,ROUND($G384/23,0),IF($H384=3,ROUND($G384/12,0),IF($H384=6,$G384,IF($H384=7,$G384-ROUND($G384*10/11,0),0)))))</f>
        <v>1525</v>
      </c>
      <c r="N384" s="364">
        <f>IF($G384="","",K384+L384+M384)</f>
        <v>18302</v>
      </c>
      <c r="O384" s="365" t="str">
        <f>IF($G384="","",IFERROR(VLOOKUP($D384&amp;"|"&amp;$E384,科目表!$A$5:$B$200,2,FALSE),"※未登録"))</f>
        <v>旅費</v>
      </c>
      <c r="P384" s="359">
        <f>IF(OR($G384="",$C384=""),"",IF($B384="決算整理",13,MOD(MONTH($C384)-4,12)+1))</f>
        <v>8</v>
      </c>
      <c r="Q384" s="366" t="str">
        <f>IF($G384="","",TRIM(IF(J384+K384+L384+M384&lt;&gt;$G384,"按分不一致 ","")&amp;IF(O384="※未登録","科目未登録 ","")&amp;IF(OR($H384="",ISERROR(MATCH($H384,{1,2,3,4,5,6,7,8},0))),"経費区分? ","")&amp;IF($I384="","状態未設定 ","")&amp;IF(AND(OR($I384="確認済",$I384="未確認"),$B384="月例",OR($C384="",$C384&lt;DATE(年度+2018,4,1),$C384&gt;DATE(年度+2019,3,31))),"年度外の日付 ","")&amp;IF(AND(OR($I384="確認済",$I384="未確認"),O384="対象外"),"対象外の科目 ","")))</f>
        <v/>
      </c>
      <c r="R384" s="366" t="inlineStr">
        <is>
          <t>月例!400</t>
        </is>
      </c>
    </row>
    <row r="385">
      <c r="A385" s="359" t="n">
        <v>381</v>
      </c>
      <c r="B385" s="360" t="inlineStr">
        <is>
          <t>月例</t>
        </is>
      </c>
      <c r="C385" s="361" t="n">
        <v>46301</v>
      </c>
      <c r="D385" s="362" t="inlineStr">
        <is>
          <t>旅費</t>
        </is>
      </c>
      <c r="E385" s="362" t="n"/>
      <c r="F385" s="362" t="inlineStr">
        <is>
          <t>10/7　情報セキュリティ研修会　東京都　中田主査</t>
        </is>
      </c>
      <c r="G385" s="363" t="n">
        <v>40360</v>
      </c>
      <c r="H385" s="360" t="n">
        <v>1</v>
      </c>
      <c r="I385" s="360" t="inlineStr">
        <is>
          <t>確認済</t>
        </is>
      </c>
      <c r="J385" s="364">
        <f>IF($G385="","",IF($H385=1,$G385-ROUND($G385*10/23,0)-2*ROUND($G385/23,0),IF($H385=2,$G385,0)))</f>
        <v>19302</v>
      </c>
      <c r="K385" s="364">
        <f>IF($G385="","",IF($H385=1,ROUND($G385*10/23,0),IF($H385=3,$G385-2*ROUND($G385/12,0),IF($H385=4,$G385,IF(OR($H385=5,$H385=7),ROUND($G385*10/11,0),0)))))</f>
        <v>17548</v>
      </c>
      <c r="L385" s="364">
        <f>IF($G385="","",IF($H385=1,ROUND($G385/23,0),IF($H385=3,ROUND($G385/12,0),IF($H385=5,$G385-ROUND($G385*10/11,0),IF($H385=8,$G385,0)))))</f>
        <v>1755</v>
      </c>
      <c r="M385" s="364">
        <f>IF($G385="","",IF($H385=1,ROUND($G385/23,0),IF($H385=3,ROUND($G385/12,0),IF($H385=6,$G385,IF($H385=7,$G385-ROUND($G385*10/11,0),0)))))</f>
        <v>1755</v>
      </c>
      <c r="N385" s="364">
        <f>IF($G385="","",K385+L385+M385)</f>
        <v>21058</v>
      </c>
      <c r="O385" s="365" t="str">
        <f>IF($G385="","",IFERROR(VLOOKUP($D385&amp;"|"&amp;$E385,科目表!$A$5:$B$200,2,FALSE),"※未登録"))</f>
        <v>旅費</v>
      </c>
      <c r="P385" s="359">
        <f>IF(OR($G385="",$C385=""),"",IF($B385="決算整理",13,MOD(MONTH($C385)-4,12)+1))</f>
        <v>7</v>
      </c>
      <c r="Q385" s="366" t="str">
        <f>IF($G385="","",TRIM(IF(J385+K385+L385+M385&lt;&gt;$G385,"按分不一致 ","")&amp;IF(O385="※未登録","科目未登録 ","")&amp;IF(OR($H385="",ISERROR(MATCH($H385,{1,2,3,4,5,6,7,8},0))),"経費区分? ","")&amp;IF($I385="","状態未設定 ","")&amp;IF(AND(OR($I385="確認済",$I385="未確認"),$B385="月例",OR($C385="",$C385&lt;DATE(年度+2018,4,1),$C385&gt;DATE(年度+2019,3,31))),"年度外の日付 ","")&amp;IF(AND(OR($I385="確認済",$I385="未確認"),O385="対象外"),"対象外の科目 ","")))</f>
        <v/>
      </c>
      <c r="R385" s="366" t="inlineStr">
        <is>
          <t>月例!401</t>
        </is>
      </c>
    </row>
    <row r="386">
      <c r="A386" s="359" t="n">
        <v>382</v>
      </c>
      <c r="B386" s="360" t="inlineStr">
        <is>
          <t>月例</t>
        </is>
      </c>
      <c r="C386" s="361" t="n">
        <v>45259</v>
      </c>
      <c r="D386" s="362" t="inlineStr">
        <is>
          <t>事務費</t>
        </is>
      </c>
      <c r="E386" s="362" t="inlineStr">
        <is>
          <t>事務用消耗品費</t>
        </is>
      </c>
      <c r="F386" s="362" t="inlineStr">
        <is>
          <t>インデックス　ML-131B 10冊入　2箱　ほか</t>
        </is>
      </c>
      <c r="G386" s="363" t="n">
        <v>49579</v>
      </c>
      <c r="H386" s="360" t="n">
        <v>3</v>
      </c>
      <c r="I386" s="360" t="inlineStr">
        <is>
          <t>昨年実績</t>
        </is>
      </c>
      <c r="J386" s="364">
        <f>IF($G386="","",IF($H386=1,$G386-ROUND($G386*10/23,0)-2*ROUND($G386/23,0),IF($H386=2,$G386,0)))</f>
        <v>0</v>
      </c>
      <c r="K386" s="364">
        <f>IF($G386="","",IF($H386=1,ROUND($G386*10/23,0),IF($H386=3,$G386-2*ROUND($G386/12,0),IF($H386=4,$G386,IF(OR($H386=5,$H386=7),ROUND($G386*10/11,0),0)))))</f>
        <v>41315</v>
      </c>
      <c r="L386" s="364">
        <f>IF($G386="","",IF($H386=1,ROUND($G386/23,0),IF($H386=3,ROUND($G386/12,0),IF($H386=5,$G386-ROUND($G386*10/11,0),IF($H386=8,$G386,0)))))</f>
        <v>4132</v>
      </c>
      <c r="M386" s="364">
        <f>IF($G386="","",IF($H386=1,ROUND($G386/23,0),IF($H386=3,ROUND($G386/12,0),IF($H386=6,$G386,IF($H386=7,$G386-ROUND($G386*10/11,0),0)))))</f>
        <v>4132</v>
      </c>
      <c r="N386" s="364">
        <f>IF($G386="","",K386+L386+M386)</f>
        <v>49579</v>
      </c>
      <c r="O386" s="365" t="str">
        <f>IF($G386="","",IFERROR(VLOOKUP($D386&amp;"|"&amp;$E386,科目表!$A$5:$B$200,2,FALSE),"※未登録"))</f>
        <v>事務用消耗品費</v>
      </c>
      <c r="P386" s="359">
        <f>IF(OR($G386="",$C386=""),"",IF($B386="決算整理",13,MOD(MONTH($C386)-4,12)+1))</f>
        <v>8</v>
      </c>
      <c r="Q386" s="366" t="str">
        <f>IF($G386="","",TRIM(IF(J386+K386+L386+M386&lt;&gt;$G386,"按分不一致 ","")&amp;IF(O386="※未登録","科目未登録 ","")&amp;IF(OR($H386="",ISERROR(MATCH($H386,{1,2,3,4,5,6,7,8},0))),"経費区分? ","")&amp;IF($I386="","状態未設定 ","")&amp;IF(AND(OR($I386="確認済",$I386="未確認"),$B386="月例",OR($C386="",$C386&lt;DATE(年度+2018,4,1),$C386&gt;DATE(年度+2019,3,31))),"年度外の日付 ","")&amp;IF(AND(OR($I386="確認済",$I386="未確認"),O386="対象外"),"対象外の科目 ","")))</f>
        <v/>
      </c>
      <c r="R386" s="366" t="inlineStr">
        <is>
          <t>月例!402</t>
        </is>
      </c>
    </row>
    <row r="387">
      <c r="A387" s="359" t="n">
        <v>383</v>
      </c>
      <c r="B387" s="360" t="inlineStr">
        <is>
          <t>月例</t>
        </is>
      </c>
      <c r="C387" s="361" t="n">
        <v>45989</v>
      </c>
      <c r="D387" s="362" t="inlineStr">
        <is>
          <t>事務費</t>
        </is>
      </c>
      <c r="E387" s="362" t="inlineStr">
        <is>
          <t>事務用消耗品費</t>
        </is>
      </c>
      <c r="F387" s="362" t="inlineStr">
        <is>
          <t>マチ付きホルダー　ＹＧ－１４／１０枚入　８０パック　外</t>
        </is>
      </c>
      <c r="G387" s="363" t="n">
        <v>81620</v>
      </c>
      <c r="H387" s="360" t="n">
        <v>2</v>
      </c>
      <c r="I387" s="360" t="inlineStr">
        <is>
          <t>昨年実績</t>
        </is>
      </c>
      <c r="J387" s="364">
        <f>IF($G387="","",IF($H387=1,$G387-ROUND($G387*10/23,0)-2*ROUND($G387/23,0),IF($H387=2,$G387,0)))</f>
        <v>81620</v>
      </c>
      <c r="K387" s="364">
        <f>IF($G387="","",IF($H387=1,ROUND($G387*10/23,0),IF($H387=3,$G387-2*ROUND($G387/12,0),IF($H387=4,$G387,IF(OR($H387=5,$H387=7),ROUND($G387*10/11,0),0)))))</f>
        <v>0</v>
      </c>
      <c r="L387" s="364">
        <f>IF($G387="","",IF($H387=1,ROUND($G387/23,0),IF($H387=3,ROUND($G387/12,0),IF($H387=5,$G387-ROUND($G387*10/11,0),IF($H387=8,$G387,0)))))</f>
        <v>0</v>
      </c>
      <c r="M387" s="364">
        <f>IF($G387="","",IF($H387=1,ROUND($G387/23,0),IF($H387=3,ROUND($G387/12,0),IF($H387=6,$G387,IF($H387=7,$G387-ROUND($G387*10/11,0),0)))))</f>
        <v>0</v>
      </c>
      <c r="N387" s="364">
        <f>IF($G387="","",K387+L387+M387)</f>
        <v>0</v>
      </c>
      <c r="O387" s="365" t="str">
        <f>IF($G387="","",IFERROR(VLOOKUP($D387&amp;"|"&amp;$E387,科目表!$A$5:$B$200,2,FALSE),"※未登録"))</f>
        <v>事務用消耗品費</v>
      </c>
      <c r="P387" s="359">
        <f>IF(OR($G387="",$C387=""),"",IF($B387="決算整理",13,MOD(MONTH($C387)-4,12)+1))</f>
        <v>8</v>
      </c>
      <c r="Q387" s="366" t="str">
        <f>IF($G387="","",TRIM(IF(J387+K387+L387+M387&lt;&gt;$G387,"按分不一致 ","")&amp;IF(O387="※未登録","科目未登録 ","")&amp;IF(OR($H387="",ISERROR(MATCH($H387,{1,2,3,4,5,6,7,8},0))),"経費区分? ","")&amp;IF($I387="","状態未設定 ","")&amp;IF(AND(OR($I387="確認済",$I387="未確認"),$B387="月例",OR($C387="",$C387&lt;DATE(年度+2018,4,1),$C387&gt;DATE(年度+2019,3,31))),"年度外の日付 ","")&amp;IF(AND(OR($I387="確認済",$I387="未確認"),O387="対象外"),"対象外の科目 ","")))</f>
        <v/>
      </c>
      <c r="R387" s="366" t="inlineStr">
        <is>
          <t>月例!403</t>
        </is>
      </c>
    </row>
    <row r="388">
      <c r="A388" s="359" t="n">
        <v>384</v>
      </c>
      <c r="B388" s="360" t="inlineStr">
        <is>
          <t>月例</t>
        </is>
      </c>
      <c r="C388" s="361" t="n">
        <v>45989</v>
      </c>
      <c r="D388" s="362" t="inlineStr">
        <is>
          <t>賃借料</t>
        </is>
      </c>
      <c r="E388" s="362" t="n"/>
      <c r="F388" s="362" t="inlineStr">
        <is>
          <t>基幹システム用機器賃借料　10月分（短期）</t>
        </is>
      </c>
      <c r="G388" s="363" t="n">
        <v>672934</v>
      </c>
      <c r="H388" s="360" t="n">
        <v>2</v>
      </c>
      <c r="I388" s="360" t="inlineStr">
        <is>
          <t>昨年実績</t>
        </is>
      </c>
      <c r="J388" s="364">
        <f>IF($G388="","",IF($H388=1,$G388-ROUND($G388*10/23,0)-2*ROUND($G388/23,0),IF($H388=2,$G388,0)))</f>
        <v>672934</v>
      </c>
      <c r="K388" s="364">
        <f>IF($G388="","",IF($H388=1,ROUND($G388*10/23,0),IF($H388=3,$G388-2*ROUND($G388/12,0),IF($H388=4,$G388,IF(OR($H388=5,$H388=7),ROUND($G388*10/11,0),0)))))</f>
        <v>0</v>
      </c>
      <c r="L388" s="364">
        <f>IF($G388="","",IF($H388=1,ROUND($G388/23,0),IF($H388=3,ROUND($G388/12,0),IF($H388=5,$G388-ROUND($G388*10/11,0),IF($H388=8,$G388,0)))))</f>
        <v>0</v>
      </c>
      <c r="M388" s="364">
        <f>IF($G388="","",IF($H388=1,ROUND($G388/23,0),IF($H388=3,ROUND($G388/12,0),IF($H388=6,$G388,IF($H388=7,$G388-ROUND($G388*10/11,0),0)))))</f>
        <v>0</v>
      </c>
      <c r="N388" s="364">
        <f>IF($G388="","",K388+L388+M388)</f>
        <v>0</v>
      </c>
      <c r="O388" s="365" t="str">
        <f>IF($G388="","",IFERROR(VLOOKUP($D388&amp;"|"&amp;$E388,科目表!$A$5:$B$200,2,FALSE),"※未登録"))</f>
        <v>賃借料</v>
      </c>
      <c r="P388" s="359">
        <f>IF(OR($G388="",$C388=""),"",IF($B388="決算整理",13,MOD(MONTH($C388)-4,12)+1))</f>
        <v>8</v>
      </c>
      <c r="Q388" s="366" t="str">
        <f>IF($G388="","",TRIM(IF(J388+K388+L388+M388&lt;&gt;$G388,"按分不一致 ","")&amp;IF(O388="※未登録","科目未登録 ","")&amp;IF(OR($H388="",ISERROR(MATCH($H388,{1,2,3,4,5,6,7,8},0))),"経費区分? ","")&amp;IF($I388="","状態未設定 ","")&amp;IF(AND(OR($I388="確認済",$I388="未確認"),$B388="月例",OR($C388="",$C388&lt;DATE(年度+2018,4,1),$C388&gt;DATE(年度+2019,3,31))),"年度外の日付 ","")&amp;IF(AND(OR($I388="確認済",$I388="未確認"),O388="対象外"),"対象外の科目 ","")))</f>
        <v/>
      </c>
      <c r="R388" s="366" t="inlineStr">
        <is>
          <t>月例!404</t>
        </is>
      </c>
    </row>
    <row r="389">
      <c r="A389" s="359" t="n">
        <v>385</v>
      </c>
      <c r="B389" s="360" t="inlineStr">
        <is>
          <t>月例</t>
        </is>
      </c>
      <c r="C389" s="361" t="n">
        <v>45989</v>
      </c>
      <c r="D389" s="362" t="inlineStr">
        <is>
          <t>賃借料</t>
        </is>
      </c>
      <c r="E389" s="362" t="n"/>
      <c r="F389" s="362" t="inlineStr">
        <is>
          <t>基幹システム用機器賃借料　10月分（長期）</t>
        </is>
      </c>
      <c r="G389" s="363" t="n">
        <v>69613</v>
      </c>
      <c r="H389" s="360" t="n">
        <v>3</v>
      </c>
      <c r="I389" s="360" t="inlineStr">
        <is>
          <t>昨年実績</t>
        </is>
      </c>
      <c r="J389" s="364">
        <f>IF($G389="","",IF($H389=1,$G389-ROUND($G389*10/23,0)-2*ROUND($G389/23,0),IF($H389=2,$G389,0)))</f>
        <v>0</v>
      </c>
      <c r="K389" s="364">
        <f>IF($G389="","",IF($H389=1,ROUND($G389*10/23,0),IF($H389=3,$G389-2*ROUND($G389/12,0),IF($H389=4,$G389,IF(OR($H389=5,$H389=7),ROUND($G389*10/11,0),0)))))</f>
        <v>58011</v>
      </c>
      <c r="L389" s="364">
        <f>IF($G389="","",IF($H389=1,ROUND($G389/23,0),IF($H389=3,ROUND($G389/12,0),IF($H389=5,$G389-ROUND($G389*10/11,0),IF($H389=8,$G389,0)))))</f>
        <v>5801</v>
      </c>
      <c r="M389" s="364">
        <f>IF($G389="","",IF($H389=1,ROUND($G389/23,0),IF($H389=3,ROUND($G389/12,0),IF($H389=6,$G389,IF($H389=7,$G389-ROUND($G389*10/11,0),0)))))</f>
        <v>5801</v>
      </c>
      <c r="N389" s="364">
        <f>IF($G389="","",K389+L389+M389)</f>
        <v>69613</v>
      </c>
      <c r="O389" s="365" t="str">
        <f>IF($G389="","",IFERROR(VLOOKUP($D389&amp;"|"&amp;$E389,科目表!$A$5:$B$200,2,FALSE),"※未登録"))</f>
        <v>賃借料</v>
      </c>
      <c r="P389" s="359">
        <f>IF(OR($G389="",$C389=""),"",IF($B389="決算整理",13,MOD(MONTH($C389)-4,12)+1))</f>
        <v>8</v>
      </c>
      <c r="Q389" s="366" t="str">
        <f>IF($G389="","",TRIM(IF(J389+K389+L389+M389&lt;&gt;$G389,"按分不一致 ","")&amp;IF(O389="※未登録","科目未登録 ","")&amp;IF(OR($H389="",ISERROR(MATCH($H389,{1,2,3,4,5,6,7,8},0))),"経費区分? ","")&amp;IF($I389="","状態未設定 ","")&amp;IF(AND(OR($I389="確認済",$I389="未確認"),$B389="月例",OR($C389="",$C389&lt;DATE(年度+2018,4,1),$C389&gt;DATE(年度+2019,3,31))),"年度外の日付 ","")&amp;IF(AND(OR($I389="確認済",$I389="未確認"),O389="対象外"),"対象外の科目 ","")))</f>
        <v/>
      </c>
      <c r="R389" s="366" t="inlineStr">
        <is>
          <t>月例!405</t>
        </is>
      </c>
    </row>
    <row r="390">
      <c r="A390" s="359" t="n">
        <v>386</v>
      </c>
      <c r="B390" s="360" t="inlineStr">
        <is>
          <t>月例</t>
        </is>
      </c>
      <c r="C390" s="361" t="n">
        <v>46356</v>
      </c>
      <c r="D390" s="362" t="inlineStr">
        <is>
          <t>事務費</t>
        </is>
      </c>
      <c r="E390" s="362" t="inlineStr">
        <is>
          <t>事務用消耗品費</t>
        </is>
      </c>
      <c r="F390" s="362" t="inlineStr">
        <is>
          <t>シャチハタネーム　ＥＸ１５号　キャップ式　4個</t>
        </is>
      </c>
      <c r="G390" s="363" t="n">
        <v>15200</v>
      </c>
      <c r="H390" s="360" t="n">
        <v>2</v>
      </c>
      <c r="I390" s="360" t="inlineStr">
        <is>
          <t>確認済</t>
        </is>
      </c>
      <c r="J390" s="364">
        <f>IF($G390="","",IF($H390=1,$G390-ROUND($G390*10/23,0)-2*ROUND($G390/23,0),IF($H390=2,$G390,0)))</f>
        <v>15200</v>
      </c>
      <c r="K390" s="364">
        <f>IF($G390="","",IF($H390=1,ROUND($G390*10/23,0),IF($H390=3,$G390-2*ROUND($G390/12,0),IF($H390=4,$G390,IF(OR($H390=5,$H390=7),ROUND($G390*10/11,0),0)))))</f>
        <v>0</v>
      </c>
      <c r="L390" s="364">
        <f>IF($G390="","",IF($H390=1,ROUND($G390/23,0),IF($H390=3,ROUND($G390/12,0),IF($H390=5,$G390-ROUND($G390*10/11,0),IF($H390=8,$G390,0)))))</f>
        <v>0</v>
      </c>
      <c r="M390" s="364">
        <f>IF($G390="","",IF($H390=1,ROUND($G390/23,0),IF($H390=3,ROUND($G390/12,0),IF($H390=6,$G390,IF($H390=7,$G390-ROUND($G390*10/11,0),0)))))</f>
        <v>0</v>
      </c>
      <c r="N390" s="364">
        <f>IF($G390="","",K390+L390+M390)</f>
        <v>0</v>
      </c>
      <c r="O390" s="365" t="str">
        <f>IF($G390="","",IFERROR(VLOOKUP($D390&amp;"|"&amp;$E390,科目表!$A$5:$B$200,2,FALSE),"※未登録"))</f>
        <v>事務用消耗品費</v>
      </c>
      <c r="P390" s="359">
        <f>IF(OR($G390="",$C390=""),"",IF($B390="決算整理",13,MOD(MONTH($C390)-4,12)+1))</f>
        <v>8</v>
      </c>
      <c r="Q390" s="366" t="str">
        <f>IF($G390="","",TRIM(IF(J390+K390+L390+M390&lt;&gt;$G390,"按分不一致 ","")&amp;IF(O390="※未登録","科目未登録 ","")&amp;IF(OR($H390="",ISERROR(MATCH($H390,{1,2,3,4,5,6,7,8},0))),"経費区分? ","")&amp;IF($I390="","状態未設定 ","")&amp;IF(AND(OR($I390="確認済",$I390="未確認"),$B390="月例",OR($C390="",$C390&lt;DATE(年度+2018,4,1),$C390&gt;DATE(年度+2019,3,31))),"年度外の日付 ","")&amp;IF(AND(OR($I390="確認済",$I390="未確認"),O390="対象外"),"対象外の科目 ","")))</f>
        <v/>
      </c>
      <c r="R390" s="366" t="inlineStr">
        <is>
          <t>月例!406</t>
        </is>
      </c>
    </row>
    <row r="391">
      <c r="A391" s="359" t="n">
        <v>387</v>
      </c>
      <c r="B391" s="360" t="inlineStr">
        <is>
          <t>月例</t>
        </is>
      </c>
      <c r="C391" s="361" t="n">
        <v>45259</v>
      </c>
      <c r="D391" s="362" t="inlineStr">
        <is>
          <t>委託費</t>
        </is>
      </c>
      <c r="E391" s="362" t="n"/>
      <c r="F391" s="362" t="inlineStr">
        <is>
          <t>短期給付に係る個人番号管理システムシンクライアント（契約サービス）</t>
        </is>
      </c>
      <c r="G391" s="363" t="n">
        <v>41976</v>
      </c>
      <c r="H391" s="360" t="n">
        <v>2</v>
      </c>
      <c r="I391" s="360" t="inlineStr">
        <is>
          <t>昨年実績</t>
        </is>
      </c>
      <c r="J391" s="364">
        <f>IF($G391="","",IF($H391=1,$G391-ROUND($G391*10/23,0)-2*ROUND($G391/23,0),IF($H391=2,$G391,0)))</f>
        <v>41976</v>
      </c>
      <c r="K391" s="364">
        <f>IF($G391="","",IF($H391=1,ROUND($G391*10/23,0),IF($H391=3,$G391-2*ROUND($G391/12,0),IF($H391=4,$G391,IF(OR($H391=5,$H391=7),ROUND($G391*10/11,0),0)))))</f>
        <v>0</v>
      </c>
      <c r="L391" s="364">
        <f>IF($G391="","",IF($H391=1,ROUND($G391/23,0),IF($H391=3,ROUND($G391/12,0),IF($H391=5,$G391-ROUND($G391*10/11,0),IF($H391=8,$G391,0)))))</f>
        <v>0</v>
      </c>
      <c r="M391" s="364">
        <f>IF($G391="","",IF($H391=1,ROUND($G391/23,0),IF($H391=3,ROUND($G391/12,0),IF($H391=6,$G391,IF($H391=7,$G391-ROUND($G391*10/11,0),0)))))</f>
        <v>0</v>
      </c>
      <c r="N391" s="364">
        <f>IF($G391="","",K391+L391+M391)</f>
        <v>0</v>
      </c>
      <c r="O391" s="365" t="str">
        <f>IF($G391="","",IFERROR(VLOOKUP($D391&amp;"|"&amp;$E391,科目表!$A$5:$B$200,2,FALSE),"※未登録"))</f>
        <v>委託費</v>
      </c>
      <c r="P391" s="359">
        <f>IF(OR($G391="",$C391=""),"",IF($B391="決算整理",13,MOD(MONTH($C391)-4,12)+1))</f>
        <v>8</v>
      </c>
      <c r="Q391" s="366" t="str">
        <f>IF($G391="","",TRIM(IF(J391+K391+L391+M391&lt;&gt;$G391,"按分不一致 ","")&amp;IF(O391="※未登録","科目未登録 ","")&amp;IF(OR($H391="",ISERROR(MATCH($H391,{1,2,3,4,5,6,7,8},0))),"経費区分? ","")&amp;IF($I391="","状態未設定 ","")&amp;IF(AND(OR($I391="確認済",$I391="未確認"),$B391="月例",OR($C391="",$C391&lt;DATE(年度+2018,4,1),$C391&gt;DATE(年度+2019,3,31))),"年度外の日付 ","")&amp;IF(AND(OR($I391="確認済",$I391="未確認"),O391="対象外"),"対象外の科目 ","")))</f>
        <v/>
      </c>
      <c r="R391" s="366" t="inlineStr">
        <is>
          <t>月例!407</t>
        </is>
      </c>
    </row>
    <row r="392">
      <c r="A392" s="359" t="n">
        <v>388</v>
      </c>
      <c r="B392" s="360" t="inlineStr">
        <is>
          <t>月例</t>
        </is>
      </c>
      <c r="C392" s="361" t="n">
        <v>46254</v>
      </c>
      <c r="D392" s="362" t="inlineStr">
        <is>
          <t>事務費</t>
        </is>
      </c>
      <c r="E392" s="362" t="inlineStr">
        <is>
          <t>図書印刷費</t>
        </is>
      </c>
      <c r="F392" s="362" t="inlineStr">
        <is>
          <t>短期給付決定通知書　６，０００セット</t>
        </is>
      </c>
      <c r="G392" s="363" t="n">
        <v>165000</v>
      </c>
      <c r="H392" s="360" t="n">
        <v>2</v>
      </c>
      <c r="I392" s="360" t="inlineStr">
        <is>
          <t>確認済</t>
        </is>
      </c>
      <c r="J392" s="364">
        <f>IF($G392="","",IF($H392=1,$G392-ROUND($G392*10/23,0)-2*ROUND($G392/23,0),IF($H392=2,$G392,0)))</f>
        <v>165000</v>
      </c>
      <c r="K392" s="364">
        <f>IF($G392="","",IF($H392=1,ROUND($G392*10/23,0),IF($H392=3,$G392-2*ROUND($G392/12,0),IF($H392=4,$G392,IF(OR($H392=5,$H392=7),ROUND($G392*10/11,0),0)))))</f>
        <v>0</v>
      </c>
      <c r="L392" s="364">
        <f>IF($G392="","",IF($H392=1,ROUND($G392/23,0),IF($H392=3,ROUND($G392/12,0),IF($H392=5,$G392-ROUND($G392*10/11,0),IF($H392=8,$G392,0)))))</f>
        <v>0</v>
      </c>
      <c r="M392" s="364">
        <f>IF($G392="","",IF($H392=1,ROUND($G392/23,0),IF($H392=3,ROUND($G392/12,0),IF($H392=6,$G392,IF($H392=7,$G392-ROUND($G392*10/11,0),0)))))</f>
        <v>0</v>
      </c>
      <c r="N392" s="364">
        <f>IF($G392="","",K392+L392+M392)</f>
        <v>0</v>
      </c>
      <c r="O392" s="365" t="str">
        <f>IF($G392="","",IFERROR(VLOOKUP($D392&amp;"|"&amp;$E392,科目表!$A$5:$B$200,2,FALSE),"※未登録"))</f>
        <v>図書印刷費</v>
      </c>
      <c r="P392" s="359">
        <f>IF(OR($G392="",$C392=""),"",IF($B392="決算整理",13,MOD(MONTH($C392)-4,12)+1))</f>
        <v>5</v>
      </c>
      <c r="Q392" s="366" t="str">
        <f>IF($G392="","",TRIM(IF(J392+K392+L392+M392&lt;&gt;$G392,"按分不一致 ","")&amp;IF(O392="※未登録","科目未登録 ","")&amp;IF(OR($H392="",ISERROR(MATCH($H392,{1,2,3,4,5,6,7,8},0))),"経費区分? ","")&amp;IF($I392="","状態未設定 ","")&amp;IF(AND(OR($I392="確認済",$I392="未確認"),$B392="月例",OR($C392="",$C392&lt;DATE(年度+2018,4,1),$C392&gt;DATE(年度+2019,3,31))),"年度外の日付 ","")&amp;IF(AND(OR($I392="確認済",$I392="未確認"),O392="対象外"),"対象外の科目 ","")))</f>
        <v/>
      </c>
      <c r="R392" s="366" t="inlineStr">
        <is>
          <t>月例!408</t>
        </is>
      </c>
    </row>
    <row r="393">
      <c r="A393" s="359" t="n">
        <v>389</v>
      </c>
      <c r="B393" s="360" t="inlineStr">
        <is>
          <t>月例</t>
        </is>
      </c>
      <c r="C393" s="361" t="n">
        <v>45989</v>
      </c>
      <c r="D393" s="362" t="inlineStr">
        <is>
          <t>事務費</t>
        </is>
      </c>
      <c r="E393" s="362" t="inlineStr">
        <is>
          <t>図書印刷費</t>
        </is>
      </c>
      <c r="F393" s="362" t="inlineStr">
        <is>
          <t>厚生法規総覧追録　６０３６－６０４５号</t>
        </is>
      </c>
      <c r="G393" s="363" t="n">
        <v>33154</v>
      </c>
      <c r="H393" s="360" t="n">
        <v>2</v>
      </c>
      <c r="I393" s="360" t="inlineStr">
        <is>
          <t>昨年実績</t>
        </is>
      </c>
      <c r="J393" s="364">
        <f>IF($G393="","",IF($H393=1,$G393-ROUND($G393*10/23,0)-2*ROUND($G393/23,0),IF($H393=2,$G393,0)))</f>
        <v>33154</v>
      </c>
      <c r="K393" s="364">
        <f>IF($G393="","",IF($H393=1,ROUND($G393*10/23,0),IF($H393=3,$G393-2*ROUND($G393/12,0),IF($H393=4,$G393,IF(OR($H393=5,$H393=7),ROUND($G393*10/11,0),0)))))</f>
        <v>0</v>
      </c>
      <c r="L393" s="364">
        <f>IF($G393="","",IF($H393=1,ROUND($G393/23,0),IF($H393=3,ROUND($G393/12,0),IF($H393=5,$G393-ROUND($G393*10/11,0),IF($H393=8,$G393,0)))))</f>
        <v>0</v>
      </c>
      <c r="M393" s="364">
        <f>IF($G393="","",IF($H393=1,ROUND($G393/23,0),IF($H393=3,ROUND($G393/12,0),IF($H393=6,$G393,IF($H393=7,$G393-ROUND($G393*10/11,0),0)))))</f>
        <v>0</v>
      </c>
      <c r="N393" s="364">
        <f>IF($G393="","",K393+L393+M393)</f>
        <v>0</v>
      </c>
      <c r="O393" s="365" t="str">
        <f>IF($G393="","",IFERROR(VLOOKUP($D393&amp;"|"&amp;$E393,科目表!$A$5:$B$200,2,FALSE),"※未登録"))</f>
        <v>図書印刷費</v>
      </c>
      <c r="P393" s="359">
        <f>IF(OR($G393="",$C393=""),"",IF($B393="決算整理",13,MOD(MONTH($C393)-4,12)+1))</f>
        <v>8</v>
      </c>
      <c r="Q393" s="366" t="str">
        <f>IF($G393="","",TRIM(IF(J393+K393+L393+M393&lt;&gt;$G393,"按分不一致 ","")&amp;IF(O393="※未登録","科目未登録 ","")&amp;IF(OR($H393="",ISERROR(MATCH($H393,{1,2,3,4,5,6,7,8},0))),"経費区分? ","")&amp;IF($I393="","状態未設定 ","")&amp;IF(AND(OR($I393="確認済",$I393="未確認"),$B393="月例",OR($C393="",$C393&lt;DATE(年度+2018,4,1),$C393&gt;DATE(年度+2019,3,31))),"年度外の日付 ","")&amp;IF(AND(OR($I393="確認済",$I393="未確認"),O393="対象外"),"対象外の科目 ","")))</f>
        <v/>
      </c>
      <c r="R393" s="366" t="inlineStr">
        <is>
          <t>月例!409</t>
        </is>
      </c>
    </row>
    <row r="394">
      <c r="A394" s="359" t="n">
        <v>390</v>
      </c>
      <c r="B394" s="360" t="inlineStr">
        <is>
          <t>月例</t>
        </is>
      </c>
      <c r="C394" s="361" t="n">
        <v>46295</v>
      </c>
      <c r="D394" s="362" t="inlineStr">
        <is>
          <t>委託費</t>
        </is>
      </c>
      <c r="E394" s="362" t="n"/>
      <c r="F394" s="362" t="inlineStr">
        <is>
          <t>オフィスライセンス調達（長期）</t>
        </is>
      </c>
      <c r="G394" s="363" t="n">
        <v>153120</v>
      </c>
      <c r="H394" s="360" t="n">
        <v>3</v>
      </c>
      <c r="I394" s="360" t="inlineStr">
        <is>
          <t>確認済</t>
        </is>
      </c>
      <c r="J394" s="364">
        <f>IF($G394="","",IF($H394=1,$G394-ROUND($G394*10/23,0)-2*ROUND($G394/23,0),IF($H394=2,$G394,0)))</f>
        <v>0</v>
      </c>
      <c r="K394" s="364">
        <f>IF($G394="","",IF($H394=1,ROUND($G394*10/23,0),IF($H394=3,$G394-2*ROUND($G394/12,0),IF($H394=4,$G394,IF(OR($H394=5,$H394=7),ROUND($G394*10/11,0),0)))))</f>
        <v>127600</v>
      </c>
      <c r="L394" s="364">
        <f>IF($G394="","",IF($H394=1,ROUND($G394/23,0),IF($H394=3,ROUND($G394/12,0),IF($H394=5,$G394-ROUND($G394*10/11,0),IF($H394=8,$G394,0)))))</f>
        <v>12760</v>
      </c>
      <c r="M394" s="364">
        <f>IF($G394="","",IF($H394=1,ROUND($G394/23,0),IF($H394=3,ROUND($G394/12,0),IF($H394=6,$G394,IF($H394=7,$G394-ROUND($G394*10/11,0),0)))))</f>
        <v>12760</v>
      </c>
      <c r="N394" s="364">
        <f>IF($G394="","",K394+L394+M394)</f>
        <v>153120</v>
      </c>
      <c r="O394" s="365" t="str">
        <f>IF($G394="","",IFERROR(VLOOKUP($D394&amp;"|"&amp;$E394,科目表!$A$5:$B$200,2,FALSE),"※未登録"))</f>
        <v>委託費</v>
      </c>
      <c r="P394" s="359">
        <f>IF(OR($G394="",$C394=""),"",IF($B394="決算整理",13,MOD(MONTH($C394)-4,12)+1))</f>
        <v>6</v>
      </c>
      <c r="Q394" s="366" t="str">
        <f>IF($G394="","",TRIM(IF(J394+K394+L394+M394&lt;&gt;$G394,"按分不一致 ","")&amp;IF(O394="※未登録","科目未登録 ","")&amp;IF(OR($H394="",ISERROR(MATCH($H394,{1,2,3,4,5,6,7,8},0))),"経費区分? ","")&amp;IF($I394="","状態未設定 ","")&amp;IF(AND(OR($I394="確認済",$I394="未確認"),$B394="月例",OR($C394="",$C394&lt;DATE(年度+2018,4,1),$C394&gt;DATE(年度+2019,3,31))),"年度外の日付 ","")&amp;IF(AND(OR($I394="確認済",$I394="未確認"),O394="対象外"),"対象外の科目 ","")))</f>
        <v/>
      </c>
      <c r="R394" s="366" t="inlineStr">
        <is>
          <t>月例!410</t>
        </is>
      </c>
    </row>
    <row r="395">
      <c r="A395" s="359" t="n">
        <v>391</v>
      </c>
      <c r="B395" s="360" t="inlineStr">
        <is>
          <t>月例</t>
        </is>
      </c>
      <c r="C395" s="361" t="n">
        <v>46295</v>
      </c>
      <c r="D395" s="362" t="inlineStr">
        <is>
          <t>委託費</t>
        </is>
      </c>
      <c r="E395" s="362" t="n"/>
      <c r="F395" s="362" t="inlineStr">
        <is>
          <t>オフィスライセンス調達（短期）</t>
        </is>
      </c>
      <c r="G395" s="363" t="n">
        <v>1480160</v>
      </c>
      <c r="H395" s="360" t="n">
        <v>2</v>
      </c>
      <c r="I395" s="360" t="inlineStr">
        <is>
          <t>確認済</t>
        </is>
      </c>
      <c r="J395" s="364">
        <f>IF($G395="","",IF($H395=1,$G395-ROUND($G395*10/23,0)-2*ROUND($G395/23,0),IF($H395=2,$G395,0)))</f>
        <v>1480160</v>
      </c>
      <c r="K395" s="364">
        <f>IF($G395="","",IF($H395=1,ROUND($G395*10/23,0),IF($H395=3,$G395-2*ROUND($G395/12,0),IF($H395=4,$G395,IF(OR($H395=5,$H395=7),ROUND($G395*10/11,0),0)))))</f>
        <v>0</v>
      </c>
      <c r="L395" s="364">
        <f>IF($G395="","",IF($H395=1,ROUND($G395/23,0),IF($H395=3,ROUND($G395/12,0),IF($H395=5,$G395-ROUND($G395*10/11,0),IF($H395=8,$G395,0)))))</f>
        <v>0</v>
      </c>
      <c r="M395" s="364">
        <f>IF($G395="","",IF($H395=1,ROUND($G395/23,0),IF($H395=3,ROUND($G395/12,0),IF($H395=6,$G395,IF($H395=7,$G395-ROUND($G395*10/11,0),0)))))</f>
        <v>0</v>
      </c>
      <c r="N395" s="364">
        <f>IF($G395="","",K395+L395+M395)</f>
        <v>0</v>
      </c>
      <c r="O395" s="365" t="str">
        <f>IF($G395="","",IFERROR(VLOOKUP($D395&amp;"|"&amp;$E395,科目表!$A$5:$B$200,2,FALSE),"※未登録"))</f>
        <v>委託費</v>
      </c>
      <c r="P395" s="359">
        <f>IF(OR($G395="",$C395=""),"",IF($B395="決算整理",13,MOD(MONTH($C395)-4,12)+1))</f>
        <v>6</v>
      </c>
      <c r="Q395" s="366" t="str">
        <f>IF($G395="","",TRIM(IF(J395+K395+L395+M395&lt;&gt;$G395,"按分不一致 ","")&amp;IF(O395="※未登録","科目未登録 ","")&amp;IF(OR($H395="",ISERROR(MATCH($H395,{1,2,3,4,5,6,7,8},0))),"経費区分? ","")&amp;IF($I395="","状態未設定 ","")&amp;IF(AND(OR($I395="確認済",$I395="未確認"),$B395="月例",OR($C395="",$C395&lt;DATE(年度+2018,4,1),$C395&gt;DATE(年度+2019,3,31))),"年度外の日付 ","")&amp;IF(AND(OR($I395="確認済",$I395="未確認"),O395="対象外"),"対象外の科目 ","")))</f>
        <v/>
      </c>
      <c r="R395" s="366" t="inlineStr">
        <is>
          <t>月例!411</t>
        </is>
      </c>
    </row>
    <row r="396">
      <c r="A396" s="359" t="n">
        <v>392</v>
      </c>
      <c r="B396" s="360" t="inlineStr">
        <is>
          <t>月例</t>
        </is>
      </c>
      <c r="C396" s="361" t="n">
        <v>45954</v>
      </c>
      <c r="D396" s="362" t="inlineStr">
        <is>
          <t>委託費</t>
        </is>
      </c>
      <c r="E396" s="362" t="n"/>
      <c r="F396" s="362" t="inlineStr">
        <is>
          <t>基幹・特定検診等システムMicro Focus COBOL 更新ライセンス</t>
        </is>
      </c>
      <c r="G396" s="363" t="n">
        <v>36942</v>
      </c>
      <c r="H396" s="360" t="n">
        <v>3</v>
      </c>
      <c r="I396" s="360" t="inlineStr">
        <is>
          <t>昨年実績</t>
        </is>
      </c>
      <c r="J396" s="364">
        <f>IF($G396="","",IF($H396=1,$G396-ROUND($G396*10/23,0)-2*ROUND($G396/23,0),IF($H396=2,$G396,0)))</f>
        <v>0</v>
      </c>
      <c r="K396" s="364">
        <f>IF($G396="","",IF($H396=1,ROUND($G396*10/23,0),IF($H396=3,$G396-2*ROUND($G396/12,0),IF($H396=4,$G396,IF(OR($H396=5,$H396=7),ROUND($G396*10/11,0),0)))))</f>
        <v>30784</v>
      </c>
      <c r="L396" s="364">
        <f>IF($G396="","",IF($H396=1,ROUND($G396/23,0),IF($H396=3,ROUND($G396/12,0),IF($H396=5,$G396-ROUND($G396*10/11,0),IF($H396=8,$G396,0)))))</f>
        <v>3079</v>
      </c>
      <c r="M396" s="364">
        <f>IF($G396="","",IF($H396=1,ROUND($G396/23,0),IF($H396=3,ROUND($G396/12,0),IF($H396=6,$G396,IF($H396=7,$G396-ROUND($G396*10/11,0),0)))))</f>
        <v>3079</v>
      </c>
      <c r="N396" s="364">
        <f>IF($G396="","",K396+L396+M396)</f>
        <v>36942</v>
      </c>
      <c r="O396" s="365" t="str">
        <f>IF($G396="","",IFERROR(VLOOKUP($D396&amp;"|"&amp;$E396,科目表!$A$5:$B$200,2,FALSE),"※未登録"))</f>
        <v>委託費</v>
      </c>
      <c r="P396" s="359">
        <f>IF(OR($G396="",$C396=""),"",IF($B396="決算整理",13,MOD(MONTH($C396)-4,12)+1))</f>
        <v>7</v>
      </c>
      <c r="Q396" s="366" t="str">
        <f>IF($G396="","",TRIM(IF(J396+K396+L396+M396&lt;&gt;$G396,"按分不一致 ","")&amp;IF(O396="※未登録","科目未登録 ","")&amp;IF(OR($H396="",ISERROR(MATCH($H396,{1,2,3,4,5,6,7,8},0))),"経費区分? ","")&amp;IF($I396="","状態未設定 ","")&amp;IF(AND(OR($I396="確認済",$I396="未確認"),$B396="月例",OR($C396="",$C396&lt;DATE(年度+2018,4,1),$C396&gt;DATE(年度+2019,3,31))),"年度外の日付 ","")&amp;IF(AND(OR($I396="確認済",$I396="未確認"),O396="対象外"),"対象外の科目 ","")))</f>
        <v/>
      </c>
      <c r="R396" s="366" t="inlineStr">
        <is>
          <t>月例!412</t>
        </is>
      </c>
    </row>
    <row r="397">
      <c r="A397" s="359" t="n">
        <v>393</v>
      </c>
      <c r="B397" s="360" t="inlineStr">
        <is>
          <t>月例</t>
        </is>
      </c>
      <c r="C397" s="361" t="n">
        <v>45954</v>
      </c>
      <c r="D397" s="362" t="inlineStr">
        <is>
          <t>委託費</t>
        </is>
      </c>
      <c r="E397" s="362" t="n"/>
      <c r="F397" s="362" t="inlineStr">
        <is>
          <t>基幹・特定検診等システムMicro Focus COBOL 更新ライセンス</t>
        </is>
      </c>
      <c r="G397" s="363" t="n">
        <v>357112</v>
      </c>
      <c r="H397" s="360" t="n">
        <v>2</v>
      </c>
      <c r="I397" s="360" t="inlineStr">
        <is>
          <t>昨年実績</t>
        </is>
      </c>
      <c r="J397" s="364">
        <f>IF($G397="","",IF($H397=1,$G397-ROUND($G397*10/23,0)-2*ROUND($G397/23,0),IF($H397=2,$G397,0)))</f>
        <v>357112</v>
      </c>
      <c r="K397" s="364">
        <f>IF($G397="","",IF($H397=1,ROUND($G397*10/23,0),IF($H397=3,$G397-2*ROUND($G397/12,0),IF($H397=4,$G397,IF(OR($H397=5,$H397=7),ROUND($G397*10/11,0),0)))))</f>
        <v>0</v>
      </c>
      <c r="L397" s="364">
        <f>IF($G397="","",IF($H397=1,ROUND($G397/23,0),IF($H397=3,ROUND($G397/12,0),IF($H397=5,$G397-ROUND($G397*10/11,0),IF($H397=8,$G397,0)))))</f>
        <v>0</v>
      </c>
      <c r="M397" s="364">
        <f>IF($G397="","",IF($H397=1,ROUND($G397/23,0),IF($H397=3,ROUND($G397/12,0),IF($H397=6,$G397,IF($H397=7,$G397-ROUND($G397*10/11,0),0)))))</f>
        <v>0</v>
      </c>
      <c r="N397" s="364">
        <f>IF($G397="","",K397+L397+M397)</f>
        <v>0</v>
      </c>
      <c r="O397" s="365" t="str">
        <f>IF($G397="","",IFERROR(VLOOKUP($D397&amp;"|"&amp;$E397,科目表!$A$5:$B$200,2,FALSE),"※未登録"))</f>
        <v>委託費</v>
      </c>
      <c r="P397" s="359">
        <f>IF(OR($G397="",$C397=""),"",IF($B397="決算整理",13,MOD(MONTH($C397)-4,12)+1))</f>
        <v>7</v>
      </c>
      <c r="Q397" s="366" t="str">
        <f>IF($G397="","",TRIM(IF(J397+K397+L397+M397&lt;&gt;$G397,"按分不一致 ","")&amp;IF(O397="※未登録","科目未登録 ","")&amp;IF(OR($H397="",ISERROR(MATCH($H397,{1,2,3,4,5,6,7,8},0))),"経費区分? ","")&amp;IF($I397="","状態未設定 ","")&amp;IF(AND(OR($I397="確認済",$I397="未確認"),$B397="月例",OR($C397="",$C397&lt;DATE(年度+2018,4,1),$C397&gt;DATE(年度+2019,3,31))),"年度外の日付 ","")&amp;IF(AND(OR($I397="確認済",$I397="未確認"),O397="対象外"),"対象外の科目 ","")))</f>
        <v/>
      </c>
      <c r="R397" s="366" t="inlineStr">
        <is>
          <t>月例!413</t>
        </is>
      </c>
    </row>
    <row r="398">
      <c r="A398" s="359" t="n">
        <v>394</v>
      </c>
      <c r="B398" s="360" t="inlineStr">
        <is>
          <t>月例</t>
        </is>
      </c>
      <c r="C398" s="361" t="n">
        <v>43798</v>
      </c>
      <c r="D398" s="362" t="inlineStr">
        <is>
          <t>委託費</t>
        </is>
      </c>
      <c r="E398" s="362" t="n"/>
      <c r="F398" s="362" t="inlineStr">
        <is>
          <t>基幹システム機器更改導入準備作業・稼働検証（出張費）</t>
        </is>
      </c>
      <c r="G398" s="363" t="n">
        <v>13449</v>
      </c>
      <c r="H398" s="360" t="n">
        <v>3</v>
      </c>
      <c r="I398" s="360" t="inlineStr">
        <is>
          <t>昨年実績</t>
        </is>
      </c>
      <c r="J398" s="364">
        <f>IF($G398="","",IF($H398=1,$G398-ROUND($G398*10/23,0)-2*ROUND($G398/23,0),IF($H398=2,$G398,0)))</f>
        <v>0</v>
      </c>
      <c r="K398" s="364">
        <f>IF($G398="","",IF($H398=1,ROUND($G398*10/23,0),IF($H398=3,$G398-2*ROUND($G398/12,0),IF($H398=4,$G398,IF(OR($H398=5,$H398=7),ROUND($G398*10/11,0),0)))))</f>
        <v>11207</v>
      </c>
      <c r="L398" s="364">
        <f>IF($G398="","",IF($H398=1,ROUND($G398/23,0),IF($H398=3,ROUND($G398/12,0),IF($H398=5,$G398-ROUND($G398*10/11,0),IF($H398=8,$G398,0)))))</f>
        <v>1121</v>
      </c>
      <c r="M398" s="364">
        <f>IF($G398="","",IF($H398=1,ROUND($G398/23,0),IF($H398=3,ROUND($G398/12,0),IF($H398=6,$G398,IF($H398=7,$G398-ROUND($G398*10/11,0),0)))))</f>
        <v>1121</v>
      </c>
      <c r="N398" s="364">
        <f>IF($G398="","",K398+L398+M398)</f>
        <v>13449</v>
      </c>
      <c r="O398" s="365" t="str">
        <f>IF($G398="","",IFERROR(VLOOKUP($D398&amp;"|"&amp;$E398,科目表!$A$5:$B$200,2,FALSE),"※未登録"))</f>
        <v>委託費</v>
      </c>
      <c r="P398" s="359">
        <f>IF(OR($G398="",$C398=""),"",IF($B398="決算整理",13,MOD(MONTH($C398)-4,12)+1))</f>
        <v>8</v>
      </c>
      <c r="Q398" s="366" t="str">
        <f>IF($G398="","",TRIM(IF(J398+K398+L398+M398&lt;&gt;$G398,"按分不一致 ","")&amp;IF(O398="※未登録","科目未登録 ","")&amp;IF(OR($H398="",ISERROR(MATCH($H398,{1,2,3,4,5,6,7,8},0))),"経費区分? ","")&amp;IF($I398="","状態未設定 ","")&amp;IF(AND(OR($I398="確認済",$I398="未確認"),$B398="月例",OR($C398="",$C398&lt;DATE(年度+2018,4,1),$C398&gt;DATE(年度+2019,3,31))),"年度外の日付 ","")&amp;IF(AND(OR($I398="確認済",$I398="未確認"),O398="対象外"),"対象外の科目 ","")))</f>
        <v/>
      </c>
      <c r="R398" s="366" t="inlineStr">
        <is>
          <t>月例!414</t>
        </is>
      </c>
    </row>
    <row r="399">
      <c r="A399" s="359" t="n">
        <v>395</v>
      </c>
      <c r="B399" s="360" t="inlineStr">
        <is>
          <t>月例</t>
        </is>
      </c>
      <c r="C399" s="361" t="n">
        <v>43798</v>
      </c>
      <c r="D399" s="362" t="inlineStr">
        <is>
          <t>委託費</t>
        </is>
      </c>
      <c r="E399" s="362" t="n"/>
      <c r="F399" s="362" t="inlineStr">
        <is>
          <t>基幹システム機器更改導入準備作業・稼働検証（出張費）</t>
        </is>
      </c>
      <c r="G399" s="363" t="n">
        <v>13449</v>
      </c>
      <c r="H399" s="360" t="n">
        <v>2</v>
      </c>
      <c r="I399" s="360" t="inlineStr">
        <is>
          <t>昨年実績</t>
        </is>
      </c>
      <c r="J399" s="364">
        <f>IF($G399="","",IF($H399=1,$G399-ROUND($G399*10/23,0)-2*ROUND($G399/23,0),IF($H399=2,$G399,0)))</f>
        <v>13449</v>
      </c>
      <c r="K399" s="364">
        <f>IF($G399="","",IF($H399=1,ROUND($G399*10/23,0),IF($H399=3,$G399-2*ROUND($G399/12,0),IF($H399=4,$G399,IF(OR($H399=5,$H399=7),ROUND($G399*10/11,0),0)))))</f>
        <v>0</v>
      </c>
      <c r="L399" s="364">
        <f>IF($G399="","",IF($H399=1,ROUND($G399/23,0),IF($H399=3,ROUND($G399/12,0),IF($H399=5,$G399-ROUND($G399*10/11,0),IF($H399=8,$G399,0)))))</f>
        <v>0</v>
      </c>
      <c r="M399" s="364">
        <f>IF($G399="","",IF($H399=1,ROUND($G399/23,0),IF($H399=3,ROUND($G399/12,0),IF($H399=6,$G399,IF($H399=7,$G399-ROUND($G399*10/11,0),0)))))</f>
        <v>0</v>
      </c>
      <c r="N399" s="364">
        <f>IF($G399="","",K399+L399+M399)</f>
        <v>0</v>
      </c>
      <c r="O399" s="365" t="str">
        <f>IF($G399="","",IFERROR(VLOOKUP($D399&amp;"|"&amp;$E399,科目表!$A$5:$B$200,2,FALSE),"※未登録"))</f>
        <v>委託費</v>
      </c>
      <c r="P399" s="359">
        <f>IF(OR($G399="",$C399=""),"",IF($B399="決算整理",13,MOD(MONTH($C399)-4,12)+1))</f>
        <v>8</v>
      </c>
      <c r="Q399" s="366" t="str">
        <f>IF($G399="","",TRIM(IF(J399+K399+L399+M399&lt;&gt;$G399,"按分不一致 ","")&amp;IF(O399="※未登録","科目未登録 ","")&amp;IF(OR($H399="",ISERROR(MATCH($H399,{1,2,3,4,5,6,7,8},0))),"経費区分? ","")&amp;IF($I399="","状態未設定 ","")&amp;IF(AND(OR($I399="確認済",$I399="未確認"),$B399="月例",OR($C399="",$C399&lt;DATE(年度+2018,4,1),$C399&gt;DATE(年度+2019,3,31))),"年度外の日付 ","")&amp;IF(AND(OR($I399="確認済",$I399="未確認"),O399="対象外"),"対象外の科目 ","")))</f>
        <v/>
      </c>
      <c r="R399" s="366" t="inlineStr">
        <is>
          <t>月例!415</t>
        </is>
      </c>
    </row>
    <row r="400">
      <c r="A400" s="359" t="n">
        <v>396</v>
      </c>
      <c r="B400" s="360" t="inlineStr">
        <is>
          <t>月例</t>
        </is>
      </c>
      <c r="C400" s="361" t="n">
        <v>43798</v>
      </c>
      <c r="D400" s="362" t="inlineStr">
        <is>
          <t>委託費</t>
        </is>
      </c>
      <c r="E400" s="362" t="n"/>
      <c r="F400" s="362" t="inlineStr">
        <is>
          <t>基幹システム機器更改に伴う個別システム改修</t>
        </is>
      </c>
      <c r="G400" s="363" t="n">
        <v>5055402</v>
      </c>
      <c r="H400" s="360" t="n">
        <v>3</v>
      </c>
      <c r="I400" s="360" t="inlineStr">
        <is>
          <t>昨年実績</t>
        </is>
      </c>
      <c r="J400" s="364">
        <f>IF($G400="","",IF($H400=1,$G400-ROUND($G400*10/23,0)-2*ROUND($G400/23,0),IF($H400=2,$G400,0)))</f>
        <v>0</v>
      </c>
      <c r="K400" s="364">
        <f>IF($G400="","",IF($H400=1,ROUND($G400*10/23,0),IF($H400=3,$G400-2*ROUND($G400/12,0),IF($H400=4,$G400,IF(OR($H400=5,$H400=7),ROUND($G400*10/11,0),0)))))</f>
        <v>4212834</v>
      </c>
      <c r="L400" s="364">
        <f>IF($G400="","",IF($H400=1,ROUND($G400/23,0),IF($H400=3,ROUND($G400/12,0),IF($H400=5,$G400-ROUND($G400*10/11,0),IF($H400=8,$G400,0)))))</f>
        <v>421284</v>
      </c>
      <c r="M400" s="364">
        <f>IF($G400="","",IF($H400=1,ROUND($G400/23,0),IF($H400=3,ROUND($G400/12,0),IF($H400=6,$G400,IF($H400=7,$G400-ROUND($G400*10/11,0),0)))))</f>
        <v>421284</v>
      </c>
      <c r="N400" s="364">
        <f>IF($G400="","",K400+L400+M400)</f>
        <v>5055402</v>
      </c>
      <c r="O400" s="365" t="str">
        <f>IF($G400="","",IFERROR(VLOOKUP($D400&amp;"|"&amp;$E400,科目表!$A$5:$B$200,2,FALSE),"※未登録"))</f>
        <v>委託費</v>
      </c>
      <c r="P400" s="359">
        <f>IF(OR($G400="",$C400=""),"",IF($B400="決算整理",13,MOD(MONTH($C400)-4,12)+1))</f>
        <v>8</v>
      </c>
      <c r="Q400" s="366" t="str">
        <f>IF($G400="","",TRIM(IF(J400+K400+L400+M400&lt;&gt;$G400,"按分不一致 ","")&amp;IF(O400="※未登録","科目未登録 ","")&amp;IF(OR($H400="",ISERROR(MATCH($H400,{1,2,3,4,5,6,7,8},0))),"経費区分? ","")&amp;IF($I400="","状態未設定 ","")&amp;IF(AND(OR($I400="確認済",$I400="未確認"),$B400="月例",OR($C400="",$C400&lt;DATE(年度+2018,4,1),$C400&gt;DATE(年度+2019,3,31))),"年度外の日付 ","")&amp;IF(AND(OR($I400="確認済",$I400="未確認"),O400="対象外"),"対象外の科目 ","")))</f>
        <v/>
      </c>
      <c r="R400" s="366" t="inlineStr">
        <is>
          <t>月例!416</t>
        </is>
      </c>
    </row>
    <row r="401">
      <c r="A401" s="359" t="n">
        <v>397</v>
      </c>
      <c r="B401" s="360" t="inlineStr">
        <is>
          <t>月例</t>
        </is>
      </c>
      <c r="C401" s="361" t="n">
        <v>45635</v>
      </c>
      <c r="D401" s="362" t="inlineStr">
        <is>
          <t>委託費</t>
        </is>
      </c>
      <c r="E401" s="362" t="n"/>
      <c r="F401" s="362" t="inlineStr">
        <is>
          <t>基幹システム機器更改に伴う個別システム改修</t>
        </is>
      </c>
      <c r="G401" s="363" t="n">
        <v>6269046</v>
      </c>
      <c r="H401" s="360" t="n">
        <v>2</v>
      </c>
      <c r="I401" s="360" t="inlineStr">
        <is>
          <t>昨年実績</t>
        </is>
      </c>
      <c r="J401" s="364">
        <f>IF($G401="","",IF($H401=1,$G401-ROUND($G401*10/23,0)-2*ROUND($G401/23,0),IF($H401=2,$G401,0)))</f>
        <v>6269046</v>
      </c>
      <c r="K401" s="364">
        <f>IF($G401="","",IF($H401=1,ROUND($G401*10/23,0),IF($H401=3,$G401-2*ROUND($G401/12,0),IF($H401=4,$G401,IF(OR($H401=5,$H401=7),ROUND($G401*10/11,0),0)))))</f>
        <v>0</v>
      </c>
      <c r="L401" s="364">
        <f>IF($G401="","",IF($H401=1,ROUND($G401/23,0),IF($H401=3,ROUND($G401/12,0),IF($H401=5,$G401-ROUND($G401*10/11,0),IF($H401=8,$G401,0)))))</f>
        <v>0</v>
      </c>
      <c r="M401" s="364">
        <f>IF($G401="","",IF($H401=1,ROUND($G401/23,0),IF($H401=3,ROUND($G401/12,0),IF($H401=6,$G401,IF($H401=7,$G401-ROUND($G401*10/11,0),0)))))</f>
        <v>0</v>
      </c>
      <c r="N401" s="364">
        <f>IF($G401="","",K401+L401+M401)</f>
        <v>0</v>
      </c>
      <c r="O401" s="365" t="str">
        <f>IF($G401="","",IFERROR(VLOOKUP($D401&amp;"|"&amp;$E401,科目表!$A$5:$B$200,2,FALSE),"※未登録"))</f>
        <v>委託費</v>
      </c>
      <c r="P401" s="359">
        <f>IF(OR($G401="",$C401=""),"",IF($B401="決算整理",13,MOD(MONTH($C401)-4,12)+1))</f>
        <v>9</v>
      </c>
      <c r="Q401" s="366" t="str">
        <f>IF($G401="","",TRIM(IF(J401+K401+L401+M401&lt;&gt;$G401,"按分不一致 ","")&amp;IF(O401="※未登録","科目未登録 ","")&amp;IF(OR($H401="",ISERROR(MATCH($H401,{1,2,3,4,5,6,7,8},0))),"経費区分? ","")&amp;IF($I401="","状態未設定 ","")&amp;IF(AND(OR($I401="確認済",$I401="未確認"),$B401="月例",OR($C401="",$C401&lt;DATE(年度+2018,4,1),$C401&gt;DATE(年度+2019,3,31))),"年度外の日付 ","")&amp;IF(AND(OR($I401="確認済",$I401="未確認"),O401="対象外"),"対象外の科目 ","")))</f>
        <v/>
      </c>
      <c r="R401" s="366" t="inlineStr">
        <is>
          <t>月例!417</t>
        </is>
      </c>
    </row>
    <row r="402">
      <c r="A402" s="359" t="n">
        <v>398</v>
      </c>
      <c r="B402" s="360" t="inlineStr">
        <is>
          <t>月例</t>
        </is>
      </c>
      <c r="C402" s="361" t="n">
        <v>46324</v>
      </c>
      <c r="D402" s="362" t="inlineStr">
        <is>
          <t>委託費</t>
        </is>
      </c>
      <c r="E402" s="362" t="n"/>
      <c r="F402" s="362" t="inlineStr">
        <is>
          <t>令和９年扶養親族等申告書折り業務</t>
        </is>
      </c>
      <c r="G402" s="363" t="n">
        <v>9685</v>
      </c>
      <c r="H402" s="360" t="n">
        <v>3</v>
      </c>
      <c r="I402" s="360" t="inlineStr">
        <is>
          <t>確認済</t>
        </is>
      </c>
      <c r="J402" s="364">
        <f>IF($G402="","",IF($H402=1,$G402-ROUND($G402*10/23,0)-2*ROUND($G402/23,0),IF($H402=2,$G402,0)))</f>
        <v>0</v>
      </c>
      <c r="K402" s="364">
        <f>IF($G402="","",IF($H402=1,ROUND($G402*10/23,0),IF($H402=3,$G402-2*ROUND($G402/12,0),IF($H402=4,$G402,IF(OR($H402=5,$H402=7),ROUND($G402*10/11,0),0)))))</f>
        <v>8071</v>
      </c>
      <c r="L402" s="364">
        <f>IF($G402="","",IF($H402=1,ROUND($G402/23,0),IF($H402=3,ROUND($G402/12,0),IF($H402=5,$G402-ROUND($G402*10/11,0),IF($H402=8,$G402,0)))))</f>
        <v>807</v>
      </c>
      <c r="M402" s="364">
        <f>IF($G402="","",IF($H402=1,ROUND($G402/23,0),IF($H402=3,ROUND($G402/12,0),IF($H402=6,$G402,IF($H402=7,$G402-ROUND($G402*10/11,0),0)))))</f>
        <v>807</v>
      </c>
      <c r="N402" s="364">
        <f>IF($G402="","",K402+L402+M402)</f>
        <v>9685</v>
      </c>
      <c r="O402" s="365" t="str">
        <f>IF($G402="","",IFERROR(VLOOKUP($D402&amp;"|"&amp;$E402,科目表!$A$5:$B$200,2,FALSE),"※未登録"))</f>
        <v>委託費</v>
      </c>
      <c r="P402" s="359">
        <f>IF(OR($G402="",$C402=""),"",IF($B402="決算整理",13,MOD(MONTH($C402)-4,12)+1))</f>
        <v>7</v>
      </c>
      <c r="Q402" s="366" t="str">
        <f>IF($G402="","",TRIM(IF(J402+K402+L402+M402&lt;&gt;$G402,"按分不一致 ","")&amp;IF(O402="※未登録","科目未登録 ","")&amp;IF(OR($H402="",ISERROR(MATCH($H402,{1,2,3,4,5,6,7,8},0))),"経費区分? ","")&amp;IF($I402="","状態未設定 ","")&amp;IF(AND(OR($I402="確認済",$I402="未確認"),$B402="月例",OR($C402="",$C402&lt;DATE(年度+2018,4,1),$C402&gt;DATE(年度+2019,3,31))),"年度外の日付 ","")&amp;IF(AND(OR($I402="確認済",$I402="未確認"),O402="対象外"),"対象外の科目 ","")))</f>
        <v/>
      </c>
      <c r="R402" s="366" t="inlineStr">
        <is>
          <t>月例!418</t>
        </is>
      </c>
    </row>
    <row r="403">
      <c r="A403" s="359" t="n">
        <v>399</v>
      </c>
      <c r="B403" s="360" t="inlineStr">
        <is>
          <t>月例</t>
        </is>
      </c>
      <c r="C403" s="361" t="n">
        <v>45987</v>
      </c>
      <c r="D403" s="362" t="inlineStr">
        <is>
          <t>負担金</t>
        </is>
      </c>
      <c r="E403" s="362" t="inlineStr">
        <is>
          <t>負担金</t>
        </is>
      </c>
      <c r="F403" s="362" t="inlineStr">
        <is>
          <t>共済短期・介護負担金（11月月例分）長期</t>
        </is>
      </c>
      <c r="G403" s="363" t="n">
        <v>22835</v>
      </c>
      <c r="H403" s="360" t="n">
        <v>3</v>
      </c>
      <c r="I403" s="360" t="inlineStr">
        <is>
          <t>昨年実績</t>
        </is>
      </c>
      <c r="J403" s="364">
        <f>IF($G403="","",IF($H403=1,$G403-ROUND($G403*10/23,0)-2*ROUND($G403/23,0),IF($H403=2,$G403,0)))</f>
        <v>0</v>
      </c>
      <c r="K403" s="364">
        <f>IF($G403="","",IF($H403=1,ROUND($G403*10/23,0),IF($H403=3,$G403-2*ROUND($G403/12,0),IF($H403=4,$G403,IF(OR($H403=5,$H403=7),ROUND($G403*10/11,0),0)))))</f>
        <v>19029</v>
      </c>
      <c r="L403" s="364">
        <f>IF($G403="","",IF($H403=1,ROUND($G403/23,0),IF($H403=3,ROUND($G403/12,0),IF($H403=5,$G403-ROUND($G403*10/11,0),IF($H403=8,$G403,0)))))</f>
        <v>1903</v>
      </c>
      <c r="M403" s="364">
        <f>IF($G403="","",IF($H403=1,ROUND($G403/23,0),IF($H403=3,ROUND($G403/12,0),IF($H403=6,$G403,IF($H403=7,$G403-ROUND($G403*10/11,0),0)))))</f>
        <v>1903</v>
      </c>
      <c r="N403" s="364">
        <f>IF($G403="","",K403+L403+M403)</f>
        <v>22835</v>
      </c>
      <c r="O403" s="365" t="str">
        <f>IF($G403="","",IFERROR(VLOOKUP($D403&amp;"|"&amp;$E403,科目表!$A$5:$B$200,2,FALSE),"※未登録"))</f>
        <v>共済負担金等</v>
      </c>
      <c r="P403" s="359">
        <f>IF(OR($G403="",$C403=""),"",IF($B403="決算整理",13,MOD(MONTH($C403)-4,12)+1))</f>
        <v>8</v>
      </c>
      <c r="Q403" s="366" t="str">
        <f>IF($G403="","",TRIM(IF(J403+K403+L403+M403&lt;&gt;$G403,"按分不一致 ","")&amp;IF(O403="※未登録","科目未登録 ","")&amp;IF(OR($H403="",ISERROR(MATCH($H403,{1,2,3,4,5,6,7,8},0))),"経費区分? ","")&amp;IF($I403="","状態未設定 ","")&amp;IF(AND(OR($I403="確認済",$I403="未確認"),$B403="月例",OR($C403="",$C403&lt;DATE(年度+2018,4,1),$C403&gt;DATE(年度+2019,3,31))),"年度外の日付 ","")&amp;IF(AND(OR($I403="確認済",$I403="未確認"),O403="対象外"),"対象外の科目 ","")))</f>
        <v/>
      </c>
      <c r="R403" s="366" t="inlineStr">
        <is>
          <t>月例!419</t>
        </is>
      </c>
    </row>
    <row r="404">
      <c r="A404" s="359" t="n">
        <v>400</v>
      </c>
      <c r="B404" s="360" t="inlineStr">
        <is>
          <t>月例</t>
        </is>
      </c>
      <c r="C404" s="361" t="n">
        <v>45987</v>
      </c>
      <c r="D404" s="362" t="inlineStr">
        <is>
          <t>負担金</t>
        </is>
      </c>
      <c r="E404" s="362" t="inlineStr">
        <is>
          <t>負担金</t>
        </is>
      </c>
      <c r="F404" s="362" t="inlineStr">
        <is>
          <t>共済短期・介護負担金（11月月例分）短期</t>
        </is>
      </c>
      <c r="G404" s="363" t="n">
        <v>39697</v>
      </c>
      <c r="H404" s="360" t="n">
        <v>2</v>
      </c>
      <c r="I404" s="360" t="inlineStr">
        <is>
          <t>昨年実績</t>
        </is>
      </c>
      <c r="J404" s="364">
        <f>IF($G404="","",IF($H404=1,$G404-ROUND($G404*10/23,0)-2*ROUND($G404/23,0),IF($H404=2,$G404,0)))</f>
        <v>39697</v>
      </c>
      <c r="K404" s="364">
        <f>IF($G404="","",IF($H404=1,ROUND($G404*10/23,0),IF($H404=3,$G404-2*ROUND($G404/12,0),IF($H404=4,$G404,IF(OR($H404=5,$H404=7),ROUND($G404*10/11,0),0)))))</f>
        <v>0</v>
      </c>
      <c r="L404" s="364">
        <f>IF($G404="","",IF($H404=1,ROUND($G404/23,0),IF($H404=3,ROUND($G404/12,0),IF($H404=5,$G404-ROUND($G404*10/11,0),IF($H404=8,$G404,0)))))</f>
        <v>0</v>
      </c>
      <c r="M404" s="364">
        <f>IF($G404="","",IF($H404=1,ROUND($G404/23,0),IF($H404=3,ROUND($G404/12,0),IF($H404=6,$G404,IF($H404=7,$G404-ROUND($G404*10/11,0),0)))))</f>
        <v>0</v>
      </c>
      <c r="N404" s="364">
        <f>IF($G404="","",K404+L404+M404)</f>
        <v>0</v>
      </c>
      <c r="O404" s="365" t="str">
        <f>IF($G404="","",IFERROR(VLOOKUP($D404&amp;"|"&amp;$E404,科目表!$A$5:$B$200,2,FALSE),"※未登録"))</f>
        <v>共済負担金等</v>
      </c>
      <c r="P404" s="359">
        <f>IF(OR($G404="",$C404=""),"",IF($B404="決算整理",13,MOD(MONTH($C404)-4,12)+1))</f>
        <v>8</v>
      </c>
      <c r="Q404" s="366" t="str">
        <f>IF($G404="","",TRIM(IF(J404+K404+L404+M404&lt;&gt;$G404,"按分不一致 ","")&amp;IF(O404="※未登録","科目未登録 ","")&amp;IF(OR($H404="",ISERROR(MATCH($H404,{1,2,3,4,5,6,7,8},0))),"経費区分? ","")&amp;IF($I404="","状態未設定 ","")&amp;IF(AND(OR($I404="確認済",$I404="未確認"),$B404="月例",OR($C404="",$C404&lt;DATE(年度+2018,4,1),$C404&gt;DATE(年度+2019,3,31))),"年度外の日付 ","")&amp;IF(AND(OR($I404="確認済",$I404="未確認"),O404="対象外"),"対象外の科目 ","")))</f>
        <v/>
      </c>
      <c r="R404" s="366" t="inlineStr">
        <is>
          <t>月例!420</t>
        </is>
      </c>
    </row>
    <row r="405">
      <c r="A405" s="359" t="n">
        <v>401</v>
      </c>
      <c r="B405" s="360" t="inlineStr">
        <is>
          <t>月例</t>
        </is>
      </c>
      <c r="C405" s="361" t="n">
        <v>45975</v>
      </c>
      <c r="D405" s="362" t="inlineStr">
        <is>
          <t>事務費</t>
        </is>
      </c>
      <c r="E405" s="362" t="inlineStr">
        <is>
          <t>事務用消耗品費</t>
        </is>
      </c>
      <c r="F405" s="362" t="inlineStr">
        <is>
          <t>机上プリンターラック　　PR-21 171-777　1台</t>
        </is>
      </c>
      <c r="G405" s="363" t="n">
        <v>19260</v>
      </c>
      <c r="H405" s="360" t="n">
        <v>3</v>
      </c>
      <c r="I405" s="360" t="inlineStr">
        <is>
          <t>昨年実績</t>
        </is>
      </c>
      <c r="J405" s="364">
        <f>IF($G405="","",IF($H405=1,$G405-ROUND($G405*10/23,0)-2*ROUND($G405/23,0),IF($H405=2,$G405,0)))</f>
        <v>0</v>
      </c>
      <c r="K405" s="364">
        <f>IF($G405="","",IF($H405=1,ROUND($G405*10/23,0),IF($H405=3,$G405-2*ROUND($G405/12,0),IF($H405=4,$G405,IF(OR($H405=5,$H405=7),ROUND($G405*10/11,0),0)))))</f>
        <v>16050</v>
      </c>
      <c r="L405" s="364">
        <f>IF($G405="","",IF($H405=1,ROUND($G405/23,0),IF($H405=3,ROUND($G405/12,0),IF($H405=5,$G405-ROUND($G405*10/11,0),IF($H405=8,$G405,0)))))</f>
        <v>1605</v>
      </c>
      <c r="M405" s="364">
        <f>IF($G405="","",IF($H405=1,ROUND($G405/23,0),IF($H405=3,ROUND($G405/12,0),IF($H405=6,$G405,IF($H405=7,$G405-ROUND($G405*10/11,0),0)))))</f>
        <v>1605</v>
      </c>
      <c r="N405" s="364">
        <f>IF($G405="","",K405+L405+M405)</f>
        <v>19260</v>
      </c>
      <c r="O405" s="365" t="str">
        <f>IF($G405="","",IFERROR(VLOOKUP($D405&amp;"|"&amp;$E405,科目表!$A$5:$B$200,2,FALSE),"※未登録"))</f>
        <v>事務用消耗品費</v>
      </c>
      <c r="P405" s="359">
        <f>IF(OR($G405="",$C405=""),"",IF($B405="決算整理",13,MOD(MONTH($C405)-4,12)+1))</f>
        <v>8</v>
      </c>
      <c r="Q405" s="366" t="str">
        <f>IF($G405="","",TRIM(IF(J405+K405+L405+M405&lt;&gt;$G405,"按分不一致 ","")&amp;IF(O405="※未登録","科目未登録 ","")&amp;IF(OR($H405="",ISERROR(MATCH($H405,{1,2,3,4,5,6,7,8},0))),"経費区分? ","")&amp;IF($I405="","状態未設定 ","")&amp;IF(AND(OR($I405="確認済",$I405="未確認"),$B405="月例",OR($C405="",$C405&lt;DATE(年度+2018,4,1),$C405&gt;DATE(年度+2019,3,31))),"年度外の日付 ","")&amp;IF(AND(OR($I405="確認済",$I405="未確認"),O405="対象外"),"対象外の科目 ","")))</f>
        <v/>
      </c>
      <c r="R405" s="366" t="inlineStr">
        <is>
          <t>月例!421</t>
        </is>
      </c>
    </row>
    <row r="406">
      <c r="A406" s="359" t="n">
        <v>402</v>
      </c>
      <c r="B406" s="360" t="inlineStr">
        <is>
          <t>月例</t>
        </is>
      </c>
      <c r="C406" s="361" t="n">
        <v>45625</v>
      </c>
      <c r="D406" s="362" t="inlineStr">
        <is>
          <t>賃借料</t>
        </is>
      </c>
      <c r="E406" s="362" t="n"/>
      <c r="F406" s="362" t="inlineStr">
        <is>
          <t>サーバーラック賃借料（ＪＥＣＣ）（４～１０月分）（短期）</t>
        </is>
      </c>
      <c r="G406" s="363" t="n">
        <v>1967</v>
      </c>
      <c r="H406" s="360" t="n">
        <v>2</v>
      </c>
      <c r="I406" s="360" t="inlineStr">
        <is>
          <t>昨年実績</t>
        </is>
      </c>
      <c r="J406" s="364">
        <f>IF($G406="","",IF($H406=1,$G406-ROUND($G406*10/23,0)-2*ROUND($G406/23,0),IF($H406=2,$G406,0)))</f>
        <v>1967</v>
      </c>
      <c r="K406" s="364">
        <f>IF($G406="","",IF($H406=1,ROUND($G406*10/23,0),IF($H406=3,$G406-2*ROUND($G406/12,0),IF($H406=4,$G406,IF(OR($H406=5,$H406=7),ROUND($G406*10/11,0),0)))))</f>
        <v>0</v>
      </c>
      <c r="L406" s="364">
        <f>IF($G406="","",IF($H406=1,ROUND($G406/23,0),IF($H406=3,ROUND($G406/12,0),IF($H406=5,$G406-ROUND($G406*10/11,0),IF($H406=8,$G406,0)))))</f>
        <v>0</v>
      </c>
      <c r="M406" s="364">
        <f>IF($G406="","",IF($H406=1,ROUND($G406/23,0),IF($H406=3,ROUND($G406/12,0),IF($H406=6,$G406,IF($H406=7,$G406-ROUND($G406*10/11,0),0)))))</f>
        <v>0</v>
      </c>
      <c r="N406" s="364">
        <f>IF($G406="","",K406+L406+M406)</f>
        <v>0</v>
      </c>
      <c r="O406" s="365" t="str">
        <f>IF($G406="","",IFERROR(VLOOKUP($D406&amp;"|"&amp;$E406,科目表!$A$5:$B$200,2,FALSE),"※未登録"))</f>
        <v>賃借料</v>
      </c>
      <c r="P406" s="359">
        <f>IF(OR($G406="",$C406=""),"",IF($B406="決算整理",13,MOD(MONTH($C406)-4,12)+1))</f>
        <v>8</v>
      </c>
      <c r="Q406" s="366" t="str">
        <f>IF($G406="","",TRIM(IF(J406+K406+L406+M406&lt;&gt;$G406,"按分不一致 ","")&amp;IF(O406="※未登録","科目未登録 ","")&amp;IF(OR($H406="",ISERROR(MATCH($H406,{1,2,3,4,5,6,7,8},0))),"経費区分? ","")&amp;IF($I406="","状態未設定 ","")&amp;IF(AND(OR($I406="確認済",$I406="未確認"),$B406="月例",OR($C406="",$C406&lt;DATE(年度+2018,4,1),$C406&gt;DATE(年度+2019,3,31))),"年度外の日付 ","")&amp;IF(AND(OR($I406="確認済",$I406="未確認"),O406="対象外"),"対象外の科目 ","")))</f>
        <v/>
      </c>
      <c r="R406" s="366" t="inlineStr">
        <is>
          <t>月例!422</t>
        </is>
      </c>
    </row>
    <row r="407">
      <c r="A407" s="359" t="n">
        <v>403</v>
      </c>
      <c r="B407" s="360" t="inlineStr">
        <is>
          <t>月例</t>
        </is>
      </c>
      <c r="C407" s="361" t="n">
        <v>45625</v>
      </c>
      <c r="D407" s="362" t="inlineStr">
        <is>
          <t>賃借料</t>
        </is>
      </c>
      <c r="E407" s="362" t="n"/>
      <c r="F407" s="362" t="inlineStr">
        <is>
          <t>サーバーラック賃借料（ＪＥＣＣ）（４～１０月分）（長期）</t>
        </is>
      </c>
      <c r="G407" s="363" t="n">
        <v>217</v>
      </c>
      <c r="H407" s="360" t="n">
        <v>3</v>
      </c>
      <c r="I407" s="360" t="inlineStr">
        <is>
          <t>昨年実績</t>
        </is>
      </c>
      <c r="J407" s="364">
        <f>IF($G407="","",IF($H407=1,$G407-ROUND($G407*10/23,0)-2*ROUND($G407/23,0),IF($H407=2,$G407,0)))</f>
        <v>0</v>
      </c>
      <c r="K407" s="364">
        <f>IF($G407="","",IF($H407=1,ROUND($G407*10/23,0),IF($H407=3,$G407-2*ROUND($G407/12,0),IF($H407=4,$G407,IF(OR($H407=5,$H407=7),ROUND($G407*10/11,0),0)))))</f>
        <v>181</v>
      </c>
      <c r="L407" s="364">
        <f>IF($G407="","",IF($H407=1,ROUND($G407/23,0),IF($H407=3,ROUND($G407/12,0),IF($H407=5,$G407-ROUND($G407*10/11,0),IF($H407=8,$G407,0)))))</f>
        <v>18</v>
      </c>
      <c r="M407" s="364">
        <f>IF($G407="","",IF($H407=1,ROUND($G407/23,0),IF($H407=3,ROUND($G407/12,0),IF($H407=6,$G407,IF($H407=7,$G407-ROUND($G407*10/11,0),0)))))</f>
        <v>18</v>
      </c>
      <c r="N407" s="364">
        <f>IF($G407="","",K407+L407+M407)</f>
        <v>217</v>
      </c>
      <c r="O407" s="365" t="str">
        <f>IF($G407="","",IFERROR(VLOOKUP($D407&amp;"|"&amp;$E407,科目表!$A$5:$B$200,2,FALSE),"※未登録"))</f>
        <v>賃借料</v>
      </c>
      <c r="P407" s="359">
        <f>IF(OR($G407="",$C407=""),"",IF($B407="決算整理",13,MOD(MONTH($C407)-4,12)+1))</f>
        <v>8</v>
      </c>
      <c r="Q407" s="366" t="str">
        <f>IF($G407="","",TRIM(IF(J407+K407+L407+M407&lt;&gt;$G407,"按分不一致 ","")&amp;IF(O407="※未登録","科目未登録 ","")&amp;IF(OR($H407="",ISERROR(MATCH($H407,{1,2,3,4,5,6,7,8},0))),"経費区分? ","")&amp;IF($I407="","状態未設定 ","")&amp;IF(AND(OR($I407="確認済",$I407="未確認"),$B407="月例",OR($C407="",$C407&lt;DATE(年度+2018,4,1),$C407&gt;DATE(年度+2019,3,31))),"年度外の日付 ","")&amp;IF(AND(OR($I407="確認済",$I407="未確認"),O407="対象外"),"対象外の科目 ","")))</f>
        <v/>
      </c>
      <c r="R407" s="366" t="inlineStr">
        <is>
          <t>月例!423</t>
        </is>
      </c>
    </row>
    <row r="408">
      <c r="A408" s="359" t="n">
        <v>404</v>
      </c>
      <c r="B408" s="360" t="inlineStr">
        <is>
          <t>月例</t>
        </is>
      </c>
      <c r="C408" s="361" t="n">
        <v>45992</v>
      </c>
      <c r="D408" s="362" t="inlineStr">
        <is>
          <t>負担金</t>
        </is>
      </c>
      <c r="E408" s="362" t="inlineStr">
        <is>
          <t>厚年負担金等</t>
        </is>
      </c>
      <c r="F408" s="362" t="inlineStr">
        <is>
          <t>１０月月例分（短期分）子ども子育て拠出金を含む</t>
        </is>
      </c>
      <c r="G408" s="363" t="n">
        <v>59913</v>
      </c>
      <c r="H408" s="360" t="n">
        <v>2</v>
      </c>
      <c r="I408" s="360" t="inlineStr">
        <is>
          <t>昨年実績</t>
        </is>
      </c>
      <c r="J408" s="364">
        <f>IF($G408="","",IF($H408=1,$G408-ROUND($G408*10/23,0)-2*ROUND($G408/23,0),IF($H408=2,$G408,0)))</f>
        <v>59913</v>
      </c>
      <c r="K408" s="364">
        <f>IF($G408="","",IF($H408=1,ROUND($G408*10/23,0),IF($H408=3,$G408-2*ROUND($G408/12,0),IF($H408=4,$G408,IF(OR($H408=5,$H408=7),ROUND($G408*10/11,0),0)))))</f>
        <v>0</v>
      </c>
      <c r="L408" s="364">
        <f>IF($G408="","",IF($H408=1,ROUND($G408/23,0),IF($H408=3,ROUND($G408/12,0),IF($H408=5,$G408-ROUND($G408*10/11,0),IF($H408=8,$G408,0)))))</f>
        <v>0</v>
      </c>
      <c r="M408" s="364">
        <f>IF($G408="","",IF($H408=1,ROUND($G408/23,0),IF($H408=3,ROUND($G408/12,0),IF($H408=6,$G408,IF($H408=7,$G408-ROUND($G408*10/11,0),0)))))</f>
        <v>0</v>
      </c>
      <c r="N408" s="364">
        <f>IF($G408="","",K408+L408+M408)</f>
        <v>0</v>
      </c>
      <c r="O408" s="365" t="str">
        <f>IF($G408="","",IFERROR(VLOOKUP($D408&amp;"|"&amp;$E408,科目表!$A$5:$B$200,2,FALSE),"※未登録"))</f>
        <v>厚年負担金等</v>
      </c>
      <c r="P408" s="359">
        <f>IF(OR($G408="",$C408=""),"",IF($B408="決算整理",13,MOD(MONTH($C408)-4,12)+1))</f>
        <v>9</v>
      </c>
      <c r="Q408" s="366" t="str">
        <f>IF($G408="","",TRIM(IF(J408+K408+L408+M408&lt;&gt;$G408,"按分不一致 ","")&amp;IF(O408="※未登録","科目未登録 ","")&amp;IF(OR($H408="",ISERROR(MATCH($H408,{1,2,3,4,5,6,7,8},0))),"経費区分? ","")&amp;IF($I408="","状態未設定 ","")&amp;IF(AND(OR($I408="確認済",$I408="未確認"),$B408="月例",OR($C408="",$C408&lt;DATE(年度+2018,4,1),$C408&gt;DATE(年度+2019,3,31))),"年度外の日付 ","")&amp;IF(AND(OR($I408="確認済",$I408="未確認"),O408="対象外"),"対象外の科目 ","")))</f>
        <v/>
      </c>
      <c r="R408" s="366" t="inlineStr">
        <is>
          <t>月例!425</t>
        </is>
      </c>
    </row>
    <row r="409">
      <c r="A409" s="359" t="n">
        <v>405</v>
      </c>
      <c r="B409" s="360" t="inlineStr">
        <is>
          <t>月例</t>
        </is>
      </c>
      <c r="C409" s="361" t="n">
        <v>45992</v>
      </c>
      <c r="D409" s="362" t="inlineStr">
        <is>
          <t>負担金</t>
        </is>
      </c>
      <c r="E409" s="362" t="inlineStr">
        <is>
          <t>厚年負担金等</t>
        </is>
      </c>
      <c r="F409" s="362" t="inlineStr">
        <is>
          <t>１０月月例分（長期分）子ども子育て拠出金を含む</t>
        </is>
      </c>
      <c r="G409" s="363" t="n">
        <v>37089</v>
      </c>
      <c r="H409" s="360" t="n">
        <v>3</v>
      </c>
      <c r="I409" s="360" t="inlineStr">
        <is>
          <t>昨年実績</t>
        </is>
      </c>
      <c r="J409" s="364">
        <f>IF($G409="","",IF($H409=1,$G409-ROUND($G409*10/23,0)-2*ROUND($G409/23,0),IF($H409=2,$G409,0)))</f>
        <v>0</v>
      </c>
      <c r="K409" s="364">
        <f>IF($G409="","",IF($H409=1,ROUND($G409*10/23,0),IF($H409=3,$G409-2*ROUND($G409/12,0),IF($H409=4,$G409,IF(OR($H409=5,$H409=7),ROUND($G409*10/11,0),0)))))</f>
        <v>30907</v>
      </c>
      <c r="L409" s="364">
        <f>IF($G409="","",IF($H409=1,ROUND($G409/23,0),IF($H409=3,ROUND($G409/12,0),IF($H409=5,$G409-ROUND($G409*10/11,0),IF($H409=8,$G409,0)))))</f>
        <v>3091</v>
      </c>
      <c r="M409" s="364">
        <f>IF($G409="","",IF($H409=1,ROUND($G409/23,0),IF($H409=3,ROUND($G409/12,0),IF($H409=6,$G409,IF($H409=7,$G409-ROUND($G409*10/11,0),0)))))</f>
        <v>3091</v>
      </c>
      <c r="N409" s="364">
        <f>IF($G409="","",K409+L409+M409)</f>
        <v>37089</v>
      </c>
      <c r="O409" s="365" t="str">
        <f>IF($G409="","",IFERROR(VLOOKUP($D409&amp;"|"&amp;$E409,科目表!$A$5:$B$200,2,FALSE),"※未登録"))</f>
        <v>厚年負担金等</v>
      </c>
      <c r="P409" s="359">
        <f>IF(OR($G409="",$C409=""),"",IF($B409="決算整理",13,MOD(MONTH($C409)-4,12)+1))</f>
        <v>9</v>
      </c>
      <c r="Q409" s="366" t="str">
        <f>IF($G409="","",TRIM(IF(J409+K409+L409+M409&lt;&gt;$G409,"按分不一致 ","")&amp;IF(O409="※未登録","科目未登録 ","")&amp;IF(OR($H409="",ISERROR(MATCH($H409,{1,2,3,4,5,6,7,8},0))),"経費区分? ","")&amp;IF($I409="","状態未設定 ","")&amp;IF(AND(OR($I409="確認済",$I409="未確認"),$B409="月例",OR($C409="",$C409&lt;DATE(年度+2018,4,1),$C409&gt;DATE(年度+2019,3,31))),"年度外の日付 ","")&amp;IF(AND(OR($I409="確認済",$I409="未確認"),O409="対象外"),"対象外の科目 ","")))</f>
        <v/>
      </c>
      <c r="R409" s="366" t="inlineStr">
        <is>
          <t>月例!427</t>
        </is>
      </c>
    </row>
    <row r="410">
      <c r="A410" s="359" t="n">
        <v>406</v>
      </c>
      <c r="B410" s="360" t="inlineStr">
        <is>
          <t>月例</t>
        </is>
      </c>
      <c r="C410" s="361" t="n">
        <v>45989</v>
      </c>
      <c r="D410" s="362" t="inlineStr">
        <is>
          <t>委託費</t>
        </is>
      </c>
      <c r="E410" s="362" t="n"/>
      <c r="F410" s="362" t="inlineStr">
        <is>
          <t>柔整等療養費支給申請書の入力（１０月分）</t>
        </is>
      </c>
      <c r="G410" s="363" t="n">
        <v>126870</v>
      </c>
      <c r="H410" s="360" t="n">
        <v>2</v>
      </c>
      <c r="I410" s="360" t="inlineStr">
        <is>
          <t>昨年実績</t>
        </is>
      </c>
      <c r="J410" s="364">
        <f>IF($G410="","",IF($H410=1,$G410-ROUND($G410*10/23,0)-2*ROUND($G410/23,0),IF($H410=2,$G410,0)))</f>
        <v>126870</v>
      </c>
      <c r="K410" s="364">
        <f>IF($G410="","",IF($H410=1,ROUND($G410*10/23,0),IF($H410=3,$G410-2*ROUND($G410/12,0),IF($H410=4,$G410,IF(OR($H410=5,$H410=7),ROUND($G410*10/11,0),0)))))</f>
        <v>0</v>
      </c>
      <c r="L410" s="364">
        <f>IF($G410="","",IF($H410=1,ROUND($G410/23,0),IF($H410=3,ROUND($G410/12,0),IF($H410=5,$G410-ROUND($G410*10/11,0),IF($H410=8,$G410,0)))))</f>
        <v>0</v>
      </c>
      <c r="M410" s="364">
        <f>IF($G410="","",IF($H410=1,ROUND($G410/23,0),IF($H410=3,ROUND($G410/12,0),IF($H410=6,$G410,IF($H410=7,$G410-ROUND($G410*10/11,0),0)))))</f>
        <v>0</v>
      </c>
      <c r="N410" s="364">
        <f>IF($G410="","",K410+L410+M410)</f>
        <v>0</v>
      </c>
      <c r="O410" s="365" t="str">
        <f>IF($G410="","",IFERROR(VLOOKUP($D410&amp;"|"&amp;$E410,科目表!$A$5:$B$200,2,FALSE),"※未登録"))</f>
        <v>委託費</v>
      </c>
      <c r="P410" s="359">
        <f>IF(OR($G410="",$C410=""),"",IF($B410="決算整理",13,MOD(MONTH($C410)-4,12)+1))</f>
        <v>8</v>
      </c>
      <c r="Q410" s="366" t="str">
        <f>IF($G410="","",TRIM(IF(J410+K410+L410+M410&lt;&gt;$G410,"按分不一致 ","")&amp;IF(O410="※未登録","科目未登録 ","")&amp;IF(OR($H410="",ISERROR(MATCH($H410,{1,2,3,4,5,6,7,8},0))),"経費区分? ","")&amp;IF($I410="","状態未設定 ","")&amp;IF(AND(OR($I410="確認済",$I410="未確認"),$B410="月例",OR($C410="",$C410&lt;DATE(年度+2018,4,1),$C410&gt;DATE(年度+2019,3,31))),"年度外の日付 ","")&amp;IF(AND(OR($I410="確認済",$I410="未確認"),O410="対象外"),"対象外の科目 ","")))</f>
        <v/>
      </c>
      <c r="R410" s="366" t="inlineStr">
        <is>
          <t>月例!428</t>
        </is>
      </c>
    </row>
    <row r="411">
      <c r="A411" s="359" t="n">
        <v>407</v>
      </c>
      <c r="B411" s="360" t="inlineStr">
        <is>
          <t>月例</t>
        </is>
      </c>
      <c r="C411" s="361" t="n">
        <v>45260</v>
      </c>
      <c r="D411" s="362" t="inlineStr">
        <is>
          <t>事務費</t>
        </is>
      </c>
      <c r="E411" s="362" t="inlineStr">
        <is>
          <t>通信運搬費</t>
        </is>
      </c>
      <c r="F411" s="362" t="inlineStr">
        <is>
          <t>メール便（任継者宛厚生だより１０月分）</t>
        </is>
      </c>
      <c r="G411" s="363" t="n">
        <v>18392</v>
      </c>
      <c r="H411" s="360" t="n">
        <v>2</v>
      </c>
      <c r="I411" s="360" t="inlineStr">
        <is>
          <t>昨年実績</t>
        </is>
      </c>
      <c r="J411" s="364">
        <f>IF($G411="","",IF($H411=1,$G411-ROUND($G411*10/23,0)-2*ROUND($G411/23,0),IF($H411=2,$G411,0)))</f>
        <v>18392</v>
      </c>
      <c r="K411" s="364">
        <f>IF($G411="","",IF($H411=1,ROUND($G411*10/23,0),IF($H411=3,$G411-2*ROUND($G411/12,0),IF($H411=4,$G411,IF(OR($H411=5,$H411=7),ROUND($G411*10/11,0),0)))))</f>
        <v>0</v>
      </c>
      <c r="L411" s="364">
        <f>IF($G411="","",IF($H411=1,ROUND($G411/23,0),IF($H411=3,ROUND($G411/12,0),IF($H411=5,$G411-ROUND($G411*10/11,0),IF($H411=8,$G411,0)))))</f>
        <v>0</v>
      </c>
      <c r="M411" s="364">
        <f>IF($G411="","",IF($H411=1,ROUND($G411/23,0),IF($H411=3,ROUND($G411/12,0),IF($H411=6,$G411,IF($H411=7,$G411-ROUND($G411*10/11,0),0)))))</f>
        <v>0</v>
      </c>
      <c r="N411" s="364">
        <f>IF($G411="","",K411+L411+M411)</f>
        <v>0</v>
      </c>
      <c r="O411" s="365" t="str">
        <f>IF($G411="","",IFERROR(VLOOKUP($D411&amp;"|"&amp;$E411,科目表!$A$5:$B$200,2,FALSE),"※未登録"))</f>
        <v>通信運搬費</v>
      </c>
      <c r="P411" s="359">
        <f>IF(OR($G411="",$C411=""),"",IF($B411="決算整理",13,MOD(MONTH($C411)-4,12)+1))</f>
        <v>8</v>
      </c>
      <c r="Q411" s="366" t="str">
        <f>IF($G411="","",TRIM(IF(J411+K411+L411+M411&lt;&gt;$G411,"按分不一致 ","")&amp;IF(O411="※未登録","科目未登録 ","")&amp;IF(OR($H411="",ISERROR(MATCH($H411,{1,2,3,4,5,6,7,8},0))),"経費区分? ","")&amp;IF($I411="","状態未設定 ","")&amp;IF(AND(OR($I411="確認済",$I411="未確認"),$B411="月例",OR($C411="",$C411&lt;DATE(年度+2018,4,1),$C411&gt;DATE(年度+2019,3,31))),"年度外の日付 ","")&amp;IF(AND(OR($I411="確認済",$I411="未確認"),O411="対象外"),"対象外の科目 ","")))</f>
        <v/>
      </c>
      <c r="R411" s="366" t="inlineStr">
        <is>
          <t>月例!429</t>
        </is>
      </c>
    </row>
    <row r="412">
      <c r="A412" s="359" t="n">
        <v>408</v>
      </c>
      <c r="B412" s="360" t="inlineStr">
        <is>
          <t>月例</t>
        </is>
      </c>
      <c r="C412" s="361" t="n">
        <v>45260</v>
      </c>
      <c r="D412" s="362" t="inlineStr">
        <is>
          <t>事務費</t>
        </is>
      </c>
      <c r="E412" s="362" t="inlineStr">
        <is>
          <t>通信運搬費</t>
        </is>
      </c>
      <c r="F412" s="362" t="inlineStr">
        <is>
          <t>柔整申請書送付（１０月分）</t>
        </is>
      </c>
      <c r="G412" s="363" t="n">
        <v>1489</v>
      </c>
      <c r="H412" s="360" t="n">
        <v>2</v>
      </c>
      <c r="I412" s="360" t="inlineStr">
        <is>
          <t>昨年実績</t>
        </is>
      </c>
      <c r="J412" s="364">
        <f>IF($G412="","",IF($H412=1,$G412-ROUND($G412*10/23,0)-2*ROUND($G412/23,0),IF($H412=2,$G412,0)))</f>
        <v>1489</v>
      </c>
      <c r="K412" s="364">
        <f>IF($G412="","",IF($H412=1,ROUND($G412*10/23,0),IF($H412=3,$G412-2*ROUND($G412/12,0),IF($H412=4,$G412,IF(OR($H412=5,$H412=7),ROUND($G412*10/11,0),0)))))</f>
        <v>0</v>
      </c>
      <c r="L412" s="364">
        <f>IF($G412="","",IF($H412=1,ROUND($G412/23,0),IF($H412=3,ROUND($G412/12,0),IF($H412=5,$G412-ROUND($G412*10/11,0),IF($H412=8,$G412,0)))))</f>
        <v>0</v>
      </c>
      <c r="M412" s="364">
        <f>IF($G412="","",IF($H412=1,ROUND($G412/23,0),IF($H412=3,ROUND($G412/12,0),IF($H412=6,$G412,IF($H412=7,$G412-ROUND($G412*10/11,0),0)))))</f>
        <v>0</v>
      </c>
      <c r="N412" s="364">
        <f>IF($G412="","",K412+L412+M412)</f>
        <v>0</v>
      </c>
      <c r="O412" s="365" t="str">
        <f>IF($G412="","",IFERROR(VLOOKUP($D412&amp;"|"&amp;$E412,科目表!$A$5:$B$200,2,FALSE),"※未登録"))</f>
        <v>通信運搬費</v>
      </c>
      <c r="P412" s="359">
        <f>IF(OR($G412="",$C412=""),"",IF($B412="決算整理",13,MOD(MONTH($C412)-4,12)+1))</f>
        <v>8</v>
      </c>
      <c r="Q412" s="366" t="str">
        <f>IF($G412="","",TRIM(IF(J412+K412+L412+M412&lt;&gt;$G412,"按分不一致 ","")&amp;IF(O412="※未登録","科目未登録 ","")&amp;IF(OR($H412="",ISERROR(MATCH($H412,{1,2,3,4,5,6,7,8},0))),"経費区分? ","")&amp;IF($I412="","状態未設定 ","")&amp;IF(AND(OR($I412="確認済",$I412="未確認"),$B412="月例",OR($C412="",$C412&lt;DATE(年度+2018,4,1),$C412&gt;DATE(年度+2019,3,31))),"年度外の日付 ","")&amp;IF(AND(OR($I412="確認済",$I412="未確認"),O412="対象外"),"対象外の科目 ","")))</f>
        <v/>
      </c>
      <c r="R412" s="366" t="inlineStr">
        <is>
          <t>月例!430</t>
        </is>
      </c>
    </row>
    <row r="413">
      <c r="A413" s="359" t="n">
        <v>409</v>
      </c>
      <c r="B413" s="360" t="inlineStr">
        <is>
          <t>月例</t>
        </is>
      </c>
      <c r="C413" s="361" t="n">
        <v>43798</v>
      </c>
      <c r="D413" s="362" t="inlineStr">
        <is>
          <t>賃借料</t>
        </is>
      </c>
      <c r="E413" s="362" t="n"/>
      <c r="F413" s="362" t="inlineStr">
        <is>
          <t>基幹システム（短期）用機器リース料１０月分</t>
        </is>
      </c>
      <c r="G413" s="363" t="n">
        <v>193676</v>
      </c>
      <c r="H413" s="360" t="n">
        <v>2</v>
      </c>
      <c r="I413" s="360" t="inlineStr">
        <is>
          <t>昨年実績</t>
        </is>
      </c>
      <c r="J413" s="364">
        <f>IF($G413="","",IF($H413=1,$G413-ROUND($G413*10/23,0)-2*ROUND($G413/23,0),IF($H413=2,$G413,0)))</f>
        <v>193676</v>
      </c>
      <c r="K413" s="364">
        <f>IF($G413="","",IF($H413=1,ROUND($G413*10/23,0),IF($H413=3,$G413-2*ROUND($G413/12,0),IF($H413=4,$G413,IF(OR($H413=5,$H413=7),ROUND($G413*10/11,0),0)))))</f>
        <v>0</v>
      </c>
      <c r="L413" s="364">
        <f>IF($G413="","",IF($H413=1,ROUND($G413/23,0),IF($H413=3,ROUND($G413/12,0),IF($H413=5,$G413-ROUND($G413*10/11,0),IF($H413=8,$G413,0)))))</f>
        <v>0</v>
      </c>
      <c r="M413" s="364">
        <f>IF($G413="","",IF($H413=1,ROUND($G413/23,0),IF($H413=3,ROUND($G413/12,0),IF($H413=6,$G413,IF($H413=7,$G413-ROUND($G413*10/11,0),0)))))</f>
        <v>0</v>
      </c>
      <c r="N413" s="364">
        <f>IF($G413="","",K413+L413+M413)</f>
        <v>0</v>
      </c>
      <c r="O413" s="365" t="str">
        <f>IF($G413="","",IFERROR(VLOOKUP($D413&amp;"|"&amp;$E413,科目表!$A$5:$B$200,2,FALSE),"※未登録"))</f>
        <v>賃借料</v>
      </c>
      <c r="P413" s="359">
        <f>IF(OR($G413="",$C413=""),"",IF($B413="決算整理",13,MOD(MONTH($C413)-4,12)+1))</f>
        <v>8</v>
      </c>
      <c r="Q413" s="366" t="str">
        <f>IF($G413="","",TRIM(IF(J413+K413+L413+M413&lt;&gt;$G413,"按分不一致 ","")&amp;IF(O413="※未登録","科目未登録 ","")&amp;IF(OR($H413="",ISERROR(MATCH($H413,{1,2,3,4,5,6,7,8},0))),"経費区分? ","")&amp;IF($I413="","状態未設定 ","")&amp;IF(AND(OR($I413="確認済",$I413="未確認"),$B413="月例",OR($C413="",$C413&lt;DATE(年度+2018,4,1),$C413&gt;DATE(年度+2019,3,31))),"年度外の日付 ","")&amp;IF(AND(OR($I413="確認済",$I413="未確認"),O413="対象外"),"対象外の科目 ","")))</f>
        <v/>
      </c>
      <c r="R413" s="366" t="inlineStr">
        <is>
          <t>月例!431</t>
        </is>
      </c>
    </row>
    <row r="414">
      <c r="A414" s="359" t="n">
        <v>410</v>
      </c>
      <c r="B414" s="360" t="inlineStr">
        <is>
          <t>月例</t>
        </is>
      </c>
      <c r="C414" s="361" t="n">
        <v>46356</v>
      </c>
      <c r="D414" s="362" t="inlineStr">
        <is>
          <t>賃借料</t>
        </is>
      </c>
      <c r="E414" s="362" t="n"/>
      <c r="F414" s="362" t="inlineStr">
        <is>
          <t>統合管理端末リース料（１０月分）</t>
        </is>
      </c>
      <c r="G414" s="363" t="n">
        <v>12738</v>
      </c>
      <c r="H414" s="360" t="n">
        <v>2</v>
      </c>
      <c r="I414" s="360" t="inlineStr">
        <is>
          <t>確認済</t>
        </is>
      </c>
      <c r="J414" s="364">
        <f>IF($G414="","",IF($H414=1,$G414-ROUND($G414*10/23,0)-2*ROUND($G414/23,0),IF($H414=2,$G414,0)))</f>
        <v>12738</v>
      </c>
      <c r="K414" s="364">
        <f>IF($G414="","",IF($H414=1,ROUND($G414*10/23,0),IF($H414=3,$G414-2*ROUND($G414/12,0),IF($H414=4,$G414,IF(OR($H414=5,$H414=7),ROUND($G414*10/11,0),0)))))</f>
        <v>0</v>
      </c>
      <c r="L414" s="364">
        <f>IF($G414="","",IF($H414=1,ROUND($G414/23,0),IF($H414=3,ROUND($G414/12,0),IF($H414=5,$G414-ROUND($G414*10/11,0),IF($H414=8,$G414,0)))))</f>
        <v>0</v>
      </c>
      <c r="M414" s="364">
        <f>IF($G414="","",IF($H414=1,ROUND($G414/23,0),IF($H414=3,ROUND($G414/12,0),IF($H414=6,$G414,IF($H414=7,$G414-ROUND($G414*10/11,0),0)))))</f>
        <v>0</v>
      </c>
      <c r="N414" s="364">
        <f>IF($G414="","",K414+L414+M414)</f>
        <v>0</v>
      </c>
      <c r="O414" s="365" t="str">
        <f>IF($G414="","",IFERROR(VLOOKUP($D414&amp;"|"&amp;$E414,科目表!$A$5:$B$200,2,FALSE),"※未登録"))</f>
        <v>賃借料</v>
      </c>
      <c r="P414" s="359">
        <f>IF(OR($G414="",$C414=""),"",IF($B414="決算整理",13,MOD(MONTH($C414)-4,12)+1))</f>
        <v>8</v>
      </c>
      <c r="Q414" s="366" t="str">
        <f>IF($G414="","",TRIM(IF(J414+K414+L414+M414&lt;&gt;$G414,"按分不一致 ","")&amp;IF(O414="※未登録","科目未登録 ","")&amp;IF(OR($H414="",ISERROR(MATCH($H414,{1,2,3,4,5,6,7,8},0))),"経費区分? ","")&amp;IF($I414="","状態未設定 ","")&amp;IF(AND(OR($I414="確認済",$I414="未確認"),$B414="月例",OR($C414="",$C414&lt;DATE(年度+2018,4,1),$C414&gt;DATE(年度+2019,3,31))),"年度外の日付 ","")&amp;IF(AND(OR($I414="確認済",$I414="未確認"),O414="対象外"),"対象外の科目 ","")))</f>
        <v/>
      </c>
      <c r="R414" s="366" t="inlineStr">
        <is>
          <t>月例!432</t>
        </is>
      </c>
    </row>
    <row r="415">
      <c r="A415" s="359" t="n">
        <v>411</v>
      </c>
      <c r="B415" s="360" t="inlineStr">
        <is>
          <t>月例</t>
        </is>
      </c>
      <c r="C415" s="361" t="n">
        <v>45260</v>
      </c>
      <c r="D415" s="362" t="inlineStr">
        <is>
          <t>委託費</t>
        </is>
      </c>
      <c r="E415" s="362" t="n"/>
      <c r="F415" s="362" t="inlineStr">
        <is>
          <t>統合管理端末保守料（１０月分）</t>
        </is>
      </c>
      <c r="G415" s="363" t="n">
        <v>5390</v>
      </c>
      <c r="H415" s="360" t="n">
        <v>2</v>
      </c>
      <c r="I415" s="360" t="inlineStr">
        <is>
          <t>昨年実績</t>
        </is>
      </c>
      <c r="J415" s="364">
        <f>IF($G415="","",IF($H415=1,$G415-ROUND($G415*10/23,0)-2*ROUND($G415/23,0),IF($H415=2,$G415,0)))</f>
        <v>5390</v>
      </c>
      <c r="K415" s="364">
        <f>IF($G415="","",IF($H415=1,ROUND($G415*10/23,0),IF($H415=3,$G415-2*ROUND($G415/12,0),IF($H415=4,$G415,IF(OR($H415=5,$H415=7),ROUND($G415*10/11,0),0)))))</f>
        <v>0</v>
      </c>
      <c r="L415" s="364">
        <f>IF($G415="","",IF($H415=1,ROUND($G415/23,0),IF($H415=3,ROUND($G415/12,0),IF($H415=5,$G415-ROUND($G415*10/11,0),IF($H415=8,$G415,0)))))</f>
        <v>0</v>
      </c>
      <c r="M415" s="364">
        <f>IF($G415="","",IF($H415=1,ROUND($G415/23,0),IF($H415=3,ROUND($G415/12,0),IF($H415=6,$G415,IF($H415=7,$G415-ROUND($G415*10/11,0),0)))))</f>
        <v>0</v>
      </c>
      <c r="N415" s="364">
        <f>IF($G415="","",K415+L415+M415)</f>
        <v>0</v>
      </c>
      <c r="O415" s="365" t="str">
        <f>IF($G415="","",IFERROR(VLOOKUP($D415&amp;"|"&amp;$E415,科目表!$A$5:$B$200,2,FALSE),"※未登録"))</f>
        <v>委託費</v>
      </c>
      <c r="P415" s="359">
        <f>IF(OR($G415="",$C415=""),"",IF($B415="決算整理",13,MOD(MONTH($C415)-4,12)+1))</f>
        <v>8</v>
      </c>
      <c r="Q415" s="366" t="str">
        <f>IF($G415="","",TRIM(IF(J415+K415+L415+M415&lt;&gt;$G415,"按分不一致 ","")&amp;IF(O415="※未登録","科目未登録 ","")&amp;IF(OR($H415="",ISERROR(MATCH($H415,{1,2,3,4,5,6,7,8},0))),"経費区分? ","")&amp;IF($I415="","状態未設定 ","")&amp;IF(AND(OR($I415="確認済",$I415="未確認"),$B415="月例",OR($C415="",$C415&lt;DATE(年度+2018,4,1),$C415&gt;DATE(年度+2019,3,31))),"年度外の日付 ","")&amp;IF(AND(OR($I415="確認済",$I415="未確認"),O415="対象外"),"対象外の科目 ","")))</f>
        <v/>
      </c>
      <c r="R415" s="366" t="inlineStr">
        <is>
          <t>月例!433</t>
        </is>
      </c>
    </row>
    <row r="416">
      <c r="A416" s="359" t="n">
        <v>412</v>
      </c>
      <c r="B416" s="360" t="inlineStr">
        <is>
          <t>月例</t>
        </is>
      </c>
      <c r="C416" s="361" t="n">
        <v>44165</v>
      </c>
      <c r="D416" s="362" t="inlineStr">
        <is>
          <t>事務費</t>
        </is>
      </c>
      <c r="E416" s="362" t="inlineStr">
        <is>
          <t>図書印刷費</t>
        </is>
      </c>
      <c r="F416" s="362" t="inlineStr">
        <is>
          <t>国家公務員等共済組合関係通達実例集追録100号</t>
        </is>
      </c>
      <c r="G416" s="363" t="n">
        <v>3993</v>
      </c>
      <c r="H416" s="360" t="n">
        <v>3</v>
      </c>
      <c r="I416" s="360" t="inlineStr">
        <is>
          <t>昨年実績</t>
        </is>
      </c>
      <c r="J416" s="364">
        <f>IF($G416="","",IF($H416=1,$G416-ROUND($G416*10/23,0)-2*ROUND($G416/23,0),IF($H416=2,$G416,0)))</f>
        <v>0</v>
      </c>
      <c r="K416" s="364">
        <f>IF($G416="","",IF($H416=1,ROUND($G416*10/23,0),IF($H416=3,$G416-2*ROUND($G416/12,0),IF($H416=4,$G416,IF(OR($H416=5,$H416=7),ROUND($G416*10/11,0),0)))))</f>
        <v>3327</v>
      </c>
      <c r="L416" s="364">
        <f>IF($G416="","",IF($H416=1,ROUND($G416/23,0),IF($H416=3,ROUND($G416/12,0),IF($H416=5,$G416-ROUND($G416*10/11,0),IF($H416=8,$G416,0)))))</f>
        <v>333</v>
      </c>
      <c r="M416" s="364">
        <f>IF($G416="","",IF($H416=1,ROUND($G416/23,0),IF($H416=3,ROUND($G416/12,0),IF($H416=6,$G416,IF($H416=7,$G416-ROUND($G416*10/11,0),0)))))</f>
        <v>333</v>
      </c>
      <c r="N416" s="364">
        <f>IF($G416="","",K416+L416+M416)</f>
        <v>3993</v>
      </c>
      <c r="O416" s="365" t="str">
        <f>IF($G416="","",IFERROR(VLOOKUP($D416&amp;"|"&amp;$E416,科目表!$A$5:$B$200,2,FALSE),"※未登録"))</f>
        <v>図書印刷費</v>
      </c>
      <c r="P416" s="359">
        <f>IF(OR($G416="",$C416=""),"",IF($B416="決算整理",13,MOD(MONTH($C416)-4,12)+1))</f>
        <v>8</v>
      </c>
      <c r="Q416" s="366" t="str">
        <f>IF($G416="","",TRIM(IF(J416+K416+L416+M416&lt;&gt;$G416,"按分不一致 ","")&amp;IF(O416="※未登録","科目未登録 ","")&amp;IF(OR($H416="",ISERROR(MATCH($H416,{1,2,3,4,5,6,7,8},0))),"経費区分? ","")&amp;IF($I416="","状態未設定 ","")&amp;IF(AND(OR($I416="確認済",$I416="未確認"),$B416="月例",OR($C416="",$C416&lt;DATE(年度+2018,4,1),$C416&gt;DATE(年度+2019,3,31))),"年度外の日付 ","")&amp;IF(AND(OR($I416="確認済",$I416="未確認"),O416="対象外"),"対象外の科目 ","")))</f>
        <v/>
      </c>
      <c r="R416" s="366" t="inlineStr">
        <is>
          <t>月例!434</t>
        </is>
      </c>
    </row>
    <row r="417">
      <c r="A417" s="359" t="n">
        <v>413</v>
      </c>
      <c r="B417" s="360" t="inlineStr">
        <is>
          <t>月例</t>
        </is>
      </c>
      <c r="C417" s="361" t="n">
        <v>46324</v>
      </c>
      <c r="D417" s="362" t="inlineStr">
        <is>
          <t>事務費</t>
        </is>
      </c>
      <c r="E417" s="362" t="inlineStr">
        <is>
          <t>図書印刷費</t>
        </is>
      </c>
      <c r="F417" s="362" t="inlineStr">
        <is>
          <t>国家公務員等共済組合関係法令要覧追録５３９－５４６号</t>
        </is>
      </c>
      <c r="G417" s="363" t="n">
        <v>35200</v>
      </c>
      <c r="H417" s="360" t="n">
        <v>3</v>
      </c>
      <c r="I417" s="360" t="inlineStr">
        <is>
          <t>確認済</t>
        </is>
      </c>
      <c r="J417" s="364">
        <f>IF($G417="","",IF($H417=1,$G417-ROUND($G417*10/23,0)-2*ROUND($G417/23,0),IF($H417=2,$G417,0)))</f>
        <v>0</v>
      </c>
      <c r="K417" s="364">
        <f>IF($G417="","",IF($H417=1,ROUND($G417*10/23,0),IF($H417=3,$G417-2*ROUND($G417/12,0),IF($H417=4,$G417,IF(OR($H417=5,$H417=7),ROUND($G417*10/11,0),0)))))</f>
        <v>29334</v>
      </c>
      <c r="L417" s="364">
        <f>IF($G417="","",IF($H417=1,ROUND($G417/23,0),IF($H417=3,ROUND($G417/12,0),IF($H417=5,$G417-ROUND($G417*10/11,0),IF($H417=8,$G417,0)))))</f>
        <v>2933</v>
      </c>
      <c r="M417" s="364">
        <f>IF($G417="","",IF($H417=1,ROUND($G417/23,0),IF($H417=3,ROUND($G417/12,0),IF($H417=6,$G417,IF($H417=7,$G417-ROUND($G417*10/11,0),0)))))</f>
        <v>2933</v>
      </c>
      <c r="N417" s="364">
        <f>IF($G417="","",K417+L417+M417)</f>
        <v>35200</v>
      </c>
      <c r="O417" s="365" t="str">
        <f>IF($G417="","",IFERROR(VLOOKUP($D417&amp;"|"&amp;$E417,科目表!$A$5:$B$200,2,FALSE),"※未登録"))</f>
        <v>図書印刷費</v>
      </c>
      <c r="P417" s="359">
        <f>IF(OR($G417="",$C417=""),"",IF($B417="決算整理",13,MOD(MONTH($C417)-4,12)+1))</f>
        <v>7</v>
      </c>
      <c r="Q417" s="366" t="str">
        <f>IF($G417="","",TRIM(IF(J417+K417+L417+M417&lt;&gt;$G417,"按分不一致 ","")&amp;IF(O417="※未登録","科目未登録 ","")&amp;IF(OR($H417="",ISERROR(MATCH($H417,{1,2,3,4,5,6,7,8},0))),"経費区分? ","")&amp;IF($I417="","状態未設定 ","")&amp;IF(AND(OR($I417="確認済",$I417="未確認"),$B417="月例",OR($C417="",$C417&lt;DATE(年度+2018,4,1),$C417&gt;DATE(年度+2019,3,31))),"年度外の日付 ","")&amp;IF(AND(OR($I417="確認済",$I417="未確認"),O417="対象外"),"対象外の科目 ","")))</f>
        <v/>
      </c>
      <c r="R417" s="366" t="inlineStr">
        <is>
          <t>月例!435</t>
        </is>
      </c>
    </row>
    <row r="418">
      <c r="A418" s="359" t="n">
        <v>414</v>
      </c>
      <c r="B418" s="360" t="inlineStr">
        <is>
          <t>月例</t>
        </is>
      </c>
      <c r="C418" s="361" t="n">
        <v>44530</v>
      </c>
      <c r="D418" s="362" t="inlineStr">
        <is>
          <t>事務費</t>
        </is>
      </c>
      <c r="E418" s="362" t="inlineStr">
        <is>
          <t>図書印刷費</t>
        </is>
      </c>
      <c r="F418" s="362" t="inlineStr">
        <is>
          <t>地方公務員共済組合関係法令実例判例集追録1077-1083号</t>
        </is>
      </c>
      <c r="G418" s="363" t="n">
        <v>19397</v>
      </c>
      <c r="H418" s="360" t="n">
        <v>3</v>
      </c>
      <c r="I418" s="360" t="inlineStr">
        <is>
          <t>昨年実績</t>
        </is>
      </c>
      <c r="J418" s="364">
        <f>IF($G418="","",IF($H418=1,$G418-ROUND($G418*10/23,0)-2*ROUND($G418/23,0),IF($H418=2,$G418,0)))</f>
        <v>0</v>
      </c>
      <c r="K418" s="364">
        <f>IF($G418="","",IF($H418=1,ROUND($G418*10/23,0),IF($H418=3,$G418-2*ROUND($G418/12,0),IF($H418=4,$G418,IF(OR($H418=5,$H418=7),ROUND($G418*10/11,0),0)))))</f>
        <v>16165</v>
      </c>
      <c r="L418" s="364">
        <f>IF($G418="","",IF($H418=1,ROUND($G418/23,0),IF($H418=3,ROUND($G418/12,0),IF($H418=5,$G418-ROUND($G418*10/11,0),IF($H418=8,$G418,0)))))</f>
        <v>1616</v>
      </c>
      <c r="M418" s="364">
        <f>IF($G418="","",IF($H418=1,ROUND($G418/23,0),IF($H418=3,ROUND($G418/12,0),IF($H418=6,$G418,IF($H418=7,$G418-ROUND($G418*10/11,0),0)))))</f>
        <v>1616</v>
      </c>
      <c r="N418" s="364">
        <f>IF($G418="","",K418+L418+M418)</f>
        <v>19397</v>
      </c>
      <c r="O418" s="365" t="str">
        <f>IF($G418="","",IFERROR(VLOOKUP($D418&amp;"|"&amp;$E418,科目表!$A$5:$B$200,2,FALSE),"※未登録"))</f>
        <v>図書印刷費</v>
      </c>
      <c r="P418" s="359">
        <f>IF(OR($G418="",$C418=""),"",IF($B418="決算整理",13,MOD(MONTH($C418)-4,12)+1))</f>
        <v>8</v>
      </c>
      <c r="Q418" s="366" t="str">
        <f>IF($G418="","",TRIM(IF(J418+K418+L418+M418&lt;&gt;$G418,"按分不一致 ","")&amp;IF(O418="※未登録","科目未登録 ","")&amp;IF(OR($H418="",ISERROR(MATCH($H418,{1,2,3,4,5,6,7,8},0))),"経費区分? ","")&amp;IF($I418="","状態未設定 ","")&amp;IF(AND(OR($I418="確認済",$I418="未確認"),$B418="月例",OR($C418="",$C418&lt;DATE(年度+2018,4,1),$C418&gt;DATE(年度+2019,3,31))),"年度外の日付 ","")&amp;IF(AND(OR($I418="確認済",$I418="未確認"),O418="対象外"),"対象外の科目 ","")))</f>
        <v/>
      </c>
      <c r="R418" s="366" t="inlineStr">
        <is>
          <t>月例!436</t>
        </is>
      </c>
    </row>
    <row r="419">
      <c r="A419" s="359" t="n">
        <v>415</v>
      </c>
      <c r="B419" s="360" t="inlineStr">
        <is>
          <t>月例</t>
        </is>
      </c>
      <c r="C419" s="361" t="n">
        <v>45628</v>
      </c>
      <c r="D419" s="362" t="inlineStr">
        <is>
          <t>事務費</t>
        </is>
      </c>
      <c r="E419" s="362" t="inlineStr">
        <is>
          <t>通信運搬費</t>
        </is>
      </c>
      <c r="F419" s="362" t="inlineStr">
        <is>
          <t>インターネット通信料金（９・１０月利用・１１月請求分）</t>
        </is>
      </c>
      <c r="G419" s="363" t="n">
        <v>3416</v>
      </c>
      <c r="H419" s="360" t="n">
        <v>2</v>
      </c>
      <c r="I419" s="360" t="inlineStr">
        <is>
          <t>昨年実績</t>
        </is>
      </c>
      <c r="J419" s="364">
        <f>IF($G419="","",IF($H419=1,$G419-ROUND($G419*10/23,0)-2*ROUND($G419/23,0),IF($H419=2,$G419,0)))</f>
        <v>3416</v>
      </c>
      <c r="K419" s="364">
        <f>IF($G419="","",IF($H419=1,ROUND($G419*10/23,0),IF($H419=3,$G419-2*ROUND($G419/12,0),IF($H419=4,$G419,IF(OR($H419=5,$H419=7),ROUND($G419*10/11,0),0)))))</f>
        <v>0</v>
      </c>
      <c r="L419" s="364">
        <f>IF($G419="","",IF($H419=1,ROUND($G419/23,0),IF($H419=3,ROUND($G419/12,0),IF($H419=5,$G419-ROUND($G419*10/11,0),IF($H419=8,$G419,0)))))</f>
        <v>0</v>
      </c>
      <c r="M419" s="364">
        <f>IF($G419="","",IF($H419=1,ROUND($G419/23,0),IF($H419=3,ROUND($G419/12,0),IF($H419=6,$G419,IF($H419=7,$G419-ROUND($G419*10/11,0),0)))))</f>
        <v>0</v>
      </c>
      <c r="N419" s="364">
        <f>IF($G419="","",K419+L419+M419)</f>
        <v>0</v>
      </c>
      <c r="O419" s="365" t="str">
        <f>IF($G419="","",IFERROR(VLOOKUP($D419&amp;"|"&amp;$E419,科目表!$A$5:$B$200,2,FALSE),"※未登録"))</f>
        <v>通信運搬費</v>
      </c>
      <c r="P419" s="359">
        <f>IF(OR($G419="",$C419=""),"",IF($B419="決算整理",13,MOD(MONTH($C419)-4,12)+1))</f>
        <v>9</v>
      </c>
      <c r="Q419" s="366" t="str">
        <f>IF($G419="","",TRIM(IF(J419+K419+L419+M419&lt;&gt;$G419,"按分不一致 ","")&amp;IF(O419="※未登録","科目未登録 ","")&amp;IF(OR($H419="",ISERROR(MATCH($H419,{1,2,3,4,5,6,7,8},0))),"経費区分? ","")&amp;IF($I419="","状態未設定 ","")&amp;IF(AND(OR($I419="確認済",$I419="未確認"),$B419="月例",OR($C419="",$C419&lt;DATE(年度+2018,4,1),$C419&gt;DATE(年度+2019,3,31))),"年度外の日付 ","")&amp;IF(AND(OR($I419="確認済",$I419="未確認"),O419="対象外"),"対象外の科目 ","")))</f>
        <v/>
      </c>
      <c r="R419" s="366" t="inlineStr">
        <is>
          <t>月例!437</t>
        </is>
      </c>
    </row>
    <row r="420">
      <c r="A420" s="359" t="n">
        <v>416</v>
      </c>
      <c r="B420" s="360" t="inlineStr">
        <is>
          <t>月例</t>
        </is>
      </c>
      <c r="C420" s="361" t="n">
        <v>46338</v>
      </c>
      <c r="D420" s="362" t="inlineStr">
        <is>
          <t>賃借料</t>
        </is>
      </c>
      <c r="E420" s="362" t="n"/>
      <c r="F420" s="362" t="inlineStr">
        <is>
          <t>標準システム端末等機器賃借料（上期分)</t>
        </is>
      </c>
      <c r="G420" s="363" t="n">
        <v>87450</v>
      </c>
      <c r="H420" s="360" t="n">
        <v>3</v>
      </c>
      <c r="I420" s="360" t="inlineStr">
        <is>
          <t>確認済</t>
        </is>
      </c>
      <c r="J420" s="364">
        <f>IF($G420="","",IF($H420=1,$G420-ROUND($G420*10/23,0)-2*ROUND($G420/23,0),IF($H420=2,$G420,0)))</f>
        <v>0</v>
      </c>
      <c r="K420" s="364">
        <f>IF($G420="","",IF($H420=1,ROUND($G420*10/23,0),IF($H420=3,$G420-2*ROUND($G420/12,0),IF($H420=4,$G420,IF(OR($H420=5,$H420=7),ROUND($G420*10/11,0),0)))))</f>
        <v>72874</v>
      </c>
      <c r="L420" s="364">
        <f>IF($G420="","",IF($H420=1,ROUND($G420/23,0),IF($H420=3,ROUND($G420/12,0),IF($H420=5,$G420-ROUND($G420*10/11,0),IF($H420=8,$G420,0)))))</f>
        <v>7288</v>
      </c>
      <c r="M420" s="364">
        <f>IF($G420="","",IF($H420=1,ROUND($G420/23,0),IF($H420=3,ROUND($G420/12,0),IF($H420=6,$G420,IF($H420=7,$G420-ROUND($G420*10/11,0),0)))))</f>
        <v>7288</v>
      </c>
      <c r="N420" s="364">
        <f>IF($G420="","",K420+L420+M420)</f>
        <v>87450</v>
      </c>
      <c r="O420" s="365" t="str">
        <f>IF($G420="","",IFERROR(VLOOKUP($D420&amp;"|"&amp;$E420,科目表!$A$5:$B$200,2,FALSE),"※未登録"))</f>
        <v>賃借料</v>
      </c>
      <c r="P420" s="359">
        <f>IF(OR($G420="",$C420=""),"",IF($B420="決算整理",13,MOD(MONTH($C420)-4,12)+1))</f>
        <v>8</v>
      </c>
      <c r="Q420" s="366" t="str">
        <f>IF($G420="","",TRIM(IF(J420+K420+L420+M420&lt;&gt;$G420,"按分不一致 ","")&amp;IF(O420="※未登録","科目未登録 ","")&amp;IF(OR($H420="",ISERROR(MATCH($H420,{1,2,3,4,5,6,7,8},0))),"経費区分? ","")&amp;IF($I420="","状態未設定 ","")&amp;IF(AND(OR($I420="確認済",$I420="未確認"),$B420="月例",OR($C420="",$C420&lt;DATE(年度+2018,4,1),$C420&gt;DATE(年度+2019,3,31))),"年度外の日付 ","")&amp;IF(AND(OR($I420="確認済",$I420="未確認"),O420="対象外"),"対象外の科目 ","")))</f>
        <v/>
      </c>
      <c r="R420" s="366" t="inlineStr">
        <is>
          <t>月例!438</t>
        </is>
      </c>
    </row>
    <row r="421">
      <c r="A421" s="359" t="n">
        <v>417</v>
      </c>
      <c r="B421" s="360" t="inlineStr">
        <is>
          <t>月例</t>
        </is>
      </c>
      <c r="C421" s="361" t="n">
        <v>43798</v>
      </c>
      <c r="D421" s="362" t="inlineStr">
        <is>
          <t>賃借料</t>
        </is>
      </c>
      <c r="E421" s="362" t="n"/>
      <c r="F421" s="362" t="inlineStr">
        <is>
          <t>サーバ版標準システム構成機器　増設分（H31.4～R01.5月分)</t>
        </is>
      </c>
      <c r="G421" s="363" t="n">
        <v>14549</v>
      </c>
      <c r="H421" s="360" t="n">
        <v>3</v>
      </c>
      <c r="I421" s="360" t="inlineStr">
        <is>
          <t>昨年実績</t>
        </is>
      </c>
      <c r="J421" s="364">
        <f>IF($G421="","",IF($H421=1,$G421-ROUND($G421*10/23,0)-2*ROUND($G421/23,0),IF($H421=2,$G421,0)))</f>
        <v>0</v>
      </c>
      <c r="K421" s="364">
        <f>IF($G421="","",IF($H421=1,ROUND($G421*10/23,0),IF($H421=3,$G421-2*ROUND($G421/12,0),IF($H421=4,$G421,IF(OR($H421=5,$H421=7),ROUND($G421*10/11,0),0)))))</f>
        <v>12125</v>
      </c>
      <c r="L421" s="364">
        <f>IF($G421="","",IF($H421=1,ROUND($G421/23,0),IF($H421=3,ROUND($G421/12,0),IF($H421=5,$G421-ROUND($G421*10/11,0),IF($H421=8,$G421,0)))))</f>
        <v>1212</v>
      </c>
      <c r="M421" s="364">
        <f>IF($G421="","",IF($H421=1,ROUND($G421/23,0),IF($H421=3,ROUND($G421/12,0),IF($H421=6,$G421,IF($H421=7,$G421-ROUND($G421*10/11,0),0)))))</f>
        <v>1212</v>
      </c>
      <c r="N421" s="364">
        <f>IF($G421="","",K421+L421+M421)</f>
        <v>14549</v>
      </c>
      <c r="O421" s="365" t="str">
        <f>IF($G421="","",IFERROR(VLOOKUP($D421&amp;"|"&amp;$E421,科目表!$A$5:$B$200,2,FALSE),"※未登録"))</f>
        <v>賃借料</v>
      </c>
      <c r="P421" s="359">
        <f>IF(OR($G421="",$C421=""),"",IF($B421="決算整理",13,MOD(MONTH($C421)-4,12)+1))</f>
        <v>8</v>
      </c>
      <c r="Q421" s="366" t="str">
        <f>IF($G421="","",TRIM(IF(J421+K421+L421+M421&lt;&gt;$G421,"按分不一致 ","")&amp;IF(O421="※未登録","科目未登録 ","")&amp;IF(OR($H421="",ISERROR(MATCH($H421,{1,2,3,4,5,6,7,8},0))),"経費区分? ","")&amp;IF($I421="","状態未設定 ","")&amp;IF(AND(OR($I421="確認済",$I421="未確認"),$B421="月例",OR($C421="",$C421&lt;DATE(年度+2018,4,1),$C421&gt;DATE(年度+2019,3,31))),"年度外の日付 ","")&amp;IF(AND(OR($I421="確認済",$I421="未確認"),O421="対象外"),"対象外の科目 ","")))</f>
        <v/>
      </c>
      <c r="R421" s="366" t="inlineStr">
        <is>
          <t>月例!439</t>
        </is>
      </c>
    </row>
    <row r="422">
      <c r="A422" s="359" t="n">
        <v>418</v>
      </c>
      <c r="B422" s="360" t="inlineStr">
        <is>
          <t>月例</t>
        </is>
      </c>
      <c r="C422" s="361" t="n">
        <v>43798</v>
      </c>
      <c r="D422" s="362" t="inlineStr">
        <is>
          <t>賃借料</t>
        </is>
      </c>
      <c r="E422" s="362" t="n"/>
      <c r="F422" s="362" t="inlineStr">
        <is>
          <t>サーバ版標準システム構成機器再リース（R01.6～10月分)</t>
        </is>
      </c>
      <c r="G422" s="363" t="n">
        <v>6795</v>
      </c>
      <c r="H422" s="360" t="n">
        <v>3</v>
      </c>
      <c r="I422" s="360" t="inlineStr">
        <is>
          <t>昨年実績</t>
        </is>
      </c>
      <c r="J422" s="364">
        <f>IF($G422="","",IF($H422=1,$G422-ROUND($G422*10/23,0)-2*ROUND($G422/23,0),IF($H422=2,$G422,0)))</f>
        <v>0</v>
      </c>
      <c r="K422" s="364">
        <f>IF($G422="","",IF($H422=1,ROUND($G422*10/23,0),IF($H422=3,$G422-2*ROUND($G422/12,0),IF($H422=4,$G422,IF(OR($H422=5,$H422=7),ROUND($G422*10/11,0),0)))))</f>
        <v>5663</v>
      </c>
      <c r="L422" s="364">
        <f>IF($G422="","",IF($H422=1,ROUND($G422/23,0),IF($H422=3,ROUND($G422/12,0),IF($H422=5,$G422-ROUND($G422*10/11,0),IF($H422=8,$G422,0)))))</f>
        <v>566</v>
      </c>
      <c r="M422" s="364">
        <f>IF($G422="","",IF($H422=1,ROUND($G422/23,0),IF($H422=3,ROUND($G422/12,0),IF($H422=6,$G422,IF($H422=7,$G422-ROUND($G422*10/11,0),0)))))</f>
        <v>566</v>
      </c>
      <c r="N422" s="364">
        <f>IF($G422="","",K422+L422+M422)</f>
        <v>6795</v>
      </c>
      <c r="O422" s="365" t="str">
        <f>IF($G422="","",IFERROR(VLOOKUP($D422&amp;"|"&amp;$E422,科目表!$A$5:$B$200,2,FALSE),"※未登録"))</f>
        <v>賃借料</v>
      </c>
      <c r="P422" s="359">
        <f>IF(OR($G422="",$C422=""),"",IF($B422="決算整理",13,MOD(MONTH($C422)-4,12)+1))</f>
        <v>8</v>
      </c>
      <c r="Q422" s="366" t="str">
        <f>IF($G422="","",TRIM(IF(J422+K422+L422+M422&lt;&gt;$G422,"按分不一致 ","")&amp;IF(O422="※未登録","科目未登録 ","")&amp;IF(OR($H422="",ISERROR(MATCH($H422,{1,2,3,4,5,6,7,8},0))),"経費区分? ","")&amp;IF($I422="","状態未設定 ","")&amp;IF(AND(OR($I422="確認済",$I422="未確認"),$B422="月例",OR($C422="",$C422&lt;DATE(年度+2018,4,1),$C422&gt;DATE(年度+2019,3,31))),"年度外の日付 ","")&amp;IF(AND(OR($I422="確認済",$I422="未確認"),O422="対象外"),"対象外の科目 ","")))</f>
        <v/>
      </c>
      <c r="R422" s="366" t="inlineStr">
        <is>
          <t>月例!440</t>
        </is>
      </c>
    </row>
    <row r="423">
      <c r="A423" s="359" t="n">
        <v>419</v>
      </c>
      <c r="B423" s="360" t="inlineStr">
        <is>
          <t>月例</t>
        </is>
      </c>
      <c r="C423" s="361" t="n">
        <v>45989</v>
      </c>
      <c r="D423" s="362" t="inlineStr">
        <is>
          <t>事務費</t>
        </is>
      </c>
      <c r="E423" s="362" t="inlineStr">
        <is>
          <t>通信運搬費</t>
        </is>
      </c>
      <c r="F423" s="362" t="inlineStr">
        <is>
          <t>料金後納利用料（１０月分）</t>
        </is>
      </c>
      <c r="G423" s="363" t="n">
        <v>1132380</v>
      </c>
      <c r="H423" s="360" t="n">
        <v>3</v>
      </c>
      <c r="I423" s="360" t="inlineStr">
        <is>
          <t>昨年実績</t>
        </is>
      </c>
      <c r="J423" s="364">
        <f>IF($G423="","",IF($H423=1,$G423-ROUND($G423*10/23,0)-2*ROUND($G423/23,0),IF($H423=2,$G423,0)))</f>
        <v>0</v>
      </c>
      <c r="K423" s="364">
        <f>IF($G423="","",IF($H423=1,ROUND($G423*10/23,0),IF($H423=3,$G423-2*ROUND($G423/12,0),IF($H423=4,$G423,IF(OR($H423=5,$H423=7),ROUND($G423*10/11,0),0)))))</f>
        <v>943650</v>
      </c>
      <c r="L423" s="364">
        <f>IF($G423="","",IF($H423=1,ROUND($G423/23,0),IF($H423=3,ROUND($G423/12,0),IF($H423=5,$G423-ROUND($G423*10/11,0),IF($H423=8,$G423,0)))))</f>
        <v>94365</v>
      </c>
      <c r="M423" s="364">
        <f>IF($G423="","",IF($H423=1,ROUND($G423/23,0),IF($H423=3,ROUND($G423/12,0),IF($H423=6,$G423,IF($H423=7,$G423-ROUND($G423*10/11,0),0)))))</f>
        <v>94365</v>
      </c>
      <c r="N423" s="364">
        <f>IF($G423="","",K423+L423+M423)</f>
        <v>1132380</v>
      </c>
      <c r="O423" s="365" t="str">
        <f>IF($G423="","",IFERROR(VLOOKUP($D423&amp;"|"&amp;$E423,科目表!$A$5:$B$200,2,FALSE),"※未登録"))</f>
        <v>通信運搬費</v>
      </c>
      <c r="P423" s="359">
        <f>IF(OR($G423="",$C423=""),"",IF($B423="決算整理",13,MOD(MONTH($C423)-4,12)+1))</f>
        <v>8</v>
      </c>
      <c r="Q423" s="366" t="str">
        <f>IF($G423="","",TRIM(IF(J423+K423+L423+M423&lt;&gt;$G423,"按分不一致 ","")&amp;IF(O423="※未登録","科目未登録 ","")&amp;IF(OR($H423="",ISERROR(MATCH($H423,{1,2,3,4,5,6,7,8},0))),"経費区分? ","")&amp;IF($I423="","状態未設定 ","")&amp;IF(AND(OR($I423="確認済",$I423="未確認"),$B423="月例",OR($C423="",$C423&lt;DATE(年度+2018,4,1),$C423&gt;DATE(年度+2019,3,31))),"年度外の日付 ","")&amp;IF(AND(OR($I423="確認済",$I423="未確認"),O423="対象外"),"対象外の科目 ","")))</f>
        <v/>
      </c>
      <c r="R423" s="366" t="inlineStr">
        <is>
          <t>月例!441</t>
        </is>
      </c>
    </row>
    <row r="424">
      <c r="A424" s="359" t="n">
        <v>420</v>
      </c>
      <c r="B424" s="360" t="inlineStr">
        <is>
          <t>月例</t>
        </is>
      </c>
      <c r="C424" s="361" t="n">
        <v>45625</v>
      </c>
      <c r="D424" s="362" t="inlineStr">
        <is>
          <t>事務費</t>
        </is>
      </c>
      <c r="E424" s="362" t="inlineStr">
        <is>
          <t>通信運搬費</t>
        </is>
      </c>
      <c r="F424" s="362" t="inlineStr">
        <is>
          <t>料金後納利用料（１０月分）</t>
        </is>
      </c>
      <c r="G424" s="363" t="n">
        <v>111888</v>
      </c>
      <c r="H424" s="360" t="n">
        <v>2</v>
      </c>
      <c r="I424" s="360" t="inlineStr">
        <is>
          <t>昨年実績</t>
        </is>
      </c>
      <c r="J424" s="364">
        <f>IF($G424="","",IF($H424=1,$G424-ROUND($G424*10/23,0)-2*ROUND($G424/23,0),IF($H424=2,$G424,0)))</f>
        <v>111888</v>
      </c>
      <c r="K424" s="364">
        <f>IF($G424="","",IF($H424=1,ROUND($G424*10/23,0),IF($H424=3,$G424-2*ROUND($G424/12,0),IF($H424=4,$G424,IF(OR($H424=5,$H424=7),ROUND($G424*10/11,0),0)))))</f>
        <v>0</v>
      </c>
      <c r="L424" s="364">
        <f>IF($G424="","",IF($H424=1,ROUND($G424/23,0),IF($H424=3,ROUND($G424/12,0),IF($H424=5,$G424-ROUND($G424*10/11,0),IF($H424=8,$G424,0)))))</f>
        <v>0</v>
      </c>
      <c r="M424" s="364">
        <f>IF($G424="","",IF($H424=1,ROUND($G424/23,0),IF($H424=3,ROUND($G424/12,0),IF($H424=6,$G424,IF($H424=7,$G424-ROUND($G424*10/11,0),0)))))</f>
        <v>0</v>
      </c>
      <c r="N424" s="364">
        <f>IF($G424="","",K424+L424+M424)</f>
        <v>0</v>
      </c>
      <c r="O424" s="365" t="str">
        <f>IF($G424="","",IFERROR(VLOOKUP($D424&amp;"|"&amp;$E424,科目表!$A$5:$B$200,2,FALSE),"※未登録"))</f>
        <v>通信運搬費</v>
      </c>
      <c r="P424" s="359">
        <f>IF(OR($G424="",$C424=""),"",IF($B424="決算整理",13,MOD(MONTH($C424)-4,12)+1))</f>
        <v>8</v>
      </c>
      <c r="Q424" s="366" t="str">
        <f>IF($G424="","",TRIM(IF(J424+K424+L424+M424&lt;&gt;$G424,"按分不一致 ","")&amp;IF(O424="※未登録","科目未登録 ","")&amp;IF(OR($H424="",ISERROR(MATCH($H424,{1,2,3,4,5,6,7,8},0))),"経費区分? ","")&amp;IF($I424="","状態未設定 ","")&amp;IF(AND(OR($I424="確認済",$I424="未確認"),$B424="月例",OR($C424="",$C424&lt;DATE(年度+2018,4,1),$C424&gt;DATE(年度+2019,3,31))),"年度外の日付 ","")&amp;IF(AND(OR($I424="確認済",$I424="未確認"),O424="対象外"),"対象外の科目 ","")))</f>
        <v/>
      </c>
      <c r="R424" s="366" t="inlineStr">
        <is>
          <t>月例!442</t>
        </is>
      </c>
    </row>
    <row r="425">
      <c r="A425" s="359" t="n">
        <v>421</v>
      </c>
      <c r="B425" s="360" t="inlineStr">
        <is>
          <t>月例</t>
        </is>
      </c>
      <c r="C425" s="361" t="n">
        <v>45992</v>
      </c>
      <c r="D425" s="362" t="inlineStr">
        <is>
          <t>事務費</t>
        </is>
      </c>
      <c r="E425" s="362" t="inlineStr">
        <is>
          <t>通信運搬費</t>
        </is>
      </c>
      <c r="F425" s="362" t="inlineStr">
        <is>
          <t>インターネット通信料金（9・10月利用・11月請求分）</t>
        </is>
      </c>
      <c r="G425" s="363" t="n">
        <v>3663</v>
      </c>
      <c r="H425" s="360" t="n">
        <v>2</v>
      </c>
      <c r="I425" s="360" t="inlineStr">
        <is>
          <t>昨年実績</t>
        </is>
      </c>
      <c r="J425" s="364">
        <f>IF($G425="","",IF($H425=1,$G425-ROUND($G425*10/23,0)-2*ROUND($G425/23,0),IF($H425=2,$G425,0)))</f>
        <v>3663</v>
      </c>
      <c r="K425" s="364">
        <f>IF($G425="","",IF($H425=1,ROUND($G425*10/23,0),IF($H425=3,$G425-2*ROUND($G425/12,0),IF($H425=4,$G425,IF(OR($H425=5,$H425=7),ROUND($G425*10/11,0),0)))))</f>
        <v>0</v>
      </c>
      <c r="L425" s="364">
        <f>IF($G425="","",IF($H425=1,ROUND($G425/23,0),IF($H425=3,ROUND($G425/12,0),IF($H425=5,$G425-ROUND($G425*10/11,0),IF($H425=8,$G425,0)))))</f>
        <v>0</v>
      </c>
      <c r="M425" s="364">
        <f>IF($G425="","",IF($H425=1,ROUND($G425/23,0),IF($H425=3,ROUND($G425/12,0),IF($H425=6,$G425,IF($H425=7,$G425-ROUND($G425*10/11,0),0)))))</f>
        <v>0</v>
      </c>
      <c r="N425" s="364">
        <f>IF($G425="","",K425+L425+M425)</f>
        <v>0</v>
      </c>
      <c r="O425" s="365" t="str">
        <f>IF($G425="","",IFERROR(VLOOKUP($D425&amp;"|"&amp;$E425,科目表!$A$5:$B$200,2,FALSE),"※未登録"))</f>
        <v>通信運搬費</v>
      </c>
      <c r="P425" s="359">
        <f>IF(OR($G425="",$C425=""),"",IF($B425="決算整理",13,MOD(MONTH($C425)-4,12)+1))</f>
        <v>9</v>
      </c>
      <c r="Q425" s="366" t="str">
        <f>IF($G425="","",TRIM(IF(J425+K425+L425+M425&lt;&gt;$G425,"按分不一致 ","")&amp;IF(O425="※未登録","科目未登録 ","")&amp;IF(OR($H425="",ISERROR(MATCH($H425,{1,2,3,4,5,6,7,8},0))),"経費区分? ","")&amp;IF($I425="","状態未設定 ","")&amp;IF(AND(OR($I425="確認済",$I425="未確認"),$B425="月例",OR($C425="",$C425&lt;DATE(年度+2018,4,1),$C425&gt;DATE(年度+2019,3,31))),"年度外の日付 ","")&amp;IF(AND(OR($I425="確認済",$I425="未確認"),O425="対象外"),"対象外の科目 ","")))</f>
        <v/>
      </c>
      <c r="R425" s="366" t="inlineStr">
        <is>
          <t>月例!443</t>
        </is>
      </c>
    </row>
    <row r="426">
      <c r="A426" s="359" t="n">
        <v>422</v>
      </c>
      <c r="B426" s="360" t="inlineStr">
        <is>
          <t>月例</t>
        </is>
      </c>
      <c r="C426" s="361" t="n">
        <v>45628</v>
      </c>
      <c r="D426" s="362" t="inlineStr">
        <is>
          <t>事務費</t>
        </is>
      </c>
      <c r="E426" s="362" t="inlineStr">
        <is>
          <t>通信運搬費</t>
        </is>
      </c>
      <c r="F426" s="362" t="inlineStr">
        <is>
          <t>フレッツ光ネクスト利用料等（10月利用・11月請求分）</t>
        </is>
      </c>
      <c r="G426" s="363" t="n">
        <v>5126</v>
      </c>
      <c r="H426" s="360" t="n">
        <v>2</v>
      </c>
      <c r="I426" s="360" t="inlineStr">
        <is>
          <t>昨年実績</t>
        </is>
      </c>
      <c r="J426" s="364">
        <f>IF($G426="","",IF($H426=1,$G426-ROUND($G426*10/23,0)-2*ROUND($G426/23,0),IF($H426=2,$G426,0)))</f>
        <v>5126</v>
      </c>
      <c r="K426" s="364">
        <f>IF($G426="","",IF($H426=1,ROUND($G426*10/23,0),IF($H426=3,$G426-2*ROUND($G426/12,0),IF($H426=4,$G426,IF(OR($H426=5,$H426=7),ROUND($G426*10/11,0),0)))))</f>
        <v>0</v>
      </c>
      <c r="L426" s="364">
        <f>IF($G426="","",IF($H426=1,ROUND($G426/23,0),IF($H426=3,ROUND($G426/12,0),IF($H426=5,$G426-ROUND($G426*10/11,0),IF($H426=8,$G426,0)))))</f>
        <v>0</v>
      </c>
      <c r="M426" s="364">
        <f>IF($G426="","",IF($H426=1,ROUND($G426/23,0),IF($H426=3,ROUND($G426/12,0),IF($H426=6,$G426,IF($H426=7,$G426-ROUND($G426*10/11,0),0)))))</f>
        <v>0</v>
      </c>
      <c r="N426" s="364">
        <f>IF($G426="","",K426+L426+M426)</f>
        <v>0</v>
      </c>
      <c r="O426" s="365" t="str">
        <f>IF($G426="","",IFERROR(VLOOKUP($D426&amp;"|"&amp;$E426,科目表!$A$5:$B$200,2,FALSE),"※未登録"))</f>
        <v>通信運搬費</v>
      </c>
      <c r="P426" s="359">
        <f>IF(OR($G426="",$C426=""),"",IF($B426="決算整理",13,MOD(MONTH($C426)-4,12)+1))</f>
        <v>9</v>
      </c>
      <c r="Q426" s="366" t="str">
        <f>IF($G426="","",TRIM(IF(J426+K426+L426+M426&lt;&gt;$G426,"按分不一致 ","")&amp;IF(O426="※未登録","科目未登録 ","")&amp;IF(OR($H426="",ISERROR(MATCH($H426,{1,2,3,4,5,6,7,8},0))),"経費区分? ","")&amp;IF($I426="","状態未設定 ","")&amp;IF(AND(OR($I426="確認済",$I426="未確認"),$B426="月例",OR($C426="",$C426&lt;DATE(年度+2018,4,1),$C426&gt;DATE(年度+2019,3,31))),"年度外の日付 ","")&amp;IF(AND(OR($I426="確認済",$I426="未確認"),O426="対象外"),"対象外の科目 ","")))</f>
        <v/>
      </c>
      <c r="R426" s="366" t="inlineStr">
        <is>
          <t>月例!444</t>
        </is>
      </c>
    </row>
    <row r="427">
      <c r="A427" s="359" t="n">
        <v>423</v>
      </c>
      <c r="B427" s="360" t="inlineStr">
        <is>
          <t>月例</t>
        </is>
      </c>
      <c r="C427" s="361" t="n">
        <v>45653</v>
      </c>
      <c r="D427" s="362" t="inlineStr">
        <is>
          <t>委託費</t>
        </is>
      </c>
      <c r="E427" s="362" t="n"/>
      <c r="F427" s="362" t="inlineStr">
        <is>
          <t>個人番号管理システムシンクライアント（11月～10月）</t>
        </is>
      </c>
      <c r="G427" s="363" t="n">
        <v>41976</v>
      </c>
      <c r="H427" s="360" t="n">
        <v>2</v>
      </c>
      <c r="I427" s="360" t="inlineStr">
        <is>
          <t>昨年実績</t>
        </is>
      </c>
      <c r="J427" s="364">
        <f>IF($G427="","",IF($H427=1,$G427-ROUND($G427*10/23,0)-2*ROUND($G427/23,0),IF($H427=2,$G427,0)))</f>
        <v>41976</v>
      </c>
      <c r="K427" s="364">
        <f>IF($G427="","",IF($H427=1,ROUND($G427*10/23,0),IF($H427=3,$G427-2*ROUND($G427/12,0),IF($H427=4,$G427,IF(OR($H427=5,$H427=7),ROUND($G427*10/11,0),0)))))</f>
        <v>0</v>
      </c>
      <c r="L427" s="364">
        <f>IF($G427="","",IF($H427=1,ROUND($G427/23,0),IF($H427=3,ROUND($G427/12,0),IF($H427=5,$G427-ROUND($G427*10/11,0),IF($H427=8,$G427,0)))))</f>
        <v>0</v>
      </c>
      <c r="M427" s="364">
        <f>IF($G427="","",IF($H427=1,ROUND($G427/23,0),IF($H427=3,ROUND($G427/12,0),IF($H427=6,$G427,IF($H427=7,$G427-ROUND($G427*10/11,0),0)))))</f>
        <v>0</v>
      </c>
      <c r="N427" s="364">
        <f>IF($G427="","",K427+L427+M427)</f>
        <v>0</v>
      </c>
      <c r="O427" s="365" t="str">
        <f>IF($G427="","",IFERROR(VLOOKUP($D427&amp;"|"&amp;$E427,科目表!$A$5:$B$200,2,FALSE),"※未登録"))</f>
        <v>委託費</v>
      </c>
      <c r="P427" s="359">
        <f>IF(OR($G427="",$C427=""),"",IF($B427="決算整理",13,MOD(MONTH($C427)-4,12)+1))</f>
        <v>9</v>
      </c>
      <c r="Q427" s="366" t="str">
        <f>IF($G427="","",TRIM(IF(J427+K427+L427+M427&lt;&gt;$G427,"按分不一致 ","")&amp;IF(O427="※未登録","科目未登録 ","")&amp;IF(OR($H427="",ISERROR(MATCH($H427,{1,2,3,4,5,6,7,8},0))),"経費区分? ","")&amp;IF($I427="","状態未設定 ","")&amp;IF(AND(OR($I427="確認済",$I427="未確認"),$B427="月例",OR($C427="",$C427&lt;DATE(年度+2018,4,1),$C427&gt;DATE(年度+2019,3,31))),"年度外の日付 ","")&amp;IF(AND(OR($I427="確認済",$I427="未確認"),O427="対象外"),"対象外の科目 ","")))</f>
        <v/>
      </c>
      <c r="R427" s="366" t="inlineStr">
        <is>
          <t>月例!445</t>
        </is>
      </c>
    </row>
    <row r="428">
      <c r="A428" s="359" t="n">
        <v>424</v>
      </c>
      <c r="B428" s="360" t="inlineStr">
        <is>
          <t>月例</t>
        </is>
      </c>
      <c r="C428" s="361" t="n">
        <v>45996</v>
      </c>
      <c r="D428" s="362" t="inlineStr">
        <is>
          <t>事務費負担金払込金</t>
        </is>
      </c>
      <c r="E428" s="362" t="n"/>
      <c r="F428" s="362" t="inlineStr">
        <is>
          <t>1１月分事務費負担金払込金相殺及び連合会へ払込</t>
        </is>
      </c>
      <c r="G428" s="363" t="n">
        <v>4513000</v>
      </c>
      <c r="H428" s="360" t="n">
        <v>5</v>
      </c>
      <c r="I428" s="360" t="inlineStr">
        <is>
          <t>昨年実績</t>
        </is>
      </c>
      <c r="J428" s="364">
        <f>IF($G428="","",IF($H428=1,$G428-ROUND($G428*10/23,0)-2*ROUND($G428/23,0),IF($H428=2,$G428,0)))</f>
        <v>0</v>
      </c>
      <c r="K428" s="364">
        <f>IF($G428="","",IF($H428=1,ROUND($G428*10/23,0),IF($H428=3,$G428-2*ROUND($G428/12,0),IF($H428=4,$G428,IF(OR($H428=5,$H428=7),ROUND($G428*10/11,0),0)))))</f>
        <v>4102727</v>
      </c>
      <c r="L428" s="364">
        <f>IF($G428="","",IF($H428=1,ROUND($G428/23,0),IF($H428=3,ROUND($G428/12,0),IF($H428=5,$G428-ROUND($G428*10/11,0),IF($H428=8,$G428,0)))))</f>
        <v>410273</v>
      </c>
      <c r="M428" s="364">
        <f>IF($G428="","",IF($H428=1,ROUND($G428/23,0),IF($H428=3,ROUND($G428/12,0),IF($H428=6,$G428,IF($H428=7,$G428-ROUND($G428*10/11,0),0)))))</f>
        <v>0</v>
      </c>
      <c r="N428" s="364">
        <f>IF($G428="","",K428+L428+M428)</f>
        <v>4513000</v>
      </c>
      <c r="O428" s="365" t="str">
        <f>IF($G428="","",IFERROR(VLOOKUP($D428&amp;"|"&amp;$E428,科目表!$A$5:$B$200,2,FALSE),"※未登録"))</f>
        <v>事務費負担金払込金</v>
      </c>
      <c r="P428" s="359">
        <f>IF(OR($G428="",$C428=""),"",IF($B428="決算整理",13,MOD(MONTH($C428)-4,12)+1))</f>
        <v>9</v>
      </c>
      <c r="Q428" s="366" t="str">
        <f>IF($G428="","",TRIM(IF(J428+K428+L428+M428&lt;&gt;$G428,"按分不一致 ","")&amp;IF(O428="※未登録","科目未登録 ","")&amp;IF(OR($H428="",ISERROR(MATCH($H428,{1,2,3,4,5,6,7,8},0))),"経費区分? ","")&amp;IF($I428="","状態未設定 ","")&amp;IF(AND(OR($I428="確認済",$I428="未確認"),$B428="月例",OR($C428="",$C428&lt;DATE(年度+2018,4,1),$C428&gt;DATE(年度+2019,3,31))),"年度外の日付 ","")&amp;IF(AND(OR($I428="確認済",$I428="未確認"),O428="対象外"),"対象外の科目 ","")))</f>
        <v/>
      </c>
      <c r="R428" s="366" t="inlineStr">
        <is>
          <t>月例!446</t>
        </is>
      </c>
    </row>
    <row r="429">
      <c r="A429" s="359" t="n">
        <v>425</v>
      </c>
      <c r="B429" s="360" t="inlineStr">
        <is>
          <t>月例</t>
        </is>
      </c>
      <c r="C429" s="361" t="n">
        <v>46001</v>
      </c>
      <c r="D429" s="362" t="inlineStr">
        <is>
          <t>職員給与</t>
        </is>
      </c>
      <c r="E429" s="362" t="inlineStr">
        <is>
          <t>非常勤職員手当</t>
        </is>
      </c>
      <c r="F429" s="362" t="inlineStr">
        <is>
          <t>１２月期末・勤勉手当及び増額報酬（長期分）</t>
        </is>
      </c>
      <c r="G429" s="363" t="n">
        <v>621532</v>
      </c>
      <c r="H429" s="360" t="n">
        <v>3</v>
      </c>
      <c r="I429" s="360" t="inlineStr">
        <is>
          <t>昨年実績</t>
        </is>
      </c>
      <c r="J429" s="364">
        <f>IF($G429="","",IF($H429=1,$G429-ROUND($G429*10/23,0)-2*ROUND($G429/23,0),IF($H429=2,$G429,0)))</f>
        <v>0</v>
      </c>
      <c r="K429" s="364">
        <f>IF($G429="","",IF($H429=1,ROUND($G429*10/23,0),IF($H429=3,$G429-2*ROUND($G429/12,0),IF($H429=4,$G429,IF(OR($H429=5,$H429=7),ROUND($G429*10/11,0),0)))))</f>
        <v>517944</v>
      </c>
      <c r="L429" s="364">
        <f>IF($G429="","",IF($H429=1,ROUND($G429/23,0),IF($H429=3,ROUND($G429/12,0),IF($H429=5,$G429-ROUND($G429*10/11,0),IF($H429=8,$G429,0)))))</f>
        <v>51794</v>
      </c>
      <c r="M429" s="364">
        <f>IF($G429="","",IF($H429=1,ROUND($G429/23,0),IF($H429=3,ROUND($G429/12,0),IF($H429=6,$G429,IF($H429=7,$G429-ROUND($G429*10/11,0),0)))))</f>
        <v>51794</v>
      </c>
      <c r="N429" s="364">
        <f>IF($G429="","",K429+L429+M429)</f>
        <v>621532</v>
      </c>
      <c r="O429" s="365" t="str">
        <f>IF($G429="","",IFERROR(VLOOKUP($D429&amp;"|"&amp;$E429,科目表!$A$5:$B$200,2,FALSE),"※未登録"))</f>
        <v>非常勤職員手当</v>
      </c>
      <c r="P429" s="359">
        <f>IF(OR($G429="",$C429=""),"",IF($B429="決算整理",13,MOD(MONTH($C429)-4,12)+1))</f>
        <v>9</v>
      </c>
      <c r="Q429" s="366" t="str">
        <f>IF($G429="","",TRIM(IF(J429+K429+L429+M429&lt;&gt;$G429,"按分不一致 ","")&amp;IF(O429="※未登録","科目未登録 ","")&amp;IF(OR($H429="",ISERROR(MATCH($H429,{1,2,3,4,5,6,7,8},0))),"経費区分? ","")&amp;IF($I429="","状態未設定 ","")&amp;IF(AND(OR($I429="確認済",$I429="未確認"),$B429="月例",OR($C429="",$C429&lt;DATE(年度+2018,4,1),$C429&gt;DATE(年度+2019,3,31))),"年度外の日付 ","")&amp;IF(AND(OR($I429="確認済",$I429="未確認"),O429="対象外"),"対象外の科目 ","")))</f>
        <v/>
      </c>
      <c r="R429" s="366" t="inlineStr">
        <is>
          <t>月例!447</t>
        </is>
      </c>
    </row>
    <row r="430">
      <c r="A430" s="359" t="n">
        <v>426</v>
      </c>
      <c r="B430" s="360" t="inlineStr">
        <is>
          <t>月例</t>
        </is>
      </c>
      <c r="C430" s="361" t="n">
        <v>46001</v>
      </c>
      <c r="D430" s="362" t="inlineStr">
        <is>
          <t>職員給与</t>
        </is>
      </c>
      <c r="E430" s="362" t="inlineStr">
        <is>
          <t>非常勤職員手当</t>
        </is>
      </c>
      <c r="F430" s="362" t="inlineStr">
        <is>
          <t>１２月増額報酬（短期分）</t>
        </is>
      </c>
      <c r="G430" s="363" t="n">
        <v>433105</v>
      </c>
      <c r="H430" s="360" t="n">
        <v>2</v>
      </c>
      <c r="I430" s="360" t="inlineStr">
        <is>
          <t>昨年実績</t>
        </is>
      </c>
      <c r="J430" s="364">
        <f>IF($G430="","",IF($H430=1,$G430-ROUND($G430*10/23,0)-2*ROUND($G430/23,0),IF($H430=2,$G430,0)))</f>
        <v>433105</v>
      </c>
      <c r="K430" s="364">
        <f>IF($G430="","",IF($H430=1,ROUND($G430*10/23,0),IF($H430=3,$G430-2*ROUND($G430/12,0),IF($H430=4,$G430,IF(OR($H430=5,$H430=7),ROUND($G430*10/11,0),0)))))</f>
        <v>0</v>
      </c>
      <c r="L430" s="364">
        <f>IF($G430="","",IF($H430=1,ROUND($G430/23,0),IF($H430=3,ROUND($G430/12,0),IF($H430=5,$G430-ROUND($G430*10/11,0),IF($H430=8,$G430,0)))))</f>
        <v>0</v>
      </c>
      <c r="M430" s="364">
        <f>IF($G430="","",IF($H430=1,ROUND($G430/23,0),IF($H430=3,ROUND($G430/12,0),IF($H430=6,$G430,IF($H430=7,$G430-ROUND($G430*10/11,0),0)))))</f>
        <v>0</v>
      </c>
      <c r="N430" s="364">
        <f>IF($G430="","",K430+L430+M430)</f>
        <v>0</v>
      </c>
      <c r="O430" s="365" t="str">
        <f>IF($G430="","",IFERROR(VLOOKUP($D430&amp;"|"&amp;$E430,科目表!$A$5:$B$200,2,FALSE),"※未登録"))</f>
        <v>非常勤職員手当</v>
      </c>
      <c r="P430" s="359">
        <f>IF(OR($G430="",$C430=""),"",IF($B430="決算整理",13,MOD(MONTH($C430)-4,12)+1))</f>
        <v>9</v>
      </c>
      <c r="Q430" s="366" t="str">
        <f>IF($G430="","",TRIM(IF(J430+K430+L430+M430&lt;&gt;$G430,"按分不一致 ","")&amp;IF(O430="※未登録","科目未登録 ","")&amp;IF(OR($H430="",ISERROR(MATCH($H430,{1,2,3,4,5,6,7,8},0))),"経費区分? ","")&amp;IF($I430="","状態未設定 ","")&amp;IF(AND(OR($I430="確認済",$I430="未確認"),$B430="月例",OR($C430="",$C430&lt;DATE(年度+2018,4,1),$C430&gt;DATE(年度+2019,3,31))),"年度外の日付 ","")&amp;IF(AND(OR($I430="確認済",$I430="未確認"),O430="対象外"),"対象外の科目 ","")))</f>
        <v/>
      </c>
      <c r="R430" s="366" t="inlineStr">
        <is>
          <t>月例!448</t>
        </is>
      </c>
    </row>
    <row r="431">
      <c r="A431" s="359" t="n">
        <v>427</v>
      </c>
      <c r="B431" s="360" t="inlineStr">
        <is>
          <t>月例</t>
        </is>
      </c>
      <c r="C431" s="361" t="n">
        <v>46001</v>
      </c>
      <c r="D431" s="362" t="inlineStr">
        <is>
          <t>事務費</t>
        </is>
      </c>
      <c r="E431" s="362" t="inlineStr">
        <is>
          <t>送金料</t>
        </is>
      </c>
      <c r="F431" s="362" t="inlineStr">
        <is>
          <t>振込手数料（広銀）１１月分　長期分</t>
        </is>
      </c>
      <c r="G431" s="363" t="n">
        <v>16554</v>
      </c>
      <c r="H431" s="360" t="n">
        <v>3</v>
      </c>
      <c r="I431" s="360" t="inlineStr">
        <is>
          <t>昨年実績</t>
        </is>
      </c>
      <c r="J431" s="364">
        <f>IF($G431="","",IF($H431=1,$G431-ROUND($G431*10/23,0)-2*ROUND($G431/23,0),IF($H431=2,$G431,0)))</f>
        <v>0</v>
      </c>
      <c r="K431" s="364">
        <f>IF($G431="","",IF($H431=1,ROUND($G431*10/23,0),IF($H431=3,$G431-2*ROUND($G431/12,0),IF($H431=4,$G431,IF(OR($H431=5,$H431=7),ROUND($G431*10/11,0),0)))))</f>
        <v>13794</v>
      </c>
      <c r="L431" s="364">
        <f>IF($G431="","",IF($H431=1,ROUND($G431/23,0),IF($H431=3,ROUND($G431/12,0),IF($H431=5,$G431-ROUND($G431*10/11,0),IF($H431=8,$G431,0)))))</f>
        <v>1380</v>
      </c>
      <c r="M431" s="364">
        <f>IF($G431="","",IF($H431=1,ROUND($G431/23,0),IF($H431=3,ROUND($G431/12,0),IF($H431=6,$G431,IF($H431=7,$G431-ROUND($G431*10/11,0),0)))))</f>
        <v>1380</v>
      </c>
      <c r="N431" s="364">
        <f>IF($G431="","",K431+L431+M431)</f>
        <v>16554</v>
      </c>
      <c r="O431" s="365" t="str">
        <f>IF($G431="","",IFERROR(VLOOKUP($D431&amp;"|"&amp;$E431,科目表!$A$5:$B$200,2,FALSE),"※未登録"))</f>
        <v>送金料</v>
      </c>
      <c r="P431" s="359">
        <f>IF(OR($G431="",$C431=""),"",IF($B431="決算整理",13,MOD(MONTH($C431)-4,12)+1))</f>
        <v>9</v>
      </c>
      <c r="Q431" s="366" t="str">
        <f>IF($G431="","",TRIM(IF(J431+K431+L431+M431&lt;&gt;$G431,"按分不一致 ","")&amp;IF(O431="※未登録","科目未登録 ","")&amp;IF(OR($H431="",ISERROR(MATCH($H431,{1,2,3,4,5,6,7,8},0))),"経費区分? ","")&amp;IF($I431="","状態未設定 ","")&amp;IF(AND(OR($I431="確認済",$I431="未確認"),$B431="月例",OR($C431="",$C431&lt;DATE(年度+2018,4,1),$C431&gt;DATE(年度+2019,3,31))),"年度外の日付 ","")&amp;IF(AND(OR($I431="確認済",$I431="未確認"),O431="対象外"),"対象外の科目 ","")))</f>
        <v/>
      </c>
      <c r="R431" s="366" t="inlineStr">
        <is>
          <t>月例!449</t>
        </is>
      </c>
    </row>
    <row r="432">
      <c r="A432" s="359" t="n">
        <v>428</v>
      </c>
      <c r="B432" s="360" t="inlineStr">
        <is>
          <t>月例</t>
        </is>
      </c>
      <c r="C432" s="361" t="n">
        <v>46001</v>
      </c>
      <c r="D432" s="362" t="inlineStr">
        <is>
          <t>事務費</t>
        </is>
      </c>
      <c r="E432" s="362" t="inlineStr">
        <is>
          <t>送金料</t>
        </is>
      </c>
      <c r="F432" s="362" t="inlineStr">
        <is>
          <t>振込手数料（広銀）１１月分　短期分</t>
        </is>
      </c>
      <c r="G432" s="363" t="n">
        <v>136125</v>
      </c>
      <c r="H432" s="360" t="n">
        <v>2</v>
      </c>
      <c r="I432" s="360" t="inlineStr">
        <is>
          <t>昨年実績</t>
        </is>
      </c>
      <c r="J432" s="364">
        <f>IF($G432="","",IF($H432=1,$G432-ROUND($G432*10/23,0)-2*ROUND($G432/23,0),IF($H432=2,$G432,0)))</f>
        <v>136125</v>
      </c>
      <c r="K432" s="364">
        <f>IF($G432="","",IF($H432=1,ROUND($G432*10/23,0),IF($H432=3,$G432-2*ROUND($G432/12,0),IF($H432=4,$G432,IF(OR($H432=5,$H432=7),ROUND($G432*10/11,0),0)))))</f>
        <v>0</v>
      </c>
      <c r="L432" s="364">
        <f>IF($G432="","",IF($H432=1,ROUND($G432/23,0),IF($H432=3,ROUND($G432/12,0),IF($H432=5,$G432-ROUND($G432*10/11,0),IF($H432=8,$G432,0)))))</f>
        <v>0</v>
      </c>
      <c r="M432" s="364">
        <f>IF($G432="","",IF($H432=1,ROUND($G432/23,0),IF($H432=3,ROUND($G432/12,0),IF($H432=6,$G432,IF($H432=7,$G432-ROUND($G432*10/11,0),0)))))</f>
        <v>0</v>
      </c>
      <c r="N432" s="364">
        <f>IF($G432="","",K432+L432+M432)</f>
        <v>0</v>
      </c>
      <c r="O432" s="365" t="str">
        <f>IF($G432="","",IFERROR(VLOOKUP($D432&amp;"|"&amp;$E432,科目表!$A$5:$B$200,2,FALSE),"※未登録"))</f>
        <v>送金料</v>
      </c>
      <c r="P432" s="359">
        <f>IF(OR($G432="",$C432=""),"",IF($B432="決算整理",13,MOD(MONTH($C432)-4,12)+1))</f>
        <v>9</v>
      </c>
      <c r="Q432" s="366" t="str">
        <f>IF($G432="","",TRIM(IF(J432+K432+L432+M432&lt;&gt;$G432,"按分不一致 ","")&amp;IF(O432="※未登録","科目未登録 ","")&amp;IF(OR($H432="",ISERROR(MATCH($H432,{1,2,3,4,5,6,7,8},0))),"経費区分? ","")&amp;IF($I432="","状態未設定 ","")&amp;IF(AND(OR($I432="確認済",$I432="未確認"),$B432="月例",OR($C432="",$C432&lt;DATE(年度+2018,4,1),$C432&gt;DATE(年度+2019,3,31))),"年度外の日付 ","")&amp;IF(AND(OR($I432="確認済",$I432="未確認"),O432="対象外"),"対象外の科目 ","")))</f>
        <v/>
      </c>
      <c r="R432" s="366" t="inlineStr">
        <is>
          <t>月例!450</t>
        </is>
      </c>
    </row>
    <row r="433">
      <c r="A433" s="359" t="n">
        <v>429</v>
      </c>
      <c r="B433" s="360" t="inlineStr">
        <is>
          <t>月例</t>
        </is>
      </c>
      <c r="C433" s="361" t="n">
        <v>46006</v>
      </c>
      <c r="D433" s="362" t="inlineStr">
        <is>
          <t>賃金</t>
        </is>
      </c>
      <c r="E433" s="362" t="n"/>
      <c r="F433" s="362" t="inlineStr">
        <is>
          <t>臨時職員賃金１１月分　佐藤幸恵外１名分（短期１００％）</t>
        </is>
      </c>
      <c r="G433" s="363" t="n">
        <v>340920</v>
      </c>
      <c r="H433" s="360" t="n">
        <v>2</v>
      </c>
      <c r="I433" s="360" t="inlineStr">
        <is>
          <t>昨年実績</t>
        </is>
      </c>
      <c r="J433" s="364">
        <f>IF($G433="","",IF($H433=1,$G433-ROUND($G433*10/23,0)-2*ROUND($G433/23,0),IF($H433=2,$G433,0)))</f>
        <v>340920</v>
      </c>
      <c r="K433" s="364">
        <f>IF($G433="","",IF($H433=1,ROUND($G433*10/23,0),IF($H433=3,$G433-2*ROUND($G433/12,0),IF($H433=4,$G433,IF(OR($H433=5,$H433=7),ROUND($G433*10/11,0),0)))))</f>
        <v>0</v>
      </c>
      <c r="L433" s="364">
        <f>IF($G433="","",IF($H433=1,ROUND($G433/23,0),IF($H433=3,ROUND($G433/12,0),IF($H433=5,$G433-ROUND($G433*10/11,0),IF($H433=8,$G433,0)))))</f>
        <v>0</v>
      </c>
      <c r="M433" s="364">
        <f>IF($G433="","",IF($H433=1,ROUND($G433/23,0),IF($H433=3,ROUND($G433/12,0),IF($H433=6,$G433,IF($H433=7,$G433-ROUND($G433*10/11,0),0)))))</f>
        <v>0</v>
      </c>
      <c r="N433" s="364">
        <f>IF($G433="","",K433+L433+M433)</f>
        <v>0</v>
      </c>
      <c r="O433" s="365" t="str">
        <f>IF($G433="","",IFERROR(VLOOKUP($D433&amp;"|"&amp;$E433,科目表!$A$5:$B$200,2,FALSE),"※未登録"))</f>
        <v>賃金</v>
      </c>
      <c r="P433" s="359">
        <f>IF(OR($G433="",$C433=""),"",IF($B433="決算整理",13,MOD(MONTH($C433)-4,12)+1))</f>
        <v>9</v>
      </c>
      <c r="Q433" s="366" t="str">
        <f>IF($G433="","",TRIM(IF(J433+K433+L433+M433&lt;&gt;$G433,"按分不一致 ","")&amp;IF(O433="※未登録","科目未登録 ","")&amp;IF(OR($H433="",ISERROR(MATCH($H433,{1,2,3,4,5,6,7,8},0))),"経費区分? ","")&amp;IF($I433="","状態未設定 ","")&amp;IF(AND(OR($I433="確認済",$I433="未確認"),$B433="月例",OR($C433="",$C433&lt;DATE(年度+2018,4,1),$C433&gt;DATE(年度+2019,3,31))),"年度外の日付 ","")&amp;IF(AND(OR($I433="確認済",$I433="未確認"),O433="対象外"),"対象外の科目 ","")))</f>
        <v/>
      </c>
      <c r="R433" s="366" t="inlineStr">
        <is>
          <t>月例!451</t>
        </is>
      </c>
    </row>
    <row r="434">
      <c r="A434" s="359" t="n">
        <v>430</v>
      </c>
      <c r="B434" s="360" t="inlineStr">
        <is>
          <t>月例</t>
        </is>
      </c>
      <c r="C434" s="361" t="n">
        <v>45989</v>
      </c>
      <c r="D434" s="362" t="inlineStr">
        <is>
          <t>事務費</t>
        </is>
      </c>
      <c r="E434" s="362" t="inlineStr">
        <is>
          <t>図書印刷費</t>
        </is>
      </c>
      <c r="F434" s="362" t="inlineStr">
        <is>
          <t>資格情報通知書封筒　３，０００枚</t>
        </is>
      </c>
      <c r="G434" s="363" t="n">
        <v>99000</v>
      </c>
      <c r="H434" s="360" t="n">
        <v>2</v>
      </c>
      <c r="I434" s="360" t="inlineStr">
        <is>
          <t>昨年実績</t>
        </is>
      </c>
      <c r="J434" s="364">
        <f>IF($G434="","",IF($H434=1,$G434-ROUND($G434*10/23,0)-2*ROUND($G434/23,0),IF($H434=2,$G434,0)))</f>
        <v>99000</v>
      </c>
      <c r="K434" s="364">
        <f>IF($G434="","",IF($H434=1,ROUND($G434*10/23,0),IF($H434=3,$G434-2*ROUND($G434/12,0),IF($H434=4,$G434,IF(OR($H434=5,$H434=7),ROUND($G434*10/11,0),0)))))</f>
        <v>0</v>
      </c>
      <c r="L434" s="364">
        <f>IF($G434="","",IF($H434=1,ROUND($G434/23,0),IF($H434=3,ROUND($G434/12,0),IF($H434=5,$G434-ROUND($G434*10/11,0),IF($H434=8,$G434,0)))))</f>
        <v>0</v>
      </c>
      <c r="M434" s="364">
        <f>IF($G434="","",IF($H434=1,ROUND($G434/23,0),IF($H434=3,ROUND($G434/12,0),IF($H434=6,$G434,IF($H434=7,$G434-ROUND($G434*10/11,0),0)))))</f>
        <v>0</v>
      </c>
      <c r="N434" s="364">
        <f>IF($G434="","",K434+L434+M434)</f>
        <v>0</v>
      </c>
      <c r="O434" s="365" t="str">
        <f>IF($G434="","",IFERROR(VLOOKUP($D434&amp;"|"&amp;$E434,科目表!$A$5:$B$200,2,FALSE),"※未登録"))</f>
        <v>図書印刷費</v>
      </c>
      <c r="P434" s="359">
        <f>IF(OR($G434="",$C434=""),"",IF($B434="決算整理",13,MOD(MONTH($C434)-4,12)+1))</f>
        <v>8</v>
      </c>
      <c r="Q434" s="366" t="str">
        <f>IF($G434="","",TRIM(IF(J434+K434+L434+M434&lt;&gt;$G434,"按分不一致 ","")&amp;IF(O434="※未登録","科目未登録 ","")&amp;IF(OR($H434="",ISERROR(MATCH($H434,{1,2,3,4,5,6,7,8},0))),"経費区分? ","")&amp;IF($I434="","状態未設定 ","")&amp;IF(AND(OR($I434="確認済",$I434="未確認"),$B434="月例",OR($C434="",$C434&lt;DATE(年度+2018,4,1),$C434&gt;DATE(年度+2019,3,31))),"年度外の日付 ","")&amp;IF(AND(OR($I434="確認済",$I434="未確認"),O434="対象外"),"対象外の科目 ","")))</f>
        <v/>
      </c>
      <c r="R434" s="366" t="inlineStr">
        <is>
          <t>月例!452</t>
        </is>
      </c>
    </row>
    <row r="435">
      <c r="A435" s="359" t="n">
        <v>431</v>
      </c>
      <c r="B435" s="360" t="inlineStr">
        <is>
          <t>月例</t>
        </is>
      </c>
      <c r="C435" s="361" t="n">
        <v>43783</v>
      </c>
      <c r="D435" s="362" t="inlineStr">
        <is>
          <t>事務費</t>
        </is>
      </c>
      <c r="E435" s="362" t="inlineStr">
        <is>
          <t>図書印刷費</t>
        </is>
      </c>
      <c r="F435" s="362" t="inlineStr">
        <is>
          <t>厚生法規総覧追録５２７４－５２８４号</t>
        </is>
      </c>
      <c r="G435" s="363" t="n">
        <v>33154</v>
      </c>
      <c r="H435" s="360" t="n">
        <v>2</v>
      </c>
      <c r="I435" s="360" t="inlineStr">
        <is>
          <t>昨年実績</t>
        </is>
      </c>
      <c r="J435" s="364">
        <f>IF($G435="","",IF($H435=1,$G435-ROUND($G435*10/23,0)-2*ROUND($G435/23,0),IF($H435=2,$G435,0)))</f>
        <v>33154</v>
      </c>
      <c r="K435" s="364">
        <f>IF($G435="","",IF($H435=1,ROUND($G435*10/23,0),IF($H435=3,$G435-2*ROUND($G435/12,0),IF($H435=4,$G435,IF(OR($H435=5,$H435=7),ROUND($G435*10/11,0),0)))))</f>
        <v>0</v>
      </c>
      <c r="L435" s="364">
        <f>IF($G435="","",IF($H435=1,ROUND($G435/23,0),IF($H435=3,ROUND($G435/12,0),IF($H435=5,$G435-ROUND($G435*10/11,0),IF($H435=8,$G435,0)))))</f>
        <v>0</v>
      </c>
      <c r="M435" s="364">
        <f>IF($G435="","",IF($H435=1,ROUND($G435/23,0),IF($H435=3,ROUND($G435/12,0),IF($H435=6,$G435,IF($H435=7,$G435-ROUND($G435*10/11,0),0)))))</f>
        <v>0</v>
      </c>
      <c r="N435" s="364">
        <f>IF($G435="","",K435+L435+M435)</f>
        <v>0</v>
      </c>
      <c r="O435" s="365" t="str">
        <f>IF($G435="","",IFERROR(VLOOKUP($D435&amp;"|"&amp;$E435,科目表!$A$5:$B$200,2,FALSE),"※未登録"))</f>
        <v>図書印刷費</v>
      </c>
      <c r="P435" s="359">
        <f>IF(OR($G435="",$C435=""),"",IF($B435="決算整理",13,MOD(MONTH($C435)-4,12)+1))</f>
        <v>8</v>
      </c>
      <c r="Q435" s="366" t="str">
        <f>IF($G435="","",TRIM(IF(J435+K435+L435+M435&lt;&gt;$G435,"按分不一致 ","")&amp;IF(O435="※未登録","科目未登録 ","")&amp;IF(OR($H435="",ISERROR(MATCH($H435,{1,2,3,4,5,6,7,8},0))),"経費区分? ","")&amp;IF($I435="","状態未設定 ","")&amp;IF(AND(OR($I435="確認済",$I435="未確認"),$B435="月例",OR($C435="",$C435&lt;DATE(年度+2018,4,1),$C435&gt;DATE(年度+2019,3,31))),"年度外の日付 ","")&amp;IF(AND(OR($I435="確認済",$I435="未確認"),O435="対象外"),"対象外の科目 ","")))</f>
        <v/>
      </c>
      <c r="R435" s="366" t="inlineStr">
        <is>
          <t>月例!453</t>
        </is>
      </c>
    </row>
    <row r="436">
      <c r="A436" s="359" t="n">
        <v>432</v>
      </c>
      <c r="B436" s="360" t="inlineStr">
        <is>
          <t>月例</t>
        </is>
      </c>
      <c r="C436" s="361" t="n">
        <v>45639</v>
      </c>
      <c r="D436" s="362" t="inlineStr">
        <is>
          <t>事務費</t>
        </is>
      </c>
      <c r="E436" s="362" t="inlineStr">
        <is>
          <t>事務用消耗品費</t>
        </is>
      </c>
      <c r="F436" s="362" t="inlineStr">
        <is>
          <t xml:space="preserve">トナーカートリッジ　PR-L5350-12　１個　</t>
        </is>
      </c>
      <c r="G436" s="363" t="n">
        <v>6490</v>
      </c>
      <c r="H436" s="360" t="n">
        <v>3</v>
      </c>
      <c r="I436" s="360" t="inlineStr">
        <is>
          <t>昨年実績</t>
        </is>
      </c>
      <c r="J436" s="364">
        <f>IF($G436="","",IF($H436=1,$G436-ROUND($G436*10/23,0)-2*ROUND($G436/23,0),IF($H436=2,$G436,0)))</f>
        <v>0</v>
      </c>
      <c r="K436" s="364">
        <f>IF($G436="","",IF($H436=1,ROUND($G436*10/23,0),IF($H436=3,$G436-2*ROUND($G436/12,0),IF($H436=4,$G436,IF(OR($H436=5,$H436=7),ROUND($G436*10/11,0),0)))))</f>
        <v>5408</v>
      </c>
      <c r="L436" s="364">
        <f>IF($G436="","",IF($H436=1,ROUND($G436/23,0),IF($H436=3,ROUND($G436/12,0),IF($H436=5,$G436-ROUND($G436*10/11,0),IF($H436=8,$G436,0)))))</f>
        <v>541</v>
      </c>
      <c r="M436" s="364">
        <f>IF($G436="","",IF($H436=1,ROUND($G436/23,0),IF($H436=3,ROUND($G436/12,0),IF($H436=6,$G436,IF($H436=7,$G436-ROUND($G436*10/11,0),0)))))</f>
        <v>541</v>
      </c>
      <c r="N436" s="364">
        <f>IF($G436="","",K436+L436+M436)</f>
        <v>6490</v>
      </c>
      <c r="O436" s="365" t="str">
        <f>IF($G436="","",IFERROR(VLOOKUP($D436&amp;"|"&amp;$E436,科目表!$A$5:$B$200,2,FALSE),"※未登録"))</f>
        <v>事務用消耗品費</v>
      </c>
      <c r="P436" s="359">
        <f>IF(OR($G436="",$C436=""),"",IF($B436="決算整理",13,MOD(MONTH($C436)-4,12)+1))</f>
        <v>9</v>
      </c>
      <c r="Q436" s="366" t="str">
        <f>IF($G436="","",TRIM(IF(J436+K436+L436+M436&lt;&gt;$G436,"按分不一致 ","")&amp;IF(O436="※未登録","科目未登録 ","")&amp;IF(OR($H436="",ISERROR(MATCH($H436,{1,2,3,4,5,6,7,8},0))),"経費区分? ","")&amp;IF($I436="","状態未設定 ","")&amp;IF(AND(OR($I436="確認済",$I436="未確認"),$B436="月例",OR($C436="",$C436&lt;DATE(年度+2018,4,1),$C436&gt;DATE(年度+2019,3,31))),"年度外の日付 ","")&amp;IF(AND(OR($I436="確認済",$I436="未確認"),O436="対象外"),"対象外の科目 ","")))</f>
        <v/>
      </c>
      <c r="R436" s="366" t="inlineStr">
        <is>
          <t>月例!454</t>
        </is>
      </c>
    </row>
    <row r="437">
      <c r="A437" s="359" t="n">
        <v>433</v>
      </c>
      <c r="B437" s="360" t="inlineStr">
        <is>
          <t>月例</t>
        </is>
      </c>
      <c r="C437" s="361" t="n">
        <v>45996</v>
      </c>
      <c r="D437" s="362" t="inlineStr">
        <is>
          <t>光熱水料</t>
        </is>
      </c>
      <c r="E437" s="362" t="inlineStr">
        <is>
          <t>電気料</t>
        </is>
      </c>
      <c r="F437" s="362" t="inlineStr">
        <is>
          <t>電気料（広島市４～９月分）</t>
        </is>
      </c>
      <c r="G437" s="363" t="n">
        <v>30112</v>
      </c>
      <c r="H437" s="360" t="n">
        <v>3</v>
      </c>
      <c r="I437" s="360" t="inlineStr">
        <is>
          <t>昨年実績</t>
        </is>
      </c>
      <c r="J437" s="364">
        <f>IF($G437="","",IF($H437=1,$G437-ROUND($G437*10/23,0)-2*ROUND($G437/23,0),IF($H437=2,$G437,0)))</f>
        <v>0</v>
      </c>
      <c r="K437" s="364">
        <f>IF($G437="","",IF($H437=1,ROUND($G437*10/23,0),IF($H437=3,$G437-2*ROUND($G437/12,0),IF($H437=4,$G437,IF(OR($H437=5,$H437=7),ROUND($G437*10/11,0),0)))))</f>
        <v>25094</v>
      </c>
      <c r="L437" s="364">
        <f>IF($G437="","",IF($H437=1,ROUND($G437/23,0),IF($H437=3,ROUND($G437/12,0),IF($H437=5,$G437-ROUND($G437*10/11,0),IF($H437=8,$G437,0)))))</f>
        <v>2509</v>
      </c>
      <c r="M437" s="364">
        <f>IF($G437="","",IF($H437=1,ROUND($G437/23,0),IF($H437=3,ROUND($G437/12,0),IF($H437=6,$G437,IF($H437=7,$G437-ROUND($G437*10/11,0),0)))))</f>
        <v>2509</v>
      </c>
      <c r="N437" s="364">
        <f>IF($G437="","",K437+L437+M437)</f>
        <v>30112</v>
      </c>
      <c r="O437" s="365" t="str">
        <f>IF($G437="","",IFERROR(VLOOKUP($D437&amp;"|"&amp;$E437,科目表!$A$5:$B$200,2,FALSE),"※未登録"))</f>
        <v>光熱水料</v>
      </c>
      <c r="P437" s="359">
        <f>IF(OR($G437="",$C437=""),"",IF($B437="決算整理",13,MOD(MONTH($C437)-4,12)+1))</f>
        <v>9</v>
      </c>
      <c r="Q437" s="366" t="str">
        <f>IF($G437="","",TRIM(IF(J437+K437+L437+M437&lt;&gt;$G437,"按分不一致 ","")&amp;IF(O437="※未登録","科目未登録 ","")&amp;IF(OR($H437="",ISERROR(MATCH($H437,{1,2,3,4,5,6,7,8},0))),"経費区分? ","")&amp;IF($I437="","状態未設定 ","")&amp;IF(AND(OR($I437="確認済",$I437="未確認"),$B437="月例",OR($C437="",$C437&lt;DATE(年度+2018,4,1),$C437&gt;DATE(年度+2019,3,31))),"年度外の日付 ","")&amp;IF(AND(OR($I437="確認済",$I437="未確認"),O437="対象外"),"対象外の科目 ","")))</f>
        <v/>
      </c>
      <c r="R437" s="366" t="inlineStr">
        <is>
          <t>月例!455</t>
        </is>
      </c>
    </row>
    <row r="438">
      <c r="A438" s="359" t="n">
        <v>434</v>
      </c>
      <c r="B438" s="360" t="inlineStr">
        <is>
          <t>月例</t>
        </is>
      </c>
      <c r="C438" s="361" t="n">
        <v>45996</v>
      </c>
      <c r="D438" s="362" t="inlineStr">
        <is>
          <t>光熱水料</t>
        </is>
      </c>
      <c r="E438" s="362" t="inlineStr">
        <is>
          <t>水道料</t>
        </is>
      </c>
      <c r="F438" s="362" t="inlineStr">
        <is>
          <t>水道料（広島市４～９月分）</t>
        </is>
      </c>
      <c r="G438" s="363" t="n">
        <v>10227</v>
      </c>
      <c r="H438" s="360" t="n">
        <v>3</v>
      </c>
      <c r="I438" s="360" t="inlineStr">
        <is>
          <t>昨年実績</t>
        </is>
      </c>
      <c r="J438" s="364">
        <f>IF($G438="","",IF($H438=1,$G438-ROUND($G438*10/23,0)-2*ROUND($G438/23,0),IF($H438=2,$G438,0)))</f>
        <v>0</v>
      </c>
      <c r="K438" s="364">
        <f>IF($G438="","",IF($H438=1,ROUND($G438*10/23,0),IF($H438=3,$G438-2*ROUND($G438/12,0),IF($H438=4,$G438,IF(OR($H438=5,$H438=7),ROUND($G438*10/11,0),0)))))</f>
        <v>8523</v>
      </c>
      <c r="L438" s="364">
        <f>IF($G438="","",IF($H438=1,ROUND($G438/23,0),IF($H438=3,ROUND($G438/12,0),IF($H438=5,$G438-ROUND($G438*10/11,0),IF($H438=8,$G438,0)))))</f>
        <v>852</v>
      </c>
      <c r="M438" s="364">
        <f>IF($G438="","",IF($H438=1,ROUND($G438/23,0),IF($H438=3,ROUND($G438/12,0),IF($H438=6,$G438,IF($H438=7,$G438-ROUND($G438*10/11,0),0)))))</f>
        <v>852</v>
      </c>
      <c r="N438" s="364">
        <f>IF($G438="","",K438+L438+M438)</f>
        <v>10227</v>
      </c>
      <c r="O438" s="365" t="str">
        <f>IF($G438="","",IFERROR(VLOOKUP($D438&amp;"|"&amp;$E438,科目表!$A$5:$B$200,2,FALSE),"※未登録"))</f>
        <v>光熱水料</v>
      </c>
      <c r="P438" s="359">
        <f>IF(OR($G438="",$C438=""),"",IF($B438="決算整理",13,MOD(MONTH($C438)-4,12)+1))</f>
        <v>9</v>
      </c>
      <c r="Q438" s="366" t="str">
        <f>IF($G438="","",TRIM(IF(J438+K438+L438+M438&lt;&gt;$G438,"按分不一致 ","")&amp;IF(O438="※未登録","科目未登録 ","")&amp;IF(OR($H438="",ISERROR(MATCH($H438,{1,2,3,4,5,6,7,8},0))),"経費区分? ","")&amp;IF($I438="","状態未設定 ","")&amp;IF(AND(OR($I438="確認済",$I438="未確認"),$B438="月例",OR($C438="",$C438&lt;DATE(年度+2018,4,1),$C438&gt;DATE(年度+2019,3,31))),"年度外の日付 ","")&amp;IF(AND(OR($I438="確認済",$I438="未確認"),O438="対象外"),"対象外の科目 ","")))</f>
        <v/>
      </c>
      <c r="R438" s="366" t="inlineStr">
        <is>
          <t>月例!456</t>
        </is>
      </c>
    </row>
    <row r="439">
      <c r="A439" s="359" t="n">
        <v>435</v>
      </c>
      <c r="B439" s="360" t="inlineStr">
        <is>
          <t>月例</t>
        </is>
      </c>
      <c r="C439" s="361" t="n">
        <v>45996</v>
      </c>
      <c r="D439" s="362" t="inlineStr">
        <is>
          <t>光熱水料</t>
        </is>
      </c>
      <c r="E439" s="362" t="inlineStr">
        <is>
          <t>ガス料</t>
        </is>
      </c>
      <c r="F439" s="362" t="inlineStr">
        <is>
          <t>ガス料（広島市４～９月分）</t>
        </is>
      </c>
      <c r="G439" s="363" t="n">
        <v>10046</v>
      </c>
      <c r="H439" s="360" t="n">
        <v>3</v>
      </c>
      <c r="I439" s="360" t="inlineStr">
        <is>
          <t>昨年実績</t>
        </is>
      </c>
      <c r="J439" s="364">
        <f>IF($G439="","",IF($H439=1,$G439-ROUND($G439*10/23,0)-2*ROUND($G439/23,0),IF($H439=2,$G439,0)))</f>
        <v>0</v>
      </c>
      <c r="K439" s="364">
        <f>IF($G439="","",IF($H439=1,ROUND($G439*10/23,0),IF($H439=3,$G439-2*ROUND($G439/12,0),IF($H439=4,$G439,IF(OR($H439=5,$H439=7),ROUND($G439*10/11,0),0)))))</f>
        <v>8372</v>
      </c>
      <c r="L439" s="364">
        <f>IF($G439="","",IF($H439=1,ROUND($G439/23,0),IF($H439=3,ROUND($G439/12,0),IF($H439=5,$G439-ROUND($G439*10/11,0),IF($H439=8,$G439,0)))))</f>
        <v>837</v>
      </c>
      <c r="M439" s="364">
        <f>IF($G439="","",IF($H439=1,ROUND($G439/23,0),IF($H439=3,ROUND($G439/12,0),IF($H439=6,$G439,IF($H439=7,$G439-ROUND($G439*10/11,0),0)))))</f>
        <v>837</v>
      </c>
      <c r="N439" s="364">
        <f>IF($G439="","",K439+L439+M439)</f>
        <v>10046</v>
      </c>
      <c r="O439" s="365" t="str">
        <f>IF($G439="","",IFERROR(VLOOKUP($D439&amp;"|"&amp;$E439,科目表!$A$5:$B$200,2,FALSE),"※未登録"))</f>
        <v>光熱水料</v>
      </c>
      <c r="P439" s="359">
        <f>IF(OR($G439="",$C439=""),"",IF($B439="決算整理",13,MOD(MONTH($C439)-4,12)+1))</f>
        <v>9</v>
      </c>
      <c r="Q439" s="366" t="str">
        <f>IF($G439="","",TRIM(IF(J439+K439+L439+M439&lt;&gt;$G439,"按分不一致 ","")&amp;IF(O439="※未登録","科目未登録 ","")&amp;IF(OR($H439="",ISERROR(MATCH($H439,{1,2,3,4,5,6,7,8},0))),"経費区分? ","")&amp;IF($I439="","状態未設定 ","")&amp;IF(AND(OR($I439="確認済",$I439="未確認"),$B439="月例",OR($C439="",$C439&lt;DATE(年度+2018,4,1),$C439&gt;DATE(年度+2019,3,31))),"年度外の日付 ","")&amp;IF(AND(OR($I439="確認済",$I439="未確認"),O439="対象外"),"対象外の科目 ","")))</f>
        <v/>
      </c>
      <c r="R439" s="366" t="inlineStr">
        <is>
          <t>月例!457</t>
        </is>
      </c>
    </row>
    <row r="440">
      <c r="A440" s="359" t="n">
        <v>436</v>
      </c>
      <c r="B440" s="360" t="inlineStr">
        <is>
          <t>月例</t>
        </is>
      </c>
      <c r="C440" s="361" t="n">
        <v>45996</v>
      </c>
      <c r="D440" s="362" t="inlineStr">
        <is>
          <t>委託費</t>
        </is>
      </c>
      <c r="E440" s="362" t="n"/>
      <c r="F440" s="362" t="inlineStr">
        <is>
          <t>清掃・警備・ごみ処理料（広島市４～９月分）</t>
        </is>
      </c>
      <c r="G440" s="363" t="n">
        <v>34460</v>
      </c>
      <c r="H440" s="360" t="n">
        <v>3</v>
      </c>
      <c r="I440" s="360" t="inlineStr">
        <is>
          <t>昨年実績</t>
        </is>
      </c>
      <c r="J440" s="364">
        <f>IF($G440="","",IF($H440=1,$G440-ROUND($G440*10/23,0)-2*ROUND($G440/23,0),IF($H440=2,$G440,0)))</f>
        <v>0</v>
      </c>
      <c r="K440" s="364">
        <f>IF($G440="","",IF($H440=1,ROUND($G440*10/23,0),IF($H440=3,$G440-2*ROUND($G440/12,0),IF($H440=4,$G440,IF(OR($H440=5,$H440=7),ROUND($G440*10/11,0),0)))))</f>
        <v>28716</v>
      </c>
      <c r="L440" s="364">
        <f>IF($G440="","",IF($H440=1,ROUND($G440/23,0),IF($H440=3,ROUND($G440/12,0),IF($H440=5,$G440-ROUND($G440*10/11,0),IF($H440=8,$G440,0)))))</f>
        <v>2872</v>
      </c>
      <c r="M440" s="364">
        <f>IF($G440="","",IF($H440=1,ROUND($G440/23,0),IF($H440=3,ROUND($G440/12,0),IF($H440=6,$G440,IF($H440=7,$G440-ROUND($G440*10/11,0),0)))))</f>
        <v>2872</v>
      </c>
      <c r="N440" s="364">
        <f>IF($G440="","",K440+L440+M440)</f>
        <v>34460</v>
      </c>
      <c r="O440" s="365" t="str">
        <f>IF($G440="","",IFERROR(VLOOKUP($D440&amp;"|"&amp;$E440,科目表!$A$5:$B$200,2,FALSE),"※未登録"))</f>
        <v>委託費</v>
      </c>
      <c r="P440" s="359">
        <f>IF(OR($G440="",$C440=""),"",IF($B440="決算整理",13,MOD(MONTH($C440)-4,12)+1))</f>
        <v>9</v>
      </c>
      <c r="Q440" s="366" t="str">
        <f>IF($G440="","",TRIM(IF(J440+K440+L440+M440&lt;&gt;$G440,"按分不一致 ","")&amp;IF(O440="※未登録","科目未登録 ","")&amp;IF(OR($H440="",ISERROR(MATCH($H440,{1,2,3,4,5,6,7,8},0))),"経費区分? ","")&amp;IF($I440="","状態未設定 ","")&amp;IF(AND(OR($I440="確認済",$I440="未確認"),$B440="月例",OR($C440="",$C440&lt;DATE(年度+2018,4,1),$C440&gt;DATE(年度+2019,3,31))),"年度外の日付 ","")&amp;IF(AND(OR($I440="確認済",$I440="未確認"),O440="対象外"),"対象外の科目 ","")))</f>
        <v/>
      </c>
      <c r="R440" s="366" t="inlineStr">
        <is>
          <t>月例!458</t>
        </is>
      </c>
    </row>
    <row r="441">
      <c r="A441" s="359" t="n">
        <v>437</v>
      </c>
      <c r="B441" s="360" t="inlineStr">
        <is>
          <t>月例</t>
        </is>
      </c>
      <c r="C441" s="361" t="n">
        <v>45996</v>
      </c>
      <c r="D441" s="362" t="inlineStr">
        <is>
          <t>光熱水料</t>
        </is>
      </c>
      <c r="E441" s="362" t="inlineStr">
        <is>
          <t>電気料</t>
        </is>
      </c>
      <c r="F441" s="362" t="inlineStr">
        <is>
          <t>電気料（広島市４～９月分）</t>
        </is>
      </c>
      <c r="G441" s="363" t="n">
        <v>4183</v>
      </c>
      <c r="H441" s="360" t="n">
        <v>2</v>
      </c>
      <c r="I441" s="360" t="inlineStr">
        <is>
          <t>昨年実績</t>
        </is>
      </c>
      <c r="J441" s="364">
        <f>IF($G441="","",IF($H441=1,$G441-ROUND($G441*10/23,0)-2*ROUND($G441/23,0),IF($H441=2,$G441,0)))</f>
        <v>4183</v>
      </c>
      <c r="K441" s="364">
        <f>IF($G441="","",IF($H441=1,ROUND($G441*10/23,0),IF($H441=3,$G441-2*ROUND($G441/12,0),IF($H441=4,$G441,IF(OR($H441=5,$H441=7),ROUND($G441*10/11,0),0)))))</f>
        <v>0</v>
      </c>
      <c r="L441" s="364">
        <f>IF($G441="","",IF($H441=1,ROUND($G441/23,0),IF($H441=3,ROUND($G441/12,0),IF($H441=5,$G441-ROUND($G441*10/11,0),IF($H441=8,$G441,0)))))</f>
        <v>0</v>
      </c>
      <c r="M441" s="364">
        <f>IF($G441="","",IF($H441=1,ROUND($G441/23,0),IF($H441=3,ROUND($G441/12,0),IF($H441=6,$G441,IF($H441=7,$G441-ROUND($G441*10/11,0),0)))))</f>
        <v>0</v>
      </c>
      <c r="N441" s="364">
        <f>IF($G441="","",K441+L441+M441)</f>
        <v>0</v>
      </c>
      <c r="O441" s="365" t="str">
        <f>IF($G441="","",IFERROR(VLOOKUP($D441&amp;"|"&amp;$E441,科目表!$A$5:$B$200,2,FALSE),"※未登録"))</f>
        <v>光熱水料</v>
      </c>
      <c r="P441" s="359">
        <f>IF(OR($G441="",$C441=""),"",IF($B441="決算整理",13,MOD(MONTH($C441)-4,12)+1))</f>
        <v>9</v>
      </c>
      <c r="Q441" s="366" t="str">
        <f>IF($G441="","",TRIM(IF(J441+K441+L441+M441&lt;&gt;$G441,"按分不一致 ","")&amp;IF(O441="※未登録","科目未登録 ","")&amp;IF(OR($H441="",ISERROR(MATCH($H441,{1,2,3,4,5,6,7,8},0))),"経費区分? ","")&amp;IF($I441="","状態未設定 ","")&amp;IF(AND(OR($I441="確認済",$I441="未確認"),$B441="月例",OR($C441="",$C441&lt;DATE(年度+2018,4,1),$C441&gt;DATE(年度+2019,3,31))),"年度外の日付 ","")&amp;IF(AND(OR($I441="確認済",$I441="未確認"),O441="対象外"),"対象外の科目 ","")))</f>
        <v/>
      </c>
      <c r="R441" s="366" t="inlineStr">
        <is>
          <t>月例!459</t>
        </is>
      </c>
    </row>
    <row r="442">
      <c r="A442" s="359" t="n">
        <v>438</v>
      </c>
      <c r="B442" s="360" t="inlineStr">
        <is>
          <t>月例</t>
        </is>
      </c>
      <c r="C442" s="361" t="n">
        <v>45996</v>
      </c>
      <c r="D442" s="362" t="inlineStr">
        <is>
          <t>光熱水料</t>
        </is>
      </c>
      <c r="E442" s="362" t="inlineStr">
        <is>
          <t>水道料</t>
        </is>
      </c>
      <c r="F442" s="362" t="inlineStr">
        <is>
          <t>水道料（広島市４～９月分）</t>
        </is>
      </c>
      <c r="G442" s="363" t="n">
        <v>1421</v>
      </c>
      <c r="H442" s="360" t="n">
        <v>2</v>
      </c>
      <c r="I442" s="360" t="inlineStr">
        <is>
          <t>昨年実績</t>
        </is>
      </c>
      <c r="J442" s="364">
        <f>IF($G442="","",IF($H442=1,$G442-ROUND($G442*10/23,0)-2*ROUND($G442/23,0),IF($H442=2,$G442,0)))</f>
        <v>1421</v>
      </c>
      <c r="K442" s="364">
        <f>IF($G442="","",IF($H442=1,ROUND($G442*10/23,0),IF($H442=3,$G442-2*ROUND($G442/12,0),IF($H442=4,$G442,IF(OR($H442=5,$H442=7),ROUND($G442*10/11,0),0)))))</f>
        <v>0</v>
      </c>
      <c r="L442" s="364">
        <f>IF($G442="","",IF($H442=1,ROUND($G442/23,0),IF($H442=3,ROUND($G442/12,0),IF($H442=5,$G442-ROUND($G442*10/11,0),IF($H442=8,$G442,0)))))</f>
        <v>0</v>
      </c>
      <c r="M442" s="364">
        <f>IF($G442="","",IF($H442=1,ROUND($G442/23,0),IF($H442=3,ROUND($G442/12,0),IF($H442=6,$G442,IF($H442=7,$G442-ROUND($G442*10/11,0),0)))))</f>
        <v>0</v>
      </c>
      <c r="N442" s="364">
        <f>IF($G442="","",K442+L442+M442)</f>
        <v>0</v>
      </c>
      <c r="O442" s="365" t="str">
        <f>IF($G442="","",IFERROR(VLOOKUP($D442&amp;"|"&amp;$E442,科目表!$A$5:$B$200,2,FALSE),"※未登録"))</f>
        <v>光熱水料</v>
      </c>
      <c r="P442" s="359">
        <f>IF(OR($G442="",$C442=""),"",IF($B442="決算整理",13,MOD(MONTH($C442)-4,12)+1))</f>
        <v>9</v>
      </c>
      <c r="Q442" s="366" t="str">
        <f>IF($G442="","",TRIM(IF(J442+K442+L442+M442&lt;&gt;$G442,"按分不一致 ","")&amp;IF(O442="※未登録","科目未登録 ","")&amp;IF(OR($H442="",ISERROR(MATCH($H442,{1,2,3,4,5,6,7,8},0))),"経費区分? ","")&amp;IF($I442="","状態未設定 ","")&amp;IF(AND(OR($I442="確認済",$I442="未確認"),$B442="月例",OR($C442="",$C442&lt;DATE(年度+2018,4,1),$C442&gt;DATE(年度+2019,3,31))),"年度外の日付 ","")&amp;IF(AND(OR($I442="確認済",$I442="未確認"),O442="対象外"),"対象外の科目 ","")))</f>
        <v/>
      </c>
      <c r="R442" s="366" t="inlineStr">
        <is>
          <t>月例!460</t>
        </is>
      </c>
    </row>
    <row r="443">
      <c r="A443" s="359" t="n">
        <v>439</v>
      </c>
      <c r="B443" s="360" t="inlineStr">
        <is>
          <t>月例</t>
        </is>
      </c>
      <c r="C443" s="361" t="n">
        <v>45996</v>
      </c>
      <c r="D443" s="362" t="inlineStr">
        <is>
          <t>光熱水料</t>
        </is>
      </c>
      <c r="E443" s="362" t="inlineStr">
        <is>
          <t>ガス料</t>
        </is>
      </c>
      <c r="F443" s="362" t="inlineStr">
        <is>
          <t>ガス料（広島市４～９月分）</t>
        </is>
      </c>
      <c r="G443" s="363" t="n">
        <v>1395</v>
      </c>
      <c r="H443" s="360" t="n">
        <v>2</v>
      </c>
      <c r="I443" s="360" t="inlineStr">
        <is>
          <t>昨年実績</t>
        </is>
      </c>
      <c r="J443" s="364">
        <f>IF($G443="","",IF($H443=1,$G443-ROUND($G443*10/23,0)-2*ROUND($G443/23,0),IF($H443=2,$G443,0)))</f>
        <v>1395</v>
      </c>
      <c r="K443" s="364">
        <f>IF($G443="","",IF($H443=1,ROUND($G443*10/23,0),IF($H443=3,$G443-2*ROUND($G443/12,0),IF($H443=4,$G443,IF(OR($H443=5,$H443=7),ROUND($G443*10/11,0),0)))))</f>
        <v>0</v>
      </c>
      <c r="L443" s="364">
        <f>IF($G443="","",IF($H443=1,ROUND($G443/23,0),IF($H443=3,ROUND($G443/12,0),IF($H443=5,$G443-ROUND($G443*10/11,0),IF($H443=8,$G443,0)))))</f>
        <v>0</v>
      </c>
      <c r="M443" s="364">
        <f>IF($G443="","",IF($H443=1,ROUND($G443/23,0),IF($H443=3,ROUND($G443/12,0),IF($H443=6,$G443,IF($H443=7,$G443-ROUND($G443*10/11,0),0)))))</f>
        <v>0</v>
      </c>
      <c r="N443" s="364">
        <f>IF($G443="","",K443+L443+M443)</f>
        <v>0</v>
      </c>
      <c r="O443" s="365" t="str">
        <f>IF($G443="","",IFERROR(VLOOKUP($D443&amp;"|"&amp;$E443,科目表!$A$5:$B$200,2,FALSE),"※未登録"))</f>
        <v>光熱水料</v>
      </c>
      <c r="P443" s="359">
        <f>IF(OR($G443="",$C443=""),"",IF($B443="決算整理",13,MOD(MONTH($C443)-4,12)+1))</f>
        <v>9</v>
      </c>
      <c r="Q443" s="366" t="str">
        <f>IF($G443="","",TRIM(IF(J443+K443+L443+M443&lt;&gt;$G443,"按分不一致 ","")&amp;IF(O443="※未登録","科目未登録 ","")&amp;IF(OR($H443="",ISERROR(MATCH($H443,{1,2,3,4,5,6,7,8},0))),"経費区分? ","")&amp;IF($I443="","状態未設定 ","")&amp;IF(AND(OR($I443="確認済",$I443="未確認"),$B443="月例",OR($C443="",$C443&lt;DATE(年度+2018,4,1),$C443&gt;DATE(年度+2019,3,31))),"年度外の日付 ","")&amp;IF(AND(OR($I443="確認済",$I443="未確認"),O443="対象外"),"対象外の科目 ","")))</f>
        <v/>
      </c>
      <c r="R443" s="366" t="inlineStr">
        <is>
          <t>月例!461</t>
        </is>
      </c>
    </row>
    <row r="444">
      <c r="A444" s="359" t="n">
        <v>440</v>
      </c>
      <c r="B444" s="360" t="inlineStr">
        <is>
          <t>月例</t>
        </is>
      </c>
      <c r="C444" s="361" t="n">
        <v>45996</v>
      </c>
      <c r="D444" s="362" t="inlineStr">
        <is>
          <t>委託費</t>
        </is>
      </c>
      <c r="E444" s="362" t="n"/>
      <c r="F444" s="362" t="inlineStr">
        <is>
          <t>清掃・警備・ごみ処理料（広島市４～９月分）</t>
        </is>
      </c>
      <c r="G444" s="363" t="n">
        <v>4786</v>
      </c>
      <c r="H444" s="360" t="n">
        <v>2</v>
      </c>
      <c r="I444" s="360" t="inlineStr">
        <is>
          <t>昨年実績</t>
        </is>
      </c>
      <c r="J444" s="364">
        <f>IF($G444="","",IF($H444=1,$G444-ROUND($G444*10/23,0)-2*ROUND($G444/23,0),IF($H444=2,$G444,0)))</f>
        <v>4786</v>
      </c>
      <c r="K444" s="364">
        <f>IF($G444="","",IF($H444=1,ROUND($G444*10/23,0),IF($H444=3,$G444-2*ROUND($G444/12,0),IF($H444=4,$G444,IF(OR($H444=5,$H444=7),ROUND($G444*10/11,0),0)))))</f>
        <v>0</v>
      </c>
      <c r="L444" s="364">
        <f>IF($G444="","",IF($H444=1,ROUND($G444/23,0),IF($H444=3,ROUND($G444/12,0),IF($H444=5,$G444-ROUND($G444*10/11,0),IF($H444=8,$G444,0)))))</f>
        <v>0</v>
      </c>
      <c r="M444" s="364">
        <f>IF($G444="","",IF($H444=1,ROUND($G444/23,0),IF($H444=3,ROUND($G444/12,0),IF($H444=6,$G444,IF($H444=7,$G444-ROUND($G444*10/11,0),0)))))</f>
        <v>0</v>
      </c>
      <c r="N444" s="364">
        <f>IF($G444="","",K444+L444+M444)</f>
        <v>0</v>
      </c>
      <c r="O444" s="365" t="str">
        <f>IF($G444="","",IFERROR(VLOOKUP($D444&amp;"|"&amp;$E444,科目表!$A$5:$B$200,2,FALSE),"※未登録"))</f>
        <v>委託費</v>
      </c>
      <c r="P444" s="359">
        <f>IF(OR($G444="",$C444=""),"",IF($B444="決算整理",13,MOD(MONTH($C444)-4,12)+1))</f>
        <v>9</v>
      </c>
      <c r="Q444" s="366" t="str">
        <f>IF($G444="","",TRIM(IF(J444+K444+L444+M444&lt;&gt;$G444,"按分不一致 ","")&amp;IF(O444="※未登録","科目未登録 ","")&amp;IF(OR($H444="",ISERROR(MATCH($H444,{1,2,3,4,5,6,7,8},0))),"経費区分? ","")&amp;IF($I444="","状態未設定 ","")&amp;IF(AND(OR($I444="確認済",$I444="未確認"),$B444="月例",OR($C444="",$C444&lt;DATE(年度+2018,4,1),$C444&gt;DATE(年度+2019,3,31))),"年度外の日付 ","")&amp;IF(AND(OR($I444="確認済",$I444="未確認"),O444="対象外"),"対象外の科目 ","")))</f>
        <v/>
      </c>
      <c r="R444" s="366" t="inlineStr">
        <is>
          <t>月例!462</t>
        </is>
      </c>
    </row>
    <row r="445">
      <c r="A445" s="359" t="n">
        <v>441</v>
      </c>
      <c r="B445" s="360" t="inlineStr">
        <is>
          <t>月例</t>
        </is>
      </c>
      <c r="C445" s="361" t="n">
        <v>45996</v>
      </c>
      <c r="D445" s="362" t="inlineStr">
        <is>
          <t>事務費</t>
        </is>
      </c>
      <c r="E445" s="362" t="inlineStr">
        <is>
          <t>通信運搬費</t>
        </is>
      </c>
      <c r="F445" s="362" t="inlineStr">
        <is>
          <t>電話料（広島市４～９月分）</t>
        </is>
      </c>
      <c r="G445" s="363" t="n">
        <v>18000</v>
      </c>
      <c r="H445" s="360" t="n">
        <v>3</v>
      </c>
      <c r="I445" s="360" t="inlineStr">
        <is>
          <t>昨年実績</t>
        </is>
      </c>
      <c r="J445" s="364">
        <f>IF($G445="","",IF($H445=1,$G445-ROUND($G445*10/23,0)-2*ROUND($G445/23,0),IF($H445=2,$G445,0)))</f>
        <v>0</v>
      </c>
      <c r="K445" s="364">
        <f>IF($G445="","",IF($H445=1,ROUND($G445*10/23,0),IF($H445=3,$G445-2*ROUND($G445/12,0),IF($H445=4,$G445,IF(OR($H445=5,$H445=7),ROUND($G445*10/11,0),0)))))</f>
        <v>15000</v>
      </c>
      <c r="L445" s="364">
        <f>IF($G445="","",IF($H445=1,ROUND($G445/23,0),IF($H445=3,ROUND($G445/12,0),IF($H445=5,$G445-ROUND($G445*10/11,0),IF($H445=8,$G445,0)))))</f>
        <v>1500</v>
      </c>
      <c r="M445" s="364">
        <f>IF($G445="","",IF($H445=1,ROUND($G445/23,0),IF($H445=3,ROUND($G445/12,0),IF($H445=6,$G445,IF($H445=7,$G445-ROUND($G445*10/11,0),0)))))</f>
        <v>1500</v>
      </c>
      <c r="N445" s="364">
        <f>IF($G445="","",K445+L445+M445)</f>
        <v>18000</v>
      </c>
      <c r="O445" s="365" t="str">
        <f>IF($G445="","",IFERROR(VLOOKUP($D445&amp;"|"&amp;$E445,科目表!$A$5:$B$200,2,FALSE),"※未登録"))</f>
        <v>通信運搬費</v>
      </c>
      <c r="P445" s="359">
        <f>IF(OR($G445="",$C445=""),"",IF($B445="決算整理",13,MOD(MONTH($C445)-4,12)+1))</f>
        <v>9</v>
      </c>
      <c r="Q445" s="366" t="str">
        <f>IF($G445="","",TRIM(IF(J445+K445+L445+M445&lt;&gt;$G445,"按分不一致 ","")&amp;IF(O445="※未登録","科目未登録 ","")&amp;IF(OR($H445="",ISERROR(MATCH($H445,{1,2,3,4,5,6,7,8},0))),"経費区分? ","")&amp;IF($I445="","状態未設定 ","")&amp;IF(AND(OR($I445="確認済",$I445="未確認"),$B445="月例",OR($C445="",$C445&lt;DATE(年度+2018,4,1),$C445&gt;DATE(年度+2019,3,31))),"年度外の日付 ","")&amp;IF(AND(OR($I445="確認済",$I445="未確認"),O445="対象外"),"対象外の科目 ","")))</f>
        <v/>
      </c>
      <c r="R445" s="366" t="inlineStr">
        <is>
          <t>月例!463</t>
        </is>
      </c>
    </row>
    <row r="446">
      <c r="A446" s="359" t="n">
        <v>442</v>
      </c>
      <c r="B446" s="360" t="inlineStr">
        <is>
          <t>月例</t>
        </is>
      </c>
      <c r="C446" s="361" t="n">
        <v>45996</v>
      </c>
      <c r="D446" s="362" t="inlineStr">
        <is>
          <t>事務費</t>
        </is>
      </c>
      <c r="E446" s="362" t="inlineStr">
        <is>
          <t>通信運搬費</t>
        </is>
      </c>
      <c r="F446" s="362" t="inlineStr">
        <is>
          <t>電話料（広島市４～９月分）</t>
        </is>
      </c>
      <c r="G446" s="363" t="n">
        <v>54000</v>
      </c>
      <c r="H446" s="360" t="n">
        <v>2</v>
      </c>
      <c r="I446" s="360" t="inlineStr">
        <is>
          <t>昨年実績</t>
        </is>
      </c>
      <c r="J446" s="364">
        <f>IF($G446="","",IF($H446=1,$G446-ROUND($G446*10/23,0)-2*ROUND($G446/23,0),IF($H446=2,$G446,0)))</f>
        <v>54000</v>
      </c>
      <c r="K446" s="364">
        <f>IF($G446="","",IF($H446=1,ROUND($G446*10/23,0),IF($H446=3,$G446-2*ROUND($G446/12,0),IF($H446=4,$G446,IF(OR($H446=5,$H446=7),ROUND($G446*10/11,0),0)))))</f>
        <v>0</v>
      </c>
      <c r="L446" s="364">
        <f>IF($G446="","",IF($H446=1,ROUND($G446/23,0),IF($H446=3,ROUND($G446/12,0),IF($H446=5,$G446-ROUND($G446*10/11,0),IF($H446=8,$G446,0)))))</f>
        <v>0</v>
      </c>
      <c r="M446" s="364">
        <f>IF($G446="","",IF($H446=1,ROUND($G446/23,0),IF($H446=3,ROUND($G446/12,0),IF($H446=6,$G446,IF($H446=7,$G446-ROUND($G446*10/11,0),0)))))</f>
        <v>0</v>
      </c>
      <c r="N446" s="364">
        <f>IF($G446="","",K446+L446+M446)</f>
        <v>0</v>
      </c>
      <c r="O446" s="365" t="str">
        <f>IF($G446="","",IFERROR(VLOOKUP($D446&amp;"|"&amp;$E446,科目表!$A$5:$B$200,2,FALSE),"※未登録"))</f>
        <v>通信運搬費</v>
      </c>
      <c r="P446" s="359">
        <f>IF(OR($G446="",$C446=""),"",IF($B446="決算整理",13,MOD(MONTH($C446)-4,12)+1))</f>
        <v>9</v>
      </c>
      <c r="Q446" s="366" t="str">
        <f>IF($G446="","",TRIM(IF(J446+K446+L446+M446&lt;&gt;$G446,"按分不一致 ","")&amp;IF(O446="※未登録","科目未登録 ","")&amp;IF(OR($H446="",ISERROR(MATCH($H446,{1,2,3,4,5,6,7,8},0))),"経費区分? ","")&amp;IF($I446="","状態未設定 ","")&amp;IF(AND(OR($I446="確認済",$I446="未確認"),$B446="月例",OR($C446="",$C446&lt;DATE(年度+2018,4,1),$C446&gt;DATE(年度+2019,3,31))),"年度外の日付 ","")&amp;IF(AND(OR($I446="確認済",$I446="未確認"),O446="対象外"),"対象外の科目 ","")))</f>
        <v/>
      </c>
      <c r="R446" s="366" t="inlineStr">
        <is>
          <t>月例!464</t>
        </is>
      </c>
    </row>
    <row r="447">
      <c r="A447" s="359" t="n">
        <v>443</v>
      </c>
      <c r="B447" s="360" t="inlineStr">
        <is>
          <t>月例</t>
        </is>
      </c>
      <c r="C447" s="361" t="n">
        <v>44904</v>
      </c>
      <c r="D447" s="362" t="inlineStr">
        <is>
          <t>賃借料</t>
        </is>
      </c>
      <c r="E447" s="362" t="n"/>
      <c r="F447" s="362" t="inlineStr">
        <is>
          <t>大都市職員共済組合事務担当者会議等　WEB会議用機器等</t>
        </is>
      </c>
      <c r="G447" s="363" t="n">
        <v>13970</v>
      </c>
      <c r="H447" s="360" t="n">
        <v>1</v>
      </c>
      <c r="I447" s="360" t="inlineStr">
        <is>
          <t>昨年実績</t>
        </is>
      </c>
      <c r="J447" s="364">
        <f>IF($G447="","",IF($H447=1,$G447-ROUND($G447*10/23,0)-2*ROUND($G447/23,0),IF($H447=2,$G447,0)))</f>
        <v>6682</v>
      </c>
      <c r="K447" s="364">
        <f>IF($G447="","",IF($H447=1,ROUND($G447*10/23,0),IF($H447=3,$G447-2*ROUND($G447/12,0),IF($H447=4,$G447,IF(OR($H447=5,$H447=7),ROUND($G447*10/11,0),0)))))</f>
        <v>6074</v>
      </c>
      <c r="L447" s="364">
        <f>IF($G447="","",IF($H447=1,ROUND($G447/23,0),IF($H447=3,ROUND($G447/12,0),IF($H447=5,$G447-ROUND($G447*10/11,0),IF($H447=8,$G447,0)))))</f>
        <v>607</v>
      </c>
      <c r="M447" s="364">
        <f>IF($G447="","",IF($H447=1,ROUND($G447/23,0),IF($H447=3,ROUND($G447/12,0),IF($H447=6,$G447,IF($H447=7,$G447-ROUND($G447*10/11,0),0)))))</f>
        <v>607</v>
      </c>
      <c r="N447" s="364">
        <f>IF($G447="","",K447+L447+M447)</f>
        <v>7288</v>
      </c>
      <c r="O447" s="365" t="str">
        <f>IF($G447="","",IFERROR(VLOOKUP($D447&amp;"|"&amp;$E447,科目表!$A$5:$B$200,2,FALSE),"※未登録"))</f>
        <v>賃借料</v>
      </c>
      <c r="P447" s="359">
        <f>IF(OR($G447="",$C447=""),"",IF($B447="決算整理",13,MOD(MONTH($C447)-4,12)+1))</f>
        <v>9</v>
      </c>
      <c r="Q447" s="366" t="str">
        <f>IF($G447="","",TRIM(IF(J447+K447+L447+M447&lt;&gt;$G447,"按分不一致 ","")&amp;IF(O447="※未登録","科目未登録 ","")&amp;IF(OR($H447="",ISERROR(MATCH($H447,{1,2,3,4,5,6,7,8},0))),"経費区分? ","")&amp;IF($I447="","状態未設定 ","")&amp;IF(AND(OR($I447="確認済",$I447="未確認"),$B447="月例",OR($C447="",$C447&lt;DATE(年度+2018,4,1),$C447&gt;DATE(年度+2019,3,31))),"年度外の日付 ","")&amp;IF(AND(OR($I447="確認済",$I447="未確認"),O447="対象外"),"対象外の科目 ","")))</f>
        <v/>
      </c>
      <c r="R447" s="366" t="inlineStr">
        <is>
          <t>月例!465</t>
        </is>
      </c>
    </row>
    <row r="448">
      <c r="A448" s="359" t="n">
        <v>444</v>
      </c>
      <c r="B448" s="360" t="inlineStr">
        <is>
          <t>月例</t>
        </is>
      </c>
      <c r="C448" s="361" t="n">
        <v>46010</v>
      </c>
      <c r="D448" s="362" t="inlineStr">
        <is>
          <t>職員給与</t>
        </is>
      </c>
      <c r="E448" s="362" t="inlineStr">
        <is>
          <t>非常勤職員手当</t>
        </is>
      </c>
      <c r="F448" s="362" t="inlineStr">
        <is>
          <t>12月分給与（長期分）</t>
        </is>
      </c>
      <c r="G448" s="363" t="n">
        <v>381773</v>
      </c>
      <c r="H448" s="360" t="n">
        <v>3</v>
      </c>
      <c r="I448" s="360" t="inlineStr">
        <is>
          <t>昨年実績</t>
        </is>
      </c>
      <c r="J448" s="364">
        <f>IF($G448="","",IF($H448=1,$G448-ROUND($G448*10/23,0)-2*ROUND($G448/23,0),IF($H448=2,$G448,0)))</f>
        <v>0</v>
      </c>
      <c r="K448" s="364">
        <f>IF($G448="","",IF($H448=1,ROUND($G448*10/23,0),IF($H448=3,$G448-2*ROUND($G448/12,0),IF($H448=4,$G448,IF(OR($H448=5,$H448=7),ROUND($G448*10/11,0),0)))))</f>
        <v>318145</v>
      </c>
      <c r="L448" s="364">
        <f>IF($G448="","",IF($H448=1,ROUND($G448/23,0),IF($H448=3,ROUND($G448/12,0),IF($H448=5,$G448-ROUND($G448*10/11,0),IF($H448=8,$G448,0)))))</f>
        <v>31814</v>
      </c>
      <c r="M448" s="364">
        <f>IF($G448="","",IF($H448=1,ROUND($G448/23,0),IF($H448=3,ROUND($G448/12,0),IF($H448=6,$G448,IF($H448=7,$G448-ROUND($G448*10/11,0),0)))))</f>
        <v>31814</v>
      </c>
      <c r="N448" s="364">
        <f>IF($G448="","",K448+L448+M448)</f>
        <v>381773</v>
      </c>
      <c r="O448" s="365" t="str">
        <f>IF($G448="","",IFERROR(VLOOKUP($D448&amp;"|"&amp;$E448,科目表!$A$5:$B$200,2,FALSE),"※未登録"))</f>
        <v>非常勤職員手当</v>
      </c>
      <c r="P448" s="359">
        <f>IF(OR($G448="",$C448=""),"",IF($B448="決算整理",13,MOD(MONTH($C448)-4,12)+1))</f>
        <v>9</v>
      </c>
      <c r="Q448" s="366" t="str">
        <f>IF($G448="","",TRIM(IF(J448+K448+L448+M448&lt;&gt;$G448,"按分不一致 ","")&amp;IF(O448="※未登録","科目未登録 ","")&amp;IF(OR($H448="",ISERROR(MATCH($H448,{1,2,3,4,5,6,7,8},0))),"経費区分? ","")&amp;IF($I448="","状態未設定 ","")&amp;IF(AND(OR($I448="確認済",$I448="未確認"),$B448="月例",OR($C448="",$C448&lt;DATE(年度+2018,4,1),$C448&gt;DATE(年度+2019,3,31))),"年度外の日付 ","")&amp;IF(AND(OR($I448="確認済",$I448="未確認"),O448="対象外"),"対象外の科目 ","")))</f>
        <v/>
      </c>
      <c r="R448" s="366" t="inlineStr">
        <is>
          <t>月例!466</t>
        </is>
      </c>
    </row>
    <row r="449">
      <c r="A449" s="359" t="n">
        <v>445</v>
      </c>
      <c r="B449" s="360" t="inlineStr">
        <is>
          <t>月例</t>
        </is>
      </c>
      <c r="C449" s="361" t="n">
        <v>46010</v>
      </c>
      <c r="D449" s="362" t="inlineStr">
        <is>
          <t>職員給与</t>
        </is>
      </c>
      <c r="E449" s="362" t="inlineStr">
        <is>
          <t>非常勤職員手当</t>
        </is>
      </c>
      <c r="F449" s="362" t="inlineStr">
        <is>
          <t>12月分給与（短期分）</t>
        </is>
      </c>
      <c r="G449" s="363" t="n">
        <v>225859</v>
      </c>
      <c r="H449" s="360" t="n">
        <v>2</v>
      </c>
      <c r="I449" s="360" t="inlineStr">
        <is>
          <t>昨年実績</t>
        </is>
      </c>
      <c r="J449" s="364">
        <f>IF($G449="","",IF($H449=1,$G449-ROUND($G449*10/23,0)-2*ROUND($G449/23,0),IF($H449=2,$G449,0)))</f>
        <v>225859</v>
      </c>
      <c r="K449" s="364">
        <f>IF($G449="","",IF($H449=1,ROUND($G449*10/23,0),IF($H449=3,$G449-2*ROUND($G449/12,0),IF($H449=4,$G449,IF(OR($H449=5,$H449=7),ROUND($G449*10/11,0),0)))))</f>
        <v>0</v>
      </c>
      <c r="L449" s="364">
        <f>IF($G449="","",IF($H449=1,ROUND($G449/23,0),IF($H449=3,ROUND($G449/12,0),IF($H449=5,$G449-ROUND($G449*10/11,0),IF($H449=8,$G449,0)))))</f>
        <v>0</v>
      </c>
      <c r="M449" s="364">
        <f>IF($G449="","",IF($H449=1,ROUND($G449/23,0),IF($H449=3,ROUND($G449/12,0),IF($H449=6,$G449,IF($H449=7,$G449-ROUND($G449*10/11,0),0)))))</f>
        <v>0</v>
      </c>
      <c r="N449" s="364">
        <f>IF($G449="","",K449+L449+M449)</f>
        <v>0</v>
      </c>
      <c r="O449" s="365" t="str">
        <f>IF($G449="","",IFERROR(VLOOKUP($D449&amp;"|"&amp;$E449,科目表!$A$5:$B$200,2,FALSE),"※未登録"))</f>
        <v>非常勤職員手当</v>
      </c>
      <c r="P449" s="359">
        <f>IF(OR($G449="",$C449=""),"",IF($B449="決算整理",13,MOD(MONTH($C449)-4,12)+1))</f>
        <v>9</v>
      </c>
      <c r="Q449" s="366" t="str">
        <f>IF($G449="","",TRIM(IF(J449+K449+L449+M449&lt;&gt;$G449,"按分不一致 ","")&amp;IF(O449="※未登録","科目未登録 ","")&amp;IF(OR($H449="",ISERROR(MATCH($H449,{1,2,3,4,5,6,7,8},0))),"経費区分? ","")&amp;IF($I449="","状態未設定 ","")&amp;IF(AND(OR($I449="確認済",$I449="未確認"),$B449="月例",OR($C449="",$C449&lt;DATE(年度+2018,4,1),$C449&gt;DATE(年度+2019,3,31))),"年度外の日付 ","")&amp;IF(AND(OR($I449="確認済",$I449="未確認"),O449="対象外"),"対象外の科目 ","")))</f>
        <v/>
      </c>
      <c r="R449" s="366" t="inlineStr">
        <is>
          <t>月例!467</t>
        </is>
      </c>
    </row>
    <row r="450">
      <c r="A450" s="359" t="n">
        <v>446</v>
      </c>
      <c r="B450" s="360" t="inlineStr">
        <is>
          <t>月例</t>
        </is>
      </c>
      <c r="C450" s="361" t="n">
        <v>46010</v>
      </c>
      <c r="D450" s="362" t="inlineStr">
        <is>
          <t>負担金</t>
        </is>
      </c>
      <c r="E450" s="362" t="inlineStr">
        <is>
          <t>互助会費</t>
        </is>
      </c>
      <c r="F450" s="362" t="inlineStr">
        <is>
          <t>助成金（12月長期分）</t>
        </is>
      </c>
      <c r="G450" s="363" t="n">
        <v>535</v>
      </c>
      <c r="H450" s="360" t="n">
        <v>3</v>
      </c>
      <c r="I450" s="360" t="inlineStr">
        <is>
          <t>昨年実績</t>
        </is>
      </c>
      <c r="J450" s="364">
        <f>IF($G450="","",IF($H450=1,$G450-ROUND($G450*10/23,0)-2*ROUND($G450/23,0),IF($H450=2,$G450,0)))</f>
        <v>0</v>
      </c>
      <c r="K450" s="364">
        <f>IF($G450="","",IF($H450=1,ROUND($G450*10/23,0),IF($H450=3,$G450-2*ROUND($G450/12,0),IF($H450=4,$G450,IF(OR($H450=5,$H450=7),ROUND($G450*10/11,0),0)))))</f>
        <v>445</v>
      </c>
      <c r="L450" s="364">
        <f>IF($G450="","",IF($H450=1,ROUND($G450/23,0),IF($H450=3,ROUND($G450/12,0),IF($H450=5,$G450-ROUND($G450*10/11,0),IF($H450=8,$G450,0)))))</f>
        <v>45</v>
      </c>
      <c r="M450" s="364">
        <f>IF($G450="","",IF($H450=1,ROUND($G450/23,0),IF($H450=3,ROUND($G450/12,0),IF($H450=6,$G450,IF($H450=7,$G450-ROUND($G450*10/11,0),0)))))</f>
        <v>45</v>
      </c>
      <c r="N450" s="364">
        <f>IF($G450="","",K450+L450+M450)</f>
        <v>535</v>
      </c>
      <c r="O450" s="365" t="str">
        <f>IF($G450="","",IFERROR(VLOOKUP($D450&amp;"|"&amp;$E450,科目表!$A$5:$B$200,2,FALSE),"※未登録"))</f>
        <v>互助会費</v>
      </c>
      <c r="P450" s="359">
        <f>IF(OR($G450="",$C450=""),"",IF($B450="決算整理",13,MOD(MONTH($C450)-4,12)+1))</f>
        <v>9</v>
      </c>
      <c r="Q450" s="366" t="str">
        <f>IF($G450="","",TRIM(IF(J450+K450+L450+M450&lt;&gt;$G450,"按分不一致 ","")&amp;IF(O450="※未登録","科目未登録 ","")&amp;IF(OR($H450="",ISERROR(MATCH($H450,{1,2,3,4,5,6,7,8},0))),"経費区分? ","")&amp;IF($I450="","状態未設定 ","")&amp;IF(AND(OR($I450="確認済",$I450="未確認"),$B450="月例",OR($C450="",$C450&lt;DATE(年度+2018,4,1),$C450&gt;DATE(年度+2019,3,31))),"年度外の日付 ","")&amp;IF(AND(OR($I450="確認済",$I450="未確認"),O450="対象外"),"対象外の科目 ","")))</f>
        <v/>
      </c>
      <c r="R450" s="366" t="inlineStr">
        <is>
          <t>月例!468</t>
        </is>
      </c>
    </row>
    <row r="451">
      <c r="A451" s="359" t="n">
        <v>447</v>
      </c>
      <c r="B451" s="360" t="inlineStr">
        <is>
          <t>月例</t>
        </is>
      </c>
      <c r="C451" s="361" t="n">
        <v>46010</v>
      </c>
      <c r="D451" s="362" t="inlineStr">
        <is>
          <t>負担金</t>
        </is>
      </c>
      <c r="E451" s="362" t="inlineStr">
        <is>
          <t>互助会費</t>
        </is>
      </c>
      <c r="F451" s="362" t="inlineStr">
        <is>
          <t>助成金（12月短期分）</t>
        </is>
      </c>
      <c r="G451" s="363" t="n">
        <v>276</v>
      </c>
      <c r="H451" s="360" t="n">
        <v>2</v>
      </c>
      <c r="I451" s="360" t="inlineStr">
        <is>
          <t>昨年実績</t>
        </is>
      </c>
      <c r="J451" s="364">
        <f>IF($G451="","",IF($H451=1,$G451-ROUND($G451*10/23,0)-2*ROUND($G451/23,0),IF($H451=2,$G451,0)))</f>
        <v>276</v>
      </c>
      <c r="K451" s="364">
        <f>IF($G451="","",IF($H451=1,ROUND($G451*10/23,0),IF($H451=3,$G451-2*ROUND($G451/12,0),IF($H451=4,$G451,IF(OR($H451=5,$H451=7),ROUND($G451*10/11,0),0)))))</f>
        <v>0</v>
      </c>
      <c r="L451" s="364">
        <f>IF($G451="","",IF($H451=1,ROUND($G451/23,0),IF($H451=3,ROUND($G451/12,0),IF($H451=5,$G451-ROUND($G451*10/11,0),IF($H451=8,$G451,0)))))</f>
        <v>0</v>
      </c>
      <c r="M451" s="364">
        <f>IF($G451="","",IF($H451=1,ROUND($G451/23,0),IF($H451=3,ROUND($G451/12,0),IF($H451=6,$G451,IF($H451=7,$G451-ROUND($G451*10/11,0),0)))))</f>
        <v>0</v>
      </c>
      <c r="N451" s="364">
        <f>IF($G451="","",K451+L451+M451)</f>
        <v>0</v>
      </c>
      <c r="O451" s="365" t="str">
        <f>IF($G451="","",IFERROR(VLOOKUP($D451&amp;"|"&amp;$E451,科目表!$A$5:$B$200,2,FALSE),"※未登録"))</f>
        <v>互助会費</v>
      </c>
      <c r="P451" s="359">
        <f>IF(OR($G451="",$C451=""),"",IF($B451="決算整理",13,MOD(MONTH($C451)-4,12)+1))</f>
        <v>9</v>
      </c>
      <c r="Q451" s="366" t="str">
        <f>IF($G451="","",TRIM(IF(J451+K451+L451+M451&lt;&gt;$G451,"按分不一致 ","")&amp;IF(O451="※未登録","科目未登録 ","")&amp;IF(OR($H451="",ISERROR(MATCH($H451,{1,2,3,4,5,6,7,8},0))),"経費区分? ","")&amp;IF($I451="","状態未設定 ","")&amp;IF(AND(OR($I451="確認済",$I451="未確認"),$B451="月例",OR($C451="",$C451&lt;DATE(年度+2018,4,1),$C451&gt;DATE(年度+2019,3,31))),"年度外の日付 ","")&amp;IF(AND(OR($I451="確認済",$I451="未確認"),O451="対象外"),"対象外の科目 ","")))</f>
        <v/>
      </c>
      <c r="R451" s="366" t="inlineStr">
        <is>
          <t>月例!469</t>
        </is>
      </c>
    </row>
    <row r="452">
      <c r="A452" s="359" t="n">
        <v>448</v>
      </c>
      <c r="B452" s="360" t="inlineStr">
        <is>
          <t>月例</t>
        </is>
      </c>
      <c r="C452" s="361" t="n">
        <v>45296</v>
      </c>
      <c r="D452" s="362" t="inlineStr">
        <is>
          <t>事務費</t>
        </is>
      </c>
      <c r="E452" s="362" t="inlineStr">
        <is>
          <t>事務用消耗品費</t>
        </is>
      </c>
      <c r="F452" s="362" t="inlineStr">
        <is>
          <t>トナーカートリッジ（再生品）ＬＰＢ３Ｔ２７　９個</t>
        </is>
      </c>
      <c r="G452" s="363" t="n">
        <v>47520</v>
      </c>
      <c r="H452" s="360" t="n">
        <v>3</v>
      </c>
      <c r="I452" s="360" t="inlineStr">
        <is>
          <t>昨年実績</t>
        </is>
      </c>
      <c r="J452" s="364">
        <f>IF($G452="","",IF($H452=1,$G452-ROUND($G452*10/23,0)-2*ROUND($G452/23,0),IF($H452=2,$G452,0)))</f>
        <v>0</v>
      </c>
      <c r="K452" s="364">
        <f>IF($G452="","",IF($H452=1,ROUND($G452*10/23,0),IF($H452=3,$G452-2*ROUND($G452/12,0),IF($H452=4,$G452,IF(OR($H452=5,$H452=7),ROUND($G452*10/11,0),0)))))</f>
        <v>39600</v>
      </c>
      <c r="L452" s="364">
        <f>IF($G452="","",IF($H452=1,ROUND($G452/23,0),IF($H452=3,ROUND($G452/12,0),IF($H452=5,$G452-ROUND($G452*10/11,0),IF($H452=8,$G452,0)))))</f>
        <v>3960</v>
      </c>
      <c r="M452" s="364">
        <f>IF($G452="","",IF($H452=1,ROUND($G452/23,0),IF($H452=3,ROUND($G452/12,0),IF($H452=6,$G452,IF($H452=7,$G452-ROUND($G452*10/11,0),0)))))</f>
        <v>3960</v>
      </c>
      <c r="N452" s="364">
        <f>IF($G452="","",K452+L452+M452)</f>
        <v>47520</v>
      </c>
      <c r="O452" s="365" t="str">
        <f>IF($G452="","",IFERROR(VLOOKUP($D452&amp;"|"&amp;$E452,科目表!$A$5:$B$200,2,FALSE),"※未登録"))</f>
        <v>事務用消耗品費</v>
      </c>
      <c r="P452" s="359">
        <f>IF(OR($G452="",$C452=""),"",IF($B452="決算整理",13,MOD(MONTH($C452)-4,12)+1))</f>
        <v>10</v>
      </c>
      <c r="Q452" s="366" t="str">
        <f>IF($G452="","",TRIM(IF(J452+K452+L452+M452&lt;&gt;$G452,"按分不一致 ","")&amp;IF(O452="※未登録","科目未登録 ","")&amp;IF(OR($H452="",ISERROR(MATCH($H452,{1,2,3,4,5,6,7,8},0))),"経費区分? ","")&amp;IF($I452="","状態未設定 ","")&amp;IF(AND(OR($I452="確認済",$I452="未確認"),$B452="月例",OR($C452="",$C452&lt;DATE(年度+2018,4,1),$C452&gt;DATE(年度+2019,3,31))),"年度外の日付 ","")&amp;IF(AND(OR($I452="確認済",$I452="未確認"),O452="対象外"),"対象外の科目 ","")))</f>
        <v/>
      </c>
      <c r="R452" s="366" t="inlineStr">
        <is>
          <t>月例!470</t>
        </is>
      </c>
    </row>
    <row r="453">
      <c r="A453" s="359" t="n">
        <v>449</v>
      </c>
      <c r="B453" s="360" t="inlineStr">
        <is>
          <t>月例</t>
        </is>
      </c>
      <c r="C453" s="361" t="n">
        <v>45638</v>
      </c>
      <c r="D453" s="362" t="inlineStr">
        <is>
          <t>事務費</t>
        </is>
      </c>
      <c r="E453" s="362" t="inlineStr">
        <is>
          <t>通信運搬費</t>
        </is>
      </c>
      <c r="F453" s="362" t="inlineStr">
        <is>
          <t>切手、レターパック</t>
        </is>
      </c>
      <c r="G453" s="363" t="n">
        <v>288200</v>
      </c>
      <c r="H453" s="360" t="n">
        <v>3</v>
      </c>
      <c r="I453" s="360" t="inlineStr">
        <is>
          <t>昨年実績</t>
        </is>
      </c>
      <c r="J453" s="364">
        <f>IF($G453="","",IF($H453=1,$G453-ROUND($G453*10/23,0)-2*ROUND($G453/23,0),IF($H453=2,$G453,0)))</f>
        <v>0</v>
      </c>
      <c r="K453" s="364">
        <f>IF($G453="","",IF($H453=1,ROUND($G453*10/23,0),IF($H453=3,$G453-2*ROUND($G453/12,0),IF($H453=4,$G453,IF(OR($H453=5,$H453=7),ROUND($G453*10/11,0),0)))))</f>
        <v>240166</v>
      </c>
      <c r="L453" s="364">
        <f>IF($G453="","",IF($H453=1,ROUND($G453/23,0),IF($H453=3,ROUND($G453/12,0),IF($H453=5,$G453-ROUND($G453*10/11,0),IF($H453=8,$G453,0)))))</f>
        <v>24017</v>
      </c>
      <c r="M453" s="364">
        <f>IF($G453="","",IF($H453=1,ROUND($G453/23,0),IF($H453=3,ROUND($G453/12,0),IF($H453=6,$G453,IF($H453=7,$G453-ROUND($G453*10/11,0),0)))))</f>
        <v>24017</v>
      </c>
      <c r="N453" s="364">
        <f>IF($G453="","",K453+L453+M453)</f>
        <v>288200</v>
      </c>
      <c r="O453" s="365" t="str">
        <f>IF($G453="","",IFERROR(VLOOKUP($D453&amp;"|"&amp;$E453,科目表!$A$5:$B$200,2,FALSE),"※未登録"))</f>
        <v>通信運搬費</v>
      </c>
      <c r="P453" s="359">
        <f>IF(OR($G453="",$C453=""),"",IF($B453="決算整理",13,MOD(MONTH($C453)-4,12)+1))</f>
        <v>9</v>
      </c>
      <c r="Q453" s="366" t="str">
        <f>IF($G453="","",TRIM(IF(J453+K453+L453+M453&lt;&gt;$G453,"按分不一致 ","")&amp;IF(O453="※未登録","科目未登録 ","")&amp;IF(OR($H453="",ISERROR(MATCH($H453,{1,2,3,4,5,6,7,8},0))),"経費区分? ","")&amp;IF($I453="","状態未設定 ","")&amp;IF(AND(OR($I453="確認済",$I453="未確認"),$B453="月例",OR($C453="",$C453&lt;DATE(年度+2018,4,1),$C453&gt;DATE(年度+2019,3,31))),"年度外の日付 ","")&amp;IF(AND(OR($I453="確認済",$I453="未確認"),O453="対象外"),"対象外の科目 ","")))</f>
        <v/>
      </c>
      <c r="R453" s="366" t="inlineStr">
        <is>
          <t>月例!471</t>
        </is>
      </c>
    </row>
    <row r="454">
      <c r="A454" s="359" t="n">
        <v>450</v>
      </c>
      <c r="B454" s="360" t="inlineStr">
        <is>
          <t>月例</t>
        </is>
      </c>
      <c r="C454" s="361" t="n">
        <v>44173</v>
      </c>
      <c r="D454" s="362" t="inlineStr">
        <is>
          <t>負担金</t>
        </is>
      </c>
      <c r="E454" s="362" t="inlineStr">
        <is>
          <t>負担金</t>
        </is>
      </c>
      <c r="F454" s="362" t="inlineStr">
        <is>
          <t>収入印紙</t>
        </is>
      </c>
      <c r="G454" s="363" t="n">
        <v>4000</v>
      </c>
      <c r="H454" s="360" t="n">
        <v>3</v>
      </c>
      <c r="I454" s="360" t="inlineStr">
        <is>
          <t>昨年実績</t>
        </is>
      </c>
      <c r="J454" s="364">
        <f>IF($G454="","",IF($H454=1,$G454-ROUND($G454*10/23,0)-2*ROUND($G454/23,0),IF($H454=2,$G454,0)))</f>
        <v>0</v>
      </c>
      <c r="K454" s="364">
        <f>IF($G454="","",IF($H454=1,ROUND($G454*10/23,0),IF($H454=3,$G454-2*ROUND($G454/12,0),IF($H454=4,$G454,IF(OR($H454=5,$H454=7),ROUND($G454*10/11,0),0)))))</f>
        <v>3334</v>
      </c>
      <c r="L454" s="364">
        <f>IF($G454="","",IF($H454=1,ROUND($G454/23,0),IF($H454=3,ROUND($G454/12,0),IF($H454=5,$G454-ROUND($G454*10/11,0),IF($H454=8,$G454,0)))))</f>
        <v>333</v>
      </c>
      <c r="M454" s="364">
        <f>IF($G454="","",IF($H454=1,ROUND($G454/23,0),IF($H454=3,ROUND($G454/12,0),IF($H454=6,$G454,IF($H454=7,$G454-ROUND($G454*10/11,0),0)))))</f>
        <v>333</v>
      </c>
      <c r="N454" s="364">
        <f>IF($G454="","",K454+L454+M454)</f>
        <v>4000</v>
      </c>
      <c r="O454" s="365" t="str">
        <f>IF($G454="","",IFERROR(VLOOKUP($D454&amp;"|"&amp;$E454,科目表!$A$5:$B$200,2,FALSE),"※未登録"))</f>
        <v>共済負担金等</v>
      </c>
      <c r="P454" s="359">
        <f>IF(OR($G454="",$C454=""),"",IF($B454="決算整理",13,MOD(MONTH($C454)-4,12)+1))</f>
        <v>9</v>
      </c>
      <c r="Q454" s="366" t="str">
        <f>IF($G454="","",TRIM(IF(J454+K454+L454+M454&lt;&gt;$G454,"按分不一致 ","")&amp;IF(O454="※未登録","科目未登録 ","")&amp;IF(OR($H454="",ISERROR(MATCH($H454,{1,2,3,4,5,6,7,8},0))),"経費区分? ","")&amp;IF($I454="","状態未設定 ","")&amp;IF(AND(OR($I454="確認済",$I454="未確認"),$B454="月例",OR($C454="",$C454&lt;DATE(年度+2018,4,1),$C454&gt;DATE(年度+2019,3,31))),"年度外の日付 ","")&amp;IF(AND(OR($I454="確認済",$I454="未確認"),O454="対象外"),"対象外の科目 ","")))</f>
        <v/>
      </c>
      <c r="R454" s="366" t="inlineStr">
        <is>
          <t>月例!472</t>
        </is>
      </c>
    </row>
    <row r="455">
      <c r="A455" s="359" t="n">
        <v>451</v>
      </c>
      <c r="B455" s="360" t="inlineStr">
        <is>
          <t>月例</t>
        </is>
      </c>
      <c r="C455" s="361" t="n">
        <v>46017</v>
      </c>
      <c r="D455" s="362" t="inlineStr">
        <is>
          <t>事務費</t>
        </is>
      </c>
      <c r="E455" s="362" t="inlineStr">
        <is>
          <t>図書印刷費</t>
        </is>
      </c>
      <c r="F455" s="362" t="inlineStr">
        <is>
          <t>厚生法規総覧追録　６０４６－６０５５号</t>
        </is>
      </c>
      <c r="G455" s="363" t="n">
        <v>33154</v>
      </c>
      <c r="H455" s="360" t="n">
        <v>2</v>
      </c>
      <c r="I455" s="360" t="inlineStr">
        <is>
          <t>昨年実績</t>
        </is>
      </c>
      <c r="J455" s="364">
        <f>IF($G455="","",IF($H455=1,$G455-ROUND($G455*10/23,0)-2*ROUND($G455/23,0),IF($H455=2,$G455,0)))</f>
        <v>33154</v>
      </c>
      <c r="K455" s="364">
        <f>IF($G455="","",IF($H455=1,ROUND($G455*10/23,0),IF($H455=3,$G455-2*ROUND($G455/12,0),IF($H455=4,$G455,IF(OR($H455=5,$H455=7),ROUND($G455*10/11,0),0)))))</f>
        <v>0</v>
      </c>
      <c r="L455" s="364">
        <f>IF($G455="","",IF($H455=1,ROUND($G455/23,0),IF($H455=3,ROUND($G455/12,0),IF($H455=5,$G455-ROUND($G455*10/11,0),IF($H455=8,$G455,0)))))</f>
        <v>0</v>
      </c>
      <c r="M455" s="364">
        <f>IF($G455="","",IF($H455=1,ROUND($G455/23,0),IF($H455=3,ROUND($G455/12,0),IF($H455=6,$G455,IF($H455=7,$G455-ROUND($G455*10/11,0),0)))))</f>
        <v>0</v>
      </c>
      <c r="N455" s="364">
        <f>IF($G455="","",K455+L455+M455)</f>
        <v>0</v>
      </c>
      <c r="O455" s="365" t="str">
        <f>IF($G455="","",IFERROR(VLOOKUP($D455&amp;"|"&amp;$E455,科目表!$A$5:$B$200,2,FALSE),"※未登録"))</f>
        <v>図書印刷費</v>
      </c>
      <c r="P455" s="359">
        <f>IF(OR($G455="",$C455=""),"",IF($B455="決算整理",13,MOD(MONTH($C455)-4,12)+1))</f>
        <v>9</v>
      </c>
      <c r="Q455" s="366" t="str">
        <f>IF($G455="","",TRIM(IF(J455+K455+L455+M455&lt;&gt;$G455,"按分不一致 ","")&amp;IF(O455="※未登録","科目未登録 ","")&amp;IF(OR($H455="",ISERROR(MATCH($H455,{1,2,3,4,5,6,7,8},0))),"経費区分? ","")&amp;IF($I455="","状態未設定 ","")&amp;IF(AND(OR($I455="確認済",$I455="未確認"),$B455="月例",OR($C455="",$C455&lt;DATE(年度+2018,4,1),$C455&gt;DATE(年度+2019,3,31))),"年度外の日付 ","")&amp;IF(AND(OR($I455="確認済",$I455="未確認"),O455="対象外"),"対象外の科目 ","")))</f>
        <v/>
      </c>
      <c r="R455" s="366" t="inlineStr">
        <is>
          <t>月例!473</t>
        </is>
      </c>
    </row>
    <row r="456">
      <c r="A456" s="359" t="n">
        <v>452</v>
      </c>
      <c r="B456" s="360" t="inlineStr">
        <is>
          <t>月例</t>
        </is>
      </c>
      <c r="C456" s="361" t="n">
        <v>43816</v>
      </c>
      <c r="D456" s="362" t="inlineStr">
        <is>
          <t>旅費</t>
        </is>
      </c>
      <c r="E456" s="362" t="n"/>
      <c r="F456" s="362" t="inlineStr">
        <is>
          <t>12/19大都市事務担（長期）　神戸市　名桑次長</t>
        </is>
      </c>
      <c r="G456" s="363" t="n">
        <v>21540</v>
      </c>
      <c r="H456" s="360" t="n">
        <v>3</v>
      </c>
      <c r="I456" s="360" t="inlineStr">
        <is>
          <t>昨年実績</t>
        </is>
      </c>
      <c r="J456" s="364">
        <f>IF($G456="","",IF($H456=1,$G456-ROUND($G456*10/23,0)-2*ROUND($G456/23,0),IF($H456=2,$G456,0)))</f>
        <v>0</v>
      </c>
      <c r="K456" s="364">
        <f>IF($G456="","",IF($H456=1,ROUND($G456*10/23,0),IF($H456=3,$G456-2*ROUND($G456/12,0),IF($H456=4,$G456,IF(OR($H456=5,$H456=7),ROUND($G456*10/11,0),0)))))</f>
        <v>17950</v>
      </c>
      <c r="L456" s="364">
        <f>IF($G456="","",IF($H456=1,ROUND($G456/23,0),IF($H456=3,ROUND($G456/12,0),IF($H456=5,$G456-ROUND($G456*10/11,0),IF($H456=8,$G456,0)))))</f>
        <v>1795</v>
      </c>
      <c r="M456" s="364">
        <f>IF($G456="","",IF($H456=1,ROUND($G456/23,0),IF($H456=3,ROUND($G456/12,0),IF($H456=6,$G456,IF($H456=7,$G456-ROUND($G456*10/11,0),0)))))</f>
        <v>1795</v>
      </c>
      <c r="N456" s="364">
        <f>IF($G456="","",K456+L456+M456)</f>
        <v>21540</v>
      </c>
      <c r="O456" s="365" t="str">
        <f>IF($G456="","",IFERROR(VLOOKUP($D456&amp;"|"&amp;$E456,科目表!$A$5:$B$200,2,FALSE),"※未登録"))</f>
        <v>旅費</v>
      </c>
      <c r="P456" s="359">
        <f>IF(OR($G456="",$C456=""),"",IF($B456="決算整理",13,MOD(MONTH($C456)-4,12)+1))</f>
        <v>9</v>
      </c>
      <c r="Q456" s="366" t="str">
        <f>IF($G456="","",TRIM(IF(J456+K456+L456+M456&lt;&gt;$G456,"按分不一致 ","")&amp;IF(O456="※未登録","科目未登録 ","")&amp;IF(OR($H456="",ISERROR(MATCH($H456,{1,2,3,4,5,6,7,8},0))),"経費区分? ","")&amp;IF($I456="","状態未設定 ","")&amp;IF(AND(OR($I456="確認済",$I456="未確認"),$B456="月例",OR($C456="",$C456&lt;DATE(年度+2018,4,1),$C456&gt;DATE(年度+2019,3,31))),"年度外の日付 ","")&amp;IF(AND(OR($I456="確認済",$I456="未確認"),O456="対象外"),"対象外の科目 ","")))</f>
        <v/>
      </c>
      <c r="R456" s="366" t="inlineStr">
        <is>
          <t>月例!474</t>
        </is>
      </c>
    </row>
    <row r="457">
      <c r="A457" s="359" t="n">
        <v>453</v>
      </c>
      <c r="B457" s="360" t="inlineStr">
        <is>
          <t>月例</t>
        </is>
      </c>
      <c r="C457" s="361" t="n">
        <v>43816</v>
      </c>
      <c r="D457" s="362" t="inlineStr">
        <is>
          <t>旅費</t>
        </is>
      </c>
      <c r="E457" s="362" t="n"/>
      <c r="F457" s="362" t="inlineStr">
        <is>
          <t>12/20大都市事務担（総務）　神戸市　白石主査</t>
        </is>
      </c>
      <c r="G457" s="363" t="n">
        <v>21540</v>
      </c>
      <c r="H457" s="360" t="n">
        <v>1</v>
      </c>
      <c r="I457" s="360" t="inlineStr">
        <is>
          <t>昨年実績</t>
        </is>
      </c>
      <c r="J457" s="364">
        <f>IF($G457="","",IF($H457=1,$G457-ROUND($G457*10/23,0)-2*ROUND($G457/23,0),IF($H457=2,$G457,0)))</f>
        <v>10301</v>
      </c>
      <c r="K457" s="364">
        <f>IF($G457="","",IF($H457=1,ROUND($G457*10/23,0),IF($H457=3,$G457-2*ROUND($G457/12,0),IF($H457=4,$G457,IF(OR($H457=5,$H457=7),ROUND($G457*10/11,0),0)))))</f>
        <v>9365</v>
      </c>
      <c r="L457" s="364">
        <f>IF($G457="","",IF($H457=1,ROUND($G457/23,0),IF($H457=3,ROUND($G457/12,0),IF($H457=5,$G457-ROUND($G457*10/11,0),IF($H457=8,$G457,0)))))</f>
        <v>937</v>
      </c>
      <c r="M457" s="364">
        <f>IF($G457="","",IF($H457=1,ROUND($G457/23,0),IF($H457=3,ROUND($G457/12,0),IF($H457=6,$G457,IF($H457=7,$G457-ROUND($G457*10/11,0),0)))))</f>
        <v>937</v>
      </c>
      <c r="N457" s="364">
        <f>IF($G457="","",K457+L457+M457)</f>
        <v>11239</v>
      </c>
      <c r="O457" s="365" t="str">
        <f>IF($G457="","",IFERROR(VLOOKUP($D457&amp;"|"&amp;$E457,科目表!$A$5:$B$200,2,FALSE),"※未登録"))</f>
        <v>旅費</v>
      </c>
      <c r="P457" s="359">
        <f>IF(OR($G457="",$C457=""),"",IF($B457="決算整理",13,MOD(MONTH($C457)-4,12)+1))</f>
        <v>9</v>
      </c>
      <c r="Q457" s="366" t="str">
        <f>IF($G457="","",TRIM(IF(J457+K457+L457+M457&lt;&gt;$G457,"按分不一致 ","")&amp;IF(O457="※未登録","科目未登録 ","")&amp;IF(OR($H457="",ISERROR(MATCH($H457,{1,2,3,4,5,6,7,8},0))),"経費区分? ","")&amp;IF($I457="","状態未設定 ","")&amp;IF(AND(OR($I457="確認済",$I457="未確認"),$B457="月例",OR($C457="",$C457&lt;DATE(年度+2018,4,1),$C457&gt;DATE(年度+2019,3,31))),"年度外の日付 ","")&amp;IF(AND(OR($I457="確認済",$I457="未確認"),O457="対象外"),"対象外の科目 ","")))</f>
        <v/>
      </c>
      <c r="R457" s="366" t="inlineStr">
        <is>
          <t>月例!475</t>
        </is>
      </c>
    </row>
    <row r="458">
      <c r="A458" s="359" t="n">
        <v>454</v>
      </c>
      <c r="B458" s="360" t="inlineStr">
        <is>
          <t>月例</t>
        </is>
      </c>
      <c r="C458" s="361" t="n">
        <v>46010</v>
      </c>
      <c r="D458" s="362" t="inlineStr">
        <is>
          <t>委託費</t>
        </is>
      </c>
      <c r="E458" s="362" t="n"/>
      <c r="F458" s="362" t="inlineStr">
        <is>
          <t>レセプト電子データ提供料（９月診療分）</t>
        </is>
      </c>
      <c r="G458" s="363" t="n">
        <v>59322</v>
      </c>
      <c r="H458" s="360" t="n">
        <v>2</v>
      </c>
      <c r="I458" s="360" t="inlineStr">
        <is>
          <t>昨年実績</t>
        </is>
      </c>
      <c r="J458" s="364">
        <f>IF($G458="","",IF($H458=1,$G458-ROUND($G458*10/23,0)-2*ROUND($G458/23,0),IF($H458=2,$G458,0)))</f>
        <v>59322</v>
      </c>
      <c r="K458" s="364">
        <f>IF($G458="","",IF($H458=1,ROUND($G458*10/23,0),IF($H458=3,$G458-2*ROUND($G458/12,0),IF($H458=4,$G458,IF(OR($H458=5,$H458=7),ROUND($G458*10/11,0),0)))))</f>
        <v>0</v>
      </c>
      <c r="L458" s="364">
        <f>IF($G458="","",IF($H458=1,ROUND($G458/23,0),IF($H458=3,ROUND($G458/12,0),IF($H458=5,$G458-ROUND($G458*10/11,0),IF($H458=8,$G458,0)))))</f>
        <v>0</v>
      </c>
      <c r="M458" s="364">
        <f>IF($G458="","",IF($H458=1,ROUND($G458/23,0),IF($H458=3,ROUND($G458/12,0),IF($H458=6,$G458,IF($H458=7,$G458-ROUND($G458*10/11,0),0)))))</f>
        <v>0</v>
      </c>
      <c r="N458" s="364">
        <f>IF($G458="","",K458+L458+M458)</f>
        <v>0</v>
      </c>
      <c r="O458" s="365" t="str">
        <f>IF($G458="","",IFERROR(VLOOKUP($D458&amp;"|"&amp;$E458,科目表!$A$5:$B$200,2,FALSE),"※未登録"))</f>
        <v>委託費</v>
      </c>
      <c r="P458" s="359">
        <f>IF(OR($G458="",$C458=""),"",IF($B458="決算整理",13,MOD(MONTH($C458)-4,12)+1))</f>
        <v>9</v>
      </c>
      <c r="Q458" s="366" t="str">
        <f>IF($G458="","",TRIM(IF(J458+K458+L458+M458&lt;&gt;$G458,"按分不一致 ","")&amp;IF(O458="※未登録","科目未登録 ","")&amp;IF(OR($H458="",ISERROR(MATCH($H458,{1,2,3,4,5,6,7,8},0))),"経費区分? ","")&amp;IF($I458="","状態未設定 ","")&amp;IF(AND(OR($I458="確認済",$I458="未確認"),$B458="月例",OR($C458="",$C458&lt;DATE(年度+2018,4,1),$C458&gt;DATE(年度+2019,3,31))),"年度外の日付 ","")&amp;IF(AND(OR($I458="確認済",$I458="未確認"),O458="対象外"),"対象外の科目 ","")))</f>
        <v/>
      </c>
      <c r="R458" s="366" t="inlineStr">
        <is>
          <t>月例!476</t>
        </is>
      </c>
    </row>
    <row r="459">
      <c r="A459" s="359" t="n">
        <v>455</v>
      </c>
      <c r="B459" s="360" t="inlineStr">
        <is>
          <t>月例</t>
        </is>
      </c>
      <c r="C459" s="361" t="n">
        <v>44550</v>
      </c>
      <c r="D459" s="362" t="inlineStr">
        <is>
          <t>事務費</t>
        </is>
      </c>
      <c r="E459" s="362" t="inlineStr">
        <is>
          <t>通信運搬費</t>
        </is>
      </c>
      <c r="F459" s="362" t="inlineStr">
        <is>
          <t>電話料金（１０月使用・１２月請求分）</t>
        </is>
      </c>
      <c r="G459" s="363" t="n">
        <v>3631</v>
      </c>
      <c r="H459" s="360" t="n">
        <v>2</v>
      </c>
      <c r="I459" s="360" t="inlineStr">
        <is>
          <t>昨年実績</t>
        </is>
      </c>
      <c r="J459" s="364">
        <f>IF($G459="","",IF($H459=1,$G459-ROUND($G459*10/23,0)-2*ROUND($G459/23,0),IF($H459=2,$G459,0)))</f>
        <v>3631</v>
      </c>
      <c r="K459" s="364">
        <f>IF($G459="","",IF($H459=1,ROUND($G459*10/23,0),IF($H459=3,$G459-2*ROUND($G459/12,0),IF($H459=4,$G459,IF(OR($H459=5,$H459=7),ROUND($G459*10/11,0),0)))))</f>
        <v>0</v>
      </c>
      <c r="L459" s="364">
        <f>IF($G459="","",IF($H459=1,ROUND($G459/23,0),IF($H459=3,ROUND($G459/12,0),IF($H459=5,$G459-ROUND($G459*10/11,0),IF($H459=8,$G459,0)))))</f>
        <v>0</v>
      </c>
      <c r="M459" s="364">
        <f>IF($G459="","",IF($H459=1,ROUND($G459/23,0),IF($H459=3,ROUND($G459/12,0),IF($H459=6,$G459,IF($H459=7,$G459-ROUND($G459*10/11,0),0)))))</f>
        <v>0</v>
      </c>
      <c r="N459" s="364">
        <f>IF($G459="","",K459+L459+M459)</f>
        <v>0</v>
      </c>
      <c r="O459" s="365" t="str">
        <f>IF($G459="","",IFERROR(VLOOKUP($D459&amp;"|"&amp;$E459,科目表!$A$5:$B$200,2,FALSE),"※未登録"))</f>
        <v>通信運搬費</v>
      </c>
      <c r="P459" s="359">
        <f>IF(OR($G459="",$C459=""),"",IF($B459="決算整理",13,MOD(MONTH($C459)-4,12)+1))</f>
        <v>9</v>
      </c>
      <c r="Q459" s="366" t="str">
        <f>IF($G459="","",TRIM(IF(J459+K459+L459+M459&lt;&gt;$G459,"按分不一致 ","")&amp;IF(O459="※未登録","科目未登録 ","")&amp;IF(OR($H459="",ISERROR(MATCH($H459,{1,2,3,4,5,6,7,8},0))),"経費区分? ","")&amp;IF($I459="","状態未設定 ","")&amp;IF(AND(OR($I459="確認済",$I459="未確認"),$B459="月例",OR($C459="",$C459&lt;DATE(年度+2018,4,1),$C459&gt;DATE(年度+2019,3,31))),"年度外の日付 ","")&amp;IF(AND(OR($I459="確認済",$I459="未確認"),O459="対象外"),"対象外の科目 ","")))</f>
        <v/>
      </c>
      <c r="R459" s="366" t="inlineStr">
        <is>
          <t>月例!477</t>
        </is>
      </c>
    </row>
    <row r="460">
      <c r="A460" s="359" t="n">
        <v>456</v>
      </c>
      <c r="B460" s="360" t="inlineStr">
        <is>
          <t>月例</t>
        </is>
      </c>
      <c r="C460" s="361" t="n">
        <v>46017</v>
      </c>
      <c r="D460" s="362" t="inlineStr">
        <is>
          <t>事務費</t>
        </is>
      </c>
      <c r="E460" s="362" t="inlineStr">
        <is>
          <t>送金料</t>
        </is>
      </c>
      <c r="F460" s="362" t="inlineStr">
        <is>
          <t>ゆうちょ銀行手数料（１１月分）短期</t>
        </is>
      </c>
      <c r="G460" s="363" t="n">
        <v>9574</v>
      </c>
      <c r="H460" s="360" t="n">
        <v>2</v>
      </c>
      <c r="I460" s="360" t="inlineStr">
        <is>
          <t>昨年実績</t>
        </is>
      </c>
      <c r="J460" s="364">
        <f>IF($G460="","",IF($H460=1,$G460-ROUND($G460*10/23,0)-2*ROUND($G460/23,0),IF($H460=2,$G460,0)))</f>
        <v>9574</v>
      </c>
      <c r="K460" s="364">
        <f>IF($G460="","",IF($H460=1,ROUND($G460*10/23,0),IF($H460=3,$G460-2*ROUND($G460/12,0),IF($H460=4,$G460,IF(OR($H460=5,$H460=7),ROUND($G460*10/11,0),0)))))</f>
        <v>0</v>
      </c>
      <c r="L460" s="364">
        <f>IF($G460="","",IF($H460=1,ROUND($G460/23,0),IF($H460=3,ROUND($G460/12,0),IF($H460=5,$G460-ROUND($G460*10/11,0),IF($H460=8,$G460,0)))))</f>
        <v>0</v>
      </c>
      <c r="M460" s="364">
        <f>IF($G460="","",IF($H460=1,ROUND($G460/23,0),IF($H460=3,ROUND($G460/12,0),IF($H460=6,$G460,IF($H460=7,$G460-ROUND($G460*10/11,0),0)))))</f>
        <v>0</v>
      </c>
      <c r="N460" s="364">
        <f>IF($G460="","",K460+L460+M460)</f>
        <v>0</v>
      </c>
      <c r="O460" s="365" t="str">
        <f>IF($G460="","",IFERROR(VLOOKUP($D460&amp;"|"&amp;$E460,科目表!$A$5:$B$200,2,FALSE),"※未登録"))</f>
        <v>送金料</v>
      </c>
      <c r="P460" s="359">
        <f>IF(OR($G460="",$C460=""),"",IF($B460="決算整理",13,MOD(MONTH($C460)-4,12)+1))</f>
        <v>9</v>
      </c>
      <c r="Q460" s="366" t="str">
        <f>IF($G460="","",TRIM(IF(J460+K460+L460+M460&lt;&gt;$G460,"按分不一致 ","")&amp;IF(O460="※未登録","科目未登録 ","")&amp;IF(OR($H460="",ISERROR(MATCH($H460,{1,2,3,4,5,6,7,8},0))),"経費区分? ","")&amp;IF($I460="","状態未設定 ","")&amp;IF(AND(OR($I460="確認済",$I460="未確認"),$B460="月例",OR($C460="",$C460&lt;DATE(年度+2018,4,1),$C460&gt;DATE(年度+2019,3,31))),"年度外の日付 ","")&amp;IF(AND(OR($I460="確認済",$I460="未確認"),O460="対象外"),"対象外の科目 ","")))</f>
        <v/>
      </c>
      <c r="R460" s="366" t="inlineStr">
        <is>
          <t>月例!478</t>
        </is>
      </c>
    </row>
    <row r="461">
      <c r="A461" s="359" t="n">
        <v>457</v>
      </c>
      <c r="B461" s="360" t="inlineStr">
        <is>
          <t>月例</t>
        </is>
      </c>
      <c r="C461" s="361" t="n">
        <v>46017</v>
      </c>
      <c r="D461" s="362" t="inlineStr">
        <is>
          <t>事務費</t>
        </is>
      </c>
      <c r="E461" s="362" t="inlineStr">
        <is>
          <t>雑費</t>
        </is>
      </c>
      <c r="F461" s="362" t="inlineStr">
        <is>
          <t>ゆうちょ銀行振替口座残高証明（１１月分）短期</t>
        </is>
      </c>
      <c r="G461" s="363" t="n">
        <v>550</v>
      </c>
      <c r="H461" s="360" t="n">
        <v>2</v>
      </c>
      <c r="I461" s="360" t="inlineStr">
        <is>
          <t>昨年実績</t>
        </is>
      </c>
      <c r="J461" s="364">
        <f>IF($G461="","",IF($H461=1,$G461-ROUND($G461*10/23,0)-2*ROUND($G461/23,0),IF($H461=2,$G461,0)))</f>
        <v>550</v>
      </c>
      <c r="K461" s="364">
        <f>IF($G461="","",IF($H461=1,ROUND($G461*10/23,0),IF($H461=3,$G461-2*ROUND($G461/12,0),IF($H461=4,$G461,IF(OR($H461=5,$H461=7),ROUND($G461*10/11,0),0)))))</f>
        <v>0</v>
      </c>
      <c r="L461" s="364">
        <f>IF($G461="","",IF($H461=1,ROUND($G461/23,0),IF($H461=3,ROUND($G461/12,0),IF($H461=5,$G461-ROUND($G461*10/11,0),IF($H461=8,$G461,0)))))</f>
        <v>0</v>
      </c>
      <c r="M461" s="364">
        <f>IF($G461="","",IF($H461=1,ROUND($G461/23,0),IF($H461=3,ROUND($G461/12,0),IF($H461=6,$G461,IF($H461=7,$G461-ROUND($G461*10/11,0),0)))))</f>
        <v>0</v>
      </c>
      <c r="N461" s="364">
        <f>IF($G461="","",K461+L461+M461)</f>
        <v>0</v>
      </c>
      <c r="O461" s="365" t="str">
        <f>IF($G461="","",IFERROR(VLOOKUP($D461&amp;"|"&amp;$E461,科目表!$A$5:$B$200,2,FALSE),"※未登録"))</f>
        <v>事務費・雑費</v>
      </c>
      <c r="P461" s="359">
        <f>IF(OR($G461="",$C461=""),"",IF($B461="決算整理",13,MOD(MONTH($C461)-4,12)+1))</f>
        <v>9</v>
      </c>
      <c r="Q461" s="366" t="str">
        <f>IF($G461="","",TRIM(IF(J461+K461+L461+M461&lt;&gt;$G461,"按分不一致 ","")&amp;IF(O461="※未登録","科目未登録 ","")&amp;IF(OR($H461="",ISERROR(MATCH($H461,{1,2,3,4,5,6,7,8},0))),"経費区分? ","")&amp;IF($I461="","状態未設定 ","")&amp;IF(AND(OR($I461="確認済",$I461="未確認"),$B461="月例",OR($C461="",$C461&lt;DATE(年度+2018,4,1),$C461&gt;DATE(年度+2019,3,31))),"年度外の日付 ","")&amp;IF(AND(OR($I461="確認済",$I461="未確認"),O461="対象外"),"対象外の科目 ","")))</f>
        <v/>
      </c>
      <c r="R461" s="366" t="inlineStr">
        <is>
          <t>月例!479</t>
        </is>
      </c>
    </row>
    <row r="462">
      <c r="A462" s="359" t="n">
        <v>458</v>
      </c>
      <c r="B462" s="360" t="inlineStr">
        <is>
          <t>月例</t>
        </is>
      </c>
      <c r="C462" s="361" t="n">
        <v>45636</v>
      </c>
      <c r="D462" s="362" t="inlineStr">
        <is>
          <t>事務費</t>
        </is>
      </c>
      <c r="E462" s="362" t="inlineStr">
        <is>
          <t>送金料</t>
        </is>
      </c>
      <c r="F462" s="362" t="inlineStr">
        <is>
          <t>誤払い戻入金に係る振込手数料</t>
        </is>
      </c>
      <c r="G462" s="363" t="n">
        <v>165</v>
      </c>
      <c r="H462" s="360" t="n">
        <v>3</v>
      </c>
      <c r="I462" s="360" t="inlineStr">
        <is>
          <t>昨年実績</t>
        </is>
      </c>
      <c r="J462" s="364">
        <f>IF($G462="","",IF($H462=1,$G462-ROUND($G462*10/23,0)-2*ROUND($G462/23,0),IF($H462=2,$G462,0)))</f>
        <v>0</v>
      </c>
      <c r="K462" s="364">
        <f>IF($G462="","",IF($H462=1,ROUND($G462*10/23,0),IF($H462=3,$G462-2*ROUND($G462/12,0),IF($H462=4,$G462,IF(OR($H462=5,$H462=7),ROUND($G462*10/11,0),0)))))</f>
        <v>137</v>
      </c>
      <c r="L462" s="364">
        <f>IF($G462="","",IF($H462=1,ROUND($G462/23,0),IF($H462=3,ROUND($G462/12,0),IF($H462=5,$G462-ROUND($G462*10/11,0),IF($H462=8,$G462,0)))))</f>
        <v>14</v>
      </c>
      <c r="M462" s="364">
        <f>IF($G462="","",IF($H462=1,ROUND($G462/23,0),IF($H462=3,ROUND($G462/12,0),IF($H462=6,$G462,IF($H462=7,$G462-ROUND($G462*10/11,0),0)))))</f>
        <v>14</v>
      </c>
      <c r="N462" s="364">
        <f>IF($G462="","",K462+L462+M462)</f>
        <v>165</v>
      </c>
      <c r="O462" s="365" t="str">
        <f>IF($G462="","",IFERROR(VLOOKUP($D462&amp;"|"&amp;$E462,科目表!$A$5:$B$200,2,FALSE),"※未登録"))</f>
        <v>送金料</v>
      </c>
      <c r="P462" s="359">
        <f>IF(OR($G462="",$C462=""),"",IF($B462="決算整理",13,MOD(MONTH($C462)-4,12)+1))</f>
        <v>9</v>
      </c>
      <c r="Q462" s="366" t="str">
        <f>IF($G462="","",TRIM(IF(J462+K462+L462+M462&lt;&gt;$G462,"按分不一致 ","")&amp;IF(O462="※未登録","科目未登録 ","")&amp;IF(OR($H462="",ISERROR(MATCH($H462,{1,2,3,4,5,6,7,8},0))),"経費区分? ","")&amp;IF($I462="","状態未設定 ","")&amp;IF(AND(OR($I462="確認済",$I462="未確認"),$B462="月例",OR($C462="",$C462&lt;DATE(年度+2018,4,1),$C462&gt;DATE(年度+2019,3,31))),"年度外の日付 ","")&amp;IF(AND(OR($I462="確認済",$I462="未確認"),O462="対象外"),"対象外の科目 ","")))</f>
        <v/>
      </c>
      <c r="R462" s="366" t="inlineStr">
        <is>
          <t>月例!480</t>
        </is>
      </c>
    </row>
    <row r="463">
      <c r="A463" s="359" t="n">
        <v>459</v>
      </c>
      <c r="B463" s="360" t="inlineStr">
        <is>
          <t>月例</t>
        </is>
      </c>
      <c r="C463" s="361" t="n">
        <v>44186</v>
      </c>
      <c r="D463" s="362" t="inlineStr">
        <is>
          <t>職員給与</t>
        </is>
      </c>
      <c r="E463" s="362" t="inlineStr">
        <is>
          <t>非常勤職員手当</t>
        </is>
      </c>
      <c r="F463" s="362" t="inlineStr">
        <is>
          <t>１２月月例（１２月長期分）</t>
        </is>
      </c>
      <c r="G463" s="363" t="n">
        <v>340401</v>
      </c>
      <c r="H463" s="360" t="n">
        <v>3</v>
      </c>
      <c r="I463" s="360" t="inlineStr">
        <is>
          <t>昨年実績</t>
        </is>
      </c>
      <c r="J463" s="364">
        <f>IF($G463="","",IF($H463=1,$G463-ROUND($G463*10/23,0)-2*ROUND($G463/23,0),IF($H463=2,$G463,0)))</f>
        <v>0</v>
      </c>
      <c r="K463" s="364">
        <f>IF($G463="","",IF($H463=1,ROUND($G463*10/23,0),IF($H463=3,$G463-2*ROUND($G463/12,0),IF($H463=4,$G463,IF(OR($H463=5,$H463=7),ROUND($G463*10/11,0),0)))))</f>
        <v>283667</v>
      </c>
      <c r="L463" s="364">
        <f>IF($G463="","",IF($H463=1,ROUND($G463/23,0),IF($H463=3,ROUND($G463/12,0),IF($H463=5,$G463-ROUND($G463*10/11,0),IF($H463=8,$G463,0)))))</f>
        <v>28367</v>
      </c>
      <c r="M463" s="364">
        <f>IF($G463="","",IF($H463=1,ROUND($G463/23,0),IF($H463=3,ROUND($G463/12,0),IF($H463=6,$G463,IF($H463=7,$G463-ROUND($G463*10/11,0),0)))))</f>
        <v>28367</v>
      </c>
      <c r="N463" s="364">
        <f>IF($G463="","",K463+L463+M463)</f>
        <v>340401</v>
      </c>
      <c r="O463" s="365" t="str">
        <f>IF($G463="","",IFERROR(VLOOKUP($D463&amp;"|"&amp;$E463,科目表!$A$5:$B$200,2,FALSE),"※未登録"))</f>
        <v>非常勤職員手当</v>
      </c>
      <c r="P463" s="359">
        <f>IF(OR($G463="",$C463=""),"",IF($B463="決算整理",13,MOD(MONTH($C463)-4,12)+1))</f>
        <v>9</v>
      </c>
      <c r="Q463" s="366" t="str">
        <f>IF($G463="","",TRIM(IF(J463+K463+L463+M463&lt;&gt;$G463,"按分不一致 ","")&amp;IF(O463="※未登録","科目未登録 ","")&amp;IF(OR($H463="",ISERROR(MATCH($H463,{1,2,3,4,5,6,7,8},0))),"経費区分? ","")&amp;IF($I463="","状態未設定 ","")&amp;IF(AND(OR($I463="確認済",$I463="未確認"),$B463="月例",OR($C463="",$C463&lt;DATE(年度+2018,4,1),$C463&gt;DATE(年度+2019,3,31))),"年度外の日付 ","")&amp;IF(AND(OR($I463="確認済",$I463="未確認"),O463="対象外"),"対象外の科目 ","")))</f>
        <v/>
      </c>
      <c r="R463" s="366" t="inlineStr">
        <is>
          <t>月例!481</t>
        </is>
      </c>
    </row>
    <row r="464">
      <c r="A464" s="359" t="n">
        <v>460</v>
      </c>
      <c r="B464" s="360" t="inlineStr">
        <is>
          <t>月例</t>
        </is>
      </c>
      <c r="C464" s="361" t="n">
        <v>45625</v>
      </c>
      <c r="D464" s="362" t="inlineStr">
        <is>
          <t>委託費</t>
        </is>
      </c>
      <c r="E464" s="362" t="n"/>
      <c r="F464" s="362" t="inlineStr">
        <is>
          <t>資格情報のお知らせ作成・印字及び封入封緘処理業務</t>
        </is>
      </c>
      <c r="G464" s="363" t="n">
        <v>1756972</v>
      </c>
      <c r="H464" s="360" t="n">
        <v>2</v>
      </c>
      <c r="I464" s="360" t="inlineStr">
        <is>
          <t>昨年実績</t>
        </is>
      </c>
      <c r="J464" s="364">
        <f>IF($G464="","",IF($H464=1,$G464-ROUND($G464*10/23,0)-2*ROUND($G464/23,0),IF($H464=2,$G464,0)))</f>
        <v>1756972</v>
      </c>
      <c r="K464" s="364">
        <f>IF($G464="","",IF($H464=1,ROUND($G464*10/23,0),IF($H464=3,$G464-2*ROUND($G464/12,0),IF($H464=4,$G464,IF(OR($H464=5,$H464=7),ROUND($G464*10/11,0),0)))))</f>
        <v>0</v>
      </c>
      <c r="L464" s="364">
        <f>IF($G464="","",IF($H464=1,ROUND($G464/23,0),IF($H464=3,ROUND($G464/12,0),IF($H464=5,$G464-ROUND($G464*10/11,0),IF($H464=8,$G464,0)))))</f>
        <v>0</v>
      </c>
      <c r="M464" s="364">
        <f>IF($G464="","",IF($H464=1,ROUND($G464/23,0),IF($H464=3,ROUND($G464/12,0),IF($H464=6,$G464,IF($H464=7,$G464-ROUND($G464*10/11,0),0)))))</f>
        <v>0</v>
      </c>
      <c r="N464" s="364">
        <f>IF($G464="","",K464+L464+M464)</f>
        <v>0</v>
      </c>
      <c r="O464" s="365" t="str">
        <f>IF($G464="","",IFERROR(VLOOKUP($D464&amp;"|"&amp;$E464,科目表!$A$5:$B$200,2,FALSE),"※未登録"))</f>
        <v>委託費</v>
      </c>
      <c r="P464" s="359">
        <f>IF(OR($G464="",$C464=""),"",IF($B464="決算整理",13,MOD(MONTH($C464)-4,12)+1))</f>
        <v>8</v>
      </c>
      <c r="Q464" s="366" t="str">
        <f>IF($G464="","",TRIM(IF(J464+K464+L464+M464&lt;&gt;$G464,"按分不一致 ","")&amp;IF(O464="※未登録","科目未登録 ","")&amp;IF(OR($H464="",ISERROR(MATCH($H464,{1,2,3,4,5,6,7,8},0))),"経費区分? ","")&amp;IF($I464="","状態未設定 ","")&amp;IF(AND(OR($I464="確認済",$I464="未確認"),$B464="月例",OR($C464="",$C464&lt;DATE(年度+2018,4,1),$C464&gt;DATE(年度+2019,3,31))),"年度外の日付 ","")&amp;IF(AND(OR($I464="確認済",$I464="未確認"),O464="対象外"),"対象外の科目 ","")))</f>
        <v/>
      </c>
      <c r="R464" s="366" t="inlineStr">
        <is>
          <t>月例!482</t>
        </is>
      </c>
    </row>
    <row r="465">
      <c r="A465" s="359" t="n">
        <v>461</v>
      </c>
      <c r="B465" s="360" t="inlineStr">
        <is>
          <t>月例</t>
        </is>
      </c>
      <c r="C465" s="361" t="n">
        <v>46017</v>
      </c>
      <c r="D465" s="362" t="inlineStr">
        <is>
          <t>委託費</t>
        </is>
      </c>
      <c r="E465" s="362" t="n"/>
      <c r="F465" s="362" t="inlineStr">
        <is>
          <t>短期給付に係る個人番号管理システムシンクライアント（契約サービス）</t>
        </is>
      </c>
      <c r="G465" s="363" t="n">
        <v>41976</v>
      </c>
      <c r="H465" s="360" t="n">
        <v>2</v>
      </c>
      <c r="I465" s="360" t="inlineStr">
        <is>
          <t>昨年実績</t>
        </is>
      </c>
      <c r="J465" s="364">
        <f>IF($G465="","",IF($H465=1,$G465-ROUND($G465*10/23,0)-2*ROUND($G465/23,0),IF($H465=2,$G465,0)))</f>
        <v>41976</v>
      </c>
      <c r="K465" s="364">
        <f>IF($G465="","",IF($H465=1,ROUND($G465*10/23,0),IF($H465=3,$G465-2*ROUND($G465/12,0),IF($H465=4,$G465,IF(OR($H465=5,$H465=7),ROUND($G465*10/11,0),0)))))</f>
        <v>0</v>
      </c>
      <c r="L465" s="364">
        <f>IF($G465="","",IF($H465=1,ROUND($G465/23,0),IF($H465=3,ROUND($G465/12,0),IF($H465=5,$G465-ROUND($G465*10/11,0),IF($H465=8,$G465,0)))))</f>
        <v>0</v>
      </c>
      <c r="M465" s="364">
        <f>IF($G465="","",IF($H465=1,ROUND($G465/23,0),IF($H465=3,ROUND($G465/12,0),IF($H465=6,$G465,IF($H465=7,$G465-ROUND($G465*10/11,0),0)))))</f>
        <v>0</v>
      </c>
      <c r="N465" s="364">
        <f>IF($G465="","",K465+L465+M465)</f>
        <v>0</v>
      </c>
      <c r="O465" s="365" t="str">
        <f>IF($G465="","",IFERROR(VLOOKUP($D465&amp;"|"&amp;$E465,科目表!$A$5:$B$200,2,FALSE),"※未登録"))</f>
        <v>委託費</v>
      </c>
      <c r="P465" s="359">
        <f>IF(OR($G465="",$C465=""),"",IF($B465="決算整理",13,MOD(MONTH($C465)-4,12)+1))</f>
        <v>9</v>
      </c>
      <c r="Q465" s="366" t="str">
        <f>IF($G465="","",TRIM(IF(J465+K465+L465+M465&lt;&gt;$G465,"按分不一致 ","")&amp;IF(O465="※未登録","科目未登録 ","")&amp;IF(OR($H465="",ISERROR(MATCH($H465,{1,2,3,4,5,6,7,8},0))),"経費区分? ","")&amp;IF($I465="","状態未設定 ","")&amp;IF(AND(OR($I465="確認済",$I465="未確認"),$B465="月例",OR($C465="",$C465&lt;DATE(年度+2018,4,1),$C465&gt;DATE(年度+2019,3,31))),"年度外の日付 ","")&amp;IF(AND(OR($I465="確認済",$I465="未確認"),O465="対象外"),"対象外の科目 ","")))</f>
        <v/>
      </c>
      <c r="R465" s="366" t="inlineStr">
        <is>
          <t>月例!483</t>
        </is>
      </c>
    </row>
    <row r="466">
      <c r="A466" s="359" t="n">
        <v>462</v>
      </c>
      <c r="B466" s="360" t="inlineStr">
        <is>
          <t>月例</t>
        </is>
      </c>
      <c r="C466" s="361" t="n">
        <v>43826</v>
      </c>
      <c r="D466" s="362" t="inlineStr">
        <is>
          <t>委託費</t>
        </is>
      </c>
      <c r="E466" s="362" t="n"/>
      <c r="F466" s="362" t="inlineStr">
        <is>
          <t>「年金だより」配布に伴う封入等作業料金（12月）</t>
        </is>
      </c>
      <c r="G466" s="363" t="n">
        <v>31466</v>
      </c>
      <c r="H466" s="360" t="n">
        <v>3</v>
      </c>
      <c r="I466" s="360" t="inlineStr">
        <is>
          <t>昨年実績</t>
        </is>
      </c>
      <c r="J466" s="364">
        <f>IF($G466="","",IF($H466=1,$G466-ROUND($G466*10/23,0)-2*ROUND($G466/23,0),IF($H466=2,$G466,0)))</f>
        <v>0</v>
      </c>
      <c r="K466" s="364">
        <f>IF($G466="","",IF($H466=1,ROUND($G466*10/23,0),IF($H466=3,$G466-2*ROUND($G466/12,0),IF($H466=4,$G466,IF(OR($H466=5,$H466=7),ROUND($G466*10/11,0),0)))))</f>
        <v>26222</v>
      </c>
      <c r="L466" s="364">
        <f>IF($G466="","",IF($H466=1,ROUND($G466/23,0),IF($H466=3,ROUND($G466/12,0),IF($H466=5,$G466-ROUND($G466*10/11,0),IF($H466=8,$G466,0)))))</f>
        <v>2622</v>
      </c>
      <c r="M466" s="364">
        <f>IF($G466="","",IF($H466=1,ROUND($G466/23,0),IF($H466=3,ROUND($G466/12,0),IF($H466=6,$G466,IF($H466=7,$G466-ROUND($G466*10/11,0),0)))))</f>
        <v>2622</v>
      </c>
      <c r="N466" s="364">
        <f>IF($G466="","",K466+L466+M466)</f>
        <v>31466</v>
      </c>
      <c r="O466" s="365" t="str">
        <f>IF($G466="","",IFERROR(VLOOKUP($D466&amp;"|"&amp;$E466,科目表!$A$5:$B$200,2,FALSE),"※未登録"))</f>
        <v>委託費</v>
      </c>
      <c r="P466" s="359">
        <f>IF(OR($G466="",$C466=""),"",IF($B466="決算整理",13,MOD(MONTH($C466)-4,12)+1))</f>
        <v>9</v>
      </c>
      <c r="Q466" s="366" t="str">
        <f>IF($G466="","",TRIM(IF(J466+K466+L466+M466&lt;&gt;$G466,"按分不一致 ","")&amp;IF(O466="※未登録","科目未登録 ","")&amp;IF(OR($H466="",ISERROR(MATCH($H466,{1,2,3,4,5,6,7,8},0))),"経費区分? ","")&amp;IF($I466="","状態未設定 ","")&amp;IF(AND(OR($I466="確認済",$I466="未確認"),$B466="月例",OR($C466="",$C466&lt;DATE(年度+2018,4,1),$C466&gt;DATE(年度+2019,3,31))),"年度外の日付 ","")&amp;IF(AND(OR($I466="確認済",$I466="未確認"),O466="対象外"),"対象外の科目 ","")))</f>
        <v/>
      </c>
      <c r="R466" s="366" t="inlineStr">
        <is>
          <t>月例!484</t>
        </is>
      </c>
    </row>
    <row r="467">
      <c r="A467" s="359" t="n">
        <v>463</v>
      </c>
      <c r="B467" s="360" t="inlineStr">
        <is>
          <t>月例</t>
        </is>
      </c>
      <c r="C467" s="361" t="n">
        <v>46017</v>
      </c>
      <c r="D467" s="362" t="inlineStr">
        <is>
          <t>職員給与</t>
        </is>
      </c>
      <c r="E467" s="362" t="inlineStr">
        <is>
          <t>非常勤職員手当</t>
        </is>
      </c>
      <c r="F467" s="362" t="inlineStr">
        <is>
          <t>非常勤職員手当　給与改定差額（長期分）</t>
        </is>
      </c>
      <c r="G467" s="363" t="n">
        <v>167027</v>
      </c>
      <c r="H467" s="360" t="n">
        <v>3</v>
      </c>
      <c r="I467" s="360" t="inlineStr">
        <is>
          <t>昨年実績</t>
        </is>
      </c>
      <c r="J467" s="364">
        <f>IF($G467="","",IF($H467=1,$G467-ROUND($G467*10/23,0)-2*ROUND($G467/23,0),IF($H467=2,$G467,0)))</f>
        <v>0</v>
      </c>
      <c r="K467" s="364">
        <f>IF($G467="","",IF($H467=1,ROUND($G467*10/23,0),IF($H467=3,$G467-2*ROUND($G467/12,0),IF($H467=4,$G467,IF(OR($H467=5,$H467=7),ROUND($G467*10/11,0),0)))))</f>
        <v>139189</v>
      </c>
      <c r="L467" s="364">
        <f>IF($G467="","",IF($H467=1,ROUND($G467/23,0),IF($H467=3,ROUND($G467/12,0),IF($H467=5,$G467-ROUND($G467*10/11,0),IF($H467=8,$G467,0)))))</f>
        <v>13919</v>
      </c>
      <c r="M467" s="364">
        <f>IF($G467="","",IF($H467=1,ROUND($G467/23,0),IF($H467=3,ROUND($G467/12,0),IF($H467=6,$G467,IF($H467=7,$G467-ROUND($G467*10/11,0),0)))))</f>
        <v>13919</v>
      </c>
      <c r="N467" s="364">
        <f>IF($G467="","",K467+L467+M467)</f>
        <v>167027</v>
      </c>
      <c r="O467" s="365" t="str">
        <f>IF($G467="","",IFERROR(VLOOKUP($D467&amp;"|"&amp;$E467,科目表!$A$5:$B$200,2,FALSE),"※未登録"))</f>
        <v>非常勤職員手当</v>
      </c>
      <c r="P467" s="359">
        <f>IF(OR($G467="",$C467=""),"",IF($B467="決算整理",13,MOD(MONTH($C467)-4,12)+1))</f>
        <v>9</v>
      </c>
      <c r="Q467" s="366" t="str">
        <f>IF($G467="","",TRIM(IF(J467+K467+L467+M467&lt;&gt;$G467,"按分不一致 ","")&amp;IF(O467="※未登録","科目未登録 ","")&amp;IF(OR($H467="",ISERROR(MATCH($H467,{1,2,3,4,5,6,7,8},0))),"経費区分? ","")&amp;IF($I467="","状態未設定 ","")&amp;IF(AND(OR($I467="確認済",$I467="未確認"),$B467="月例",OR($C467="",$C467&lt;DATE(年度+2018,4,1),$C467&gt;DATE(年度+2019,3,31))),"年度外の日付 ","")&amp;IF(AND(OR($I467="確認済",$I467="未確認"),O467="対象外"),"対象外の科目 ","")))</f>
        <v/>
      </c>
      <c r="R467" s="366" t="inlineStr">
        <is>
          <t>月例!485</t>
        </is>
      </c>
    </row>
    <row r="468">
      <c r="A468" s="359" t="n">
        <v>464</v>
      </c>
      <c r="B468" s="360" t="inlineStr">
        <is>
          <t>月例</t>
        </is>
      </c>
      <c r="C468" s="361" t="n">
        <v>46017</v>
      </c>
      <c r="D468" s="362" t="inlineStr">
        <is>
          <t>職員給与</t>
        </is>
      </c>
      <c r="E468" s="362" t="inlineStr">
        <is>
          <t>非常勤職員手当</t>
        </is>
      </c>
      <c r="F468" s="362" t="inlineStr">
        <is>
          <t>非常勤職員手当　給与改定差額（短期分）</t>
        </is>
      </c>
      <c r="G468" s="363" t="n">
        <v>83097</v>
      </c>
      <c r="H468" s="360" t="n">
        <v>2</v>
      </c>
      <c r="I468" s="360" t="inlineStr">
        <is>
          <t>昨年実績</t>
        </is>
      </c>
      <c r="J468" s="364">
        <f>IF($G468="","",IF($H468=1,$G468-ROUND($G468*10/23,0)-2*ROUND($G468/23,0),IF($H468=2,$G468,0)))</f>
        <v>83097</v>
      </c>
      <c r="K468" s="364">
        <f>IF($G468="","",IF($H468=1,ROUND($G468*10/23,0),IF($H468=3,$G468-2*ROUND($G468/12,0),IF($H468=4,$G468,IF(OR($H468=5,$H468=7),ROUND($G468*10/11,0),0)))))</f>
        <v>0</v>
      </c>
      <c r="L468" s="364">
        <f>IF($G468="","",IF($H468=1,ROUND($G468/23,0),IF($H468=3,ROUND($G468/12,0),IF($H468=5,$G468-ROUND($G468*10/11,0),IF($H468=8,$G468,0)))))</f>
        <v>0</v>
      </c>
      <c r="M468" s="364">
        <f>IF($G468="","",IF($H468=1,ROUND($G468/23,0),IF($H468=3,ROUND($G468/12,0),IF($H468=6,$G468,IF($H468=7,$G468-ROUND($G468*10/11,0),0)))))</f>
        <v>0</v>
      </c>
      <c r="N468" s="364">
        <f>IF($G468="","",K468+L468+M468)</f>
        <v>0</v>
      </c>
      <c r="O468" s="365" t="str">
        <f>IF($G468="","",IFERROR(VLOOKUP($D468&amp;"|"&amp;$E468,科目表!$A$5:$B$200,2,FALSE),"※未登録"))</f>
        <v>非常勤職員手当</v>
      </c>
      <c r="P468" s="359">
        <f>IF(OR($G468="",$C468=""),"",IF($B468="決算整理",13,MOD(MONTH($C468)-4,12)+1))</f>
        <v>9</v>
      </c>
      <c r="Q468" s="366" t="str">
        <f>IF($G468="","",TRIM(IF(J468+K468+L468+M468&lt;&gt;$G468,"按分不一致 ","")&amp;IF(O468="※未登録","科目未登録 ","")&amp;IF(OR($H468="",ISERROR(MATCH($H468,{1,2,3,4,5,6,7,8},0))),"経費区分? ","")&amp;IF($I468="","状態未設定 ","")&amp;IF(AND(OR($I468="確認済",$I468="未確認"),$B468="月例",OR($C468="",$C468&lt;DATE(年度+2018,4,1),$C468&gt;DATE(年度+2019,3,31))),"年度外の日付 ","")&amp;IF(AND(OR($I468="確認済",$I468="未確認"),O468="対象外"),"対象外の科目 ","")))</f>
        <v/>
      </c>
      <c r="R468" s="366" t="inlineStr">
        <is>
          <t>月例!486</t>
        </is>
      </c>
    </row>
    <row r="469">
      <c r="A469" s="359" t="n">
        <v>465</v>
      </c>
      <c r="B469" s="360" t="inlineStr">
        <is>
          <t>月例</t>
        </is>
      </c>
      <c r="C469" s="361" t="n">
        <v>46015</v>
      </c>
      <c r="D469" s="362" t="inlineStr">
        <is>
          <t>負担金</t>
        </is>
      </c>
      <c r="E469" s="362" t="inlineStr">
        <is>
          <t>負担金</t>
        </is>
      </c>
      <c r="F469" s="362" t="inlineStr">
        <is>
          <t>共済短期・介護負担金（12月賞与、12月月例分）長期</t>
        </is>
      </c>
      <c r="G469" s="363" t="n">
        <v>60083</v>
      </c>
      <c r="H469" s="360" t="n">
        <v>3</v>
      </c>
      <c r="I469" s="360" t="inlineStr">
        <is>
          <t>昨年実績</t>
        </is>
      </c>
      <c r="J469" s="364">
        <f>IF($G469="","",IF($H469=1,$G469-ROUND($G469*10/23,0)-2*ROUND($G469/23,0),IF($H469=2,$G469,0)))</f>
        <v>0</v>
      </c>
      <c r="K469" s="364">
        <f>IF($G469="","",IF($H469=1,ROUND($G469*10/23,0),IF($H469=3,$G469-2*ROUND($G469/12,0),IF($H469=4,$G469,IF(OR($H469=5,$H469=7),ROUND($G469*10/11,0),0)))))</f>
        <v>50069</v>
      </c>
      <c r="L469" s="364">
        <f>IF($G469="","",IF($H469=1,ROUND($G469/23,0),IF($H469=3,ROUND($G469/12,0),IF($H469=5,$G469-ROUND($G469*10/11,0),IF($H469=8,$G469,0)))))</f>
        <v>5007</v>
      </c>
      <c r="M469" s="364">
        <f>IF($G469="","",IF($H469=1,ROUND($G469/23,0),IF($H469=3,ROUND($G469/12,0),IF($H469=6,$G469,IF($H469=7,$G469-ROUND($G469*10/11,0),0)))))</f>
        <v>5007</v>
      </c>
      <c r="N469" s="364">
        <f>IF($G469="","",K469+L469+M469)</f>
        <v>60083</v>
      </c>
      <c r="O469" s="365" t="str">
        <f>IF($G469="","",IFERROR(VLOOKUP($D469&amp;"|"&amp;$E469,科目表!$A$5:$B$200,2,FALSE),"※未登録"))</f>
        <v>共済負担金等</v>
      </c>
      <c r="P469" s="359">
        <f>IF(OR($G469="",$C469=""),"",IF($B469="決算整理",13,MOD(MONTH($C469)-4,12)+1))</f>
        <v>9</v>
      </c>
      <c r="Q469" s="366" t="str">
        <f>IF($G469="","",TRIM(IF(J469+K469+L469+M469&lt;&gt;$G469,"按分不一致 ","")&amp;IF(O469="※未登録","科目未登録 ","")&amp;IF(OR($H469="",ISERROR(MATCH($H469,{1,2,3,4,5,6,7,8},0))),"経費区分? ","")&amp;IF($I469="","状態未設定 ","")&amp;IF(AND(OR($I469="確認済",$I469="未確認"),$B469="月例",OR($C469="",$C469&lt;DATE(年度+2018,4,1),$C469&gt;DATE(年度+2019,3,31))),"年度外の日付 ","")&amp;IF(AND(OR($I469="確認済",$I469="未確認"),O469="対象外"),"対象外の科目 ","")))</f>
        <v/>
      </c>
      <c r="R469" s="366" t="inlineStr">
        <is>
          <t>月例!487</t>
        </is>
      </c>
    </row>
    <row r="470">
      <c r="A470" s="359" t="n">
        <v>466</v>
      </c>
      <c r="B470" s="360" t="inlineStr">
        <is>
          <t>月例</t>
        </is>
      </c>
      <c r="C470" s="361" t="n">
        <v>46015</v>
      </c>
      <c r="D470" s="362" t="inlineStr">
        <is>
          <t>負担金</t>
        </is>
      </c>
      <c r="E470" s="362" t="inlineStr">
        <is>
          <t>負担金</t>
        </is>
      </c>
      <c r="F470" s="362" t="inlineStr">
        <is>
          <t>共済短期・介護負担金（12月賞与、12月月例分）短期</t>
        </is>
      </c>
      <c r="G470" s="363" t="n">
        <v>66980</v>
      </c>
      <c r="H470" s="360" t="n">
        <v>2</v>
      </c>
      <c r="I470" s="360" t="inlineStr">
        <is>
          <t>昨年実績</t>
        </is>
      </c>
      <c r="J470" s="364">
        <f>IF($G470="","",IF($H470=1,$G470-ROUND($G470*10/23,0)-2*ROUND($G470/23,0),IF($H470=2,$G470,0)))</f>
        <v>66980</v>
      </c>
      <c r="K470" s="364">
        <f>IF($G470="","",IF($H470=1,ROUND($G470*10/23,0),IF($H470=3,$G470-2*ROUND($G470/12,0),IF($H470=4,$G470,IF(OR($H470=5,$H470=7),ROUND($G470*10/11,0),0)))))</f>
        <v>0</v>
      </c>
      <c r="L470" s="364">
        <f>IF($G470="","",IF($H470=1,ROUND($G470/23,0),IF($H470=3,ROUND($G470/12,0),IF($H470=5,$G470-ROUND($G470*10/11,0),IF($H470=8,$G470,0)))))</f>
        <v>0</v>
      </c>
      <c r="M470" s="364">
        <f>IF($G470="","",IF($H470=1,ROUND($G470/23,0),IF($H470=3,ROUND($G470/12,0),IF($H470=6,$G470,IF($H470=7,$G470-ROUND($G470*10/11,0),0)))))</f>
        <v>0</v>
      </c>
      <c r="N470" s="364">
        <f>IF($G470="","",K470+L470+M470)</f>
        <v>0</v>
      </c>
      <c r="O470" s="365" t="str">
        <f>IF($G470="","",IFERROR(VLOOKUP($D470&amp;"|"&amp;$E470,科目表!$A$5:$B$200,2,FALSE),"※未登録"))</f>
        <v>共済負担金等</v>
      </c>
      <c r="P470" s="359">
        <f>IF(OR($G470="",$C470=""),"",IF($B470="決算整理",13,MOD(MONTH($C470)-4,12)+1))</f>
        <v>9</v>
      </c>
      <c r="Q470" s="366" t="str">
        <f>IF($G470="","",TRIM(IF(J470+K470+L470+M470&lt;&gt;$G470,"按分不一致 ","")&amp;IF(O470="※未登録","科目未登録 ","")&amp;IF(OR($H470="",ISERROR(MATCH($H470,{1,2,3,4,5,6,7,8},0))),"経費区分? ","")&amp;IF($I470="","状態未設定 ","")&amp;IF(AND(OR($I470="確認済",$I470="未確認"),$B470="月例",OR($C470="",$C470&lt;DATE(年度+2018,4,1),$C470&gt;DATE(年度+2019,3,31))),"年度外の日付 ","")&amp;IF(AND(OR($I470="確認済",$I470="未確認"),O470="対象外"),"対象外の科目 ","")))</f>
        <v/>
      </c>
      <c r="R470" s="366" t="inlineStr">
        <is>
          <t>月例!488</t>
        </is>
      </c>
    </row>
    <row r="471">
      <c r="A471" s="359" t="n">
        <v>467</v>
      </c>
      <c r="B471" s="360" t="inlineStr">
        <is>
          <t>月例</t>
        </is>
      </c>
      <c r="C471" s="361" t="n">
        <v>43798</v>
      </c>
      <c r="D471" s="362" t="inlineStr">
        <is>
          <t>賃借料</t>
        </is>
      </c>
      <c r="E471" s="362" t="n"/>
      <c r="F471" s="362" t="inlineStr">
        <is>
          <t>基幹システム用機器賃借料４～１０月（長期分）</t>
        </is>
      </c>
      <c r="G471" s="363" t="n">
        <v>186543</v>
      </c>
      <c r="H471" s="360" t="n">
        <v>3</v>
      </c>
      <c r="I471" s="360" t="inlineStr">
        <is>
          <t>昨年実績</t>
        </is>
      </c>
      <c r="J471" s="364">
        <f>IF($G471="","",IF($H471=1,$G471-ROUND($G471*10/23,0)-2*ROUND($G471/23,0),IF($H471=2,$G471,0)))</f>
        <v>0</v>
      </c>
      <c r="K471" s="364">
        <f>IF($G471="","",IF($H471=1,ROUND($G471*10/23,0),IF($H471=3,$G471-2*ROUND($G471/12,0),IF($H471=4,$G471,IF(OR($H471=5,$H471=7),ROUND($G471*10/11,0),0)))))</f>
        <v>155453</v>
      </c>
      <c r="L471" s="364">
        <f>IF($G471="","",IF($H471=1,ROUND($G471/23,0),IF($H471=3,ROUND($G471/12,0),IF($H471=5,$G471-ROUND($G471*10/11,0),IF($H471=8,$G471,0)))))</f>
        <v>15545</v>
      </c>
      <c r="M471" s="364">
        <f>IF($G471="","",IF($H471=1,ROUND($G471/23,0),IF($H471=3,ROUND($G471/12,0),IF($H471=6,$G471,IF($H471=7,$G471-ROUND($G471*10/11,0),0)))))</f>
        <v>15545</v>
      </c>
      <c r="N471" s="364">
        <f>IF($G471="","",K471+L471+M471)</f>
        <v>186543</v>
      </c>
      <c r="O471" s="365" t="str">
        <f>IF($G471="","",IFERROR(VLOOKUP($D471&amp;"|"&amp;$E471,科目表!$A$5:$B$200,2,FALSE),"※未登録"))</f>
        <v>賃借料</v>
      </c>
      <c r="P471" s="359">
        <f>IF(OR($G471="",$C471=""),"",IF($B471="決算整理",13,MOD(MONTH($C471)-4,12)+1))</f>
        <v>8</v>
      </c>
      <c r="Q471" s="366" t="str">
        <f>IF($G471="","",TRIM(IF(J471+K471+L471+M471&lt;&gt;$G471,"按分不一致 ","")&amp;IF(O471="※未登録","科目未登録 ","")&amp;IF(OR($H471="",ISERROR(MATCH($H471,{1,2,3,4,5,6,7,8},0))),"経費区分? ","")&amp;IF($I471="","状態未設定 ","")&amp;IF(AND(OR($I471="確認済",$I471="未確認"),$B471="月例",OR($C471="",$C471&lt;DATE(年度+2018,4,1),$C471&gt;DATE(年度+2019,3,31))),"年度外の日付 ","")&amp;IF(AND(OR($I471="確認済",$I471="未確認"),O471="対象外"),"対象外の科目 ","")))</f>
        <v/>
      </c>
      <c r="R471" s="366" t="inlineStr">
        <is>
          <t>月例!489</t>
        </is>
      </c>
    </row>
    <row r="472">
      <c r="A472" s="359" t="n">
        <v>468</v>
      </c>
      <c r="B472" s="360" t="inlineStr">
        <is>
          <t>月例</t>
        </is>
      </c>
      <c r="C472" s="361" t="n">
        <v>43798</v>
      </c>
      <c r="D472" s="362" t="inlineStr">
        <is>
          <t>賃借料</t>
        </is>
      </c>
      <c r="E472" s="362" t="n"/>
      <c r="F472" s="362" t="inlineStr">
        <is>
          <t>基幹システム用機器賃借料４～１０月（短期分）</t>
        </is>
      </c>
      <c r="G472" s="363" t="n">
        <v>186543</v>
      </c>
      <c r="H472" s="360" t="n">
        <v>2</v>
      </c>
      <c r="I472" s="360" t="inlineStr">
        <is>
          <t>昨年実績</t>
        </is>
      </c>
      <c r="J472" s="364">
        <f>IF($G472="","",IF($H472=1,$G472-ROUND($G472*10/23,0)-2*ROUND($G472/23,0),IF($H472=2,$G472,0)))</f>
        <v>186543</v>
      </c>
      <c r="K472" s="364">
        <f>IF($G472="","",IF($H472=1,ROUND($G472*10/23,0),IF($H472=3,$G472-2*ROUND($G472/12,0),IF($H472=4,$G472,IF(OR($H472=5,$H472=7),ROUND($G472*10/11,0),0)))))</f>
        <v>0</v>
      </c>
      <c r="L472" s="364">
        <f>IF($G472="","",IF($H472=1,ROUND($G472/23,0),IF($H472=3,ROUND($G472/12,0),IF($H472=5,$G472-ROUND($G472*10/11,0),IF($H472=8,$G472,0)))))</f>
        <v>0</v>
      </c>
      <c r="M472" s="364">
        <f>IF($G472="","",IF($H472=1,ROUND($G472/23,0),IF($H472=3,ROUND($G472/12,0),IF($H472=6,$G472,IF($H472=7,$G472-ROUND($G472*10/11,0),0)))))</f>
        <v>0</v>
      </c>
      <c r="N472" s="364">
        <f>IF($G472="","",K472+L472+M472)</f>
        <v>0</v>
      </c>
      <c r="O472" s="365" t="str">
        <f>IF($G472="","",IFERROR(VLOOKUP($D472&amp;"|"&amp;$E472,科目表!$A$5:$B$200,2,FALSE),"※未登録"))</f>
        <v>賃借料</v>
      </c>
      <c r="P472" s="359">
        <f>IF(OR($G472="",$C472=""),"",IF($B472="決算整理",13,MOD(MONTH($C472)-4,12)+1))</f>
        <v>8</v>
      </c>
      <c r="Q472" s="366" t="str">
        <f>IF($G472="","",TRIM(IF(J472+K472+L472+M472&lt;&gt;$G472,"按分不一致 ","")&amp;IF(O472="※未登録","科目未登録 ","")&amp;IF(OR($H472="",ISERROR(MATCH($H472,{1,2,3,4,5,6,7,8},0))),"経費区分? ","")&amp;IF($I472="","状態未設定 ","")&amp;IF(AND(OR($I472="確認済",$I472="未確認"),$B472="月例",OR($C472="",$C472&lt;DATE(年度+2018,4,1),$C472&gt;DATE(年度+2019,3,31))),"年度外の日付 ","")&amp;IF(AND(OR($I472="確認済",$I472="未確認"),O472="対象外"),"対象外の科目 ","")))</f>
        <v/>
      </c>
      <c r="R472" s="366" t="inlineStr">
        <is>
          <t>月例!490</t>
        </is>
      </c>
    </row>
    <row r="473">
      <c r="A473" s="359" t="n">
        <v>469</v>
      </c>
      <c r="B473" s="360" t="inlineStr">
        <is>
          <t>月例</t>
        </is>
      </c>
      <c r="C473" s="361" t="n">
        <v>44558</v>
      </c>
      <c r="D473" s="362" t="inlineStr">
        <is>
          <t>委託費</t>
        </is>
      </c>
      <c r="E473" s="362" t="n"/>
      <c r="F473" s="362" t="inlineStr">
        <is>
          <t>短期給付個人番号管理システム端末延長保守</t>
        </is>
      </c>
      <c r="G473" s="363" t="n">
        <v>31900</v>
      </c>
      <c r="H473" s="360" t="n">
        <v>2</v>
      </c>
      <c r="I473" s="360" t="inlineStr">
        <is>
          <t>昨年実績</t>
        </is>
      </c>
      <c r="J473" s="364">
        <f>IF($G473="","",IF($H473=1,$G473-ROUND($G473*10/23,0)-2*ROUND($G473/23,0),IF($H473=2,$G473,0)))</f>
        <v>31900</v>
      </c>
      <c r="K473" s="364">
        <f>IF($G473="","",IF($H473=1,ROUND($G473*10/23,0),IF($H473=3,$G473-2*ROUND($G473/12,0),IF($H473=4,$G473,IF(OR($H473=5,$H473=7),ROUND($G473*10/11,0),0)))))</f>
        <v>0</v>
      </c>
      <c r="L473" s="364">
        <f>IF($G473="","",IF($H473=1,ROUND($G473/23,0),IF($H473=3,ROUND($G473/12,0),IF($H473=5,$G473-ROUND($G473*10/11,0),IF($H473=8,$G473,0)))))</f>
        <v>0</v>
      </c>
      <c r="M473" s="364">
        <f>IF($G473="","",IF($H473=1,ROUND($G473/23,0),IF($H473=3,ROUND($G473/12,0),IF($H473=6,$G473,IF($H473=7,$G473-ROUND($G473*10/11,0),0)))))</f>
        <v>0</v>
      </c>
      <c r="N473" s="364">
        <f>IF($G473="","",K473+L473+M473)</f>
        <v>0</v>
      </c>
      <c r="O473" s="365" t="str">
        <f>IF($G473="","",IFERROR(VLOOKUP($D473&amp;"|"&amp;$E473,科目表!$A$5:$B$200,2,FALSE),"※未登録"))</f>
        <v>委託費</v>
      </c>
      <c r="P473" s="359">
        <f>IF(OR($G473="",$C473=""),"",IF($B473="決算整理",13,MOD(MONTH($C473)-4,12)+1))</f>
        <v>9</v>
      </c>
      <c r="Q473" s="366" t="str">
        <f>IF($G473="","",TRIM(IF(J473+K473+L473+M473&lt;&gt;$G473,"按分不一致 ","")&amp;IF(O473="※未登録","科目未登録 ","")&amp;IF(OR($H473="",ISERROR(MATCH($H473,{1,2,3,4,5,6,7,8},0))),"経費区分? ","")&amp;IF($I473="","状態未設定 ","")&amp;IF(AND(OR($I473="確認済",$I473="未確認"),$B473="月例",OR($C473="",$C473&lt;DATE(年度+2018,4,1),$C473&gt;DATE(年度+2019,3,31))),"年度外の日付 ","")&amp;IF(AND(OR($I473="確認済",$I473="未確認"),O473="対象外"),"対象外の科目 ","")))</f>
        <v/>
      </c>
      <c r="R473" s="366" t="inlineStr">
        <is>
          <t>月例!491</t>
        </is>
      </c>
    </row>
    <row r="474">
      <c r="A474" s="359" t="n">
        <v>470</v>
      </c>
      <c r="B474" s="360" t="inlineStr">
        <is>
          <t>月例</t>
        </is>
      </c>
      <c r="C474" s="361" t="n">
        <v>46017</v>
      </c>
      <c r="D474" s="362" t="inlineStr">
        <is>
          <t>委託費</t>
        </is>
      </c>
      <c r="E474" s="362" t="n"/>
      <c r="F474" s="362" t="inlineStr">
        <is>
          <t>ねんきん定期便（１１月分）送付業務</t>
        </is>
      </c>
      <c r="G474" s="363" t="n">
        <v>81368</v>
      </c>
      <c r="H474" s="360" t="n">
        <v>5</v>
      </c>
      <c r="I474" s="360" t="inlineStr">
        <is>
          <t>昨年実績</t>
        </is>
      </c>
      <c r="J474" s="364">
        <f>IF($G474="","",IF($H474=1,$G474-ROUND($G474*10/23,0)-2*ROUND($G474/23,0),IF($H474=2,$G474,0)))</f>
        <v>0</v>
      </c>
      <c r="K474" s="364">
        <f>IF($G474="","",IF($H474=1,ROUND($G474*10/23,0),IF($H474=3,$G474-2*ROUND($G474/12,0),IF($H474=4,$G474,IF(OR($H474=5,$H474=7),ROUND($G474*10/11,0),0)))))</f>
        <v>73971</v>
      </c>
      <c r="L474" s="364">
        <f>IF($G474="","",IF($H474=1,ROUND($G474/23,0),IF($H474=3,ROUND($G474/12,0),IF($H474=5,$G474-ROUND($G474*10/11,0),IF($H474=8,$G474,0)))))</f>
        <v>7397</v>
      </c>
      <c r="M474" s="364">
        <f>IF($G474="","",IF($H474=1,ROUND($G474/23,0),IF($H474=3,ROUND($G474/12,0),IF($H474=6,$G474,IF($H474=7,$G474-ROUND($G474*10/11,0),0)))))</f>
        <v>0</v>
      </c>
      <c r="N474" s="364">
        <f>IF($G474="","",K474+L474+M474)</f>
        <v>81368</v>
      </c>
      <c r="O474" s="365" t="str">
        <f>IF($G474="","",IFERROR(VLOOKUP($D474&amp;"|"&amp;$E474,科目表!$A$5:$B$200,2,FALSE),"※未登録"))</f>
        <v>委託費</v>
      </c>
      <c r="P474" s="359">
        <f>IF(OR($G474="",$C474=""),"",IF($B474="決算整理",13,MOD(MONTH($C474)-4,12)+1))</f>
        <v>9</v>
      </c>
      <c r="Q474" s="366" t="str">
        <f>IF($G474="","",TRIM(IF(J474+K474+L474+M474&lt;&gt;$G474,"按分不一致 ","")&amp;IF(O474="※未登録","科目未登録 ","")&amp;IF(OR($H474="",ISERROR(MATCH($H474,{1,2,3,4,5,6,7,8},0))),"経費区分? ","")&amp;IF($I474="","状態未設定 ","")&amp;IF(AND(OR($I474="確認済",$I474="未確認"),$B474="月例",OR($C474="",$C474&lt;DATE(年度+2018,4,1),$C474&gt;DATE(年度+2019,3,31))),"年度外の日付 ","")&amp;IF(AND(OR($I474="確認済",$I474="未確認"),O474="対象外"),"対象外の科目 ","")))</f>
        <v/>
      </c>
      <c r="R474" s="366" t="inlineStr">
        <is>
          <t>月例!492</t>
        </is>
      </c>
    </row>
    <row r="475">
      <c r="A475" s="359" t="n">
        <v>471</v>
      </c>
      <c r="B475" s="360" t="inlineStr">
        <is>
          <t>月例</t>
        </is>
      </c>
      <c r="C475" s="361" t="n">
        <v>46017</v>
      </c>
      <c r="D475" s="362" t="inlineStr">
        <is>
          <t>賃借料</t>
        </is>
      </c>
      <c r="E475" s="362" t="n"/>
      <c r="F475" s="362" t="inlineStr">
        <is>
          <t>パソコン（業務経理用）１１月分</t>
        </is>
      </c>
      <c r="G475" s="363" t="n">
        <v>5060</v>
      </c>
      <c r="H475" s="360" t="n">
        <v>2</v>
      </c>
      <c r="I475" s="360" t="inlineStr">
        <is>
          <t>昨年実績</t>
        </is>
      </c>
      <c r="J475" s="364">
        <f>IF($G475="","",IF($H475=1,$G475-ROUND($G475*10/23,0)-2*ROUND($G475/23,0),IF($H475=2,$G475,0)))</f>
        <v>5060</v>
      </c>
      <c r="K475" s="364">
        <f>IF($G475="","",IF($H475=1,ROUND($G475*10/23,0),IF($H475=3,$G475-2*ROUND($G475/12,0),IF($H475=4,$G475,IF(OR($H475=5,$H475=7),ROUND($G475*10/11,0),0)))))</f>
        <v>0</v>
      </c>
      <c r="L475" s="364">
        <f>IF($G475="","",IF($H475=1,ROUND($G475/23,0),IF($H475=3,ROUND($G475/12,0),IF($H475=5,$G475-ROUND($G475*10/11,0),IF($H475=8,$G475,0)))))</f>
        <v>0</v>
      </c>
      <c r="M475" s="364">
        <f>IF($G475="","",IF($H475=1,ROUND($G475/23,0),IF($H475=3,ROUND($G475/12,0),IF($H475=6,$G475,IF($H475=7,$G475-ROUND($G475*10/11,0),0)))))</f>
        <v>0</v>
      </c>
      <c r="N475" s="364">
        <f>IF($G475="","",K475+L475+M475)</f>
        <v>0</v>
      </c>
      <c r="O475" s="365" t="str">
        <f>IF($G475="","",IFERROR(VLOOKUP($D475&amp;"|"&amp;$E475,科目表!$A$5:$B$200,2,FALSE),"※未登録"))</f>
        <v>賃借料</v>
      </c>
      <c r="P475" s="359">
        <f>IF(OR($G475="",$C475=""),"",IF($B475="決算整理",13,MOD(MONTH($C475)-4,12)+1))</f>
        <v>9</v>
      </c>
      <c r="Q475" s="366" t="str">
        <f>IF($G475="","",TRIM(IF(J475+K475+L475+M475&lt;&gt;$G475,"按分不一致 ","")&amp;IF(O475="※未登録","科目未登録 ","")&amp;IF(OR($H475="",ISERROR(MATCH($H475,{1,2,3,4,5,6,7,8},0))),"経費区分? ","")&amp;IF($I475="","状態未設定 ","")&amp;IF(AND(OR($I475="確認済",$I475="未確認"),$B475="月例",OR($C475="",$C475&lt;DATE(年度+2018,4,1),$C475&gt;DATE(年度+2019,3,31))),"年度外の日付 ","")&amp;IF(AND(OR($I475="確認済",$I475="未確認"),O475="対象外"),"対象外の科目 ","")))</f>
        <v/>
      </c>
      <c r="R475" s="366" t="inlineStr">
        <is>
          <t>月例!493</t>
        </is>
      </c>
    </row>
    <row r="476">
      <c r="A476" s="359" t="n">
        <v>472</v>
      </c>
      <c r="B476" s="360" t="inlineStr">
        <is>
          <t>月例</t>
        </is>
      </c>
      <c r="C476" s="361" t="n">
        <v>46017</v>
      </c>
      <c r="D476" s="362" t="inlineStr">
        <is>
          <t>委託費</t>
        </is>
      </c>
      <c r="E476" s="362" t="n"/>
      <c r="F476" s="362" t="inlineStr">
        <is>
          <t>柔整等療養費支給申請書の入力（１１月分）</t>
        </is>
      </c>
      <c r="G476" s="363" t="n">
        <v>133683</v>
      </c>
      <c r="H476" s="360" t="n">
        <v>2</v>
      </c>
      <c r="I476" s="360" t="inlineStr">
        <is>
          <t>昨年実績</t>
        </is>
      </c>
      <c r="J476" s="364">
        <f>IF($G476="","",IF($H476=1,$G476-ROUND($G476*10/23,0)-2*ROUND($G476/23,0),IF($H476=2,$G476,0)))</f>
        <v>133683</v>
      </c>
      <c r="K476" s="364">
        <f>IF($G476="","",IF($H476=1,ROUND($G476*10/23,0),IF($H476=3,$G476-2*ROUND($G476/12,0),IF($H476=4,$G476,IF(OR($H476=5,$H476=7),ROUND($G476*10/11,0),0)))))</f>
        <v>0</v>
      </c>
      <c r="L476" s="364">
        <f>IF($G476="","",IF($H476=1,ROUND($G476/23,0),IF($H476=3,ROUND($G476/12,0),IF($H476=5,$G476-ROUND($G476*10/11,0),IF($H476=8,$G476,0)))))</f>
        <v>0</v>
      </c>
      <c r="M476" s="364">
        <f>IF($G476="","",IF($H476=1,ROUND($G476/23,0),IF($H476=3,ROUND($G476/12,0),IF($H476=6,$G476,IF($H476=7,$G476-ROUND($G476*10/11,0),0)))))</f>
        <v>0</v>
      </c>
      <c r="N476" s="364">
        <f>IF($G476="","",K476+L476+M476)</f>
        <v>0</v>
      </c>
      <c r="O476" s="365" t="str">
        <f>IF($G476="","",IFERROR(VLOOKUP($D476&amp;"|"&amp;$E476,科目表!$A$5:$B$200,2,FALSE),"※未登録"))</f>
        <v>委託費</v>
      </c>
      <c r="P476" s="359">
        <f>IF(OR($G476="",$C476=""),"",IF($B476="決算整理",13,MOD(MONTH($C476)-4,12)+1))</f>
        <v>9</v>
      </c>
      <c r="Q476" s="366" t="str">
        <f>IF($G476="","",TRIM(IF(J476+K476+L476+M476&lt;&gt;$G476,"按分不一致 ","")&amp;IF(O476="※未登録","科目未登録 ","")&amp;IF(OR($H476="",ISERROR(MATCH($H476,{1,2,3,4,5,6,7,8},0))),"経費区分? ","")&amp;IF($I476="","状態未設定 ","")&amp;IF(AND(OR($I476="確認済",$I476="未確認"),$B476="月例",OR($C476="",$C476&lt;DATE(年度+2018,4,1),$C476&gt;DATE(年度+2019,3,31))),"年度外の日付 ","")&amp;IF(AND(OR($I476="確認済",$I476="未確認"),O476="対象外"),"対象外の科目 ","")))</f>
        <v/>
      </c>
      <c r="R476" s="366" t="inlineStr">
        <is>
          <t>月例!494</t>
        </is>
      </c>
    </row>
    <row r="477">
      <c r="A477" s="359" t="n">
        <v>473</v>
      </c>
      <c r="B477" s="360" t="inlineStr">
        <is>
          <t>月例</t>
        </is>
      </c>
      <c r="C477" s="361" t="n">
        <v>44188</v>
      </c>
      <c r="D477" s="362" t="inlineStr">
        <is>
          <t>厚生費</t>
        </is>
      </c>
      <c r="E477" s="362" t="inlineStr">
        <is>
          <t>健康診断費</t>
        </is>
      </c>
      <c r="F477" s="362" t="inlineStr">
        <is>
          <t>人間ドック自己負担超分（佐々木）</t>
        </is>
      </c>
      <c r="G477" s="363" t="n">
        <v>18272</v>
      </c>
      <c r="H477" s="360" t="n">
        <v>3</v>
      </c>
      <c r="I477" s="360" t="inlineStr">
        <is>
          <t>昨年実績</t>
        </is>
      </c>
      <c r="J477" s="364">
        <f>IF($G477="","",IF($H477=1,$G477-ROUND($G477*10/23,0)-2*ROUND($G477/23,0),IF($H477=2,$G477,0)))</f>
        <v>0</v>
      </c>
      <c r="K477" s="364">
        <f>IF($G477="","",IF($H477=1,ROUND($G477*10/23,0),IF($H477=3,$G477-2*ROUND($G477/12,0),IF($H477=4,$G477,IF(OR($H477=5,$H477=7),ROUND($G477*10/11,0),0)))))</f>
        <v>15226</v>
      </c>
      <c r="L477" s="364">
        <f>IF($G477="","",IF($H477=1,ROUND($G477/23,0),IF($H477=3,ROUND($G477/12,0),IF($H477=5,$G477-ROUND($G477*10/11,0),IF($H477=8,$G477,0)))))</f>
        <v>1523</v>
      </c>
      <c r="M477" s="364">
        <f>IF($G477="","",IF($H477=1,ROUND($G477/23,0),IF($H477=3,ROUND($G477/12,0),IF($H477=6,$G477,IF($H477=7,$G477-ROUND($G477*10/11,0),0)))))</f>
        <v>1523</v>
      </c>
      <c r="N477" s="364">
        <f>IF($G477="","",K477+L477+M477)</f>
        <v>18272</v>
      </c>
      <c r="O477" s="365" t="str">
        <f>IF($G477="","",IFERROR(VLOOKUP($D477&amp;"|"&amp;$E477,科目表!$A$5:$B$200,2,FALSE),"※未登録"))</f>
        <v>厚生費</v>
      </c>
      <c r="P477" s="359">
        <f>IF(OR($G477="",$C477=""),"",IF($B477="決算整理",13,MOD(MONTH($C477)-4,12)+1))</f>
        <v>9</v>
      </c>
      <c r="Q477" s="366" t="str">
        <f>IF($G477="","",TRIM(IF(J477+K477+L477+M477&lt;&gt;$G477,"按分不一致 ","")&amp;IF(O477="※未登録","科目未登録 ","")&amp;IF(OR($H477="",ISERROR(MATCH($H477,{1,2,3,4,5,6,7,8},0))),"経費区分? ","")&amp;IF($I477="","状態未設定 ","")&amp;IF(AND(OR($I477="確認済",$I477="未確認"),$B477="月例",OR($C477="",$C477&lt;DATE(年度+2018,4,1),$C477&gt;DATE(年度+2019,3,31))),"年度外の日付 ","")&amp;IF(AND(OR($I477="確認済",$I477="未確認"),O477="対象外"),"対象外の科目 ","")))</f>
        <v/>
      </c>
      <c r="R477" s="366" t="inlineStr">
        <is>
          <t>月例!495</t>
        </is>
      </c>
    </row>
    <row r="478">
      <c r="A478" s="359" t="n">
        <v>474</v>
      </c>
      <c r="B478" s="360" t="inlineStr">
        <is>
          <t>月例</t>
        </is>
      </c>
      <c r="C478" s="361" t="n">
        <v>45288</v>
      </c>
      <c r="D478" s="362" t="inlineStr">
        <is>
          <t>事務費</t>
        </is>
      </c>
      <c r="E478" s="362" t="inlineStr">
        <is>
          <t>通信運搬費</t>
        </is>
      </c>
      <c r="F478" s="362" t="inlineStr">
        <is>
          <t>メール便（任継者宛厚生だより11月・12月分）</t>
        </is>
      </c>
      <c r="G478" s="363" t="n">
        <v>36115</v>
      </c>
      <c r="H478" s="360" t="n">
        <v>2</v>
      </c>
      <c r="I478" s="360" t="inlineStr">
        <is>
          <t>昨年実績</t>
        </is>
      </c>
      <c r="J478" s="364">
        <f>IF($G478="","",IF($H478=1,$G478-ROUND($G478*10/23,0)-2*ROUND($G478/23,0),IF($H478=2,$G478,0)))</f>
        <v>36115</v>
      </c>
      <c r="K478" s="364">
        <f>IF($G478="","",IF($H478=1,ROUND($G478*10/23,0),IF($H478=3,$G478-2*ROUND($G478/12,0),IF($H478=4,$G478,IF(OR($H478=5,$H478=7),ROUND($G478*10/11,0),0)))))</f>
        <v>0</v>
      </c>
      <c r="L478" s="364">
        <f>IF($G478="","",IF($H478=1,ROUND($G478/23,0),IF($H478=3,ROUND($G478/12,0),IF($H478=5,$G478-ROUND($G478*10/11,0),IF($H478=8,$G478,0)))))</f>
        <v>0</v>
      </c>
      <c r="M478" s="364">
        <f>IF($G478="","",IF($H478=1,ROUND($G478/23,0),IF($H478=3,ROUND($G478/12,0),IF($H478=6,$G478,IF($H478=7,$G478-ROUND($G478*10/11,0),0)))))</f>
        <v>0</v>
      </c>
      <c r="N478" s="364">
        <f>IF($G478="","",K478+L478+M478)</f>
        <v>0</v>
      </c>
      <c r="O478" s="365" t="str">
        <f>IF($G478="","",IFERROR(VLOOKUP($D478&amp;"|"&amp;$E478,科目表!$A$5:$B$200,2,FALSE),"※未登録"))</f>
        <v>通信運搬費</v>
      </c>
      <c r="P478" s="359">
        <f>IF(OR($G478="",$C478=""),"",IF($B478="決算整理",13,MOD(MONTH($C478)-4,12)+1))</f>
        <v>9</v>
      </c>
      <c r="Q478" s="366" t="str">
        <f>IF($G478="","",TRIM(IF(J478+K478+L478+M478&lt;&gt;$G478,"按分不一致 ","")&amp;IF(O478="※未登録","科目未登録 ","")&amp;IF(OR($H478="",ISERROR(MATCH($H478,{1,2,3,4,5,6,7,8},0))),"経費区分? ","")&amp;IF($I478="","状態未設定 ","")&amp;IF(AND(OR($I478="確認済",$I478="未確認"),$B478="月例",OR($C478="",$C478&lt;DATE(年度+2018,4,1),$C478&gt;DATE(年度+2019,3,31))),"年度外の日付 ","")&amp;IF(AND(OR($I478="確認済",$I478="未確認"),O478="対象外"),"対象外の科目 ","")))</f>
        <v/>
      </c>
      <c r="R478" s="366" t="inlineStr">
        <is>
          <t>月例!496</t>
        </is>
      </c>
    </row>
    <row r="479">
      <c r="A479" s="359" t="n">
        <v>475</v>
      </c>
      <c r="B479" s="360" t="inlineStr">
        <is>
          <t>月例</t>
        </is>
      </c>
      <c r="C479" s="361" t="n">
        <v>46017</v>
      </c>
      <c r="D479" s="362" t="inlineStr">
        <is>
          <t>事務費</t>
        </is>
      </c>
      <c r="E479" s="362" t="inlineStr">
        <is>
          <t>図書印刷費</t>
        </is>
      </c>
      <c r="F479" s="362" t="inlineStr">
        <is>
          <t>長３封筒　１０，０００枚</t>
        </is>
      </c>
      <c r="G479" s="363" t="n">
        <v>99000</v>
      </c>
      <c r="H479" s="360" t="n">
        <v>2</v>
      </c>
      <c r="I479" s="360" t="inlineStr">
        <is>
          <t>昨年実績</t>
        </is>
      </c>
      <c r="J479" s="364">
        <f>IF($G479="","",IF($H479=1,$G479-ROUND($G479*10/23,0)-2*ROUND($G479/23,0),IF($H479=2,$G479,0)))</f>
        <v>99000</v>
      </c>
      <c r="K479" s="364">
        <f>IF($G479="","",IF($H479=1,ROUND($G479*10/23,0),IF($H479=3,$G479-2*ROUND($G479/12,0),IF($H479=4,$G479,IF(OR($H479=5,$H479=7),ROUND($G479*10/11,0),0)))))</f>
        <v>0</v>
      </c>
      <c r="L479" s="364">
        <f>IF($G479="","",IF($H479=1,ROUND($G479/23,0),IF($H479=3,ROUND($G479/12,0),IF($H479=5,$G479-ROUND($G479*10/11,0),IF($H479=8,$G479,0)))))</f>
        <v>0</v>
      </c>
      <c r="M479" s="364">
        <f>IF($G479="","",IF($H479=1,ROUND($G479/23,0),IF($H479=3,ROUND($G479/12,0),IF($H479=6,$G479,IF($H479=7,$G479-ROUND($G479*10/11,0),0)))))</f>
        <v>0</v>
      </c>
      <c r="N479" s="364">
        <f>IF($G479="","",K479+L479+M479)</f>
        <v>0</v>
      </c>
      <c r="O479" s="365" t="str">
        <f>IF($G479="","",IFERROR(VLOOKUP($D479&amp;"|"&amp;$E479,科目表!$A$5:$B$200,2,FALSE),"※未登録"))</f>
        <v>図書印刷費</v>
      </c>
      <c r="P479" s="359">
        <f>IF(OR($G479="",$C479=""),"",IF($B479="決算整理",13,MOD(MONTH($C479)-4,12)+1))</f>
        <v>9</v>
      </c>
      <c r="Q479" s="366" t="str">
        <f>IF($G479="","",TRIM(IF(J479+K479+L479+M479&lt;&gt;$G479,"按分不一致 ","")&amp;IF(O479="※未登録","科目未登録 ","")&amp;IF(OR($H479="",ISERROR(MATCH($H479,{1,2,3,4,5,6,7,8},0))),"経費区分? ","")&amp;IF($I479="","状態未設定 ","")&amp;IF(AND(OR($I479="確認済",$I479="未確認"),$B479="月例",OR($C479="",$C479&lt;DATE(年度+2018,4,1),$C479&gt;DATE(年度+2019,3,31))),"年度外の日付 ","")&amp;IF(AND(OR($I479="確認済",$I479="未確認"),O479="対象外"),"対象外の科目 ","")))</f>
        <v/>
      </c>
      <c r="R479" s="366" t="inlineStr">
        <is>
          <t>月例!497</t>
        </is>
      </c>
    </row>
    <row r="480">
      <c r="A480" s="359" t="n">
        <v>476</v>
      </c>
      <c r="B480" s="360" t="inlineStr">
        <is>
          <t>月例</t>
        </is>
      </c>
      <c r="C480" s="361" t="n">
        <v>46017</v>
      </c>
      <c r="D480" s="362" t="inlineStr">
        <is>
          <t>賃借料</t>
        </is>
      </c>
      <c r="E480" s="362" t="n"/>
      <c r="F480" s="362" t="inlineStr">
        <is>
          <t>基幹システム用機器賃借料　11月分（短期）</t>
        </is>
      </c>
      <c r="G480" s="363" t="n">
        <v>672934</v>
      </c>
      <c r="H480" s="360" t="n">
        <v>2</v>
      </c>
      <c r="I480" s="360" t="inlineStr">
        <is>
          <t>昨年実績</t>
        </is>
      </c>
      <c r="J480" s="364">
        <f>IF($G480="","",IF($H480=1,$G480-ROUND($G480*10/23,0)-2*ROUND($G480/23,0),IF($H480=2,$G480,0)))</f>
        <v>672934</v>
      </c>
      <c r="K480" s="364">
        <f>IF($G480="","",IF($H480=1,ROUND($G480*10/23,0),IF($H480=3,$G480-2*ROUND($G480/12,0),IF($H480=4,$G480,IF(OR($H480=5,$H480=7),ROUND($G480*10/11,0),0)))))</f>
        <v>0</v>
      </c>
      <c r="L480" s="364">
        <f>IF($G480="","",IF($H480=1,ROUND($G480/23,0),IF($H480=3,ROUND($G480/12,0),IF($H480=5,$G480-ROUND($G480*10/11,0),IF($H480=8,$G480,0)))))</f>
        <v>0</v>
      </c>
      <c r="M480" s="364">
        <f>IF($G480="","",IF($H480=1,ROUND($G480/23,0),IF($H480=3,ROUND($G480/12,0),IF($H480=6,$G480,IF($H480=7,$G480-ROUND($G480*10/11,0),0)))))</f>
        <v>0</v>
      </c>
      <c r="N480" s="364">
        <f>IF($G480="","",K480+L480+M480)</f>
        <v>0</v>
      </c>
      <c r="O480" s="365" t="str">
        <f>IF($G480="","",IFERROR(VLOOKUP($D480&amp;"|"&amp;$E480,科目表!$A$5:$B$200,2,FALSE),"※未登録"))</f>
        <v>賃借料</v>
      </c>
      <c r="P480" s="359">
        <f>IF(OR($G480="",$C480=""),"",IF($B480="決算整理",13,MOD(MONTH($C480)-4,12)+1))</f>
        <v>9</v>
      </c>
      <c r="Q480" s="366" t="str">
        <f>IF($G480="","",TRIM(IF(J480+K480+L480+M480&lt;&gt;$G480,"按分不一致 ","")&amp;IF(O480="※未登録","科目未登録 ","")&amp;IF(OR($H480="",ISERROR(MATCH($H480,{1,2,3,4,5,6,7,8},0))),"経費区分? ","")&amp;IF($I480="","状態未設定 ","")&amp;IF(AND(OR($I480="確認済",$I480="未確認"),$B480="月例",OR($C480="",$C480&lt;DATE(年度+2018,4,1),$C480&gt;DATE(年度+2019,3,31))),"年度外の日付 ","")&amp;IF(AND(OR($I480="確認済",$I480="未確認"),O480="対象外"),"対象外の科目 ","")))</f>
        <v/>
      </c>
      <c r="R480" s="366" t="inlineStr">
        <is>
          <t>月例!498</t>
        </is>
      </c>
    </row>
    <row r="481">
      <c r="A481" s="359" t="n">
        <v>477</v>
      </c>
      <c r="B481" s="360" t="inlineStr">
        <is>
          <t>月例</t>
        </is>
      </c>
      <c r="C481" s="361" t="n">
        <v>46017</v>
      </c>
      <c r="D481" s="362" t="inlineStr">
        <is>
          <t>賃借料</t>
        </is>
      </c>
      <c r="E481" s="362" t="n"/>
      <c r="F481" s="362" t="inlineStr">
        <is>
          <t>基幹システム用機器賃借料　11月分（長期）</t>
        </is>
      </c>
      <c r="G481" s="363" t="n">
        <v>69613</v>
      </c>
      <c r="H481" s="360" t="n">
        <v>3</v>
      </c>
      <c r="I481" s="360" t="inlineStr">
        <is>
          <t>昨年実績</t>
        </is>
      </c>
      <c r="J481" s="364">
        <f>IF($G481="","",IF($H481=1,$G481-ROUND($G481*10/23,0)-2*ROUND($G481/23,0),IF($H481=2,$G481,0)))</f>
        <v>0</v>
      </c>
      <c r="K481" s="364">
        <f>IF($G481="","",IF($H481=1,ROUND($G481*10/23,0),IF($H481=3,$G481-2*ROUND($G481/12,0),IF($H481=4,$G481,IF(OR($H481=5,$H481=7),ROUND($G481*10/11,0),0)))))</f>
        <v>58011</v>
      </c>
      <c r="L481" s="364">
        <f>IF($G481="","",IF($H481=1,ROUND($G481/23,0),IF($H481=3,ROUND($G481/12,0),IF($H481=5,$G481-ROUND($G481*10/11,0),IF($H481=8,$G481,0)))))</f>
        <v>5801</v>
      </c>
      <c r="M481" s="364">
        <f>IF($G481="","",IF($H481=1,ROUND($G481/23,0),IF($H481=3,ROUND($G481/12,0),IF($H481=6,$G481,IF($H481=7,$G481-ROUND($G481*10/11,0),0)))))</f>
        <v>5801</v>
      </c>
      <c r="N481" s="364">
        <f>IF($G481="","",K481+L481+M481)</f>
        <v>69613</v>
      </c>
      <c r="O481" s="365" t="str">
        <f>IF($G481="","",IFERROR(VLOOKUP($D481&amp;"|"&amp;$E481,科目表!$A$5:$B$200,2,FALSE),"※未登録"))</f>
        <v>賃借料</v>
      </c>
      <c r="P481" s="359">
        <f>IF(OR($G481="",$C481=""),"",IF($B481="決算整理",13,MOD(MONTH($C481)-4,12)+1))</f>
        <v>9</v>
      </c>
      <c r="Q481" s="366" t="str">
        <f>IF($G481="","",TRIM(IF(J481+K481+L481+M481&lt;&gt;$G481,"按分不一致 ","")&amp;IF(O481="※未登録","科目未登録 ","")&amp;IF(OR($H481="",ISERROR(MATCH($H481,{1,2,3,4,5,6,7,8},0))),"経費区分? ","")&amp;IF($I481="","状態未設定 ","")&amp;IF(AND(OR($I481="確認済",$I481="未確認"),$B481="月例",OR($C481="",$C481&lt;DATE(年度+2018,4,1),$C481&gt;DATE(年度+2019,3,31))),"年度外の日付 ","")&amp;IF(AND(OR($I481="確認済",$I481="未確認"),O481="対象外"),"対象外の科目 ","")))</f>
        <v/>
      </c>
      <c r="R481" s="366" t="inlineStr">
        <is>
          <t>月例!499</t>
        </is>
      </c>
    </row>
    <row r="482">
      <c r="A482" s="359" t="n">
        <v>478</v>
      </c>
      <c r="B482" s="360" t="inlineStr">
        <is>
          <t>月例</t>
        </is>
      </c>
      <c r="C482" s="361" t="n">
        <v>44193</v>
      </c>
      <c r="D482" s="362" t="inlineStr">
        <is>
          <t>事務費</t>
        </is>
      </c>
      <c r="E482" s="362" t="inlineStr">
        <is>
          <t>事務用消耗品費</t>
        </is>
      </c>
      <c r="F482" s="362" t="inlineStr">
        <is>
          <t>限度額適用認定証（台紙）</t>
        </is>
      </c>
      <c r="G482" s="363" t="n">
        <v>24200</v>
      </c>
      <c r="H482" s="360" t="n">
        <v>2</v>
      </c>
      <c r="I482" s="360" t="inlineStr">
        <is>
          <t>昨年実績</t>
        </is>
      </c>
      <c r="J482" s="364">
        <f>IF($G482="","",IF($H482=1,$G482-ROUND($G482*10/23,0)-2*ROUND($G482/23,0),IF($H482=2,$G482,0)))</f>
        <v>24200</v>
      </c>
      <c r="K482" s="364">
        <f>IF($G482="","",IF($H482=1,ROUND($G482*10/23,0),IF($H482=3,$G482-2*ROUND($G482/12,0),IF($H482=4,$G482,IF(OR($H482=5,$H482=7),ROUND($G482*10/11,0),0)))))</f>
        <v>0</v>
      </c>
      <c r="L482" s="364">
        <f>IF($G482="","",IF($H482=1,ROUND($G482/23,0),IF($H482=3,ROUND($G482/12,0),IF($H482=5,$G482-ROUND($G482*10/11,0),IF($H482=8,$G482,0)))))</f>
        <v>0</v>
      </c>
      <c r="M482" s="364">
        <f>IF($G482="","",IF($H482=1,ROUND($G482/23,0),IF($H482=3,ROUND($G482/12,0),IF($H482=6,$G482,IF($H482=7,$G482-ROUND($G482*10/11,0),0)))))</f>
        <v>0</v>
      </c>
      <c r="N482" s="364">
        <f>IF($G482="","",K482+L482+M482)</f>
        <v>0</v>
      </c>
      <c r="O482" s="365" t="str">
        <f>IF($G482="","",IFERROR(VLOOKUP($D482&amp;"|"&amp;$E482,科目表!$A$5:$B$200,2,FALSE),"※未登録"))</f>
        <v>事務用消耗品費</v>
      </c>
      <c r="P482" s="359">
        <f>IF(OR($G482="",$C482=""),"",IF($B482="決算整理",13,MOD(MONTH($C482)-4,12)+1))</f>
        <v>9</v>
      </c>
      <c r="Q482" s="366" t="str">
        <f>IF($G482="","",TRIM(IF(J482+K482+L482+M482&lt;&gt;$G482,"按分不一致 ","")&amp;IF(O482="※未登録","科目未登録 ","")&amp;IF(OR($H482="",ISERROR(MATCH($H482,{1,2,3,4,5,6,7,8},0))),"経費区分? ","")&amp;IF($I482="","状態未設定 ","")&amp;IF(AND(OR($I482="確認済",$I482="未確認"),$B482="月例",OR($C482="",$C482&lt;DATE(年度+2018,4,1),$C482&gt;DATE(年度+2019,3,31))),"年度外の日付 ","")&amp;IF(AND(OR($I482="確認済",$I482="未確認"),O482="対象外"),"対象外の科目 ","")))</f>
        <v/>
      </c>
      <c r="R482" s="366" t="inlineStr">
        <is>
          <t>月例!500</t>
        </is>
      </c>
    </row>
    <row r="483">
      <c r="A483" s="359" t="n">
        <v>479</v>
      </c>
      <c r="B483" s="360" t="inlineStr">
        <is>
          <t>月例</t>
        </is>
      </c>
      <c r="C483" s="361" t="n">
        <v>43826</v>
      </c>
      <c r="D483" s="362" t="inlineStr">
        <is>
          <t>賃借料</t>
        </is>
      </c>
      <c r="E483" s="362" t="n"/>
      <c r="F483" s="362" t="inlineStr">
        <is>
          <t>基幹システム（短期）用機器リース料１１月分</t>
        </is>
      </c>
      <c r="G483" s="363" t="n">
        <v>193676</v>
      </c>
      <c r="H483" s="360" t="n">
        <v>2</v>
      </c>
      <c r="I483" s="360" t="inlineStr">
        <is>
          <t>昨年実績</t>
        </is>
      </c>
      <c r="J483" s="364">
        <f>IF($G483="","",IF($H483=1,$G483-ROUND($G483*10/23,0)-2*ROUND($G483/23,0),IF($H483=2,$G483,0)))</f>
        <v>193676</v>
      </c>
      <c r="K483" s="364">
        <f>IF($G483="","",IF($H483=1,ROUND($G483*10/23,0),IF($H483=3,$G483-2*ROUND($G483/12,0),IF($H483=4,$G483,IF(OR($H483=5,$H483=7),ROUND($G483*10/11,0),0)))))</f>
        <v>0</v>
      </c>
      <c r="L483" s="364">
        <f>IF($G483="","",IF($H483=1,ROUND($G483/23,0),IF($H483=3,ROUND($G483/12,0),IF($H483=5,$G483-ROUND($G483*10/11,0),IF($H483=8,$G483,0)))))</f>
        <v>0</v>
      </c>
      <c r="M483" s="364">
        <f>IF($G483="","",IF($H483=1,ROUND($G483/23,0),IF($H483=3,ROUND($G483/12,0),IF($H483=6,$G483,IF($H483=7,$G483-ROUND($G483*10/11,0),0)))))</f>
        <v>0</v>
      </c>
      <c r="N483" s="364">
        <f>IF($G483="","",K483+L483+M483)</f>
        <v>0</v>
      </c>
      <c r="O483" s="365" t="str">
        <f>IF($G483="","",IFERROR(VLOOKUP($D483&amp;"|"&amp;$E483,科目表!$A$5:$B$200,2,FALSE),"※未登録"))</f>
        <v>賃借料</v>
      </c>
      <c r="P483" s="359">
        <f>IF(OR($G483="",$C483=""),"",IF($B483="決算整理",13,MOD(MONTH($C483)-4,12)+1))</f>
        <v>9</v>
      </c>
      <c r="Q483" s="366" t="str">
        <f>IF($G483="","",TRIM(IF(J483+K483+L483+M483&lt;&gt;$G483,"按分不一致 ","")&amp;IF(O483="※未登録","科目未登録 ","")&amp;IF(OR($H483="",ISERROR(MATCH($H483,{1,2,3,4,5,6,7,8},0))),"経費区分? ","")&amp;IF($I483="","状態未設定 ","")&amp;IF(AND(OR($I483="確認済",$I483="未確認"),$B483="月例",OR($C483="",$C483&lt;DATE(年度+2018,4,1),$C483&gt;DATE(年度+2019,3,31))),"年度外の日付 ","")&amp;IF(AND(OR($I483="確認済",$I483="未確認"),O483="対象外"),"対象外の科目 ","")))</f>
        <v/>
      </c>
      <c r="R483" s="366" t="inlineStr">
        <is>
          <t>月例!501</t>
        </is>
      </c>
    </row>
    <row r="484">
      <c r="A484" s="359" t="n">
        <v>480</v>
      </c>
      <c r="B484" s="360" t="inlineStr">
        <is>
          <t>月例</t>
        </is>
      </c>
      <c r="C484" s="361" t="n">
        <v>46007</v>
      </c>
      <c r="D484" s="362" t="inlineStr">
        <is>
          <t>賃借料</t>
        </is>
      </c>
      <c r="E484" s="362" t="n"/>
      <c r="F484" s="362" t="inlineStr">
        <is>
          <t>統合管理端末リース料（１１月分）</t>
        </is>
      </c>
      <c r="G484" s="363" t="n">
        <v>12738</v>
      </c>
      <c r="H484" s="360" t="n">
        <v>2</v>
      </c>
      <c r="I484" s="360" t="inlineStr">
        <is>
          <t>昨年実績</t>
        </is>
      </c>
      <c r="J484" s="364">
        <f>IF($G484="","",IF($H484=1,$G484-ROUND($G484*10/23,0)-2*ROUND($G484/23,0),IF($H484=2,$G484,0)))</f>
        <v>12738</v>
      </c>
      <c r="K484" s="364">
        <f>IF($G484="","",IF($H484=1,ROUND($G484*10/23,0),IF($H484=3,$G484-2*ROUND($G484/12,0),IF($H484=4,$G484,IF(OR($H484=5,$H484=7),ROUND($G484*10/11,0),0)))))</f>
        <v>0</v>
      </c>
      <c r="L484" s="364">
        <f>IF($G484="","",IF($H484=1,ROUND($G484/23,0),IF($H484=3,ROUND($G484/12,0),IF($H484=5,$G484-ROUND($G484*10/11,0),IF($H484=8,$G484,0)))))</f>
        <v>0</v>
      </c>
      <c r="M484" s="364">
        <f>IF($G484="","",IF($H484=1,ROUND($G484/23,0),IF($H484=3,ROUND($G484/12,0),IF($H484=6,$G484,IF($H484=7,$G484-ROUND($G484*10/11,0),0)))))</f>
        <v>0</v>
      </c>
      <c r="N484" s="364">
        <f>IF($G484="","",K484+L484+M484)</f>
        <v>0</v>
      </c>
      <c r="O484" s="365" t="str">
        <f>IF($G484="","",IFERROR(VLOOKUP($D484&amp;"|"&amp;$E484,科目表!$A$5:$B$200,2,FALSE),"※未登録"))</f>
        <v>賃借料</v>
      </c>
      <c r="P484" s="359">
        <f>IF(OR($G484="",$C484=""),"",IF($B484="決算整理",13,MOD(MONTH($C484)-4,12)+1))</f>
        <v>9</v>
      </c>
      <c r="Q484" s="366" t="str">
        <f>IF($G484="","",TRIM(IF(J484+K484+L484+M484&lt;&gt;$G484,"按分不一致 ","")&amp;IF(O484="※未登録","科目未登録 ","")&amp;IF(OR($H484="",ISERROR(MATCH($H484,{1,2,3,4,5,6,7,8},0))),"経費区分? ","")&amp;IF($I484="","状態未設定 ","")&amp;IF(AND(OR($I484="確認済",$I484="未確認"),$B484="月例",OR($C484="",$C484&lt;DATE(年度+2018,4,1),$C484&gt;DATE(年度+2019,3,31))),"年度外の日付 ","")&amp;IF(AND(OR($I484="確認済",$I484="未確認"),O484="対象外"),"対象外の科目 ","")))</f>
        <v/>
      </c>
      <c r="R484" s="366" t="inlineStr">
        <is>
          <t>月例!502</t>
        </is>
      </c>
    </row>
    <row r="485">
      <c r="A485" s="359" t="n">
        <v>481</v>
      </c>
      <c r="B485" s="360" t="inlineStr">
        <is>
          <t>月例</t>
        </is>
      </c>
      <c r="C485" s="361" t="n">
        <v>45288</v>
      </c>
      <c r="D485" s="362" t="inlineStr">
        <is>
          <t>委託費</t>
        </is>
      </c>
      <c r="E485" s="362" t="n"/>
      <c r="F485" s="362" t="inlineStr">
        <is>
          <t>統合管理端末保守料（１１月分）</t>
        </is>
      </c>
      <c r="G485" s="363" t="n">
        <v>5390</v>
      </c>
      <c r="H485" s="360" t="n">
        <v>2</v>
      </c>
      <c r="I485" s="360" t="inlineStr">
        <is>
          <t>昨年実績</t>
        </is>
      </c>
      <c r="J485" s="364">
        <f>IF($G485="","",IF($H485=1,$G485-ROUND($G485*10/23,0)-2*ROUND($G485/23,0),IF($H485=2,$G485,0)))</f>
        <v>5390</v>
      </c>
      <c r="K485" s="364">
        <f>IF($G485="","",IF($H485=1,ROUND($G485*10/23,0),IF($H485=3,$G485-2*ROUND($G485/12,0),IF($H485=4,$G485,IF(OR($H485=5,$H485=7),ROUND($G485*10/11,0),0)))))</f>
        <v>0</v>
      </c>
      <c r="L485" s="364">
        <f>IF($G485="","",IF($H485=1,ROUND($G485/23,0),IF($H485=3,ROUND($G485/12,0),IF($H485=5,$G485-ROUND($G485*10/11,0),IF($H485=8,$G485,0)))))</f>
        <v>0</v>
      </c>
      <c r="M485" s="364">
        <f>IF($G485="","",IF($H485=1,ROUND($G485/23,0),IF($H485=3,ROUND($G485/12,0),IF($H485=6,$G485,IF($H485=7,$G485-ROUND($G485*10/11,0),0)))))</f>
        <v>0</v>
      </c>
      <c r="N485" s="364">
        <f>IF($G485="","",K485+L485+M485)</f>
        <v>0</v>
      </c>
      <c r="O485" s="365" t="str">
        <f>IF($G485="","",IFERROR(VLOOKUP($D485&amp;"|"&amp;$E485,科目表!$A$5:$B$200,2,FALSE),"※未登録"))</f>
        <v>委託費</v>
      </c>
      <c r="P485" s="359">
        <f>IF(OR($G485="",$C485=""),"",IF($B485="決算整理",13,MOD(MONTH($C485)-4,12)+1))</f>
        <v>9</v>
      </c>
      <c r="Q485" s="366" t="str">
        <f>IF($G485="","",TRIM(IF(J485+K485+L485+M485&lt;&gt;$G485,"按分不一致 ","")&amp;IF(O485="※未登録","科目未登録 ","")&amp;IF(OR($H485="",ISERROR(MATCH($H485,{1,2,3,4,5,6,7,8},0))),"経費区分? ","")&amp;IF($I485="","状態未設定 ","")&amp;IF(AND(OR($I485="確認済",$I485="未確認"),$B485="月例",OR($C485="",$C485&lt;DATE(年度+2018,4,1),$C485&gt;DATE(年度+2019,3,31))),"年度外の日付 ","")&amp;IF(AND(OR($I485="確認済",$I485="未確認"),O485="対象外"),"対象外の科目 ","")))</f>
        <v/>
      </c>
      <c r="R485" s="366" t="inlineStr">
        <is>
          <t>月例!503</t>
        </is>
      </c>
    </row>
    <row r="486">
      <c r="A486" s="359" t="n">
        <v>482</v>
      </c>
      <c r="B486" s="360" t="inlineStr">
        <is>
          <t>月例</t>
        </is>
      </c>
      <c r="C486" s="361" t="n">
        <v>44193</v>
      </c>
      <c r="D486" s="362" t="inlineStr">
        <is>
          <t>委託費</t>
        </is>
      </c>
      <c r="E486" s="362" t="n"/>
      <c r="F486" s="362" t="inlineStr">
        <is>
          <t>秘密文書回収運搬等業務</t>
        </is>
      </c>
      <c r="G486" s="363" t="n">
        <v>63448</v>
      </c>
      <c r="H486" s="360" t="n">
        <v>2</v>
      </c>
      <c r="I486" s="360" t="inlineStr">
        <is>
          <t>昨年実績</t>
        </is>
      </c>
      <c r="J486" s="364">
        <f>IF($G486="","",IF($H486=1,$G486-ROUND($G486*10/23,0)-2*ROUND($G486/23,0),IF($H486=2,$G486,0)))</f>
        <v>63448</v>
      </c>
      <c r="K486" s="364">
        <f>IF($G486="","",IF($H486=1,ROUND($G486*10/23,0),IF($H486=3,$G486-2*ROUND($G486/12,0),IF($H486=4,$G486,IF(OR($H486=5,$H486=7),ROUND($G486*10/11,0),0)))))</f>
        <v>0</v>
      </c>
      <c r="L486" s="364">
        <f>IF($G486="","",IF($H486=1,ROUND($G486/23,0),IF($H486=3,ROUND($G486/12,0),IF($H486=5,$G486-ROUND($G486*10/11,0),IF($H486=8,$G486,0)))))</f>
        <v>0</v>
      </c>
      <c r="M486" s="364">
        <f>IF($G486="","",IF($H486=1,ROUND($G486/23,0),IF($H486=3,ROUND($G486/12,0),IF($H486=6,$G486,IF($H486=7,$G486-ROUND($G486*10/11,0),0)))))</f>
        <v>0</v>
      </c>
      <c r="N486" s="364">
        <f>IF($G486="","",K486+L486+M486)</f>
        <v>0</v>
      </c>
      <c r="O486" s="365" t="str">
        <f>IF($G486="","",IFERROR(VLOOKUP($D486&amp;"|"&amp;$E486,科目表!$A$5:$B$200,2,FALSE),"※未登録"))</f>
        <v>委託費</v>
      </c>
      <c r="P486" s="359">
        <f>IF(OR($G486="",$C486=""),"",IF($B486="決算整理",13,MOD(MONTH($C486)-4,12)+1))</f>
        <v>9</v>
      </c>
      <c r="Q486" s="366" t="str">
        <f>IF($G486="","",TRIM(IF(J486+K486+L486+M486&lt;&gt;$G486,"按分不一致 ","")&amp;IF(O486="※未登録","科目未登録 ","")&amp;IF(OR($H486="",ISERROR(MATCH($H486,{1,2,3,4,5,6,7,8},0))),"経費区分? ","")&amp;IF($I486="","状態未設定 ","")&amp;IF(AND(OR($I486="確認済",$I486="未確認"),$B486="月例",OR($C486="",$C486&lt;DATE(年度+2018,4,1),$C486&gt;DATE(年度+2019,3,31))),"年度外の日付 ","")&amp;IF(AND(OR($I486="確認済",$I486="未確認"),O486="対象外"),"対象外の科目 ","")))</f>
        <v/>
      </c>
      <c r="R486" s="366" t="inlineStr">
        <is>
          <t>月例!504</t>
        </is>
      </c>
    </row>
    <row r="487">
      <c r="A487" s="359" t="n">
        <v>483</v>
      </c>
      <c r="B487" s="360" t="inlineStr">
        <is>
          <t>月例</t>
        </is>
      </c>
      <c r="C487" s="361" t="n">
        <v>45288</v>
      </c>
      <c r="D487" s="362" t="inlineStr">
        <is>
          <t>事務費</t>
        </is>
      </c>
      <c r="E487" s="362" t="inlineStr">
        <is>
          <t>通信運搬費</t>
        </is>
      </c>
      <c r="F487" s="362" t="inlineStr">
        <is>
          <t>柔整申請書送付（１１月分）</t>
        </is>
      </c>
      <c r="G487" s="363" t="n">
        <v>1489</v>
      </c>
      <c r="H487" s="360" t="n">
        <v>2</v>
      </c>
      <c r="I487" s="360" t="inlineStr">
        <is>
          <t>昨年実績</t>
        </is>
      </c>
      <c r="J487" s="364">
        <f>IF($G487="","",IF($H487=1,$G487-ROUND($G487*10/23,0)-2*ROUND($G487/23,0),IF($H487=2,$G487,0)))</f>
        <v>1489</v>
      </c>
      <c r="K487" s="364">
        <f>IF($G487="","",IF($H487=1,ROUND($G487*10/23,0),IF($H487=3,$G487-2*ROUND($G487/12,0),IF($H487=4,$G487,IF(OR($H487=5,$H487=7),ROUND($G487*10/11,0),0)))))</f>
        <v>0</v>
      </c>
      <c r="L487" s="364">
        <f>IF($G487="","",IF($H487=1,ROUND($G487/23,0),IF($H487=3,ROUND($G487/12,0),IF($H487=5,$G487-ROUND($G487*10/11,0),IF($H487=8,$G487,0)))))</f>
        <v>0</v>
      </c>
      <c r="M487" s="364">
        <f>IF($G487="","",IF($H487=1,ROUND($G487/23,0),IF($H487=3,ROUND($G487/12,0),IF($H487=6,$G487,IF($H487=7,$G487-ROUND($G487*10/11,0),0)))))</f>
        <v>0</v>
      </c>
      <c r="N487" s="364">
        <f>IF($G487="","",K487+L487+M487)</f>
        <v>0</v>
      </c>
      <c r="O487" s="365" t="str">
        <f>IF($G487="","",IFERROR(VLOOKUP($D487&amp;"|"&amp;$E487,科目表!$A$5:$B$200,2,FALSE),"※未登録"))</f>
        <v>通信運搬費</v>
      </c>
      <c r="P487" s="359">
        <f>IF(OR($G487="",$C487=""),"",IF($B487="決算整理",13,MOD(MONTH($C487)-4,12)+1))</f>
        <v>9</v>
      </c>
      <c r="Q487" s="366" t="str">
        <f>IF($G487="","",TRIM(IF(J487+K487+L487+M487&lt;&gt;$G487,"按分不一致 ","")&amp;IF(O487="※未登録","科目未登録 ","")&amp;IF(OR($H487="",ISERROR(MATCH($H487,{1,2,3,4,5,6,7,8},0))),"経費区分? ","")&amp;IF($I487="","状態未設定 ","")&amp;IF(AND(OR($I487="確認済",$I487="未確認"),$B487="月例",OR($C487="",$C487&lt;DATE(年度+2018,4,1),$C487&gt;DATE(年度+2019,3,31))),"年度外の日付 ","")&amp;IF(AND(OR($I487="確認済",$I487="未確認"),O487="対象外"),"対象外の科目 ","")))</f>
        <v/>
      </c>
      <c r="R487" s="366" t="inlineStr">
        <is>
          <t>月例!505</t>
        </is>
      </c>
    </row>
    <row r="488">
      <c r="A488" s="359" t="n">
        <v>484</v>
      </c>
      <c r="B488" s="360" t="inlineStr">
        <is>
          <t>月例</t>
        </is>
      </c>
      <c r="C488" s="361" t="n">
        <v>46017</v>
      </c>
      <c r="D488" s="362" t="inlineStr">
        <is>
          <t>事務費</t>
        </is>
      </c>
      <c r="E488" s="362" t="inlineStr">
        <is>
          <t>通信運搬費</t>
        </is>
      </c>
      <c r="F488" s="362" t="inlineStr">
        <is>
          <t>料金後納利用料（１１月分）</t>
        </is>
      </c>
      <c r="G488" s="363" t="n">
        <v>38815</v>
      </c>
      <c r="H488" s="360" t="n">
        <v>3</v>
      </c>
      <c r="I488" s="360" t="inlineStr">
        <is>
          <t>昨年実績</t>
        </is>
      </c>
      <c r="J488" s="364">
        <f>IF($G488="","",IF($H488=1,$G488-ROUND($G488*10/23,0)-2*ROUND($G488/23,0),IF($H488=2,$G488,0)))</f>
        <v>0</v>
      </c>
      <c r="K488" s="364">
        <f>IF($G488="","",IF($H488=1,ROUND($G488*10/23,0),IF($H488=3,$G488-2*ROUND($G488/12,0),IF($H488=4,$G488,IF(OR($H488=5,$H488=7),ROUND($G488*10/11,0),0)))))</f>
        <v>32345</v>
      </c>
      <c r="L488" s="364">
        <f>IF($G488="","",IF($H488=1,ROUND($G488/23,0),IF($H488=3,ROUND($G488/12,0),IF($H488=5,$G488-ROUND($G488*10/11,0),IF($H488=8,$G488,0)))))</f>
        <v>3235</v>
      </c>
      <c r="M488" s="364">
        <f>IF($G488="","",IF($H488=1,ROUND($G488/23,0),IF($H488=3,ROUND($G488/12,0),IF($H488=6,$G488,IF($H488=7,$G488-ROUND($G488*10/11,0),0)))))</f>
        <v>3235</v>
      </c>
      <c r="N488" s="364">
        <f>IF($G488="","",K488+L488+M488)</f>
        <v>38815</v>
      </c>
      <c r="O488" s="365" t="str">
        <f>IF($G488="","",IFERROR(VLOOKUP($D488&amp;"|"&amp;$E488,科目表!$A$5:$B$200,2,FALSE),"※未登録"))</f>
        <v>通信運搬費</v>
      </c>
      <c r="P488" s="359">
        <f>IF(OR($G488="",$C488=""),"",IF($B488="決算整理",13,MOD(MONTH($C488)-4,12)+1))</f>
        <v>9</v>
      </c>
      <c r="Q488" s="366" t="str">
        <f>IF($G488="","",TRIM(IF(J488+K488+L488+M488&lt;&gt;$G488,"按分不一致 ","")&amp;IF(O488="※未登録","科目未登録 ","")&amp;IF(OR($H488="",ISERROR(MATCH($H488,{1,2,3,4,5,6,7,8},0))),"経費区分? ","")&amp;IF($I488="","状態未設定 ","")&amp;IF(AND(OR($I488="確認済",$I488="未確認"),$B488="月例",OR($C488="",$C488&lt;DATE(年度+2018,4,1),$C488&gt;DATE(年度+2019,3,31))),"年度外の日付 ","")&amp;IF(AND(OR($I488="確認済",$I488="未確認"),O488="対象外"),"対象外の科目 ","")))</f>
        <v/>
      </c>
      <c r="R488" s="366" t="inlineStr">
        <is>
          <t>月例!506</t>
        </is>
      </c>
    </row>
    <row r="489">
      <c r="A489" s="359" t="n">
        <v>485</v>
      </c>
      <c r="B489" s="360" t="inlineStr">
        <is>
          <t>月例</t>
        </is>
      </c>
      <c r="C489" s="361" t="n">
        <v>46017</v>
      </c>
      <c r="D489" s="362" t="inlineStr">
        <is>
          <t>事務費</t>
        </is>
      </c>
      <c r="E489" s="362" t="inlineStr">
        <is>
          <t>通信運搬費</t>
        </is>
      </c>
      <c r="F489" s="362" t="inlineStr">
        <is>
          <t>料金後納利用料（１１月分）</t>
        </is>
      </c>
      <c r="G489" s="363" t="n">
        <v>34670</v>
      </c>
      <c r="H489" s="360" t="n">
        <v>2</v>
      </c>
      <c r="I489" s="360" t="inlineStr">
        <is>
          <t>昨年実績</t>
        </is>
      </c>
      <c r="J489" s="364">
        <f>IF($G489="","",IF($H489=1,$G489-ROUND($G489*10/23,0)-2*ROUND($G489/23,0),IF($H489=2,$G489,0)))</f>
        <v>34670</v>
      </c>
      <c r="K489" s="364">
        <f>IF($G489="","",IF($H489=1,ROUND($G489*10/23,0),IF($H489=3,$G489-2*ROUND($G489/12,0),IF($H489=4,$G489,IF(OR($H489=5,$H489=7),ROUND($G489*10/11,0),0)))))</f>
        <v>0</v>
      </c>
      <c r="L489" s="364">
        <f>IF($G489="","",IF($H489=1,ROUND($G489/23,0),IF($H489=3,ROUND($G489/12,0),IF($H489=5,$G489-ROUND($G489*10/11,0),IF($H489=8,$G489,0)))))</f>
        <v>0</v>
      </c>
      <c r="M489" s="364">
        <f>IF($G489="","",IF($H489=1,ROUND($G489/23,0),IF($H489=3,ROUND($G489/12,0),IF($H489=6,$G489,IF($H489=7,$G489-ROUND($G489*10/11,0),0)))))</f>
        <v>0</v>
      </c>
      <c r="N489" s="364">
        <f>IF($G489="","",K489+L489+M489)</f>
        <v>0</v>
      </c>
      <c r="O489" s="365" t="str">
        <f>IF($G489="","",IFERROR(VLOOKUP($D489&amp;"|"&amp;$E489,科目表!$A$5:$B$200,2,FALSE),"※未登録"))</f>
        <v>通信運搬費</v>
      </c>
      <c r="P489" s="359">
        <f>IF(OR($G489="",$C489=""),"",IF($B489="決算整理",13,MOD(MONTH($C489)-4,12)+1))</f>
        <v>9</v>
      </c>
      <c r="Q489" s="366" t="str">
        <f>IF($G489="","",TRIM(IF(J489+K489+L489+M489&lt;&gt;$G489,"按分不一致 ","")&amp;IF(O489="※未登録","科目未登録 ","")&amp;IF(OR($H489="",ISERROR(MATCH($H489,{1,2,3,4,5,6,7,8},0))),"経費区分? ","")&amp;IF($I489="","状態未設定 ","")&amp;IF(AND(OR($I489="確認済",$I489="未確認"),$B489="月例",OR($C489="",$C489&lt;DATE(年度+2018,4,1),$C489&gt;DATE(年度+2019,3,31))),"年度外の日付 ","")&amp;IF(AND(OR($I489="確認済",$I489="未確認"),O489="対象外"),"対象外の科目 ","")))</f>
        <v/>
      </c>
      <c r="R489" s="366" t="inlineStr">
        <is>
          <t>月例!507</t>
        </is>
      </c>
    </row>
    <row r="490">
      <c r="A490" s="359" t="n">
        <v>486</v>
      </c>
      <c r="B490" s="360" t="inlineStr">
        <is>
          <t>月例</t>
        </is>
      </c>
      <c r="C490" s="361" t="n">
        <v>46017</v>
      </c>
      <c r="D490" s="362" t="inlineStr">
        <is>
          <t>事務費</t>
        </is>
      </c>
      <c r="E490" s="362" t="inlineStr">
        <is>
          <t>図書印刷費</t>
        </is>
      </c>
      <c r="F490" s="362" t="inlineStr">
        <is>
          <t>広報誌等配布用窓付封筒　１２，２００枚</t>
        </is>
      </c>
      <c r="G490" s="363" t="n">
        <v>37039</v>
      </c>
      <c r="H490" s="360" t="n">
        <v>3</v>
      </c>
      <c r="I490" s="360" t="inlineStr">
        <is>
          <t>昨年実績</t>
        </is>
      </c>
      <c r="J490" s="364">
        <f>IF($G490="","",IF($H490=1,$G490-ROUND($G490*10/23,0)-2*ROUND($G490/23,0),IF($H490=2,$G490,0)))</f>
        <v>0</v>
      </c>
      <c r="K490" s="364">
        <f>IF($G490="","",IF($H490=1,ROUND($G490*10/23,0),IF($H490=3,$G490-2*ROUND($G490/12,0),IF($H490=4,$G490,IF(OR($H490=5,$H490=7),ROUND($G490*10/11,0),0)))))</f>
        <v>30865</v>
      </c>
      <c r="L490" s="364">
        <f>IF($G490="","",IF($H490=1,ROUND($G490/23,0),IF($H490=3,ROUND($G490/12,0),IF($H490=5,$G490-ROUND($G490*10/11,0),IF($H490=8,$G490,0)))))</f>
        <v>3087</v>
      </c>
      <c r="M490" s="364">
        <f>IF($G490="","",IF($H490=1,ROUND($G490/23,0),IF($H490=3,ROUND($G490/12,0),IF($H490=6,$G490,IF($H490=7,$G490-ROUND($G490*10/11,0),0)))))</f>
        <v>3087</v>
      </c>
      <c r="N490" s="364">
        <f>IF($G490="","",K490+L490+M490)</f>
        <v>37039</v>
      </c>
      <c r="O490" s="365" t="str">
        <f>IF($G490="","",IFERROR(VLOOKUP($D490&amp;"|"&amp;$E490,科目表!$A$5:$B$200,2,FALSE),"※未登録"))</f>
        <v>図書印刷費</v>
      </c>
      <c r="P490" s="359">
        <f>IF(OR($G490="",$C490=""),"",IF($B490="決算整理",13,MOD(MONTH($C490)-4,12)+1))</f>
        <v>9</v>
      </c>
      <c r="Q490" s="366" t="str">
        <f>IF($G490="","",TRIM(IF(J490+K490+L490+M490&lt;&gt;$G490,"按分不一致 ","")&amp;IF(O490="※未登録","科目未登録 ","")&amp;IF(OR($H490="",ISERROR(MATCH($H490,{1,2,3,4,5,6,7,8},0))),"経費区分? ","")&amp;IF($I490="","状態未設定 ","")&amp;IF(AND(OR($I490="確認済",$I490="未確認"),$B490="月例",OR($C490="",$C490&lt;DATE(年度+2018,4,1),$C490&gt;DATE(年度+2019,3,31))),"年度外の日付 ","")&amp;IF(AND(OR($I490="確認済",$I490="未確認"),O490="対象外"),"対象外の科目 ","")))</f>
        <v/>
      </c>
      <c r="R490" s="366" t="inlineStr">
        <is>
          <t>月例!508</t>
        </is>
      </c>
    </row>
    <row r="491">
      <c r="A491" s="359" t="n">
        <v>487</v>
      </c>
      <c r="B491" s="360" t="inlineStr">
        <is>
          <t>月例</t>
        </is>
      </c>
      <c r="C491" s="361" t="n">
        <v>46017</v>
      </c>
      <c r="D491" s="362" t="inlineStr">
        <is>
          <t>事務費</t>
        </is>
      </c>
      <c r="E491" s="362" t="inlineStr">
        <is>
          <t>図書印刷費</t>
        </is>
      </c>
      <c r="F491" s="362" t="inlineStr">
        <is>
          <t>（保健医療係）短期給付決定通知書　３，０００部</t>
        </is>
      </c>
      <c r="G491" s="363" t="n">
        <v>132000</v>
      </c>
      <c r="H491" s="360" t="n">
        <v>2</v>
      </c>
      <c r="I491" s="360" t="inlineStr">
        <is>
          <t>昨年実績</t>
        </is>
      </c>
      <c r="J491" s="364">
        <f>IF($G491="","",IF($H491=1,$G491-ROUND($G491*10/23,0)-2*ROUND($G491/23,0),IF($H491=2,$G491,0)))</f>
        <v>132000</v>
      </c>
      <c r="K491" s="364">
        <f>IF($G491="","",IF($H491=1,ROUND($G491*10/23,0),IF($H491=3,$G491-2*ROUND($G491/12,0),IF($H491=4,$G491,IF(OR($H491=5,$H491=7),ROUND($G491*10/11,0),0)))))</f>
        <v>0</v>
      </c>
      <c r="L491" s="364">
        <f>IF($G491="","",IF($H491=1,ROUND($G491/23,0),IF($H491=3,ROUND($G491/12,0),IF($H491=5,$G491-ROUND($G491*10/11,0),IF($H491=8,$G491,0)))))</f>
        <v>0</v>
      </c>
      <c r="M491" s="364">
        <f>IF($G491="","",IF($H491=1,ROUND($G491/23,0),IF($H491=3,ROUND($G491/12,0),IF($H491=6,$G491,IF($H491=7,$G491-ROUND($G491*10/11,0),0)))))</f>
        <v>0</v>
      </c>
      <c r="N491" s="364">
        <f>IF($G491="","",K491+L491+M491)</f>
        <v>0</v>
      </c>
      <c r="O491" s="365" t="str">
        <f>IF($G491="","",IFERROR(VLOOKUP($D491&amp;"|"&amp;$E491,科目表!$A$5:$B$200,2,FALSE),"※未登録"))</f>
        <v>図書印刷費</v>
      </c>
      <c r="P491" s="359">
        <f>IF(OR($G491="",$C491=""),"",IF($B491="決算整理",13,MOD(MONTH($C491)-4,12)+1))</f>
        <v>9</v>
      </c>
      <c r="Q491" s="366" t="str">
        <f>IF($G491="","",TRIM(IF(J491+K491+L491+M491&lt;&gt;$G491,"按分不一致 ","")&amp;IF(O491="※未登録","科目未登録 ","")&amp;IF(OR($H491="",ISERROR(MATCH($H491,{1,2,3,4,5,6,7,8},0))),"経費区分? ","")&amp;IF($I491="","状態未設定 ","")&amp;IF(AND(OR($I491="確認済",$I491="未確認"),$B491="月例",OR($C491="",$C491&lt;DATE(年度+2018,4,1),$C491&gt;DATE(年度+2019,3,31))),"年度外の日付 ","")&amp;IF(AND(OR($I491="確認済",$I491="未確認"),O491="対象外"),"対象外の科目 ","")))</f>
        <v/>
      </c>
      <c r="R491" s="366" t="inlineStr">
        <is>
          <t>月例!509</t>
        </is>
      </c>
    </row>
    <row r="492">
      <c r="A492" s="359" t="n">
        <v>488</v>
      </c>
      <c r="B492" s="360" t="inlineStr">
        <is>
          <t>月例</t>
        </is>
      </c>
      <c r="C492" s="361" t="n">
        <v>45653</v>
      </c>
      <c r="D492" s="362" t="inlineStr">
        <is>
          <t>委託費</t>
        </is>
      </c>
      <c r="E492" s="362" t="n"/>
      <c r="F492" s="362" t="inlineStr">
        <is>
          <t>柔整等療養費支給申請書の入力（１１月分）</t>
        </is>
      </c>
      <c r="G492" s="363" t="n">
        <v>153308</v>
      </c>
      <c r="H492" s="360" t="n">
        <v>2</v>
      </c>
      <c r="I492" s="360" t="inlineStr">
        <is>
          <t>昨年実績</t>
        </is>
      </c>
      <c r="J492" s="364">
        <f>IF($G492="","",IF($H492=1,$G492-ROUND($G492*10/23,0)-2*ROUND($G492/23,0),IF($H492=2,$G492,0)))</f>
        <v>153308</v>
      </c>
      <c r="K492" s="364">
        <f>IF($G492="","",IF($H492=1,ROUND($G492*10/23,0),IF($H492=3,$G492-2*ROUND($G492/12,0),IF($H492=4,$G492,IF(OR($H492=5,$H492=7),ROUND($G492*10/11,0),0)))))</f>
        <v>0</v>
      </c>
      <c r="L492" s="364">
        <f>IF($G492="","",IF($H492=1,ROUND($G492/23,0),IF($H492=3,ROUND($G492/12,0),IF($H492=5,$G492-ROUND($G492*10/11,0),IF($H492=8,$G492,0)))))</f>
        <v>0</v>
      </c>
      <c r="M492" s="364">
        <f>IF($G492="","",IF($H492=1,ROUND($G492/23,0),IF($H492=3,ROUND($G492/12,0),IF($H492=6,$G492,IF($H492=7,$G492-ROUND($G492*10/11,0),0)))))</f>
        <v>0</v>
      </c>
      <c r="N492" s="364">
        <f>IF($G492="","",K492+L492+M492)</f>
        <v>0</v>
      </c>
      <c r="O492" s="365" t="str">
        <f>IF($G492="","",IFERROR(VLOOKUP($D492&amp;"|"&amp;$E492,科目表!$A$5:$B$200,2,FALSE),"※未登録"))</f>
        <v>委託費</v>
      </c>
      <c r="P492" s="359">
        <f>IF(OR($G492="",$C492=""),"",IF($B492="決算整理",13,MOD(MONTH($C492)-4,12)+1))</f>
        <v>9</v>
      </c>
      <c r="Q492" s="366" t="str">
        <f>IF($G492="","",TRIM(IF(J492+K492+L492+M492&lt;&gt;$G492,"按分不一致 ","")&amp;IF(O492="※未登録","科目未登録 ","")&amp;IF(OR($H492="",ISERROR(MATCH($H492,{1,2,3,4,5,6,7,8},0))),"経費区分? ","")&amp;IF($I492="","状態未設定 ","")&amp;IF(AND(OR($I492="確認済",$I492="未確認"),$B492="月例",OR($C492="",$C492&lt;DATE(年度+2018,4,1),$C492&gt;DATE(年度+2019,3,31))),"年度外の日付 ","")&amp;IF(AND(OR($I492="確認済",$I492="未確認"),O492="対象外"),"対象外の科目 ","")))</f>
        <v/>
      </c>
      <c r="R492" s="366" t="inlineStr">
        <is>
          <t>月例!510</t>
        </is>
      </c>
    </row>
    <row r="493">
      <c r="A493" s="359" t="n">
        <v>489</v>
      </c>
      <c r="B493" s="360" t="inlineStr">
        <is>
          <t>月例</t>
        </is>
      </c>
      <c r="C493" s="361" t="n">
        <v>46027</v>
      </c>
      <c r="D493" s="362" t="inlineStr">
        <is>
          <t>負担金</t>
        </is>
      </c>
      <c r="E493" s="362" t="inlineStr">
        <is>
          <t>厚年負担金等</t>
        </is>
      </c>
      <c r="F493" s="362" t="inlineStr">
        <is>
          <t>１１月月例分（短期分）子ども子育て拠出金を含む</t>
        </is>
      </c>
      <c r="G493" s="363" t="n">
        <v>59913</v>
      </c>
      <c r="H493" s="360" t="n">
        <v>2</v>
      </c>
      <c r="I493" s="360" t="inlineStr">
        <is>
          <t>昨年実績</t>
        </is>
      </c>
      <c r="J493" s="364">
        <f>IF($G493="","",IF($H493=1,$G493-ROUND($G493*10/23,0)-2*ROUND($G493/23,0),IF($H493=2,$G493,0)))</f>
        <v>59913</v>
      </c>
      <c r="K493" s="364">
        <f>IF($G493="","",IF($H493=1,ROUND($G493*10/23,0),IF($H493=3,$G493-2*ROUND($G493/12,0),IF($H493=4,$G493,IF(OR($H493=5,$H493=7),ROUND($G493*10/11,0),0)))))</f>
        <v>0</v>
      </c>
      <c r="L493" s="364">
        <f>IF($G493="","",IF($H493=1,ROUND($G493/23,0),IF($H493=3,ROUND($G493/12,0),IF($H493=5,$G493-ROUND($G493*10/11,0),IF($H493=8,$G493,0)))))</f>
        <v>0</v>
      </c>
      <c r="M493" s="364">
        <f>IF($G493="","",IF($H493=1,ROUND($G493/23,0),IF($H493=3,ROUND($G493/12,0),IF($H493=6,$G493,IF($H493=7,$G493-ROUND($G493*10/11,0),0)))))</f>
        <v>0</v>
      </c>
      <c r="N493" s="364">
        <f>IF($G493="","",K493+L493+M493)</f>
        <v>0</v>
      </c>
      <c r="O493" s="365" t="str">
        <f>IF($G493="","",IFERROR(VLOOKUP($D493&amp;"|"&amp;$E493,科目表!$A$5:$B$200,2,FALSE),"※未登録"))</f>
        <v>厚年負担金等</v>
      </c>
      <c r="P493" s="359">
        <f>IF(OR($G493="",$C493=""),"",IF($B493="決算整理",13,MOD(MONTH($C493)-4,12)+1))</f>
        <v>10</v>
      </c>
      <c r="Q493" s="366" t="str">
        <f>IF($G493="","",TRIM(IF(J493+K493+L493+M493&lt;&gt;$G493,"按分不一致 ","")&amp;IF(O493="※未登録","科目未登録 ","")&amp;IF(OR($H493="",ISERROR(MATCH($H493,{1,2,3,4,5,6,7,8},0))),"経費区分? ","")&amp;IF($I493="","状態未設定 ","")&amp;IF(AND(OR($I493="確認済",$I493="未確認"),$B493="月例",OR($C493="",$C493&lt;DATE(年度+2018,4,1),$C493&gt;DATE(年度+2019,3,31))),"年度外の日付 ","")&amp;IF(AND(OR($I493="確認済",$I493="未確認"),O493="対象外"),"対象外の科目 ","")))</f>
        <v/>
      </c>
      <c r="R493" s="366" t="inlineStr">
        <is>
          <t>月例!511</t>
        </is>
      </c>
    </row>
    <row r="494">
      <c r="A494" s="359" t="n">
        <v>490</v>
      </c>
      <c r="B494" s="360" t="inlineStr">
        <is>
          <t>月例</t>
        </is>
      </c>
      <c r="C494" s="361" t="n">
        <v>46027</v>
      </c>
      <c r="D494" s="362" t="inlineStr">
        <is>
          <t>負担金</t>
        </is>
      </c>
      <c r="E494" s="362" t="inlineStr">
        <is>
          <t>厚年負担金等</t>
        </is>
      </c>
      <c r="F494" s="362" t="inlineStr">
        <is>
          <t>１１月月例分（長期分）子ども子育て拠出金を含む</t>
        </is>
      </c>
      <c r="G494" s="363" t="n">
        <v>37089</v>
      </c>
      <c r="H494" s="360" t="n">
        <v>3</v>
      </c>
      <c r="I494" s="360" t="inlineStr">
        <is>
          <t>昨年実績</t>
        </is>
      </c>
      <c r="J494" s="364">
        <f>IF($G494="","",IF($H494=1,$G494-ROUND($G494*10/23,0)-2*ROUND($G494/23,0),IF($H494=2,$G494,0)))</f>
        <v>0</v>
      </c>
      <c r="K494" s="364">
        <f>IF($G494="","",IF($H494=1,ROUND($G494*10/23,0),IF($H494=3,$G494-2*ROUND($G494/12,0),IF($H494=4,$G494,IF(OR($H494=5,$H494=7),ROUND($G494*10/11,0),0)))))</f>
        <v>30907</v>
      </c>
      <c r="L494" s="364">
        <f>IF($G494="","",IF($H494=1,ROUND($G494/23,0),IF($H494=3,ROUND($G494/12,0),IF($H494=5,$G494-ROUND($G494*10/11,0),IF($H494=8,$G494,0)))))</f>
        <v>3091</v>
      </c>
      <c r="M494" s="364">
        <f>IF($G494="","",IF($H494=1,ROUND($G494/23,0),IF($H494=3,ROUND($G494/12,0),IF($H494=6,$G494,IF($H494=7,$G494-ROUND($G494*10/11,0),0)))))</f>
        <v>3091</v>
      </c>
      <c r="N494" s="364">
        <f>IF($G494="","",K494+L494+M494)</f>
        <v>37089</v>
      </c>
      <c r="O494" s="365" t="str">
        <f>IF($G494="","",IFERROR(VLOOKUP($D494&amp;"|"&amp;$E494,科目表!$A$5:$B$200,2,FALSE),"※未登録"))</f>
        <v>厚年負担金等</v>
      </c>
      <c r="P494" s="359">
        <f>IF(OR($G494="",$C494=""),"",IF($B494="決算整理",13,MOD(MONTH($C494)-4,12)+1))</f>
        <v>10</v>
      </c>
      <c r="Q494" s="366" t="str">
        <f>IF($G494="","",TRIM(IF(J494+K494+L494+M494&lt;&gt;$G494,"按分不一致 ","")&amp;IF(O494="※未登録","科目未登録 ","")&amp;IF(OR($H494="",ISERROR(MATCH($H494,{1,2,3,4,5,6,7,8},0))),"経費区分? ","")&amp;IF($I494="","状態未設定 ","")&amp;IF(AND(OR($I494="確認済",$I494="未確認"),$B494="月例",OR($C494="",$C494&lt;DATE(年度+2018,4,1),$C494&gt;DATE(年度+2019,3,31))),"年度外の日付 ","")&amp;IF(AND(OR($I494="確認済",$I494="未確認"),O494="対象外"),"対象外の科目 ","")))</f>
        <v/>
      </c>
      <c r="R494" s="366" t="inlineStr">
        <is>
          <t>月例!512</t>
        </is>
      </c>
    </row>
    <row r="495">
      <c r="A495" s="359" t="n">
        <v>491</v>
      </c>
      <c r="B495" s="360" t="inlineStr">
        <is>
          <t>月例</t>
        </is>
      </c>
      <c r="C495" s="361" t="n">
        <v>46027</v>
      </c>
      <c r="D495" s="362" t="inlineStr">
        <is>
          <t>事務費</t>
        </is>
      </c>
      <c r="E495" s="362" t="inlineStr">
        <is>
          <t>通信運搬費</t>
        </is>
      </c>
      <c r="F495" s="362" t="inlineStr">
        <is>
          <t>フレッツ光ネクスト利用料等（11月利用・12月請求分）</t>
        </is>
      </c>
      <c r="G495" s="363" t="n">
        <v>13090</v>
      </c>
      <c r="H495" s="360" t="n">
        <v>2</v>
      </c>
      <c r="I495" s="360" t="inlineStr">
        <is>
          <t>昨年実績</t>
        </is>
      </c>
      <c r="J495" s="364">
        <f>IF($G495="","",IF($H495=1,$G495-ROUND($G495*10/23,0)-2*ROUND($G495/23,0),IF($H495=2,$G495,0)))</f>
        <v>13090</v>
      </c>
      <c r="K495" s="364">
        <f>IF($G495="","",IF($H495=1,ROUND($G495*10/23,0),IF($H495=3,$G495-2*ROUND($G495/12,0),IF($H495=4,$G495,IF(OR($H495=5,$H495=7),ROUND($G495*10/11,0),0)))))</f>
        <v>0</v>
      </c>
      <c r="L495" s="364">
        <f>IF($G495="","",IF($H495=1,ROUND($G495/23,0),IF($H495=3,ROUND($G495/12,0),IF($H495=5,$G495-ROUND($G495*10/11,0),IF($H495=8,$G495,0)))))</f>
        <v>0</v>
      </c>
      <c r="M495" s="364">
        <f>IF($G495="","",IF($H495=1,ROUND($G495/23,0),IF($H495=3,ROUND($G495/12,0),IF($H495=6,$G495,IF($H495=7,$G495-ROUND($G495*10/11,0),0)))))</f>
        <v>0</v>
      </c>
      <c r="N495" s="364">
        <f>IF($G495="","",K495+L495+M495)</f>
        <v>0</v>
      </c>
      <c r="O495" s="365" t="str">
        <f>IF($G495="","",IFERROR(VLOOKUP($D495&amp;"|"&amp;$E495,科目表!$A$5:$B$200,2,FALSE),"※未登録"))</f>
        <v>通信運搬費</v>
      </c>
      <c r="P495" s="359">
        <f>IF(OR($G495="",$C495=""),"",IF($B495="決算整理",13,MOD(MONTH($C495)-4,12)+1))</f>
        <v>10</v>
      </c>
      <c r="Q495" s="366" t="str">
        <f>IF($G495="","",TRIM(IF(J495+K495+L495+M495&lt;&gt;$G495,"按分不一致 ","")&amp;IF(O495="※未登録","科目未登録 ","")&amp;IF(OR($H495="",ISERROR(MATCH($H495,{1,2,3,4,5,6,7,8},0))),"経費区分? ","")&amp;IF($I495="","状態未設定 ","")&amp;IF(AND(OR($I495="確認済",$I495="未確認"),$B495="月例",OR($C495="",$C495&lt;DATE(年度+2018,4,1),$C495&gt;DATE(年度+2019,3,31))),"年度外の日付 ","")&amp;IF(AND(OR($I495="確認済",$I495="未確認"),O495="対象外"),"対象外の科目 ","")))</f>
        <v/>
      </c>
      <c r="R495" s="366" t="inlineStr">
        <is>
          <t>月例!516</t>
        </is>
      </c>
    </row>
    <row r="496">
      <c r="A496" s="359" t="n">
        <v>492</v>
      </c>
      <c r="B496" s="360" t="inlineStr">
        <is>
          <t>月例</t>
        </is>
      </c>
      <c r="C496" s="361" t="n">
        <v>46035</v>
      </c>
      <c r="D496" s="362" t="inlineStr">
        <is>
          <t>事務費</t>
        </is>
      </c>
      <c r="E496" s="362" t="inlineStr">
        <is>
          <t>送金料</t>
        </is>
      </c>
      <c r="F496" s="362" t="inlineStr">
        <is>
          <t>振込手数料（広銀）１２月分　長期分</t>
        </is>
      </c>
      <c r="G496" s="363" t="n">
        <v>16224</v>
      </c>
      <c r="H496" s="360" t="n">
        <v>3</v>
      </c>
      <c r="I496" s="360" t="inlineStr">
        <is>
          <t>昨年実績</t>
        </is>
      </c>
      <c r="J496" s="364">
        <f>IF($G496="","",IF($H496=1,$G496-ROUND($G496*10/23,0)-2*ROUND($G496/23,0),IF($H496=2,$G496,0)))</f>
        <v>0</v>
      </c>
      <c r="K496" s="364">
        <f>IF($G496="","",IF($H496=1,ROUND($G496*10/23,0),IF($H496=3,$G496-2*ROUND($G496/12,0),IF($H496=4,$G496,IF(OR($H496=5,$H496=7),ROUND($G496*10/11,0),0)))))</f>
        <v>13520</v>
      </c>
      <c r="L496" s="364">
        <f>IF($G496="","",IF($H496=1,ROUND($G496/23,0),IF($H496=3,ROUND($G496/12,0),IF($H496=5,$G496-ROUND($G496*10/11,0),IF($H496=8,$G496,0)))))</f>
        <v>1352</v>
      </c>
      <c r="M496" s="364">
        <f>IF($G496="","",IF($H496=1,ROUND($G496/23,0),IF($H496=3,ROUND($G496/12,0),IF($H496=6,$G496,IF($H496=7,$G496-ROUND($G496*10/11,0),0)))))</f>
        <v>1352</v>
      </c>
      <c r="N496" s="364">
        <f>IF($G496="","",K496+L496+M496)</f>
        <v>16224</v>
      </c>
      <c r="O496" s="365" t="str">
        <f>IF($G496="","",IFERROR(VLOOKUP($D496&amp;"|"&amp;$E496,科目表!$A$5:$B$200,2,FALSE),"※未登録"))</f>
        <v>送金料</v>
      </c>
      <c r="P496" s="359">
        <f>IF(OR($G496="",$C496=""),"",IF($B496="決算整理",13,MOD(MONTH($C496)-4,12)+1))</f>
        <v>10</v>
      </c>
      <c r="Q496" s="366" t="str">
        <f>IF($G496="","",TRIM(IF(J496+K496+L496+M496&lt;&gt;$G496,"按分不一致 ","")&amp;IF(O496="※未登録","科目未登録 ","")&amp;IF(OR($H496="",ISERROR(MATCH($H496,{1,2,3,4,5,6,7,8},0))),"経費区分? ","")&amp;IF($I496="","状態未設定 ","")&amp;IF(AND(OR($I496="確認済",$I496="未確認"),$B496="月例",OR($C496="",$C496&lt;DATE(年度+2018,4,1),$C496&gt;DATE(年度+2019,3,31))),"年度外の日付 ","")&amp;IF(AND(OR($I496="確認済",$I496="未確認"),O496="対象外"),"対象外の科目 ","")))</f>
        <v/>
      </c>
      <c r="R496" s="366" t="inlineStr">
        <is>
          <t>月例!517</t>
        </is>
      </c>
    </row>
    <row r="497">
      <c r="A497" s="359" t="n">
        <v>493</v>
      </c>
      <c r="B497" s="360" t="inlineStr">
        <is>
          <t>月例</t>
        </is>
      </c>
      <c r="C497" s="361" t="n">
        <v>46035</v>
      </c>
      <c r="D497" s="362" t="inlineStr">
        <is>
          <t>事務費</t>
        </is>
      </c>
      <c r="E497" s="362" t="inlineStr">
        <is>
          <t>送金料</t>
        </is>
      </c>
      <c r="F497" s="362" t="inlineStr">
        <is>
          <t>振込手数料（広銀）１２月分　短期分</t>
        </is>
      </c>
      <c r="G497" s="363" t="n">
        <v>145568</v>
      </c>
      <c r="H497" s="360" t="n">
        <v>2</v>
      </c>
      <c r="I497" s="360" t="inlineStr">
        <is>
          <t>昨年実績</t>
        </is>
      </c>
      <c r="J497" s="364">
        <f>IF($G497="","",IF($H497=1,$G497-ROUND($G497*10/23,0)-2*ROUND($G497/23,0),IF($H497=2,$G497,0)))</f>
        <v>145568</v>
      </c>
      <c r="K497" s="364">
        <f>IF($G497="","",IF($H497=1,ROUND($G497*10/23,0),IF($H497=3,$G497-2*ROUND($G497/12,0),IF($H497=4,$G497,IF(OR($H497=5,$H497=7),ROUND($G497*10/11,0),0)))))</f>
        <v>0</v>
      </c>
      <c r="L497" s="364">
        <f>IF($G497="","",IF($H497=1,ROUND($G497/23,0),IF($H497=3,ROUND($G497/12,0),IF($H497=5,$G497-ROUND($G497*10/11,0),IF($H497=8,$G497,0)))))</f>
        <v>0</v>
      </c>
      <c r="M497" s="364">
        <f>IF($G497="","",IF($H497=1,ROUND($G497/23,0),IF($H497=3,ROUND($G497/12,0),IF($H497=6,$G497,IF($H497=7,$G497-ROUND($G497*10/11,0),0)))))</f>
        <v>0</v>
      </c>
      <c r="N497" s="364">
        <f>IF($G497="","",K497+L497+M497)</f>
        <v>0</v>
      </c>
      <c r="O497" s="365" t="str">
        <f>IF($G497="","",IFERROR(VLOOKUP($D497&amp;"|"&amp;$E497,科目表!$A$5:$B$200,2,FALSE),"※未登録"))</f>
        <v>送金料</v>
      </c>
      <c r="P497" s="359">
        <f>IF(OR($G497="",$C497=""),"",IF($B497="決算整理",13,MOD(MONTH($C497)-4,12)+1))</f>
        <v>10</v>
      </c>
      <c r="Q497" s="366" t="str">
        <f>IF($G497="","",TRIM(IF(J497+K497+L497+M497&lt;&gt;$G497,"按分不一致 ","")&amp;IF(O497="※未登録","科目未登録 ","")&amp;IF(OR($H497="",ISERROR(MATCH($H497,{1,2,3,4,5,6,7,8},0))),"経費区分? ","")&amp;IF($I497="","状態未設定 ","")&amp;IF(AND(OR($I497="確認済",$I497="未確認"),$B497="月例",OR($C497="",$C497&lt;DATE(年度+2018,4,1),$C497&gt;DATE(年度+2019,3,31))),"年度外の日付 ","")&amp;IF(AND(OR($I497="確認済",$I497="未確認"),O497="対象外"),"対象外の科目 ","")))</f>
        <v/>
      </c>
      <c r="R497" s="366" t="inlineStr">
        <is>
          <t>月例!518</t>
        </is>
      </c>
    </row>
    <row r="498">
      <c r="A498" s="359" t="n">
        <v>494</v>
      </c>
      <c r="B498" s="360" t="inlineStr">
        <is>
          <t>月例</t>
        </is>
      </c>
      <c r="C498" s="361" t="n">
        <v>45301</v>
      </c>
      <c r="D498" s="362" t="inlineStr">
        <is>
          <t>事務費</t>
        </is>
      </c>
      <c r="E498" s="362" t="inlineStr">
        <is>
          <t>送金料</t>
        </is>
      </c>
      <c r="F498" s="362" t="inlineStr">
        <is>
          <t>ゆうちょ銀行手数料（12月分）短期</t>
        </is>
      </c>
      <c r="G498" s="363" t="n">
        <v>10590</v>
      </c>
      <c r="H498" s="360" t="n">
        <v>2</v>
      </c>
      <c r="I498" s="360" t="inlineStr">
        <is>
          <t>昨年実績</t>
        </is>
      </c>
      <c r="J498" s="364">
        <f>IF($G498="","",IF($H498=1,$G498-ROUND($G498*10/23,0)-2*ROUND($G498/23,0),IF($H498=2,$G498,0)))</f>
        <v>10590</v>
      </c>
      <c r="K498" s="364">
        <f>IF($G498="","",IF($H498=1,ROUND($G498*10/23,0),IF($H498=3,$G498-2*ROUND($G498/12,0),IF($H498=4,$G498,IF(OR($H498=5,$H498=7),ROUND($G498*10/11,0),0)))))</f>
        <v>0</v>
      </c>
      <c r="L498" s="364">
        <f>IF($G498="","",IF($H498=1,ROUND($G498/23,0),IF($H498=3,ROUND($G498/12,0),IF($H498=5,$G498-ROUND($G498*10/11,0),IF($H498=8,$G498,0)))))</f>
        <v>0</v>
      </c>
      <c r="M498" s="364">
        <f>IF($G498="","",IF($H498=1,ROUND($G498/23,0),IF($H498=3,ROUND($G498/12,0),IF($H498=6,$G498,IF($H498=7,$G498-ROUND($G498*10/11,0),0)))))</f>
        <v>0</v>
      </c>
      <c r="N498" s="364">
        <f>IF($G498="","",K498+L498+M498)</f>
        <v>0</v>
      </c>
      <c r="O498" s="365" t="str">
        <f>IF($G498="","",IFERROR(VLOOKUP($D498&amp;"|"&amp;$E498,科目表!$A$5:$B$200,2,FALSE),"※未登録"))</f>
        <v>送金料</v>
      </c>
      <c r="P498" s="359">
        <f>IF(OR($G498="",$C498=""),"",IF($B498="決算整理",13,MOD(MONTH($C498)-4,12)+1))</f>
        <v>10</v>
      </c>
      <c r="Q498" s="366" t="str">
        <f>IF($G498="","",TRIM(IF(J498+K498+L498+M498&lt;&gt;$G498,"按分不一致 ","")&amp;IF(O498="※未登録","科目未登録 ","")&amp;IF(OR($H498="",ISERROR(MATCH($H498,{1,2,3,4,5,6,7,8},0))),"経費区分? ","")&amp;IF($I498="","状態未設定 ","")&amp;IF(AND(OR($I498="確認済",$I498="未確認"),$B498="月例",OR($C498="",$C498&lt;DATE(年度+2018,4,1),$C498&gt;DATE(年度+2019,3,31))),"年度外の日付 ","")&amp;IF(AND(OR($I498="確認済",$I498="未確認"),O498="対象外"),"対象外の科目 ","")))</f>
        <v/>
      </c>
      <c r="R498" s="366" t="inlineStr">
        <is>
          <t>月例!519</t>
        </is>
      </c>
    </row>
    <row r="499">
      <c r="A499" s="359" t="n">
        <v>495</v>
      </c>
      <c r="B499" s="360" t="inlineStr">
        <is>
          <t>月例</t>
        </is>
      </c>
      <c r="C499" s="361" t="n">
        <v>46037</v>
      </c>
      <c r="D499" s="362" t="inlineStr">
        <is>
          <t>事務費</t>
        </is>
      </c>
      <c r="E499" s="362" t="inlineStr">
        <is>
          <t>図書印刷費</t>
        </is>
      </c>
      <c r="F499" s="362" t="inlineStr">
        <is>
          <t>地方公務員共済組合関係法令実例判例集追録1164-1170号</t>
        </is>
      </c>
      <c r="G499" s="363" t="n">
        <v>22050</v>
      </c>
      <c r="H499" s="360" t="n">
        <v>3</v>
      </c>
      <c r="I499" s="360" t="inlineStr">
        <is>
          <t>昨年実績</t>
        </is>
      </c>
      <c r="J499" s="364">
        <f>IF($G499="","",IF($H499=1,$G499-ROUND($G499*10/23,0)-2*ROUND($G499/23,0),IF($H499=2,$G499,0)))</f>
        <v>0</v>
      </c>
      <c r="K499" s="364">
        <f>IF($G499="","",IF($H499=1,ROUND($G499*10/23,0),IF($H499=3,$G499-2*ROUND($G499/12,0),IF($H499=4,$G499,IF(OR($H499=5,$H499=7),ROUND($G499*10/11,0),0)))))</f>
        <v>18374</v>
      </c>
      <c r="L499" s="364">
        <f>IF($G499="","",IF($H499=1,ROUND($G499/23,0),IF($H499=3,ROUND($G499/12,0),IF($H499=5,$G499-ROUND($G499*10/11,0),IF($H499=8,$G499,0)))))</f>
        <v>1838</v>
      </c>
      <c r="M499" s="364">
        <f>IF($G499="","",IF($H499=1,ROUND($G499/23,0),IF($H499=3,ROUND($G499/12,0),IF($H499=6,$G499,IF($H499=7,$G499-ROUND($G499*10/11,0),0)))))</f>
        <v>1838</v>
      </c>
      <c r="N499" s="364">
        <f>IF($G499="","",K499+L499+M499)</f>
        <v>22050</v>
      </c>
      <c r="O499" s="365" t="str">
        <f>IF($G499="","",IFERROR(VLOOKUP($D499&amp;"|"&amp;$E499,科目表!$A$5:$B$200,2,FALSE),"※未登録"))</f>
        <v>図書印刷費</v>
      </c>
      <c r="P499" s="359">
        <f>IF(OR($G499="",$C499=""),"",IF($B499="決算整理",13,MOD(MONTH($C499)-4,12)+1))</f>
        <v>10</v>
      </c>
      <c r="Q499" s="366" t="str">
        <f>IF($G499="","",TRIM(IF(J499+K499+L499+M499&lt;&gt;$G499,"按分不一致 ","")&amp;IF(O499="※未登録","科目未登録 ","")&amp;IF(OR($H499="",ISERROR(MATCH($H499,{1,2,3,4,5,6,7,8},0))),"経費区分? ","")&amp;IF($I499="","状態未設定 ","")&amp;IF(AND(OR($I499="確認済",$I499="未確認"),$B499="月例",OR($C499="",$C499&lt;DATE(年度+2018,4,1),$C499&gt;DATE(年度+2019,3,31))),"年度外の日付 ","")&amp;IF(AND(OR($I499="確認済",$I499="未確認"),O499="対象外"),"対象外の科目 ","")))</f>
        <v/>
      </c>
      <c r="R499" s="366" t="inlineStr">
        <is>
          <t>月例!520</t>
        </is>
      </c>
    </row>
    <row r="500">
      <c r="A500" s="359" t="n">
        <v>496</v>
      </c>
      <c r="B500" s="360" t="inlineStr">
        <is>
          <t>月例</t>
        </is>
      </c>
      <c r="C500" s="361" t="n">
        <v>45653</v>
      </c>
      <c r="D500" s="362" t="inlineStr">
        <is>
          <t>事務費</t>
        </is>
      </c>
      <c r="E500" s="362" t="inlineStr">
        <is>
          <t>図書印刷費</t>
        </is>
      </c>
      <c r="F500" s="362" t="inlineStr">
        <is>
          <t>国家公務員等共済組合関係法令要覧追録504-514号</t>
        </is>
      </c>
      <c r="G500" s="363" t="n">
        <v>44000</v>
      </c>
      <c r="H500" s="360" t="n">
        <v>3</v>
      </c>
      <c r="I500" s="360" t="inlineStr">
        <is>
          <t>昨年実績</t>
        </is>
      </c>
      <c r="J500" s="364">
        <f>IF($G500="","",IF($H500=1,$G500-ROUND($G500*10/23,0)-2*ROUND($G500/23,0),IF($H500=2,$G500,0)))</f>
        <v>0</v>
      </c>
      <c r="K500" s="364">
        <f>IF($G500="","",IF($H500=1,ROUND($G500*10/23,0),IF($H500=3,$G500-2*ROUND($G500/12,0),IF($H500=4,$G500,IF(OR($H500=5,$H500=7),ROUND($G500*10/11,0),0)))))</f>
        <v>36666</v>
      </c>
      <c r="L500" s="364">
        <f>IF($G500="","",IF($H500=1,ROUND($G500/23,0),IF($H500=3,ROUND($G500/12,0),IF($H500=5,$G500-ROUND($G500*10/11,0),IF($H500=8,$G500,0)))))</f>
        <v>3667</v>
      </c>
      <c r="M500" s="364">
        <f>IF($G500="","",IF($H500=1,ROUND($G500/23,0),IF($H500=3,ROUND($G500/12,0),IF($H500=6,$G500,IF($H500=7,$G500-ROUND($G500*10/11,0),0)))))</f>
        <v>3667</v>
      </c>
      <c r="N500" s="364">
        <f>IF($G500="","",K500+L500+M500)</f>
        <v>44000</v>
      </c>
      <c r="O500" s="365" t="str">
        <f>IF($G500="","",IFERROR(VLOOKUP($D500&amp;"|"&amp;$E500,科目表!$A$5:$B$200,2,FALSE),"※未登録"))</f>
        <v>図書印刷費</v>
      </c>
      <c r="P500" s="359">
        <f>IF(OR($G500="",$C500=""),"",IF($B500="決算整理",13,MOD(MONTH($C500)-4,12)+1))</f>
        <v>9</v>
      </c>
      <c r="Q500" s="366" t="str">
        <f>IF($G500="","",TRIM(IF(J500+K500+L500+M500&lt;&gt;$G500,"按分不一致 ","")&amp;IF(O500="※未登録","科目未登録 ","")&amp;IF(OR($H500="",ISERROR(MATCH($H500,{1,2,3,4,5,6,7,8},0))),"経費区分? ","")&amp;IF($I500="","状態未設定 ","")&amp;IF(AND(OR($I500="確認済",$I500="未確認"),$B500="月例",OR($C500="",$C500&lt;DATE(年度+2018,4,1),$C500&gt;DATE(年度+2019,3,31))),"年度外の日付 ","")&amp;IF(AND(OR($I500="確認済",$I500="未確認"),O500="対象外"),"対象外の科目 ","")))</f>
        <v/>
      </c>
      <c r="R500" s="366" t="inlineStr">
        <is>
          <t>月例!521</t>
        </is>
      </c>
    </row>
    <row r="501">
      <c r="A501" s="359" t="n">
        <v>497</v>
      </c>
      <c r="B501" s="360" t="inlineStr">
        <is>
          <t>月例</t>
        </is>
      </c>
      <c r="C501" s="361" t="n">
        <v>45653</v>
      </c>
      <c r="D501" s="362" t="inlineStr">
        <is>
          <t>賃借料</t>
        </is>
      </c>
      <c r="E501" s="362" t="n"/>
      <c r="F501" s="362" t="inlineStr">
        <is>
          <t>基幹システム用機器賃借料　１１月分（長期）</t>
        </is>
      </c>
      <c r="G501" s="363" t="n">
        <v>69613</v>
      </c>
      <c r="H501" s="360" t="n">
        <v>3</v>
      </c>
      <c r="I501" s="360" t="inlineStr">
        <is>
          <t>昨年実績</t>
        </is>
      </c>
      <c r="J501" s="364">
        <f>IF($G501="","",IF($H501=1,$G501-ROUND($G501*10/23,0)-2*ROUND($G501/23,0),IF($H501=2,$G501,0)))</f>
        <v>0</v>
      </c>
      <c r="K501" s="364">
        <f>IF($G501="","",IF($H501=1,ROUND($G501*10/23,0),IF($H501=3,$G501-2*ROUND($G501/12,0),IF($H501=4,$G501,IF(OR($H501=5,$H501=7),ROUND($G501*10/11,0),0)))))</f>
        <v>58011</v>
      </c>
      <c r="L501" s="364">
        <f>IF($G501="","",IF($H501=1,ROUND($G501/23,0),IF($H501=3,ROUND($G501/12,0),IF($H501=5,$G501-ROUND($G501*10/11,0),IF($H501=8,$G501,0)))))</f>
        <v>5801</v>
      </c>
      <c r="M501" s="364">
        <f>IF($G501="","",IF($H501=1,ROUND($G501/23,0),IF($H501=3,ROUND($G501/12,0),IF($H501=6,$G501,IF($H501=7,$G501-ROUND($G501*10/11,0),0)))))</f>
        <v>5801</v>
      </c>
      <c r="N501" s="364">
        <f>IF($G501="","",K501+L501+M501)</f>
        <v>69613</v>
      </c>
      <c r="O501" s="365" t="str">
        <f>IF($G501="","",IFERROR(VLOOKUP($D501&amp;"|"&amp;$E501,科目表!$A$5:$B$200,2,FALSE),"※未登録"))</f>
        <v>賃借料</v>
      </c>
      <c r="P501" s="359">
        <f>IF(OR($G501="",$C501=""),"",IF($B501="決算整理",13,MOD(MONTH($C501)-4,12)+1))</f>
        <v>9</v>
      </c>
      <c r="Q501" s="366" t="str">
        <f>IF($G501="","",TRIM(IF(J501+K501+L501+M501&lt;&gt;$G501,"按分不一致 ","")&amp;IF(O501="※未登録","科目未登録 ","")&amp;IF(OR($H501="",ISERROR(MATCH($H501,{1,2,3,4,5,6,7,8},0))),"経費区分? ","")&amp;IF($I501="","状態未設定 ","")&amp;IF(AND(OR($I501="確認済",$I501="未確認"),$B501="月例",OR($C501="",$C501&lt;DATE(年度+2018,4,1),$C501&gt;DATE(年度+2019,3,31))),"年度外の日付 ","")&amp;IF(AND(OR($I501="確認済",$I501="未確認"),O501="対象外"),"対象外の科目 ","")))</f>
        <v/>
      </c>
      <c r="R501" s="366" t="inlineStr">
        <is>
          <t>月例!522</t>
        </is>
      </c>
    </row>
    <row r="502">
      <c r="A502" s="359" t="n">
        <v>498</v>
      </c>
      <c r="B502" s="360" t="inlineStr">
        <is>
          <t>月例</t>
        </is>
      </c>
      <c r="C502" s="361" t="n">
        <v>45653</v>
      </c>
      <c r="D502" s="362" t="inlineStr">
        <is>
          <t>賃借料</t>
        </is>
      </c>
      <c r="E502" s="362" t="n"/>
      <c r="F502" s="362" t="inlineStr">
        <is>
          <t>基幹システム用機器賃借料　１１月分（短期）</t>
        </is>
      </c>
      <c r="G502" s="363" t="n">
        <v>672934</v>
      </c>
      <c r="H502" s="360" t="n">
        <v>2</v>
      </c>
      <c r="I502" s="360" t="inlineStr">
        <is>
          <t>昨年実績</t>
        </is>
      </c>
      <c r="J502" s="364">
        <f>IF($G502="","",IF($H502=1,$G502-ROUND($G502*10/23,0)-2*ROUND($G502/23,0),IF($H502=2,$G502,0)))</f>
        <v>672934</v>
      </c>
      <c r="K502" s="364">
        <f>IF($G502="","",IF($H502=1,ROUND($G502*10/23,0),IF($H502=3,$G502-2*ROUND($G502/12,0),IF($H502=4,$G502,IF(OR($H502=5,$H502=7),ROUND($G502*10/11,0),0)))))</f>
        <v>0</v>
      </c>
      <c r="L502" s="364">
        <f>IF($G502="","",IF($H502=1,ROUND($G502/23,0),IF($H502=3,ROUND($G502/12,0),IF($H502=5,$G502-ROUND($G502*10/11,0),IF($H502=8,$G502,0)))))</f>
        <v>0</v>
      </c>
      <c r="M502" s="364">
        <f>IF($G502="","",IF($H502=1,ROUND($G502/23,0),IF($H502=3,ROUND($G502/12,0),IF($H502=6,$G502,IF($H502=7,$G502-ROUND($G502*10/11,0),0)))))</f>
        <v>0</v>
      </c>
      <c r="N502" s="364">
        <f>IF($G502="","",K502+L502+M502)</f>
        <v>0</v>
      </c>
      <c r="O502" s="365" t="str">
        <f>IF($G502="","",IFERROR(VLOOKUP($D502&amp;"|"&amp;$E502,科目表!$A$5:$B$200,2,FALSE),"※未登録"))</f>
        <v>賃借料</v>
      </c>
      <c r="P502" s="359">
        <f>IF(OR($G502="",$C502=""),"",IF($B502="決算整理",13,MOD(MONTH($C502)-4,12)+1))</f>
        <v>9</v>
      </c>
      <c r="Q502" s="366" t="str">
        <f>IF($G502="","",TRIM(IF(J502+K502+L502+M502&lt;&gt;$G502,"按分不一致 ","")&amp;IF(O502="※未登録","科目未登録 ","")&amp;IF(OR($H502="",ISERROR(MATCH($H502,{1,2,3,4,5,6,7,8},0))),"経費区分? ","")&amp;IF($I502="","状態未設定 ","")&amp;IF(AND(OR($I502="確認済",$I502="未確認"),$B502="月例",OR($C502="",$C502&lt;DATE(年度+2018,4,1),$C502&gt;DATE(年度+2019,3,31))),"年度外の日付 ","")&amp;IF(AND(OR($I502="確認済",$I502="未確認"),O502="対象外"),"対象外の科目 ","")))</f>
        <v/>
      </c>
      <c r="R502" s="366" t="inlineStr">
        <is>
          <t>月例!523</t>
        </is>
      </c>
    </row>
    <row r="503">
      <c r="A503" s="359" t="n">
        <v>499</v>
      </c>
      <c r="B503" s="360" t="inlineStr">
        <is>
          <t>月例</t>
        </is>
      </c>
      <c r="C503" s="361" t="n">
        <v>46017</v>
      </c>
      <c r="D503" s="362" t="inlineStr">
        <is>
          <t>委託費</t>
        </is>
      </c>
      <c r="E503" s="362" t="n"/>
      <c r="F503" s="362" t="inlineStr">
        <is>
          <t>資格確認書の作成・印刷処理及び封入封緘処理業務</t>
        </is>
      </c>
      <c r="G503" s="363" t="n">
        <v>2215760</v>
      </c>
      <c r="H503" s="360" t="n">
        <v>2</v>
      </c>
      <c r="I503" s="360" t="inlineStr">
        <is>
          <t>昨年実績</t>
        </is>
      </c>
      <c r="J503" s="364">
        <f>IF($G503="","",IF($H503=1,$G503-ROUND($G503*10/23,0)-2*ROUND($G503/23,0),IF($H503=2,$G503,0)))</f>
        <v>2215760</v>
      </c>
      <c r="K503" s="364">
        <f>IF($G503="","",IF($H503=1,ROUND($G503*10/23,0),IF($H503=3,$G503-2*ROUND($G503/12,0),IF($H503=4,$G503,IF(OR($H503=5,$H503=7),ROUND($G503*10/11,0),0)))))</f>
        <v>0</v>
      </c>
      <c r="L503" s="364">
        <f>IF($G503="","",IF($H503=1,ROUND($G503/23,0),IF($H503=3,ROUND($G503/12,0),IF($H503=5,$G503-ROUND($G503*10/11,0),IF($H503=8,$G503,0)))))</f>
        <v>0</v>
      </c>
      <c r="M503" s="364">
        <f>IF($G503="","",IF($H503=1,ROUND($G503/23,0),IF($H503=3,ROUND($G503/12,0),IF($H503=6,$G503,IF($H503=7,$G503-ROUND($G503*10/11,0),0)))))</f>
        <v>0</v>
      </c>
      <c r="N503" s="364">
        <f>IF($G503="","",K503+L503+M503)</f>
        <v>0</v>
      </c>
      <c r="O503" s="365" t="str">
        <f>IF($G503="","",IFERROR(VLOOKUP($D503&amp;"|"&amp;$E503,科目表!$A$5:$B$200,2,FALSE),"※未登録"))</f>
        <v>委託費</v>
      </c>
      <c r="P503" s="359">
        <f>IF(OR($G503="",$C503=""),"",IF($B503="決算整理",13,MOD(MONTH($C503)-4,12)+1))</f>
        <v>9</v>
      </c>
      <c r="Q503" s="366" t="str">
        <f>IF($G503="","",TRIM(IF(J503+K503+L503+M503&lt;&gt;$G503,"按分不一致 ","")&amp;IF(O503="※未登録","科目未登録 ","")&amp;IF(OR($H503="",ISERROR(MATCH($H503,{1,2,3,4,5,6,7,8},0))),"経費区分? ","")&amp;IF($I503="","状態未設定 ","")&amp;IF(AND(OR($I503="確認済",$I503="未確認"),$B503="月例",OR($C503="",$C503&lt;DATE(年度+2018,4,1),$C503&gt;DATE(年度+2019,3,31))),"年度外の日付 ","")&amp;IF(AND(OR($I503="確認済",$I503="未確認"),O503="対象外"),"対象外の科目 ","")))</f>
        <v/>
      </c>
      <c r="R503" s="366" t="inlineStr">
        <is>
          <t>月例!524</t>
        </is>
      </c>
    </row>
    <row r="504">
      <c r="A504" s="359" t="n">
        <v>500</v>
      </c>
      <c r="B504" s="360" t="inlineStr">
        <is>
          <t>月例</t>
        </is>
      </c>
      <c r="C504" s="361" t="n">
        <v>44923</v>
      </c>
      <c r="D504" s="362" t="inlineStr">
        <is>
          <t>事務費</t>
        </is>
      </c>
      <c r="E504" s="362" t="inlineStr">
        <is>
          <t>図書印刷費</t>
        </is>
      </c>
      <c r="F504" s="362" t="inlineStr">
        <is>
          <t>角２封筒クラフト８５ｇ郵便枠付・テープ付3,000枚</t>
        </is>
      </c>
      <c r="G504" s="363" t="n">
        <v>49830</v>
      </c>
      <c r="H504" s="360" t="n">
        <v>2</v>
      </c>
      <c r="I504" s="360" t="inlineStr">
        <is>
          <t>昨年実績</t>
        </is>
      </c>
      <c r="J504" s="364">
        <f>IF($G504="","",IF($H504=1,$G504-ROUND($G504*10/23,0)-2*ROUND($G504/23,0),IF($H504=2,$G504,0)))</f>
        <v>49830</v>
      </c>
      <c r="K504" s="364">
        <f>IF($G504="","",IF($H504=1,ROUND($G504*10/23,0),IF($H504=3,$G504-2*ROUND($G504/12,0),IF($H504=4,$G504,IF(OR($H504=5,$H504=7),ROUND($G504*10/11,0),0)))))</f>
        <v>0</v>
      </c>
      <c r="L504" s="364">
        <f>IF($G504="","",IF($H504=1,ROUND($G504/23,0),IF($H504=3,ROUND($G504/12,0),IF($H504=5,$G504-ROUND($G504*10/11,0),IF($H504=8,$G504,0)))))</f>
        <v>0</v>
      </c>
      <c r="M504" s="364">
        <f>IF($G504="","",IF($H504=1,ROUND($G504/23,0),IF($H504=3,ROUND($G504/12,0),IF($H504=6,$G504,IF($H504=7,$G504-ROUND($G504*10/11,0),0)))))</f>
        <v>0</v>
      </c>
      <c r="N504" s="364">
        <f>IF($G504="","",K504+L504+M504)</f>
        <v>0</v>
      </c>
      <c r="O504" s="365" t="str">
        <f>IF($G504="","",IFERROR(VLOOKUP($D504&amp;"|"&amp;$E504,科目表!$A$5:$B$200,2,FALSE),"※未登録"))</f>
        <v>図書印刷費</v>
      </c>
      <c r="P504" s="359">
        <f>IF(OR($G504="",$C504=""),"",IF($B504="決算整理",13,MOD(MONTH($C504)-4,12)+1))</f>
        <v>9</v>
      </c>
      <c r="Q504" s="366" t="str">
        <f>IF($G504="","",TRIM(IF(J504+K504+L504+M504&lt;&gt;$G504,"按分不一致 ","")&amp;IF(O504="※未登録","科目未登録 ","")&amp;IF(OR($H504="",ISERROR(MATCH($H504,{1,2,3,4,5,6,7,8},0))),"経費区分? ","")&amp;IF($I504="","状態未設定 ","")&amp;IF(AND(OR($I504="確認済",$I504="未確認"),$B504="月例",OR($C504="",$C504&lt;DATE(年度+2018,4,1),$C504&gt;DATE(年度+2019,3,31))),"年度外の日付 ","")&amp;IF(AND(OR($I504="確認済",$I504="未確認"),O504="対象外"),"対象外の科目 ","")))</f>
        <v/>
      </c>
      <c r="R504" s="366" t="inlineStr">
        <is>
          <t>月例!525</t>
        </is>
      </c>
    </row>
    <row r="505">
      <c r="A505" s="359" t="n">
        <v>501</v>
      </c>
      <c r="B505" s="360" t="inlineStr">
        <is>
          <t>月例</t>
        </is>
      </c>
      <c r="C505" s="361" t="n">
        <v>45288</v>
      </c>
      <c r="D505" s="362" t="inlineStr">
        <is>
          <t>事務費</t>
        </is>
      </c>
      <c r="E505" s="362" t="inlineStr">
        <is>
          <t>図書印刷費</t>
        </is>
      </c>
      <c r="F505" s="362" t="inlineStr">
        <is>
          <t>ジェネリック差額通知書　3,000枚</t>
        </is>
      </c>
      <c r="G505" s="363" t="n">
        <v>128700</v>
      </c>
      <c r="H505" s="360" t="n">
        <v>2</v>
      </c>
      <c r="I505" s="360" t="inlineStr">
        <is>
          <t>昨年実績</t>
        </is>
      </c>
      <c r="J505" s="364">
        <f>IF($G505="","",IF($H505=1,$G505-ROUND($G505*10/23,0)-2*ROUND($G505/23,0),IF($H505=2,$G505,0)))</f>
        <v>128700</v>
      </c>
      <c r="K505" s="364">
        <f>IF($G505="","",IF($H505=1,ROUND($G505*10/23,0),IF($H505=3,$G505-2*ROUND($G505/12,0),IF($H505=4,$G505,IF(OR($H505=5,$H505=7),ROUND($G505*10/11,0),0)))))</f>
        <v>0</v>
      </c>
      <c r="L505" s="364">
        <f>IF($G505="","",IF($H505=1,ROUND($G505/23,0),IF($H505=3,ROUND($G505/12,0),IF($H505=5,$G505-ROUND($G505*10/11,0),IF($H505=8,$G505,0)))))</f>
        <v>0</v>
      </c>
      <c r="M505" s="364">
        <f>IF($G505="","",IF($H505=1,ROUND($G505/23,0),IF($H505=3,ROUND($G505/12,0),IF($H505=6,$G505,IF($H505=7,$G505-ROUND($G505*10/11,0),0)))))</f>
        <v>0</v>
      </c>
      <c r="N505" s="364">
        <f>IF($G505="","",K505+L505+M505)</f>
        <v>0</v>
      </c>
      <c r="O505" s="365" t="str">
        <f>IF($G505="","",IFERROR(VLOOKUP($D505&amp;"|"&amp;$E505,科目表!$A$5:$B$200,2,FALSE),"※未登録"))</f>
        <v>図書印刷費</v>
      </c>
      <c r="P505" s="359">
        <f>IF(OR($G505="",$C505=""),"",IF($B505="決算整理",13,MOD(MONTH($C505)-4,12)+1))</f>
        <v>9</v>
      </c>
      <c r="Q505" s="366" t="str">
        <f>IF($G505="","",TRIM(IF(J505+K505+L505+M505&lt;&gt;$G505,"按分不一致 ","")&amp;IF(O505="※未登録","科目未登録 ","")&amp;IF(OR($H505="",ISERROR(MATCH($H505,{1,2,3,4,5,6,7,8},0))),"経費区分? ","")&amp;IF($I505="","状態未設定 ","")&amp;IF(AND(OR($I505="確認済",$I505="未確認"),$B505="月例",OR($C505="",$C505&lt;DATE(年度+2018,4,1),$C505&gt;DATE(年度+2019,3,31))),"年度外の日付 ","")&amp;IF(AND(OR($I505="確認済",$I505="未確認"),O505="対象外"),"対象外の科目 ","")))</f>
        <v/>
      </c>
      <c r="R505" s="366" t="inlineStr">
        <is>
          <t>月例!526</t>
        </is>
      </c>
    </row>
    <row r="506">
      <c r="A506" s="359" t="n">
        <v>502</v>
      </c>
      <c r="B506" s="360" t="inlineStr">
        <is>
          <t>月例</t>
        </is>
      </c>
      <c r="C506" s="361" t="n">
        <v>45288</v>
      </c>
      <c r="D506" s="362" t="inlineStr">
        <is>
          <t>事務費</t>
        </is>
      </c>
      <c r="E506" s="362" t="inlineStr">
        <is>
          <t>図書印刷費</t>
        </is>
      </c>
      <c r="F506" s="362" t="inlineStr">
        <is>
          <t>(育休手当金)短期給付決定通知書３，０００枚</t>
        </is>
      </c>
      <c r="G506" s="363" t="n">
        <v>128700</v>
      </c>
      <c r="H506" s="360" t="n">
        <v>2</v>
      </c>
      <c r="I506" s="360" t="inlineStr">
        <is>
          <t>昨年実績</t>
        </is>
      </c>
      <c r="J506" s="364">
        <f>IF($G506="","",IF($H506=1,$G506-ROUND($G506*10/23,0)-2*ROUND($G506/23,0),IF($H506=2,$G506,0)))</f>
        <v>128700</v>
      </c>
      <c r="K506" s="364">
        <f>IF($G506="","",IF($H506=1,ROUND($G506*10/23,0),IF($H506=3,$G506-2*ROUND($G506/12,0),IF($H506=4,$G506,IF(OR($H506=5,$H506=7),ROUND($G506*10/11,0),0)))))</f>
        <v>0</v>
      </c>
      <c r="L506" s="364">
        <f>IF($G506="","",IF($H506=1,ROUND($G506/23,0),IF($H506=3,ROUND($G506/12,0),IF($H506=5,$G506-ROUND($G506*10/11,0),IF($H506=8,$G506,0)))))</f>
        <v>0</v>
      </c>
      <c r="M506" s="364">
        <f>IF($G506="","",IF($H506=1,ROUND($G506/23,0),IF($H506=3,ROUND($G506/12,0),IF($H506=6,$G506,IF($H506=7,$G506-ROUND($G506*10/11,0),0)))))</f>
        <v>0</v>
      </c>
      <c r="N506" s="364">
        <f>IF($G506="","",K506+L506+M506)</f>
        <v>0</v>
      </c>
      <c r="O506" s="365" t="str">
        <f>IF($G506="","",IFERROR(VLOOKUP($D506&amp;"|"&amp;$E506,科目表!$A$5:$B$200,2,FALSE),"※未登録"))</f>
        <v>図書印刷費</v>
      </c>
      <c r="P506" s="359">
        <f>IF(OR($G506="",$C506=""),"",IF($B506="決算整理",13,MOD(MONTH($C506)-4,12)+1))</f>
        <v>9</v>
      </c>
      <c r="Q506" s="366" t="str">
        <f>IF($G506="","",TRIM(IF(J506+K506+L506+M506&lt;&gt;$G506,"按分不一致 ","")&amp;IF(O506="※未登録","科目未登録 ","")&amp;IF(OR($H506="",ISERROR(MATCH($H506,{1,2,3,4,5,6,7,8},0))),"経費区分? ","")&amp;IF($I506="","状態未設定 ","")&amp;IF(AND(OR($I506="確認済",$I506="未確認"),$B506="月例",OR($C506="",$C506&lt;DATE(年度+2018,4,1),$C506&gt;DATE(年度+2019,3,31))),"年度外の日付 ","")&amp;IF(AND(OR($I506="確認済",$I506="未確認"),O506="対象外"),"対象外の科目 ","")))</f>
        <v/>
      </c>
      <c r="R506" s="366" t="inlineStr">
        <is>
          <t>月例!527</t>
        </is>
      </c>
    </row>
    <row r="507">
      <c r="A507" s="359" t="n">
        <v>503</v>
      </c>
      <c r="B507" s="360" t="inlineStr">
        <is>
          <t>月例</t>
        </is>
      </c>
      <c r="C507" s="361" t="n">
        <v>46017</v>
      </c>
      <c r="D507" s="362" t="inlineStr">
        <is>
          <t>事務費</t>
        </is>
      </c>
      <c r="E507" s="362" t="inlineStr">
        <is>
          <t>事務用消耗品費</t>
        </is>
      </c>
      <c r="F507" s="362" t="inlineStr">
        <is>
          <t>ポストイット　５００４SS-K　５箱　他</t>
        </is>
      </c>
      <c r="G507" s="363" t="n">
        <v>62330</v>
      </c>
      <c r="H507" s="360" t="n">
        <v>2</v>
      </c>
      <c r="I507" s="360" t="inlineStr">
        <is>
          <t>昨年実績</t>
        </is>
      </c>
      <c r="J507" s="364">
        <f>IF($G507="","",IF($H507=1,$G507-ROUND($G507*10/23,0)-2*ROUND($G507/23,0),IF($H507=2,$G507,0)))</f>
        <v>62330</v>
      </c>
      <c r="K507" s="364">
        <f>IF($G507="","",IF($H507=1,ROUND($G507*10/23,0),IF($H507=3,$G507-2*ROUND($G507/12,0),IF($H507=4,$G507,IF(OR($H507=5,$H507=7),ROUND($G507*10/11,0),0)))))</f>
        <v>0</v>
      </c>
      <c r="L507" s="364">
        <f>IF($G507="","",IF($H507=1,ROUND($G507/23,0),IF($H507=3,ROUND($G507/12,0),IF($H507=5,$G507-ROUND($G507*10/11,0),IF($H507=8,$G507,0)))))</f>
        <v>0</v>
      </c>
      <c r="M507" s="364">
        <f>IF($G507="","",IF($H507=1,ROUND($G507/23,0),IF($H507=3,ROUND($G507/12,0),IF($H507=6,$G507,IF($H507=7,$G507-ROUND($G507*10/11,0),0)))))</f>
        <v>0</v>
      </c>
      <c r="N507" s="364">
        <f>IF($G507="","",K507+L507+M507)</f>
        <v>0</v>
      </c>
      <c r="O507" s="365" t="str">
        <f>IF($G507="","",IFERROR(VLOOKUP($D507&amp;"|"&amp;$E507,科目表!$A$5:$B$200,2,FALSE),"※未登録"))</f>
        <v>事務用消耗品費</v>
      </c>
      <c r="P507" s="359">
        <f>IF(OR($G507="",$C507=""),"",IF($B507="決算整理",13,MOD(MONTH($C507)-4,12)+1))</f>
        <v>9</v>
      </c>
      <c r="Q507" s="366" t="str">
        <f>IF($G507="","",TRIM(IF(J507+K507+L507+M507&lt;&gt;$G507,"按分不一致 ","")&amp;IF(O507="※未登録","科目未登録 ","")&amp;IF(OR($H507="",ISERROR(MATCH($H507,{1,2,3,4,5,6,7,8},0))),"経費区分? ","")&amp;IF($I507="","状態未設定 ","")&amp;IF(AND(OR($I507="確認済",$I507="未確認"),$B507="月例",OR($C507="",$C507&lt;DATE(年度+2018,4,1),$C507&gt;DATE(年度+2019,3,31))),"年度外の日付 ","")&amp;IF(AND(OR($I507="確認済",$I507="未確認"),O507="対象外"),"対象外の科目 ","")))</f>
        <v/>
      </c>
      <c r="R507" s="366" t="inlineStr">
        <is>
          <t>月例!528</t>
        </is>
      </c>
    </row>
    <row r="508">
      <c r="A508" s="359" t="n">
        <v>504</v>
      </c>
      <c r="B508" s="360" t="inlineStr">
        <is>
          <t>月例</t>
        </is>
      </c>
      <c r="C508" s="361" t="n">
        <v>44193</v>
      </c>
      <c r="D508" s="362" t="inlineStr">
        <is>
          <t>事務費</t>
        </is>
      </c>
      <c r="E508" s="362" t="inlineStr">
        <is>
          <t>図書印刷費</t>
        </is>
      </c>
      <c r="F508" s="362" t="inlineStr">
        <is>
          <t>厚生法規総覧追録５４１７－５４２７号</t>
        </is>
      </c>
      <c r="G508" s="363" t="n">
        <v>33154</v>
      </c>
      <c r="H508" s="360" t="n">
        <v>2</v>
      </c>
      <c r="I508" s="360" t="inlineStr">
        <is>
          <t>昨年実績</t>
        </is>
      </c>
      <c r="J508" s="364">
        <f>IF($G508="","",IF($H508=1,$G508-ROUND($G508*10/23,0)-2*ROUND($G508/23,0),IF($H508=2,$G508,0)))</f>
        <v>33154</v>
      </c>
      <c r="K508" s="364">
        <f>IF($G508="","",IF($H508=1,ROUND($G508*10/23,0),IF($H508=3,$G508-2*ROUND($G508/12,0),IF($H508=4,$G508,IF(OR($H508=5,$H508=7),ROUND($G508*10/11,0),0)))))</f>
        <v>0</v>
      </c>
      <c r="L508" s="364">
        <f>IF($G508="","",IF($H508=1,ROUND($G508/23,0),IF($H508=3,ROUND($G508/12,0),IF($H508=5,$G508-ROUND($G508*10/11,0),IF($H508=8,$G508,0)))))</f>
        <v>0</v>
      </c>
      <c r="M508" s="364">
        <f>IF($G508="","",IF($H508=1,ROUND($G508/23,0),IF($H508=3,ROUND($G508/12,0),IF($H508=6,$G508,IF($H508=7,$G508-ROUND($G508*10/11,0),0)))))</f>
        <v>0</v>
      </c>
      <c r="N508" s="364">
        <f>IF($G508="","",K508+L508+M508)</f>
        <v>0</v>
      </c>
      <c r="O508" s="365" t="str">
        <f>IF($G508="","",IFERROR(VLOOKUP($D508&amp;"|"&amp;$E508,科目表!$A$5:$B$200,2,FALSE),"※未登録"))</f>
        <v>図書印刷費</v>
      </c>
      <c r="P508" s="359">
        <f>IF(OR($G508="",$C508=""),"",IF($B508="決算整理",13,MOD(MONTH($C508)-4,12)+1))</f>
        <v>9</v>
      </c>
      <c r="Q508" s="366" t="str">
        <f>IF($G508="","",TRIM(IF(J508+K508+L508+M508&lt;&gt;$G508,"按分不一致 ","")&amp;IF(O508="※未登録","科目未登録 ","")&amp;IF(OR($H508="",ISERROR(MATCH($H508,{1,2,3,4,5,6,7,8},0))),"経費区分? ","")&amp;IF($I508="","状態未設定 ","")&amp;IF(AND(OR($I508="確認済",$I508="未確認"),$B508="月例",OR($C508="",$C508&lt;DATE(年度+2018,4,1),$C508&gt;DATE(年度+2019,3,31))),"年度外の日付 ","")&amp;IF(AND(OR($I508="確認済",$I508="未確認"),O508="対象外"),"対象外の科目 ","")))</f>
        <v/>
      </c>
      <c r="R508" s="366" t="inlineStr">
        <is>
          <t>月例!529</t>
        </is>
      </c>
    </row>
    <row r="509">
      <c r="A509" s="359" t="n">
        <v>505</v>
      </c>
      <c r="B509" s="360" t="inlineStr">
        <is>
          <t>月例</t>
        </is>
      </c>
      <c r="C509" s="361" t="n">
        <v>46066</v>
      </c>
      <c r="D509" s="362" t="inlineStr">
        <is>
          <t>委託費</t>
        </is>
      </c>
      <c r="E509" s="362" t="n"/>
      <c r="F509" s="362" t="inlineStr">
        <is>
          <t>「年金だより」配布に伴う封入作業料金（１２月支給期）</t>
        </is>
      </c>
      <c r="G509" s="363" t="n">
        <v>42026</v>
      </c>
      <c r="H509" s="360" t="n">
        <v>3</v>
      </c>
      <c r="I509" s="360" t="inlineStr">
        <is>
          <t>昨年実績</t>
        </is>
      </c>
      <c r="J509" s="364">
        <f>IF($G509="","",IF($H509=1,$G509-ROUND($G509*10/23,0)-2*ROUND($G509/23,0),IF($H509=2,$G509,0)))</f>
        <v>0</v>
      </c>
      <c r="K509" s="364">
        <f>IF($G509="","",IF($H509=1,ROUND($G509*10/23,0),IF($H509=3,$G509-2*ROUND($G509/12,0),IF($H509=4,$G509,IF(OR($H509=5,$H509=7),ROUND($G509*10/11,0),0)))))</f>
        <v>35022</v>
      </c>
      <c r="L509" s="364">
        <f>IF($G509="","",IF($H509=1,ROUND($G509/23,0),IF($H509=3,ROUND($G509/12,0),IF($H509=5,$G509-ROUND($G509*10/11,0),IF($H509=8,$G509,0)))))</f>
        <v>3502</v>
      </c>
      <c r="M509" s="364">
        <f>IF($G509="","",IF($H509=1,ROUND($G509/23,0),IF($H509=3,ROUND($G509/12,0),IF($H509=6,$G509,IF($H509=7,$G509-ROUND($G509*10/11,0),0)))))</f>
        <v>3502</v>
      </c>
      <c r="N509" s="364">
        <f>IF($G509="","",K509+L509+M509)</f>
        <v>42026</v>
      </c>
      <c r="O509" s="365" t="str">
        <f>IF($G509="","",IFERROR(VLOOKUP($D509&amp;"|"&amp;$E509,科目表!$A$5:$B$200,2,FALSE),"※未登録"))</f>
        <v>委託費</v>
      </c>
      <c r="P509" s="359">
        <f>IF(OR($G509="",$C509=""),"",IF($B509="決算整理",13,MOD(MONTH($C509)-4,12)+1))</f>
        <v>11</v>
      </c>
      <c r="Q509" s="366" t="str">
        <f>IF($G509="","",TRIM(IF(J509+K509+L509+M509&lt;&gt;$G509,"按分不一致 ","")&amp;IF(O509="※未登録","科目未登録 ","")&amp;IF(OR($H509="",ISERROR(MATCH($H509,{1,2,3,4,5,6,7,8},0))),"経費区分? ","")&amp;IF($I509="","状態未設定 ","")&amp;IF(AND(OR($I509="確認済",$I509="未確認"),$B509="月例",OR($C509="",$C509&lt;DATE(年度+2018,4,1),$C509&gt;DATE(年度+2019,3,31))),"年度外の日付 ","")&amp;IF(AND(OR($I509="確認済",$I509="未確認"),O509="対象外"),"対象外の科目 ","")))</f>
        <v/>
      </c>
      <c r="R509" s="366" t="inlineStr">
        <is>
          <t>月例!530</t>
        </is>
      </c>
    </row>
    <row r="510">
      <c r="A510" s="359" t="n">
        <v>506</v>
      </c>
      <c r="B510" s="360" t="inlineStr">
        <is>
          <t>月例</t>
        </is>
      </c>
      <c r="C510" s="361" t="n">
        <v>46051</v>
      </c>
      <c r="D510" s="362" t="inlineStr">
        <is>
          <t>委託費</t>
        </is>
      </c>
      <c r="E510" s="362" t="n"/>
      <c r="F510" s="362" t="inlineStr">
        <is>
          <t>ねんきん定期便（１２月分）送付業務</t>
        </is>
      </c>
      <c r="G510" s="363" t="n">
        <v>85123</v>
      </c>
      <c r="H510" s="360" t="n">
        <v>5</v>
      </c>
      <c r="I510" s="360" t="inlineStr">
        <is>
          <t>昨年実績</t>
        </is>
      </c>
      <c r="J510" s="364">
        <f>IF($G510="","",IF($H510=1,$G510-ROUND($G510*10/23,0)-2*ROUND($G510/23,0),IF($H510=2,$G510,0)))</f>
        <v>0</v>
      </c>
      <c r="K510" s="364">
        <f>IF($G510="","",IF($H510=1,ROUND($G510*10/23,0),IF($H510=3,$G510-2*ROUND($G510/12,0),IF($H510=4,$G510,IF(OR($H510=5,$H510=7),ROUND($G510*10/11,0),0)))))</f>
        <v>77385</v>
      </c>
      <c r="L510" s="364">
        <f>IF($G510="","",IF($H510=1,ROUND($G510/23,0),IF($H510=3,ROUND($G510/12,0),IF($H510=5,$G510-ROUND($G510*10/11,0),IF($H510=8,$G510,0)))))</f>
        <v>7738</v>
      </c>
      <c r="M510" s="364">
        <f>IF($G510="","",IF($H510=1,ROUND($G510/23,0),IF($H510=3,ROUND($G510/12,0),IF($H510=6,$G510,IF($H510=7,$G510-ROUND($G510*10/11,0),0)))))</f>
        <v>0</v>
      </c>
      <c r="N510" s="364">
        <f>IF($G510="","",K510+L510+M510)</f>
        <v>85123</v>
      </c>
      <c r="O510" s="365" t="str">
        <f>IF($G510="","",IFERROR(VLOOKUP($D510&amp;"|"&amp;$E510,科目表!$A$5:$B$200,2,FALSE),"※未登録"))</f>
        <v>委託費</v>
      </c>
      <c r="P510" s="359">
        <f>IF(OR($G510="",$C510=""),"",IF($B510="決算整理",13,MOD(MONTH($C510)-4,12)+1))</f>
        <v>10</v>
      </c>
      <c r="Q510" s="366" t="str">
        <f>IF($G510="","",TRIM(IF(J510+K510+L510+M510&lt;&gt;$G510,"按分不一致 ","")&amp;IF(O510="※未登録","科目未登録 ","")&amp;IF(OR($H510="",ISERROR(MATCH($H510,{1,2,3,4,5,6,7,8},0))),"経費区分? ","")&amp;IF($I510="","状態未設定 ","")&amp;IF(AND(OR($I510="確認済",$I510="未確認"),$B510="月例",OR($C510="",$C510&lt;DATE(年度+2018,4,1),$C510&gt;DATE(年度+2019,3,31))),"年度外の日付 ","")&amp;IF(AND(OR($I510="確認済",$I510="未確認"),O510="対象外"),"対象外の科目 ","")))</f>
        <v/>
      </c>
      <c r="R510" s="366" t="inlineStr">
        <is>
          <t>月例!531</t>
        </is>
      </c>
    </row>
    <row r="511">
      <c r="A511" s="359" t="n">
        <v>507</v>
      </c>
      <c r="B511" s="360" t="inlineStr">
        <is>
          <t>月例</t>
        </is>
      </c>
      <c r="C511" s="361" t="n">
        <v>46051</v>
      </c>
      <c r="D511" s="362" t="inlineStr">
        <is>
          <t>賃借料</t>
        </is>
      </c>
      <c r="E511" s="362" t="n"/>
      <c r="F511" s="362" t="inlineStr">
        <is>
          <t>パソコン（業務経理用）１２月分</t>
        </is>
      </c>
      <c r="G511" s="363" t="n">
        <v>5060</v>
      </c>
      <c r="H511" s="360" t="n">
        <v>2</v>
      </c>
      <c r="I511" s="360" t="inlineStr">
        <is>
          <t>昨年実績</t>
        </is>
      </c>
      <c r="J511" s="364">
        <f>IF($G511="","",IF($H511=1,$G511-ROUND($G511*10/23,0)-2*ROUND($G511/23,0),IF($H511=2,$G511,0)))</f>
        <v>5060</v>
      </c>
      <c r="K511" s="364">
        <f>IF($G511="","",IF($H511=1,ROUND($G511*10/23,0),IF($H511=3,$G511-2*ROUND($G511/12,0),IF($H511=4,$G511,IF(OR($H511=5,$H511=7),ROUND($G511*10/11,0),0)))))</f>
        <v>0</v>
      </c>
      <c r="L511" s="364">
        <f>IF($G511="","",IF($H511=1,ROUND($G511/23,0),IF($H511=3,ROUND($G511/12,0),IF($H511=5,$G511-ROUND($G511*10/11,0),IF($H511=8,$G511,0)))))</f>
        <v>0</v>
      </c>
      <c r="M511" s="364">
        <f>IF($G511="","",IF($H511=1,ROUND($G511/23,0),IF($H511=3,ROUND($G511/12,0),IF($H511=6,$G511,IF($H511=7,$G511-ROUND($G511*10/11,0),0)))))</f>
        <v>0</v>
      </c>
      <c r="N511" s="364">
        <f>IF($G511="","",K511+L511+M511)</f>
        <v>0</v>
      </c>
      <c r="O511" s="365" t="str">
        <f>IF($G511="","",IFERROR(VLOOKUP($D511&amp;"|"&amp;$E511,科目表!$A$5:$B$200,2,FALSE),"※未登録"))</f>
        <v>賃借料</v>
      </c>
      <c r="P511" s="359">
        <f>IF(OR($G511="",$C511=""),"",IF($B511="決算整理",13,MOD(MONTH($C511)-4,12)+1))</f>
        <v>10</v>
      </c>
      <c r="Q511" s="366" t="str">
        <f>IF($G511="","",TRIM(IF(J511+K511+L511+M511&lt;&gt;$G511,"按分不一致 ","")&amp;IF(O511="※未登録","科目未登録 ","")&amp;IF(OR($H511="",ISERROR(MATCH($H511,{1,2,3,4,5,6,7,8},0))),"経費区分? ","")&amp;IF($I511="","状態未設定 ","")&amp;IF(AND(OR($I511="確認済",$I511="未確認"),$B511="月例",OR($C511="",$C511&lt;DATE(年度+2018,4,1),$C511&gt;DATE(年度+2019,3,31))),"年度外の日付 ","")&amp;IF(AND(OR($I511="確認済",$I511="未確認"),O511="対象外"),"対象外の科目 ","")))</f>
        <v/>
      </c>
      <c r="R511" s="366" t="inlineStr">
        <is>
          <t>月例!532</t>
        </is>
      </c>
    </row>
    <row r="512">
      <c r="A512" s="359" t="n">
        <v>508</v>
      </c>
      <c r="B512" s="360" t="inlineStr">
        <is>
          <t>月例</t>
        </is>
      </c>
      <c r="C512" s="361" t="n">
        <v>46037</v>
      </c>
      <c r="D512" s="362" t="inlineStr">
        <is>
          <t>賃金</t>
        </is>
      </c>
      <c r="E512" s="362" t="n"/>
      <c r="F512" s="362" t="inlineStr">
        <is>
          <t>臨時職員賃金１２月分　竹口範子外１名分（短期１００％）</t>
        </is>
      </c>
      <c r="G512" s="363" t="n">
        <v>377520</v>
      </c>
      <c r="H512" s="360" t="n">
        <v>2</v>
      </c>
      <c r="I512" s="360" t="inlineStr">
        <is>
          <t>昨年実績</t>
        </is>
      </c>
      <c r="J512" s="364">
        <f>IF($G512="","",IF($H512=1,$G512-ROUND($G512*10/23,0)-2*ROUND($G512/23,0),IF($H512=2,$G512,0)))</f>
        <v>377520</v>
      </c>
      <c r="K512" s="364">
        <f>IF($G512="","",IF($H512=1,ROUND($G512*10/23,0),IF($H512=3,$G512-2*ROUND($G512/12,0),IF($H512=4,$G512,IF(OR($H512=5,$H512=7),ROUND($G512*10/11,0),0)))))</f>
        <v>0</v>
      </c>
      <c r="L512" s="364">
        <f>IF($G512="","",IF($H512=1,ROUND($G512/23,0),IF($H512=3,ROUND($G512/12,0),IF($H512=5,$G512-ROUND($G512*10/11,0),IF($H512=8,$G512,0)))))</f>
        <v>0</v>
      </c>
      <c r="M512" s="364">
        <f>IF($G512="","",IF($H512=1,ROUND($G512/23,0),IF($H512=3,ROUND($G512/12,0),IF($H512=6,$G512,IF($H512=7,$G512-ROUND($G512*10/11,0),0)))))</f>
        <v>0</v>
      </c>
      <c r="N512" s="364">
        <f>IF($G512="","",K512+L512+M512)</f>
        <v>0</v>
      </c>
      <c r="O512" s="365" t="str">
        <f>IF($G512="","",IFERROR(VLOOKUP($D512&amp;"|"&amp;$E512,科目表!$A$5:$B$200,2,FALSE),"※未登録"))</f>
        <v>賃金</v>
      </c>
      <c r="P512" s="359">
        <f>IF(OR($G512="",$C512=""),"",IF($B512="決算整理",13,MOD(MONTH($C512)-4,12)+1))</f>
        <v>10</v>
      </c>
      <c r="Q512" s="366" t="str">
        <f>IF($G512="","",TRIM(IF(J512+K512+L512+M512&lt;&gt;$G512,"按分不一致 ","")&amp;IF(O512="※未登録","科目未登録 ","")&amp;IF(OR($H512="",ISERROR(MATCH($H512,{1,2,3,4,5,6,7,8},0))),"経費区分? ","")&amp;IF($I512="","状態未設定 ","")&amp;IF(AND(OR($I512="確認済",$I512="未確認"),$B512="月例",OR($C512="",$C512&lt;DATE(年度+2018,4,1),$C512&gt;DATE(年度+2019,3,31))),"年度外の日付 ","")&amp;IF(AND(OR($I512="確認済",$I512="未確認"),O512="対象外"),"対象外の科目 ","")))</f>
        <v/>
      </c>
      <c r="R512" s="366" t="inlineStr">
        <is>
          <t>月例!533</t>
        </is>
      </c>
    </row>
    <row r="513">
      <c r="A513" s="359" t="n">
        <v>509</v>
      </c>
      <c r="B513" s="360" t="inlineStr">
        <is>
          <t>月例</t>
        </is>
      </c>
      <c r="C513" s="361" t="n">
        <v>46031</v>
      </c>
      <c r="D513" s="362" t="inlineStr">
        <is>
          <t>事務費負担金払込金</t>
        </is>
      </c>
      <c r="E513" s="362" t="n"/>
      <c r="F513" s="362" t="inlineStr">
        <is>
          <t>１２月分事務費負担金払込金　連合会へ払込</t>
        </is>
      </c>
      <c r="G513" s="363" t="n">
        <v>4513000</v>
      </c>
      <c r="H513" s="360" t="n">
        <v>5</v>
      </c>
      <c r="I513" s="360" t="inlineStr">
        <is>
          <t>昨年実績</t>
        </is>
      </c>
      <c r="J513" s="364">
        <f>IF($G513="","",IF($H513=1,$G513-ROUND($G513*10/23,0)-2*ROUND($G513/23,0),IF($H513=2,$G513,0)))</f>
        <v>0</v>
      </c>
      <c r="K513" s="364">
        <f>IF($G513="","",IF($H513=1,ROUND($G513*10/23,0),IF($H513=3,$G513-2*ROUND($G513/12,0),IF($H513=4,$G513,IF(OR($H513=5,$H513=7),ROUND($G513*10/11,0),0)))))</f>
        <v>4102727</v>
      </c>
      <c r="L513" s="364">
        <f>IF($G513="","",IF($H513=1,ROUND($G513/23,0),IF($H513=3,ROUND($G513/12,0),IF($H513=5,$G513-ROUND($G513*10/11,0),IF($H513=8,$G513,0)))))</f>
        <v>410273</v>
      </c>
      <c r="M513" s="364">
        <f>IF($G513="","",IF($H513=1,ROUND($G513/23,0),IF($H513=3,ROUND($G513/12,0),IF($H513=6,$G513,IF($H513=7,$G513-ROUND($G513*10/11,0),0)))))</f>
        <v>0</v>
      </c>
      <c r="N513" s="364">
        <f>IF($G513="","",K513+L513+M513)</f>
        <v>4513000</v>
      </c>
      <c r="O513" s="365" t="str">
        <f>IF($G513="","",IFERROR(VLOOKUP($D513&amp;"|"&amp;$E513,科目表!$A$5:$B$200,2,FALSE),"※未登録"))</f>
        <v>事務費負担金払込金</v>
      </c>
      <c r="P513" s="359">
        <f>IF(OR($G513="",$C513=""),"",IF($B513="決算整理",13,MOD(MONTH($C513)-4,12)+1))</f>
        <v>10</v>
      </c>
      <c r="Q513" s="366" t="str">
        <f>IF($G513="","",TRIM(IF(J513+K513+L513+M513&lt;&gt;$G513,"按分不一致 ","")&amp;IF(O513="※未登録","科目未登録 ","")&amp;IF(OR($H513="",ISERROR(MATCH($H513,{1,2,3,4,5,6,7,8},0))),"経費区分? ","")&amp;IF($I513="","状態未設定 ","")&amp;IF(AND(OR($I513="確認済",$I513="未確認"),$B513="月例",OR($C513="",$C513&lt;DATE(年度+2018,4,1),$C513&gt;DATE(年度+2019,3,31))),"年度外の日付 ","")&amp;IF(AND(OR($I513="確認済",$I513="未確認"),O513="対象外"),"対象外の科目 ","")))</f>
        <v/>
      </c>
      <c r="R513" s="366" t="inlineStr">
        <is>
          <t>月例!534</t>
        </is>
      </c>
    </row>
    <row r="514">
      <c r="A514" s="359" t="n">
        <v>510</v>
      </c>
      <c r="B514" s="360" t="inlineStr">
        <is>
          <t>月例</t>
        </is>
      </c>
      <c r="C514" s="361" t="n">
        <v>43483</v>
      </c>
      <c r="D514" s="362" t="inlineStr">
        <is>
          <t>事務費</t>
        </is>
      </c>
      <c r="E514" s="362" t="inlineStr">
        <is>
          <t>通信運搬費</t>
        </is>
      </c>
      <c r="F514" s="362" t="inlineStr">
        <is>
          <t>切手</t>
        </is>
      </c>
      <c r="G514" s="363" t="n">
        <v>640300</v>
      </c>
      <c r="H514" s="360" t="n">
        <v>3</v>
      </c>
      <c r="I514" s="360" t="inlineStr">
        <is>
          <t>昨年実績</t>
        </is>
      </c>
      <c r="J514" s="364">
        <f>IF($G514="","",IF($H514=1,$G514-ROUND($G514*10/23,0)-2*ROUND($G514/23,0),IF($H514=2,$G514,0)))</f>
        <v>0</v>
      </c>
      <c r="K514" s="364">
        <f>IF($G514="","",IF($H514=1,ROUND($G514*10/23,0),IF($H514=3,$G514-2*ROUND($G514/12,0),IF($H514=4,$G514,IF(OR($H514=5,$H514=7),ROUND($G514*10/11,0),0)))))</f>
        <v>533584</v>
      </c>
      <c r="L514" s="364">
        <f>IF($G514="","",IF($H514=1,ROUND($G514/23,0),IF($H514=3,ROUND($G514/12,0),IF($H514=5,$G514-ROUND($G514*10/11,0),IF($H514=8,$G514,0)))))</f>
        <v>53358</v>
      </c>
      <c r="M514" s="364">
        <f>IF($G514="","",IF($H514=1,ROUND($G514/23,0),IF($H514=3,ROUND($G514/12,0),IF($H514=6,$G514,IF($H514=7,$G514-ROUND($G514*10/11,0),0)))))</f>
        <v>53358</v>
      </c>
      <c r="N514" s="364">
        <f>IF($G514="","",K514+L514+M514)</f>
        <v>640300</v>
      </c>
      <c r="O514" s="365" t="str">
        <f>IF($G514="","",IFERROR(VLOOKUP($D514&amp;"|"&amp;$E514,科目表!$A$5:$B$200,2,FALSE),"※未登録"))</f>
        <v>通信運搬費</v>
      </c>
      <c r="P514" s="359">
        <f>IF(OR($G514="",$C514=""),"",IF($B514="決算整理",13,MOD(MONTH($C514)-4,12)+1))</f>
        <v>10</v>
      </c>
      <c r="Q514" s="366" t="str">
        <f>IF($G514="","",TRIM(IF(J514+K514+L514+M514&lt;&gt;$G514,"按分不一致 ","")&amp;IF(O514="※未登録","科目未登録 ","")&amp;IF(OR($H514="",ISERROR(MATCH($H514,{1,2,3,4,5,6,7,8},0))),"経費区分? ","")&amp;IF($I514="","状態未設定 ","")&amp;IF(AND(OR($I514="確認済",$I514="未確認"),$B514="月例",OR($C514="",$C514&lt;DATE(年度+2018,4,1),$C514&gt;DATE(年度+2019,3,31))),"年度外の日付 ","")&amp;IF(AND(OR($I514="確認済",$I514="未確認"),O514="対象外"),"対象外の科目 ","")))</f>
        <v/>
      </c>
      <c r="R514" s="366" t="inlineStr">
        <is>
          <t>月例!535</t>
        </is>
      </c>
    </row>
    <row r="515">
      <c r="A515" s="359" t="n">
        <v>511</v>
      </c>
      <c r="B515" s="360" t="inlineStr">
        <is>
          <t>月例</t>
        </is>
      </c>
      <c r="C515" s="361" t="n">
        <v>43483</v>
      </c>
      <c r="D515" s="362" t="inlineStr">
        <is>
          <t>事務費</t>
        </is>
      </c>
      <c r="E515" s="362" t="inlineStr">
        <is>
          <t>通信運搬費</t>
        </is>
      </c>
      <c r="F515" s="362" t="inlineStr">
        <is>
          <t>切手</t>
        </is>
      </c>
      <c r="G515" s="363" t="n">
        <v>217800</v>
      </c>
      <c r="H515" s="360" t="n">
        <v>2</v>
      </c>
      <c r="I515" s="360" t="inlineStr">
        <is>
          <t>昨年実績</t>
        </is>
      </c>
      <c r="J515" s="364">
        <f>IF($G515="","",IF($H515=1,$G515-ROUND($G515*10/23,0)-2*ROUND($G515/23,0),IF($H515=2,$G515,0)))</f>
        <v>217800</v>
      </c>
      <c r="K515" s="364">
        <f>IF($G515="","",IF($H515=1,ROUND($G515*10/23,0),IF($H515=3,$G515-2*ROUND($G515/12,0),IF($H515=4,$G515,IF(OR($H515=5,$H515=7),ROUND($G515*10/11,0),0)))))</f>
        <v>0</v>
      </c>
      <c r="L515" s="364">
        <f>IF($G515="","",IF($H515=1,ROUND($G515/23,0),IF($H515=3,ROUND($G515/12,0),IF($H515=5,$G515-ROUND($G515*10/11,0),IF($H515=8,$G515,0)))))</f>
        <v>0</v>
      </c>
      <c r="M515" s="364">
        <f>IF($G515="","",IF($H515=1,ROUND($G515/23,0),IF($H515=3,ROUND($G515/12,0),IF($H515=6,$G515,IF($H515=7,$G515-ROUND($G515*10/11,0),0)))))</f>
        <v>0</v>
      </c>
      <c r="N515" s="364">
        <f>IF($G515="","",K515+L515+M515)</f>
        <v>0</v>
      </c>
      <c r="O515" s="365" t="str">
        <f>IF($G515="","",IFERROR(VLOOKUP($D515&amp;"|"&amp;$E515,科目表!$A$5:$B$200,2,FALSE),"※未登録"))</f>
        <v>通信運搬費</v>
      </c>
      <c r="P515" s="359">
        <f>IF(OR($G515="",$C515=""),"",IF($B515="決算整理",13,MOD(MONTH($C515)-4,12)+1))</f>
        <v>10</v>
      </c>
      <c r="Q515" s="366" t="str">
        <f>IF($G515="","",TRIM(IF(J515+K515+L515+M515&lt;&gt;$G515,"按分不一致 ","")&amp;IF(O515="※未登録","科目未登録 ","")&amp;IF(OR($H515="",ISERROR(MATCH($H515,{1,2,3,4,5,6,7,8},0))),"経費区分? ","")&amp;IF($I515="","状態未設定 ","")&amp;IF(AND(OR($I515="確認済",$I515="未確認"),$B515="月例",OR($C515="",$C515&lt;DATE(年度+2018,4,1),$C515&gt;DATE(年度+2019,3,31))),"年度外の日付 ","")&amp;IF(AND(OR($I515="確認済",$I515="未確認"),O515="対象外"),"対象外の科目 ","")))</f>
        <v/>
      </c>
      <c r="R515" s="366" t="inlineStr">
        <is>
          <t>月例!536</t>
        </is>
      </c>
    </row>
    <row r="516">
      <c r="A516" s="359" t="n">
        <v>512</v>
      </c>
      <c r="B516" s="360" t="inlineStr">
        <is>
          <t>月例</t>
        </is>
      </c>
      <c r="C516" s="361" t="n">
        <v>46042</v>
      </c>
      <c r="D516" s="362" t="inlineStr">
        <is>
          <t>委託費</t>
        </is>
      </c>
      <c r="E516" s="362" t="n"/>
      <c r="F516" s="362" t="inlineStr">
        <is>
          <t>レセプト電子データ提供料（１０月診療分）</t>
        </is>
      </c>
      <c r="G516" s="363" t="n">
        <v>60454</v>
      </c>
      <c r="H516" s="360" t="n">
        <v>2</v>
      </c>
      <c r="I516" s="360" t="inlineStr">
        <is>
          <t>昨年実績</t>
        </is>
      </c>
      <c r="J516" s="364">
        <f>IF($G516="","",IF($H516=1,$G516-ROUND($G516*10/23,0)-2*ROUND($G516/23,0),IF($H516=2,$G516,0)))</f>
        <v>60454</v>
      </c>
      <c r="K516" s="364">
        <f>IF($G516="","",IF($H516=1,ROUND($G516*10/23,0),IF($H516=3,$G516-2*ROUND($G516/12,0),IF($H516=4,$G516,IF(OR($H516=5,$H516=7),ROUND($G516*10/11,0),0)))))</f>
        <v>0</v>
      </c>
      <c r="L516" s="364">
        <f>IF($G516="","",IF($H516=1,ROUND($G516/23,0),IF($H516=3,ROUND($G516/12,0),IF($H516=5,$G516-ROUND($G516*10/11,0),IF($H516=8,$G516,0)))))</f>
        <v>0</v>
      </c>
      <c r="M516" s="364">
        <f>IF($G516="","",IF($H516=1,ROUND($G516/23,0),IF($H516=3,ROUND($G516/12,0),IF($H516=6,$G516,IF($H516=7,$G516-ROUND($G516*10/11,0),0)))))</f>
        <v>0</v>
      </c>
      <c r="N516" s="364">
        <f>IF($G516="","",K516+L516+M516)</f>
        <v>0</v>
      </c>
      <c r="O516" s="365" t="str">
        <f>IF($G516="","",IFERROR(VLOOKUP($D516&amp;"|"&amp;$E516,科目表!$A$5:$B$200,2,FALSE),"※未登録"))</f>
        <v>委託費</v>
      </c>
      <c r="P516" s="359">
        <f>IF(OR($G516="",$C516=""),"",IF($B516="決算整理",13,MOD(MONTH($C516)-4,12)+1))</f>
        <v>10</v>
      </c>
      <c r="Q516" s="366" t="str">
        <f>IF($G516="","",TRIM(IF(J516+K516+L516+M516&lt;&gt;$G516,"按分不一致 ","")&amp;IF(O516="※未登録","科目未登録 ","")&amp;IF(OR($H516="",ISERROR(MATCH($H516,{1,2,3,4,5,6,7,8},0))),"経費区分? ","")&amp;IF($I516="","状態未設定 ","")&amp;IF(AND(OR($I516="確認済",$I516="未確認"),$B516="月例",OR($C516="",$C516&lt;DATE(年度+2018,4,1),$C516&gt;DATE(年度+2019,3,31))),"年度外の日付 ","")&amp;IF(AND(OR($I516="確認済",$I516="未確認"),O516="対象外"),"対象外の科目 ","")))</f>
        <v/>
      </c>
      <c r="R516" s="366" t="inlineStr">
        <is>
          <t>月例!537</t>
        </is>
      </c>
    </row>
    <row r="517">
      <c r="A517" s="359" t="n">
        <v>513</v>
      </c>
      <c r="B517" s="360" t="inlineStr">
        <is>
          <t>月例</t>
        </is>
      </c>
      <c r="C517" s="361" t="n">
        <v>46043</v>
      </c>
      <c r="D517" s="362" t="inlineStr">
        <is>
          <t>職員給与</t>
        </is>
      </c>
      <c r="E517" s="362" t="inlineStr">
        <is>
          <t>非常勤職員手当</t>
        </is>
      </c>
      <c r="F517" s="362" t="inlineStr">
        <is>
          <t>1月分給与（長期分）</t>
        </is>
      </c>
      <c r="G517" s="363" t="n">
        <v>395611</v>
      </c>
      <c r="H517" s="360" t="n">
        <v>3</v>
      </c>
      <c r="I517" s="360" t="inlineStr">
        <is>
          <t>昨年実績</t>
        </is>
      </c>
      <c r="J517" s="364">
        <f>IF($G517="","",IF($H517=1,$G517-ROUND($G517*10/23,0)-2*ROUND($G517/23,0),IF($H517=2,$G517,0)))</f>
        <v>0</v>
      </c>
      <c r="K517" s="364">
        <f>IF($G517="","",IF($H517=1,ROUND($G517*10/23,0),IF($H517=3,$G517-2*ROUND($G517/12,0),IF($H517=4,$G517,IF(OR($H517=5,$H517=7),ROUND($G517*10/11,0),0)))))</f>
        <v>329675</v>
      </c>
      <c r="L517" s="364">
        <f>IF($G517="","",IF($H517=1,ROUND($G517/23,0),IF($H517=3,ROUND($G517/12,0),IF($H517=5,$G517-ROUND($G517*10/11,0),IF($H517=8,$G517,0)))))</f>
        <v>32968</v>
      </c>
      <c r="M517" s="364">
        <f>IF($G517="","",IF($H517=1,ROUND($G517/23,0),IF($H517=3,ROUND($G517/12,0),IF($H517=6,$G517,IF($H517=7,$G517-ROUND($G517*10/11,0),0)))))</f>
        <v>32968</v>
      </c>
      <c r="N517" s="364">
        <f>IF($G517="","",K517+L517+M517)</f>
        <v>395611</v>
      </c>
      <c r="O517" s="365" t="str">
        <f>IF($G517="","",IFERROR(VLOOKUP($D517&amp;"|"&amp;$E517,科目表!$A$5:$B$200,2,FALSE),"※未登録"))</f>
        <v>非常勤職員手当</v>
      </c>
      <c r="P517" s="359">
        <f>IF(OR($G517="",$C517=""),"",IF($B517="決算整理",13,MOD(MONTH($C517)-4,12)+1))</f>
        <v>10</v>
      </c>
      <c r="Q517" s="366" t="str">
        <f>IF($G517="","",TRIM(IF(J517+K517+L517+M517&lt;&gt;$G517,"按分不一致 ","")&amp;IF(O517="※未登録","科目未登録 ","")&amp;IF(OR($H517="",ISERROR(MATCH($H517,{1,2,3,4,5,6,7,8},0))),"経費区分? ","")&amp;IF($I517="","状態未設定 ","")&amp;IF(AND(OR($I517="確認済",$I517="未確認"),$B517="月例",OR($C517="",$C517&lt;DATE(年度+2018,4,1),$C517&gt;DATE(年度+2019,3,31))),"年度外の日付 ","")&amp;IF(AND(OR($I517="確認済",$I517="未確認"),O517="対象外"),"対象外の科目 ","")))</f>
        <v/>
      </c>
      <c r="R517" s="366" t="inlineStr">
        <is>
          <t>月例!538</t>
        </is>
      </c>
    </row>
    <row r="518">
      <c r="A518" s="359" t="n">
        <v>514</v>
      </c>
      <c r="B518" s="360" t="inlineStr">
        <is>
          <t>月例</t>
        </is>
      </c>
      <c r="C518" s="361" t="n">
        <v>46043</v>
      </c>
      <c r="D518" s="362" t="inlineStr">
        <is>
          <t>職員給与</t>
        </is>
      </c>
      <c r="E518" s="362" t="inlineStr">
        <is>
          <t>非常勤職員手当</t>
        </is>
      </c>
      <c r="F518" s="362" t="inlineStr">
        <is>
          <t>1月分給与（短期分）</t>
        </is>
      </c>
      <c r="G518" s="363" t="n">
        <v>228265</v>
      </c>
      <c r="H518" s="360" t="n">
        <v>2</v>
      </c>
      <c r="I518" s="360" t="inlineStr">
        <is>
          <t>昨年実績</t>
        </is>
      </c>
      <c r="J518" s="364">
        <f>IF($G518="","",IF($H518=1,$G518-ROUND($G518*10/23,0)-2*ROUND($G518/23,0),IF($H518=2,$G518,0)))</f>
        <v>228265</v>
      </c>
      <c r="K518" s="364">
        <f>IF($G518="","",IF($H518=1,ROUND($G518*10/23,0),IF($H518=3,$G518-2*ROUND($G518/12,0),IF($H518=4,$G518,IF(OR($H518=5,$H518=7),ROUND($G518*10/11,0),0)))))</f>
        <v>0</v>
      </c>
      <c r="L518" s="364">
        <f>IF($G518="","",IF($H518=1,ROUND($G518/23,0),IF($H518=3,ROUND($G518/12,0),IF($H518=5,$G518-ROUND($G518*10/11,0),IF($H518=8,$G518,0)))))</f>
        <v>0</v>
      </c>
      <c r="M518" s="364">
        <f>IF($G518="","",IF($H518=1,ROUND($G518/23,0),IF($H518=3,ROUND($G518/12,0),IF($H518=6,$G518,IF($H518=7,$G518-ROUND($G518*10/11,0),0)))))</f>
        <v>0</v>
      </c>
      <c r="N518" s="364">
        <f>IF($G518="","",K518+L518+M518)</f>
        <v>0</v>
      </c>
      <c r="O518" s="365" t="str">
        <f>IF($G518="","",IFERROR(VLOOKUP($D518&amp;"|"&amp;$E518,科目表!$A$5:$B$200,2,FALSE),"※未登録"))</f>
        <v>非常勤職員手当</v>
      </c>
      <c r="P518" s="359">
        <f>IF(OR($G518="",$C518=""),"",IF($B518="決算整理",13,MOD(MONTH($C518)-4,12)+1))</f>
        <v>10</v>
      </c>
      <c r="Q518" s="366" t="str">
        <f>IF($G518="","",TRIM(IF(J518+K518+L518+M518&lt;&gt;$G518,"按分不一致 ","")&amp;IF(O518="※未登録","科目未登録 ","")&amp;IF(OR($H518="",ISERROR(MATCH($H518,{1,2,3,4,5,6,7,8},0))),"経費区分? ","")&amp;IF($I518="","状態未設定 ","")&amp;IF(AND(OR($I518="確認済",$I518="未確認"),$B518="月例",OR($C518="",$C518&lt;DATE(年度+2018,4,1),$C518&gt;DATE(年度+2019,3,31))),"年度外の日付 ","")&amp;IF(AND(OR($I518="確認済",$I518="未確認"),O518="対象外"),"対象外の科目 ","")))</f>
        <v/>
      </c>
      <c r="R518" s="366" t="inlineStr">
        <is>
          <t>月例!539</t>
        </is>
      </c>
    </row>
    <row r="519">
      <c r="A519" s="359" t="n">
        <v>515</v>
      </c>
      <c r="B519" s="360" t="inlineStr">
        <is>
          <t>月例</t>
        </is>
      </c>
      <c r="C519" s="361" t="n">
        <v>46043</v>
      </c>
      <c r="D519" s="362" t="inlineStr">
        <is>
          <t>負担金</t>
        </is>
      </c>
      <c r="E519" s="362" t="inlineStr">
        <is>
          <t>互助会費</t>
        </is>
      </c>
      <c r="F519" s="362" t="inlineStr">
        <is>
          <t>助成金（1月長期分）</t>
        </is>
      </c>
      <c r="G519" s="363" t="n">
        <v>554</v>
      </c>
      <c r="H519" s="360" t="n">
        <v>3</v>
      </c>
      <c r="I519" s="360" t="inlineStr">
        <is>
          <t>昨年実績</t>
        </is>
      </c>
      <c r="J519" s="364">
        <f>IF($G519="","",IF($H519=1,$G519-ROUND($G519*10/23,0)-2*ROUND($G519/23,0),IF($H519=2,$G519,0)))</f>
        <v>0</v>
      </c>
      <c r="K519" s="364">
        <f>IF($G519="","",IF($H519=1,ROUND($G519*10/23,0),IF($H519=3,$G519-2*ROUND($G519/12,0),IF($H519=4,$G519,IF(OR($H519=5,$H519=7),ROUND($G519*10/11,0),0)))))</f>
        <v>462</v>
      </c>
      <c r="L519" s="364">
        <f>IF($G519="","",IF($H519=1,ROUND($G519/23,0),IF($H519=3,ROUND($G519/12,0),IF($H519=5,$G519-ROUND($G519*10/11,0),IF($H519=8,$G519,0)))))</f>
        <v>46</v>
      </c>
      <c r="M519" s="364">
        <f>IF($G519="","",IF($H519=1,ROUND($G519/23,0),IF($H519=3,ROUND($G519/12,0),IF($H519=6,$G519,IF($H519=7,$G519-ROUND($G519*10/11,0),0)))))</f>
        <v>46</v>
      </c>
      <c r="N519" s="364">
        <f>IF($G519="","",K519+L519+M519)</f>
        <v>554</v>
      </c>
      <c r="O519" s="365" t="str">
        <f>IF($G519="","",IFERROR(VLOOKUP($D519&amp;"|"&amp;$E519,科目表!$A$5:$B$200,2,FALSE),"※未登録"))</f>
        <v>互助会費</v>
      </c>
      <c r="P519" s="359">
        <f>IF(OR($G519="",$C519=""),"",IF($B519="決算整理",13,MOD(MONTH($C519)-4,12)+1))</f>
        <v>10</v>
      </c>
      <c r="Q519" s="366" t="str">
        <f>IF($G519="","",TRIM(IF(J519+K519+L519+M519&lt;&gt;$G519,"按分不一致 ","")&amp;IF(O519="※未登録","科目未登録 ","")&amp;IF(OR($H519="",ISERROR(MATCH($H519,{1,2,3,4,5,6,7,8},0))),"経費区分? ","")&amp;IF($I519="","状態未設定 ","")&amp;IF(AND(OR($I519="確認済",$I519="未確認"),$B519="月例",OR($C519="",$C519&lt;DATE(年度+2018,4,1),$C519&gt;DATE(年度+2019,3,31))),"年度外の日付 ","")&amp;IF(AND(OR($I519="確認済",$I519="未確認"),O519="対象外"),"対象外の科目 ","")))</f>
        <v/>
      </c>
      <c r="R519" s="366" t="inlineStr">
        <is>
          <t>月例!540</t>
        </is>
      </c>
    </row>
    <row r="520">
      <c r="A520" s="359" t="n">
        <v>516</v>
      </c>
      <c r="B520" s="360" t="inlineStr">
        <is>
          <t>月例</t>
        </is>
      </c>
      <c r="C520" s="361" t="n">
        <v>46043</v>
      </c>
      <c r="D520" s="362" t="inlineStr">
        <is>
          <t>負担金</t>
        </is>
      </c>
      <c r="E520" s="362" t="inlineStr">
        <is>
          <t>互助会費</t>
        </is>
      </c>
      <c r="F520" s="362" t="inlineStr">
        <is>
          <t>助成金（1月短期分）</t>
        </is>
      </c>
      <c r="G520" s="363" t="n">
        <v>284</v>
      </c>
      <c r="H520" s="360" t="n">
        <v>2</v>
      </c>
      <c r="I520" s="360" t="inlineStr">
        <is>
          <t>昨年実績</t>
        </is>
      </c>
      <c r="J520" s="364">
        <f>IF($G520="","",IF($H520=1,$G520-ROUND($G520*10/23,0)-2*ROUND($G520/23,0),IF($H520=2,$G520,0)))</f>
        <v>284</v>
      </c>
      <c r="K520" s="364">
        <f>IF($G520="","",IF($H520=1,ROUND($G520*10/23,0),IF($H520=3,$G520-2*ROUND($G520/12,0),IF($H520=4,$G520,IF(OR($H520=5,$H520=7),ROUND($G520*10/11,0),0)))))</f>
        <v>0</v>
      </c>
      <c r="L520" s="364">
        <f>IF($G520="","",IF($H520=1,ROUND($G520/23,0),IF($H520=3,ROUND($G520/12,0),IF($H520=5,$G520-ROUND($G520*10/11,0),IF($H520=8,$G520,0)))))</f>
        <v>0</v>
      </c>
      <c r="M520" s="364">
        <f>IF($G520="","",IF($H520=1,ROUND($G520/23,0),IF($H520=3,ROUND($G520/12,0),IF($H520=6,$G520,IF($H520=7,$G520-ROUND($G520*10/11,0),0)))))</f>
        <v>0</v>
      </c>
      <c r="N520" s="364">
        <f>IF($G520="","",K520+L520+M520)</f>
        <v>0</v>
      </c>
      <c r="O520" s="365" t="str">
        <f>IF($G520="","",IFERROR(VLOOKUP($D520&amp;"|"&amp;$E520,科目表!$A$5:$B$200,2,FALSE),"※未登録"))</f>
        <v>互助会費</v>
      </c>
      <c r="P520" s="359">
        <f>IF(OR($G520="",$C520=""),"",IF($B520="決算整理",13,MOD(MONTH($C520)-4,12)+1))</f>
        <v>10</v>
      </c>
      <c r="Q520" s="366" t="str">
        <f>IF($G520="","",TRIM(IF(J520+K520+L520+M520&lt;&gt;$G520,"按分不一致 ","")&amp;IF(O520="※未登録","科目未登録 ","")&amp;IF(OR($H520="",ISERROR(MATCH($H520,{1,2,3,4,5,6,7,8},0))),"経費区分? ","")&amp;IF($I520="","状態未設定 ","")&amp;IF(AND(OR($I520="確認済",$I520="未確認"),$B520="月例",OR($C520="",$C520&lt;DATE(年度+2018,4,1),$C520&gt;DATE(年度+2019,3,31))),"年度外の日付 ","")&amp;IF(AND(OR($I520="確認済",$I520="未確認"),O520="対象外"),"対象外の科目 ","")))</f>
        <v/>
      </c>
      <c r="R520" s="366" t="inlineStr">
        <is>
          <t>月例!541</t>
        </is>
      </c>
    </row>
    <row r="521">
      <c r="A521" s="359" t="n">
        <v>517</v>
      </c>
      <c r="B521" s="360" t="inlineStr">
        <is>
          <t>月例</t>
        </is>
      </c>
      <c r="C521" s="361" t="n">
        <v>44216</v>
      </c>
      <c r="D521" s="362" t="inlineStr">
        <is>
          <t>事務費</t>
        </is>
      </c>
      <c r="E521" s="362" t="inlineStr">
        <is>
          <t>通信運搬費</t>
        </is>
      </c>
      <c r="F521" s="362" t="inlineStr">
        <is>
          <t>電話料金（１２月使用・１月請求分）</t>
        </is>
      </c>
      <c r="G521" s="363" t="n">
        <v>5406</v>
      </c>
      <c r="H521" s="360" t="n">
        <v>2</v>
      </c>
      <c r="I521" s="360" t="inlineStr">
        <is>
          <t>昨年実績</t>
        </is>
      </c>
      <c r="J521" s="364">
        <f>IF($G521="","",IF($H521=1,$G521-ROUND($G521*10/23,0)-2*ROUND($G521/23,0),IF($H521=2,$G521,0)))</f>
        <v>5406</v>
      </c>
      <c r="K521" s="364">
        <f>IF($G521="","",IF($H521=1,ROUND($G521*10/23,0),IF($H521=3,$G521-2*ROUND($G521/12,0),IF($H521=4,$G521,IF(OR($H521=5,$H521=7),ROUND($G521*10/11,0),0)))))</f>
        <v>0</v>
      </c>
      <c r="L521" s="364">
        <f>IF($G521="","",IF($H521=1,ROUND($G521/23,0),IF($H521=3,ROUND($G521/12,0),IF($H521=5,$G521-ROUND($G521*10/11,0),IF($H521=8,$G521,0)))))</f>
        <v>0</v>
      </c>
      <c r="M521" s="364">
        <f>IF($G521="","",IF($H521=1,ROUND($G521/23,0),IF($H521=3,ROUND($G521/12,0),IF($H521=6,$G521,IF($H521=7,$G521-ROUND($G521*10/11,0),0)))))</f>
        <v>0</v>
      </c>
      <c r="N521" s="364">
        <f>IF($G521="","",K521+L521+M521)</f>
        <v>0</v>
      </c>
      <c r="O521" s="365" t="str">
        <f>IF($G521="","",IFERROR(VLOOKUP($D521&amp;"|"&amp;$E521,科目表!$A$5:$B$200,2,FALSE),"※未登録"))</f>
        <v>通信運搬費</v>
      </c>
      <c r="P521" s="359">
        <f>IF(OR($G521="",$C521=""),"",IF($B521="決算整理",13,MOD(MONTH($C521)-4,12)+1))</f>
        <v>10</v>
      </c>
      <c r="Q521" s="366" t="str">
        <f>IF($G521="","",TRIM(IF(J521+K521+L521+M521&lt;&gt;$G521,"按分不一致 ","")&amp;IF(O521="※未登録","科目未登録 ","")&amp;IF(OR($H521="",ISERROR(MATCH($H521,{1,2,3,4,5,6,7,8},0))),"経費区分? ","")&amp;IF($I521="","状態未設定 ","")&amp;IF(AND(OR($I521="確認済",$I521="未確認"),$B521="月例",OR($C521="",$C521&lt;DATE(年度+2018,4,1),$C521&gt;DATE(年度+2019,3,31))),"年度外の日付 ","")&amp;IF(AND(OR($I521="確認済",$I521="未確認"),O521="対象外"),"対象外の科目 ","")))</f>
        <v/>
      </c>
      <c r="R521" s="366" t="inlineStr">
        <is>
          <t>月例!542</t>
        </is>
      </c>
    </row>
    <row r="522">
      <c r="A522" s="359" t="n">
        <v>518</v>
      </c>
      <c r="B522" s="360" t="inlineStr">
        <is>
          <t>月例</t>
        </is>
      </c>
      <c r="C522" s="361" t="n">
        <v>44217</v>
      </c>
      <c r="D522" s="362" t="inlineStr">
        <is>
          <t>職員給与</t>
        </is>
      </c>
      <c r="E522" s="362" t="inlineStr">
        <is>
          <t>非常勤職員手当</t>
        </is>
      </c>
      <c r="F522" s="362" t="inlineStr">
        <is>
          <t>１月分給与（長期分）</t>
        </is>
      </c>
      <c r="G522" s="363" t="n">
        <v>340401</v>
      </c>
      <c r="H522" s="360" t="n">
        <v>3</v>
      </c>
      <c r="I522" s="360" t="inlineStr">
        <is>
          <t>昨年実績</t>
        </is>
      </c>
      <c r="J522" s="364">
        <f>IF($G522="","",IF($H522=1,$G522-ROUND($G522*10/23,0)-2*ROUND($G522/23,0),IF($H522=2,$G522,0)))</f>
        <v>0</v>
      </c>
      <c r="K522" s="364">
        <f>IF($G522="","",IF($H522=1,ROUND($G522*10/23,0),IF($H522=3,$G522-2*ROUND($G522/12,0),IF($H522=4,$G522,IF(OR($H522=5,$H522=7),ROUND($G522*10/11,0),0)))))</f>
        <v>283667</v>
      </c>
      <c r="L522" s="364">
        <f>IF($G522="","",IF($H522=1,ROUND($G522/23,0),IF($H522=3,ROUND($G522/12,0),IF($H522=5,$G522-ROUND($G522*10/11,0),IF($H522=8,$G522,0)))))</f>
        <v>28367</v>
      </c>
      <c r="M522" s="364">
        <f>IF($G522="","",IF($H522=1,ROUND($G522/23,0),IF($H522=3,ROUND($G522/12,0),IF($H522=6,$G522,IF($H522=7,$G522-ROUND($G522*10/11,0),0)))))</f>
        <v>28367</v>
      </c>
      <c r="N522" s="364">
        <f>IF($G522="","",K522+L522+M522)</f>
        <v>340401</v>
      </c>
      <c r="O522" s="365" t="str">
        <f>IF($G522="","",IFERROR(VLOOKUP($D522&amp;"|"&amp;$E522,科目表!$A$5:$B$200,2,FALSE),"※未登録"))</f>
        <v>非常勤職員手当</v>
      </c>
      <c r="P522" s="359">
        <f>IF(OR($G522="",$C522=""),"",IF($B522="決算整理",13,MOD(MONTH($C522)-4,12)+1))</f>
        <v>10</v>
      </c>
      <c r="Q522" s="366" t="str">
        <f>IF($G522="","",TRIM(IF(J522+K522+L522+M522&lt;&gt;$G522,"按分不一致 ","")&amp;IF(O522="※未登録","科目未登録 ","")&amp;IF(OR($H522="",ISERROR(MATCH($H522,{1,2,3,4,5,6,7,8},0))),"経費区分? ","")&amp;IF($I522="","状態未設定 ","")&amp;IF(AND(OR($I522="確認済",$I522="未確認"),$B522="月例",OR($C522="",$C522&lt;DATE(年度+2018,4,1),$C522&gt;DATE(年度+2019,3,31))),"年度外の日付 ","")&amp;IF(AND(OR($I522="確認済",$I522="未確認"),O522="対象外"),"対象外の科目 ","")))</f>
        <v/>
      </c>
      <c r="R522" s="366" t="inlineStr">
        <is>
          <t>月例!543</t>
        </is>
      </c>
    </row>
    <row r="523">
      <c r="A523" s="359" t="n">
        <v>519</v>
      </c>
      <c r="B523" s="360" t="inlineStr">
        <is>
          <t>月例</t>
        </is>
      </c>
      <c r="C523" s="361" t="n">
        <v>46052</v>
      </c>
      <c r="D523" s="362" t="inlineStr">
        <is>
          <t>事務費</t>
        </is>
      </c>
      <c r="E523" s="362" t="inlineStr">
        <is>
          <t>送金料</t>
        </is>
      </c>
      <c r="F523" s="362" t="inlineStr">
        <is>
          <t>ゆうちょ銀行手数料（１２月分）短期</t>
        </is>
      </c>
      <c r="G523" s="363" t="n">
        <v>10578</v>
      </c>
      <c r="H523" s="360" t="n">
        <v>2</v>
      </c>
      <c r="I523" s="360" t="inlineStr">
        <is>
          <t>昨年実績</t>
        </is>
      </c>
      <c r="J523" s="364">
        <f>IF($G523="","",IF($H523=1,$G523-ROUND($G523*10/23,0)-2*ROUND($G523/23,0),IF($H523=2,$G523,0)))</f>
        <v>10578</v>
      </c>
      <c r="K523" s="364">
        <f>IF($G523="","",IF($H523=1,ROUND($G523*10/23,0),IF($H523=3,$G523-2*ROUND($G523/12,0),IF($H523=4,$G523,IF(OR($H523=5,$H523=7),ROUND($G523*10/11,0),0)))))</f>
        <v>0</v>
      </c>
      <c r="L523" s="364">
        <f>IF($G523="","",IF($H523=1,ROUND($G523/23,0),IF($H523=3,ROUND($G523/12,0),IF($H523=5,$G523-ROUND($G523*10/11,0),IF($H523=8,$G523,0)))))</f>
        <v>0</v>
      </c>
      <c r="M523" s="364">
        <f>IF($G523="","",IF($H523=1,ROUND($G523/23,0),IF($H523=3,ROUND($G523/12,0),IF($H523=6,$G523,IF($H523=7,$G523-ROUND($G523*10/11,0),0)))))</f>
        <v>0</v>
      </c>
      <c r="N523" s="364">
        <f>IF($G523="","",K523+L523+M523)</f>
        <v>0</v>
      </c>
      <c r="O523" s="365" t="str">
        <f>IF($G523="","",IFERROR(VLOOKUP($D523&amp;"|"&amp;$E523,科目表!$A$5:$B$200,2,FALSE),"※未登録"))</f>
        <v>送金料</v>
      </c>
      <c r="P523" s="359">
        <f>IF(OR($G523="",$C523=""),"",IF($B523="決算整理",13,MOD(MONTH($C523)-4,12)+1))</f>
        <v>10</v>
      </c>
      <c r="Q523" s="366" t="str">
        <f>IF($G523="","",TRIM(IF(J523+K523+L523+M523&lt;&gt;$G523,"按分不一致 ","")&amp;IF(O523="※未登録","科目未登録 ","")&amp;IF(OR($H523="",ISERROR(MATCH($H523,{1,2,3,4,5,6,7,8},0))),"経費区分? ","")&amp;IF($I523="","状態未設定 ","")&amp;IF(AND(OR($I523="確認済",$I523="未確認"),$B523="月例",OR($C523="",$C523&lt;DATE(年度+2018,4,1),$C523&gt;DATE(年度+2019,3,31))),"年度外の日付 ","")&amp;IF(AND(OR($I523="確認済",$I523="未確認"),O523="対象外"),"対象外の科目 ","")))</f>
        <v/>
      </c>
      <c r="R523" s="366" t="inlineStr">
        <is>
          <t>月例!545</t>
        </is>
      </c>
    </row>
    <row r="524">
      <c r="A524" s="359" t="n">
        <v>520</v>
      </c>
      <c r="B524" s="360" t="inlineStr">
        <is>
          <t>月例</t>
        </is>
      </c>
      <c r="C524" s="361" t="n">
        <v>46052</v>
      </c>
      <c r="D524" s="362" t="inlineStr">
        <is>
          <t>事務費</t>
        </is>
      </c>
      <c r="E524" s="362" t="inlineStr">
        <is>
          <t>雑費</t>
        </is>
      </c>
      <c r="F524" s="362" t="inlineStr">
        <is>
          <t>ゆうちょ銀行振替口座残高証明（１２月分）短期</t>
        </is>
      </c>
      <c r="G524" s="363" t="n">
        <v>550</v>
      </c>
      <c r="H524" s="360" t="n">
        <v>2</v>
      </c>
      <c r="I524" s="360" t="inlineStr">
        <is>
          <t>昨年実績</t>
        </is>
      </c>
      <c r="J524" s="364">
        <f>IF($G524="","",IF($H524=1,$G524-ROUND($G524*10/23,0)-2*ROUND($G524/23,0),IF($H524=2,$G524,0)))</f>
        <v>550</v>
      </c>
      <c r="K524" s="364">
        <f>IF($G524="","",IF($H524=1,ROUND($G524*10/23,0),IF($H524=3,$G524-2*ROUND($G524/12,0),IF($H524=4,$G524,IF(OR($H524=5,$H524=7),ROUND($G524*10/11,0),0)))))</f>
        <v>0</v>
      </c>
      <c r="L524" s="364">
        <f>IF($G524="","",IF($H524=1,ROUND($G524/23,0),IF($H524=3,ROUND($G524/12,0),IF($H524=5,$G524-ROUND($G524*10/11,0),IF($H524=8,$G524,0)))))</f>
        <v>0</v>
      </c>
      <c r="M524" s="364">
        <f>IF($G524="","",IF($H524=1,ROUND($G524/23,0),IF($H524=3,ROUND($G524/12,0),IF($H524=6,$G524,IF($H524=7,$G524-ROUND($G524*10/11,0),0)))))</f>
        <v>0</v>
      </c>
      <c r="N524" s="364">
        <f>IF($G524="","",K524+L524+M524)</f>
        <v>0</v>
      </c>
      <c r="O524" s="365" t="str">
        <f>IF($G524="","",IFERROR(VLOOKUP($D524&amp;"|"&amp;$E524,科目表!$A$5:$B$200,2,FALSE),"※未登録"))</f>
        <v>事務費・雑費</v>
      </c>
      <c r="P524" s="359">
        <f>IF(OR($G524="",$C524=""),"",IF($B524="決算整理",13,MOD(MONTH($C524)-4,12)+1))</f>
        <v>10</v>
      </c>
      <c r="Q524" s="366" t="str">
        <f>IF($G524="","",TRIM(IF(J524+K524+L524+M524&lt;&gt;$G524,"按分不一致 ","")&amp;IF(O524="※未登録","科目未登録 ","")&amp;IF(OR($H524="",ISERROR(MATCH($H524,{1,2,3,4,5,6,7,8},0))),"経費区分? ","")&amp;IF($I524="","状態未設定 ","")&amp;IF(AND(OR($I524="確認済",$I524="未確認"),$B524="月例",OR($C524="",$C524&lt;DATE(年度+2018,4,1),$C524&gt;DATE(年度+2019,3,31))),"年度外の日付 ","")&amp;IF(AND(OR($I524="確認済",$I524="未確認"),O524="対象外"),"対象外の科目 ","")))</f>
        <v/>
      </c>
      <c r="R524" s="366" t="inlineStr">
        <is>
          <t>月例!546</t>
        </is>
      </c>
    </row>
    <row r="525">
      <c r="A525" s="359" t="n">
        <v>521</v>
      </c>
      <c r="B525" s="360" t="inlineStr">
        <is>
          <t>月例</t>
        </is>
      </c>
      <c r="C525" s="361" t="n">
        <v>44582</v>
      </c>
      <c r="D525" s="362" t="inlineStr">
        <is>
          <t>事務費</t>
        </is>
      </c>
      <c r="E525" s="362" t="inlineStr">
        <is>
          <t>雑費</t>
        </is>
      </c>
      <c r="F525" s="362" t="inlineStr">
        <is>
          <t>ゆうちょ銀行トークン利用に係る申込手数料</t>
        </is>
      </c>
      <c r="G525" s="363" t="n">
        <v>825</v>
      </c>
      <c r="H525" s="360" t="n">
        <v>2</v>
      </c>
      <c r="I525" s="360" t="inlineStr">
        <is>
          <t>昨年実績</t>
        </is>
      </c>
      <c r="J525" s="364">
        <f>IF($G525="","",IF($H525=1,$G525-ROUND($G525*10/23,0)-2*ROUND($G525/23,0),IF($H525=2,$G525,0)))</f>
        <v>825</v>
      </c>
      <c r="K525" s="364">
        <f>IF($G525="","",IF($H525=1,ROUND($G525*10/23,0),IF($H525=3,$G525-2*ROUND($G525/12,0),IF($H525=4,$G525,IF(OR($H525=5,$H525=7),ROUND($G525*10/11,0),0)))))</f>
        <v>0</v>
      </c>
      <c r="L525" s="364">
        <f>IF($G525="","",IF($H525=1,ROUND($G525/23,0),IF($H525=3,ROUND($G525/12,0),IF($H525=5,$G525-ROUND($G525*10/11,0),IF($H525=8,$G525,0)))))</f>
        <v>0</v>
      </c>
      <c r="M525" s="364">
        <f>IF($G525="","",IF($H525=1,ROUND($G525/23,0),IF($H525=3,ROUND($G525/12,0),IF($H525=6,$G525,IF($H525=7,$G525-ROUND($G525*10/11,0),0)))))</f>
        <v>0</v>
      </c>
      <c r="N525" s="364">
        <f>IF($G525="","",K525+L525+M525)</f>
        <v>0</v>
      </c>
      <c r="O525" s="365" t="str">
        <f>IF($G525="","",IFERROR(VLOOKUP($D525&amp;"|"&amp;$E525,科目表!$A$5:$B$200,2,FALSE),"※未登録"))</f>
        <v>事務費・雑費</v>
      </c>
      <c r="P525" s="359">
        <f>IF(OR($G525="",$C525=""),"",IF($B525="決算整理",13,MOD(MONTH($C525)-4,12)+1))</f>
        <v>10</v>
      </c>
      <c r="Q525" s="366" t="str">
        <f>IF($G525="","",TRIM(IF(J525+K525+L525+M525&lt;&gt;$G525,"按分不一致 ","")&amp;IF(O525="※未登録","科目未登録 ","")&amp;IF(OR($H525="",ISERROR(MATCH($H525,{1,2,3,4,5,6,7,8},0))),"経費区分? ","")&amp;IF($I525="","状態未設定 ","")&amp;IF(AND(OR($I525="確認済",$I525="未確認"),$B525="月例",OR($C525="",$C525&lt;DATE(年度+2018,4,1),$C525&gt;DATE(年度+2019,3,31))),"年度外の日付 ","")&amp;IF(AND(OR($I525="確認済",$I525="未確認"),O525="対象外"),"対象外の科目 ","")))</f>
        <v/>
      </c>
      <c r="R525" s="366" t="inlineStr">
        <is>
          <t>月例!547</t>
        </is>
      </c>
    </row>
    <row r="526">
      <c r="A526" s="359" t="n">
        <v>522</v>
      </c>
      <c r="B526" s="360" t="inlineStr">
        <is>
          <t>月例</t>
        </is>
      </c>
      <c r="C526" s="361" t="n">
        <v>46003</v>
      </c>
      <c r="D526" s="362" t="inlineStr">
        <is>
          <t>旅費</t>
        </is>
      </c>
      <c r="E526" s="362" t="n"/>
      <c r="F526" s="362" t="inlineStr">
        <is>
          <t>12/15 保健事業事務研修会　特別区　上野主事</t>
        </is>
      </c>
      <c r="G526" s="363" t="n">
        <v>50740</v>
      </c>
      <c r="H526" s="360" t="n">
        <v>2</v>
      </c>
      <c r="I526" s="360" t="inlineStr">
        <is>
          <t>昨年実績</t>
        </is>
      </c>
      <c r="J526" s="364">
        <f>IF($G526="","",IF($H526=1,$G526-ROUND($G526*10/23,0)-2*ROUND($G526/23,0),IF($H526=2,$G526,0)))</f>
        <v>50740</v>
      </c>
      <c r="K526" s="364">
        <f>IF($G526="","",IF($H526=1,ROUND($G526*10/23,0),IF($H526=3,$G526-2*ROUND($G526/12,0),IF($H526=4,$G526,IF(OR($H526=5,$H526=7),ROUND($G526*10/11,0),0)))))</f>
        <v>0</v>
      </c>
      <c r="L526" s="364">
        <f>IF($G526="","",IF($H526=1,ROUND($G526/23,0),IF($H526=3,ROUND($G526/12,0),IF($H526=5,$G526-ROUND($G526*10/11,0),IF($H526=8,$G526,0)))))</f>
        <v>0</v>
      </c>
      <c r="M526" s="364">
        <f>IF($G526="","",IF($H526=1,ROUND($G526/23,0),IF($H526=3,ROUND($G526/12,0),IF($H526=6,$G526,IF($H526=7,$G526-ROUND($G526*10/11,0),0)))))</f>
        <v>0</v>
      </c>
      <c r="N526" s="364">
        <f>IF($G526="","",K526+L526+M526)</f>
        <v>0</v>
      </c>
      <c r="O526" s="365" t="str">
        <f>IF($G526="","",IFERROR(VLOOKUP($D526&amp;"|"&amp;$E526,科目表!$A$5:$B$200,2,FALSE),"※未登録"))</f>
        <v>旅費</v>
      </c>
      <c r="P526" s="359">
        <f>IF(OR($G526="",$C526=""),"",IF($B526="決算整理",13,MOD(MONTH($C526)-4,12)+1))</f>
        <v>9</v>
      </c>
      <c r="Q526" s="366" t="str">
        <f>IF($G526="","",TRIM(IF(J526+K526+L526+M526&lt;&gt;$G526,"按分不一致 ","")&amp;IF(O526="※未登録","科目未登録 ","")&amp;IF(OR($H526="",ISERROR(MATCH($H526,{1,2,3,4,5,6,7,8},0))),"経費区分? ","")&amp;IF($I526="","状態未設定 ","")&amp;IF(AND(OR($I526="確認済",$I526="未確認"),$B526="月例",OR($C526="",$C526&lt;DATE(年度+2018,4,1),$C526&gt;DATE(年度+2019,3,31))),"年度外の日付 ","")&amp;IF(AND(OR($I526="確認済",$I526="未確認"),O526="対象外"),"対象外の科目 ","")))</f>
        <v/>
      </c>
      <c r="R526" s="366" t="inlineStr">
        <is>
          <t>月例!548</t>
        </is>
      </c>
    </row>
    <row r="527">
      <c r="A527" s="359" t="n">
        <v>523</v>
      </c>
      <c r="B527" s="360" t="inlineStr">
        <is>
          <t>月例</t>
        </is>
      </c>
      <c r="C527" s="361" t="n">
        <v>46003</v>
      </c>
      <c r="D527" s="362" t="inlineStr">
        <is>
          <t>旅費</t>
        </is>
      </c>
      <c r="E527" s="362" t="n"/>
      <c r="F527" s="362" t="inlineStr">
        <is>
          <t>12/15 保健事業事務研修会　特別区　半司保健師</t>
        </is>
      </c>
      <c r="G527" s="363" t="n">
        <v>30162</v>
      </c>
      <c r="H527" s="360" t="n">
        <v>2</v>
      </c>
      <c r="I527" s="360" t="inlineStr">
        <is>
          <t>昨年実績</t>
        </is>
      </c>
      <c r="J527" s="364">
        <f>IF($G527="","",IF($H527=1,$G527-ROUND($G527*10/23,0)-2*ROUND($G527/23,0),IF($H527=2,$G527,0)))</f>
        <v>30162</v>
      </c>
      <c r="K527" s="364">
        <f>IF($G527="","",IF($H527=1,ROUND($G527*10/23,0),IF($H527=3,$G527-2*ROUND($G527/12,0),IF($H527=4,$G527,IF(OR($H527=5,$H527=7),ROUND($G527*10/11,0),0)))))</f>
        <v>0</v>
      </c>
      <c r="L527" s="364">
        <f>IF($G527="","",IF($H527=1,ROUND($G527/23,0),IF($H527=3,ROUND($G527/12,0),IF($H527=5,$G527-ROUND($G527*10/11,0),IF($H527=8,$G527,0)))))</f>
        <v>0</v>
      </c>
      <c r="M527" s="364">
        <f>IF($G527="","",IF($H527=1,ROUND($G527/23,0),IF($H527=3,ROUND($G527/12,0),IF($H527=6,$G527,IF($H527=7,$G527-ROUND($G527*10/11,0),0)))))</f>
        <v>0</v>
      </c>
      <c r="N527" s="364">
        <f>IF($G527="","",K527+L527+M527)</f>
        <v>0</v>
      </c>
      <c r="O527" s="365" t="str">
        <f>IF($G527="","",IFERROR(VLOOKUP($D527&amp;"|"&amp;$E527,科目表!$A$5:$B$200,2,FALSE),"※未登録"))</f>
        <v>旅費</v>
      </c>
      <c r="P527" s="359">
        <f>IF(OR($G527="",$C527=""),"",IF($B527="決算整理",13,MOD(MONTH($C527)-4,12)+1))</f>
        <v>9</v>
      </c>
      <c r="Q527" s="366" t="str">
        <f>IF($G527="","",TRIM(IF(J527+K527+L527+M527&lt;&gt;$G527,"按分不一致 ","")&amp;IF(O527="※未登録","科目未登録 ","")&amp;IF(OR($H527="",ISERROR(MATCH($H527,{1,2,3,4,5,6,7,8},0))),"経費区分? ","")&amp;IF($I527="","状態未設定 ","")&amp;IF(AND(OR($I527="確認済",$I527="未確認"),$B527="月例",OR($C527="",$C527&lt;DATE(年度+2018,4,1),$C527&gt;DATE(年度+2019,3,31))),"年度外の日付 ","")&amp;IF(AND(OR($I527="確認済",$I527="未確認"),O527="対象外"),"対象外の科目 ","")))</f>
        <v/>
      </c>
      <c r="R527" s="366" t="inlineStr">
        <is>
          <t>月例!549</t>
        </is>
      </c>
    </row>
    <row r="528">
      <c r="A528" s="359" t="n">
        <v>524</v>
      </c>
      <c r="B528" s="360" t="inlineStr">
        <is>
          <t>月例</t>
        </is>
      </c>
      <c r="C528" s="361" t="n">
        <v>45686</v>
      </c>
      <c r="D528" s="362" t="inlineStr">
        <is>
          <t>負担金</t>
        </is>
      </c>
      <c r="E528" s="362" t="inlineStr">
        <is>
          <t>負担金</t>
        </is>
      </c>
      <c r="F528" s="362" t="inlineStr">
        <is>
          <t>共済短期・介護負担金（給与改定差額分）長期</t>
        </is>
      </c>
      <c r="G528" s="363" t="n">
        <v>764</v>
      </c>
      <c r="H528" s="360" t="n">
        <v>3</v>
      </c>
      <c r="I528" s="360" t="inlineStr">
        <is>
          <t>昨年実績</t>
        </is>
      </c>
      <c r="J528" s="364">
        <f>IF($G528="","",IF($H528=1,$G528-ROUND($G528*10/23,0)-2*ROUND($G528/23,0),IF($H528=2,$G528,0)))</f>
        <v>0</v>
      </c>
      <c r="K528" s="364">
        <f>IF($G528="","",IF($H528=1,ROUND($G528*10/23,0),IF($H528=3,$G528-2*ROUND($G528/12,0),IF($H528=4,$G528,IF(OR($H528=5,$H528=7),ROUND($G528*10/11,0),0)))))</f>
        <v>636</v>
      </c>
      <c r="L528" s="364">
        <f>IF($G528="","",IF($H528=1,ROUND($G528/23,0),IF($H528=3,ROUND($G528/12,0),IF($H528=5,$G528-ROUND($G528*10/11,0),IF($H528=8,$G528,0)))))</f>
        <v>64</v>
      </c>
      <c r="M528" s="364">
        <f>IF($G528="","",IF($H528=1,ROUND($G528/23,0),IF($H528=3,ROUND($G528/12,0),IF($H528=6,$G528,IF($H528=7,$G528-ROUND($G528*10/11,0),0)))))</f>
        <v>64</v>
      </c>
      <c r="N528" s="364">
        <f>IF($G528="","",K528+L528+M528)</f>
        <v>764</v>
      </c>
      <c r="O528" s="365" t="str">
        <f>IF($G528="","",IFERROR(VLOOKUP($D528&amp;"|"&amp;$E528,科目表!$A$5:$B$200,2,FALSE),"※未登録"))</f>
        <v>共済負担金等</v>
      </c>
      <c r="P528" s="359">
        <f>IF(OR($G528="",$C528=""),"",IF($B528="決算整理",13,MOD(MONTH($C528)-4,12)+1))</f>
        <v>10</v>
      </c>
      <c r="Q528" s="366" t="str">
        <f>IF($G528="","",TRIM(IF(J528+K528+L528+M528&lt;&gt;$G528,"按分不一致 ","")&amp;IF(O528="※未登録","科目未登録 ","")&amp;IF(OR($H528="",ISERROR(MATCH($H528,{1,2,3,4,5,6,7,8},0))),"経費区分? ","")&amp;IF($I528="","状態未設定 ","")&amp;IF(AND(OR($I528="確認済",$I528="未確認"),$B528="月例",OR($C528="",$C528&lt;DATE(年度+2018,4,1),$C528&gt;DATE(年度+2019,3,31))),"年度外の日付 ","")&amp;IF(AND(OR($I528="確認済",$I528="未確認"),O528="対象外"),"対象外の科目 ","")))</f>
        <v/>
      </c>
      <c r="R528" s="366" t="inlineStr">
        <is>
          <t>月例!550</t>
        </is>
      </c>
    </row>
    <row r="529">
      <c r="A529" s="359" t="n">
        <v>525</v>
      </c>
      <c r="B529" s="360" t="inlineStr">
        <is>
          <t>月例</t>
        </is>
      </c>
      <c r="C529" s="361" t="n">
        <v>43494</v>
      </c>
      <c r="D529" s="362" t="inlineStr">
        <is>
          <t>旅費</t>
        </is>
      </c>
      <c r="E529" s="362" t="n"/>
      <c r="F529" s="362" t="inlineStr">
        <is>
          <t>1/31・2/1　包括照会支援システム研修会　調布市　石井主査</t>
        </is>
      </c>
      <c r="G529" s="363" t="n">
        <v>50300</v>
      </c>
      <c r="H529" s="360" t="n">
        <v>3</v>
      </c>
      <c r="I529" s="360" t="inlineStr">
        <is>
          <t>昨年実績</t>
        </is>
      </c>
      <c r="J529" s="364">
        <f>IF($G529="","",IF($H529=1,$G529-ROUND($G529*10/23,0)-2*ROUND($G529/23,0),IF($H529=2,$G529,0)))</f>
        <v>0</v>
      </c>
      <c r="K529" s="364">
        <f>IF($G529="","",IF($H529=1,ROUND($G529*10/23,0),IF($H529=3,$G529-2*ROUND($G529/12,0),IF($H529=4,$G529,IF(OR($H529=5,$H529=7),ROUND($G529*10/11,0),0)))))</f>
        <v>41916</v>
      </c>
      <c r="L529" s="364">
        <f>IF($G529="","",IF($H529=1,ROUND($G529/23,0),IF($H529=3,ROUND($G529/12,0),IF($H529=5,$G529-ROUND($G529*10/11,0),IF($H529=8,$G529,0)))))</f>
        <v>4192</v>
      </c>
      <c r="M529" s="364">
        <f>IF($G529="","",IF($H529=1,ROUND($G529/23,0),IF($H529=3,ROUND($G529/12,0),IF($H529=6,$G529,IF($H529=7,$G529-ROUND($G529*10/11,0),0)))))</f>
        <v>4192</v>
      </c>
      <c r="N529" s="364">
        <f>IF($G529="","",K529+L529+M529)</f>
        <v>50300</v>
      </c>
      <c r="O529" s="365" t="str">
        <f>IF($G529="","",IFERROR(VLOOKUP($D529&amp;"|"&amp;$E529,科目表!$A$5:$B$200,2,FALSE),"※未登録"))</f>
        <v>旅費</v>
      </c>
      <c r="P529" s="359">
        <f>IF(OR($G529="",$C529=""),"",IF($B529="決算整理",13,MOD(MONTH($C529)-4,12)+1))</f>
        <v>10</v>
      </c>
      <c r="Q529" s="366" t="str">
        <f>IF($G529="","",TRIM(IF(J529+K529+L529+M529&lt;&gt;$G529,"按分不一致 ","")&amp;IF(O529="※未登録","科目未登録 ","")&amp;IF(OR($H529="",ISERROR(MATCH($H529,{1,2,3,4,5,6,7,8},0))),"経費区分? ","")&amp;IF($I529="","状態未設定 ","")&amp;IF(AND(OR($I529="確認済",$I529="未確認"),$B529="月例",OR($C529="",$C529&lt;DATE(年度+2018,4,1),$C529&gt;DATE(年度+2019,3,31))),"年度外の日付 ","")&amp;IF(AND(OR($I529="確認済",$I529="未確認"),O529="対象外"),"対象外の科目 ","")))</f>
        <v/>
      </c>
      <c r="R529" s="366" t="inlineStr">
        <is>
          <t>月例!551</t>
        </is>
      </c>
    </row>
    <row r="530">
      <c r="A530" s="359" t="n">
        <v>526</v>
      </c>
      <c r="B530" s="360" t="inlineStr">
        <is>
          <t>月例</t>
        </is>
      </c>
      <c r="C530" s="361" t="n">
        <v>46045</v>
      </c>
      <c r="D530" s="362" t="inlineStr">
        <is>
          <t>負担金</t>
        </is>
      </c>
      <c r="E530" s="362" t="inlineStr">
        <is>
          <t>互助会費</t>
        </is>
      </c>
      <c r="F530" s="362" t="inlineStr">
        <is>
          <t>助成金（給与改定差額分：長期）</t>
        </is>
      </c>
      <c r="G530" s="363" t="n">
        <v>171</v>
      </c>
      <c r="H530" s="360" t="n">
        <v>3</v>
      </c>
      <c r="I530" s="360" t="inlineStr">
        <is>
          <t>昨年実績</t>
        </is>
      </c>
      <c r="J530" s="364">
        <f>IF($G530="","",IF($H530=1,$G530-ROUND($G530*10/23,0)-2*ROUND($G530/23,0),IF($H530=2,$G530,0)))</f>
        <v>0</v>
      </c>
      <c r="K530" s="364">
        <f>IF($G530="","",IF($H530=1,ROUND($G530*10/23,0),IF($H530=3,$G530-2*ROUND($G530/12,0),IF($H530=4,$G530,IF(OR($H530=5,$H530=7),ROUND($G530*10/11,0),0)))))</f>
        <v>143</v>
      </c>
      <c r="L530" s="364">
        <f>IF($G530="","",IF($H530=1,ROUND($G530/23,0),IF($H530=3,ROUND($G530/12,0),IF($H530=5,$G530-ROUND($G530*10/11,0),IF($H530=8,$G530,0)))))</f>
        <v>14</v>
      </c>
      <c r="M530" s="364">
        <f>IF($G530="","",IF($H530=1,ROUND($G530/23,0),IF($H530=3,ROUND($G530/12,0),IF($H530=6,$G530,IF($H530=7,$G530-ROUND($G530*10/11,0),0)))))</f>
        <v>14</v>
      </c>
      <c r="N530" s="364">
        <f>IF($G530="","",K530+L530+M530)</f>
        <v>171</v>
      </c>
      <c r="O530" s="365" t="str">
        <f>IF($G530="","",IFERROR(VLOOKUP($D530&amp;"|"&amp;$E530,科目表!$A$5:$B$200,2,FALSE),"※未登録"))</f>
        <v>互助会費</v>
      </c>
      <c r="P530" s="359">
        <f>IF(OR($G530="",$C530=""),"",IF($B530="決算整理",13,MOD(MONTH($C530)-4,12)+1))</f>
        <v>10</v>
      </c>
      <c r="Q530" s="366" t="str">
        <f>IF($G530="","",TRIM(IF(J530+K530+L530+M530&lt;&gt;$G530,"按分不一致 ","")&amp;IF(O530="※未登録","科目未登録 ","")&amp;IF(OR($H530="",ISERROR(MATCH($H530,{1,2,3,4,5,6,7,8},0))),"経費区分? ","")&amp;IF($I530="","状態未設定 ","")&amp;IF(AND(OR($I530="確認済",$I530="未確認"),$B530="月例",OR($C530="",$C530&lt;DATE(年度+2018,4,1),$C530&gt;DATE(年度+2019,3,31))),"年度外の日付 ","")&amp;IF(AND(OR($I530="確認済",$I530="未確認"),O530="対象外"),"対象外の科目 ","")))</f>
        <v/>
      </c>
      <c r="R530" s="366" t="inlineStr">
        <is>
          <t>月例!552</t>
        </is>
      </c>
    </row>
    <row r="531">
      <c r="A531" s="359" t="n">
        <v>527</v>
      </c>
      <c r="B531" s="360" t="inlineStr">
        <is>
          <t>月例</t>
        </is>
      </c>
      <c r="C531" s="361" t="n">
        <v>46045</v>
      </c>
      <c r="D531" s="362" t="inlineStr">
        <is>
          <t>負担金</t>
        </is>
      </c>
      <c r="E531" s="362" t="inlineStr">
        <is>
          <t>互助会費</t>
        </is>
      </c>
      <c r="F531" s="362" t="inlineStr">
        <is>
          <t>助成金（給与改定差額分：短期）</t>
        </is>
      </c>
      <c r="G531" s="363" t="n">
        <v>72</v>
      </c>
      <c r="H531" s="360" t="n">
        <v>2</v>
      </c>
      <c r="I531" s="360" t="inlineStr">
        <is>
          <t>昨年実績</t>
        </is>
      </c>
      <c r="J531" s="364">
        <f>IF($G531="","",IF($H531=1,$G531-ROUND($G531*10/23,0)-2*ROUND($G531/23,0),IF($H531=2,$G531,0)))</f>
        <v>72</v>
      </c>
      <c r="K531" s="364">
        <f>IF($G531="","",IF($H531=1,ROUND($G531*10/23,0),IF($H531=3,$G531-2*ROUND($G531/12,0),IF($H531=4,$G531,IF(OR($H531=5,$H531=7),ROUND($G531*10/11,0),0)))))</f>
        <v>0</v>
      </c>
      <c r="L531" s="364">
        <f>IF($G531="","",IF($H531=1,ROUND($G531/23,0),IF($H531=3,ROUND($G531/12,0),IF($H531=5,$G531-ROUND($G531*10/11,0),IF($H531=8,$G531,0)))))</f>
        <v>0</v>
      </c>
      <c r="M531" s="364">
        <f>IF($G531="","",IF($H531=1,ROUND($G531/23,0),IF($H531=3,ROUND($G531/12,0),IF($H531=6,$G531,IF($H531=7,$G531-ROUND($G531*10/11,0),0)))))</f>
        <v>0</v>
      </c>
      <c r="N531" s="364">
        <f>IF($G531="","",K531+L531+M531)</f>
        <v>0</v>
      </c>
      <c r="O531" s="365" t="str">
        <f>IF($G531="","",IFERROR(VLOOKUP($D531&amp;"|"&amp;$E531,科目表!$A$5:$B$200,2,FALSE),"※未登録"))</f>
        <v>互助会費</v>
      </c>
      <c r="P531" s="359">
        <f>IF(OR($G531="",$C531=""),"",IF($B531="決算整理",13,MOD(MONTH($C531)-4,12)+1))</f>
        <v>10</v>
      </c>
      <c r="Q531" s="366" t="str">
        <f>IF($G531="","",TRIM(IF(J531+K531+L531+M531&lt;&gt;$G531,"按分不一致 ","")&amp;IF(O531="※未登録","科目未登録 ","")&amp;IF(OR($H531="",ISERROR(MATCH($H531,{1,2,3,4,5,6,7,8},0))),"経費区分? ","")&amp;IF($I531="","状態未設定 ","")&amp;IF(AND(OR($I531="確認済",$I531="未確認"),$B531="月例",OR($C531="",$C531&lt;DATE(年度+2018,4,1),$C531&gt;DATE(年度+2019,3,31))),"年度外の日付 ","")&amp;IF(AND(OR($I531="確認済",$I531="未確認"),O531="対象外"),"対象外の科目 ","")))</f>
        <v/>
      </c>
      <c r="R531" s="366" t="inlineStr">
        <is>
          <t>月例!553</t>
        </is>
      </c>
    </row>
    <row r="532">
      <c r="A532" s="359" t="n">
        <v>528</v>
      </c>
      <c r="B532" s="360" t="inlineStr">
        <is>
          <t>月例</t>
        </is>
      </c>
      <c r="C532" s="361" t="n">
        <v>45309</v>
      </c>
      <c r="D532" s="362" t="inlineStr">
        <is>
          <t>事務費</t>
        </is>
      </c>
      <c r="E532" s="362" t="inlineStr">
        <is>
          <t>通信運搬費</t>
        </is>
      </c>
      <c r="F532" s="362" t="inlineStr">
        <is>
          <t>切手</t>
        </is>
      </c>
      <c r="G532" s="363" t="n">
        <v>148800</v>
      </c>
      <c r="H532" s="360" t="n">
        <v>3</v>
      </c>
      <c r="I532" s="360" t="inlineStr">
        <is>
          <t>昨年実績</t>
        </is>
      </c>
      <c r="J532" s="364">
        <f>IF($G532="","",IF($H532=1,$G532-ROUND($G532*10/23,0)-2*ROUND($G532/23,0),IF($H532=2,$G532,0)))</f>
        <v>0</v>
      </c>
      <c r="K532" s="364">
        <f>IF($G532="","",IF($H532=1,ROUND($G532*10/23,0),IF($H532=3,$G532-2*ROUND($G532/12,0),IF($H532=4,$G532,IF(OR($H532=5,$H532=7),ROUND($G532*10/11,0),0)))))</f>
        <v>124000</v>
      </c>
      <c r="L532" s="364">
        <f>IF($G532="","",IF($H532=1,ROUND($G532/23,0),IF($H532=3,ROUND($G532/12,0),IF($H532=5,$G532-ROUND($G532*10/11,0),IF($H532=8,$G532,0)))))</f>
        <v>12400</v>
      </c>
      <c r="M532" s="364">
        <f>IF($G532="","",IF($H532=1,ROUND($G532/23,0),IF($H532=3,ROUND($G532/12,0),IF($H532=6,$G532,IF($H532=7,$G532-ROUND($G532*10/11,0),0)))))</f>
        <v>12400</v>
      </c>
      <c r="N532" s="364">
        <f>IF($G532="","",K532+L532+M532)</f>
        <v>148800</v>
      </c>
      <c r="O532" s="365" t="str">
        <f>IF($G532="","",IFERROR(VLOOKUP($D532&amp;"|"&amp;$E532,科目表!$A$5:$B$200,2,FALSE),"※未登録"))</f>
        <v>通信運搬費</v>
      </c>
      <c r="P532" s="359">
        <f>IF(OR($G532="",$C532=""),"",IF($B532="決算整理",13,MOD(MONTH($C532)-4,12)+1))</f>
        <v>10</v>
      </c>
      <c r="Q532" s="366" t="str">
        <f>IF($G532="","",TRIM(IF(J532+K532+L532+M532&lt;&gt;$G532,"按分不一致 ","")&amp;IF(O532="※未登録","科目未登録 ","")&amp;IF(OR($H532="",ISERROR(MATCH($H532,{1,2,3,4,5,6,7,8},0))),"経費区分? ","")&amp;IF($I532="","状態未設定 ","")&amp;IF(AND(OR($I532="確認済",$I532="未確認"),$B532="月例",OR($C532="",$C532&lt;DATE(年度+2018,4,1),$C532&gt;DATE(年度+2019,3,31))),"年度外の日付 ","")&amp;IF(AND(OR($I532="確認済",$I532="未確認"),O532="対象外"),"対象外の科目 ","")))</f>
        <v/>
      </c>
      <c r="R532" s="366" t="inlineStr">
        <is>
          <t>月例!554</t>
        </is>
      </c>
    </row>
    <row r="533">
      <c r="A533" s="359" t="n">
        <v>529</v>
      </c>
      <c r="B533" s="360" t="inlineStr">
        <is>
          <t>月例</t>
        </is>
      </c>
      <c r="C533" s="361" t="n">
        <v>44225</v>
      </c>
      <c r="D533" s="362" t="inlineStr">
        <is>
          <t>委託費</t>
        </is>
      </c>
      <c r="E533" s="362" t="n"/>
      <c r="F533" s="362" t="inlineStr">
        <is>
          <t>短期給付個人番号管理システム端末保守サービス（１2月分）</t>
        </is>
      </c>
      <c r="G533" s="363" t="n">
        <v>385</v>
      </c>
      <c r="H533" s="360" t="n">
        <v>2</v>
      </c>
      <c r="I533" s="360" t="inlineStr">
        <is>
          <t>昨年実績</t>
        </is>
      </c>
      <c r="J533" s="364">
        <f>IF($G533="","",IF($H533=1,$G533-ROUND($G533*10/23,0)-2*ROUND($G533/23,0),IF($H533=2,$G533,0)))</f>
        <v>385</v>
      </c>
      <c r="K533" s="364">
        <f>IF($G533="","",IF($H533=1,ROUND($G533*10/23,0),IF($H533=3,$G533-2*ROUND($G533/12,0),IF($H533=4,$G533,IF(OR($H533=5,$H533=7),ROUND($G533*10/11,0),0)))))</f>
        <v>0</v>
      </c>
      <c r="L533" s="364">
        <f>IF($G533="","",IF($H533=1,ROUND($G533/23,0),IF($H533=3,ROUND($G533/12,0),IF($H533=5,$G533-ROUND($G533*10/11,0),IF($H533=8,$G533,0)))))</f>
        <v>0</v>
      </c>
      <c r="M533" s="364">
        <f>IF($G533="","",IF($H533=1,ROUND($G533/23,0),IF($H533=3,ROUND($G533/12,0),IF($H533=6,$G533,IF($H533=7,$G533-ROUND($G533*10/11,0),0)))))</f>
        <v>0</v>
      </c>
      <c r="N533" s="364">
        <f>IF($G533="","",K533+L533+M533)</f>
        <v>0</v>
      </c>
      <c r="O533" s="365" t="str">
        <f>IF($G533="","",IFERROR(VLOOKUP($D533&amp;"|"&amp;$E533,科目表!$A$5:$B$200,2,FALSE),"※未登録"))</f>
        <v>委託費</v>
      </c>
      <c r="P533" s="359">
        <f>IF(OR($G533="",$C533=""),"",IF($B533="決算整理",13,MOD(MONTH($C533)-4,12)+1))</f>
        <v>10</v>
      </c>
      <c r="Q533" s="366" t="str">
        <f>IF($G533="","",TRIM(IF(J533+K533+L533+M533&lt;&gt;$G533,"按分不一致 ","")&amp;IF(O533="※未登録","科目未登録 ","")&amp;IF(OR($H533="",ISERROR(MATCH($H533,{1,2,3,4,5,6,7,8},0))),"経費区分? ","")&amp;IF($I533="","状態未設定 ","")&amp;IF(AND(OR($I533="確認済",$I533="未確認"),$B533="月例",OR($C533="",$C533&lt;DATE(年度+2018,4,1),$C533&gt;DATE(年度+2019,3,31))),"年度外の日付 ","")&amp;IF(AND(OR($I533="確認済",$I533="未確認"),O533="対象外"),"対象外の科目 ","")))</f>
        <v/>
      </c>
      <c r="R533" s="366" t="inlineStr">
        <is>
          <t>月例!555</t>
        </is>
      </c>
    </row>
    <row r="534">
      <c r="A534" s="359" t="n">
        <v>530</v>
      </c>
      <c r="B534" s="360" t="inlineStr">
        <is>
          <t>月例</t>
        </is>
      </c>
      <c r="C534" s="361" t="n">
        <v>46051</v>
      </c>
      <c r="D534" s="362" t="inlineStr">
        <is>
          <t>賃借料</t>
        </is>
      </c>
      <c r="E534" s="362" t="n"/>
      <c r="F534" s="362" t="inlineStr">
        <is>
          <t>基幹システム用機器賃借料　１２月分（長期）</t>
        </is>
      </c>
      <c r="G534" s="363" t="n">
        <v>69613</v>
      </c>
      <c r="H534" s="360" t="n">
        <v>3</v>
      </c>
      <c r="I534" s="360" t="inlineStr">
        <is>
          <t>昨年実績</t>
        </is>
      </c>
      <c r="J534" s="364">
        <f>IF($G534="","",IF($H534=1,$G534-ROUND($G534*10/23,0)-2*ROUND($G534/23,0),IF($H534=2,$G534,0)))</f>
        <v>0</v>
      </c>
      <c r="K534" s="364">
        <f>IF($G534="","",IF($H534=1,ROUND($G534*10/23,0),IF($H534=3,$G534-2*ROUND($G534/12,0),IF($H534=4,$G534,IF(OR($H534=5,$H534=7),ROUND($G534*10/11,0),0)))))</f>
        <v>58011</v>
      </c>
      <c r="L534" s="364">
        <f>IF($G534="","",IF($H534=1,ROUND($G534/23,0),IF($H534=3,ROUND($G534/12,0),IF($H534=5,$G534-ROUND($G534*10/11,0),IF($H534=8,$G534,0)))))</f>
        <v>5801</v>
      </c>
      <c r="M534" s="364">
        <f>IF($G534="","",IF($H534=1,ROUND($G534/23,0),IF($H534=3,ROUND($G534/12,0),IF($H534=6,$G534,IF($H534=7,$G534-ROUND($G534*10/11,0),0)))))</f>
        <v>5801</v>
      </c>
      <c r="N534" s="364">
        <f>IF($G534="","",K534+L534+M534)</f>
        <v>69613</v>
      </c>
      <c r="O534" s="365" t="str">
        <f>IF($G534="","",IFERROR(VLOOKUP($D534&amp;"|"&amp;$E534,科目表!$A$5:$B$200,2,FALSE),"※未登録"))</f>
        <v>賃借料</v>
      </c>
      <c r="P534" s="359">
        <f>IF(OR($G534="",$C534=""),"",IF($B534="決算整理",13,MOD(MONTH($C534)-4,12)+1))</f>
        <v>10</v>
      </c>
      <c r="Q534" s="366" t="str">
        <f>IF($G534="","",TRIM(IF(J534+K534+L534+M534&lt;&gt;$G534,"按分不一致 ","")&amp;IF(O534="※未登録","科目未登録 ","")&amp;IF(OR($H534="",ISERROR(MATCH($H534,{1,2,3,4,5,6,7,8},0))),"経費区分? ","")&amp;IF($I534="","状態未設定 ","")&amp;IF(AND(OR($I534="確認済",$I534="未確認"),$B534="月例",OR($C534="",$C534&lt;DATE(年度+2018,4,1),$C534&gt;DATE(年度+2019,3,31))),"年度外の日付 ","")&amp;IF(AND(OR($I534="確認済",$I534="未確認"),O534="対象外"),"対象外の科目 ","")))</f>
        <v/>
      </c>
      <c r="R534" s="366" t="inlineStr">
        <is>
          <t>月例!556</t>
        </is>
      </c>
    </row>
    <row r="535">
      <c r="A535" s="359" t="n">
        <v>531</v>
      </c>
      <c r="B535" s="360" t="inlineStr">
        <is>
          <t>月例</t>
        </is>
      </c>
      <c r="C535" s="361" t="n">
        <v>46051</v>
      </c>
      <c r="D535" s="362" t="inlineStr">
        <is>
          <t>賃借料</t>
        </is>
      </c>
      <c r="E535" s="362" t="n"/>
      <c r="F535" s="362" t="inlineStr">
        <is>
          <t>基幹システム用機器賃借料　１２月分（短期）</t>
        </is>
      </c>
      <c r="G535" s="363" t="n">
        <v>672934</v>
      </c>
      <c r="H535" s="360" t="n">
        <v>2</v>
      </c>
      <c r="I535" s="360" t="inlineStr">
        <is>
          <t>昨年実績</t>
        </is>
      </c>
      <c r="J535" s="364">
        <f>IF($G535="","",IF($H535=1,$G535-ROUND($G535*10/23,0)-2*ROUND($G535/23,0),IF($H535=2,$G535,0)))</f>
        <v>672934</v>
      </c>
      <c r="K535" s="364">
        <f>IF($G535="","",IF($H535=1,ROUND($G535*10/23,0),IF($H535=3,$G535-2*ROUND($G535/12,0),IF($H535=4,$G535,IF(OR($H535=5,$H535=7),ROUND($G535*10/11,0),0)))))</f>
        <v>0</v>
      </c>
      <c r="L535" s="364">
        <f>IF($G535="","",IF($H535=1,ROUND($G535/23,0),IF($H535=3,ROUND($G535/12,0),IF($H535=5,$G535-ROUND($G535*10/11,0),IF($H535=8,$G535,0)))))</f>
        <v>0</v>
      </c>
      <c r="M535" s="364">
        <f>IF($G535="","",IF($H535=1,ROUND($G535/23,0),IF($H535=3,ROUND($G535/12,0),IF($H535=6,$G535,IF($H535=7,$G535-ROUND($G535*10/11,0),0)))))</f>
        <v>0</v>
      </c>
      <c r="N535" s="364">
        <f>IF($G535="","",K535+L535+M535)</f>
        <v>0</v>
      </c>
      <c r="O535" s="365" t="str">
        <f>IF($G535="","",IFERROR(VLOOKUP($D535&amp;"|"&amp;$E535,科目表!$A$5:$B$200,2,FALSE),"※未登録"))</f>
        <v>賃借料</v>
      </c>
      <c r="P535" s="359">
        <f>IF(OR($G535="",$C535=""),"",IF($B535="決算整理",13,MOD(MONTH($C535)-4,12)+1))</f>
        <v>10</v>
      </c>
      <c r="Q535" s="366" t="str">
        <f>IF($G535="","",TRIM(IF(J535+K535+L535+M535&lt;&gt;$G535,"按分不一致 ","")&amp;IF(O535="※未登録","科目未登録 ","")&amp;IF(OR($H535="",ISERROR(MATCH($H535,{1,2,3,4,5,6,7,8},0))),"経費区分? ","")&amp;IF($I535="","状態未設定 ","")&amp;IF(AND(OR($I535="確認済",$I535="未確認"),$B535="月例",OR($C535="",$C535&lt;DATE(年度+2018,4,1),$C535&gt;DATE(年度+2019,3,31))),"年度外の日付 ","")&amp;IF(AND(OR($I535="確認済",$I535="未確認"),O535="対象外"),"対象外の科目 ","")))</f>
        <v/>
      </c>
      <c r="R535" s="366" t="inlineStr">
        <is>
          <t>月例!557</t>
        </is>
      </c>
    </row>
    <row r="536">
      <c r="A536" s="359" t="n">
        <v>532</v>
      </c>
      <c r="B536" s="360" t="inlineStr">
        <is>
          <t>月例</t>
        </is>
      </c>
      <c r="C536" s="361" t="n">
        <v>44225</v>
      </c>
      <c r="D536" s="362" t="inlineStr">
        <is>
          <t>事務費</t>
        </is>
      </c>
      <c r="E536" s="362" t="inlineStr">
        <is>
          <t>図書印刷費</t>
        </is>
      </c>
      <c r="F536" s="362" t="inlineStr">
        <is>
          <t>ジェネリック差額通知書</t>
        </is>
      </c>
      <c r="G536" s="363" t="n">
        <v>70400</v>
      </c>
      <c r="H536" s="360" t="n">
        <v>2</v>
      </c>
      <c r="I536" s="360" t="inlineStr">
        <is>
          <t>昨年実績</t>
        </is>
      </c>
      <c r="J536" s="364">
        <f>IF($G536="","",IF($H536=1,$G536-ROUND($G536*10/23,0)-2*ROUND($G536/23,0),IF($H536=2,$G536,0)))</f>
        <v>70400</v>
      </c>
      <c r="K536" s="364">
        <f>IF($G536="","",IF($H536=1,ROUND($G536*10/23,0),IF($H536=3,$G536-2*ROUND($G536/12,0),IF($H536=4,$G536,IF(OR($H536=5,$H536=7),ROUND($G536*10/11,0),0)))))</f>
        <v>0</v>
      </c>
      <c r="L536" s="364">
        <f>IF($G536="","",IF($H536=1,ROUND($G536/23,0),IF($H536=3,ROUND($G536/12,0),IF($H536=5,$G536-ROUND($G536*10/11,0),IF($H536=8,$G536,0)))))</f>
        <v>0</v>
      </c>
      <c r="M536" s="364">
        <f>IF($G536="","",IF($H536=1,ROUND($G536/23,0),IF($H536=3,ROUND($G536/12,0),IF($H536=6,$G536,IF($H536=7,$G536-ROUND($G536*10/11,0),0)))))</f>
        <v>0</v>
      </c>
      <c r="N536" s="364">
        <f>IF($G536="","",K536+L536+M536)</f>
        <v>0</v>
      </c>
      <c r="O536" s="365" t="str">
        <f>IF($G536="","",IFERROR(VLOOKUP($D536&amp;"|"&amp;$E536,科目表!$A$5:$B$200,2,FALSE),"※未登録"))</f>
        <v>図書印刷費</v>
      </c>
      <c r="P536" s="359">
        <f>IF(OR($G536="",$C536=""),"",IF($B536="決算整理",13,MOD(MONTH($C536)-4,12)+1))</f>
        <v>10</v>
      </c>
      <c r="Q536" s="366" t="str">
        <f>IF($G536="","",TRIM(IF(J536+K536+L536+M536&lt;&gt;$G536,"按分不一致 ","")&amp;IF(O536="※未登録","科目未登録 ","")&amp;IF(OR($H536="",ISERROR(MATCH($H536,{1,2,3,4,5,6,7,8},0))),"経費区分? ","")&amp;IF($I536="","状態未設定 ","")&amp;IF(AND(OR($I536="確認済",$I536="未確認"),$B536="月例",OR($C536="",$C536&lt;DATE(年度+2018,4,1),$C536&gt;DATE(年度+2019,3,31))),"年度外の日付 ","")&amp;IF(AND(OR($I536="確認済",$I536="未確認"),O536="対象外"),"対象外の科目 ","")))</f>
        <v/>
      </c>
      <c r="R536" s="366" t="inlineStr">
        <is>
          <t>月例!558</t>
        </is>
      </c>
    </row>
    <row r="537">
      <c r="A537" s="359" t="n">
        <v>533</v>
      </c>
      <c r="B537" s="360" t="inlineStr">
        <is>
          <t>月例</t>
        </is>
      </c>
      <c r="C537" s="361" t="n">
        <v>46052</v>
      </c>
      <c r="D537" s="362" t="inlineStr">
        <is>
          <t>事務費</t>
        </is>
      </c>
      <c r="E537" s="362" t="inlineStr">
        <is>
          <t>図書印刷費</t>
        </is>
      </c>
      <c r="F537" s="362" t="inlineStr">
        <is>
          <t>厚生法規総覧追録　６０５６－６０６５号</t>
        </is>
      </c>
      <c r="G537" s="363" t="n">
        <v>33154</v>
      </c>
      <c r="H537" s="360" t="n">
        <v>2</v>
      </c>
      <c r="I537" s="360" t="inlineStr">
        <is>
          <t>昨年実績</t>
        </is>
      </c>
      <c r="J537" s="364">
        <f>IF($G537="","",IF($H537=1,$G537-ROUND($G537*10/23,0)-2*ROUND($G537/23,0),IF($H537=2,$G537,0)))</f>
        <v>33154</v>
      </c>
      <c r="K537" s="364">
        <f>IF($G537="","",IF($H537=1,ROUND($G537*10/23,0),IF($H537=3,$G537-2*ROUND($G537/12,0),IF($H537=4,$G537,IF(OR($H537=5,$H537=7),ROUND($G537*10/11,0),0)))))</f>
        <v>0</v>
      </c>
      <c r="L537" s="364">
        <f>IF($G537="","",IF($H537=1,ROUND($G537/23,0),IF($H537=3,ROUND($G537/12,0),IF($H537=5,$G537-ROUND($G537*10/11,0),IF($H537=8,$G537,0)))))</f>
        <v>0</v>
      </c>
      <c r="M537" s="364">
        <f>IF($G537="","",IF($H537=1,ROUND($G537/23,0),IF($H537=3,ROUND($G537/12,0),IF($H537=6,$G537,IF($H537=7,$G537-ROUND($G537*10/11,0),0)))))</f>
        <v>0</v>
      </c>
      <c r="N537" s="364">
        <f>IF($G537="","",K537+L537+M537)</f>
        <v>0</v>
      </c>
      <c r="O537" s="365" t="str">
        <f>IF($G537="","",IFERROR(VLOOKUP($D537&amp;"|"&amp;$E537,科目表!$A$5:$B$200,2,FALSE),"※未登録"))</f>
        <v>図書印刷費</v>
      </c>
      <c r="P537" s="359">
        <f>IF(OR($G537="",$C537=""),"",IF($B537="決算整理",13,MOD(MONTH($C537)-4,12)+1))</f>
        <v>10</v>
      </c>
      <c r="Q537" s="366" t="str">
        <f>IF($G537="","",TRIM(IF(J537+K537+L537+M537&lt;&gt;$G537,"按分不一致 ","")&amp;IF(O537="※未登録","科目未登録 ","")&amp;IF(OR($H537="",ISERROR(MATCH($H537,{1,2,3,4,5,6,7,8},0))),"経費区分? ","")&amp;IF($I537="","状態未設定 ","")&amp;IF(AND(OR($I537="確認済",$I537="未確認"),$B537="月例",OR($C537="",$C537&lt;DATE(年度+2018,4,1),$C537&gt;DATE(年度+2019,3,31))),"年度外の日付 ","")&amp;IF(AND(OR($I537="確認済",$I537="未確認"),O537="対象外"),"対象外の科目 ","")))</f>
        <v/>
      </c>
      <c r="R537" s="366" t="inlineStr">
        <is>
          <t>月例!559</t>
        </is>
      </c>
    </row>
    <row r="538">
      <c r="A538" s="359" t="n">
        <v>534</v>
      </c>
      <c r="B538" s="360" t="inlineStr">
        <is>
          <t>月例</t>
        </is>
      </c>
      <c r="C538" s="361" t="n">
        <v>45322</v>
      </c>
      <c r="D538" s="362" t="inlineStr">
        <is>
          <t>事務費</t>
        </is>
      </c>
      <c r="E538" s="362" t="inlineStr">
        <is>
          <t>通信運搬費</t>
        </is>
      </c>
      <c r="F538" s="362" t="inlineStr">
        <is>
          <t>メール便（任継者宛厚生だより１月分）</t>
        </is>
      </c>
      <c r="G538" s="363" t="n">
        <v>17640</v>
      </c>
      <c r="H538" s="360" t="n">
        <v>2</v>
      </c>
      <c r="I538" s="360" t="inlineStr">
        <is>
          <t>昨年実績</t>
        </is>
      </c>
      <c r="J538" s="364">
        <f>IF($G538="","",IF($H538=1,$G538-ROUND($G538*10/23,0)-2*ROUND($G538/23,0),IF($H538=2,$G538,0)))</f>
        <v>17640</v>
      </c>
      <c r="K538" s="364">
        <f>IF($G538="","",IF($H538=1,ROUND($G538*10/23,0),IF($H538=3,$G538-2*ROUND($G538/12,0),IF($H538=4,$G538,IF(OR($H538=5,$H538=7),ROUND($G538*10/11,0),0)))))</f>
        <v>0</v>
      </c>
      <c r="L538" s="364">
        <f>IF($G538="","",IF($H538=1,ROUND($G538/23,0),IF($H538=3,ROUND($G538/12,0),IF($H538=5,$G538-ROUND($G538*10/11,0),IF($H538=8,$G538,0)))))</f>
        <v>0</v>
      </c>
      <c r="M538" s="364">
        <f>IF($G538="","",IF($H538=1,ROUND($G538/23,0),IF($H538=3,ROUND($G538/12,0),IF($H538=6,$G538,IF($H538=7,$G538-ROUND($G538*10/11,0),0)))))</f>
        <v>0</v>
      </c>
      <c r="N538" s="364">
        <f>IF($G538="","",K538+L538+M538)</f>
        <v>0</v>
      </c>
      <c r="O538" s="365" t="str">
        <f>IF($G538="","",IFERROR(VLOOKUP($D538&amp;"|"&amp;$E538,科目表!$A$5:$B$200,2,FALSE),"※未登録"))</f>
        <v>通信運搬費</v>
      </c>
      <c r="P538" s="359">
        <f>IF(OR($G538="",$C538=""),"",IF($B538="決算整理",13,MOD(MONTH($C538)-4,12)+1))</f>
        <v>10</v>
      </c>
      <c r="Q538" s="366" t="str">
        <f>IF($G538="","",TRIM(IF(J538+K538+L538+M538&lt;&gt;$G538,"按分不一致 ","")&amp;IF(O538="※未登録","科目未登録 ","")&amp;IF(OR($H538="",ISERROR(MATCH($H538,{1,2,3,4,5,6,7,8},0))),"経費区分? ","")&amp;IF($I538="","状態未設定 ","")&amp;IF(AND(OR($I538="確認済",$I538="未確認"),$B538="月例",OR($C538="",$C538&lt;DATE(年度+2018,4,1),$C538&gt;DATE(年度+2019,3,31))),"年度外の日付 ","")&amp;IF(AND(OR($I538="確認済",$I538="未確認"),O538="対象外"),"対象外の科目 ","")))</f>
        <v/>
      </c>
      <c r="R538" s="366" t="inlineStr">
        <is>
          <t>月例!560</t>
        </is>
      </c>
    </row>
    <row r="539">
      <c r="A539" s="359" t="n">
        <v>535</v>
      </c>
      <c r="B539" s="360" t="inlineStr">
        <is>
          <t>月例</t>
        </is>
      </c>
      <c r="C539" s="361" t="n">
        <v>45688</v>
      </c>
      <c r="D539" s="362" t="inlineStr">
        <is>
          <t>事務費</t>
        </is>
      </c>
      <c r="E539" s="362" t="inlineStr">
        <is>
          <t>事務用消耗品費</t>
        </is>
      </c>
      <c r="F539" s="362" t="inlineStr">
        <is>
          <t>HDMI　ケーブル　LDC-14HDM10  ２個 他</t>
        </is>
      </c>
      <c r="G539" s="363" t="n">
        <v>5147</v>
      </c>
      <c r="H539" s="360" t="n">
        <v>2</v>
      </c>
      <c r="I539" s="360" t="inlineStr">
        <is>
          <t>昨年実績</t>
        </is>
      </c>
      <c r="J539" s="364">
        <f>IF($G539="","",IF($H539=1,$G539-ROUND($G539*10/23,0)-2*ROUND($G539/23,0),IF($H539=2,$G539,0)))</f>
        <v>5147</v>
      </c>
      <c r="K539" s="364">
        <f>IF($G539="","",IF($H539=1,ROUND($G539*10/23,0),IF($H539=3,$G539-2*ROUND($G539/12,0),IF($H539=4,$G539,IF(OR($H539=5,$H539=7),ROUND($G539*10/11,0),0)))))</f>
        <v>0</v>
      </c>
      <c r="L539" s="364">
        <f>IF($G539="","",IF($H539=1,ROUND($G539/23,0),IF($H539=3,ROUND($G539/12,0),IF($H539=5,$G539-ROUND($G539*10/11,0),IF($H539=8,$G539,0)))))</f>
        <v>0</v>
      </c>
      <c r="M539" s="364">
        <f>IF($G539="","",IF($H539=1,ROUND($G539/23,0),IF($H539=3,ROUND($G539/12,0),IF($H539=6,$G539,IF($H539=7,$G539-ROUND($G539*10/11,0),0)))))</f>
        <v>0</v>
      </c>
      <c r="N539" s="364">
        <f>IF($G539="","",K539+L539+M539)</f>
        <v>0</v>
      </c>
      <c r="O539" s="365" t="str">
        <f>IF($G539="","",IFERROR(VLOOKUP($D539&amp;"|"&amp;$E539,科目表!$A$5:$B$200,2,FALSE),"※未登録"))</f>
        <v>事務用消耗品費</v>
      </c>
      <c r="P539" s="359">
        <f>IF(OR($G539="",$C539=""),"",IF($B539="決算整理",13,MOD(MONTH($C539)-4,12)+1))</f>
        <v>10</v>
      </c>
      <c r="Q539" s="366" t="str">
        <f>IF($G539="","",TRIM(IF(J539+K539+L539+M539&lt;&gt;$G539,"按分不一致 ","")&amp;IF(O539="※未登録","科目未登録 ","")&amp;IF(OR($H539="",ISERROR(MATCH($H539,{1,2,3,4,5,6,7,8},0))),"経費区分? ","")&amp;IF($I539="","状態未設定 ","")&amp;IF(AND(OR($I539="確認済",$I539="未確認"),$B539="月例",OR($C539="",$C539&lt;DATE(年度+2018,4,1),$C539&gt;DATE(年度+2019,3,31))),"年度外の日付 ","")&amp;IF(AND(OR($I539="確認済",$I539="未確認"),O539="対象外"),"対象外の科目 ","")))</f>
        <v/>
      </c>
      <c r="R539" s="366" t="inlineStr">
        <is>
          <t>月例!561</t>
        </is>
      </c>
    </row>
    <row r="540">
      <c r="A540" s="359" t="n">
        <v>536</v>
      </c>
      <c r="B540" s="360" t="inlineStr">
        <is>
          <t>月例</t>
        </is>
      </c>
      <c r="C540" s="361" t="n">
        <v>44592</v>
      </c>
      <c r="D540" s="362" t="inlineStr">
        <is>
          <t>事務費</t>
        </is>
      </c>
      <c r="E540" s="362" t="inlineStr">
        <is>
          <t>事務用消耗品費</t>
        </is>
      </c>
      <c r="F540" s="362" t="inlineStr">
        <is>
          <t>定着ユニット</t>
        </is>
      </c>
      <c r="G540" s="363" t="n">
        <v>9735</v>
      </c>
      <c r="H540" s="360" t="n">
        <v>3</v>
      </c>
      <c r="I540" s="360" t="inlineStr">
        <is>
          <t>昨年実績</t>
        </is>
      </c>
      <c r="J540" s="364">
        <f>IF($G540="","",IF($H540=1,$G540-ROUND($G540*10/23,0)-2*ROUND($G540/23,0),IF($H540=2,$G540,0)))</f>
        <v>0</v>
      </c>
      <c r="K540" s="364">
        <f>IF($G540="","",IF($H540=1,ROUND($G540*10/23,0),IF($H540=3,$G540-2*ROUND($G540/12,0),IF($H540=4,$G540,IF(OR($H540=5,$H540=7),ROUND($G540*10/11,0),0)))))</f>
        <v>8113</v>
      </c>
      <c r="L540" s="364">
        <f>IF($G540="","",IF($H540=1,ROUND($G540/23,0),IF($H540=3,ROUND($G540/12,0),IF($H540=5,$G540-ROUND($G540*10/11,0),IF($H540=8,$G540,0)))))</f>
        <v>811</v>
      </c>
      <c r="M540" s="364">
        <f>IF($G540="","",IF($H540=1,ROUND($G540/23,0),IF($H540=3,ROUND($G540/12,0),IF($H540=6,$G540,IF($H540=7,$G540-ROUND($G540*10/11,0),0)))))</f>
        <v>811</v>
      </c>
      <c r="N540" s="364">
        <f>IF($G540="","",K540+L540+M540)</f>
        <v>9735</v>
      </c>
      <c r="O540" s="365" t="str">
        <f>IF($G540="","",IFERROR(VLOOKUP($D540&amp;"|"&amp;$E540,科目表!$A$5:$B$200,2,FALSE),"※未登録"))</f>
        <v>事務用消耗品費</v>
      </c>
      <c r="P540" s="359">
        <f>IF(OR($G540="",$C540=""),"",IF($B540="決算整理",13,MOD(MONTH($C540)-4,12)+1))</f>
        <v>10</v>
      </c>
      <c r="Q540" s="366" t="str">
        <f>IF($G540="","",TRIM(IF(J540+K540+L540+M540&lt;&gt;$G540,"按分不一致 ","")&amp;IF(O540="※未登録","科目未登録 ","")&amp;IF(OR($H540="",ISERROR(MATCH($H540,{1,2,3,4,5,6,7,8},0))),"経費区分? ","")&amp;IF($I540="","状態未設定 ","")&amp;IF(AND(OR($I540="確認済",$I540="未確認"),$B540="月例",OR($C540="",$C540&lt;DATE(年度+2018,4,1),$C540&gt;DATE(年度+2019,3,31))),"年度外の日付 ","")&amp;IF(AND(OR($I540="確認済",$I540="未確認"),O540="対象外"),"対象外の科目 ","")))</f>
        <v/>
      </c>
      <c r="R540" s="366" t="inlineStr">
        <is>
          <t>月例!562</t>
        </is>
      </c>
    </row>
    <row r="541">
      <c r="A541" s="359" t="n">
        <v>537</v>
      </c>
      <c r="B541" s="360" t="inlineStr">
        <is>
          <t>月例</t>
        </is>
      </c>
      <c r="C541" s="361" t="n">
        <v>43496</v>
      </c>
      <c r="D541" s="362" t="inlineStr">
        <is>
          <t>委託費</t>
        </is>
      </c>
      <c r="E541" s="362" t="n"/>
      <c r="F541" s="362" t="inlineStr">
        <is>
          <t>秘密文書回収運搬等業務</t>
        </is>
      </c>
      <c r="G541" s="363" t="n">
        <v>92746</v>
      </c>
      <c r="H541" s="360" t="n">
        <v>2</v>
      </c>
      <c r="I541" s="360" t="inlineStr">
        <is>
          <t>昨年実績</t>
        </is>
      </c>
      <c r="J541" s="364">
        <f>IF($G541="","",IF($H541=1,$G541-ROUND($G541*10/23,0)-2*ROUND($G541/23,0),IF($H541=2,$G541,0)))</f>
        <v>92746</v>
      </c>
      <c r="K541" s="364">
        <f>IF($G541="","",IF($H541=1,ROUND($G541*10/23,0),IF($H541=3,$G541-2*ROUND($G541/12,0),IF($H541=4,$G541,IF(OR($H541=5,$H541=7),ROUND($G541*10/11,0),0)))))</f>
        <v>0</v>
      </c>
      <c r="L541" s="364">
        <f>IF($G541="","",IF($H541=1,ROUND($G541/23,0),IF($H541=3,ROUND($G541/12,0),IF($H541=5,$G541-ROUND($G541*10/11,0),IF($H541=8,$G541,0)))))</f>
        <v>0</v>
      </c>
      <c r="M541" s="364">
        <f>IF($G541="","",IF($H541=1,ROUND($G541/23,0),IF($H541=3,ROUND($G541/12,0),IF($H541=6,$G541,IF($H541=7,$G541-ROUND($G541*10/11,0),0)))))</f>
        <v>0</v>
      </c>
      <c r="N541" s="364">
        <f>IF($G541="","",K541+L541+M541)</f>
        <v>0</v>
      </c>
      <c r="O541" s="365" t="str">
        <f>IF($G541="","",IFERROR(VLOOKUP($D541&amp;"|"&amp;$E541,科目表!$A$5:$B$200,2,FALSE),"※未登録"))</f>
        <v>委託費</v>
      </c>
      <c r="P541" s="359">
        <f>IF(OR($G541="",$C541=""),"",IF($B541="決算整理",13,MOD(MONTH($C541)-4,12)+1))</f>
        <v>10</v>
      </c>
      <c r="Q541" s="366" t="str">
        <f>IF($G541="","",TRIM(IF(J541+K541+L541+M541&lt;&gt;$G541,"按分不一致 ","")&amp;IF(O541="※未登録","科目未登録 ","")&amp;IF(OR($H541="",ISERROR(MATCH($H541,{1,2,3,4,5,6,7,8},0))),"経費区分? ","")&amp;IF($I541="","状態未設定 ","")&amp;IF(AND(OR($I541="確認済",$I541="未確認"),$B541="月例",OR($C541="",$C541&lt;DATE(年度+2018,4,1),$C541&gt;DATE(年度+2019,3,31))),"年度外の日付 ","")&amp;IF(AND(OR($I541="確認済",$I541="未確認"),O541="対象外"),"対象外の科目 ","")))</f>
        <v/>
      </c>
      <c r="R541" s="366" t="inlineStr">
        <is>
          <t>月例!563</t>
        </is>
      </c>
    </row>
    <row r="542">
      <c r="A542" s="359" t="n">
        <v>538</v>
      </c>
      <c r="B542" s="360" t="inlineStr">
        <is>
          <t>月例</t>
        </is>
      </c>
      <c r="C542" s="361" t="n">
        <v>45322</v>
      </c>
      <c r="D542" s="362" t="inlineStr">
        <is>
          <t>事務費</t>
        </is>
      </c>
      <c r="E542" s="362" t="inlineStr">
        <is>
          <t>通信運搬費</t>
        </is>
      </c>
      <c r="F542" s="362" t="inlineStr">
        <is>
          <t>柔整申請書送付（１２月分）</t>
        </is>
      </c>
      <c r="G542" s="363" t="n">
        <v>1489</v>
      </c>
      <c r="H542" s="360" t="n">
        <v>2</v>
      </c>
      <c r="I542" s="360" t="inlineStr">
        <is>
          <t>昨年実績</t>
        </is>
      </c>
      <c r="J542" s="364">
        <f>IF($G542="","",IF($H542=1,$G542-ROUND($G542*10/23,0)-2*ROUND($G542/23,0),IF($H542=2,$G542,0)))</f>
        <v>1489</v>
      </c>
      <c r="K542" s="364">
        <f>IF($G542="","",IF($H542=1,ROUND($G542*10/23,0),IF($H542=3,$G542-2*ROUND($G542/12,0),IF($H542=4,$G542,IF(OR($H542=5,$H542=7),ROUND($G542*10/11,0),0)))))</f>
        <v>0</v>
      </c>
      <c r="L542" s="364">
        <f>IF($G542="","",IF($H542=1,ROUND($G542/23,0),IF($H542=3,ROUND($G542/12,0),IF($H542=5,$G542-ROUND($G542*10/11,0),IF($H542=8,$G542,0)))))</f>
        <v>0</v>
      </c>
      <c r="M542" s="364">
        <f>IF($G542="","",IF($H542=1,ROUND($G542/23,0),IF($H542=3,ROUND($G542/12,0),IF($H542=6,$G542,IF($H542=7,$G542-ROUND($G542*10/11,0),0)))))</f>
        <v>0</v>
      </c>
      <c r="N542" s="364">
        <f>IF($G542="","",K542+L542+M542)</f>
        <v>0</v>
      </c>
      <c r="O542" s="365" t="str">
        <f>IF($G542="","",IFERROR(VLOOKUP($D542&amp;"|"&amp;$E542,科目表!$A$5:$B$200,2,FALSE),"※未登録"))</f>
        <v>通信運搬費</v>
      </c>
      <c r="P542" s="359">
        <f>IF(OR($G542="",$C542=""),"",IF($B542="決算整理",13,MOD(MONTH($C542)-4,12)+1))</f>
        <v>10</v>
      </c>
      <c r="Q542" s="366" t="str">
        <f>IF($G542="","",TRIM(IF(J542+K542+L542+M542&lt;&gt;$G542,"按分不一致 ","")&amp;IF(O542="※未登録","科目未登録 ","")&amp;IF(OR($H542="",ISERROR(MATCH($H542,{1,2,3,4,5,6,7,8},0))),"経費区分? ","")&amp;IF($I542="","状態未設定 ","")&amp;IF(AND(OR($I542="確認済",$I542="未確認"),$B542="月例",OR($C542="",$C542&lt;DATE(年度+2018,4,1),$C542&gt;DATE(年度+2019,3,31))),"年度外の日付 ","")&amp;IF(AND(OR($I542="確認済",$I542="未確認"),O542="対象外"),"対象外の科目 ","")))</f>
        <v/>
      </c>
      <c r="R542" s="366" t="inlineStr">
        <is>
          <t>月例!564</t>
        </is>
      </c>
    </row>
    <row r="543">
      <c r="A543" s="359" t="n">
        <v>539</v>
      </c>
      <c r="B543" s="360" t="inlineStr">
        <is>
          <t>月例</t>
        </is>
      </c>
      <c r="C543" s="361" t="n">
        <v>45688</v>
      </c>
      <c r="D543" s="362" t="inlineStr">
        <is>
          <t>事務費</t>
        </is>
      </c>
      <c r="E543" s="362" t="inlineStr">
        <is>
          <t>事務用消耗品費</t>
        </is>
      </c>
      <c r="F543" s="362" t="inlineStr">
        <is>
          <t>輪ゴム　B105J/No.16 192-292  8箱 他</t>
        </is>
      </c>
      <c r="G543" s="363" t="n">
        <v>19566</v>
      </c>
      <c r="H543" s="360" t="n">
        <v>2</v>
      </c>
      <c r="I543" s="360" t="inlineStr">
        <is>
          <t>昨年実績</t>
        </is>
      </c>
      <c r="J543" s="364">
        <f>IF($G543="","",IF($H543=1,$G543-ROUND($G543*10/23,0)-2*ROUND($G543/23,0),IF($H543=2,$G543,0)))</f>
        <v>19566</v>
      </c>
      <c r="K543" s="364">
        <f>IF($G543="","",IF($H543=1,ROUND($G543*10/23,0),IF($H543=3,$G543-2*ROUND($G543/12,0),IF($H543=4,$G543,IF(OR($H543=5,$H543=7),ROUND($G543*10/11,0),0)))))</f>
        <v>0</v>
      </c>
      <c r="L543" s="364">
        <f>IF($G543="","",IF($H543=1,ROUND($G543/23,0),IF($H543=3,ROUND($G543/12,0),IF($H543=5,$G543-ROUND($G543*10/11,0),IF($H543=8,$G543,0)))))</f>
        <v>0</v>
      </c>
      <c r="M543" s="364">
        <f>IF($G543="","",IF($H543=1,ROUND($G543/23,0),IF($H543=3,ROUND($G543/12,0),IF($H543=6,$G543,IF($H543=7,$G543-ROUND($G543*10/11,0),0)))))</f>
        <v>0</v>
      </c>
      <c r="N543" s="364">
        <f>IF($G543="","",K543+L543+M543)</f>
        <v>0</v>
      </c>
      <c r="O543" s="365" t="str">
        <f>IF($G543="","",IFERROR(VLOOKUP($D543&amp;"|"&amp;$E543,科目表!$A$5:$B$200,2,FALSE),"※未登録"))</f>
        <v>事務用消耗品費</v>
      </c>
      <c r="P543" s="359">
        <f>IF(OR($G543="",$C543=""),"",IF($B543="決算整理",13,MOD(MONTH($C543)-4,12)+1))</f>
        <v>10</v>
      </c>
      <c r="Q543" s="366" t="str">
        <f>IF($G543="","",TRIM(IF(J543+K543+L543+M543&lt;&gt;$G543,"按分不一致 ","")&amp;IF(O543="※未登録","科目未登録 ","")&amp;IF(OR($H543="",ISERROR(MATCH($H543,{1,2,3,4,5,6,7,8},0))),"経費区分? ","")&amp;IF($I543="","状態未設定 ","")&amp;IF(AND(OR($I543="確認済",$I543="未確認"),$B543="月例",OR($C543="",$C543&lt;DATE(年度+2018,4,1),$C543&gt;DATE(年度+2019,3,31))),"年度外の日付 ","")&amp;IF(AND(OR($I543="確認済",$I543="未確認"),O543="対象外"),"対象外の科目 ","")))</f>
        <v/>
      </c>
      <c r="R543" s="366" t="inlineStr">
        <is>
          <t>月例!565</t>
        </is>
      </c>
    </row>
    <row r="544">
      <c r="A544" s="359" t="n">
        <v>540</v>
      </c>
      <c r="B544" s="360" t="inlineStr">
        <is>
          <t>月例</t>
        </is>
      </c>
      <c r="C544" s="361" t="n">
        <v>46051</v>
      </c>
      <c r="D544" s="362" t="inlineStr">
        <is>
          <t>事務費</t>
        </is>
      </c>
      <c r="E544" s="362" t="inlineStr">
        <is>
          <t>通信運搬費</t>
        </is>
      </c>
      <c r="F544" s="362" t="inlineStr">
        <is>
          <t>料金後納利用料（１２月分）</t>
        </is>
      </c>
      <c r="G544" s="363" t="n">
        <v>1243800</v>
      </c>
      <c r="H544" s="360" t="n">
        <v>3</v>
      </c>
      <c r="I544" s="360" t="inlineStr">
        <is>
          <t>昨年実績</t>
        </is>
      </c>
      <c r="J544" s="364">
        <f>IF($G544="","",IF($H544=1,$G544-ROUND($G544*10/23,0)-2*ROUND($G544/23,0),IF($H544=2,$G544,0)))</f>
        <v>0</v>
      </c>
      <c r="K544" s="364">
        <f>IF($G544="","",IF($H544=1,ROUND($G544*10/23,0),IF($H544=3,$G544-2*ROUND($G544/12,0),IF($H544=4,$G544,IF(OR($H544=5,$H544=7),ROUND($G544*10/11,0),0)))))</f>
        <v>1036500</v>
      </c>
      <c r="L544" s="364">
        <f>IF($G544="","",IF($H544=1,ROUND($G544/23,0),IF($H544=3,ROUND($G544/12,0),IF($H544=5,$G544-ROUND($G544*10/11,0),IF($H544=8,$G544,0)))))</f>
        <v>103650</v>
      </c>
      <c r="M544" s="364">
        <f>IF($G544="","",IF($H544=1,ROUND($G544/23,0),IF($H544=3,ROUND($G544/12,0),IF($H544=6,$G544,IF($H544=7,$G544-ROUND($G544*10/11,0),0)))))</f>
        <v>103650</v>
      </c>
      <c r="N544" s="364">
        <f>IF($G544="","",K544+L544+M544)</f>
        <v>1243800</v>
      </c>
      <c r="O544" s="365" t="str">
        <f>IF($G544="","",IFERROR(VLOOKUP($D544&amp;"|"&amp;$E544,科目表!$A$5:$B$200,2,FALSE),"※未登録"))</f>
        <v>通信運搬費</v>
      </c>
      <c r="P544" s="359">
        <f>IF(OR($G544="",$C544=""),"",IF($B544="決算整理",13,MOD(MONTH($C544)-4,12)+1))</f>
        <v>10</v>
      </c>
      <c r="Q544" s="366" t="str">
        <f>IF($G544="","",TRIM(IF(J544+K544+L544+M544&lt;&gt;$G544,"按分不一致 ","")&amp;IF(O544="※未登録","科目未登録 ","")&amp;IF(OR($H544="",ISERROR(MATCH($H544,{1,2,3,4,5,6,7,8},0))),"経費区分? ","")&amp;IF($I544="","状態未設定 ","")&amp;IF(AND(OR($I544="確認済",$I544="未確認"),$B544="月例",OR($C544="",$C544&lt;DATE(年度+2018,4,1),$C544&gt;DATE(年度+2019,3,31))),"年度外の日付 ","")&amp;IF(AND(OR($I544="確認済",$I544="未確認"),O544="対象外"),"対象外の科目 ","")))</f>
        <v/>
      </c>
      <c r="R544" s="366" t="inlineStr">
        <is>
          <t>月例!566</t>
        </is>
      </c>
    </row>
    <row r="545">
      <c r="A545" s="359" t="n">
        <v>541</v>
      </c>
      <c r="B545" s="360" t="inlineStr">
        <is>
          <t>月例</t>
        </is>
      </c>
      <c r="C545" s="361" t="n">
        <v>46051</v>
      </c>
      <c r="D545" s="362" t="inlineStr">
        <is>
          <t>事務費</t>
        </is>
      </c>
      <c r="E545" s="362" t="inlineStr">
        <is>
          <t>通信運搬費</t>
        </is>
      </c>
      <c r="F545" s="362" t="inlineStr">
        <is>
          <t>料金後納利用料（１２月分）</t>
        </is>
      </c>
      <c r="G545" s="363" t="n">
        <v>28530</v>
      </c>
      <c r="H545" s="360" t="n">
        <v>2</v>
      </c>
      <c r="I545" s="360" t="inlineStr">
        <is>
          <t>昨年実績</t>
        </is>
      </c>
      <c r="J545" s="364">
        <f>IF($G545="","",IF($H545=1,$G545-ROUND($G545*10/23,0)-2*ROUND($G545/23,0),IF($H545=2,$G545,0)))</f>
        <v>28530</v>
      </c>
      <c r="K545" s="364">
        <f>IF($G545="","",IF($H545=1,ROUND($G545*10/23,0),IF($H545=3,$G545-2*ROUND($G545/12,0),IF($H545=4,$G545,IF(OR($H545=5,$H545=7),ROUND($G545*10/11,0),0)))))</f>
        <v>0</v>
      </c>
      <c r="L545" s="364">
        <f>IF($G545="","",IF($H545=1,ROUND($G545/23,0),IF($H545=3,ROUND($G545/12,0),IF($H545=5,$G545-ROUND($G545*10/11,0),IF($H545=8,$G545,0)))))</f>
        <v>0</v>
      </c>
      <c r="M545" s="364">
        <f>IF($G545="","",IF($H545=1,ROUND($G545/23,0),IF($H545=3,ROUND($G545/12,0),IF($H545=6,$G545,IF($H545=7,$G545-ROUND($G545*10/11,0),0)))))</f>
        <v>0</v>
      </c>
      <c r="N545" s="364">
        <f>IF($G545="","",K545+L545+M545)</f>
        <v>0</v>
      </c>
      <c r="O545" s="365" t="str">
        <f>IF($G545="","",IFERROR(VLOOKUP($D545&amp;"|"&amp;$E545,科目表!$A$5:$B$200,2,FALSE),"※未登録"))</f>
        <v>通信運搬費</v>
      </c>
      <c r="P545" s="359">
        <f>IF(OR($G545="",$C545=""),"",IF($B545="決算整理",13,MOD(MONTH($C545)-4,12)+1))</f>
        <v>10</v>
      </c>
      <c r="Q545" s="366" t="str">
        <f>IF($G545="","",TRIM(IF(J545+K545+L545+M545&lt;&gt;$G545,"按分不一致 ","")&amp;IF(O545="※未登録","科目未登録 ","")&amp;IF(OR($H545="",ISERROR(MATCH($H545,{1,2,3,4,5,6,7,8},0))),"経費区分? ","")&amp;IF($I545="","状態未設定 ","")&amp;IF(AND(OR($I545="確認済",$I545="未確認"),$B545="月例",OR($C545="",$C545&lt;DATE(年度+2018,4,1),$C545&gt;DATE(年度+2019,3,31))),"年度外の日付 ","")&amp;IF(AND(OR($I545="確認済",$I545="未確認"),O545="対象外"),"対象外の科目 ","")))</f>
        <v/>
      </c>
      <c r="R545" s="366" t="inlineStr">
        <is>
          <t>月例!567</t>
        </is>
      </c>
    </row>
    <row r="546">
      <c r="A546" s="359" t="n">
        <v>542</v>
      </c>
      <c r="B546" s="360" t="inlineStr">
        <is>
          <t>月例</t>
        </is>
      </c>
      <c r="C546" s="361" t="n">
        <v>46055</v>
      </c>
      <c r="D546" s="362" t="inlineStr">
        <is>
          <t>事務費</t>
        </is>
      </c>
      <c r="E546" s="362" t="inlineStr">
        <is>
          <t>通信運搬費</t>
        </is>
      </c>
      <c r="F546" s="362" t="inlineStr">
        <is>
          <t>インターネット通信料金（１１・１２月利用・１月請求分）</t>
        </is>
      </c>
      <c r="G546" s="363" t="n">
        <v>3663</v>
      </c>
      <c r="H546" s="360" t="n">
        <v>2</v>
      </c>
      <c r="I546" s="360" t="inlineStr">
        <is>
          <t>昨年実績</t>
        </is>
      </c>
      <c r="J546" s="364">
        <f>IF($G546="","",IF($H546=1,$G546-ROUND($G546*10/23,0)-2*ROUND($G546/23,0),IF($H546=2,$G546,0)))</f>
        <v>3663</v>
      </c>
      <c r="K546" s="364">
        <f>IF($G546="","",IF($H546=1,ROUND($G546*10/23,0),IF($H546=3,$G546-2*ROUND($G546/12,0),IF($H546=4,$G546,IF(OR($H546=5,$H546=7),ROUND($G546*10/11,0),0)))))</f>
        <v>0</v>
      </c>
      <c r="L546" s="364">
        <f>IF($G546="","",IF($H546=1,ROUND($G546/23,0),IF($H546=3,ROUND($G546/12,0),IF($H546=5,$G546-ROUND($G546*10/11,0),IF($H546=8,$G546,0)))))</f>
        <v>0</v>
      </c>
      <c r="M546" s="364">
        <f>IF($G546="","",IF($H546=1,ROUND($G546/23,0),IF($H546=3,ROUND($G546/12,0),IF($H546=6,$G546,IF($H546=7,$G546-ROUND($G546*10/11,0),0)))))</f>
        <v>0</v>
      </c>
      <c r="N546" s="364">
        <f>IF($G546="","",K546+L546+M546)</f>
        <v>0</v>
      </c>
      <c r="O546" s="365" t="str">
        <f>IF($G546="","",IFERROR(VLOOKUP($D546&amp;"|"&amp;$E546,科目表!$A$5:$B$200,2,FALSE),"※未登録"))</f>
        <v>通信運搬費</v>
      </c>
      <c r="P546" s="359">
        <f>IF(OR($G546="",$C546=""),"",IF($B546="決算整理",13,MOD(MONTH($C546)-4,12)+1))</f>
        <v>11</v>
      </c>
      <c r="Q546" s="366" t="str">
        <f>IF($G546="","",TRIM(IF(J546+K546+L546+M546&lt;&gt;$G546,"按分不一致 ","")&amp;IF(O546="※未登録","科目未登録 ","")&amp;IF(OR($H546="",ISERROR(MATCH($H546,{1,2,3,4,5,6,7,8},0))),"経費区分? ","")&amp;IF($I546="","状態未設定 ","")&amp;IF(AND(OR($I546="確認済",$I546="未確認"),$B546="月例",OR($C546="",$C546&lt;DATE(年度+2018,4,1),$C546&gt;DATE(年度+2019,3,31))),"年度外の日付 ","")&amp;IF(AND(OR($I546="確認済",$I546="未確認"),O546="対象外"),"対象外の科目 ","")))</f>
        <v/>
      </c>
      <c r="R546" s="366" t="inlineStr">
        <is>
          <t>月例!568</t>
        </is>
      </c>
    </row>
    <row r="547">
      <c r="A547" s="359" t="n">
        <v>543</v>
      </c>
      <c r="B547" s="360" t="inlineStr">
        <is>
          <t>月例</t>
        </is>
      </c>
      <c r="C547" s="361" t="n">
        <v>43861</v>
      </c>
      <c r="D547" s="362" t="inlineStr">
        <is>
          <t>賃借料</t>
        </is>
      </c>
      <c r="E547" s="362" t="n"/>
      <c r="F547" s="362" t="inlineStr">
        <is>
          <t>基幹システム（短期）用機器リース料１２月分</t>
        </is>
      </c>
      <c r="G547" s="363" t="n">
        <v>193676</v>
      </c>
      <c r="H547" s="360" t="n">
        <v>2</v>
      </c>
      <c r="I547" s="360" t="inlineStr">
        <is>
          <t>昨年実績</t>
        </is>
      </c>
      <c r="J547" s="364">
        <f>IF($G547="","",IF($H547=1,$G547-ROUND($G547*10/23,0)-2*ROUND($G547/23,0),IF($H547=2,$G547,0)))</f>
        <v>193676</v>
      </c>
      <c r="K547" s="364">
        <f>IF($G547="","",IF($H547=1,ROUND($G547*10/23,0),IF($H547=3,$G547-2*ROUND($G547/12,0),IF($H547=4,$G547,IF(OR($H547=5,$H547=7),ROUND($G547*10/11,0),0)))))</f>
        <v>0</v>
      </c>
      <c r="L547" s="364">
        <f>IF($G547="","",IF($H547=1,ROUND($G547/23,0),IF($H547=3,ROUND($G547/12,0),IF($H547=5,$G547-ROUND($G547*10/11,0),IF($H547=8,$G547,0)))))</f>
        <v>0</v>
      </c>
      <c r="M547" s="364">
        <f>IF($G547="","",IF($H547=1,ROUND($G547/23,0),IF($H547=3,ROUND($G547/12,0),IF($H547=6,$G547,IF($H547=7,$G547-ROUND($G547*10/11,0),0)))))</f>
        <v>0</v>
      </c>
      <c r="N547" s="364">
        <f>IF($G547="","",K547+L547+M547)</f>
        <v>0</v>
      </c>
      <c r="O547" s="365" t="str">
        <f>IF($G547="","",IFERROR(VLOOKUP($D547&amp;"|"&amp;$E547,科目表!$A$5:$B$200,2,FALSE),"※未登録"))</f>
        <v>賃借料</v>
      </c>
      <c r="P547" s="359">
        <f>IF(OR($G547="",$C547=""),"",IF($B547="決算整理",13,MOD(MONTH($C547)-4,12)+1))</f>
        <v>10</v>
      </c>
      <c r="Q547" s="366" t="str">
        <f>IF($G547="","",TRIM(IF(J547+K547+L547+M547&lt;&gt;$G547,"按分不一致 ","")&amp;IF(O547="※未登録","科目未登録 ","")&amp;IF(OR($H547="",ISERROR(MATCH($H547,{1,2,3,4,5,6,7,8},0))),"経費区分? ","")&amp;IF($I547="","状態未設定 ","")&amp;IF(AND(OR($I547="確認済",$I547="未確認"),$B547="月例",OR($C547="",$C547&lt;DATE(年度+2018,4,1),$C547&gt;DATE(年度+2019,3,31))),"年度外の日付 ","")&amp;IF(AND(OR($I547="確認済",$I547="未確認"),O547="対象外"),"対象外の科目 ","")))</f>
        <v/>
      </c>
      <c r="R547" s="366" t="inlineStr">
        <is>
          <t>月例!569</t>
        </is>
      </c>
    </row>
    <row r="548">
      <c r="A548" s="359" t="n">
        <v>544</v>
      </c>
      <c r="B548" s="360" t="inlineStr">
        <is>
          <t>月例</t>
        </is>
      </c>
      <c r="C548" s="361" t="n">
        <v>46050</v>
      </c>
      <c r="D548" s="362" t="inlineStr">
        <is>
          <t>負担金</t>
        </is>
      </c>
      <c r="E548" s="362" t="inlineStr">
        <is>
          <t>負担金</t>
        </is>
      </c>
      <c r="F548" s="362" t="inlineStr">
        <is>
          <t>共済短期・介護負担金（1月月例分）長期</t>
        </is>
      </c>
      <c r="G548" s="363" t="n">
        <v>22835</v>
      </c>
      <c r="H548" s="360" t="n">
        <v>3</v>
      </c>
      <c r="I548" s="360" t="inlineStr">
        <is>
          <t>昨年実績</t>
        </is>
      </c>
      <c r="J548" s="364">
        <f>IF($G548="","",IF($H548=1,$G548-ROUND($G548*10/23,0)-2*ROUND($G548/23,0),IF($H548=2,$G548,0)))</f>
        <v>0</v>
      </c>
      <c r="K548" s="364">
        <f>IF($G548="","",IF($H548=1,ROUND($G548*10/23,0),IF($H548=3,$G548-2*ROUND($G548/12,0),IF($H548=4,$G548,IF(OR($H548=5,$H548=7),ROUND($G548*10/11,0),0)))))</f>
        <v>19029</v>
      </c>
      <c r="L548" s="364">
        <f>IF($G548="","",IF($H548=1,ROUND($G548/23,0),IF($H548=3,ROUND($G548/12,0),IF($H548=5,$G548-ROUND($G548*10/11,0),IF($H548=8,$G548,0)))))</f>
        <v>1903</v>
      </c>
      <c r="M548" s="364">
        <f>IF($G548="","",IF($H548=1,ROUND($G548/23,0),IF($H548=3,ROUND($G548/12,0),IF($H548=6,$G548,IF($H548=7,$G548-ROUND($G548*10/11,0),0)))))</f>
        <v>1903</v>
      </c>
      <c r="N548" s="364">
        <f>IF($G548="","",K548+L548+M548)</f>
        <v>22835</v>
      </c>
      <c r="O548" s="365" t="str">
        <f>IF($G548="","",IFERROR(VLOOKUP($D548&amp;"|"&amp;$E548,科目表!$A$5:$B$200,2,FALSE),"※未登録"))</f>
        <v>共済負担金等</v>
      </c>
      <c r="P548" s="359">
        <f>IF(OR($G548="",$C548=""),"",IF($B548="決算整理",13,MOD(MONTH($C548)-4,12)+1))</f>
        <v>10</v>
      </c>
      <c r="Q548" s="366" t="str">
        <f>IF($G548="","",TRIM(IF(J548+K548+L548+M548&lt;&gt;$G548,"按分不一致 ","")&amp;IF(O548="※未登録","科目未登録 ","")&amp;IF(OR($H548="",ISERROR(MATCH($H548,{1,2,3,4,5,6,7,8},0))),"経費区分? ","")&amp;IF($I548="","状態未設定 ","")&amp;IF(AND(OR($I548="確認済",$I548="未確認"),$B548="月例",OR($C548="",$C548&lt;DATE(年度+2018,4,1),$C548&gt;DATE(年度+2019,3,31))),"年度外の日付 ","")&amp;IF(AND(OR($I548="確認済",$I548="未確認"),O548="対象外"),"対象外の科目 ","")))</f>
        <v/>
      </c>
      <c r="R548" s="366" t="inlineStr">
        <is>
          <t>月例!570</t>
        </is>
      </c>
    </row>
    <row r="549">
      <c r="A549" s="359" t="n">
        <v>545</v>
      </c>
      <c r="B549" s="360" t="inlineStr">
        <is>
          <t>月例</t>
        </is>
      </c>
      <c r="C549" s="361" t="n">
        <v>46050</v>
      </c>
      <c r="D549" s="362" t="inlineStr">
        <is>
          <t>負担金</t>
        </is>
      </c>
      <c r="E549" s="362" t="inlineStr">
        <is>
          <t>負担金</t>
        </is>
      </c>
      <c r="F549" s="362" t="inlineStr">
        <is>
          <t>共済短期・介護負担金（1月月例分）短期</t>
        </is>
      </c>
      <c r="G549" s="363" t="n">
        <v>39697</v>
      </c>
      <c r="H549" s="360" t="n">
        <v>2</v>
      </c>
      <c r="I549" s="360" t="inlineStr">
        <is>
          <t>昨年実績</t>
        </is>
      </c>
      <c r="J549" s="364">
        <f>IF($G549="","",IF($H549=1,$G549-ROUND($G549*10/23,0)-2*ROUND($G549/23,0),IF($H549=2,$G549,0)))</f>
        <v>39697</v>
      </c>
      <c r="K549" s="364">
        <f>IF($G549="","",IF($H549=1,ROUND($G549*10/23,0),IF($H549=3,$G549-2*ROUND($G549/12,0),IF($H549=4,$G549,IF(OR($H549=5,$H549=7),ROUND($G549*10/11,0),0)))))</f>
        <v>0</v>
      </c>
      <c r="L549" s="364">
        <f>IF($G549="","",IF($H549=1,ROUND($G549/23,0),IF($H549=3,ROUND($G549/12,0),IF($H549=5,$G549-ROUND($G549*10/11,0),IF($H549=8,$G549,0)))))</f>
        <v>0</v>
      </c>
      <c r="M549" s="364">
        <f>IF($G549="","",IF($H549=1,ROUND($G549/23,0),IF($H549=3,ROUND($G549/12,0),IF($H549=6,$G549,IF($H549=7,$G549-ROUND($G549*10/11,0),0)))))</f>
        <v>0</v>
      </c>
      <c r="N549" s="364">
        <f>IF($G549="","",K549+L549+M549)</f>
        <v>0</v>
      </c>
      <c r="O549" s="365" t="str">
        <f>IF($G549="","",IFERROR(VLOOKUP($D549&amp;"|"&amp;$E549,科目表!$A$5:$B$200,2,FALSE),"※未登録"))</f>
        <v>共済負担金等</v>
      </c>
      <c r="P549" s="359">
        <f>IF(OR($G549="",$C549=""),"",IF($B549="決算整理",13,MOD(MONTH($C549)-4,12)+1))</f>
        <v>10</v>
      </c>
      <c r="Q549" s="366" t="str">
        <f>IF($G549="","",TRIM(IF(J549+K549+L549+M549&lt;&gt;$G549,"按分不一致 ","")&amp;IF(O549="※未登録","科目未登録 ","")&amp;IF(OR($H549="",ISERROR(MATCH($H549,{1,2,3,4,5,6,7,8},0))),"経費区分? ","")&amp;IF($I549="","状態未設定 ","")&amp;IF(AND(OR($I549="確認済",$I549="未確認"),$B549="月例",OR($C549="",$C549&lt;DATE(年度+2018,4,1),$C549&gt;DATE(年度+2019,3,31))),"年度外の日付 ","")&amp;IF(AND(OR($I549="確認済",$I549="未確認"),O549="対象外"),"対象外の科目 ","")))</f>
        <v/>
      </c>
      <c r="R549" s="366" t="inlineStr">
        <is>
          <t>月例!571</t>
        </is>
      </c>
    </row>
    <row r="550">
      <c r="A550" s="359" t="n">
        <v>546</v>
      </c>
      <c r="B550" s="360" t="inlineStr">
        <is>
          <t>月例</t>
        </is>
      </c>
      <c r="C550" s="361" t="n">
        <v>46050</v>
      </c>
      <c r="D550" s="362" t="inlineStr">
        <is>
          <t>負担金</t>
        </is>
      </c>
      <c r="E550" s="362" t="inlineStr">
        <is>
          <t>負担金</t>
        </is>
      </c>
      <c r="F550" s="362" t="inlineStr">
        <is>
          <t>共済短期・介護負担金（12月差額分）長期</t>
        </is>
      </c>
      <c r="G550" s="363" t="n">
        <v>2503</v>
      </c>
      <c r="H550" s="360" t="n">
        <v>3</v>
      </c>
      <c r="I550" s="360" t="inlineStr">
        <is>
          <t>昨年実績</t>
        </is>
      </c>
      <c r="J550" s="364">
        <f>IF($G550="","",IF($H550=1,$G550-ROUND($G550*10/23,0)-2*ROUND($G550/23,0),IF($H550=2,$G550,0)))</f>
        <v>0</v>
      </c>
      <c r="K550" s="364">
        <f>IF($G550="","",IF($H550=1,ROUND($G550*10/23,0),IF($H550=3,$G550-2*ROUND($G550/12,0),IF($H550=4,$G550,IF(OR($H550=5,$H550=7),ROUND($G550*10/11,0),0)))))</f>
        <v>2085</v>
      </c>
      <c r="L550" s="364">
        <f>IF($G550="","",IF($H550=1,ROUND($G550/23,0),IF($H550=3,ROUND($G550/12,0),IF($H550=5,$G550-ROUND($G550*10/11,0),IF($H550=8,$G550,0)))))</f>
        <v>209</v>
      </c>
      <c r="M550" s="364">
        <f>IF($G550="","",IF($H550=1,ROUND($G550/23,0),IF($H550=3,ROUND($G550/12,0),IF($H550=6,$G550,IF($H550=7,$G550-ROUND($G550*10/11,0),0)))))</f>
        <v>209</v>
      </c>
      <c r="N550" s="364">
        <f>IF($G550="","",K550+L550+M550)</f>
        <v>2503</v>
      </c>
      <c r="O550" s="365" t="str">
        <f>IF($G550="","",IFERROR(VLOOKUP($D550&amp;"|"&amp;$E550,科目表!$A$5:$B$200,2,FALSE),"※未登録"))</f>
        <v>共済負担金等</v>
      </c>
      <c r="P550" s="359">
        <f>IF(OR($G550="",$C550=""),"",IF($B550="決算整理",13,MOD(MONTH($C550)-4,12)+1))</f>
        <v>10</v>
      </c>
      <c r="Q550" s="366" t="str">
        <f>IF($G550="","",TRIM(IF(J550+K550+L550+M550&lt;&gt;$G550,"按分不一致 ","")&amp;IF(O550="※未登録","科目未登録 ","")&amp;IF(OR($H550="",ISERROR(MATCH($H550,{1,2,3,4,5,6,7,8},0))),"経費区分? ","")&amp;IF($I550="","状態未設定 ","")&amp;IF(AND(OR($I550="確認済",$I550="未確認"),$B550="月例",OR($C550="",$C550&lt;DATE(年度+2018,4,1),$C550&gt;DATE(年度+2019,3,31))),"年度外の日付 ","")&amp;IF(AND(OR($I550="確認済",$I550="未確認"),O550="対象外"),"対象外の科目 ","")))</f>
        <v/>
      </c>
      <c r="R550" s="366" t="inlineStr">
        <is>
          <t>月例!572</t>
        </is>
      </c>
    </row>
    <row r="551">
      <c r="A551" s="359" t="n">
        <v>547</v>
      </c>
      <c r="B551" s="360" t="inlineStr">
        <is>
          <t>月例</t>
        </is>
      </c>
      <c r="C551" s="361" t="n">
        <v>46050</v>
      </c>
      <c r="D551" s="362" t="inlineStr">
        <is>
          <t>負担金</t>
        </is>
      </c>
      <c r="E551" s="362" t="inlineStr">
        <is>
          <t>負担金</t>
        </is>
      </c>
      <c r="F551" s="362" t="inlineStr">
        <is>
          <t>共済短期・介護負担金（12月差額分）短期</t>
        </is>
      </c>
      <c r="G551" s="363" t="n">
        <v>1576</v>
      </c>
      <c r="H551" s="360" t="n">
        <v>2</v>
      </c>
      <c r="I551" s="360" t="inlineStr">
        <is>
          <t>昨年実績</t>
        </is>
      </c>
      <c r="J551" s="364">
        <f>IF($G551="","",IF($H551=1,$G551-ROUND($G551*10/23,0)-2*ROUND($G551/23,0),IF($H551=2,$G551,0)))</f>
        <v>1576</v>
      </c>
      <c r="K551" s="364">
        <f>IF($G551="","",IF($H551=1,ROUND($G551*10/23,0),IF($H551=3,$G551-2*ROUND($G551/12,0),IF($H551=4,$G551,IF(OR($H551=5,$H551=7),ROUND($G551*10/11,0),0)))))</f>
        <v>0</v>
      </c>
      <c r="L551" s="364">
        <f>IF($G551="","",IF($H551=1,ROUND($G551/23,0),IF($H551=3,ROUND($G551/12,0),IF($H551=5,$G551-ROUND($G551*10/11,0),IF($H551=8,$G551,0)))))</f>
        <v>0</v>
      </c>
      <c r="M551" s="364">
        <f>IF($G551="","",IF($H551=1,ROUND($G551/23,0),IF($H551=3,ROUND($G551/12,0),IF($H551=6,$G551,IF($H551=7,$G551-ROUND($G551*10/11,0),0)))))</f>
        <v>0</v>
      </c>
      <c r="N551" s="364">
        <f>IF($G551="","",K551+L551+M551)</f>
        <v>0</v>
      </c>
      <c r="O551" s="365" t="str">
        <f>IF($G551="","",IFERROR(VLOOKUP($D551&amp;"|"&amp;$E551,科目表!$A$5:$B$200,2,FALSE),"※未登録"))</f>
        <v>共済負担金等</v>
      </c>
      <c r="P551" s="359">
        <f>IF(OR($G551="",$C551=""),"",IF($B551="決算整理",13,MOD(MONTH($C551)-4,12)+1))</f>
        <v>10</v>
      </c>
      <c r="Q551" s="366" t="str">
        <f>IF($G551="","",TRIM(IF(J551+K551+L551+M551&lt;&gt;$G551,"按分不一致 ","")&amp;IF(O551="※未登録","科目未登録 ","")&amp;IF(OR($H551="",ISERROR(MATCH($H551,{1,2,3,4,5,6,7,8},0))),"経費区分? ","")&amp;IF($I551="","状態未設定 ","")&amp;IF(AND(OR($I551="確認済",$I551="未確認"),$B551="月例",OR($C551="",$C551&lt;DATE(年度+2018,4,1),$C551&gt;DATE(年度+2019,3,31))),"年度外の日付 ","")&amp;IF(AND(OR($I551="確認済",$I551="未確認"),O551="対象外"),"対象外の科目 ","")))</f>
        <v/>
      </c>
      <c r="R551" s="366" t="inlineStr">
        <is>
          <t>月例!573</t>
        </is>
      </c>
    </row>
    <row r="552">
      <c r="A552" s="359" t="n">
        <v>548</v>
      </c>
      <c r="B552" s="360" t="inlineStr">
        <is>
          <t>月例</t>
        </is>
      </c>
      <c r="C552" s="361" t="n">
        <v>46038</v>
      </c>
      <c r="D552" s="362" t="inlineStr">
        <is>
          <t>賃借料</t>
        </is>
      </c>
      <c r="E552" s="362" t="n"/>
      <c r="F552" s="362" t="inlineStr">
        <is>
          <t>統合管理端末リース料（１２月分）</t>
        </is>
      </c>
      <c r="G552" s="363" t="n">
        <v>12738</v>
      </c>
      <c r="H552" s="360" t="n">
        <v>2</v>
      </c>
      <c r="I552" s="360" t="inlineStr">
        <is>
          <t>昨年実績</t>
        </is>
      </c>
      <c r="J552" s="364">
        <f>IF($G552="","",IF($H552=1,$G552-ROUND($G552*10/23,0)-2*ROUND($G552/23,0),IF($H552=2,$G552,0)))</f>
        <v>12738</v>
      </c>
      <c r="K552" s="364">
        <f>IF($G552="","",IF($H552=1,ROUND($G552*10/23,0),IF($H552=3,$G552-2*ROUND($G552/12,0),IF($H552=4,$G552,IF(OR($H552=5,$H552=7),ROUND($G552*10/11,0),0)))))</f>
        <v>0</v>
      </c>
      <c r="L552" s="364">
        <f>IF($G552="","",IF($H552=1,ROUND($G552/23,0),IF($H552=3,ROUND($G552/12,0),IF($H552=5,$G552-ROUND($G552*10/11,0),IF($H552=8,$G552,0)))))</f>
        <v>0</v>
      </c>
      <c r="M552" s="364">
        <f>IF($G552="","",IF($H552=1,ROUND($G552/23,0),IF($H552=3,ROUND($G552/12,0),IF($H552=6,$G552,IF($H552=7,$G552-ROUND($G552*10/11,0),0)))))</f>
        <v>0</v>
      </c>
      <c r="N552" s="364">
        <f>IF($G552="","",K552+L552+M552)</f>
        <v>0</v>
      </c>
      <c r="O552" s="365" t="str">
        <f>IF($G552="","",IFERROR(VLOOKUP($D552&amp;"|"&amp;$E552,科目表!$A$5:$B$200,2,FALSE),"※未登録"))</f>
        <v>賃借料</v>
      </c>
      <c r="P552" s="359">
        <f>IF(OR($G552="",$C552=""),"",IF($B552="決算整理",13,MOD(MONTH($C552)-4,12)+1))</f>
        <v>10</v>
      </c>
      <c r="Q552" s="366" t="str">
        <f>IF($G552="","",TRIM(IF(J552+K552+L552+M552&lt;&gt;$G552,"按分不一致 ","")&amp;IF(O552="※未登録","科目未登録 ","")&amp;IF(OR($H552="",ISERROR(MATCH($H552,{1,2,3,4,5,6,7,8},0))),"経費区分? ","")&amp;IF($I552="","状態未設定 ","")&amp;IF(AND(OR($I552="確認済",$I552="未確認"),$B552="月例",OR($C552="",$C552&lt;DATE(年度+2018,4,1),$C552&gt;DATE(年度+2019,3,31))),"年度外の日付 ","")&amp;IF(AND(OR($I552="確認済",$I552="未確認"),O552="対象外"),"対象外の科目 ","")))</f>
        <v/>
      </c>
      <c r="R552" s="366" t="inlineStr">
        <is>
          <t>月例!575</t>
        </is>
      </c>
    </row>
    <row r="553">
      <c r="A553" s="359" t="n">
        <v>549</v>
      </c>
      <c r="B553" s="360" t="inlineStr">
        <is>
          <t>月例</t>
        </is>
      </c>
      <c r="C553" s="361" t="n">
        <v>45322</v>
      </c>
      <c r="D553" s="362" t="inlineStr">
        <is>
          <t>委託費</t>
        </is>
      </c>
      <c r="E553" s="362" t="n"/>
      <c r="F553" s="362" t="inlineStr">
        <is>
          <t>統合管理端末保守料（１２月分）</t>
        </is>
      </c>
      <c r="G553" s="363" t="n">
        <v>5390</v>
      </c>
      <c r="H553" s="360" t="n">
        <v>2</v>
      </c>
      <c r="I553" s="360" t="inlineStr">
        <is>
          <t>昨年実績</t>
        </is>
      </c>
      <c r="J553" s="364">
        <f>IF($G553="","",IF($H553=1,$G553-ROUND($G553*10/23,0)-2*ROUND($G553/23,0),IF($H553=2,$G553,0)))</f>
        <v>5390</v>
      </c>
      <c r="K553" s="364">
        <f>IF($G553="","",IF($H553=1,ROUND($G553*10/23,0),IF($H553=3,$G553-2*ROUND($G553/12,0),IF($H553=4,$G553,IF(OR($H553=5,$H553=7),ROUND($G553*10/11,0),0)))))</f>
        <v>0</v>
      </c>
      <c r="L553" s="364">
        <f>IF($G553="","",IF($H553=1,ROUND($G553/23,0),IF($H553=3,ROUND($G553/12,0),IF($H553=5,$G553-ROUND($G553*10/11,0),IF($H553=8,$G553,0)))))</f>
        <v>0</v>
      </c>
      <c r="M553" s="364">
        <f>IF($G553="","",IF($H553=1,ROUND($G553/23,0),IF($H553=3,ROUND($G553/12,0),IF($H553=6,$G553,IF($H553=7,$G553-ROUND($G553*10/11,0),0)))))</f>
        <v>0</v>
      </c>
      <c r="N553" s="364">
        <f>IF($G553="","",K553+L553+M553)</f>
        <v>0</v>
      </c>
      <c r="O553" s="365" t="str">
        <f>IF($G553="","",IFERROR(VLOOKUP($D553&amp;"|"&amp;$E553,科目表!$A$5:$B$200,2,FALSE),"※未登録"))</f>
        <v>委託費</v>
      </c>
      <c r="P553" s="359">
        <f>IF(OR($G553="",$C553=""),"",IF($B553="決算整理",13,MOD(MONTH($C553)-4,12)+1))</f>
        <v>10</v>
      </c>
      <c r="Q553" s="366" t="str">
        <f>IF($G553="","",TRIM(IF(J553+K553+L553+M553&lt;&gt;$G553,"按分不一致 ","")&amp;IF(O553="※未登録","科目未登録 ","")&amp;IF(OR($H553="",ISERROR(MATCH($H553,{1,2,3,4,5,6,7,8},0))),"経費区分? ","")&amp;IF($I553="","状態未設定 ","")&amp;IF(AND(OR($I553="確認済",$I553="未確認"),$B553="月例",OR($C553="",$C553&lt;DATE(年度+2018,4,1),$C553&gt;DATE(年度+2019,3,31))),"年度外の日付 ","")&amp;IF(AND(OR($I553="確認済",$I553="未確認"),O553="対象外"),"対象外の科目 ","")))</f>
        <v/>
      </c>
      <c r="R553" s="366" t="inlineStr">
        <is>
          <t>月例!576</t>
        </is>
      </c>
    </row>
    <row r="554">
      <c r="A554" s="359" t="n">
        <v>550</v>
      </c>
      <c r="B554" s="360" t="inlineStr">
        <is>
          <t>月例</t>
        </is>
      </c>
      <c r="C554" s="361" t="n">
        <v>44592</v>
      </c>
      <c r="D554" s="362" t="inlineStr">
        <is>
          <t>事務費</t>
        </is>
      </c>
      <c r="E554" s="362" t="inlineStr">
        <is>
          <t>事務用消耗品費</t>
        </is>
      </c>
      <c r="F554" s="362" t="inlineStr">
        <is>
          <t>カラー用紙厚口／500枚／コスモス</t>
        </is>
      </c>
      <c r="G554" s="363" t="n">
        <v>1108</v>
      </c>
      <c r="H554" s="360" t="n">
        <v>3</v>
      </c>
      <c r="I554" s="360" t="inlineStr">
        <is>
          <t>昨年実績</t>
        </is>
      </c>
      <c r="J554" s="364">
        <f>IF($G554="","",IF($H554=1,$G554-ROUND($G554*10/23,0)-2*ROUND($G554/23,0),IF($H554=2,$G554,0)))</f>
        <v>0</v>
      </c>
      <c r="K554" s="364">
        <f>IF($G554="","",IF($H554=1,ROUND($G554*10/23,0),IF($H554=3,$G554-2*ROUND($G554/12,0),IF($H554=4,$G554,IF(OR($H554=5,$H554=7),ROUND($G554*10/11,0),0)))))</f>
        <v>924</v>
      </c>
      <c r="L554" s="364">
        <f>IF($G554="","",IF($H554=1,ROUND($G554/23,0),IF($H554=3,ROUND($G554/12,0),IF($H554=5,$G554-ROUND($G554*10/11,0),IF($H554=8,$G554,0)))))</f>
        <v>92</v>
      </c>
      <c r="M554" s="364">
        <f>IF($G554="","",IF($H554=1,ROUND($G554/23,0),IF($H554=3,ROUND($G554/12,0),IF($H554=6,$G554,IF($H554=7,$G554-ROUND($G554*10/11,0),0)))))</f>
        <v>92</v>
      </c>
      <c r="N554" s="364">
        <f>IF($G554="","",K554+L554+M554)</f>
        <v>1108</v>
      </c>
      <c r="O554" s="365" t="str">
        <f>IF($G554="","",IFERROR(VLOOKUP($D554&amp;"|"&amp;$E554,科目表!$A$5:$B$200,2,FALSE),"※未登録"))</f>
        <v>事務用消耗品費</v>
      </c>
      <c r="P554" s="359">
        <f>IF(OR($G554="",$C554=""),"",IF($B554="決算整理",13,MOD(MONTH($C554)-4,12)+1))</f>
        <v>10</v>
      </c>
      <c r="Q554" s="366" t="str">
        <f>IF($G554="","",TRIM(IF(J554+K554+L554+M554&lt;&gt;$G554,"按分不一致 ","")&amp;IF(O554="※未登録","科目未登録 ","")&amp;IF(OR($H554="",ISERROR(MATCH($H554,{1,2,3,4,5,6,7,8},0))),"経費区分? ","")&amp;IF($I554="","状態未設定 ","")&amp;IF(AND(OR($I554="確認済",$I554="未確認"),$B554="月例",OR($C554="",$C554&lt;DATE(年度+2018,4,1),$C554&gt;DATE(年度+2019,3,31))),"年度外の日付 ","")&amp;IF(AND(OR($I554="確認済",$I554="未確認"),O554="対象外"),"対象外の科目 ","")))</f>
        <v/>
      </c>
      <c r="R554" s="366" t="inlineStr">
        <is>
          <t>月例!577</t>
        </is>
      </c>
    </row>
    <row r="555">
      <c r="A555" s="359" t="n">
        <v>551</v>
      </c>
      <c r="B555" s="360" t="inlineStr">
        <is>
          <t>月例</t>
        </is>
      </c>
      <c r="C555" s="361" t="n">
        <v>46052</v>
      </c>
      <c r="D555" s="362" t="inlineStr">
        <is>
          <t>委託費</t>
        </is>
      </c>
      <c r="E555" s="362" t="n"/>
      <c r="F555" s="362" t="inlineStr">
        <is>
          <t>柔整等療養費支給申請書の入力（１２月分）</t>
        </is>
      </c>
      <c r="G555" s="363" t="n">
        <v>113014</v>
      </c>
      <c r="H555" s="360" t="n">
        <v>2</v>
      </c>
      <c r="I555" s="360" t="inlineStr">
        <is>
          <t>昨年実績</t>
        </is>
      </c>
      <c r="J555" s="364">
        <f>IF($G555="","",IF($H555=1,$G555-ROUND($G555*10/23,0)-2*ROUND($G555/23,0),IF($H555=2,$G555,0)))</f>
        <v>113014</v>
      </c>
      <c r="K555" s="364">
        <f>IF($G555="","",IF($H555=1,ROUND($G555*10/23,0),IF($H555=3,$G555-2*ROUND($G555/12,0),IF($H555=4,$G555,IF(OR($H555=5,$H555=7),ROUND($G555*10/11,0),0)))))</f>
        <v>0</v>
      </c>
      <c r="L555" s="364">
        <f>IF($G555="","",IF($H555=1,ROUND($G555/23,0),IF($H555=3,ROUND($G555/12,0),IF($H555=5,$G555-ROUND($G555*10/11,0),IF($H555=8,$G555,0)))))</f>
        <v>0</v>
      </c>
      <c r="M555" s="364">
        <f>IF($G555="","",IF($H555=1,ROUND($G555/23,0),IF($H555=3,ROUND($G555/12,0),IF($H555=6,$G555,IF($H555=7,$G555-ROUND($G555*10/11,0),0)))))</f>
        <v>0</v>
      </c>
      <c r="N555" s="364">
        <f>IF($G555="","",K555+L555+M555)</f>
        <v>0</v>
      </c>
      <c r="O555" s="365" t="str">
        <f>IF($G555="","",IFERROR(VLOOKUP($D555&amp;"|"&amp;$E555,科目表!$A$5:$B$200,2,FALSE),"※未登録"))</f>
        <v>委託費</v>
      </c>
      <c r="P555" s="359">
        <f>IF(OR($G555="",$C555=""),"",IF($B555="決算整理",13,MOD(MONTH($C555)-4,12)+1))</f>
        <v>10</v>
      </c>
      <c r="Q555" s="366" t="str">
        <f>IF($G555="","",TRIM(IF(J555+K555+L555+M555&lt;&gt;$G555,"按分不一致 ","")&amp;IF(O555="※未登録","科目未登録 ","")&amp;IF(OR($H555="",ISERROR(MATCH($H555,{1,2,3,4,5,6,7,8},0))),"経費区分? ","")&amp;IF($I555="","状態未設定 ","")&amp;IF(AND(OR($I555="確認済",$I555="未確認"),$B555="月例",OR($C555="",$C555&lt;DATE(年度+2018,4,1),$C555&gt;DATE(年度+2019,3,31))),"年度外の日付 ","")&amp;IF(AND(OR($I555="確認済",$I555="未確認"),O555="対象外"),"対象外の科目 ","")))</f>
        <v/>
      </c>
      <c r="R555" s="366" t="inlineStr">
        <is>
          <t>月例!578</t>
        </is>
      </c>
    </row>
    <row r="556">
      <c r="A556" s="359" t="n">
        <v>552</v>
      </c>
      <c r="B556" s="360" t="inlineStr">
        <is>
          <t>月例</t>
        </is>
      </c>
      <c r="C556" s="361" t="n">
        <v>45688</v>
      </c>
      <c r="D556" s="362" t="inlineStr">
        <is>
          <t>事務費</t>
        </is>
      </c>
      <c r="E556" s="362" t="inlineStr">
        <is>
          <t>通信運搬費</t>
        </is>
      </c>
      <c r="F556" s="362" t="inlineStr">
        <is>
          <t>フレッツ光ネクスト利用料等（12月利用・1月請求分）</t>
        </is>
      </c>
      <c r="G556" s="363" t="n">
        <v>5126</v>
      </c>
      <c r="H556" s="360" t="n">
        <v>2</v>
      </c>
      <c r="I556" s="360" t="inlineStr">
        <is>
          <t>昨年実績</t>
        </is>
      </c>
      <c r="J556" s="364">
        <f>IF($G556="","",IF($H556=1,$G556-ROUND($G556*10/23,0)-2*ROUND($G556/23,0),IF($H556=2,$G556,0)))</f>
        <v>5126</v>
      </c>
      <c r="K556" s="364">
        <f>IF($G556="","",IF($H556=1,ROUND($G556*10/23,0),IF($H556=3,$G556-2*ROUND($G556/12,0),IF($H556=4,$G556,IF(OR($H556=5,$H556=7),ROUND($G556*10/11,0),0)))))</f>
        <v>0</v>
      </c>
      <c r="L556" s="364">
        <f>IF($G556="","",IF($H556=1,ROUND($G556/23,0),IF($H556=3,ROUND($G556/12,0),IF($H556=5,$G556-ROUND($G556*10/11,0),IF($H556=8,$G556,0)))))</f>
        <v>0</v>
      </c>
      <c r="M556" s="364">
        <f>IF($G556="","",IF($H556=1,ROUND($G556/23,0),IF($H556=3,ROUND($G556/12,0),IF($H556=6,$G556,IF($H556=7,$G556-ROUND($G556*10/11,0),0)))))</f>
        <v>0</v>
      </c>
      <c r="N556" s="364">
        <f>IF($G556="","",K556+L556+M556)</f>
        <v>0</v>
      </c>
      <c r="O556" s="365" t="str">
        <f>IF($G556="","",IFERROR(VLOOKUP($D556&amp;"|"&amp;$E556,科目表!$A$5:$B$200,2,FALSE),"※未登録"))</f>
        <v>通信運搬費</v>
      </c>
      <c r="P556" s="359">
        <f>IF(OR($G556="",$C556=""),"",IF($B556="決算整理",13,MOD(MONTH($C556)-4,12)+1))</f>
        <v>10</v>
      </c>
      <c r="Q556" s="366" t="str">
        <f>IF($G556="","",TRIM(IF(J556+K556+L556+M556&lt;&gt;$G556,"按分不一致 ","")&amp;IF(O556="※未登録","科目未登録 ","")&amp;IF(OR($H556="",ISERROR(MATCH($H556,{1,2,3,4,5,6,7,8},0))),"経費区分? ","")&amp;IF($I556="","状態未設定 ","")&amp;IF(AND(OR($I556="確認済",$I556="未確認"),$B556="月例",OR($C556="",$C556&lt;DATE(年度+2018,4,1),$C556&gt;DATE(年度+2019,3,31))),"年度外の日付 ","")&amp;IF(AND(OR($I556="確認済",$I556="未確認"),O556="対象外"),"対象外の科目 ","")))</f>
        <v/>
      </c>
      <c r="R556" s="366" t="inlineStr">
        <is>
          <t>月例!579</t>
        </is>
      </c>
    </row>
    <row r="557">
      <c r="A557" s="359" t="n">
        <v>553</v>
      </c>
      <c r="B557" s="360" t="inlineStr">
        <is>
          <t>月例</t>
        </is>
      </c>
      <c r="C557" s="361" t="n">
        <v>46055</v>
      </c>
      <c r="D557" s="362" t="inlineStr">
        <is>
          <t>負担金</t>
        </is>
      </c>
      <c r="E557" s="362" t="inlineStr">
        <is>
          <t>厚年負担金等</t>
        </is>
      </c>
      <c r="F557" s="362" t="inlineStr">
        <is>
          <t>１２月月例・期末・遡及（短期分）子ども子育て拠出金を含む</t>
        </is>
      </c>
      <c r="G557" s="363" t="n">
        <v>101092</v>
      </c>
      <c r="H557" s="360" t="n">
        <v>2</v>
      </c>
      <c r="I557" s="360" t="inlineStr">
        <is>
          <t>昨年実績</t>
        </is>
      </c>
      <c r="J557" s="364">
        <f>IF($G557="","",IF($H557=1,$G557-ROUND($G557*10/23,0)-2*ROUND($G557/23,0),IF($H557=2,$G557,0)))</f>
        <v>101092</v>
      </c>
      <c r="K557" s="364">
        <f>IF($G557="","",IF($H557=1,ROUND($G557*10/23,0),IF($H557=3,$G557-2*ROUND($G557/12,0),IF($H557=4,$G557,IF(OR($H557=5,$H557=7),ROUND($G557*10/11,0),0)))))</f>
        <v>0</v>
      </c>
      <c r="L557" s="364">
        <f>IF($G557="","",IF($H557=1,ROUND($G557/23,0),IF($H557=3,ROUND($G557/12,0),IF($H557=5,$G557-ROUND($G557*10/11,0),IF($H557=8,$G557,0)))))</f>
        <v>0</v>
      </c>
      <c r="M557" s="364">
        <f>IF($G557="","",IF($H557=1,ROUND($G557/23,0),IF($H557=3,ROUND($G557/12,0),IF($H557=6,$G557,IF($H557=7,$G557-ROUND($G557*10/11,0),0)))))</f>
        <v>0</v>
      </c>
      <c r="N557" s="364">
        <f>IF($G557="","",K557+L557+M557)</f>
        <v>0</v>
      </c>
      <c r="O557" s="365" t="str">
        <f>IF($G557="","",IFERROR(VLOOKUP($D557&amp;"|"&amp;$E557,科目表!$A$5:$B$200,2,FALSE),"※未登録"))</f>
        <v>厚年負担金等</v>
      </c>
      <c r="P557" s="359">
        <f>IF(OR($G557="",$C557=""),"",IF($B557="決算整理",13,MOD(MONTH($C557)-4,12)+1))</f>
        <v>11</v>
      </c>
      <c r="Q557" s="366" t="str">
        <f>IF($G557="","",TRIM(IF(J557+K557+L557+M557&lt;&gt;$G557,"按分不一致 ","")&amp;IF(O557="※未登録","科目未登録 ","")&amp;IF(OR($H557="",ISERROR(MATCH($H557,{1,2,3,4,5,6,7,8},0))),"経費区分? ","")&amp;IF($I557="","状態未設定 ","")&amp;IF(AND(OR($I557="確認済",$I557="未確認"),$B557="月例",OR($C557="",$C557&lt;DATE(年度+2018,4,1),$C557&gt;DATE(年度+2019,3,31))),"年度外の日付 ","")&amp;IF(AND(OR($I557="確認済",$I557="未確認"),O557="対象外"),"対象外の科目 ","")))</f>
        <v/>
      </c>
      <c r="R557" s="366" t="inlineStr">
        <is>
          <t>月例!581</t>
        </is>
      </c>
    </row>
    <row r="558">
      <c r="A558" s="359" t="n">
        <v>554</v>
      </c>
      <c r="B558" s="360" t="inlineStr">
        <is>
          <t>月例</t>
        </is>
      </c>
      <c r="C558" s="361" t="n">
        <v>46055</v>
      </c>
      <c r="D558" s="362" t="inlineStr">
        <is>
          <t>負担金</t>
        </is>
      </c>
      <c r="E558" s="362" t="inlineStr">
        <is>
          <t>厚年負担金等</t>
        </is>
      </c>
      <c r="F558" s="362" t="inlineStr">
        <is>
          <t>１２月月例・期末・遡及（長期分）子ども子育て拠出金を含む</t>
        </is>
      </c>
      <c r="G558" s="363" t="n">
        <v>96147</v>
      </c>
      <c r="H558" s="360" t="n">
        <v>3</v>
      </c>
      <c r="I558" s="360" t="inlineStr">
        <is>
          <t>昨年実績</t>
        </is>
      </c>
      <c r="J558" s="364">
        <f>IF($G558="","",IF($H558=1,$G558-ROUND($G558*10/23,0)-2*ROUND($G558/23,0),IF($H558=2,$G558,0)))</f>
        <v>0</v>
      </c>
      <c r="K558" s="364">
        <f>IF($G558="","",IF($H558=1,ROUND($G558*10/23,0),IF($H558=3,$G558-2*ROUND($G558/12,0),IF($H558=4,$G558,IF(OR($H558=5,$H558=7),ROUND($G558*10/11,0),0)))))</f>
        <v>80123</v>
      </c>
      <c r="L558" s="364">
        <f>IF($G558="","",IF($H558=1,ROUND($G558/23,0),IF($H558=3,ROUND($G558/12,0),IF($H558=5,$G558-ROUND($G558*10/11,0),IF($H558=8,$G558,0)))))</f>
        <v>8012</v>
      </c>
      <c r="M558" s="364">
        <f>IF($G558="","",IF($H558=1,ROUND($G558/23,0),IF($H558=3,ROUND($G558/12,0),IF($H558=6,$G558,IF($H558=7,$G558-ROUND($G558*10/11,0),0)))))</f>
        <v>8012</v>
      </c>
      <c r="N558" s="364">
        <f>IF($G558="","",K558+L558+M558)</f>
        <v>96147</v>
      </c>
      <c r="O558" s="365" t="str">
        <f>IF($G558="","",IFERROR(VLOOKUP($D558&amp;"|"&amp;$E558,科目表!$A$5:$B$200,2,FALSE),"※未登録"))</f>
        <v>厚年負担金等</v>
      </c>
      <c r="P558" s="359">
        <f>IF(OR($G558="",$C558=""),"",IF($B558="決算整理",13,MOD(MONTH($C558)-4,12)+1))</f>
        <v>11</v>
      </c>
      <c r="Q558" s="366" t="str">
        <f>IF($G558="","",TRIM(IF(J558+K558+L558+M558&lt;&gt;$G558,"按分不一致 ","")&amp;IF(O558="※未登録","科目未登録 ","")&amp;IF(OR($H558="",ISERROR(MATCH($H558,{1,2,3,4,5,6,7,8},0))),"経費区分? ","")&amp;IF($I558="","状態未設定 ","")&amp;IF(AND(OR($I558="確認済",$I558="未確認"),$B558="月例",OR($C558="",$C558&lt;DATE(年度+2018,4,1),$C558&gt;DATE(年度+2019,3,31))),"年度外の日付 ","")&amp;IF(AND(OR($I558="確認済",$I558="未確認"),O558="対象外"),"対象外の科目 ","")))</f>
        <v/>
      </c>
      <c r="R558" s="366" t="inlineStr">
        <is>
          <t>月例!583</t>
        </is>
      </c>
    </row>
    <row r="559">
      <c r="A559" s="359" t="n">
        <v>555</v>
      </c>
      <c r="B559" s="360" t="inlineStr">
        <is>
          <t>月例</t>
        </is>
      </c>
      <c r="C559" s="361" t="n">
        <v>45672</v>
      </c>
      <c r="D559" s="362" t="inlineStr">
        <is>
          <t>事務費</t>
        </is>
      </c>
      <c r="E559" s="362" t="inlineStr">
        <is>
          <t>図書印刷費</t>
        </is>
      </c>
      <c r="F559" s="362" t="inlineStr">
        <is>
          <t>(育休手当金）短期給付決定通知書　３，０００部</t>
        </is>
      </c>
      <c r="G559" s="363" t="n">
        <v>128700</v>
      </c>
      <c r="H559" s="360" t="n">
        <v>2</v>
      </c>
      <c r="I559" s="360" t="inlineStr">
        <is>
          <t>昨年実績</t>
        </is>
      </c>
      <c r="J559" s="364">
        <f>IF($G559="","",IF($H559=1,$G559-ROUND($G559*10/23,0)-2*ROUND($G559/23,0),IF($H559=2,$G559,0)))</f>
        <v>128700</v>
      </c>
      <c r="K559" s="364">
        <f>IF($G559="","",IF($H559=1,ROUND($G559*10/23,0),IF($H559=3,$G559-2*ROUND($G559/12,0),IF($H559=4,$G559,IF(OR($H559=5,$H559=7),ROUND($G559*10/11,0),0)))))</f>
        <v>0</v>
      </c>
      <c r="L559" s="364">
        <f>IF($G559="","",IF($H559=1,ROUND($G559/23,0),IF($H559=3,ROUND($G559/12,0),IF($H559=5,$G559-ROUND($G559*10/11,0),IF($H559=8,$G559,0)))))</f>
        <v>0</v>
      </c>
      <c r="M559" s="364">
        <f>IF($G559="","",IF($H559=1,ROUND($G559/23,0),IF($H559=3,ROUND($G559/12,0),IF($H559=6,$G559,IF($H559=7,$G559-ROUND($G559*10/11,0),0)))))</f>
        <v>0</v>
      </c>
      <c r="N559" s="364">
        <f>IF($G559="","",K559+L559+M559)</f>
        <v>0</v>
      </c>
      <c r="O559" s="365" t="str">
        <f>IF($G559="","",IFERROR(VLOOKUP($D559&amp;"|"&amp;$E559,科目表!$A$5:$B$200,2,FALSE),"※未登録"))</f>
        <v>図書印刷費</v>
      </c>
      <c r="P559" s="359">
        <f>IF(OR($G559="",$C559=""),"",IF($B559="決算整理",13,MOD(MONTH($C559)-4,12)+1))</f>
        <v>10</v>
      </c>
      <c r="Q559" s="366" t="str">
        <f>IF($G559="","",TRIM(IF(J559+K559+L559+M559&lt;&gt;$G559,"按分不一致 ","")&amp;IF(O559="※未登録","科目未登録 ","")&amp;IF(OR($H559="",ISERROR(MATCH($H559,{1,2,3,4,5,6,7,8},0))),"経費区分? ","")&amp;IF($I559="","状態未設定 ","")&amp;IF(AND(OR($I559="確認済",$I559="未確認"),$B559="月例",OR($C559="",$C559&lt;DATE(年度+2018,4,1),$C559&gt;DATE(年度+2019,3,31))),"年度外の日付 ","")&amp;IF(AND(OR($I559="確認済",$I559="未確認"),O559="対象外"),"対象外の科目 ","")))</f>
        <v/>
      </c>
      <c r="R559" s="366" t="inlineStr">
        <is>
          <t>月例!584</t>
        </is>
      </c>
    </row>
    <row r="560">
      <c r="A560" s="359" t="n">
        <v>556</v>
      </c>
      <c r="B560" s="360" t="inlineStr">
        <is>
          <t>月例</t>
        </is>
      </c>
      <c r="C560" s="361" t="n">
        <v>45688</v>
      </c>
      <c r="D560" s="362" t="inlineStr">
        <is>
          <t>委託費</t>
        </is>
      </c>
      <c r="E560" s="362" t="n"/>
      <c r="F560" s="362" t="inlineStr">
        <is>
          <t>柔整等療養費支給申請書の入力（１２月分）</t>
        </is>
      </c>
      <c r="G560" s="363" t="n">
        <v>162851</v>
      </c>
      <c r="H560" s="360" t="n">
        <v>2</v>
      </c>
      <c r="I560" s="360" t="inlineStr">
        <is>
          <t>昨年実績</t>
        </is>
      </c>
      <c r="J560" s="364">
        <f>IF($G560="","",IF($H560=1,$G560-ROUND($G560*10/23,0)-2*ROUND($G560/23,0),IF($H560=2,$G560,0)))</f>
        <v>162851</v>
      </c>
      <c r="K560" s="364">
        <f>IF($G560="","",IF($H560=1,ROUND($G560*10/23,0),IF($H560=3,$G560-2*ROUND($G560/12,0),IF($H560=4,$G560,IF(OR($H560=5,$H560=7),ROUND($G560*10/11,0),0)))))</f>
        <v>0</v>
      </c>
      <c r="L560" s="364">
        <f>IF($G560="","",IF($H560=1,ROUND($G560/23,0),IF($H560=3,ROUND($G560/12,0),IF($H560=5,$G560-ROUND($G560*10/11,0),IF($H560=8,$G560,0)))))</f>
        <v>0</v>
      </c>
      <c r="M560" s="364">
        <f>IF($G560="","",IF($H560=1,ROUND($G560/23,0),IF($H560=3,ROUND($G560/12,0),IF($H560=6,$G560,IF($H560=7,$G560-ROUND($G560*10/11,0),0)))))</f>
        <v>0</v>
      </c>
      <c r="N560" s="364">
        <f>IF($G560="","",K560+L560+M560)</f>
        <v>0</v>
      </c>
      <c r="O560" s="365" t="str">
        <f>IF($G560="","",IFERROR(VLOOKUP($D560&amp;"|"&amp;$E560,科目表!$A$5:$B$200,2,FALSE),"※未登録"))</f>
        <v>委託費</v>
      </c>
      <c r="P560" s="359">
        <f>IF(OR($G560="",$C560=""),"",IF($B560="決算整理",13,MOD(MONTH($C560)-4,12)+1))</f>
        <v>10</v>
      </c>
      <c r="Q560" s="366" t="str">
        <f>IF($G560="","",TRIM(IF(J560+K560+L560+M560&lt;&gt;$G560,"按分不一致 ","")&amp;IF(O560="※未登録","科目未登録 ","")&amp;IF(OR($H560="",ISERROR(MATCH($H560,{1,2,3,4,5,6,7,8},0))),"経費区分? ","")&amp;IF($I560="","状態未設定 ","")&amp;IF(AND(OR($I560="確認済",$I560="未確認"),$B560="月例",OR($C560="",$C560&lt;DATE(年度+2018,4,1),$C560&gt;DATE(年度+2019,3,31))),"年度外の日付 ","")&amp;IF(AND(OR($I560="確認済",$I560="未確認"),O560="対象外"),"対象外の科目 ","")))</f>
        <v/>
      </c>
      <c r="R560" s="366" t="inlineStr">
        <is>
          <t>月例!585</t>
        </is>
      </c>
    </row>
    <row r="561">
      <c r="A561" s="359" t="n">
        <v>557</v>
      </c>
      <c r="B561" s="360" t="inlineStr">
        <is>
          <t>月例</t>
        </is>
      </c>
      <c r="C561" s="361" t="n">
        <v>43864</v>
      </c>
      <c r="D561" s="362" t="inlineStr">
        <is>
          <t>旅費</t>
        </is>
      </c>
      <c r="E561" s="362" t="n"/>
      <c r="F561" s="362" t="inlineStr">
        <is>
          <t>2/5　小連合　事業計画及び予算説明会　特別区　白石主査</t>
        </is>
      </c>
      <c r="G561" s="363" t="n">
        <v>38300</v>
      </c>
      <c r="H561" s="360" t="n">
        <v>1</v>
      </c>
      <c r="I561" s="360" t="inlineStr">
        <is>
          <t>昨年実績</t>
        </is>
      </c>
      <c r="J561" s="364">
        <f>IF($G561="","",IF($H561=1,$G561-ROUND($G561*10/23,0)-2*ROUND($G561/23,0),IF($H561=2,$G561,0)))</f>
        <v>18318</v>
      </c>
      <c r="K561" s="364">
        <f>IF($G561="","",IF($H561=1,ROUND($G561*10/23,0),IF($H561=3,$G561-2*ROUND($G561/12,0),IF($H561=4,$G561,IF(OR($H561=5,$H561=7),ROUND($G561*10/11,0),0)))))</f>
        <v>16652</v>
      </c>
      <c r="L561" s="364">
        <f>IF($G561="","",IF($H561=1,ROUND($G561/23,0),IF($H561=3,ROUND($G561/12,0),IF($H561=5,$G561-ROUND($G561*10/11,0),IF($H561=8,$G561,0)))))</f>
        <v>1665</v>
      </c>
      <c r="M561" s="364">
        <f>IF($G561="","",IF($H561=1,ROUND($G561/23,0),IF($H561=3,ROUND($G561/12,0),IF($H561=6,$G561,IF($H561=7,$G561-ROUND($G561*10/11,0),0)))))</f>
        <v>1665</v>
      </c>
      <c r="N561" s="364">
        <f>IF($G561="","",K561+L561+M561)</f>
        <v>19982</v>
      </c>
      <c r="O561" s="365" t="str">
        <f>IF($G561="","",IFERROR(VLOOKUP($D561&amp;"|"&amp;$E561,科目表!$A$5:$B$200,2,FALSE),"※未登録"))</f>
        <v>旅費</v>
      </c>
      <c r="P561" s="359">
        <f>IF(OR($G561="",$C561=""),"",IF($B561="決算整理",13,MOD(MONTH($C561)-4,12)+1))</f>
        <v>11</v>
      </c>
      <c r="Q561" s="366" t="str">
        <f>IF($G561="","",TRIM(IF(J561+K561+L561+M561&lt;&gt;$G561,"按分不一致 ","")&amp;IF(O561="※未登録","科目未登録 ","")&amp;IF(OR($H561="",ISERROR(MATCH($H561,{1,2,3,4,5,6,7,8},0))),"経費区分? ","")&amp;IF($I561="","状態未設定 ","")&amp;IF(AND(OR($I561="確認済",$I561="未確認"),$B561="月例",OR($C561="",$C561&lt;DATE(年度+2018,4,1),$C561&gt;DATE(年度+2019,3,31))),"年度外の日付 ","")&amp;IF(AND(OR($I561="確認済",$I561="未確認"),O561="対象外"),"対象外の科目 ","")))</f>
        <v/>
      </c>
      <c r="R561" s="366" t="inlineStr">
        <is>
          <t>月例!586</t>
        </is>
      </c>
    </row>
    <row r="562">
      <c r="A562" s="359" t="n">
        <v>558</v>
      </c>
      <c r="B562" s="360" t="inlineStr">
        <is>
          <t>月例</t>
        </is>
      </c>
      <c r="C562" s="361" t="n">
        <v>46066</v>
      </c>
      <c r="D562" s="362" t="inlineStr">
        <is>
          <t>賃金</t>
        </is>
      </c>
      <c r="E562" s="362" t="n"/>
      <c r="F562" s="362" t="inlineStr">
        <is>
          <t>臨時職員賃金１月分　竹口範子外１名分（短期１００％）</t>
        </is>
      </c>
      <c r="G562" s="363" t="n">
        <v>359120</v>
      </c>
      <c r="H562" s="360" t="n">
        <v>2</v>
      </c>
      <c r="I562" s="360" t="inlineStr">
        <is>
          <t>昨年実績</t>
        </is>
      </c>
      <c r="J562" s="364">
        <f>IF($G562="","",IF($H562=1,$G562-ROUND($G562*10/23,0)-2*ROUND($G562/23,0),IF($H562=2,$G562,0)))</f>
        <v>359120</v>
      </c>
      <c r="K562" s="364">
        <f>IF($G562="","",IF($H562=1,ROUND($G562*10/23,0),IF($H562=3,$G562-2*ROUND($G562/12,0),IF($H562=4,$G562,IF(OR($H562=5,$H562=7),ROUND($G562*10/11,0),0)))))</f>
        <v>0</v>
      </c>
      <c r="L562" s="364">
        <f>IF($G562="","",IF($H562=1,ROUND($G562/23,0),IF($H562=3,ROUND($G562/12,0),IF($H562=5,$G562-ROUND($G562*10/11,0),IF($H562=8,$G562,0)))))</f>
        <v>0</v>
      </c>
      <c r="M562" s="364">
        <f>IF($G562="","",IF($H562=1,ROUND($G562/23,0),IF($H562=3,ROUND($G562/12,0),IF($H562=6,$G562,IF($H562=7,$G562-ROUND($G562*10/11,0),0)))))</f>
        <v>0</v>
      </c>
      <c r="N562" s="364">
        <f>IF($G562="","",K562+L562+M562)</f>
        <v>0</v>
      </c>
      <c r="O562" s="365" t="str">
        <f>IF($G562="","",IFERROR(VLOOKUP($D562&amp;"|"&amp;$E562,科目表!$A$5:$B$200,2,FALSE),"※未登録"))</f>
        <v>賃金</v>
      </c>
      <c r="P562" s="359">
        <f>IF(OR($G562="",$C562=""),"",IF($B562="決算整理",13,MOD(MONTH($C562)-4,12)+1))</f>
        <v>11</v>
      </c>
      <c r="Q562" s="366" t="str">
        <f>IF($G562="","",TRIM(IF(J562+K562+L562+M562&lt;&gt;$G562,"按分不一致 ","")&amp;IF(O562="※未登録","科目未登録 ","")&amp;IF(OR($H562="",ISERROR(MATCH($H562,{1,2,3,4,5,6,7,8},0))),"経費区分? ","")&amp;IF($I562="","状態未設定 ","")&amp;IF(AND(OR($I562="確認済",$I562="未確認"),$B562="月例",OR($C562="",$C562&lt;DATE(年度+2018,4,1),$C562&gt;DATE(年度+2019,3,31))),"年度外の日付 ","")&amp;IF(AND(OR($I562="確認済",$I562="未確認"),O562="対象外"),"対象外の科目 ","")))</f>
        <v/>
      </c>
      <c r="R562" s="366" t="inlineStr">
        <is>
          <t>月例!587</t>
        </is>
      </c>
    </row>
    <row r="563">
      <c r="A563" s="359" t="n">
        <v>559</v>
      </c>
      <c r="B563" s="360" t="inlineStr">
        <is>
          <t>月例</t>
        </is>
      </c>
      <c r="C563" s="361" t="n">
        <v>46066</v>
      </c>
      <c r="D563" s="362" t="inlineStr">
        <is>
          <t>事務費</t>
        </is>
      </c>
      <c r="E563" s="362" t="inlineStr">
        <is>
          <t>図書印刷費</t>
        </is>
      </c>
      <c r="F563" s="362" t="inlineStr">
        <is>
          <t>国家公務員等共済組合関係法令要覧追録531-534号、通達実例集110-111号</t>
        </is>
      </c>
      <c r="G563" s="363" t="n">
        <v>26400</v>
      </c>
      <c r="H563" s="360" t="n">
        <v>3</v>
      </c>
      <c r="I563" s="360" t="inlineStr">
        <is>
          <t>昨年実績</t>
        </is>
      </c>
      <c r="J563" s="364">
        <f>IF($G563="","",IF($H563=1,$G563-ROUND($G563*10/23,0)-2*ROUND($G563/23,0),IF($H563=2,$G563,0)))</f>
        <v>0</v>
      </c>
      <c r="K563" s="364">
        <f>IF($G563="","",IF($H563=1,ROUND($G563*10/23,0),IF($H563=3,$G563-2*ROUND($G563/12,0),IF($H563=4,$G563,IF(OR($H563=5,$H563=7),ROUND($G563*10/11,0),0)))))</f>
        <v>22000</v>
      </c>
      <c r="L563" s="364">
        <f>IF($G563="","",IF($H563=1,ROUND($G563/23,0),IF($H563=3,ROUND($G563/12,0),IF($H563=5,$G563-ROUND($G563*10/11,0),IF($H563=8,$G563,0)))))</f>
        <v>2200</v>
      </c>
      <c r="M563" s="364">
        <f>IF($G563="","",IF($H563=1,ROUND($G563/23,0),IF($H563=3,ROUND($G563/12,0),IF($H563=6,$G563,IF($H563=7,$G563-ROUND($G563*10/11,0),0)))))</f>
        <v>2200</v>
      </c>
      <c r="N563" s="364">
        <f>IF($G563="","",K563+L563+M563)</f>
        <v>26400</v>
      </c>
      <c r="O563" s="365" t="str">
        <f>IF($G563="","",IFERROR(VLOOKUP($D563&amp;"|"&amp;$E563,科目表!$A$5:$B$200,2,FALSE),"※未登録"))</f>
        <v>図書印刷費</v>
      </c>
      <c r="P563" s="359">
        <f>IF(OR($G563="",$C563=""),"",IF($B563="決算整理",13,MOD(MONTH($C563)-4,12)+1))</f>
        <v>11</v>
      </c>
      <c r="Q563" s="366" t="str">
        <f>IF($G563="","",TRIM(IF(J563+K563+L563+M563&lt;&gt;$G563,"按分不一致 ","")&amp;IF(O563="※未登録","科目未登録 ","")&amp;IF(OR($H563="",ISERROR(MATCH($H563,{1,2,3,4,5,6,7,8},0))),"経費区分? ","")&amp;IF($I563="","状態未設定 ","")&amp;IF(AND(OR($I563="確認済",$I563="未確認"),$B563="月例",OR($C563="",$C563&lt;DATE(年度+2018,4,1),$C563&gt;DATE(年度+2019,3,31))),"年度外の日付 ","")&amp;IF(AND(OR($I563="確認済",$I563="未確認"),O563="対象外"),"対象外の科目 ","")))</f>
        <v/>
      </c>
      <c r="R563" s="366" t="inlineStr">
        <is>
          <t>月例!588</t>
        </is>
      </c>
    </row>
    <row r="564">
      <c r="A564" s="359" t="n">
        <v>560</v>
      </c>
      <c r="B564" s="360" t="inlineStr">
        <is>
          <t>月例</t>
        </is>
      </c>
      <c r="C564" s="361" t="n">
        <v>46183</v>
      </c>
      <c r="D564" s="362" t="inlineStr">
        <is>
          <t>旅費</t>
        </is>
      </c>
      <c r="E564" s="362" t="n"/>
      <c r="F564" s="362" t="inlineStr">
        <is>
          <t>6/23　全国代表理事協議会　東京都　山田理事</t>
        </is>
      </c>
      <c r="G564" s="363" t="n">
        <v>39960</v>
      </c>
      <c r="H564" s="360" t="n">
        <v>1</v>
      </c>
      <c r="I564" s="360" t="inlineStr">
        <is>
          <t>確認済</t>
        </is>
      </c>
      <c r="J564" s="364">
        <f>IF($G564="","",IF($H564=1,$G564-ROUND($G564*10/23,0)-2*ROUND($G564/23,0),IF($H564=2,$G564,0)))</f>
        <v>19112</v>
      </c>
      <c r="K564" s="364">
        <f>IF($G564="","",IF($H564=1,ROUND($G564*10/23,0),IF($H564=3,$G564-2*ROUND($G564/12,0),IF($H564=4,$G564,IF(OR($H564=5,$H564=7),ROUND($G564*10/11,0),0)))))</f>
        <v>17374</v>
      </c>
      <c r="L564" s="364">
        <f>IF($G564="","",IF($H564=1,ROUND($G564/23,0),IF($H564=3,ROUND($G564/12,0),IF($H564=5,$G564-ROUND($G564*10/11,0),IF($H564=8,$G564,0)))))</f>
        <v>1737</v>
      </c>
      <c r="M564" s="364">
        <f>IF($G564="","",IF($H564=1,ROUND($G564/23,0),IF($H564=3,ROUND($G564/12,0),IF($H564=6,$G564,IF($H564=7,$G564-ROUND($G564*10/11,0),0)))))</f>
        <v>1737</v>
      </c>
      <c r="N564" s="364">
        <f>IF($G564="","",K564+L564+M564)</f>
        <v>20848</v>
      </c>
      <c r="O564" s="365" t="str">
        <f>IF($G564="","",IFERROR(VLOOKUP($D564&amp;"|"&amp;$E564,科目表!$A$5:$B$200,2,FALSE),"※未登録"))</f>
        <v>旅費</v>
      </c>
      <c r="P564" s="359">
        <f>IF(OR($G564="",$C564=""),"",IF($B564="決算整理",13,MOD(MONTH($C564)-4,12)+1))</f>
        <v>3</v>
      </c>
      <c r="Q564" s="366" t="str">
        <f>IF($G564="","",TRIM(IF(J564+K564+L564+M564&lt;&gt;$G564,"按分不一致 ","")&amp;IF(O564="※未登録","科目未登録 ","")&amp;IF(OR($H564="",ISERROR(MATCH($H564,{1,2,3,4,5,6,7,8},0))),"経費区分? ","")&amp;IF($I564="","状態未設定 ","")&amp;IF(AND(OR($I564="確認済",$I564="未確認"),$B564="月例",OR($C564="",$C564&lt;DATE(年度+2018,4,1),$C564&gt;DATE(年度+2019,3,31))),"年度外の日付 ","")&amp;IF(AND(OR($I564="確認済",$I564="未確認"),O564="対象外"),"対象外の科目 ","")))</f>
        <v/>
      </c>
      <c r="R564" s="366" t="inlineStr">
        <is>
          <t>月例!589</t>
        </is>
      </c>
    </row>
    <row r="565">
      <c r="A565" s="359" t="n">
        <v>561</v>
      </c>
      <c r="B565" s="360" t="inlineStr">
        <is>
          <t>月例</t>
        </is>
      </c>
      <c r="C565" s="361" t="n">
        <v>43871</v>
      </c>
      <c r="D565" s="362" t="inlineStr">
        <is>
          <t>旅費</t>
        </is>
      </c>
      <c r="E565" s="362" t="n"/>
      <c r="F565" s="362" t="inlineStr">
        <is>
          <t>2/12中国理事長会議　岡山市　胡子事務局長</t>
        </is>
      </c>
      <c r="G565" s="363" t="n">
        <v>29520</v>
      </c>
      <c r="H565" s="360" t="n">
        <v>2</v>
      </c>
      <c r="I565" s="360" t="inlineStr">
        <is>
          <t>昨年実績</t>
        </is>
      </c>
      <c r="J565" s="364">
        <f>IF($G565="","",IF($H565=1,$G565-ROUND($G565*10/23,0)-2*ROUND($G565/23,0),IF($H565=2,$G565,0)))</f>
        <v>29520</v>
      </c>
      <c r="K565" s="364">
        <f>IF($G565="","",IF($H565=1,ROUND($G565*10/23,0),IF($H565=3,$G565-2*ROUND($G565/12,0),IF($H565=4,$G565,IF(OR($H565=5,$H565=7),ROUND($G565*10/11,0),0)))))</f>
        <v>0</v>
      </c>
      <c r="L565" s="364">
        <f>IF($G565="","",IF($H565=1,ROUND($G565/23,0),IF($H565=3,ROUND($G565/12,0),IF($H565=5,$G565-ROUND($G565*10/11,0),IF($H565=8,$G565,0)))))</f>
        <v>0</v>
      </c>
      <c r="M565" s="364">
        <f>IF($G565="","",IF($H565=1,ROUND($G565/23,0),IF($H565=3,ROUND($G565/12,0),IF($H565=6,$G565,IF($H565=7,$G565-ROUND($G565*10/11,0),0)))))</f>
        <v>0</v>
      </c>
      <c r="N565" s="364">
        <f>IF($G565="","",K565+L565+M565)</f>
        <v>0</v>
      </c>
      <c r="O565" s="365" t="str">
        <f>IF($G565="","",IFERROR(VLOOKUP($D565&amp;"|"&amp;$E565,科目表!$A$5:$B$200,2,FALSE),"※未登録"))</f>
        <v>旅費</v>
      </c>
      <c r="P565" s="359">
        <f>IF(OR($G565="",$C565=""),"",IF($B565="決算整理",13,MOD(MONTH($C565)-4,12)+1))</f>
        <v>11</v>
      </c>
      <c r="Q565" s="366" t="str">
        <f>IF($G565="","",TRIM(IF(J565+K565+L565+M565&lt;&gt;$G565,"按分不一致 ","")&amp;IF(O565="※未登録","科目未登録 ","")&amp;IF(OR($H565="",ISERROR(MATCH($H565,{1,2,3,4,5,6,7,8},0))),"経費区分? ","")&amp;IF($I565="","状態未設定 ","")&amp;IF(AND(OR($I565="確認済",$I565="未確認"),$B565="月例",OR($C565="",$C565&lt;DATE(年度+2018,4,1),$C565&gt;DATE(年度+2019,3,31))),"年度外の日付 ","")&amp;IF(AND(OR($I565="確認済",$I565="未確認"),O565="対象外"),"対象外の科目 ","")))</f>
        <v/>
      </c>
      <c r="R565" s="366" t="inlineStr">
        <is>
          <t>月例!590</t>
        </is>
      </c>
    </row>
    <row r="566">
      <c r="A566" s="359" t="n">
        <v>562</v>
      </c>
      <c r="B566" s="360" t="inlineStr">
        <is>
          <t>月例</t>
        </is>
      </c>
      <c r="C566" s="361" t="n">
        <v>43871</v>
      </c>
      <c r="D566" s="362" t="inlineStr">
        <is>
          <t>旅費</t>
        </is>
      </c>
      <c r="E566" s="362" t="n"/>
      <c r="F566" s="362" t="inlineStr">
        <is>
          <t>2/12中国理事長会議　岡山市　江頭次長</t>
        </is>
      </c>
      <c r="G566" s="363" t="n">
        <v>26520</v>
      </c>
      <c r="H566" s="360" t="n">
        <v>2</v>
      </c>
      <c r="I566" s="360" t="inlineStr">
        <is>
          <t>昨年実績</t>
        </is>
      </c>
      <c r="J566" s="364">
        <f>IF($G566="","",IF($H566=1,$G566-ROUND($G566*10/23,0)-2*ROUND($G566/23,0),IF($H566=2,$G566,0)))</f>
        <v>26520</v>
      </c>
      <c r="K566" s="364">
        <f>IF($G566="","",IF($H566=1,ROUND($G566*10/23,0),IF($H566=3,$G566-2*ROUND($G566/12,0),IF($H566=4,$G566,IF(OR($H566=5,$H566=7),ROUND($G566*10/11,0),0)))))</f>
        <v>0</v>
      </c>
      <c r="L566" s="364">
        <f>IF($G566="","",IF($H566=1,ROUND($G566/23,0),IF($H566=3,ROUND($G566/12,0),IF($H566=5,$G566-ROUND($G566*10/11,0),IF($H566=8,$G566,0)))))</f>
        <v>0</v>
      </c>
      <c r="M566" s="364">
        <f>IF($G566="","",IF($H566=1,ROUND($G566/23,0),IF($H566=3,ROUND($G566/12,0),IF($H566=6,$G566,IF($H566=7,$G566-ROUND($G566*10/11,0),0)))))</f>
        <v>0</v>
      </c>
      <c r="N566" s="364">
        <f>IF($G566="","",K566+L566+M566)</f>
        <v>0</v>
      </c>
      <c r="O566" s="365" t="str">
        <f>IF($G566="","",IFERROR(VLOOKUP($D566&amp;"|"&amp;$E566,科目表!$A$5:$B$200,2,FALSE),"※未登録"))</f>
        <v>旅費</v>
      </c>
      <c r="P566" s="359">
        <f>IF(OR($G566="",$C566=""),"",IF($B566="決算整理",13,MOD(MONTH($C566)-4,12)+1))</f>
        <v>11</v>
      </c>
      <c r="Q566" s="366" t="str">
        <f>IF($G566="","",TRIM(IF(J566+K566+L566+M566&lt;&gt;$G566,"按分不一致 ","")&amp;IF(O566="※未登録","科目未登録 ","")&amp;IF(OR($H566="",ISERROR(MATCH($H566,{1,2,3,4,5,6,7,8},0))),"経費区分? ","")&amp;IF($I566="","状態未設定 ","")&amp;IF(AND(OR($I566="確認済",$I566="未確認"),$B566="月例",OR($C566="",$C566&lt;DATE(年度+2018,4,1),$C566&gt;DATE(年度+2019,3,31))),"年度外の日付 ","")&amp;IF(AND(OR($I566="確認済",$I566="未確認"),O566="対象外"),"対象外の科目 ","")))</f>
        <v/>
      </c>
      <c r="R566" s="366" t="inlineStr">
        <is>
          <t>月例!591</t>
        </is>
      </c>
    </row>
    <row r="567">
      <c r="A567" s="359" t="n">
        <v>563</v>
      </c>
      <c r="B567" s="360" t="inlineStr">
        <is>
          <t>月例</t>
        </is>
      </c>
      <c r="C567" s="361" t="n">
        <v>46059</v>
      </c>
      <c r="D567" s="362" t="inlineStr">
        <is>
          <t>事務費負担金払込金</t>
        </is>
      </c>
      <c r="E567" s="362" t="n"/>
      <c r="F567" s="362" t="inlineStr">
        <is>
          <t>１月分事務費負担金払込金　連合会へ払込</t>
        </is>
      </c>
      <c r="G567" s="363" t="n">
        <v>4513000</v>
      </c>
      <c r="H567" s="360" t="n">
        <v>5</v>
      </c>
      <c r="I567" s="360" t="inlineStr">
        <is>
          <t>昨年実績</t>
        </is>
      </c>
      <c r="J567" s="364">
        <f>IF($G567="","",IF($H567=1,$G567-ROUND($G567*10/23,0)-2*ROUND($G567/23,0),IF($H567=2,$G567,0)))</f>
        <v>0</v>
      </c>
      <c r="K567" s="364">
        <f>IF($G567="","",IF($H567=1,ROUND($G567*10/23,0),IF($H567=3,$G567-2*ROUND($G567/12,0),IF($H567=4,$G567,IF(OR($H567=5,$H567=7),ROUND($G567*10/11,0),0)))))</f>
        <v>4102727</v>
      </c>
      <c r="L567" s="364">
        <f>IF($G567="","",IF($H567=1,ROUND($G567/23,0),IF($H567=3,ROUND($G567/12,0),IF($H567=5,$G567-ROUND($G567*10/11,0),IF($H567=8,$G567,0)))))</f>
        <v>410273</v>
      </c>
      <c r="M567" s="364">
        <f>IF($G567="","",IF($H567=1,ROUND($G567/23,0),IF($H567=3,ROUND($G567/12,0),IF($H567=6,$G567,IF($H567=7,$G567-ROUND($G567*10/11,0),0)))))</f>
        <v>0</v>
      </c>
      <c r="N567" s="364">
        <f>IF($G567="","",K567+L567+M567)</f>
        <v>4513000</v>
      </c>
      <c r="O567" s="365" t="str">
        <f>IF($G567="","",IFERROR(VLOOKUP($D567&amp;"|"&amp;$E567,科目表!$A$5:$B$200,2,FALSE),"※未登録"))</f>
        <v>事務費負担金払込金</v>
      </c>
      <c r="P567" s="359">
        <f>IF(OR($G567="",$C567=""),"",IF($B567="決算整理",13,MOD(MONTH($C567)-4,12)+1))</f>
        <v>11</v>
      </c>
      <c r="Q567" s="366" t="str">
        <f>IF($G567="","",TRIM(IF(J567+K567+L567+M567&lt;&gt;$G567,"按分不一致 ","")&amp;IF(O567="※未登録","科目未登録 ","")&amp;IF(OR($H567="",ISERROR(MATCH($H567,{1,2,3,4,5,6,7,8},0))),"経費区分? ","")&amp;IF($I567="","状態未設定 ","")&amp;IF(AND(OR($I567="確認済",$I567="未確認"),$B567="月例",OR($C567="",$C567&lt;DATE(年度+2018,4,1),$C567&gt;DATE(年度+2019,3,31))),"年度外の日付 ","")&amp;IF(AND(OR($I567="確認済",$I567="未確認"),O567="対象外"),"対象外の科目 ","")))</f>
        <v/>
      </c>
      <c r="R567" s="366" t="inlineStr">
        <is>
          <t>月例!592</t>
        </is>
      </c>
    </row>
    <row r="568">
      <c r="A568" s="359" t="n">
        <v>564</v>
      </c>
      <c r="B568" s="360" t="inlineStr">
        <is>
          <t>月例</t>
        </is>
      </c>
      <c r="C568" s="361" t="n">
        <v>46063</v>
      </c>
      <c r="D568" s="362" t="inlineStr">
        <is>
          <t>事務費</t>
        </is>
      </c>
      <c r="E568" s="362" t="inlineStr">
        <is>
          <t>送金料</t>
        </is>
      </c>
      <c r="F568" s="362" t="inlineStr">
        <is>
          <t>振込手数料（広銀）１月分　長期分</t>
        </is>
      </c>
      <c r="G568" s="363" t="n">
        <v>16564</v>
      </c>
      <c r="H568" s="360" t="n">
        <v>3</v>
      </c>
      <c r="I568" s="360" t="inlineStr">
        <is>
          <t>昨年実績</t>
        </is>
      </c>
      <c r="J568" s="364">
        <f>IF($G568="","",IF($H568=1,$G568-ROUND($G568*10/23,0)-2*ROUND($G568/23,0),IF($H568=2,$G568,0)))</f>
        <v>0</v>
      </c>
      <c r="K568" s="364">
        <f>IF($G568="","",IF($H568=1,ROUND($G568*10/23,0),IF($H568=3,$G568-2*ROUND($G568/12,0),IF($H568=4,$G568,IF(OR($H568=5,$H568=7),ROUND($G568*10/11,0),0)))))</f>
        <v>13804</v>
      </c>
      <c r="L568" s="364">
        <f>IF($G568="","",IF($H568=1,ROUND($G568/23,0),IF($H568=3,ROUND($G568/12,0),IF($H568=5,$G568-ROUND($G568*10/11,0),IF($H568=8,$G568,0)))))</f>
        <v>1380</v>
      </c>
      <c r="M568" s="364">
        <f>IF($G568="","",IF($H568=1,ROUND($G568/23,0),IF($H568=3,ROUND($G568/12,0),IF($H568=6,$G568,IF($H568=7,$G568-ROUND($G568*10/11,0),0)))))</f>
        <v>1380</v>
      </c>
      <c r="N568" s="364">
        <f>IF($G568="","",K568+L568+M568)</f>
        <v>16564</v>
      </c>
      <c r="O568" s="365" t="str">
        <f>IF($G568="","",IFERROR(VLOOKUP($D568&amp;"|"&amp;$E568,科目表!$A$5:$B$200,2,FALSE),"※未登録"))</f>
        <v>送金料</v>
      </c>
      <c r="P568" s="359">
        <f>IF(OR($G568="",$C568=""),"",IF($B568="決算整理",13,MOD(MONTH($C568)-4,12)+1))</f>
        <v>11</v>
      </c>
      <c r="Q568" s="366" t="str">
        <f>IF($G568="","",TRIM(IF(J568+K568+L568+M568&lt;&gt;$G568,"按分不一致 ","")&amp;IF(O568="※未登録","科目未登録 ","")&amp;IF(OR($H568="",ISERROR(MATCH($H568,{1,2,3,4,5,6,7,8},0))),"経費区分? ","")&amp;IF($I568="","状態未設定 ","")&amp;IF(AND(OR($I568="確認済",$I568="未確認"),$B568="月例",OR($C568="",$C568&lt;DATE(年度+2018,4,1),$C568&gt;DATE(年度+2019,3,31))),"年度外の日付 ","")&amp;IF(AND(OR($I568="確認済",$I568="未確認"),O568="対象外"),"対象外の科目 ","")))</f>
        <v/>
      </c>
      <c r="R568" s="366" t="inlineStr">
        <is>
          <t>月例!593</t>
        </is>
      </c>
    </row>
    <row r="569">
      <c r="A569" s="359" t="n">
        <v>565</v>
      </c>
      <c r="B569" s="360" t="inlineStr">
        <is>
          <t>月例</t>
        </is>
      </c>
      <c r="C569" s="361" t="n">
        <v>46063</v>
      </c>
      <c r="D569" s="362" t="inlineStr">
        <is>
          <t>事務費</t>
        </is>
      </c>
      <c r="E569" s="362" t="inlineStr">
        <is>
          <t>送金料</t>
        </is>
      </c>
      <c r="F569" s="362" t="inlineStr">
        <is>
          <t>振込手数料（広銀）１月分　短期分</t>
        </is>
      </c>
      <c r="G569" s="363" t="n">
        <v>145536</v>
      </c>
      <c r="H569" s="360" t="n">
        <v>2</v>
      </c>
      <c r="I569" s="360" t="inlineStr">
        <is>
          <t>昨年実績</t>
        </is>
      </c>
      <c r="J569" s="364">
        <f>IF($G569="","",IF($H569=1,$G569-ROUND($G569*10/23,0)-2*ROUND($G569/23,0),IF($H569=2,$G569,0)))</f>
        <v>145536</v>
      </c>
      <c r="K569" s="364">
        <f>IF($G569="","",IF($H569=1,ROUND($G569*10/23,0),IF($H569=3,$G569-2*ROUND($G569/12,0),IF($H569=4,$G569,IF(OR($H569=5,$H569=7),ROUND($G569*10/11,0),0)))))</f>
        <v>0</v>
      </c>
      <c r="L569" s="364">
        <f>IF($G569="","",IF($H569=1,ROUND($G569/23,0),IF($H569=3,ROUND($G569/12,0),IF($H569=5,$G569-ROUND($G569*10/11,0),IF($H569=8,$G569,0)))))</f>
        <v>0</v>
      </c>
      <c r="M569" s="364">
        <f>IF($G569="","",IF($H569=1,ROUND($G569/23,0),IF($H569=3,ROUND($G569/12,0),IF($H569=6,$G569,IF($H569=7,$G569-ROUND($G569*10/11,0),0)))))</f>
        <v>0</v>
      </c>
      <c r="N569" s="364">
        <f>IF($G569="","",K569+L569+M569)</f>
        <v>0</v>
      </c>
      <c r="O569" s="365" t="str">
        <f>IF($G569="","",IFERROR(VLOOKUP($D569&amp;"|"&amp;$E569,科目表!$A$5:$B$200,2,FALSE),"※未登録"))</f>
        <v>送金料</v>
      </c>
      <c r="P569" s="359">
        <f>IF(OR($G569="",$C569=""),"",IF($B569="決算整理",13,MOD(MONTH($C569)-4,12)+1))</f>
        <v>11</v>
      </c>
      <c r="Q569" s="366" t="str">
        <f>IF($G569="","",TRIM(IF(J569+K569+L569+M569&lt;&gt;$G569,"按分不一致 ","")&amp;IF(O569="※未登録","科目未登録 ","")&amp;IF(OR($H569="",ISERROR(MATCH($H569,{1,2,3,4,5,6,7,8},0))),"経費区分? ","")&amp;IF($I569="","状態未設定 ","")&amp;IF(AND(OR($I569="確認済",$I569="未確認"),$B569="月例",OR($C569="",$C569&lt;DATE(年度+2018,4,1),$C569&gt;DATE(年度+2019,3,31))),"年度外の日付 ","")&amp;IF(AND(OR($I569="確認済",$I569="未確認"),O569="対象外"),"対象外の科目 ","")))</f>
        <v/>
      </c>
      <c r="R569" s="366" t="inlineStr">
        <is>
          <t>月例!594</t>
        </is>
      </c>
    </row>
    <row r="570">
      <c r="A570" s="359" t="n">
        <v>566</v>
      </c>
      <c r="B570" s="360" t="inlineStr">
        <is>
          <t>月例</t>
        </is>
      </c>
      <c r="C570" s="361" t="n">
        <v>44237</v>
      </c>
      <c r="D570" s="362" t="inlineStr">
        <is>
          <t>厚生費</t>
        </is>
      </c>
      <c r="E570" s="362" t="inlineStr">
        <is>
          <t>健康診断費</t>
        </is>
      </c>
      <c r="F570" s="362" t="inlineStr">
        <is>
          <t>人間ドック自己負担超分（下畠）</t>
        </is>
      </c>
      <c r="G570" s="363" t="n">
        <v>17240</v>
      </c>
      <c r="H570" s="360" t="n">
        <v>2</v>
      </c>
      <c r="I570" s="360" t="inlineStr">
        <is>
          <t>昨年実績</t>
        </is>
      </c>
      <c r="J570" s="364">
        <f>IF($G570="","",IF($H570=1,$G570-ROUND($G570*10/23,0)-2*ROUND($G570/23,0),IF($H570=2,$G570,0)))</f>
        <v>17240</v>
      </c>
      <c r="K570" s="364">
        <f>IF($G570="","",IF($H570=1,ROUND($G570*10/23,0),IF($H570=3,$G570-2*ROUND($G570/12,0),IF($H570=4,$G570,IF(OR($H570=5,$H570=7),ROUND($G570*10/11,0),0)))))</f>
        <v>0</v>
      </c>
      <c r="L570" s="364">
        <f>IF($G570="","",IF($H570=1,ROUND($G570/23,0),IF($H570=3,ROUND($G570/12,0),IF($H570=5,$G570-ROUND($G570*10/11,0),IF($H570=8,$G570,0)))))</f>
        <v>0</v>
      </c>
      <c r="M570" s="364">
        <f>IF($G570="","",IF($H570=1,ROUND($G570/23,0),IF($H570=3,ROUND($G570/12,0),IF($H570=6,$G570,IF($H570=7,$G570-ROUND($G570*10/11,0),0)))))</f>
        <v>0</v>
      </c>
      <c r="N570" s="364">
        <f>IF($G570="","",K570+L570+M570)</f>
        <v>0</v>
      </c>
      <c r="O570" s="365" t="str">
        <f>IF($G570="","",IFERROR(VLOOKUP($D570&amp;"|"&amp;$E570,科目表!$A$5:$B$200,2,FALSE),"※未登録"))</f>
        <v>厚生費</v>
      </c>
      <c r="P570" s="359">
        <f>IF(OR($G570="",$C570=""),"",IF($B570="決算整理",13,MOD(MONTH($C570)-4,12)+1))</f>
        <v>11</v>
      </c>
      <c r="Q570" s="366" t="str">
        <f>IF($G570="","",TRIM(IF(J570+K570+L570+M570&lt;&gt;$G570,"按分不一致 ","")&amp;IF(O570="※未登録","科目未登録 ","")&amp;IF(OR($H570="",ISERROR(MATCH($H570,{1,2,3,4,5,6,7,8},0))),"経費区分? ","")&amp;IF($I570="","状態未設定 ","")&amp;IF(AND(OR($I570="確認済",$I570="未確認"),$B570="月例",OR($C570="",$C570&lt;DATE(年度+2018,4,1),$C570&gt;DATE(年度+2019,3,31))),"年度外の日付 ","")&amp;IF(AND(OR($I570="確認済",$I570="未確認"),O570="対象外"),"対象外の科目 ","")))</f>
        <v/>
      </c>
      <c r="R570" s="366" t="inlineStr">
        <is>
          <t>月例!595</t>
        </is>
      </c>
    </row>
    <row r="571">
      <c r="A571" s="359" t="n">
        <v>567</v>
      </c>
      <c r="B571" s="360" t="inlineStr">
        <is>
          <t>月例</t>
        </is>
      </c>
      <c r="C571" s="361" t="n">
        <v>46080</v>
      </c>
      <c r="D571" s="362" t="inlineStr">
        <is>
          <t>委託費</t>
        </is>
      </c>
      <c r="E571" s="362" t="n"/>
      <c r="F571" s="362" t="inlineStr">
        <is>
          <t>ねんきん定期便（１月分）送付業務</t>
        </is>
      </c>
      <c r="G571" s="363" t="n">
        <v>84507</v>
      </c>
      <c r="H571" s="360" t="n">
        <v>5</v>
      </c>
      <c r="I571" s="360" t="inlineStr">
        <is>
          <t>昨年実績</t>
        </is>
      </c>
      <c r="J571" s="364">
        <f>IF($G571="","",IF($H571=1,$G571-ROUND($G571*10/23,0)-2*ROUND($G571/23,0),IF($H571=2,$G571,0)))</f>
        <v>0</v>
      </c>
      <c r="K571" s="364">
        <f>IF($G571="","",IF($H571=1,ROUND($G571*10/23,0),IF($H571=3,$G571-2*ROUND($G571/12,0),IF($H571=4,$G571,IF(OR($H571=5,$H571=7),ROUND($G571*10/11,0),0)))))</f>
        <v>76825</v>
      </c>
      <c r="L571" s="364">
        <f>IF($G571="","",IF($H571=1,ROUND($G571/23,0),IF($H571=3,ROUND($G571/12,0),IF($H571=5,$G571-ROUND($G571*10/11,0),IF($H571=8,$G571,0)))))</f>
        <v>7682</v>
      </c>
      <c r="M571" s="364">
        <f>IF($G571="","",IF($H571=1,ROUND($G571/23,0),IF($H571=3,ROUND($G571/12,0),IF($H571=6,$G571,IF($H571=7,$G571-ROUND($G571*10/11,0),0)))))</f>
        <v>0</v>
      </c>
      <c r="N571" s="364">
        <f>IF($G571="","",K571+L571+M571)</f>
        <v>84507</v>
      </c>
      <c r="O571" s="365" t="str">
        <f>IF($G571="","",IFERROR(VLOOKUP($D571&amp;"|"&amp;$E571,科目表!$A$5:$B$200,2,FALSE),"※未登録"))</f>
        <v>委託費</v>
      </c>
      <c r="P571" s="359">
        <f>IF(OR($G571="",$C571=""),"",IF($B571="決算整理",13,MOD(MONTH($C571)-4,12)+1))</f>
        <v>11</v>
      </c>
      <c r="Q571" s="366" t="str">
        <f>IF($G571="","",TRIM(IF(J571+K571+L571+M571&lt;&gt;$G571,"按分不一致 ","")&amp;IF(O571="※未登録","科目未登録 ","")&amp;IF(OR($H571="",ISERROR(MATCH($H571,{1,2,3,4,5,6,7,8},0))),"経費区分? ","")&amp;IF($I571="","状態未設定 ","")&amp;IF(AND(OR($I571="確認済",$I571="未確認"),$B571="月例",OR($C571="",$C571&lt;DATE(年度+2018,4,1),$C571&gt;DATE(年度+2019,3,31))),"年度外の日付 ","")&amp;IF(AND(OR($I571="確認済",$I571="未確認"),O571="対象外"),"対象外の科目 ","")))</f>
        <v/>
      </c>
      <c r="R571" s="366" t="inlineStr">
        <is>
          <t>月例!596</t>
        </is>
      </c>
    </row>
    <row r="572">
      <c r="A572" s="359" t="n">
        <v>568</v>
      </c>
      <c r="B572" s="360" t="inlineStr">
        <is>
          <t>月例</t>
        </is>
      </c>
      <c r="C572" s="361" t="n">
        <v>46059</v>
      </c>
      <c r="D572" s="362" t="inlineStr">
        <is>
          <t>事務費</t>
        </is>
      </c>
      <c r="E572" s="362" t="inlineStr">
        <is>
          <t>通信運搬費</t>
        </is>
      </c>
      <c r="F572" s="362" t="inlineStr">
        <is>
          <t>切手</t>
        </is>
      </c>
      <c r="G572" s="363" t="n">
        <v>312000</v>
      </c>
      <c r="H572" s="360" t="n">
        <v>2</v>
      </c>
      <c r="I572" s="360" t="inlineStr">
        <is>
          <t>昨年実績</t>
        </is>
      </c>
      <c r="J572" s="364">
        <f>IF($G572="","",IF($H572=1,$G572-ROUND($G572*10/23,0)-2*ROUND($G572/23,0),IF($H572=2,$G572,0)))</f>
        <v>312000</v>
      </c>
      <c r="K572" s="364">
        <f>IF($G572="","",IF($H572=1,ROUND($G572*10/23,0),IF($H572=3,$G572-2*ROUND($G572/12,0),IF($H572=4,$G572,IF(OR($H572=5,$H572=7),ROUND($G572*10/11,0),0)))))</f>
        <v>0</v>
      </c>
      <c r="L572" s="364">
        <f>IF($G572="","",IF($H572=1,ROUND($G572/23,0),IF($H572=3,ROUND($G572/12,0),IF($H572=5,$G572-ROUND($G572*10/11,0),IF($H572=8,$G572,0)))))</f>
        <v>0</v>
      </c>
      <c r="M572" s="364">
        <f>IF($G572="","",IF($H572=1,ROUND($G572/23,0),IF($H572=3,ROUND($G572/12,0),IF($H572=6,$G572,IF($H572=7,$G572-ROUND($G572*10/11,0),0)))))</f>
        <v>0</v>
      </c>
      <c r="N572" s="364">
        <f>IF($G572="","",K572+L572+M572)</f>
        <v>0</v>
      </c>
      <c r="O572" s="365" t="str">
        <f>IF($G572="","",IFERROR(VLOOKUP($D572&amp;"|"&amp;$E572,科目表!$A$5:$B$200,2,FALSE),"※未登録"))</f>
        <v>通信運搬費</v>
      </c>
      <c r="P572" s="359">
        <f>IF(OR($G572="",$C572=""),"",IF($B572="決算整理",13,MOD(MONTH($C572)-4,12)+1))</f>
        <v>11</v>
      </c>
      <c r="Q572" s="366" t="str">
        <f>IF($G572="","",TRIM(IF(J572+K572+L572+M572&lt;&gt;$G572,"按分不一致 ","")&amp;IF(O572="※未登録","科目未登録 ","")&amp;IF(OR($H572="",ISERROR(MATCH($H572,{1,2,3,4,5,6,7,8},0))),"経費区分? ","")&amp;IF($I572="","状態未設定 ","")&amp;IF(AND(OR($I572="確認済",$I572="未確認"),$B572="月例",OR($C572="",$C572&lt;DATE(年度+2018,4,1),$C572&gt;DATE(年度+2019,3,31))),"年度外の日付 ","")&amp;IF(AND(OR($I572="確認済",$I572="未確認"),O572="対象外"),"対象外の科目 ","")))</f>
        <v/>
      </c>
      <c r="R572" s="366" t="inlineStr">
        <is>
          <t>月例!597</t>
        </is>
      </c>
    </row>
    <row r="573">
      <c r="A573" s="359" t="n">
        <v>569</v>
      </c>
      <c r="B573" s="360" t="inlineStr">
        <is>
          <t>月例</t>
        </is>
      </c>
      <c r="C573" s="361" t="n">
        <v>43873</v>
      </c>
      <c r="D573" s="362" t="inlineStr">
        <is>
          <t>事務費</t>
        </is>
      </c>
      <c r="E573" s="362" t="inlineStr">
        <is>
          <t>通信運搬費</t>
        </is>
      </c>
      <c r="F573" s="362" t="inlineStr">
        <is>
          <t>切手</t>
        </is>
      </c>
      <c r="G573" s="363" t="n">
        <v>32000</v>
      </c>
      <c r="H573" s="360" t="n">
        <v>3</v>
      </c>
      <c r="I573" s="360" t="inlineStr">
        <is>
          <t>昨年実績</t>
        </is>
      </c>
      <c r="J573" s="364">
        <f>IF($G573="","",IF($H573=1,$G573-ROUND($G573*10/23,0)-2*ROUND($G573/23,0),IF($H573=2,$G573,0)))</f>
        <v>0</v>
      </c>
      <c r="K573" s="364">
        <f>IF($G573="","",IF($H573=1,ROUND($G573*10/23,0),IF($H573=3,$G573-2*ROUND($G573/12,0),IF($H573=4,$G573,IF(OR($H573=5,$H573=7),ROUND($G573*10/11,0),0)))))</f>
        <v>26666</v>
      </c>
      <c r="L573" s="364">
        <f>IF($G573="","",IF($H573=1,ROUND($G573/23,0),IF($H573=3,ROUND($G573/12,0),IF($H573=5,$G573-ROUND($G573*10/11,0),IF($H573=8,$G573,0)))))</f>
        <v>2667</v>
      </c>
      <c r="M573" s="364">
        <f>IF($G573="","",IF($H573=1,ROUND($G573/23,0),IF($H573=3,ROUND($G573/12,0),IF($H573=6,$G573,IF($H573=7,$G573-ROUND($G573*10/11,0),0)))))</f>
        <v>2667</v>
      </c>
      <c r="N573" s="364">
        <f>IF($G573="","",K573+L573+M573)</f>
        <v>32000</v>
      </c>
      <c r="O573" s="365" t="str">
        <f>IF($G573="","",IFERROR(VLOOKUP($D573&amp;"|"&amp;$E573,科目表!$A$5:$B$200,2,FALSE),"※未登録"))</f>
        <v>通信運搬費</v>
      </c>
      <c r="P573" s="359">
        <f>IF(OR($G573="",$C573=""),"",IF($B573="決算整理",13,MOD(MONTH($C573)-4,12)+1))</f>
        <v>11</v>
      </c>
      <c r="Q573" s="366" t="str">
        <f>IF($G573="","",TRIM(IF(J573+K573+L573+M573&lt;&gt;$G573,"按分不一致 ","")&amp;IF(O573="※未登録","科目未登録 ","")&amp;IF(OR($H573="",ISERROR(MATCH($H573,{1,2,3,4,5,6,7,8},0))),"経費区分? ","")&amp;IF($I573="","状態未設定 ","")&amp;IF(AND(OR($I573="確認済",$I573="未確認"),$B573="月例",OR($C573="",$C573&lt;DATE(年度+2018,4,1),$C573&gt;DATE(年度+2019,3,31))),"年度外の日付 ","")&amp;IF(AND(OR($I573="確認済",$I573="未確認"),O573="対象外"),"対象外の科目 ","")))</f>
        <v/>
      </c>
      <c r="R573" s="366" t="inlineStr">
        <is>
          <t>月例!598</t>
        </is>
      </c>
    </row>
    <row r="574">
      <c r="A574" s="359" t="n">
        <v>570</v>
      </c>
      <c r="B574" s="360" t="inlineStr">
        <is>
          <t>月例</t>
        </is>
      </c>
      <c r="C574" s="361" t="n">
        <v>43873</v>
      </c>
      <c r="D574" s="362" t="inlineStr">
        <is>
          <t>負担金</t>
        </is>
      </c>
      <c r="E574" s="362" t="inlineStr">
        <is>
          <t>会議出席負担金等</t>
        </is>
      </c>
      <c r="F574" s="362" t="inlineStr">
        <is>
          <t>中国地区指定都市・市町村職員共済組合理事長会議３名分</t>
        </is>
      </c>
      <c r="G574" s="363" t="n">
        <v>6000</v>
      </c>
      <c r="H574" s="360" t="n">
        <v>2</v>
      </c>
      <c r="I574" s="360" t="inlineStr">
        <is>
          <t>昨年実績</t>
        </is>
      </c>
      <c r="J574" s="364">
        <f>IF($G574="","",IF($H574=1,$G574-ROUND($G574*10/23,0)-2*ROUND($G574/23,0),IF($H574=2,$G574,0)))</f>
        <v>6000</v>
      </c>
      <c r="K574" s="364">
        <f>IF($G574="","",IF($H574=1,ROUND($G574*10/23,0),IF($H574=3,$G574-2*ROUND($G574/12,0),IF($H574=4,$G574,IF(OR($H574=5,$H574=7),ROUND($G574*10/11,0),0)))))</f>
        <v>0</v>
      </c>
      <c r="L574" s="364">
        <f>IF($G574="","",IF($H574=1,ROUND($G574/23,0),IF($H574=3,ROUND($G574/12,0),IF($H574=5,$G574-ROUND($G574*10/11,0),IF($H574=8,$G574,0)))))</f>
        <v>0</v>
      </c>
      <c r="M574" s="364">
        <f>IF($G574="","",IF($H574=1,ROUND($G574/23,0),IF($H574=3,ROUND($G574/12,0),IF($H574=6,$G574,IF($H574=7,$G574-ROUND($G574*10/11,0),0)))))</f>
        <v>0</v>
      </c>
      <c r="N574" s="364">
        <f>IF($G574="","",K574+L574+M574)</f>
        <v>0</v>
      </c>
      <c r="O574" s="365" t="str">
        <f>IF($G574="","",IFERROR(VLOOKUP($D574&amp;"|"&amp;$E574,科目表!$A$5:$B$200,2,FALSE),"※未登録"))</f>
        <v>会議出席負担金等</v>
      </c>
      <c r="P574" s="359">
        <f>IF(OR($G574="",$C574=""),"",IF($B574="決算整理",13,MOD(MONTH($C574)-4,12)+1))</f>
        <v>11</v>
      </c>
      <c r="Q574" s="366" t="str">
        <f>IF($G574="","",TRIM(IF(J574+K574+L574+M574&lt;&gt;$G574,"按分不一致 ","")&amp;IF(O574="※未登録","科目未登録 ","")&amp;IF(OR($H574="",ISERROR(MATCH($H574,{1,2,3,4,5,6,7,8},0))),"経費区分? ","")&amp;IF($I574="","状態未設定 ","")&amp;IF(AND(OR($I574="確認済",$I574="未確認"),$B574="月例",OR($C574="",$C574&lt;DATE(年度+2018,4,1),$C574&gt;DATE(年度+2019,3,31))),"年度外の日付 ","")&amp;IF(AND(OR($I574="確認済",$I574="未確認"),O574="対象外"),"対象外の科目 ","")))</f>
        <v/>
      </c>
      <c r="R574" s="366" t="inlineStr">
        <is>
          <t>月例!599</t>
        </is>
      </c>
    </row>
    <row r="575">
      <c r="A575" s="359" t="n">
        <v>571</v>
      </c>
      <c r="B575" s="360" t="inlineStr">
        <is>
          <t>月例</t>
        </is>
      </c>
      <c r="C575" s="361" t="n">
        <v>46073</v>
      </c>
      <c r="D575" s="362" t="inlineStr">
        <is>
          <t>職員給与</t>
        </is>
      </c>
      <c r="E575" s="362" t="inlineStr">
        <is>
          <t>非常勤職員手当</t>
        </is>
      </c>
      <c r="F575" s="362" t="inlineStr">
        <is>
          <t>２月分給与（長期分）</t>
        </is>
      </c>
      <c r="G575" s="363" t="n">
        <v>395611</v>
      </c>
      <c r="H575" s="360" t="n">
        <v>3</v>
      </c>
      <c r="I575" s="360" t="inlineStr">
        <is>
          <t>昨年実績</t>
        </is>
      </c>
      <c r="J575" s="364">
        <f>IF($G575="","",IF($H575=1,$G575-ROUND($G575*10/23,0)-2*ROUND($G575/23,0),IF($H575=2,$G575,0)))</f>
        <v>0</v>
      </c>
      <c r="K575" s="364">
        <f>IF($G575="","",IF($H575=1,ROUND($G575*10/23,0),IF($H575=3,$G575-2*ROUND($G575/12,0),IF($H575=4,$G575,IF(OR($H575=5,$H575=7),ROUND($G575*10/11,0),0)))))</f>
        <v>329675</v>
      </c>
      <c r="L575" s="364">
        <f>IF($G575="","",IF($H575=1,ROUND($G575/23,0),IF($H575=3,ROUND($G575/12,0),IF($H575=5,$G575-ROUND($G575*10/11,0),IF($H575=8,$G575,0)))))</f>
        <v>32968</v>
      </c>
      <c r="M575" s="364">
        <f>IF($G575="","",IF($H575=1,ROUND($G575/23,0),IF($H575=3,ROUND($G575/12,0),IF($H575=6,$G575,IF($H575=7,$G575-ROUND($G575*10/11,0),0)))))</f>
        <v>32968</v>
      </c>
      <c r="N575" s="364">
        <f>IF($G575="","",K575+L575+M575)</f>
        <v>395611</v>
      </c>
      <c r="O575" s="365" t="str">
        <f>IF($G575="","",IFERROR(VLOOKUP($D575&amp;"|"&amp;$E575,科目表!$A$5:$B$200,2,FALSE),"※未登録"))</f>
        <v>非常勤職員手当</v>
      </c>
      <c r="P575" s="359">
        <f>IF(OR($G575="",$C575=""),"",IF($B575="決算整理",13,MOD(MONTH($C575)-4,12)+1))</f>
        <v>11</v>
      </c>
      <c r="Q575" s="366" t="str">
        <f>IF($G575="","",TRIM(IF(J575+K575+L575+M575&lt;&gt;$G575,"按分不一致 ","")&amp;IF(O575="※未登録","科目未登録 ","")&amp;IF(OR($H575="",ISERROR(MATCH($H575,{1,2,3,4,5,6,7,8},0))),"経費区分? ","")&amp;IF($I575="","状態未設定 ","")&amp;IF(AND(OR($I575="確認済",$I575="未確認"),$B575="月例",OR($C575="",$C575&lt;DATE(年度+2018,4,1),$C575&gt;DATE(年度+2019,3,31))),"年度外の日付 ","")&amp;IF(AND(OR($I575="確認済",$I575="未確認"),O575="対象外"),"対象外の科目 ","")))</f>
        <v/>
      </c>
      <c r="R575" s="366" t="inlineStr">
        <is>
          <t>月例!600</t>
        </is>
      </c>
    </row>
    <row r="576">
      <c r="A576" s="359" t="n">
        <v>572</v>
      </c>
      <c r="B576" s="360" t="inlineStr">
        <is>
          <t>月例</t>
        </is>
      </c>
      <c r="C576" s="361" t="n">
        <v>46073</v>
      </c>
      <c r="D576" s="362" t="inlineStr">
        <is>
          <t>職員給与</t>
        </is>
      </c>
      <c r="E576" s="362" t="inlineStr">
        <is>
          <t>非常勤職員手当</t>
        </is>
      </c>
      <c r="F576" s="362" t="inlineStr">
        <is>
          <t>２月分給与（短期分）</t>
        </is>
      </c>
      <c r="G576" s="363" t="n">
        <v>232335</v>
      </c>
      <c r="H576" s="360" t="n">
        <v>2</v>
      </c>
      <c r="I576" s="360" t="inlineStr">
        <is>
          <t>昨年実績</t>
        </is>
      </c>
      <c r="J576" s="364">
        <f>IF($G576="","",IF($H576=1,$G576-ROUND($G576*10/23,0)-2*ROUND($G576/23,0),IF($H576=2,$G576,0)))</f>
        <v>232335</v>
      </c>
      <c r="K576" s="364">
        <f>IF($G576="","",IF($H576=1,ROUND($G576*10/23,0),IF($H576=3,$G576-2*ROUND($G576/12,0),IF($H576=4,$G576,IF(OR($H576=5,$H576=7),ROUND($G576*10/11,0),0)))))</f>
        <v>0</v>
      </c>
      <c r="L576" s="364">
        <f>IF($G576="","",IF($H576=1,ROUND($G576/23,0),IF($H576=3,ROUND($G576/12,0),IF($H576=5,$G576-ROUND($G576*10/11,0),IF($H576=8,$G576,0)))))</f>
        <v>0</v>
      </c>
      <c r="M576" s="364">
        <f>IF($G576="","",IF($H576=1,ROUND($G576/23,0),IF($H576=3,ROUND($G576/12,0),IF($H576=6,$G576,IF($H576=7,$G576-ROUND($G576*10/11,0),0)))))</f>
        <v>0</v>
      </c>
      <c r="N576" s="364">
        <f>IF($G576="","",K576+L576+M576)</f>
        <v>0</v>
      </c>
      <c r="O576" s="365" t="str">
        <f>IF($G576="","",IFERROR(VLOOKUP($D576&amp;"|"&amp;$E576,科目表!$A$5:$B$200,2,FALSE),"※未登録"))</f>
        <v>非常勤職員手当</v>
      </c>
      <c r="P576" s="359">
        <f>IF(OR($G576="",$C576=""),"",IF($B576="決算整理",13,MOD(MONTH($C576)-4,12)+1))</f>
        <v>11</v>
      </c>
      <c r="Q576" s="366" t="str">
        <f>IF($G576="","",TRIM(IF(J576+K576+L576+M576&lt;&gt;$G576,"按分不一致 ","")&amp;IF(O576="※未登録","科目未登録 ","")&amp;IF(OR($H576="",ISERROR(MATCH($H576,{1,2,3,4,5,6,7,8},0))),"経費区分? ","")&amp;IF($I576="","状態未設定 ","")&amp;IF(AND(OR($I576="確認済",$I576="未確認"),$B576="月例",OR($C576="",$C576&lt;DATE(年度+2018,4,1),$C576&gt;DATE(年度+2019,3,31))),"年度外の日付 ","")&amp;IF(AND(OR($I576="確認済",$I576="未確認"),O576="対象外"),"対象外の科目 ","")))</f>
        <v/>
      </c>
      <c r="R576" s="366" t="inlineStr">
        <is>
          <t>月例!601</t>
        </is>
      </c>
    </row>
    <row r="577">
      <c r="A577" s="359" t="n">
        <v>573</v>
      </c>
      <c r="B577" s="360" t="inlineStr">
        <is>
          <t>月例</t>
        </is>
      </c>
      <c r="C577" s="361" t="n">
        <v>46073</v>
      </c>
      <c r="D577" s="362" t="inlineStr">
        <is>
          <t>負担金</t>
        </is>
      </c>
      <c r="E577" s="362" t="inlineStr">
        <is>
          <t>互助会費</t>
        </is>
      </c>
      <c r="F577" s="362" t="inlineStr">
        <is>
          <t>助成金（２月長期分）</t>
        </is>
      </c>
      <c r="G577" s="363" t="n">
        <v>554</v>
      </c>
      <c r="H577" s="360" t="n">
        <v>3</v>
      </c>
      <c r="I577" s="360" t="inlineStr">
        <is>
          <t>昨年実績</t>
        </is>
      </c>
      <c r="J577" s="364">
        <f>IF($G577="","",IF($H577=1,$G577-ROUND($G577*10/23,0)-2*ROUND($G577/23,0),IF($H577=2,$G577,0)))</f>
        <v>0</v>
      </c>
      <c r="K577" s="364">
        <f>IF($G577="","",IF($H577=1,ROUND($G577*10/23,0),IF($H577=3,$G577-2*ROUND($G577/12,0),IF($H577=4,$G577,IF(OR($H577=5,$H577=7),ROUND($G577*10/11,0),0)))))</f>
        <v>462</v>
      </c>
      <c r="L577" s="364">
        <f>IF($G577="","",IF($H577=1,ROUND($G577/23,0),IF($H577=3,ROUND($G577/12,0),IF($H577=5,$G577-ROUND($G577*10/11,0),IF($H577=8,$G577,0)))))</f>
        <v>46</v>
      </c>
      <c r="M577" s="364">
        <f>IF($G577="","",IF($H577=1,ROUND($G577/23,0),IF($H577=3,ROUND($G577/12,0),IF($H577=6,$G577,IF($H577=7,$G577-ROUND($G577*10/11,0),0)))))</f>
        <v>46</v>
      </c>
      <c r="N577" s="364">
        <f>IF($G577="","",K577+L577+M577)</f>
        <v>554</v>
      </c>
      <c r="O577" s="365" t="str">
        <f>IF($G577="","",IFERROR(VLOOKUP($D577&amp;"|"&amp;$E577,科目表!$A$5:$B$200,2,FALSE),"※未登録"))</f>
        <v>互助会費</v>
      </c>
      <c r="P577" s="359">
        <f>IF(OR($G577="",$C577=""),"",IF($B577="決算整理",13,MOD(MONTH($C577)-4,12)+1))</f>
        <v>11</v>
      </c>
      <c r="Q577" s="366" t="str">
        <f>IF($G577="","",TRIM(IF(J577+K577+L577+M577&lt;&gt;$G577,"按分不一致 ","")&amp;IF(O577="※未登録","科目未登録 ","")&amp;IF(OR($H577="",ISERROR(MATCH($H577,{1,2,3,4,5,6,7,8},0))),"経費区分? ","")&amp;IF($I577="","状態未設定 ","")&amp;IF(AND(OR($I577="確認済",$I577="未確認"),$B577="月例",OR($C577="",$C577&lt;DATE(年度+2018,4,1),$C577&gt;DATE(年度+2019,3,31))),"年度外の日付 ","")&amp;IF(AND(OR($I577="確認済",$I577="未確認"),O577="対象外"),"対象外の科目 ","")))</f>
        <v/>
      </c>
      <c r="R577" s="366" t="inlineStr">
        <is>
          <t>月例!602</t>
        </is>
      </c>
    </row>
    <row r="578">
      <c r="A578" s="359" t="n">
        <v>574</v>
      </c>
      <c r="B578" s="360" t="inlineStr">
        <is>
          <t>月例</t>
        </is>
      </c>
      <c r="C578" s="361" t="n">
        <v>46073</v>
      </c>
      <c r="D578" s="362" t="inlineStr">
        <is>
          <t>負担金</t>
        </is>
      </c>
      <c r="E578" s="362" t="inlineStr">
        <is>
          <t>互助会費</t>
        </is>
      </c>
      <c r="F578" s="362" t="inlineStr">
        <is>
          <t>助成金（２月短期分）</t>
        </is>
      </c>
      <c r="G578" s="363" t="n">
        <v>284</v>
      </c>
      <c r="H578" s="360" t="n">
        <v>2</v>
      </c>
      <c r="I578" s="360" t="inlineStr">
        <is>
          <t>昨年実績</t>
        </is>
      </c>
      <c r="J578" s="364">
        <f>IF($G578="","",IF($H578=1,$G578-ROUND($G578*10/23,0)-2*ROUND($G578/23,0),IF($H578=2,$G578,0)))</f>
        <v>284</v>
      </c>
      <c r="K578" s="364">
        <f>IF($G578="","",IF($H578=1,ROUND($G578*10/23,0),IF($H578=3,$G578-2*ROUND($G578/12,0),IF($H578=4,$G578,IF(OR($H578=5,$H578=7),ROUND($G578*10/11,0),0)))))</f>
        <v>0</v>
      </c>
      <c r="L578" s="364">
        <f>IF($G578="","",IF($H578=1,ROUND($G578/23,0),IF($H578=3,ROUND($G578/12,0),IF($H578=5,$G578-ROUND($G578*10/11,0),IF($H578=8,$G578,0)))))</f>
        <v>0</v>
      </c>
      <c r="M578" s="364">
        <f>IF($G578="","",IF($H578=1,ROUND($G578/23,0),IF($H578=3,ROUND($G578/12,0),IF($H578=6,$G578,IF($H578=7,$G578-ROUND($G578*10/11,0),0)))))</f>
        <v>0</v>
      </c>
      <c r="N578" s="364">
        <f>IF($G578="","",K578+L578+M578)</f>
        <v>0</v>
      </c>
      <c r="O578" s="365" t="str">
        <f>IF($G578="","",IFERROR(VLOOKUP($D578&amp;"|"&amp;$E578,科目表!$A$5:$B$200,2,FALSE),"※未登録"))</f>
        <v>互助会費</v>
      </c>
      <c r="P578" s="359">
        <f>IF(OR($G578="",$C578=""),"",IF($B578="決算整理",13,MOD(MONTH($C578)-4,12)+1))</f>
        <v>11</v>
      </c>
      <c r="Q578" s="366" t="str">
        <f>IF($G578="","",TRIM(IF(J578+K578+L578+M578&lt;&gt;$G578,"按分不一致 ","")&amp;IF(O578="※未登録","科目未登録 ","")&amp;IF(OR($H578="",ISERROR(MATCH($H578,{1,2,3,4,5,6,7,8},0))),"経費区分? ","")&amp;IF($I578="","状態未設定 ","")&amp;IF(AND(OR($I578="確認済",$I578="未確認"),$B578="月例",OR($C578="",$C578&lt;DATE(年度+2018,4,1),$C578&gt;DATE(年度+2019,3,31))),"年度外の日付 ","")&amp;IF(AND(OR($I578="確認済",$I578="未確認"),O578="対象外"),"対象外の科目 ","")))</f>
        <v/>
      </c>
      <c r="R578" s="366" t="inlineStr">
        <is>
          <t>月例!603</t>
        </is>
      </c>
    </row>
    <row r="579">
      <c r="A579" s="359" t="n">
        <v>575</v>
      </c>
      <c r="B579" s="360" t="inlineStr">
        <is>
          <t>月例</t>
        </is>
      </c>
      <c r="C579" s="361" t="n">
        <v>46080</v>
      </c>
      <c r="D579" s="362" t="inlineStr">
        <is>
          <t>事務費</t>
        </is>
      </c>
      <c r="E579" s="362" t="inlineStr">
        <is>
          <t>送金料</t>
        </is>
      </c>
      <c r="F579" s="362" t="inlineStr">
        <is>
          <t>ゆうちょ銀行手数料（1月分）短期</t>
        </is>
      </c>
      <c r="G579" s="363" t="n">
        <v>10876</v>
      </c>
      <c r="H579" s="360" t="n">
        <v>2</v>
      </c>
      <c r="I579" s="360" t="inlineStr">
        <is>
          <t>昨年実績</t>
        </is>
      </c>
      <c r="J579" s="364">
        <f>IF($G579="","",IF($H579=1,$G579-ROUND($G579*10/23,0)-2*ROUND($G579/23,0),IF($H579=2,$G579,0)))</f>
        <v>10876</v>
      </c>
      <c r="K579" s="364">
        <f>IF($G579="","",IF($H579=1,ROUND($G579*10/23,0),IF($H579=3,$G579-2*ROUND($G579/12,0),IF($H579=4,$G579,IF(OR($H579=5,$H579=7),ROUND($G579*10/11,0),0)))))</f>
        <v>0</v>
      </c>
      <c r="L579" s="364">
        <f>IF($G579="","",IF($H579=1,ROUND($G579/23,0),IF($H579=3,ROUND($G579/12,0),IF($H579=5,$G579-ROUND($G579*10/11,0),IF($H579=8,$G579,0)))))</f>
        <v>0</v>
      </c>
      <c r="M579" s="364">
        <f>IF($G579="","",IF($H579=1,ROUND($G579/23,0),IF($H579=3,ROUND($G579/12,0),IF($H579=6,$G579,IF($H579=7,$G579-ROUND($G579*10/11,0),0)))))</f>
        <v>0</v>
      </c>
      <c r="N579" s="364">
        <f>IF($G579="","",K579+L579+M579)</f>
        <v>0</v>
      </c>
      <c r="O579" s="365" t="str">
        <f>IF($G579="","",IFERROR(VLOOKUP($D579&amp;"|"&amp;$E579,科目表!$A$5:$B$200,2,FALSE),"※未登録"))</f>
        <v>送金料</v>
      </c>
      <c r="P579" s="359">
        <f>IF(OR($G579="",$C579=""),"",IF($B579="決算整理",13,MOD(MONTH($C579)-4,12)+1))</f>
        <v>11</v>
      </c>
      <c r="Q579" s="366" t="str">
        <f>IF($G579="","",TRIM(IF(J579+K579+L579+M579&lt;&gt;$G579,"按分不一致 ","")&amp;IF(O579="※未登録","科目未登録 ","")&amp;IF(OR($H579="",ISERROR(MATCH($H579,{1,2,3,4,5,6,7,8},0))),"経費区分? ","")&amp;IF($I579="","状態未設定 ","")&amp;IF(AND(OR($I579="確認済",$I579="未確認"),$B579="月例",OR($C579="",$C579&lt;DATE(年度+2018,4,1),$C579&gt;DATE(年度+2019,3,31))),"年度外の日付 ","")&amp;IF(AND(OR($I579="確認済",$I579="未確認"),O579="対象外"),"対象外の科目 ","")))</f>
        <v/>
      </c>
      <c r="R579" s="366" t="inlineStr">
        <is>
          <t>月例!604</t>
        </is>
      </c>
    </row>
    <row r="580">
      <c r="A580" s="359" t="n">
        <v>576</v>
      </c>
      <c r="B580" s="360" t="inlineStr">
        <is>
          <t>月例</t>
        </is>
      </c>
      <c r="C580" s="361" t="n">
        <v>46080</v>
      </c>
      <c r="D580" s="362" t="inlineStr">
        <is>
          <t>事務費</t>
        </is>
      </c>
      <c r="E580" s="362" t="inlineStr">
        <is>
          <t>雑費</t>
        </is>
      </c>
      <c r="F580" s="362" t="inlineStr">
        <is>
          <t>ゆうちょ銀行振替口座残高証明（1月分）短期</t>
        </is>
      </c>
      <c r="G580" s="363" t="n">
        <v>550</v>
      </c>
      <c r="H580" s="360" t="n">
        <v>2</v>
      </c>
      <c r="I580" s="360" t="inlineStr">
        <is>
          <t>昨年実績</t>
        </is>
      </c>
      <c r="J580" s="364">
        <f>IF($G580="","",IF($H580=1,$G580-ROUND($G580*10/23,0)-2*ROUND($G580/23,0),IF($H580=2,$G580,0)))</f>
        <v>550</v>
      </c>
      <c r="K580" s="364">
        <f>IF($G580="","",IF($H580=1,ROUND($G580*10/23,0),IF($H580=3,$G580-2*ROUND($G580/12,0),IF($H580=4,$G580,IF(OR($H580=5,$H580=7),ROUND($G580*10/11,0),0)))))</f>
        <v>0</v>
      </c>
      <c r="L580" s="364">
        <f>IF($G580="","",IF($H580=1,ROUND($G580/23,0),IF($H580=3,ROUND($G580/12,0),IF($H580=5,$G580-ROUND($G580*10/11,0),IF($H580=8,$G580,0)))))</f>
        <v>0</v>
      </c>
      <c r="M580" s="364">
        <f>IF($G580="","",IF($H580=1,ROUND($G580/23,0),IF($H580=3,ROUND($G580/12,0),IF($H580=6,$G580,IF($H580=7,$G580-ROUND($G580*10/11,0),0)))))</f>
        <v>0</v>
      </c>
      <c r="N580" s="364">
        <f>IF($G580="","",K580+L580+M580)</f>
        <v>0</v>
      </c>
      <c r="O580" s="365" t="str">
        <f>IF($G580="","",IFERROR(VLOOKUP($D580&amp;"|"&amp;$E580,科目表!$A$5:$B$200,2,FALSE),"※未登録"))</f>
        <v>事務費・雑費</v>
      </c>
      <c r="P580" s="359">
        <f>IF(OR($G580="",$C580=""),"",IF($B580="決算整理",13,MOD(MONTH($C580)-4,12)+1))</f>
        <v>11</v>
      </c>
      <c r="Q580" s="366" t="str">
        <f>IF($G580="","",TRIM(IF(J580+K580+L580+M580&lt;&gt;$G580,"按分不一致 ","")&amp;IF(O580="※未登録","科目未登録 ","")&amp;IF(OR($H580="",ISERROR(MATCH($H580,{1,2,3,4,5,6,7,8},0))),"経費区分? ","")&amp;IF($I580="","状態未設定 ","")&amp;IF(AND(OR($I580="確認済",$I580="未確認"),$B580="月例",OR($C580="",$C580&lt;DATE(年度+2018,4,1),$C580&gt;DATE(年度+2019,3,31))),"年度外の日付 ","")&amp;IF(AND(OR($I580="確認済",$I580="未確認"),O580="対象外"),"対象外の科目 ","")))</f>
        <v/>
      </c>
      <c r="R580" s="366" t="inlineStr">
        <is>
          <t>月例!605</t>
        </is>
      </c>
    </row>
    <row r="581">
      <c r="A581" s="359" t="n">
        <v>577</v>
      </c>
      <c r="B581" s="360" t="inlineStr">
        <is>
          <t>月例</t>
        </is>
      </c>
      <c r="C581" s="361" t="n">
        <v>46078</v>
      </c>
      <c r="D581" s="362" t="inlineStr">
        <is>
          <t>負担金</t>
        </is>
      </c>
      <c r="E581" s="362" t="inlineStr">
        <is>
          <t>負担金</t>
        </is>
      </c>
      <c r="F581" s="362" t="inlineStr">
        <is>
          <t>共済短期・介護負担金（2月月例分）長期</t>
        </is>
      </c>
      <c r="G581" s="363" t="n">
        <v>22835</v>
      </c>
      <c r="H581" s="360" t="n">
        <v>3</v>
      </c>
      <c r="I581" s="360" t="inlineStr">
        <is>
          <t>昨年実績</t>
        </is>
      </c>
      <c r="J581" s="364">
        <f>IF($G581="","",IF($H581=1,$G581-ROUND($G581*10/23,0)-2*ROUND($G581/23,0),IF($H581=2,$G581,0)))</f>
        <v>0</v>
      </c>
      <c r="K581" s="364">
        <f>IF($G581="","",IF($H581=1,ROUND($G581*10/23,0),IF($H581=3,$G581-2*ROUND($G581/12,0),IF($H581=4,$G581,IF(OR($H581=5,$H581=7),ROUND($G581*10/11,0),0)))))</f>
        <v>19029</v>
      </c>
      <c r="L581" s="364">
        <f>IF($G581="","",IF($H581=1,ROUND($G581/23,0),IF($H581=3,ROUND($G581/12,0),IF($H581=5,$G581-ROUND($G581*10/11,0),IF($H581=8,$G581,0)))))</f>
        <v>1903</v>
      </c>
      <c r="M581" s="364">
        <f>IF($G581="","",IF($H581=1,ROUND($G581/23,0),IF($H581=3,ROUND($G581/12,0),IF($H581=6,$G581,IF($H581=7,$G581-ROUND($G581*10/11,0),0)))))</f>
        <v>1903</v>
      </c>
      <c r="N581" s="364">
        <f>IF($G581="","",K581+L581+M581)</f>
        <v>22835</v>
      </c>
      <c r="O581" s="365" t="str">
        <f>IF($G581="","",IFERROR(VLOOKUP($D581&amp;"|"&amp;$E581,科目表!$A$5:$B$200,2,FALSE),"※未登録"))</f>
        <v>共済負担金等</v>
      </c>
      <c r="P581" s="359">
        <f>IF(OR($G581="",$C581=""),"",IF($B581="決算整理",13,MOD(MONTH($C581)-4,12)+1))</f>
        <v>11</v>
      </c>
      <c r="Q581" s="366" t="str">
        <f>IF($G581="","",TRIM(IF(J581+K581+L581+M581&lt;&gt;$G581,"按分不一致 ","")&amp;IF(O581="※未登録","科目未登録 ","")&amp;IF(OR($H581="",ISERROR(MATCH($H581,{1,2,3,4,5,6,7,8},0))),"経費区分? ","")&amp;IF($I581="","状態未設定 ","")&amp;IF(AND(OR($I581="確認済",$I581="未確認"),$B581="月例",OR($C581="",$C581&lt;DATE(年度+2018,4,1),$C581&gt;DATE(年度+2019,3,31))),"年度外の日付 ","")&amp;IF(AND(OR($I581="確認済",$I581="未確認"),O581="対象外"),"対象外の科目 ","")))</f>
        <v/>
      </c>
      <c r="R581" s="366" t="inlineStr">
        <is>
          <t>月例!606</t>
        </is>
      </c>
    </row>
    <row r="582">
      <c r="A582" s="359" t="n">
        <v>578</v>
      </c>
      <c r="B582" s="360" t="inlineStr">
        <is>
          <t>月例</t>
        </is>
      </c>
      <c r="C582" s="361" t="n">
        <v>46078</v>
      </c>
      <c r="D582" s="362" t="inlineStr">
        <is>
          <t>負担金</t>
        </is>
      </c>
      <c r="E582" s="362" t="inlineStr">
        <is>
          <t>負担金</t>
        </is>
      </c>
      <c r="F582" s="362" t="inlineStr">
        <is>
          <t>共済短期・介護負担金（2月月例分）短期</t>
        </is>
      </c>
      <c r="G582" s="363" t="n">
        <v>39697</v>
      </c>
      <c r="H582" s="360" t="n">
        <v>2</v>
      </c>
      <c r="I582" s="360" t="inlineStr">
        <is>
          <t>昨年実績</t>
        </is>
      </c>
      <c r="J582" s="364">
        <f>IF($G582="","",IF($H582=1,$G582-ROUND($G582*10/23,0)-2*ROUND($G582/23,0),IF($H582=2,$G582,0)))</f>
        <v>39697</v>
      </c>
      <c r="K582" s="364">
        <f>IF($G582="","",IF($H582=1,ROUND($G582*10/23,0),IF($H582=3,$G582-2*ROUND($G582/12,0),IF($H582=4,$G582,IF(OR($H582=5,$H582=7),ROUND($G582*10/11,0),0)))))</f>
        <v>0</v>
      </c>
      <c r="L582" s="364">
        <f>IF($G582="","",IF($H582=1,ROUND($G582/23,0),IF($H582=3,ROUND($G582/12,0),IF($H582=5,$G582-ROUND($G582*10/11,0),IF($H582=8,$G582,0)))))</f>
        <v>0</v>
      </c>
      <c r="M582" s="364">
        <f>IF($G582="","",IF($H582=1,ROUND($G582/23,0),IF($H582=3,ROUND($G582/12,0),IF($H582=6,$G582,IF($H582=7,$G582-ROUND($G582*10/11,0),0)))))</f>
        <v>0</v>
      </c>
      <c r="N582" s="364">
        <f>IF($G582="","",K582+L582+M582)</f>
        <v>0</v>
      </c>
      <c r="O582" s="365" t="str">
        <f>IF($G582="","",IFERROR(VLOOKUP($D582&amp;"|"&amp;$E582,科目表!$A$5:$B$200,2,FALSE),"※未登録"))</f>
        <v>共済負担金等</v>
      </c>
      <c r="P582" s="359">
        <f>IF(OR($G582="",$C582=""),"",IF($B582="決算整理",13,MOD(MONTH($C582)-4,12)+1))</f>
        <v>11</v>
      </c>
      <c r="Q582" s="366" t="str">
        <f>IF($G582="","",TRIM(IF(J582+K582+L582+M582&lt;&gt;$G582,"按分不一致 ","")&amp;IF(O582="※未登録","科目未登録 ","")&amp;IF(OR($H582="",ISERROR(MATCH($H582,{1,2,3,4,5,6,7,8},0))),"経費区分? ","")&amp;IF($I582="","状態未設定 ","")&amp;IF(AND(OR($I582="確認済",$I582="未確認"),$B582="月例",OR($C582="",$C582&lt;DATE(年度+2018,4,1),$C582&gt;DATE(年度+2019,3,31))),"年度外の日付 ","")&amp;IF(AND(OR($I582="確認済",$I582="未確認"),O582="対象外"),"対象外の科目 ","")))</f>
        <v/>
      </c>
      <c r="R582" s="366" t="inlineStr">
        <is>
          <t>月例!607</t>
        </is>
      </c>
    </row>
    <row r="583">
      <c r="A583" s="359" t="n">
        <v>579</v>
      </c>
      <c r="B583" s="360" t="inlineStr">
        <is>
          <t>月例</t>
        </is>
      </c>
      <c r="C583" s="361" t="n">
        <v>45005</v>
      </c>
      <c r="D583" s="362" t="inlineStr">
        <is>
          <t>旅費</t>
        </is>
      </c>
      <c r="E583" s="362" t="n"/>
      <c r="F583" s="362" t="inlineStr">
        <is>
          <t>3/22　全国監事研修会　特別区　栗栖監事</t>
        </is>
      </c>
      <c r="G583" s="363" t="n">
        <v>39500</v>
      </c>
      <c r="H583" s="360" t="n">
        <v>1</v>
      </c>
      <c r="I583" s="360" t="inlineStr">
        <is>
          <t>昨年実績</t>
        </is>
      </c>
      <c r="J583" s="364">
        <f>IF($G583="","",IF($H583=1,$G583-ROUND($G583*10/23,0)-2*ROUND($G583/23,0),IF($H583=2,$G583,0)))</f>
        <v>18892</v>
      </c>
      <c r="K583" s="364">
        <f>IF($G583="","",IF($H583=1,ROUND($G583*10/23,0),IF($H583=3,$G583-2*ROUND($G583/12,0),IF($H583=4,$G583,IF(OR($H583=5,$H583=7),ROUND($G583*10/11,0),0)))))</f>
        <v>17174</v>
      </c>
      <c r="L583" s="364">
        <f>IF($G583="","",IF($H583=1,ROUND($G583/23,0),IF($H583=3,ROUND($G583/12,0),IF($H583=5,$G583-ROUND($G583*10/11,0),IF($H583=8,$G583,0)))))</f>
        <v>1717</v>
      </c>
      <c r="M583" s="364">
        <f>IF($G583="","",IF($H583=1,ROUND($G583/23,0),IF($H583=3,ROUND($G583/12,0),IF($H583=6,$G583,IF($H583=7,$G583-ROUND($G583*10/11,0),0)))))</f>
        <v>1717</v>
      </c>
      <c r="N583" s="364">
        <f>IF($G583="","",K583+L583+M583)</f>
        <v>20608</v>
      </c>
      <c r="O583" s="365" t="str">
        <f>IF($G583="","",IFERROR(VLOOKUP($D583&amp;"|"&amp;$E583,科目表!$A$5:$B$200,2,FALSE),"※未登録"))</f>
        <v>旅費</v>
      </c>
      <c r="P583" s="359">
        <f>IF(OR($G583="",$C583=""),"",IF($B583="決算整理",13,MOD(MONTH($C583)-4,12)+1))</f>
        <v>12</v>
      </c>
      <c r="Q583" s="366" t="str">
        <f>IF($G583="","",TRIM(IF(J583+K583+L583+M583&lt;&gt;$G583,"按分不一致 ","")&amp;IF(O583="※未登録","科目未登録 ","")&amp;IF(OR($H583="",ISERROR(MATCH($H583,{1,2,3,4,5,6,7,8},0))),"経費区分? ","")&amp;IF($I583="","状態未設定 ","")&amp;IF(AND(OR($I583="確認済",$I583="未確認"),$B583="月例",OR($C583="",$C583&lt;DATE(年度+2018,4,1),$C583&gt;DATE(年度+2019,3,31))),"年度外の日付 ","")&amp;IF(AND(OR($I583="確認済",$I583="未確認"),O583="対象外"),"対象外の科目 ","")))</f>
        <v/>
      </c>
      <c r="R583" s="366" t="inlineStr">
        <is>
          <t>月例!608</t>
        </is>
      </c>
    </row>
    <row r="584">
      <c r="A584" s="359" t="n">
        <v>580</v>
      </c>
      <c r="B584" s="360" t="inlineStr">
        <is>
          <t>月例</t>
        </is>
      </c>
      <c r="C584" s="361" t="n">
        <v>44253</v>
      </c>
      <c r="D584" s="362" t="inlineStr">
        <is>
          <t>委託費</t>
        </is>
      </c>
      <c r="E584" s="362" t="n"/>
      <c r="F584" s="362" t="inlineStr">
        <is>
          <t>短期給付個人番号管理システム端末保守サービス（１月分）</t>
        </is>
      </c>
      <c r="G584" s="363" t="n">
        <v>385</v>
      </c>
      <c r="H584" s="360" t="n">
        <v>2</v>
      </c>
      <c r="I584" s="360" t="inlineStr">
        <is>
          <t>昨年実績</t>
        </is>
      </c>
      <c r="J584" s="364">
        <f>IF($G584="","",IF($H584=1,$G584-ROUND($G584*10/23,0)-2*ROUND($G584/23,0),IF($H584=2,$G584,0)))</f>
        <v>385</v>
      </c>
      <c r="K584" s="364">
        <f>IF($G584="","",IF($H584=1,ROUND($G584*10/23,0),IF($H584=3,$G584-2*ROUND($G584/12,0),IF($H584=4,$G584,IF(OR($H584=5,$H584=7),ROUND($G584*10/11,0),0)))))</f>
        <v>0</v>
      </c>
      <c r="L584" s="364">
        <f>IF($G584="","",IF($H584=1,ROUND($G584/23,0),IF($H584=3,ROUND($G584/12,0),IF($H584=5,$G584-ROUND($G584*10/11,0),IF($H584=8,$G584,0)))))</f>
        <v>0</v>
      </c>
      <c r="M584" s="364">
        <f>IF($G584="","",IF($H584=1,ROUND($G584/23,0),IF($H584=3,ROUND($G584/12,0),IF($H584=6,$G584,IF($H584=7,$G584-ROUND($G584*10/11,0),0)))))</f>
        <v>0</v>
      </c>
      <c r="N584" s="364">
        <f>IF($G584="","",K584+L584+M584)</f>
        <v>0</v>
      </c>
      <c r="O584" s="365" t="str">
        <f>IF($G584="","",IFERROR(VLOOKUP($D584&amp;"|"&amp;$E584,科目表!$A$5:$B$200,2,FALSE),"※未登録"))</f>
        <v>委託費</v>
      </c>
      <c r="P584" s="359">
        <f>IF(OR($G584="",$C584=""),"",IF($B584="決算整理",13,MOD(MONTH($C584)-4,12)+1))</f>
        <v>11</v>
      </c>
      <c r="Q584" s="366" t="str">
        <f>IF($G584="","",TRIM(IF(J584+K584+L584+M584&lt;&gt;$G584,"按分不一致 ","")&amp;IF(O584="※未登録","科目未登録 ","")&amp;IF(OR($H584="",ISERROR(MATCH($H584,{1,2,3,4,5,6,7,8},0))),"経費区分? ","")&amp;IF($I584="","状態未設定 ","")&amp;IF(AND(OR($I584="確認済",$I584="未確認"),$B584="月例",OR($C584="",$C584&lt;DATE(年度+2018,4,1),$C584&gt;DATE(年度+2019,3,31))),"年度外の日付 ","")&amp;IF(AND(OR($I584="確認済",$I584="未確認"),O584="対象外"),"対象外の科目 ","")))</f>
        <v/>
      </c>
      <c r="R584" s="366" t="inlineStr">
        <is>
          <t>月例!609</t>
        </is>
      </c>
    </row>
    <row r="585">
      <c r="A585" s="359" t="n">
        <v>581</v>
      </c>
      <c r="B585" s="360" t="inlineStr">
        <is>
          <t>月例</t>
        </is>
      </c>
      <c r="C585" s="361" t="n">
        <v>44253</v>
      </c>
      <c r="D585" s="362" t="inlineStr">
        <is>
          <t>事務費</t>
        </is>
      </c>
      <c r="E585" s="362" t="inlineStr">
        <is>
          <t>図書印刷費</t>
        </is>
      </c>
      <c r="F585" s="362" t="inlineStr">
        <is>
          <t>国家公務員等共済組合関係法令要覧追録４５０－４５４号</t>
        </is>
      </c>
      <c r="G585" s="363" t="n">
        <v>19965</v>
      </c>
      <c r="H585" s="360" t="n">
        <v>3</v>
      </c>
      <c r="I585" s="360" t="inlineStr">
        <is>
          <t>昨年実績</t>
        </is>
      </c>
      <c r="J585" s="364">
        <f>IF($G585="","",IF($H585=1,$G585-ROUND($G585*10/23,0)-2*ROUND($G585/23,0),IF($H585=2,$G585,0)))</f>
        <v>0</v>
      </c>
      <c r="K585" s="364">
        <f>IF($G585="","",IF($H585=1,ROUND($G585*10/23,0),IF($H585=3,$G585-2*ROUND($G585/12,0),IF($H585=4,$G585,IF(OR($H585=5,$H585=7),ROUND($G585*10/11,0),0)))))</f>
        <v>16637</v>
      </c>
      <c r="L585" s="364">
        <f>IF($G585="","",IF($H585=1,ROUND($G585/23,0),IF($H585=3,ROUND($G585/12,0),IF($H585=5,$G585-ROUND($G585*10/11,0),IF($H585=8,$G585,0)))))</f>
        <v>1664</v>
      </c>
      <c r="M585" s="364">
        <f>IF($G585="","",IF($H585=1,ROUND($G585/23,0),IF($H585=3,ROUND($G585/12,0),IF($H585=6,$G585,IF($H585=7,$G585-ROUND($G585*10/11,0),0)))))</f>
        <v>1664</v>
      </c>
      <c r="N585" s="364">
        <f>IF($G585="","",K585+L585+M585)</f>
        <v>19965</v>
      </c>
      <c r="O585" s="365" t="str">
        <f>IF($G585="","",IFERROR(VLOOKUP($D585&amp;"|"&amp;$E585,科目表!$A$5:$B$200,2,FALSE),"※未登録"))</f>
        <v>図書印刷費</v>
      </c>
      <c r="P585" s="359">
        <f>IF(OR($G585="",$C585=""),"",IF($B585="決算整理",13,MOD(MONTH($C585)-4,12)+1))</f>
        <v>11</v>
      </c>
      <c r="Q585" s="366" t="str">
        <f>IF($G585="","",TRIM(IF(J585+K585+L585+M585&lt;&gt;$G585,"按分不一致 ","")&amp;IF(O585="※未登録","科目未登録 ","")&amp;IF(OR($H585="",ISERROR(MATCH($H585,{1,2,3,4,5,6,7,8},0))),"経費区分? ","")&amp;IF($I585="","状態未設定 ","")&amp;IF(AND(OR($I585="確認済",$I585="未確認"),$B585="月例",OR($C585="",$C585&lt;DATE(年度+2018,4,1),$C585&gt;DATE(年度+2019,3,31))),"年度外の日付 ","")&amp;IF(AND(OR($I585="確認済",$I585="未確認"),O585="対象外"),"対象外の科目 ","")))</f>
        <v/>
      </c>
      <c r="R585" s="366" t="inlineStr">
        <is>
          <t>月例!610</t>
        </is>
      </c>
    </row>
    <row r="586">
      <c r="A586" s="359" t="n">
        <v>582</v>
      </c>
      <c r="B586" s="360" t="inlineStr">
        <is>
          <t>月例</t>
        </is>
      </c>
      <c r="C586" s="361" t="n">
        <v>43875</v>
      </c>
      <c r="D586" s="362" t="inlineStr">
        <is>
          <t>事務費</t>
        </is>
      </c>
      <c r="E586" s="362" t="inlineStr">
        <is>
          <t>図書印刷費</t>
        </is>
      </c>
      <c r="F586" s="362" t="inlineStr">
        <is>
          <t>書籍３冊</t>
        </is>
      </c>
      <c r="G586" s="363" t="n">
        <v>4400</v>
      </c>
      <c r="H586" s="360" t="n">
        <v>3</v>
      </c>
      <c r="I586" s="360" t="inlineStr">
        <is>
          <t>昨年実績</t>
        </is>
      </c>
      <c r="J586" s="364">
        <f>IF($G586="","",IF($H586=1,$G586-ROUND($G586*10/23,0)-2*ROUND($G586/23,0),IF($H586=2,$G586,0)))</f>
        <v>0</v>
      </c>
      <c r="K586" s="364">
        <f>IF($G586="","",IF($H586=1,ROUND($G586*10/23,0),IF($H586=3,$G586-2*ROUND($G586/12,0),IF($H586=4,$G586,IF(OR($H586=5,$H586=7),ROUND($G586*10/11,0),0)))))</f>
        <v>3666</v>
      </c>
      <c r="L586" s="364">
        <f>IF($G586="","",IF($H586=1,ROUND($G586/23,0),IF($H586=3,ROUND($G586/12,0),IF($H586=5,$G586-ROUND($G586*10/11,0),IF($H586=8,$G586,0)))))</f>
        <v>367</v>
      </c>
      <c r="M586" s="364">
        <f>IF($G586="","",IF($H586=1,ROUND($G586/23,0),IF($H586=3,ROUND($G586/12,0),IF($H586=6,$G586,IF($H586=7,$G586-ROUND($G586*10/11,0),0)))))</f>
        <v>367</v>
      </c>
      <c r="N586" s="364">
        <f>IF($G586="","",K586+L586+M586)</f>
        <v>4400</v>
      </c>
      <c r="O586" s="365" t="str">
        <f>IF($G586="","",IFERROR(VLOOKUP($D586&amp;"|"&amp;$E586,科目表!$A$5:$B$200,2,FALSE),"※未登録"))</f>
        <v>図書印刷費</v>
      </c>
      <c r="P586" s="359">
        <f>IF(OR($G586="",$C586=""),"",IF($B586="決算整理",13,MOD(MONTH($C586)-4,12)+1))</f>
        <v>11</v>
      </c>
      <c r="Q586" s="366" t="str">
        <f>IF($G586="","",TRIM(IF(J586+K586+L586+M586&lt;&gt;$G586,"按分不一致 ","")&amp;IF(O586="※未登録","科目未登録 ","")&amp;IF(OR($H586="",ISERROR(MATCH($H586,{1,2,3,4,5,6,7,8},0))),"経費区分? ","")&amp;IF($I586="","状態未設定 ","")&amp;IF(AND(OR($I586="確認済",$I586="未確認"),$B586="月例",OR($C586="",$C586&lt;DATE(年度+2018,4,1),$C586&gt;DATE(年度+2019,3,31))),"年度外の日付 ","")&amp;IF(AND(OR($I586="確認済",$I586="未確認"),O586="対象外"),"対象外の科目 ","")))</f>
        <v/>
      </c>
      <c r="R586" s="366" t="inlineStr">
        <is>
          <t>月例!611</t>
        </is>
      </c>
    </row>
    <row r="587">
      <c r="A587" s="359" t="n">
        <v>583</v>
      </c>
      <c r="B587" s="360" t="inlineStr">
        <is>
          <t>月例</t>
        </is>
      </c>
      <c r="C587" s="361" t="n">
        <v>46080</v>
      </c>
      <c r="D587" s="362" t="inlineStr">
        <is>
          <t>賃借料</t>
        </is>
      </c>
      <c r="E587" s="362" t="n"/>
      <c r="F587" s="362" t="inlineStr">
        <is>
          <t>基幹システム用機器賃借料　１月分（長期）</t>
        </is>
      </c>
      <c r="G587" s="363" t="n">
        <v>69613</v>
      </c>
      <c r="H587" s="360" t="n">
        <v>3</v>
      </c>
      <c r="I587" s="360" t="inlineStr">
        <is>
          <t>昨年実績</t>
        </is>
      </c>
      <c r="J587" s="364">
        <f>IF($G587="","",IF($H587=1,$G587-ROUND($G587*10/23,0)-2*ROUND($G587/23,0),IF($H587=2,$G587,0)))</f>
        <v>0</v>
      </c>
      <c r="K587" s="364">
        <f>IF($G587="","",IF($H587=1,ROUND($G587*10/23,0),IF($H587=3,$G587-2*ROUND($G587/12,0),IF($H587=4,$G587,IF(OR($H587=5,$H587=7),ROUND($G587*10/11,0),0)))))</f>
        <v>58011</v>
      </c>
      <c r="L587" s="364">
        <f>IF($G587="","",IF($H587=1,ROUND($G587/23,0),IF($H587=3,ROUND($G587/12,0),IF($H587=5,$G587-ROUND($G587*10/11,0),IF($H587=8,$G587,0)))))</f>
        <v>5801</v>
      </c>
      <c r="M587" s="364">
        <f>IF($G587="","",IF($H587=1,ROUND($G587/23,0),IF($H587=3,ROUND($G587/12,0),IF($H587=6,$G587,IF($H587=7,$G587-ROUND($G587*10/11,0),0)))))</f>
        <v>5801</v>
      </c>
      <c r="N587" s="364">
        <f>IF($G587="","",K587+L587+M587)</f>
        <v>69613</v>
      </c>
      <c r="O587" s="365" t="str">
        <f>IF($G587="","",IFERROR(VLOOKUP($D587&amp;"|"&amp;$E587,科目表!$A$5:$B$200,2,FALSE),"※未登録"))</f>
        <v>賃借料</v>
      </c>
      <c r="P587" s="359">
        <f>IF(OR($G587="",$C587=""),"",IF($B587="決算整理",13,MOD(MONTH($C587)-4,12)+1))</f>
        <v>11</v>
      </c>
      <c r="Q587" s="366" t="str">
        <f>IF($G587="","",TRIM(IF(J587+K587+L587+M587&lt;&gt;$G587,"按分不一致 ","")&amp;IF(O587="※未登録","科目未登録 ","")&amp;IF(OR($H587="",ISERROR(MATCH($H587,{1,2,3,4,5,6,7,8},0))),"経費区分? ","")&amp;IF($I587="","状態未設定 ","")&amp;IF(AND(OR($I587="確認済",$I587="未確認"),$B587="月例",OR($C587="",$C587&lt;DATE(年度+2018,4,1),$C587&gt;DATE(年度+2019,3,31))),"年度外の日付 ","")&amp;IF(AND(OR($I587="確認済",$I587="未確認"),O587="対象外"),"対象外の科目 ","")))</f>
        <v/>
      </c>
      <c r="R587" s="366" t="inlineStr">
        <is>
          <t>月例!612</t>
        </is>
      </c>
    </row>
    <row r="588">
      <c r="A588" s="359" t="n">
        <v>584</v>
      </c>
      <c r="B588" s="360" t="inlineStr">
        <is>
          <t>月例</t>
        </is>
      </c>
      <c r="C588" s="361" t="n">
        <v>46080</v>
      </c>
      <c r="D588" s="362" t="inlineStr">
        <is>
          <t>賃借料</t>
        </is>
      </c>
      <c r="E588" s="362" t="n"/>
      <c r="F588" s="362" t="inlineStr">
        <is>
          <t>基幹システム用機器賃借料　１月分（短期）</t>
        </is>
      </c>
      <c r="G588" s="363" t="n">
        <v>672934</v>
      </c>
      <c r="H588" s="360" t="n">
        <v>2</v>
      </c>
      <c r="I588" s="360" t="inlineStr">
        <is>
          <t>昨年実績</t>
        </is>
      </c>
      <c r="J588" s="364">
        <f>IF($G588="","",IF($H588=1,$G588-ROUND($G588*10/23,0)-2*ROUND($G588/23,0),IF($H588=2,$G588,0)))</f>
        <v>672934</v>
      </c>
      <c r="K588" s="364">
        <f>IF($G588="","",IF($H588=1,ROUND($G588*10/23,0),IF($H588=3,$G588-2*ROUND($G588/12,0),IF($H588=4,$G588,IF(OR($H588=5,$H588=7),ROUND($G588*10/11,0),0)))))</f>
        <v>0</v>
      </c>
      <c r="L588" s="364">
        <f>IF($G588="","",IF($H588=1,ROUND($G588/23,0),IF($H588=3,ROUND($G588/12,0),IF($H588=5,$G588-ROUND($G588*10/11,0),IF($H588=8,$G588,0)))))</f>
        <v>0</v>
      </c>
      <c r="M588" s="364">
        <f>IF($G588="","",IF($H588=1,ROUND($G588/23,0),IF($H588=3,ROUND($G588/12,0),IF($H588=6,$G588,IF($H588=7,$G588-ROUND($G588*10/11,0),0)))))</f>
        <v>0</v>
      </c>
      <c r="N588" s="364">
        <f>IF($G588="","",K588+L588+M588)</f>
        <v>0</v>
      </c>
      <c r="O588" s="365" t="str">
        <f>IF($G588="","",IFERROR(VLOOKUP($D588&amp;"|"&amp;$E588,科目表!$A$5:$B$200,2,FALSE),"※未登録"))</f>
        <v>賃借料</v>
      </c>
      <c r="P588" s="359">
        <f>IF(OR($G588="",$C588=""),"",IF($B588="決算整理",13,MOD(MONTH($C588)-4,12)+1))</f>
        <v>11</v>
      </c>
      <c r="Q588" s="366" t="str">
        <f>IF($G588="","",TRIM(IF(J588+K588+L588+M588&lt;&gt;$G588,"按分不一致 ","")&amp;IF(O588="※未登録","科目未登録 ","")&amp;IF(OR($H588="",ISERROR(MATCH($H588,{1,2,3,4,5,6,7,8},0))),"経費区分? ","")&amp;IF($I588="","状態未設定 ","")&amp;IF(AND(OR($I588="確認済",$I588="未確認"),$B588="月例",OR($C588="",$C588&lt;DATE(年度+2018,4,1),$C588&gt;DATE(年度+2019,3,31))),"年度外の日付 ","")&amp;IF(AND(OR($I588="確認済",$I588="未確認"),O588="対象外"),"対象外の科目 ","")))</f>
        <v/>
      </c>
      <c r="R588" s="366" t="inlineStr">
        <is>
          <t>月例!613</t>
        </is>
      </c>
    </row>
    <row r="589">
      <c r="A589" s="359" t="n">
        <v>585</v>
      </c>
      <c r="B589" s="360" t="inlineStr">
        <is>
          <t>月例</t>
        </is>
      </c>
      <c r="C589" s="361" t="n">
        <v>44242</v>
      </c>
      <c r="D589" s="362" t="inlineStr">
        <is>
          <t>事務費</t>
        </is>
      </c>
      <c r="E589" s="362" t="inlineStr">
        <is>
          <t>事務用消耗品費</t>
        </is>
      </c>
      <c r="F589" s="362" t="inlineStr">
        <is>
          <t>コピファイルボックス　フーＥ４５０Ｂ　５０冊他</t>
        </is>
      </c>
      <c r="G589" s="363" t="n">
        <v>18540</v>
      </c>
      <c r="H589" s="360" t="n">
        <v>3</v>
      </c>
      <c r="I589" s="360" t="inlineStr">
        <is>
          <t>昨年実績</t>
        </is>
      </c>
      <c r="J589" s="364">
        <f>IF($G589="","",IF($H589=1,$G589-ROUND($G589*10/23,0)-2*ROUND($G589/23,0),IF($H589=2,$G589,0)))</f>
        <v>0</v>
      </c>
      <c r="K589" s="364">
        <f>IF($G589="","",IF($H589=1,ROUND($G589*10/23,0),IF($H589=3,$G589-2*ROUND($G589/12,0),IF($H589=4,$G589,IF(OR($H589=5,$H589=7),ROUND($G589*10/11,0),0)))))</f>
        <v>15450</v>
      </c>
      <c r="L589" s="364">
        <f>IF($G589="","",IF($H589=1,ROUND($G589/23,0),IF($H589=3,ROUND($G589/12,0),IF($H589=5,$G589-ROUND($G589*10/11,0),IF($H589=8,$G589,0)))))</f>
        <v>1545</v>
      </c>
      <c r="M589" s="364">
        <f>IF($G589="","",IF($H589=1,ROUND($G589/23,0),IF($H589=3,ROUND($G589/12,0),IF($H589=6,$G589,IF($H589=7,$G589-ROUND($G589*10/11,0),0)))))</f>
        <v>1545</v>
      </c>
      <c r="N589" s="364">
        <f>IF($G589="","",K589+L589+M589)</f>
        <v>18540</v>
      </c>
      <c r="O589" s="365" t="str">
        <f>IF($G589="","",IFERROR(VLOOKUP($D589&amp;"|"&amp;$E589,科目表!$A$5:$B$200,2,FALSE),"※未登録"))</f>
        <v>事務用消耗品費</v>
      </c>
      <c r="P589" s="359">
        <f>IF(OR($G589="",$C589=""),"",IF($B589="決算整理",13,MOD(MONTH($C589)-4,12)+1))</f>
        <v>11</v>
      </c>
      <c r="Q589" s="366" t="str">
        <f>IF($G589="","",TRIM(IF(J589+K589+L589+M589&lt;&gt;$G589,"按分不一致 ","")&amp;IF(O589="※未登録","科目未登録 ","")&amp;IF(OR($H589="",ISERROR(MATCH($H589,{1,2,3,4,5,6,7,8},0))),"経費区分? ","")&amp;IF($I589="","状態未設定 ","")&amp;IF(AND(OR($I589="確認済",$I589="未確認"),$B589="月例",OR($C589="",$C589&lt;DATE(年度+2018,4,1),$C589&gt;DATE(年度+2019,3,31))),"年度外の日付 ","")&amp;IF(AND(OR($I589="確認済",$I589="未確認"),O589="対象外"),"対象外の科目 ","")))</f>
        <v/>
      </c>
      <c r="R589" s="366" t="inlineStr">
        <is>
          <t>月例!614</t>
        </is>
      </c>
    </row>
    <row r="590">
      <c r="A590" s="359" t="n">
        <v>586</v>
      </c>
      <c r="B590" s="360" t="inlineStr">
        <is>
          <t>月例</t>
        </is>
      </c>
      <c r="C590" s="361" t="n">
        <v>46052</v>
      </c>
      <c r="D590" s="362" t="inlineStr">
        <is>
          <t>事務費</t>
        </is>
      </c>
      <c r="E590" s="362" t="inlineStr">
        <is>
          <t>事務用消耗品費</t>
        </is>
      </c>
      <c r="F590" s="362" t="inlineStr">
        <is>
          <t>コピー用紙等購入代分担金　互助会（第３四半期）</t>
        </is>
      </c>
      <c r="G590" s="363" t="n">
        <v>71787</v>
      </c>
      <c r="H590" s="360" t="n">
        <v>3</v>
      </c>
      <c r="I590" s="360" t="inlineStr">
        <is>
          <t>昨年実績</t>
        </is>
      </c>
      <c r="J590" s="364">
        <f>IF($G590="","",IF($H590=1,$G590-ROUND($G590*10/23,0)-2*ROUND($G590/23,0),IF($H590=2,$G590,0)))</f>
        <v>0</v>
      </c>
      <c r="K590" s="364">
        <f>IF($G590="","",IF($H590=1,ROUND($G590*10/23,0),IF($H590=3,$G590-2*ROUND($G590/12,0),IF($H590=4,$G590,IF(OR($H590=5,$H590=7),ROUND($G590*10/11,0),0)))))</f>
        <v>59823</v>
      </c>
      <c r="L590" s="364">
        <f>IF($G590="","",IF($H590=1,ROUND($G590/23,0),IF($H590=3,ROUND($G590/12,0),IF($H590=5,$G590-ROUND($G590*10/11,0),IF($H590=8,$G590,0)))))</f>
        <v>5982</v>
      </c>
      <c r="M590" s="364">
        <f>IF($G590="","",IF($H590=1,ROUND($G590/23,0),IF($H590=3,ROUND($G590/12,0),IF($H590=6,$G590,IF($H590=7,$G590-ROUND($G590*10/11,0),0)))))</f>
        <v>5982</v>
      </c>
      <c r="N590" s="364">
        <f>IF($G590="","",K590+L590+M590)</f>
        <v>71787</v>
      </c>
      <c r="O590" s="365" t="str">
        <f>IF($G590="","",IFERROR(VLOOKUP($D590&amp;"|"&amp;$E590,科目表!$A$5:$B$200,2,FALSE),"※未登録"))</f>
        <v>事務用消耗品費</v>
      </c>
      <c r="P590" s="359">
        <f>IF(OR($G590="",$C590=""),"",IF($B590="決算整理",13,MOD(MONTH($C590)-4,12)+1))</f>
        <v>10</v>
      </c>
      <c r="Q590" s="366" t="str">
        <f>IF($G590="","",TRIM(IF(J590+K590+L590+M590&lt;&gt;$G590,"按分不一致 ","")&amp;IF(O590="※未登録","科目未登録 ","")&amp;IF(OR($H590="",ISERROR(MATCH($H590,{1,2,3,4,5,6,7,8},0))),"経費区分? ","")&amp;IF($I590="","状態未設定 ","")&amp;IF(AND(OR($I590="確認済",$I590="未確認"),$B590="月例",OR($C590="",$C590&lt;DATE(年度+2018,4,1),$C590&gt;DATE(年度+2019,3,31))),"年度外の日付 ","")&amp;IF(AND(OR($I590="確認済",$I590="未確認"),O590="対象外"),"対象外の科目 ","")))</f>
        <v/>
      </c>
      <c r="R590" s="366" t="inlineStr">
        <is>
          <t>月例!615</t>
        </is>
      </c>
    </row>
    <row r="591">
      <c r="A591" s="359" t="n">
        <v>587</v>
      </c>
      <c r="B591" s="360" t="inlineStr">
        <is>
          <t>月例</t>
        </is>
      </c>
      <c r="C591" s="361" t="n">
        <v>46052</v>
      </c>
      <c r="D591" s="362" t="inlineStr">
        <is>
          <t>事務費</t>
        </is>
      </c>
      <c r="E591" s="362" t="inlineStr">
        <is>
          <t>通信運搬費</t>
        </is>
      </c>
      <c r="F591" s="362" t="inlineStr">
        <is>
          <t>ＦＡＸ電話代等分担金　互助会（第３四半期）</t>
        </is>
      </c>
      <c r="G591" s="363" t="n">
        <v>5235</v>
      </c>
      <c r="H591" s="360" t="n">
        <v>3</v>
      </c>
      <c r="I591" s="360" t="inlineStr">
        <is>
          <t>昨年実績</t>
        </is>
      </c>
      <c r="J591" s="364">
        <f>IF($G591="","",IF($H591=1,$G591-ROUND($G591*10/23,0)-2*ROUND($G591/23,0),IF($H591=2,$G591,0)))</f>
        <v>0</v>
      </c>
      <c r="K591" s="364">
        <f>IF($G591="","",IF($H591=1,ROUND($G591*10/23,0),IF($H591=3,$G591-2*ROUND($G591/12,0),IF($H591=4,$G591,IF(OR($H591=5,$H591=7),ROUND($G591*10/11,0),0)))))</f>
        <v>4363</v>
      </c>
      <c r="L591" s="364">
        <f>IF($G591="","",IF($H591=1,ROUND($G591/23,0),IF($H591=3,ROUND($G591/12,0),IF($H591=5,$G591-ROUND($G591*10/11,0),IF($H591=8,$G591,0)))))</f>
        <v>436</v>
      </c>
      <c r="M591" s="364">
        <f>IF($G591="","",IF($H591=1,ROUND($G591/23,0),IF($H591=3,ROUND($G591/12,0),IF($H591=6,$G591,IF($H591=7,$G591-ROUND($G591*10/11,0),0)))))</f>
        <v>436</v>
      </c>
      <c r="N591" s="364">
        <f>IF($G591="","",K591+L591+M591)</f>
        <v>5235</v>
      </c>
      <c r="O591" s="365" t="str">
        <f>IF($G591="","",IFERROR(VLOOKUP($D591&amp;"|"&amp;$E591,科目表!$A$5:$B$200,2,FALSE),"※未登録"))</f>
        <v>通信運搬費</v>
      </c>
      <c r="P591" s="359">
        <f>IF(OR($G591="",$C591=""),"",IF($B591="決算整理",13,MOD(MONTH($C591)-4,12)+1))</f>
        <v>10</v>
      </c>
      <c r="Q591" s="366" t="str">
        <f>IF($G591="","",TRIM(IF(J591+K591+L591+M591&lt;&gt;$G591,"按分不一致 ","")&amp;IF(O591="※未登録","科目未登録 ","")&amp;IF(OR($H591="",ISERROR(MATCH($H591,{1,2,3,4,5,6,7,8},0))),"経費区分? ","")&amp;IF($I591="","状態未設定 ","")&amp;IF(AND(OR($I591="確認済",$I591="未確認"),$B591="月例",OR($C591="",$C591&lt;DATE(年度+2018,4,1),$C591&gt;DATE(年度+2019,3,31))),"年度外の日付 ","")&amp;IF(AND(OR($I591="確認済",$I591="未確認"),O591="対象外"),"対象外の科目 ","")))</f>
        <v/>
      </c>
      <c r="R591" s="366" t="inlineStr">
        <is>
          <t>月例!616</t>
        </is>
      </c>
    </row>
    <row r="592">
      <c r="A592" s="359" t="n">
        <v>588</v>
      </c>
      <c r="B592" s="360" t="inlineStr">
        <is>
          <t>月例</t>
        </is>
      </c>
      <c r="C592" s="361" t="n">
        <v>46052</v>
      </c>
      <c r="D592" s="362" t="inlineStr">
        <is>
          <t>普及費</t>
        </is>
      </c>
      <c r="E592" s="362" t="n"/>
      <c r="F592" s="362" t="inlineStr">
        <is>
          <t>厚生だより等印刷代分担金　互助会（第３四半期）</t>
        </is>
      </c>
      <c r="G592" s="363" t="n">
        <v>227354</v>
      </c>
      <c r="H592" s="360" t="n">
        <v>3</v>
      </c>
      <c r="I592" s="360" t="inlineStr">
        <is>
          <t>昨年実績</t>
        </is>
      </c>
      <c r="J592" s="364">
        <f>IF($G592="","",IF($H592=1,$G592-ROUND($G592*10/23,0)-2*ROUND($G592/23,0),IF($H592=2,$G592,0)))</f>
        <v>0</v>
      </c>
      <c r="K592" s="364">
        <f>IF($G592="","",IF($H592=1,ROUND($G592*10/23,0),IF($H592=3,$G592-2*ROUND($G592/12,0),IF($H592=4,$G592,IF(OR($H592=5,$H592=7),ROUND($G592*10/11,0),0)))))</f>
        <v>189462</v>
      </c>
      <c r="L592" s="364">
        <f>IF($G592="","",IF($H592=1,ROUND($G592/23,0),IF($H592=3,ROUND($G592/12,0),IF($H592=5,$G592-ROUND($G592*10/11,0),IF($H592=8,$G592,0)))))</f>
        <v>18946</v>
      </c>
      <c r="M592" s="364">
        <f>IF($G592="","",IF($H592=1,ROUND($G592/23,0),IF($H592=3,ROUND($G592/12,0),IF($H592=6,$G592,IF($H592=7,$G592-ROUND($G592*10/11,0),0)))))</f>
        <v>18946</v>
      </c>
      <c r="N592" s="364">
        <f>IF($G592="","",K592+L592+M592)</f>
        <v>227354</v>
      </c>
      <c r="O592" s="365" t="str">
        <f>IF($G592="","",IFERROR(VLOOKUP($D592&amp;"|"&amp;$E592,科目表!$A$5:$B$200,2,FALSE),"※未登録"))</f>
        <v>普及費</v>
      </c>
      <c r="P592" s="359">
        <f>IF(OR($G592="",$C592=""),"",IF($B592="決算整理",13,MOD(MONTH($C592)-4,12)+1))</f>
        <v>10</v>
      </c>
      <c r="Q592" s="366" t="str">
        <f>IF($G592="","",TRIM(IF(J592+K592+L592+M592&lt;&gt;$G592,"按分不一致 ","")&amp;IF(O592="※未登録","科目未登録 ","")&amp;IF(OR($H592="",ISERROR(MATCH($H592,{1,2,3,4,5,6,7,8},0))),"経費区分? ","")&amp;IF($I592="","状態未設定 ","")&amp;IF(AND(OR($I592="確認済",$I592="未確認"),$B592="月例",OR($C592="",$C592&lt;DATE(年度+2018,4,1),$C592&gt;DATE(年度+2019,3,31))),"年度外の日付 ","")&amp;IF(AND(OR($I592="確認済",$I592="未確認"),O592="対象外"),"対象外の科目 ","")))</f>
        <v/>
      </c>
      <c r="R592" s="366" t="inlineStr">
        <is>
          <t>月例!617</t>
        </is>
      </c>
    </row>
    <row r="593">
      <c r="A593" s="359" t="n">
        <v>589</v>
      </c>
      <c r="B593" s="360" t="inlineStr">
        <is>
          <t>月例</t>
        </is>
      </c>
      <c r="C593" s="361" t="n">
        <v>46052</v>
      </c>
      <c r="D593" s="362" t="inlineStr">
        <is>
          <t>事務費</t>
        </is>
      </c>
      <c r="E593" s="362" t="inlineStr">
        <is>
          <t>事務用消耗品費</t>
        </is>
      </c>
      <c r="F593" s="362" t="inlineStr">
        <is>
          <t>コピー用紙等購入代分担金　互助会（第３四半期）</t>
        </is>
      </c>
      <c r="G593" s="363" t="n">
        <v>71787</v>
      </c>
      <c r="H593" s="360" t="n">
        <v>2</v>
      </c>
      <c r="I593" s="360" t="inlineStr">
        <is>
          <t>昨年実績</t>
        </is>
      </c>
      <c r="J593" s="364">
        <f>IF($G593="","",IF($H593=1,$G593-ROUND($G593*10/23,0)-2*ROUND($G593/23,0),IF($H593=2,$G593,0)))</f>
        <v>71787</v>
      </c>
      <c r="K593" s="364">
        <f>IF($G593="","",IF($H593=1,ROUND($G593*10/23,0),IF($H593=3,$G593-2*ROUND($G593/12,0),IF($H593=4,$G593,IF(OR($H593=5,$H593=7),ROUND($G593*10/11,0),0)))))</f>
        <v>0</v>
      </c>
      <c r="L593" s="364">
        <f>IF($G593="","",IF($H593=1,ROUND($G593/23,0),IF($H593=3,ROUND($G593/12,0),IF($H593=5,$G593-ROUND($G593*10/11,0),IF($H593=8,$G593,0)))))</f>
        <v>0</v>
      </c>
      <c r="M593" s="364">
        <f>IF($G593="","",IF($H593=1,ROUND($G593/23,0),IF($H593=3,ROUND($G593/12,0),IF($H593=6,$G593,IF($H593=7,$G593-ROUND($G593*10/11,0),0)))))</f>
        <v>0</v>
      </c>
      <c r="N593" s="364">
        <f>IF($G593="","",K593+L593+M593)</f>
        <v>0</v>
      </c>
      <c r="O593" s="365" t="str">
        <f>IF($G593="","",IFERROR(VLOOKUP($D593&amp;"|"&amp;$E593,科目表!$A$5:$B$200,2,FALSE),"※未登録"))</f>
        <v>事務用消耗品費</v>
      </c>
      <c r="P593" s="359">
        <f>IF(OR($G593="",$C593=""),"",IF($B593="決算整理",13,MOD(MONTH($C593)-4,12)+1))</f>
        <v>10</v>
      </c>
      <c r="Q593" s="366" t="str">
        <f>IF($G593="","",TRIM(IF(J593+K593+L593+M593&lt;&gt;$G593,"按分不一致 ","")&amp;IF(O593="※未登録","科目未登録 ","")&amp;IF(OR($H593="",ISERROR(MATCH($H593,{1,2,3,4,5,6,7,8},0))),"経費区分? ","")&amp;IF($I593="","状態未設定 ","")&amp;IF(AND(OR($I593="確認済",$I593="未確認"),$B593="月例",OR($C593="",$C593&lt;DATE(年度+2018,4,1),$C593&gt;DATE(年度+2019,3,31))),"年度外の日付 ","")&amp;IF(AND(OR($I593="確認済",$I593="未確認"),O593="対象外"),"対象外の科目 ","")))</f>
        <v/>
      </c>
      <c r="R593" s="366" t="inlineStr">
        <is>
          <t>月例!618</t>
        </is>
      </c>
    </row>
    <row r="594">
      <c r="A594" s="359" t="n">
        <v>590</v>
      </c>
      <c r="B594" s="360" t="inlineStr">
        <is>
          <t>月例</t>
        </is>
      </c>
      <c r="C594" s="361" t="n">
        <v>46052</v>
      </c>
      <c r="D594" s="362" t="inlineStr">
        <is>
          <t>事務費</t>
        </is>
      </c>
      <c r="E594" s="362" t="inlineStr">
        <is>
          <t>通信運搬費</t>
        </is>
      </c>
      <c r="F594" s="362" t="inlineStr">
        <is>
          <t>ＦＡＸ電話代等分担金　互助会（第３四半期）</t>
        </is>
      </c>
      <c r="G594" s="363" t="n">
        <v>5235</v>
      </c>
      <c r="H594" s="360" t="n">
        <v>2</v>
      </c>
      <c r="I594" s="360" t="inlineStr">
        <is>
          <t>昨年実績</t>
        </is>
      </c>
      <c r="J594" s="364">
        <f>IF($G594="","",IF($H594=1,$G594-ROUND($G594*10/23,0)-2*ROUND($G594/23,0),IF($H594=2,$G594,0)))</f>
        <v>5235</v>
      </c>
      <c r="K594" s="364">
        <f>IF($G594="","",IF($H594=1,ROUND($G594*10/23,0),IF($H594=3,$G594-2*ROUND($G594/12,0),IF($H594=4,$G594,IF(OR($H594=5,$H594=7),ROUND($G594*10/11,0),0)))))</f>
        <v>0</v>
      </c>
      <c r="L594" s="364">
        <f>IF($G594="","",IF($H594=1,ROUND($G594/23,0),IF($H594=3,ROUND($G594/12,0),IF($H594=5,$G594-ROUND($G594*10/11,0),IF($H594=8,$G594,0)))))</f>
        <v>0</v>
      </c>
      <c r="M594" s="364">
        <f>IF($G594="","",IF($H594=1,ROUND($G594/23,0),IF($H594=3,ROUND($G594/12,0),IF($H594=6,$G594,IF($H594=7,$G594-ROUND($G594*10/11,0),0)))))</f>
        <v>0</v>
      </c>
      <c r="N594" s="364">
        <f>IF($G594="","",K594+L594+M594)</f>
        <v>0</v>
      </c>
      <c r="O594" s="365" t="str">
        <f>IF($G594="","",IFERROR(VLOOKUP($D594&amp;"|"&amp;$E594,科目表!$A$5:$B$200,2,FALSE),"※未登録"))</f>
        <v>通信運搬費</v>
      </c>
      <c r="P594" s="359">
        <f>IF(OR($G594="",$C594=""),"",IF($B594="決算整理",13,MOD(MONTH($C594)-4,12)+1))</f>
        <v>10</v>
      </c>
      <c r="Q594" s="366" t="str">
        <f>IF($G594="","",TRIM(IF(J594+K594+L594+M594&lt;&gt;$G594,"按分不一致 ","")&amp;IF(O594="※未登録","科目未登録 ","")&amp;IF(OR($H594="",ISERROR(MATCH($H594,{1,2,3,4,5,6,7,8},0))),"経費区分? ","")&amp;IF($I594="","状態未設定 ","")&amp;IF(AND(OR($I594="確認済",$I594="未確認"),$B594="月例",OR($C594="",$C594&lt;DATE(年度+2018,4,1),$C594&gt;DATE(年度+2019,3,31))),"年度外の日付 ","")&amp;IF(AND(OR($I594="確認済",$I594="未確認"),O594="対象外"),"対象外の科目 ","")))</f>
        <v/>
      </c>
      <c r="R594" s="366" t="inlineStr">
        <is>
          <t>月例!619</t>
        </is>
      </c>
    </row>
    <row r="595">
      <c r="A595" s="359" t="n">
        <v>591</v>
      </c>
      <c r="B595" s="360" t="inlineStr">
        <is>
          <t>月例</t>
        </is>
      </c>
      <c r="C595" s="361" t="n">
        <v>46052</v>
      </c>
      <c r="D595" s="362" t="inlineStr">
        <is>
          <t>普及費</t>
        </is>
      </c>
      <c r="E595" s="362" t="n"/>
      <c r="F595" s="362" t="inlineStr">
        <is>
          <t>厚生だより等印刷代分担金　互助会（第３四半期）</t>
        </is>
      </c>
      <c r="G595" s="363" t="n">
        <v>199257</v>
      </c>
      <c r="H595" s="360" t="n">
        <v>2</v>
      </c>
      <c r="I595" s="360" t="inlineStr">
        <is>
          <t>昨年実績</t>
        </is>
      </c>
      <c r="J595" s="364">
        <f>IF($G595="","",IF($H595=1,$G595-ROUND($G595*10/23,0)-2*ROUND($G595/23,0),IF($H595=2,$G595,0)))</f>
        <v>199257</v>
      </c>
      <c r="K595" s="364">
        <f>IF($G595="","",IF($H595=1,ROUND($G595*10/23,0),IF($H595=3,$G595-2*ROUND($G595/12,0),IF($H595=4,$G595,IF(OR($H595=5,$H595=7),ROUND($G595*10/11,0),0)))))</f>
        <v>0</v>
      </c>
      <c r="L595" s="364">
        <f>IF($G595="","",IF($H595=1,ROUND($G595/23,0),IF($H595=3,ROUND($G595/12,0),IF($H595=5,$G595-ROUND($G595*10/11,0),IF($H595=8,$G595,0)))))</f>
        <v>0</v>
      </c>
      <c r="M595" s="364">
        <f>IF($G595="","",IF($H595=1,ROUND($G595/23,0),IF($H595=3,ROUND($G595/12,0),IF($H595=6,$G595,IF($H595=7,$G595-ROUND($G595*10/11,0),0)))))</f>
        <v>0</v>
      </c>
      <c r="N595" s="364">
        <f>IF($G595="","",K595+L595+M595)</f>
        <v>0</v>
      </c>
      <c r="O595" s="365" t="str">
        <f>IF($G595="","",IFERROR(VLOOKUP($D595&amp;"|"&amp;$E595,科目表!$A$5:$B$200,2,FALSE),"※未登録"))</f>
        <v>普及費</v>
      </c>
      <c r="P595" s="359">
        <f>IF(OR($G595="",$C595=""),"",IF($B595="決算整理",13,MOD(MONTH($C595)-4,12)+1))</f>
        <v>10</v>
      </c>
      <c r="Q595" s="366" t="str">
        <f>IF($G595="","",TRIM(IF(J595+K595+L595+M595&lt;&gt;$G595,"按分不一致 ","")&amp;IF(O595="※未登録","科目未登録 ","")&amp;IF(OR($H595="",ISERROR(MATCH($H595,{1,2,3,4,5,6,7,8},0))),"経費区分? ","")&amp;IF($I595="","状態未設定 ","")&amp;IF(AND(OR($I595="確認済",$I595="未確認"),$B595="月例",OR($C595="",$C595&lt;DATE(年度+2018,4,1),$C595&gt;DATE(年度+2019,3,31))),"年度外の日付 ","")&amp;IF(AND(OR($I595="確認済",$I595="未確認"),O595="対象外"),"対象外の科目 ","")))</f>
        <v/>
      </c>
      <c r="R595" s="366" t="inlineStr">
        <is>
          <t>月例!620</t>
        </is>
      </c>
    </row>
    <row r="596">
      <c r="A596" s="359" t="n">
        <v>592</v>
      </c>
      <c r="B596" s="360" t="inlineStr">
        <is>
          <t>月例</t>
        </is>
      </c>
      <c r="C596" s="361" t="n">
        <v>44608</v>
      </c>
      <c r="D596" s="362" t="inlineStr">
        <is>
          <t>厚生費</t>
        </is>
      </c>
      <c r="E596" s="362" t="inlineStr">
        <is>
          <t>健康診断費</t>
        </is>
      </c>
      <c r="F596" s="362" t="inlineStr">
        <is>
          <t>人間ドック自己負担超分（佐々木）</t>
        </is>
      </c>
      <c r="G596" s="363" t="n">
        <v>5969</v>
      </c>
      <c r="H596" s="360" t="n">
        <v>3</v>
      </c>
      <c r="I596" s="360" t="inlineStr">
        <is>
          <t>昨年実績</t>
        </is>
      </c>
      <c r="J596" s="364">
        <f>IF($G596="","",IF($H596=1,$G596-ROUND($G596*10/23,0)-2*ROUND($G596/23,0),IF($H596=2,$G596,0)))</f>
        <v>0</v>
      </c>
      <c r="K596" s="364">
        <f>IF($G596="","",IF($H596=1,ROUND($G596*10/23,0),IF($H596=3,$G596-2*ROUND($G596/12,0),IF($H596=4,$G596,IF(OR($H596=5,$H596=7),ROUND($G596*10/11,0),0)))))</f>
        <v>4975</v>
      </c>
      <c r="L596" s="364">
        <f>IF($G596="","",IF($H596=1,ROUND($G596/23,0),IF($H596=3,ROUND($G596/12,0),IF($H596=5,$G596-ROUND($G596*10/11,0),IF($H596=8,$G596,0)))))</f>
        <v>497</v>
      </c>
      <c r="M596" s="364">
        <f>IF($G596="","",IF($H596=1,ROUND($G596/23,0),IF($H596=3,ROUND($G596/12,0),IF($H596=6,$G596,IF($H596=7,$G596-ROUND($G596*10/11,0),0)))))</f>
        <v>497</v>
      </c>
      <c r="N596" s="364">
        <f>IF($G596="","",K596+L596+M596)</f>
        <v>5969</v>
      </c>
      <c r="O596" s="365" t="str">
        <f>IF($G596="","",IFERROR(VLOOKUP($D596&amp;"|"&amp;$E596,科目表!$A$5:$B$200,2,FALSE),"※未登録"))</f>
        <v>厚生費</v>
      </c>
      <c r="P596" s="359">
        <f>IF(OR($G596="",$C596=""),"",IF($B596="決算整理",13,MOD(MONTH($C596)-4,12)+1))</f>
        <v>11</v>
      </c>
      <c r="Q596" s="366" t="str">
        <f>IF($G596="","",TRIM(IF(J596+K596+L596+M596&lt;&gt;$G596,"按分不一致 ","")&amp;IF(O596="※未登録","科目未登録 ","")&amp;IF(OR($H596="",ISERROR(MATCH($H596,{1,2,3,4,5,6,7,8},0))),"経費区分? ","")&amp;IF($I596="","状態未設定 ","")&amp;IF(AND(OR($I596="確認済",$I596="未確認"),$B596="月例",OR($C596="",$C596&lt;DATE(年度+2018,4,1),$C596&gt;DATE(年度+2019,3,31))),"年度外の日付 ","")&amp;IF(AND(OR($I596="確認済",$I596="未確認"),O596="対象外"),"対象外の科目 ","")))</f>
        <v/>
      </c>
      <c r="R596" s="366" t="inlineStr">
        <is>
          <t>月例!621</t>
        </is>
      </c>
    </row>
    <row r="597">
      <c r="A597" s="359" t="n">
        <v>593</v>
      </c>
      <c r="B597" s="360" t="inlineStr">
        <is>
          <t>月例</t>
        </is>
      </c>
      <c r="C597" s="361" t="n">
        <v>46080</v>
      </c>
      <c r="D597" s="362" t="inlineStr">
        <is>
          <t>賃借料</t>
        </is>
      </c>
      <c r="E597" s="362" t="n"/>
      <c r="F597" s="362" t="inlineStr">
        <is>
          <t>パソコン（業務経理用）１月分</t>
        </is>
      </c>
      <c r="G597" s="363" t="n">
        <v>5060</v>
      </c>
      <c r="H597" s="360" t="n">
        <v>2</v>
      </c>
      <c r="I597" s="360" t="inlineStr">
        <is>
          <t>昨年実績</t>
        </is>
      </c>
      <c r="J597" s="364">
        <f>IF($G597="","",IF($H597=1,$G597-ROUND($G597*10/23,0)-2*ROUND($G597/23,0),IF($H597=2,$G597,0)))</f>
        <v>5060</v>
      </c>
      <c r="K597" s="364">
        <f>IF($G597="","",IF($H597=1,ROUND($G597*10/23,0),IF($H597=3,$G597-2*ROUND($G597/12,0),IF($H597=4,$G597,IF(OR($H597=5,$H597=7),ROUND($G597*10/11,0),0)))))</f>
        <v>0</v>
      </c>
      <c r="L597" s="364">
        <f>IF($G597="","",IF($H597=1,ROUND($G597/23,0),IF($H597=3,ROUND($G597/12,0),IF($H597=5,$G597-ROUND($G597*10/11,0),IF($H597=8,$G597,0)))))</f>
        <v>0</v>
      </c>
      <c r="M597" s="364">
        <f>IF($G597="","",IF($H597=1,ROUND($G597/23,0),IF($H597=3,ROUND($G597/12,0),IF($H597=6,$G597,IF($H597=7,$G597-ROUND($G597*10/11,0),0)))))</f>
        <v>0</v>
      </c>
      <c r="N597" s="364">
        <f>IF($G597="","",K597+L597+M597)</f>
        <v>0</v>
      </c>
      <c r="O597" s="365" t="str">
        <f>IF($G597="","",IFERROR(VLOOKUP($D597&amp;"|"&amp;$E597,科目表!$A$5:$B$200,2,FALSE),"※未登録"))</f>
        <v>賃借料</v>
      </c>
      <c r="P597" s="359">
        <f>IF(OR($G597="",$C597=""),"",IF($B597="決算整理",13,MOD(MONTH($C597)-4,12)+1))</f>
        <v>11</v>
      </c>
      <c r="Q597" s="366" t="str">
        <f>IF($G597="","",TRIM(IF(J597+K597+L597+M597&lt;&gt;$G597,"按分不一致 ","")&amp;IF(O597="※未登録","科目未登録 ","")&amp;IF(OR($H597="",ISERROR(MATCH($H597,{1,2,3,4,5,6,7,8},0))),"経費区分? ","")&amp;IF($I597="","状態未設定 ","")&amp;IF(AND(OR($I597="確認済",$I597="未確認"),$B597="月例",OR($C597="",$C597&lt;DATE(年度+2018,4,1),$C597&gt;DATE(年度+2019,3,31))),"年度外の日付 ","")&amp;IF(AND(OR($I597="確認済",$I597="未確認"),O597="対象外"),"対象外の科目 ","")))</f>
        <v/>
      </c>
      <c r="R597" s="366" t="inlineStr">
        <is>
          <t>月例!622</t>
        </is>
      </c>
    </row>
    <row r="598">
      <c r="A598" s="359" t="n">
        <v>594</v>
      </c>
      <c r="B598" s="360" t="inlineStr">
        <is>
          <t>月例</t>
        </is>
      </c>
      <c r="C598" s="361" t="n">
        <v>46080</v>
      </c>
      <c r="D598" s="362" t="inlineStr">
        <is>
          <t>事務費</t>
        </is>
      </c>
      <c r="E598" s="362" t="inlineStr">
        <is>
          <t>図書印刷費</t>
        </is>
      </c>
      <c r="F598" s="362" t="inlineStr">
        <is>
          <t>厚生法規総覧追録　６０６６－６０７５号</t>
        </is>
      </c>
      <c r="G598" s="363" t="n">
        <v>33154</v>
      </c>
      <c r="H598" s="360" t="n">
        <v>2</v>
      </c>
      <c r="I598" s="360" t="inlineStr">
        <is>
          <t>昨年実績</t>
        </is>
      </c>
      <c r="J598" s="364">
        <f>IF($G598="","",IF($H598=1,$G598-ROUND($G598*10/23,0)-2*ROUND($G598/23,0),IF($H598=2,$G598,0)))</f>
        <v>33154</v>
      </c>
      <c r="K598" s="364">
        <f>IF($G598="","",IF($H598=1,ROUND($G598*10/23,0),IF($H598=3,$G598-2*ROUND($G598/12,0),IF($H598=4,$G598,IF(OR($H598=5,$H598=7),ROUND($G598*10/11,0),0)))))</f>
        <v>0</v>
      </c>
      <c r="L598" s="364">
        <f>IF($G598="","",IF($H598=1,ROUND($G598/23,0),IF($H598=3,ROUND($G598/12,0),IF($H598=5,$G598-ROUND($G598*10/11,0),IF($H598=8,$G598,0)))))</f>
        <v>0</v>
      </c>
      <c r="M598" s="364">
        <f>IF($G598="","",IF($H598=1,ROUND($G598/23,0),IF($H598=3,ROUND($G598/12,0),IF($H598=6,$G598,IF($H598=7,$G598-ROUND($G598*10/11,0),0)))))</f>
        <v>0</v>
      </c>
      <c r="N598" s="364">
        <f>IF($G598="","",K598+L598+M598)</f>
        <v>0</v>
      </c>
      <c r="O598" s="365" t="str">
        <f>IF($G598="","",IFERROR(VLOOKUP($D598&amp;"|"&amp;$E598,科目表!$A$5:$B$200,2,FALSE),"※未登録"))</f>
        <v>図書印刷費</v>
      </c>
      <c r="P598" s="359">
        <f>IF(OR($G598="",$C598=""),"",IF($B598="決算整理",13,MOD(MONTH($C598)-4,12)+1))</f>
        <v>11</v>
      </c>
      <c r="Q598" s="366" t="str">
        <f>IF($G598="","",TRIM(IF(J598+K598+L598+M598&lt;&gt;$G598,"按分不一致 ","")&amp;IF(O598="※未登録","科目未登録 ","")&amp;IF(OR($H598="",ISERROR(MATCH($H598,{1,2,3,4,5,6,7,8},0))),"経費区分? ","")&amp;IF($I598="","状態未設定 ","")&amp;IF(AND(OR($I598="確認済",$I598="未確認"),$B598="月例",OR($C598="",$C598&lt;DATE(年度+2018,4,1),$C598&gt;DATE(年度+2019,3,31))),"年度外の日付 ","")&amp;IF(AND(OR($I598="確認済",$I598="未確認"),O598="対象外"),"対象外の科目 ","")))</f>
        <v/>
      </c>
      <c r="R598" s="366" t="inlineStr">
        <is>
          <t>月例!623</t>
        </is>
      </c>
    </row>
    <row r="599">
      <c r="A599" s="359" t="n">
        <v>595</v>
      </c>
      <c r="B599" s="360" t="inlineStr">
        <is>
          <t>月例</t>
        </is>
      </c>
      <c r="C599" s="361" t="n">
        <v>45351</v>
      </c>
      <c r="D599" s="362" t="inlineStr">
        <is>
          <t>事務費</t>
        </is>
      </c>
      <c r="E599" s="362" t="inlineStr">
        <is>
          <t>通信運搬費</t>
        </is>
      </c>
      <c r="F599" s="362" t="inlineStr">
        <is>
          <t>柔整申請書送付（１月分）</t>
        </is>
      </c>
      <c r="G599" s="363" t="n">
        <v>1489</v>
      </c>
      <c r="H599" s="360" t="n">
        <v>2</v>
      </c>
      <c r="I599" s="360" t="inlineStr">
        <is>
          <t>昨年実績</t>
        </is>
      </c>
      <c r="J599" s="364">
        <f>IF($G599="","",IF($H599=1,$G599-ROUND($G599*10/23,0)-2*ROUND($G599/23,0),IF($H599=2,$G599,0)))</f>
        <v>1489</v>
      </c>
      <c r="K599" s="364">
        <f>IF($G599="","",IF($H599=1,ROUND($G599*10/23,0),IF($H599=3,$G599-2*ROUND($G599/12,0),IF($H599=4,$G599,IF(OR($H599=5,$H599=7),ROUND($G599*10/11,0),0)))))</f>
        <v>0</v>
      </c>
      <c r="L599" s="364">
        <f>IF($G599="","",IF($H599=1,ROUND($G599/23,0),IF($H599=3,ROUND($G599/12,0),IF($H599=5,$G599-ROUND($G599*10/11,0),IF($H599=8,$G599,0)))))</f>
        <v>0</v>
      </c>
      <c r="M599" s="364">
        <f>IF($G599="","",IF($H599=1,ROUND($G599/23,0),IF($H599=3,ROUND($G599/12,0),IF($H599=6,$G599,IF($H599=7,$G599-ROUND($G599*10/11,0),0)))))</f>
        <v>0</v>
      </c>
      <c r="N599" s="364">
        <f>IF($G599="","",K599+L599+M599)</f>
        <v>0</v>
      </c>
      <c r="O599" s="365" t="str">
        <f>IF($G599="","",IFERROR(VLOOKUP($D599&amp;"|"&amp;$E599,科目表!$A$5:$B$200,2,FALSE),"※未登録"))</f>
        <v>通信運搬費</v>
      </c>
      <c r="P599" s="359">
        <f>IF(OR($G599="",$C599=""),"",IF($B599="決算整理",13,MOD(MONTH($C599)-4,12)+1))</f>
        <v>11</v>
      </c>
      <c r="Q599" s="366" t="str">
        <f>IF($G599="","",TRIM(IF(J599+K599+L599+M599&lt;&gt;$G599,"按分不一致 ","")&amp;IF(O599="※未登録","科目未登録 ","")&amp;IF(OR($H599="",ISERROR(MATCH($H599,{1,2,3,4,5,6,7,8},0))),"経費区分? ","")&amp;IF($I599="","状態未設定 ","")&amp;IF(AND(OR($I599="確認済",$I599="未確認"),$B599="月例",OR($C599="",$C599&lt;DATE(年度+2018,4,1),$C599&gt;DATE(年度+2019,3,31))),"年度外の日付 ","")&amp;IF(AND(OR($I599="確認済",$I599="未確認"),O599="対象外"),"対象外の科目 ","")))</f>
        <v/>
      </c>
      <c r="R599" s="366" t="inlineStr">
        <is>
          <t>月例!624</t>
        </is>
      </c>
    </row>
    <row r="600">
      <c r="A600" s="359" t="n">
        <v>596</v>
      </c>
      <c r="B600" s="360" t="inlineStr">
        <is>
          <t>月例</t>
        </is>
      </c>
      <c r="C600" s="361" t="n">
        <v>45351</v>
      </c>
      <c r="D600" s="362" t="inlineStr">
        <is>
          <t>事務費</t>
        </is>
      </c>
      <c r="E600" s="362" t="inlineStr">
        <is>
          <t>事務用消耗品費</t>
        </is>
      </c>
      <c r="F600" s="362" t="inlineStr">
        <is>
          <t>輪ゴム　B105J/No.16 192-292  8箱 他</t>
        </is>
      </c>
      <c r="G600" s="363" t="n">
        <v>5481</v>
      </c>
      <c r="H600" s="360" t="n">
        <v>2</v>
      </c>
      <c r="I600" s="360" t="inlineStr">
        <is>
          <t>昨年実績</t>
        </is>
      </c>
      <c r="J600" s="364">
        <f>IF($G600="","",IF($H600=1,$G600-ROUND($G600*10/23,0)-2*ROUND($G600/23,0),IF($H600=2,$G600,0)))</f>
        <v>5481</v>
      </c>
      <c r="K600" s="364">
        <f>IF($G600="","",IF($H600=1,ROUND($G600*10/23,0),IF($H600=3,$G600-2*ROUND($G600/12,0),IF($H600=4,$G600,IF(OR($H600=5,$H600=7),ROUND($G600*10/11,0),0)))))</f>
        <v>0</v>
      </c>
      <c r="L600" s="364">
        <f>IF($G600="","",IF($H600=1,ROUND($G600/23,0),IF($H600=3,ROUND($G600/12,0),IF($H600=5,$G600-ROUND($G600*10/11,0),IF($H600=8,$G600,0)))))</f>
        <v>0</v>
      </c>
      <c r="M600" s="364">
        <f>IF($G600="","",IF($H600=1,ROUND($G600/23,0),IF($H600=3,ROUND($G600/12,0),IF($H600=6,$G600,IF($H600=7,$G600-ROUND($G600*10/11,0),0)))))</f>
        <v>0</v>
      </c>
      <c r="N600" s="364">
        <f>IF($G600="","",K600+L600+M600)</f>
        <v>0</v>
      </c>
      <c r="O600" s="365" t="str">
        <f>IF($G600="","",IFERROR(VLOOKUP($D600&amp;"|"&amp;$E600,科目表!$A$5:$B$200,2,FALSE),"※未登録"))</f>
        <v>事務用消耗品費</v>
      </c>
      <c r="P600" s="359">
        <f>IF(OR($G600="",$C600=""),"",IF($B600="決算整理",13,MOD(MONTH($C600)-4,12)+1))</f>
        <v>11</v>
      </c>
      <c r="Q600" s="366" t="str">
        <f>IF($G600="","",TRIM(IF(J600+K600+L600+M600&lt;&gt;$G600,"按分不一致 ","")&amp;IF(O600="※未登録","科目未登録 ","")&amp;IF(OR($H600="",ISERROR(MATCH($H600,{1,2,3,4,5,6,7,8},0))),"経費区分? ","")&amp;IF($I600="","状態未設定 ","")&amp;IF(AND(OR($I600="確認済",$I600="未確認"),$B600="月例",OR($C600="",$C600&lt;DATE(年度+2018,4,1),$C600&gt;DATE(年度+2019,3,31))),"年度外の日付 ","")&amp;IF(AND(OR($I600="確認済",$I600="未確認"),O600="対象外"),"対象外の科目 ","")))</f>
        <v/>
      </c>
      <c r="R600" s="366" t="inlineStr">
        <is>
          <t>月例!625</t>
        </is>
      </c>
    </row>
    <row r="601">
      <c r="A601" s="359" t="n">
        <v>597</v>
      </c>
      <c r="B601" s="360" t="inlineStr">
        <is>
          <t>月例</t>
        </is>
      </c>
      <c r="C601" s="361" t="n">
        <v>45351</v>
      </c>
      <c r="D601" s="362" t="inlineStr">
        <is>
          <t>事務費</t>
        </is>
      </c>
      <c r="E601" s="362" t="inlineStr">
        <is>
          <t>通信運搬費</t>
        </is>
      </c>
      <c r="F601" s="362" t="inlineStr">
        <is>
          <t>メール便（任継者宛厚生だより２月分）</t>
        </is>
      </c>
      <c r="G601" s="363" t="n">
        <v>18225</v>
      </c>
      <c r="H601" s="360" t="n">
        <v>2</v>
      </c>
      <c r="I601" s="360" t="inlineStr">
        <is>
          <t>昨年実績</t>
        </is>
      </c>
      <c r="J601" s="364">
        <f>IF($G601="","",IF($H601=1,$G601-ROUND($G601*10/23,0)-2*ROUND($G601/23,0),IF($H601=2,$G601,0)))</f>
        <v>18225</v>
      </c>
      <c r="K601" s="364">
        <f>IF($G601="","",IF($H601=1,ROUND($G601*10/23,0),IF($H601=3,$G601-2*ROUND($G601/12,0),IF($H601=4,$G601,IF(OR($H601=5,$H601=7),ROUND($G601*10/11,0),0)))))</f>
        <v>0</v>
      </c>
      <c r="L601" s="364">
        <f>IF($G601="","",IF($H601=1,ROUND($G601/23,0),IF($H601=3,ROUND($G601/12,0),IF($H601=5,$G601-ROUND($G601*10/11,0),IF($H601=8,$G601,0)))))</f>
        <v>0</v>
      </c>
      <c r="M601" s="364">
        <f>IF($G601="","",IF($H601=1,ROUND($G601/23,0),IF($H601=3,ROUND($G601/12,0),IF($H601=6,$G601,IF($H601=7,$G601-ROUND($G601*10/11,0),0)))))</f>
        <v>0</v>
      </c>
      <c r="N601" s="364">
        <f>IF($G601="","",K601+L601+M601)</f>
        <v>0</v>
      </c>
      <c r="O601" s="365" t="str">
        <f>IF($G601="","",IFERROR(VLOOKUP($D601&amp;"|"&amp;$E601,科目表!$A$5:$B$200,2,FALSE),"※未登録"))</f>
        <v>通信運搬費</v>
      </c>
      <c r="P601" s="359">
        <f>IF(OR($G601="",$C601=""),"",IF($B601="決算整理",13,MOD(MONTH($C601)-4,12)+1))</f>
        <v>11</v>
      </c>
      <c r="Q601" s="366" t="str">
        <f>IF($G601="","",TRIM(IF(J601+K601+L601+M601&lt;&gt;$G601,"按分不一致 ","")&amp;IF(O601="※未登録","科目未登録 ","")&amp;IF(OR($H601="",ISERROR(MATCH($H601,{1,2,3,4,5,6,7,8},0))),"経費区分? ","")&amp;IF($I601="","状態未設定 ","")&amp;IF(AND(OR($I601="確認済",$I601="未確認"),$B601="月例",OR($C601="",$C601&lt;DATE(年度+2018,4,1),$C601&gt;DATE(年度+2019,3,31))),"年度外の日付 ","")&amp;IF(AND(OR($I601="確認済",$I601="未確認"),O601="対象外"),"対象外の科目 ","")))</f>
        <v/>
      </c>
      <c r="R601" s="366" t="inlineStr">
        <is>
          <t>月例!626</t>
        </is>
      </c>
    </row>
    <row r="602">
      <c r="A602" s="359" t="n">
        <v>598</v>
      </c>
      <c r="B602" s="360" t="inlineStr">
        <is>
          <t>月例</t>
        </is>
      </c>
      <c r="C602" s="361" t="n">
        <v>44253</v>
      </c>
      <c r="D602" s="362" t="inlineStr">
        <is>
          <t>事務費</t>
        </is>
      </c>
      <c r="E602" s="362" t="inlineStr">
        <is>
          <t>事務用消耗品費</t>
        </is>
      </c>
      <c r="F602" s="362" t="inlineStr">
        <is>
          <t>ﾆｲﾀｶｹﾐｶﾞｰﾄﾞ 4㎏　1本　他</t>
        </is>
      </c>
      <c r="G602" s="363" t="n">
        <v>5330</v>
      </c>
      <c r="H602" s="360" t="n">
        <v>2</v>
      </c>
      <c r="I602" s="360" t="inlineStr">
        <is>
          <t>昨年実績</t>
        </is>
      </c>
      <c r="J602" s="364">
        <f>IF($G602="","",IF($H602=1,$G602-ROUND($G602*10/23,0)-2*ROUND($G602/23,0),IF($H602=2,$G602,0)))</f>
        <v>5330</v>
      </c>
      <c r="K602" s="364">
        <f>IF($G602="","",IF($H602=1,ROUND($G602*10/23,0),IF($H602=3,$G602-2*ROUND($G602/12,0),IF($H602=4,$G602,IF(OR($H602=5,$H602=7),ROUND($G602*10/11,0),0)))))</f>
        <v>0</v>
      </c>
      <c r="L602" s="364">
        <f>IF($G602="","",IF($H602=1,ROUND($G602/23,0),IF($H602=3,ROUND($G602/12,0),IF($H602=5,$G602-ROUND($G602*10/11,0),IF($H602=8,$G602,0)))))</f>
        <v>0</v>
      </c>
      <c r="M602" s="364">
        <f>IF($G602="","",IF($H602=1,ROUND($G602/23,0),IF($H602=3,ROUND($G602/12,0),IF($H602=6,$G602,IF($H602=7,$G602-ROUND($G602*10/11,0),0)))))</f>
        <v>0</v>
      </c>
      <c r="N602" s="364">
        <f>IF($G602="","",K602+L602+M602)</f>
        <v>0</v>
      </c>
      <c r="O602" s="365" t="str">
        <f>IF($G602="","",IFERROR(VLOOKUP($D602&amp;"|"&amp;$E602,科目表!$A$5:$B$200,2,FALSE),"※未登録"))</f>
        <v>事務用消耗品費</v>
      </c>
      <c r="P602" s="359">
        <f>IF(OR($G602="",$C602=""),"",IF($B602="決算整理",13,MOD(MONTH($C602)-4,12)+1))</f>
        <v>11</v>
      </c>
      <c r="Q602" s="366" t="str">
        <f>IF($G602="","",TRIM(IF(J602+K602+L602+M602&lt;&gt;$G602,"按分不一致 ","")&amp;IF(O602="※未登録","科目未登録 ","")&amp;IF(OR($H602="",ISERROR(MATCH($H602,{1,2,3,4,5,6,7,8},0))),"経費区分? ","")&amp;IF($I602="","状態未設定 ","")&amp;IF(AND(OR($I602="確認済",$I602="未確認"),$B602="月例",OR($C602="",$C602&lt;DATE(年度+2018,4,1),$C602&gt;DATE(年度+2019,3,31))),"年度外の日付 ","")&amp;IF(AND(OR($I602="確認済",$I602="未確認"),O602="対象外"),"対象外の科目 ","")))</f>
        <v/>
      </c>
      <c r="R602" s="366" t="inlineStr">
        <is>
          <t>月例!627</t>
        </is>
      </c>
    </row>
    <row r="603">
      <c r="A603" s="359" t="n">
        <v>599</v>
      </c>
      <c r="B603" s="360" t="inlineStr">
        <is>
          <t>月例</t>
        </is>
      </c>
      <c r="C603" s="361" t="n">
        <v>46080</v>
      </c>
      <c r="D603" s="362" t="inlineStr">
        <is>
          <t>事務費</t>
        </is>
      </c>
      <c r="E603" s="362" t="inlineStr">
        <is>
          <t>通信運搬費</t>
        </is>
      </c>
      <c r="F603" s="362" t="inlineStr">
        <is>
          <t>料金後納利用料（１月分）</t>
        </is>
      </c>
      <c r="G603" s="363" t="n">
        <v>792478</v>
      </c>
      <c r="H603" s="360" t="n">
        <v>3</v>
      </c>
      <c r="I603" s="360" t="inlineStr">
        <is>
          <t>昨年実績</t>
        </is>
      </c>
      <c r="J603" s="364">
        <f>IF($G603="","",IF($H603=1,$G603-ROUND($G603*10/23,0)-2*ROUND($G603/23,0),IF($H603=2,$G603,0)))</f>
        <v>0</v>
      </c>
      <c r="K603" s="364">
        <f>IF($G603="","",IF($H603=1,ROUND($G603*10/23,0),IF($H603=3,$G603-2*ROUND($G603/12,0),IF($H603=4,$G603,IF(OR($H603=5,$H603=7),ROUND($G603*10/11,0),0)))))</f>
        <v>660398</v>
      </c>
      <c r="L603" s="364">
        <f>IF($G603="","",IF($H603=1,ROUND($G603/23,0),IF($H603=3,ROUND($G603/12,0),IF($H603=5,$G603-ROUND($G603*10/11,0),IF($H603=8,$G603,0)))))</f>
        <v>66040</v>
      </c>
      <c r="M603" s="364">
        <f>IF($G603="","",IF($H603=1,ROUND($G603/23,0),IF($H603=3,ROUND($G603/12,0),IF($H603=6,$G603,IF($H603=7,$G603-ROUND($G603*10/11,0),0)))))</f>
        <v>66040</v>
      </c>
      <c r="N603" s="364">
        <f>IF($G603="","",K603+L603+M603)</f>
        <v>792478</v>
      </c>
      <c r="O603" s="365" t="str">
        <f>IF($G603="","",IFERROR(VLOOKUP($D603&amp;"|"&amp;$E603,科目表!$A$5:$B$200,2,FALSE),"※未登録"))</f>
        <v>通信運搬費</v>
      </c>
      <c r="P603" s="359">
        <f>IF(OR($G603="",$C603=""),"",IF($B603="決算整理",13,MOD(MONTH($C603)-4,12)+1))</f>
        <v>11</v>
      </c>
      <c r="Q603" s="366" t="str">
        <f>IF($G603="","",TRIM(IF(J603+K603+L603+M603&lt;&gt;$G603,"按分不一致 ","")&amp;IF(O603="※未登録","科目未登録 ","")&amp;IF(OR($H603="",ISERROR(MATCH($H603,{1,2,3,4,5,6,7,8},0))),"経費区分? ","")&amp;IF($I603="","状態未設定 ","")&amp;IF(AND(OR($I603="確認済",$I603="未確認"),$B603="月例",OR($C603="",$C603&lt;DATE(年度+2018,4,1),$C603&gt;DATE(年度+2019,3,31))),"年度外の日付 ","")&amp;IF(AND(OR($I603="確認済",$I603="未確認"),O603="対象外"),"対象外の科目 ","")))</f>
        <v/>
      </c>
      <c r="R603" s="366" t="inlineStr">
        <is>
          <t>月例!628</t>
        </is>
      </c>
    </row>
    <row r="604">
      <c r="A604" s="359" t="n">
        <v>600</v>
      </c>
      <c r="B604" s="360" t="inlineStr">
        <is>
          <t>月例</t>
        </is>
      </c>
      <c r="C604" s="361" t="n">
        <v>45716</v>
      </c>
      <c r="D604" s="362" t="inlineStr">
        <is>
          <t>事務費</t>
        </is>
      </c>
      <c r="E604" s="362" t="inlineStr">
        <is>
          <t>通信運搬費</t>
        </is>
      </c>
      <c r="F604" s="362" t="inlineStr">
        <is>
          <t>料金後納利用料（１月分）</t>
        </is>
      </c>
      <c r="G604" s="363" t="n">
        <v>14560</v>
      </c>
      <c r="H604" s="360" t="n">
        <v>2</v>
      </c>
      <c r="I604" s="360" t="inlineStr">
        <is>
          <t>昨年実績</t>
        </is>
      </c>
      <c r="J604" s="364">
        <f>IF($G604="","",IF($H604=1,$G604-ROUND($G604*10/23,0)-2*ROUND($G604/23,0),IF($H604=2,$G604,0)))</f>
        <v>14560</v>
      </c>
      <c r="K604" s="364">
        <f>IF($G604="","",IF($H604=1,ROUND($G604*10/23,0),IF($H604=3,$G604-2*ROUND($G604/12,0),IF($H604=4,$G604,IF(OR($H604=5,$H604=7),ROUND($G604*10/11,0),0)))))</f>
        <v>0</v>
      </c>
      <c r="L604" s="364">
        <f>IF($G604="","",IF($H604=1,ROUND($G604/23,0),IF($H604=3,ROUND($G604/12,0),IF($H604=5,$G604-ROUND($G604*10/11,0),IF($H604=8,$G604,0)))))</f>
        <v>0</v>
      </c>
      <c r="M604" s="364">
        <f>IF($G604="","",IF($H604=1,ROUND($G604/23,0),IF($H604=3,ROUND($G604/12,0),IF($H604=6,$G604,IF($H604=7,$G604-ROUND($G604*10/11,0),0)))))</f>
        <v>0</v>
      </c>
      <c r="N604" s="364">
        <f>IF($G604="","",K604+L604+M604)</f>
        <v>0</v>
      </c>
      <c r="O604" s="365" t="str">
        <f>IF($G604="","",IFERROR(VLOOKUP($D604&amp;"|"&amp;$E604,科目表!$A$5:$B$200,2,FALSE),"※未登録"))</f>
        <v>通信運搬費</v>
      </c>
      <c r="P604" s="359">
        <f>IF(OR($G604="",$C604=""),"",IF($B604="決算整理",13,MOD(MONTH($C604)-4,12)+1))</f>
        <v>11</v>
      </c>
      <c r="Q604" s="366" t="str">
        <f>IF($G604="","",TRIM(IF(J604+K604+L604+M604&lt;&gt;$G604,"按分不一致 ","")&amp;IF(O604="※未登録","科目未登録 ","")&amp;IF(OR($H604="",ISERROR(MATCH($H604,{1,2,3,4,5,6,7,8},0))),"経費区分? ","")&amp;IF($I604="","状態未設定 ","")&amp;IF(AND(OR($I604="確認済",$I604="未確認"),$B604="月例",OR($C604="",$C604&lt;DATE(年度+2018,4,1),$C604&gt;DATE(年度+2019,3,31))),"年度外の日付 ","")&amp;IF(AND(OR($I604="確認済",$I604="未確認"),O604="対象外"),"対象外の科目 ","")))</f>
        <v/>
      </c>
      <c r="R604" s="366" t="inlineStr">
        <is>
          <t>月例!629</t>
        </is>
      </c>
    </row>
    <row r="605">
      <c r="A605" s="359" t="n">
        <v>601</v>
      </c>
      <c r="B605" s="360" t="inlineStr">
        <is>
          <t>月例</t>
        </is>
      </c>
      <c r="C605" s="361" t="n">
        <v>46080</v>
      </c>
      <c r="D605" s="362" t="inlineStr">
        <is>
          <t>事務費</t>
        </is>
      </c>
      <c r="E605" s="362" t="inlineStr">
        <is>
          <t>事務用消耗品費</t>
        </is>
      </c>
      <c r="F605" s="362" t="inlineStr">
        <is>
          <t>マチ付きホルダー　ＹＧ－１４／１０枚入　４０パック　外</t>
        </is>
      </c>
      <c r="G605" s="363" t="n">
        <v>49487</v>
      </c>
      <c r="H605" s="360" t="n">
        <v>2</v>
      </c>
      <c r="I605" s="360" t="inlineStr">
        <is>
          <t>昨年実績</t>
        </is>
      </c>
      <c r="J605" s="364">
        <f>IF($G605="","",IF($H605=1,$G605-ROUND($G605*10/23,0)-2*ROUND($G605/23,0),IF($H605=2,$G605,0)))</f>
        <v>49487</v>
      </c>
      <c r="K605" s="364">
        <f>IF($G605="","",IF($H605=1,ROUND($G605*10/23,0),IF($H605=3,$G605-2*ROUND($G605/12,0),IF($H605=4,$G605,IF(OR($H605=5,$H605=7),ROUND($G605*10/11,0),0)))))</f>
        <v>0</v>
      </c>
      <c r="L605" s="364">
        <f>IF($G605="","",IF($H605=1,ROUND($G605/23,0),IF($H605=3,ROUND($G605/12,0),IF($H605=5,$G605-ROUND($G605*10/11,0),IF($H605=8,$G605,0)))))</f>
        <v>0</v>
      </c>
      <c r="M605" s="364">
        <f>IF($G605="","",IF($H605=1,ROUND($G605/23,0),IF($H605=3,ROUND($G605/12,0),IF($H605=6,$G605,IF($H605=7,$G605-ROUND($G605*10/11,0),0)))))</f>
        <v>0</v>
      </c>
      <c r="N605" s="364">
        <f>IF($G605="","",K605+L605+M605)</f>
        <v>0</v>
      </c>
      <c r="O605" s="365" t="str">
        <f>IF($G605="","",IFERROR(VLOOKUP($D605&amp;"|"&amp;$E605,科目表!$A$5:$B$200,2,FALSE),"※未登録"))</f>
        <v>事務用消耗品費</v>
      </c>
      <c r="P605" s="359">
        <f>IF(OR($G605="",$C605=""),"",IF($B605="決算整理",13,MOD(MONTH($C605)-4,12)+1))</f>
        <v>11</v>
      </c>
      <c r="Q605" s="366" t="str">
        <f>IF($G605="","",TRIM(IF(J605+K605+L605+M605&lt;&gt;$G605,"按分不一致 ","")&amp;IF(O605="※未登録","科目未登録 ","")&amp;IF(OR($H605="",ISERROR(MATCH($H605,{1,2,3,4,5,6,7,8},0))),"経費区分? ","")&amp;IF($I605="","状態未設定 ","")&amp;IF(AND(OR($I605="確認済",$I605="未確認"),$B605="月例",OR($C605="",$C605&lt;DATE(年度+2018,4,1),$C605&gt;DATE(年度+2019,3,31))),"年度外の日付 ","")&amp;IF(AND(OR($I605="確認済",$I605="未確認"),O605="対象外"),"対象外の科目 ","")))</f>
        <v/>
      </c>
      <c r="R605" s="366" t="inlineStr">
        <is>
          <t>月例!630</t>
        </is>
      </c>
    </row>
    <row r="606">
      <c r="A606" s="359" t="n">
        <v>602</v>
      </c>
      <c r="B606" s="360" t="inlineStr">
        <is>
          <t>月例</t>
        </is>
      </c>
      <c r="C606" s="361" t="n">
        <v>45744</v>
      </c>
      <c r="D606" s="362" t="inlineStr">
        <is>
          <t>事務費</t>
        </is>
      </c>
      <c r="E606" s="362" t="inlineStr">
        <is>
          <t>図書印刷費</t>
        </is>
      </c>
      <c r="F606" s="362" t="inlineStr">
        <is>
          <t>地方公務員共済組合関係法令実例判例集追録1155-1158号</t>
        </is>
      </c>
      <c r="G606" s="363" t="n">
        <v>12016</v>
      </c>
      <c r="H606" s="360" t="n">
        <v>3</v>
      </c>
      <c r="I606" s="360" t="inlineStr">
        <is>
          <t>昨年実績</t>
        </is>
      </c>
      <c r="J606" s="364">
        <f>IF($G606="","",IF($H606=1,$G606-ROUND($G606*10/23,0)-2*ROUND($G606/23,0),IF($H606=2,$G606,0)))</f>
        <v>0</v>
      </c>
      <c r="K606" s="364">
        <f>IF($G606="","",IF($H606=1,ROUND($G606*10/23,0),IF($H606=3,$G606-2*ROUND($G606/12,0),IF($H606=4,$G606,IF(OR($H606=5,$H606=7),ROUND($G606*10/11,0),0)))))</f>
        <v>10014</v>
      </c>
      <c r="L606" s="364">
        <f>IF($G606="","",IF($H606=1,ROUND($G606/23,0),IF($H606=3,ROUND($G606/12,0),IF($H606=5,$G606-ROUND($G606*10/11,0),IF($H606=8,$G606,0)))))</f>
        <v>1001</v>
      </c>
      <c r="M606" s="364">
        <f>IF($G606="","",IF($H606=1,ROUND($G606/23,0),IF($H606=3,ROUND($G606/12,0),IF($H606=6,$G606,IF($H606=7,$G606-ROUND($G606*10/11,0),0)))))</f>
        <v>1001</v>
      </c>
      <c r="N606" s="364">
        <f>IF($G606="","",K606+L606+M606)</f>
        <v>12016</v>
      </c>
      <c r="O606" s="365" t="str">
        <f>IF($G606="","",IFERROR(VLOOKUP($D606&amp;"|"&amp;$E606,科目表!$A$5:$B$200,2,FALSE),"※未登録"))</f>
        <v>図書印刷費</v>
      </c>
      <c r="P606" s="359">
        <f>IF(OR($G606="",$C606=""),"",IF($B606="決算整理",13,MOD(MONTH($C606)-4,12)+1))</f>
        <v>12</v>
      </c>
      <c r="Q606" s="366" t="str">
        <f>IF($G606="","",TRIM(IF(J606+K606+L606+M606&lt;&gt;$G606,"按分不一致 ","")&amp;IF(O606="※未登録","科目未登録 ","")&amp;IF(OR($H606="",ISERROR(MATCH($H606,{1,2,3,4,5,6,7,8},0))),"経費区分? ","")&amp;IF($I606="","状態未設定 ","")&amp;IF(AND(OR($I606="確認済",$I606="未確認"),$B606="月例",OR($C606="",$C606&lt;DATE(年度+2018,4,1),$C606&gt;DATE(年度+2019,3,31))),"年度外の日付 ","")&amp;IF(AND(OR($I606="確認済",$I606="未確認"),O606="対象外"),"対象外の科目 ","")))</f>
        <v/>
      </c>
      <c r="R606" s="366" t="inlineStr">
        <is>
          <t>月例!631</t>
        </is>
      </c>
    </row>
    <row r="607">
      <c r="A607" s="359" t="n">
        <v>603</v>
      </c>
      <c r="B607" s="360" t="inlineStr">
        <is>
          <t>月例</t>
        </is>
      </c>
      <c r="C607" s="361" t="n">
        <v>44620</v>
      </c>
      <c r="D607" s="362" t="inlineStr">
        <is>
          <t>事務費</t>
        </is>
      </c>
      <c r="E607" s="362" t="inlineStr">
        <is>
          <t>事務用消耗品費</t>
        </is>
      </c>
      <c r="F607" s="362" t="inlineStr">
        <is>
          <t>特定疾病療養受療証（台紙）</t>
        </is>
      </c>
      <c r="G607" s="363" t="n">
        <v>25850</v>
      </c>
      <c r="H607" s="360" t="n">
        <v>2</v>
      </c>
      <c r="I607" s="360" t="inlineStr">
        <is>
          <t>昨年実績</t>
        </is>
      </c>
      <c r="J607" s="364">
        <f>IF($G607="","",IF($H607=1,$G607-ROUND($G607*10/23,0)-2*ROUND($G607/23,0),IF($H607=2,$G607,0)))</f>
        <v>25850</v>
      </c>
      <c r="K607" s="364">
        <f>IF($G607="","",IF($H607=1,ROUND($G607*10/23,0),IF($H607=3,$G607-2*ROUND($G607/12,0),IF($H607=4,$G607,IF(OR($H607=5,$H607=7),ROUND($G607*10/11,0),0)))))</f>
        <v>0</v>
      </c>
      <c r="L607" s="364">
        <f>IF($G607="","",IF($H607=1,ROUND($G607/23,0),IF($H607=3,ROUND($G607/12,0),IF($H607=5,$G607-ROUND($G607*10/11,0),IF($H607=8,$G607,0)))))</f>
        <v>0</v>
      </c>
      <c r="M607" s="364">
        <f>IF($G607="","",IF($H607=1,ROUND($G607/23,0),IF($H607=3,ROUND($G607/12,0),IF($H607=6,$G607,IF($H607=7,$G607-ROUND($G607*10/11,0),0)))))</f>
        <v>0</v>
      </c>
      <c r="N607" s="364">
        <f>IF($G607="","",K607+L607+M607)</f>
        <v>0</v>
      </c>
      <c r="O607" s="365" t="str">
        <f>IF($G607="","",IFERROR(VLOOKUP($D607&amp;"|"&amp;$E607,科目表!$A$5:$B$200,2,FALSE),"※未登録"))</f>
        <v>事務用消耗品費</v>
      </c>
      <c r="P607" s="359">
        <f>IF(OR($G607="",$C607=""),"",IF($B607="決算整理",13,MOD(MONTH($C607)-4,12)+1))</f>
        <v>11</v>
      </c>
      <c r="Q607" s="366" t="str">
        <f>IF($G607="","",TRIM(IF(J607+K607+L607+M607&lt;&gt;$G607,"按分不一致 ","")&amp;IF(O607="※未登録","科目未登録 ","")&amp;IF(OR($H607="",ISERROR(MATCH($H607,{1,2,3,4,5,6,7,8},0))),"経費区分? ","")&amp;IF($I607="","状態未設定 ","")&amp;IF(AND(OR($I607="確認済",$I607="未確認"),$B607="月例",OR($C607="",$C607&lt;DATE(年度+2018,4,1),$C607&gt;DATE(年度+2019,3,31))),"年度外の日付 ","")&amp;IF(AND(OR($I607="確認済",$I607="未確認"),O607="対象外"),"対象外の科目 ","")))</f>
        <v/>
      </c>
      <c r="R607" s="366" t="inlineStr">
        <is>
          <t>月例!632</t>
        </is>
      </c>
    </row>
    <row r="608">
      <c r="A608" s="359" t="n">
        <v>604</v>
      </c>
      <c r="B608" s="360" t="inlineStr">
        <is>
          <t>月例</t>
        </is>
      </c>
      <c r="C608" s="361" t="n">
        <v>46083</v>
      </c>
      <c r="D608" s="362" t="inlineStr">
        <is>
          <t>事務費</t>
        </is>
      </c>
      <c r="E608" s="362" t="inlineStr">
        <is>
          <t>通信運搬費</t>
        </is>
      </c>
      <c r="F608" s="362" t="inlineStr">
        <is>
          <t>フレッツ光ネクスト利用料等（12月、1月利用・2月請求分）</t>
        </is>
      </c>
      <c r="G608" s="363" t="n">
        <v>13090</v>
      </c>
      <c r="H608" s="360" t="n">
        <v>2</v>
      </c>
      <c r="I608" s="360" t="inlineStr">
        <is>
          <t>昨年実績</t>
        </is>
      </c>
      <c r="J608" s="364">
        <f>IF($G608="","",IF($H608=1,$G608-ROUND($G608*10/23,0)-2*ROUND($G608/23,0),IF($H608=2,$G608,0)))</f>
        <v>13090</v>
      </c>
      <c r="K608" s="364">
        <f>IF($G608="","",IF($H608=1,ROUND($G608*10/23,0),IF($H608=3,$G608-2*ROUND($G608/12,0),IF($H608=4,$G608,IF(OR($H608=5,$H608=7),ROUND($G608*10/11,0),0)))))</f>
        <v>0</v>
      </c>
      <c r="L608" s="364">
        <f>IF($G608="","",IF($H608=1,ROUND($G608/23,0),IF($H608=3,ROUND($G608/12,0),IF($H608=5,$G608-ROUND($G608*10/11,0),IF($H608=8,$G608,0)))))</f>
        <v>0</v>
      </c>
      <c r="M608" s="364">
        <f>IF($G608="","",IF($H608=1,ROUND($G608/23,0),IF($H608=3,ROUND($G608/12,0),IF($H608=6,$G608,IF($H608=7,$G608-ROUND($G608*10/11,0),0)))))</f>
        <v>0</v>
      </c>
      <c r="N608" s="364">
        <f>IF($G608="","",K608+L608+M608)</f>
        <v>0</v>
      </c>
      <c r="O608" s="365" t="str">
        <f>IF($G608="","",IFERROR(VLOOKUP($D608&amp;"|"&amp;$E608,科目表!$A$5:$B$200,2,FALSE),"※未登録"))</f>
        <v>通信運搬費</v>
      </c>
      <c r="P608" s="359">
        <f>IF(OR($G608="",$C608=""),"",IF($B608="決算整理",13,MOD(MONTH($C608)-4,12)+1))</f>
        <v>12</v>
      </c>
      <c r="Q608" s="366" t="str">
        <f>IF($G608="","",TRIM(IF(J608+K608+L608+M608&lt;&gt;$G608,"按分不一致 ","")&amp;IF(O608="※未登録","科目未登録 ","")&amp;IF(OR($H608="",ISERROR(MATCH($H608,{1,2,3,4,5,6,7,8},0))),"経費区分? ","")&amp;IF($I608="","状態未設定 ","")&amp;IF(AND(OR($I608="確認済",$I608="未確認"),$B608="月例",OR($C608="",$C608&lt;DATE(年度+2018,4,1),$C608&gt;DATE(年度+2019,3,31))),"年度外の日付 ","")&amp;IF(AND(OR($I608="確認済",$I608="未確認"),O608="対象外"),"対象外の科目 ","")))</f>
        <v/>
      </c>
      <c r="R608" s="366" t="inlineStr">
        <is>
          <t>月例!633</t>
        </is>
      </c>
    </row>
    <row r="609">
      <c r="A609" s="359" t="n">
        <v>605</v>
      </c>
      <c r="B609" s="360" t="inlineStr">
        <is>
          <t>月例</t>
        </is>
      </c>
      <c r="C609" s="361" t="n">
        <v>46087</v>
      </c>
      <c r="D609" s="362" t="inlineStr">
        <is>
          <t>事務費負担金払込金</t>
        </is>
      </c>
      <c r="E609" s="362" t="n"/>
      <c r="F609" s="362" t="inlineStr">
        <is>
          <t>２月分事務費負担金払込金　連合会へ払込</t>
        </is>
      </c>
      <c r="G609" s="363" t="n">
        <v>4513000</v>
      </c>
      <c r="H609" s="360" t="n">
        <v>5</v>
      </c>
      <c r="I609" s="360" t="inlineStr">
        <is>
          <t>昨年実績</t>
        </is>
      </c>
      <c r="J609" s="364">
        <f>IF($G609="","",IF($H609=1,$G609-ROUND($G609*10/23,0)-2*ROUND($G609/23,0),IF($H609=2,$G609,0)))</f>
        <v>0</v>
      </c>
      <c r="K609" s="364">
        <f>IF($G609="","",IF($H609=1,ROUND($G609*10/23,0),IF($H609=3,$G609-2*ROUND($G609/12,0),IF($H609=4,$G609,IF(OR($H609=5,$H609=7),ROUND($G609*10/11,0),0)))))</f>
        <v>4102727</v>
      </c>
      <c r="L609" s="364">
        <f>IF($G609="","",IF($H609=1,ROUND($G609/23,0),IF($H609=3,ROUND($G609/12,0),IF($H609=5,$G609-ROUND($G609*10/11,0),IF($H609=8,$G609,0)))))</f>
        <v>410273</v>
      </c>
      <c r="M609" s="364">
        <f>IF($G609="","",IF($H609=1,ROUND($G609/23,0),IF($H609=3,ROUND($G609/12,0),IF($H609=6,$G609,IF($H609=7,$G609-ROUND($G609*10/11,0),0)))))</f>
        <v>0</v>
      </c>
      <c r="N609" s="364">
        <f>IF($G609="","",K609+L609+M609)</f>
        <v>4513000</v>
      </c>
      <c r="O609" s="365" t="str">
        <f>IF($G609="","",IFERROR(VLOOKUP($D609&amp;"|"&amp;$E609,科目表!$A$5:$B$200,2,FALSE),"※未登録"))</f>
        <v>事務費負担金払込金</v>
      </c>
      <c r="P609" s="359">
        <f>IF(OR($G609="",$C609=""),"",IF($B609="決算整理",13,MOD(MONTH($C609)-4,12)+1))</f>
        <v>12</v>
      </c>
      <c r="Q609" s="366" t="str">
        <f>IF($G609="","",TRIM(IF(J609+K609+L609+M609&lt;&gt;$G609,"按分不一致 ","")&amp;IF(O609="※未登録","科目未登録 ","")&amp;IF(OR($H609="",ISERROR(MATCH($H609,{1,2,3,4,5,6,7,8},0))),"経費区分? ","")&amp;IF($I609="","状態未設定 ","")&amp;IF(AND(OR($I609="確認済",$I609="未確認"),$B609="月例",OR($C609="",$C609&lt;DATE(年度+2018,4,1),$C609&gt;DATE(年度+2019,3,31))),"年度外の日付 ","")&amp;IF(AND(OR($I609="確認済",$I609="未確認"),O609="対象外"),"対象外の科目 ","")))</f>
        <v/>
      </c>
      <c r="R609" s="366" t="inlineStr">
        <is>
          <t>月例!634</t>
        </is>
      </c>
    </row>
    <row r="610">
      <c r="A610" s="359" t="n">
        <v>606</v>
      </c>
      <c r="B610" s="360" t="inlineStr">
        <is>
          <t>月例</t>
        </is>
      </c>
      <c r="C610" s="361" t="n">
        <v>46072</v>
      </c>
      <c r="D610" s="362" t="inlineStr">
        <is>
          <t>委託費</t>
        </is>
      </c>
      <c r="E610" s="362" t="n"/>
      <c r="F610" s="362" t="inlineStr">
        <is>
          <t>レセプト電子データ提供料（１１月診療分）</t>
        </is>
      </c>
      <c r="G610" s="363" t="n">
        <v>61611</v>
      </c>
      <c r="H610" s="360" t="n">
        <v>2</v>
      </c>
      <c r="I610" s="360" t="inlineStr">
        <is>
          <t>昨年実績</t>
        </is>
      </c>
      <c r="J610" s="364">
        <f>IF($G610="","",IF($H610=1,$G610-ROUND($G610*10/23,0)-2*ROUND($G610/23,0),IF($H610=2,$G610,0)))</f>
        <v>61611</v>
      </c>
      <c r="K610" s="364">
        <f>IF($G610="","",IF($H610=1,ROUND($G610*10/23,0),IF($H610=3,$G610-2*ROUND($G610/12,0),IF($H610=4,$G610,IF(OR($H610=5,$H610=7),ROUND($G610*10/11,0),0)))))</f>
        <v>0</v>
      </c>
      <c r="L610" s="364">
        <f>IF($G610="","",IF($H610=1,ROUND($G610/23,0),IF($H610=3,ROUND($G610/12,0),IF($H610=5,$G610-ROUND($G610*10/11,0),IF($H610=8,$G610,0)))))</f>
        <v>0</v>
      </c>
      <c r="M610" s="364">
        <f>IF($G610="","",IF($H610=1,ROUND($G610/23,0),IF($H610=3,ROUND($G610/12,0),IF($H610=6,$G610,IF($H610=7,$G610-ROUND($G610*10/11,0),0)))))</f>
        <v>0</v>
      </c>
      <c r="N610" s="364">
        <f>IF($G610="","",K610+L610+M610)</f>
        <v>0</v>
      </c>
      <c r="O610" s="365" t="str">
        <f>IF($G610="","",IFERROR(VLOOKUP($D610&amp;"|"&amp;$E610,科目表!$A$5:$B$200,2,FALSE),"※未登録"))</f>
        <v>委託費</v>
      </c>
      <c r="P610" s="359">
        <f>IF(OR($G610="",$C610=""),"",IF($B610="決算整理",13,MOD(MONTH($C610)-4,12)+1))</f>
        <v>11</v>
      </c>
      <c r="Q610" s="366" t="str">
        <f>IF($G610="","",TRIM(IF(J610+K610+L610+M610&lt;&gt;$G610,"按分不一致 ","")&amp;IF(O610="※未登録","科目未登録 ","")&amp;IF(OR($H610="",ISERROR(MATCH($H610,{1,2,3,4,5,6,7,8},0))),"経費区分? ","")&amp;IF($I610="","状態未設定 ","")&amp;IF(AND(OR($I610="確認済",$I610="未確認"),$B610="月例",OR($C610="",$C610&lt;DATE(年度+2018,4,1),$C610&gt;DATE(年度+2019,3,31))),"年度外の日付 ","")&amp;IF(AND(OR($I610="確認済",$I610="未確認"),O610="対象外"),"対象外の科目 ","")))</f>
        <v/>
      </c>
      <c r="R610" s="366" t="inlineStr">
        <is>
          <t>月例!635</t>
        </is>
      </c>
    </row>
    <row r="611">
      <c r="A611" s="359" t="n">
        <v>607</v>
      </c>
      <c r="B611" s="360" t="inlineStr">
        <is>
          <t>月例</t>
        </is>
      </c>
      <c r="C611" s="361" t="n">
        <v>46072</v>
      </c>
      <c r="D611" s="362" t="inlineStr">
        <is>
          <t>委託費</t>
        </is>
      </c>
      <c r="E611" s="362" t="n"/>
      <c r="F611" s="362" t="inlineStr">
        <is>
          <t>社会保障等制度情報提供手数料（10～12月分）</t>
        </is>
      </c>
      <c r="G611" s="363" t="n">
        <v>8600</v>
      </c>
      <c r="H611" s="360" t="n">
        <v>2</v>
      </c>
      <c r="I611" s="360" t="inlineStr">
        <is>
          <t>昨年実績</t>
        </is>
      </c>
      <c r="J611" s="364">
        <f>IF($G611="","",IF($H611=1,$G611-ROUND($G611*10/23,0)-2*ROUND($G611/23,0),IF($H611=2,$G611,0)))</f>
        <v>8600</v>
      </c>
      <c r="K611" s="364">
        <f>IF($G611="","",IF($H611=1,ROUND($G611*10/23,0),IF($H611=3,$G611-2*ROUND($G611/12,0),IF($H611=4,$G611,IF(OR($H611=5,$H611=7),ROUND($G611*10/11,0),0)))))</f>
        <v>0</v>
      </c>
      <c r="L611" s="364">
        <f>IF($G611="","",IF($H611=1,ROUND($G611/23,0),IF($H611=3,ROUND($G611/12,0),IF($H611=5,$G611-ROUND($G611*10/11,0),IF($H611=8,$G611,0)))))</f>
        <v>0</v>
      </c>
      <c r="M611" s="364">
        <f>IF($G611="","",IF($H611=1,ROUND($G611/23,0),IF($H611=3,ROUND($G611/12,0),IF($H611=6,$G611,IF($H611=7,$G611-ROUND($G611*10/11,0),0)))))</f>
        <v>0</v>
      </c>
      <c r="N611" s="364">
        <f>IF($G611="","",K611+L611+M611)</f>
        <v>0</v>
      </c>
      <c r="O611" s="365" t="str">
        <f>IF($G611="","",IFERROR(VLOOKUP($D611&amp;"|"&amp;$E611,科目表!$A$5:$B$200,2,FALSE),"※未登録"))</f>
        <v>委託費</v>
      </c>
      <c r="P611" s="359">
        <f>IF(OR($G611="",$C611=""),"",IF($B611="決算整理",13,MOD(MONTH($C611)-4,12)+1))</f>
        <v>11</v>
      </c>
      <c r="Q611" s="366" t="str">
        <f>IF($G611="","",TRIM(IF(J611+K611+L611+M611&lt;&gt;$G611,"按分不一致 ","")&amp;IF(O611="※未登録","科目未登録 ","")&amp;IF(OR($H611="",ISERROR(MATCH($H611,{1,2,3,4,5,6,7,8},0))),"経費区分? ","")&amp;IF($I611="","状態未設定 ","")&amp;IF(AND(OR($I611="確認済",$I611="未確認"),$B611="月例",OR($C611="",$C611&lt;DATE(年度+2018,4,1),$C611&gt;DATE(年度+2019,3,31))),"年度外の日付 ","")&amp;IF(AND(OR($I611="確認済",$I611="未確認"),O611="対象外"),"対象外の科目 ","")))</f>
        <v/>
      </c>
      <c r="R611" s="366" t="inlineStr">
        <is>
          <t>月例!636</t>
        </is>
      </c>
    </row>
    <row r="612">
      <c r="A612" s="359" t="n">
        <v>608</v>
      </c>
      <c r="B612" s="360" t="inlineStr">
        <is>
          <t>月例</t>
        </is>
      </c>
      <c r="C612" s="361" t="n">
        <v>44613</v>
      </c>
      <c r="D612" s="362" t="inlineStr">
        <is>
          <t>事務費</t>
        </is>
      </c>
      <c r="E612" s="362" t="inlineStr">
        <is>
          <t>雑費</t>
        </is>
      </c>
      <c r="F612" s="362" t="inlineStr">
        <is>
          <t>電子証明書発行・更新料（令和3年12月請求）</t>
        </is>
      </c>
      <c r="G612" s="363" t="n">
        <v>750</v>
      </c>
      <c r="H612" s="360" t="n">
        <v>2</v>
      </c>
      <c r="I612" s="360" t="inlineStr">
        <is>
          <t>昨年実績</t>
        </is>
      </c>
      <c r="J612" s="364">
        <f>IF($G612="","",IF($H612=1,$G612-ROUND($G612*10/23,0)-2*ROUND($G612/23,0),IF($H612=2,$G612,0)))</f>
        <v>750</v>
      </c>
      <c r="K612" s="364">
        <f>IF($G612="","",IF($H612=1,ROUND($G612*10/23,0),IF($H612=3,$G612-2*ROUND($G612/12,0),IF($H612=4,$G612,IF(OR($H612=5,$H612=7),ROUND($G612*10/11,0),0)))))</f>
        <v>0</v>
      </c>
      <c r="L612" s="364">
        <f>IF($G612="","",IF($H612=1,ROUND($G612/23,0),IF($H612=3,ROUND($G612/12,0),IF($H612=5,$G612-ROUND($G612*10/11,0),IF($H612=8,$G612,0)))))</f>
        <v>0</v>
      </c>
      <c r="M612" s="364">
        <f>IF($G612="","",IF($H612=1,ROUND($G612/23,0),IF($H612=3,ROUND($G612/12,0),IF($H612=6,$G612,IF($H612=7,$G612-ROUND($G612*10/11,0),0)))))</f>
        <v>0</v>
      </c>
      <c r="N612" s="364">
        <f>IF($G612="","",K612+L612+M612)</f>
        <v>0</v>
      </c>
      <c r="O612" s="365" t="str">
        <f>IF($G612="","",IFERROR(VLOOKUP($D612&amp;"|"&amp;$E612,科目表!$A$5:$B$200,2,FALSE),"※未登録"))</f>
        <v>事務費・雑費</v>
      </c>
      <c r="P612" s="359">
        <f>IF(OR($G612="",$C612=""),"",IF($B612="決算整理",13,MOD(MONTH($C612)-4,12)+1))</f>
        <v>11</v>
      </c>
      <c r="Q612" s="366" t="str">
        <f>IF($G612="","",TRIM(IF(J612+K612+L612+M612&lt;&gt;$G612,"按分不一致 ","")&amp;IF(O612="※未登録","科目未登録 ","")&amp;IF(OR($H612="",ISERROR(MATCH($H612,{1,2,3,4,5,6,7,8},0))),"経費区分? ","")&amp;IF($I612="","状態未設定 ","")&amp;IF(AND(OR($I612="確認済",$I612="未確認"),$B612="月例",OR($C612="",$C612&lt;DATE(年度+2018,4,1),$C612&gt;DATE(年度+2019,3,31))),"年度外の日付 ","")&amp;IF(AND(OR($I612="確認済",$I612="未確認"),O612="対象外"),"対象外の科目 ","")))</f>
        <v/>
      </c>
      <c r="R612" s="366" t="inlineStr">
        <is>
          <t>月例!637</t>
        </is>
      </c>
    </row>
    <row r="613">
      <c r="A613" s="359" t="n">
        <v>609</v>
      </c>
      <c r="B613" s="360" t="inlineStr">
        <is>
          <t>月例</t>
        </is>
      </c>
      <c r="C613" s="361" t="n">
        <v>44249</v>
      </c>
      <c r="D613" s="362" t="inlineStr">
        <is>
          <t>事務費</t>
        </is>
      </c>
      <c r="E613" s="362" t="inlineStr">
        <is>
          <t>通信運搬費</t>
        </is>
      </c>
      <c r="F613" s="362" t="inlineStr">
        <is>
          <t>電話料金（１月使用・２月請求分）</t>
        </is>
      </c>
      <c r="G613" s="363" t="n">
        <v>5405</v>
      </c>
      <c r="H613" s="360" t="n">
        <v>2</v>
      </c>
      <c r="I613" s="360" t="inlineStr">
        <is>
          <t>昨年実績</t>
        </is>
      </c>
      <c r="J613" s="364">
        <f>IF($G613="","",IF($H613=1,$G613-ROUND($G613*10/23,0)-2*ROUND($G613/23,0),IF($H613=2,$G613,0)))</f>
        <v>5405</v>
      </c>
      <c r="K613" s="364">
        <f>IF($G613="","",IF($H613=1,ROUND($G613*10/23,0),IF($H613=3,$G613-2*ROUND($G613/12,0),IF($H613=4,$G613,IF(OR($H613=5,$H613=7),ROUND($G613*10/11,0),0)))))</f>
        <v>0</v>
      </c>
      <c r="L613" s="364">
        <f>IF($G613="","",IF($H613=1,ROUND($G613/23,0),IF($H613=3,ROUND($G613/12,0),IF($H613=5,$G613-ROUND($G613*10/11,0),IF($H613=8,$G613,0)))))</f>
        <v>0</v>
      </c>
      <c r="M613" s="364">
        <f>IF($G613="","",IF($H613=1,ROUND($G613/23,0),IF($H613=3,ROUND($G613/12,0),IF($H613=6,$G613,IF($H613=7,$G613-ROUND($G613*10/11,0),0)))))</f>
        <v>0</v>
      </c>
      <c r="N613" s="364">
        <f>IF($G613="","",K613+L613+M613)</f>
        <v>0</v>
      </c>
      <c r="O613" s="365" t="str">
        <f>IF($G613="","",IFERROR(VLOOKUP($D613&amp;"|"&amp;$E613,科目表!$A$5:$B$200,2,FALSE),"※未登録"))</f>
        <v>通信運搬費</v>
      </c>
      <c r="P613" s="359">
        <f>IF(OR($G613="",$C613=""),"",IF($B613="決算整理",13,MOD(MONTH($C613)-4,12)+1))</f>
        <v>11</v>
      </c>
      <c r="Q613" s="366" t="str">
        <f>IF($G613="","",TRIM(IF(J613+K613+L613+M613&lt;&gt;$G613,"按分不一致 ","")&amp;IF(O613="※未登録","科目未登録 ","")&amp;IF(OR($H613="",ISERROR(MATCH($H613,{1,2,3,4,5,6,7,8},0))),"経費区分? ","")&amp;IF($I613="","状態未設定 ","")&amp;IF(AND(OR($I613="確認済",$I613="未確認"),$B613="月例",OR($C613="",$C613&lt;DATE(年度+2018,4,1),$C613&gt;DATE(年度+2019,3,31))),"年度外の日付 ","")&amp;IF(AND(OR($I613="確認済",$I613="未確認"),O613="対象外"),"対象外の科目 ","")))</f>
        <v/>
      </c>
      <c r="R613" s="366" t="inlineStr">
        <is>
          <t>月例!638</t>
        </is>
      </c>
    </row>
    <row r="614">
      <c r="A614" s="359" t="n">
        <v>610</v>
      </c>
      <c r="B614" s="360" t="inlineStr">
        <is>
          <t>月例</t>
        </is>
      </c>
      <c r="C614" s="361" t="n">
        <v>44246</v>
      </c>
      <c r="D614" s="362" t="inlineStr">
        <is>
          <t>職員給与</t>
        </is>
      </c>
      <c r="E614" s="362" t="inlineStr">
        <is>
          <t>非常勤職員手当</t>
        </is>
      </c>
      <c r="F614" s="362" t="inlineStr">
        <is>
          <t>２月分給与（長期分）</t>
        </is>
      </c>
      <c r="G614" s="363" t="n">
        <v>340401</v>
      </c>
      <c r="H614" s="360" t="n">
        <v>3</v>
      </c>
      <c r="I614" s="360" t="inlineStr">
        <is>
          <t>昨年実績</t>
        </is>
      </c>
      <c r="J614" s="364">
        <f>IF($G614="","",IF($H614=1,$G614-ROUND($G614*10/23,0)-2*ROUND($G614/23,0),IF($H614=2,$G614,0)))</f>
        <v>0</v>
      </c>
      <c r="K614" s="364">
        <f>IF($G614="","",IF($H614=1,ROUND($G614*10/23,0),IF($H614=3,$G614-2*ROUND($G614/12,0),IF($H614=4,$G614,IF(OR($H614=5,$H614=7),ROUND($G614*10/11,0),0)))))</f>
        <v>283667</v>
      </c>
      <c r="L614" s="364">
        <f>IF($G614="","",IF($H614=1,ROUND($G614/23,0),IF($H614=3,ROUND($G614/12,0),IF($H614=5,$G614-ROUND($G614*10/11,0),IF($H614=8,$G614,0)))))</f>
        <v>28367</v>
      </c>
      <c r="M614" s="364">
        <f>IF($G614="","",IF($H614=1,ROUND($G614/23,0),IF($H614=3,ROUND($G614/12,0),IF($H614=6,$G614,IF($H614=7,$G614-ROUND($G614*10/11,0),0)))))</f>
        <v>28367</v>
      </c>
      <c r="N614" s="364">
        <f>IF($G614="","",K614+L614+M614)</f>
        <v>340401</v>
      </c>
      <c r="O614" s="365" t="str">
        <f>IF($G614="","",IFERROR(VLOOKUP($D614&amp;"|"&amp;$E614,科目表!$A$5:$B$200,2,FALSE),"※未登録"))</f>
        <v>非常勤職員手当</v>
      </c>
      <c r="P614" s="359">
        <f>IF(OR($G614="",$C614=""),"",IF($B614="決算整理",13,MOD(MONTH($C614)-4,12)+1))</f>
        <v>11</v>
      </c>
      <c r="Q614" s="366" t="str">
        <f>IF($G614="","",TRIM(IF(J614+K614+L614+M614&lt;&gt;$G614,"按分不一致 ","")&amp;IF(O614="※未登録","科目未登録 ","")&amp;IF(OR($H614="",ISERROR(MATCH($H614,{1,2,3,4,5,6,7,8},0))),"経費区分? ","")&amp;IF($I614="","状態未設定 ","")&amp;IF(AND(OR($I614="確認済",$I614="未確認"),$B614="月例",OR($C614="",$C614&lt;DATE(年度+2018,4,1),$C614&gt;DATE(年度+2019,3,31))),"年度外の日付 ","")&amp;IF(AND(OR($I614="確認済",$I614="未確認"),O614="対象外"),"対象外の科目 ","")))</f>
        <v/>
      </c>
      <c r="R614" s="366" t="inlineStr">
        <is>
          <t>月例!639</t>
        </is>
      </c>
    </row>
    <row r="615">
      <c r="A615" s="359" t="n">
        <v>611</v>
      </c>
      <c r="B615" s="360" t="inlineStr">
        <is>
          <t>月例</t>
        </is>
      </c>
      <c r="C615" s="361" t="n">
        <v>44246</v>
      </c>
      <c r="D615" s="362" t="inlineStr">
        <is>
          <t>負担金</t>
        </is>
      </c>
      <c r="E615" s="362" t="inlineStr">
        <is>
          <t>互助会費</t>
        </is>
      </c>
      <c r="F615" s="362" t="inlineStr">
        <is>
          <t>助成金（２月長期分）</t>
        </is>
      </c>
      <c r="G615" s="363" t="n">
        <v>476</v>
      </c>
      <c r="H615" s="360" t="n">
        <v>3</v>
      </c>
      <c r="I615" s="360" t="inlineStr">
        <is>
          <t>昨年実績</t>
        </is>
      </c>
      <c r="J615" s="364">
        <f>IF($G615="","",IF($H615=1,$G615-ROUND($G615*10/23,0)-2*ROUND($G615/23,0),IF($H615=2,$G615,0)))</f>
        <v>0</v>
      </c>
      <c r="K615" s="364">
        <f>IF($G615="","",IF($H615=1,ROUND($G615*10/23,0),IF($H615=3,$G615-2*ROUND($G615/12,0),IF($H615=4,$G615,IF(OR($H615=5,$H615=7),ROUND($G615*10/11,0),0)))))</f>
        <v>396</v>
      </c>
      <c r="L615" s="364">
        <f>IF($G615="","",IF($H615=1,ROUND($G615/23,0),IF($H615=3,ROUND($G615/12,0),IF($H615=5,$G615-ROUND($G615*10/11,0),IF($H615=8,$G615,0)))))</f>
        <v>40</v>
      </c>
      <c r="M615" s="364">
        <f>IF($G615="","",IF($H615=1,ROUND($G615/23,0),IF($H615=3,ROUND($G615/12,0),IF($H615=6,$G615,IF($H615=7,$G615-ROUND($G615*10/11,0),0)))))</f>
        <v>40</v>
      </c>
      <c r="N615" s="364">
        <f>IF($G615="","",K615+L615+M615)</f>
        <v>476</v>
      </c>
      <c r="O615" s="365" t="str">
        <f>IF($G615="","",IFERROR(VLOOKUP($D615&amp;"|"&amp;$E615,科目表!$A$5:$B$200,2,FALSE),"※未登録"))</f>
        <v>互助会費</v>
      </c>
      <c r="P615" s="359">
        <f>IF(OR($G615="",$C615=""),"",IF($B615="決算整理",13,MOD(MONTH($C615)-4,12)+1))</f>
        <v>11</v>
      </c>
      <c r="Q615" s="366" t="str">
        <f>IF($G615="","",TRIM(IF(J615+K615+L615+M615&lt;&gt;$G615,"按分不一致 ","")&amp;IF(O615="※未登録","科目未登録 ","")&amp;IF(OR($H615="",ISERROR(MATCH($H615,{1,2,3,4,5,6,7,8},0))),"経費区分? ","")&amp;IF($I615="","状態未設定 ","")&amp;IF(AND(OR($I615="確認済",$I615="未確認"),$B615="月例",OR($C615="",$C615&lt;DATE(年度+2018,4,1),$C615&gt;DATE(年度+2019,3,31))),"年度外の日付 ","")&amp;IF(AND(OR($I615="確認済",$I615="未確認"),O615="対象外"),"対象外の科目 ","")))</f>
        <v/>
      </c>
      <c r="R615" s="366" t="inlineStr">
        <is>
          <t>月例!640</t>
        </is>
      </c>
    </row>
    <row r="616">
      <c r="A616" s="359" t="n">
        <v>612</v>
      </c>
      <c r="B616" s="360" t="inlineStr">
        <is>
          <t>月例</t>
        </is>
      </c>
      <c r="C616" s="361" t="n">
        <v>43524</v>
      </c>
      <c r="D616" s="362" t="inlineStr">
        <is>
          <t>事務費</t>
        </is>
      </c>
      <c r="E616" s="362" t="inlineStr">
        <is>
          <t>図書印刷費</t>
        </is>
      </c>
      <c r="F616" s="362" t="inlineStr">
        <is>
          <t>２０１９診療報酬Ｑ＆Ａ</t>
        </is>
      </c>
      <c r="G616" s="363" t="n">
        <v>3078</v>
      </c>
      <c r="H616" s="360" t="n">
        <v>2</v>
      </c>
      <c r="I616" s="360" t="inlineStr">
        <is>
          <t>昨年実績</t>
        </is>
      </c>
      <c r="J616" s="364">
        <f>IF($G616="","",IF($H616=1,$G616-ROUND($G616*10/23,0)-2*ROUND($G616/23,0),IF($H616=2,$G616,0)))</f>
        <v>3078</v>
      </c>
      <c r="K616" s="364">
        <f>IF($G616="","",IF($H616=1,ROUND($G616*10/23,0),IF($H616=3,$G616-2*ROUND($G616/12,0),IF($H616=4,$G616,IF(OR($H616=5,$H616=7),ROUND($G616*10/11,0),0)))))</f>
        <v>0</v>
      </c>
      <c r="L616" s="364">
        <f>IF($G616="","",IF($H616=1,ROUND($G616/23,0),IF($H616=3,ROUND($G616/12,0),IF($H616=5,$G616-ROUND($G616*10/11,0),IF($H616=8,$G616,0)))))</f>
        <v>0</v>
      </c>
      <c r="M616" s="364">
        <f>IF($G616="","",IF($H616=1,ROUND($G616/23,0),IF($H616=3,ROUND($G616/12,0),IF($H616=6,$G616,IF($H616=7,$G616-ROUND($G616*10/11,0),0)))))</f>
        <v>0</v>
      </c>
      <c r="N616" s="364">
        <f>IF($G616="","",K616+L616+M616)</f>
        <v>0</v>
      </c>
      <c r="O616" s="365" t="str">
        <f>IF($G616="","",IFERROR(VLOOKUP($D616&amp;"|"&amp;$E616,科目表!$A$5:$B$200,2,FALSE),"※未登録"))</f>
        <v>図書印刷費</v>
      </c>
      <c r="P616" s="359">
        <f>IF(OR($G616="",$C616=""),"",IF($B616="決算整理",13,MOD(MONTH($C616)-4,12)+1))</f>
        <v>11</v>
      </c>
      <c r="Q616" s="366" t="str">
        <f>IF($G616="","",TRIM(IF(J616+K616+L616+M616&lt;&gt;$G616,"按分不一致 ","")&amp;IF(O616="※未登録","科目未登録 ","")&amp;IF(OR($H616="",ISERROR(MATCH($H616,{1,2,3,4,5,6,7,8},0))),"経費区分? ","")&amp;IF($I616="","状態未設定 ","")&amp;IF(AND(OR($I616="確認済",$I616="未確認"),$B616="月例",OR($C616="",$C616&lt;DATE(年度+2018,4,1),$C616&gt;DATE(年度+2019,3,31))),"年度外の日付 ","")&amp;IF(AND(OR($I616="確認済",$I616="未確認"),O616="対象外"),"対象外の科目 ","")))</f>
        <v/>
      </c>
      <c r="R616" s="366" t="inlineStr">
        <is>
          <t>月例!641</t>
        </is>
      </c>
    </row>
    <row r="617">
      <c r="A617" s="359" t="n">
        <v>613</v>
      </c>
      <c r="B617" s="360" t="inlineStr">
        <is>
          <t>月例</t>
        </is>
      </c>
      <c r="C617" s="361" t="n">
        <v>46080</v>
      </c>
      <c r="D617" s="362" t="inlineStr">
        <is>
          <t>委託費</t>
        </is>
      </c>
      <c r="E617" s="362" t="n"/>
      <c r="F617" s="362" t="inlineStr">
        <is>
          <t>柔整等療養費支給申請書の入力（１月分）</t>
        </is>
      </c>
      <c r="G617" s="363" t="n">
        <v>145417</v>
      </c>
      <c r="H617" s="360" t="n">
        <v>2</v>
      </c>
      <c r="I617" s="360" t="inlineStr">
        <is>
          <t>昨年実績</t>
        </is>
      </c>
      <c r="J617" s="364">
        <f>IF($G617="","",IF($H617=1,$G617-ROUND($G617*10/23,0)-2*ROUND($G617/23,0),IF($H617=2,$G617,0)))</f>
        <v>145417</v>
      </c>
      <c r="K617" s="364">
        <f>IF($G617="","",IF($H617=1,ROUND($G617*10/23,0),IF($H617=3,$G617-2*ROUND($G617/12,0),IF($H617=4,$G617,IF(OR($H617=5,$H617=7),ROUND($G617*10/11,0),0)))))</f>
        <v>0</v>
      </c>
      <c r="L617" s="364">
        <f>IF($G617="","",IF($H617=1,ROUND($G617/23,0),IF($H617=3,ROUND($G617/12,0),IF($H617=5,$G617-ROUND($G617*10/11,0),IF($H617=8,$G617,0)))))</f>
        <v>0</v>
      </c>
      <c r="M617" s="364">
        <f>IF($G617="","",IF($H617=1,ROUND($G617/23,0),IF($H617=3,ROUND($G617/12,0),IF($H617=6,$G617,IF($H617=7,$G617-ROUND($G617*10/11,0),0)))))</f>
        <v>0</v>
      </c>
      <c r="N617" s="364">
        <f>IF($G617="","",K617+L617+M617)</f>
        <v>0</v>
      </c>
      <c r="O617" s="365" t="str">
        <f>IF($G617="","",IFERROR(VLOOKUP($D617&amp;"|"&amp;$E617,科目表!$A$5:$B$200,2,FALSE),"※未登録"))</f>
        <v>委託費</v>
      </c>
      <c r="P617" s="359">
        <f>IF(OR($G617="",$C617=""),"",IF($B617="決算整理",13,MOD(MONTH($C617)-4,12)+1))</f>
        <v>11</v>
      </c>
      <c r="Q617" s="366" t="str">
        <f>IF($G617="","",TRIM(IF(J617+K617+L617+M617&lt;&gt;$G617,"按分不一致 ","")&amp;IF(O617="※未登録","科目未登録 ","")&amp;IF(OR($H617="",ISERROR(MATCH($H617,{1,2,3,4,5,6,7,8},0))),"経費区分? ","")&amp;IF($I617="","状態未設定 ","")&amp;IF(AND(OR($I617="確認済",$I617="未確認"),$B617="月例",OR($C617="",$C617&lt;DATE(年度+2018,4,1),$C617&gt;DATE(年度+2019,3,31))),"年度外の日付 ","")&amp;IF(AND(OR($I617="確認済",$I617="未確認"),O617="対象外"),"対象外の科目 ","")))</f>
        <v/>
      </c>
      <c r="R617" s="366" t="inlineStr">
        <is>
          <t>月例!642</t>
        </is>
      </c>
    </row>
    <row r="618">
      <c r="A618" s="359" t="n">
        <v>614</v>
      </c>
      <c r="B618" s="360" t="inlineStr">
        <is>
          <t>月例</t>
        </is>
      </c>
      <c r="C618" s="361" t="n">
        <v>45351</v>
      </c>
      <c r="D618" s="362" t="inlineStr">
        <is>
          <t>事務費</t>
        </is>
      </c>
      <c r="E618" s="362" t="inlineStr">
        <is>
          <t>図書印刷費</t>
        </is>
      </c>
      <c r="F618" s="362" t="inlineStr">
        <is>
          <t>角２封筒クラフト８５ｇ　エルコン付　３，０００枚</t>
        </is>
      </c>
      <c r="G618" s="363" t="n">
        <v>49995</v>
      </c>
      <c r="H618" s="360" t="n">
        <v>2</v>
      </c>
      <c r="I618" s="360" t="inlineStr">
        <is>
          <t>昨年実績</t>
        </is>
      </c>
      <c r="J618" s="364">
        <f>IF($G618="","",IF($H618=1,$G618-ROUND($G618*10/23,0)-2*ROUND($G618/23,0),IF($H618=2,$G618,0)))</f>
        <v>49995</v>
      </c>
      <c r="K618" s="364">
        <f>IF($G618="","",IF($H618=1,ROUND($G618*10/23,0),IF($H618=3,$G618-2*ROUND($G618/12,0),IF($H618=4,$G618,IF(OR($H618=5,$H618=7),ROUND($G618*10/11,0),0)))))</f>
        <v>0</v>
      </c>
      <c r="L618" s="364">
        <f>IF($G618="","",IF($H618=1,ROUND($G618/23,0),IF($H618=3,ROUND($G618/12,0),IF($H618=5,$G618-ROUND($G618*10/11,0),IF($H618=8,$G618,0)))))</f>
        <v>0</v>
      </c>
      <c r="M618" s="364">
        <f>IF($G618="","",IF($H618=1,ROUND($G618/23,0),IF($H618=3,ROUND($G618/12,0),IF($H618=6,$G618,IF($H618=7,$G618-ROUND($G618*10/11,0),0)))))</f>
        <v>0</v>
      </c>
      <c r="N618" s="364">
        <f>IF($G618="","",K618+L618+M618)</f>
        <v>0</v>
      </c>
      <c r="O618" s="365" t="str">
        <f>IF($G618="","",IFERROR(VLOOKUP($D618&amp;"|"&amp;$E618,科目表!$A$5:$B$200,2,FALSE),"※未登録"))</f>
        <v>図書印刷費</v>
      </c>
      <c r="P618" s="359">
        <f>IF(OR($G618="",$C618=""),"",IF($B618="決算整理",13,MOD(MONTH($C618)-4,12)+1))</f>
        <v>11</v>
      </c>
      <c r="Q618" s="366" t="str">
        <f>IF($G618="","",TRIM(IF(J618+K618+L618+M618&lt;&gt;$G618,"按分不一致 ","")&amp;IF(O618="※未登録","科目未登録 ","")&amp;IF(OR($H618="",ISERROR(MATCH($H618,{1,2,3,4,5,6,7,8},0))),"経費区分? ","")&amp;IF($I618="","状態未設定 ","")&amp;IF(AND(OR($I618="確認済",$I618="未確認"),$B618="月例",OR($C618="",$C618&lt;DATE(年度+2018,4,1),$C618&gt;DATE(年度+2019,3,31))),"年度外の日付 ","")&amp;IF(AND(OR($I618="確認済",$I618="未確認"),O618="対象外"),"対象外の科目 ","")))</f>
        <v/>
      </c>
      <c r="R618" s="366" t="inlineStr">
        <is>
          <t>月例!643</t>
        </is>
      </c>
    </row>
    <row r="619">
      <c r="A619" s="359" t="n">
        <v>615</v>
      </c>
      <c r="B619" s="360" t="inlineStr">
        <is>
          <t>月例</t>
        </is>
      </c>
      <c r="C619" s="361" t="n">
        <v>44253</v>
      </c>
      <c r="D619" s="362" t="inlineStr">
        <is>
          <t>事務費</t>
        </is>
      </c>
      <c r="E619" s="362" t="inlineStr">
        <is>
          <t>事務用消耗品費</t>
        </is>
      </c>
      <c r="F619" s="362" t="inlineStr">
        <is>
          <t>色上質紙　厚口／５００枚／Ａ４／浅黄</t>
        </is>
      </c>
      <c r="G619" s="363" t="n">
        <v>3696</v>
      </c>
      <c r="H619" s="360" t="n">
        <v>3</v>
      </c>
      <c r="I619" s="360" t="inlineStr">
        <is>
          <t>昨年実績</t>
        </is>
      </c>
      <c r="J619" s="364">
        <f>IF($G619="","",IF($H619=1,$G619-ROUND($G619*10/23,0)-2*ROUND($G619/23,0),IF($H619=2,$G619,0)))</f>
        <v>0</v>
      </c>
      <c r="K619" s="364">
        <f>IF($G619="","",IF($H619=1,ROUND($G619*10/23,0),IF($H619=3,$G619-2*ROUND($G619/12,0),IF($H619=4,$G619,IF(OR($H619=5,$H619=7),ROUND($G619*10/11,0),0)))))</f>
        <v>3080</v>
      </c>
      <c r="L619" s="364">
        <f>IF($G619="","",IF($H619=1,ROUND($G619/23,0),IF($H619=3,ROUND($G619/12,0),IF($H619=5,$G619-ROUND($G619*10/11,0),IF($H619=8,$G619,0)))))</f>
        <v>308</v>
      </c>
      <c r="M619" s="364">
        <f>IF($G619="","",IF($H619=1,ROUND($G619/23,0),IF($H619=3,ROUND($G619/12,0),IF($H619=6,$G619,IF($H619=7,$G619-ROUND($G619*10/11,0),0)))))</f>
        <v>308</v>
      </c>
      <c r="N619" s="364">
        <f>IF($G619="","",K619+L619+M619)</f>
        <v>3696</v>
      </c>
      <c r="O619" s="365" t="str">
        <f>IF($G619="","",IFERROR(VLOOKUP($D619&amp;"|"&amp;$E619,科目表!$A$5:$B$200,2,FALSE),"※未登録"))</f>
        <v>事務用消耗品費</v>
      </c>
      <c r="P619" s="359">
        <f>IF(OR($G619="",$C619=""),"",IF($B619="決算整理",13,MOD(MONTH($C619)-4,12)+1))</f>
        <v>11</v>
      </c>
      <c r="Q619" s="366" t="str">
        <f>IF($G619="","",TRIM(IF(J619+K619+L619+M619&lt;&gt;$G619,"按分不一致 ","")&amp;IF(O619="※未登録","科目未登録 ","")&amp;IF(OR($H619="",ISERROR(MATCH($H619,{1,2,3,4,5,6,7,8},0))),"経費区分? ","")&amp;IF($I619="","状態未設定 ","")&amp;IF(AND(OR($I619="確認済",$I619="未確認"),$B619="月例",OR($C619="",$C619&lt;DATE(年度+2018,4,1),$C619&gt;DATE(年度+2019,3,31))),"年度外の日付 ","")&amp;IF(AND(OR($I619="確認済",$I619="未確認"),O619="対象外"),"対象外の科目 ","")))</f>
        <v/>
      </c>
      <c r="R619" s="366" t="inlineStr">
        <is>
          <t>月例!644</t>
        </is>
      </c>
    </row>
    <row r="620">
      <c r="A620" s="359" t="n">
        <v>616</v>
      </c>
      <c r="B620" s="360" t="inlineStr">
        <is>
          <t>月例</t>
        </is>
      </c>
      <c r="C620" s="361" t="n">
        <v>43889</v>
      </c>
      <c r="D620" s="362" t="inlineStr">
        <is>
          <t>賃借料</t>
        </is>
      </c>
      <c r="E620" s="362" t="n"/>
      <c r="F620" s="362" t="inlineStr">
        <is>
          <t>基幹システム（短期）用機器リース料１月分</t>
        </is>
      </c>
      <c r="G620" s="363" t="n">
        <v>193676</v>
      </c>
      <c r="H620" s="360" t="n">
        <v>2</v>
      </c>
      <c r="I620" s="360" t="inlineStr">
        <is>
          <t>昨年実績</t>
        </is>
      </c>
      <c r="J620" s="364">
        <f>IF($G620="","",IF($H620=1,$G620-ROUND($G620*10/23,0)-2*ROUND($G620/23,0),IF($H620=2,$G620,0)))</f>
        <v>193676</v>
      </c>
      <c r="K620" s="364">
        <f>IF($G620="","",IF($H620=1,ROUND($G620*10/23,0),IF($H620=3,$G620-2*ROUND($G620/12,0),IF($H620=4,$G620,IF(OR($H620=5,$H620=7),ROUND($G620*10/11,0),0)))))</f>
        <v>0</v>
      </c>
      <c r="L620" s="364">
        <f>IF($G620="","",IF($H620=1,ROUND($G620/23,0),IF($H620=3,ROUND($G620/12,0),IF($H620=5,$G620-ROUND($G620*10/11,0),IF($H620=8,$G620,0)))))</f>
        <v>0</v>
      </c>
      <c r="M620" s="364">
        <f>IF($G620="","",IF($H620=1,ROUND($G620/23,0),IF($H620=3,ROUND($G620/12,0),IF($H620=6,$G620,IF($H620=7,$G620-ROUND($G620*10/11,0),0)))))</f>
        <v>0</v>
      </c>
      <c r="N620" s="364">
        <f>IF($G620="","",K620+L620+M620)</f>
        <v>0</v>
      </c>
      <c r="O620" s="365" t="str">
        <f>IF($G620="","",IFERROR(VLOOKUP($D620&amp;"|"&amp;$E620,科目表!$A$5:$B$200,2,FALSE),"※未登録"))</f>
        <v>賃借料</v>
      </c>
      <c r="P620" s="359">
        <f>IF(OR($G620="",$C620=""),"",IF($B620="決算整理",13,MOD(MONTH($C620)-4,12)+1))</f>
        <v>11</v>
      </c>
      <c r="Q620" s="366" t="str">
        <f>IF($G620="","",TRIM(IF(J620+K620+L620+M620&lt;&gt;$G620,"按分不一致 ","")&amp;IF(O620="※未登録","科目未登録 ","")&amp;IF(OR($H620="",ISERROR(MATCH($H620,{1,2,3,4,5,6,7,8},0))),"経費区分? ","")&amp;IF($I620="","状態未設定 ","")&amp;IF(AND(OR($I620="確認済",$I620="未確認"),$B620="月例",OR($C620="",$C620&lt;DATE(年度+2018,4,1),$C620&gt;DATE(年度+2019,3,31))),"年度外の日付 ","")&amp;IF(AND(OR($I620="確認済",$I620="未確認"),O620="対象外"),"対象外の科目 ","")))</f>
        <v/>
      </c>
      <c r="R620" s="366" t="inlineStr">
        <is>
          <t>月例!645</t>
        </is>
      </c>
    </row>
    <row r="621">
      <c r="A621" s="359" t="n">
        <v>617</v>
      </c>
      <c r="B621" s="360" t="inlineStr">
        <is>
          <t>月例</t>
        </is>
      </c>
      <c r="C621" s="361" t="n">
        <v>46071</v>
      </c>
      <c r="D621" s="362" t="inlineStr">
        <is>
          <t>賃借料</t>
        </is>
      </c>
      <c r="E621" s="362" t="n"/>
      <c r="F621" s="362" t="inlineStr">
        <is>
          <t>統合管理端末リース料（１月分）</t>
        </is>
      </c>
      <c r="G621" s="363" t="n">
        <v>12738</v>
      </c>
      <c r="H621" s="360" t="n">
        <v>2</v>
      </c>
      <c r="I621" s="360" t="inlineStr">
        <is>
          <t>昨年実績</t>
        </is>
      </c>
      <c r="J621" s="364">
        <f>IF($G621="","",IF($H621=1,$G621-ROUND($G621*10/23,0)-2*ROUND($G621/23,0),IF($H621=2,$G621,0)))</f>
        <v>12738</v>
      </c>
      <c r="K621" s="364">
        <f>IF($G621="","",IF($H621=1,ROUND($G621*10/23,0),IF($H621=3,$G621-2*ROUND($G621/12,0),IF($H621=4,$G621,IF(OR($H621=5,$H621=7),ROUND($G621*10/11,0),0)))))</f>
        <v>0</v>
      </c>
      <c r="L621" s="364">
        <f>IF($G621="","",IF($H621=1,ROUND($G621/23,0),IF($H621=3,ROUND($G621/12,0),IF($H621=5,$G621-ROUND($G621*10/11,0),IF($H621=8,$G621,0)))))</f>
        <v>0</v>
      </c>
      <c r="M621" s="364">
        <f>IF($G621="","",IF($H621=1,ROUND($G621/23,0),IF($H621=3,ROUND($G621/12,0),IF($H621=6,$G621,IF($H621=7,$G621-ROUND($G621*10/11,0),0)))))</f>
        <v>0</v>
      </c>
      <c r="N621" s="364">
        <f>IF($G621="","",K621+L621+M621)</f>
        <v>0</v>
      </c>
      <c r="O621" s="365" t="str">
        <f>IF($G621="","",IFERROR(VLOOKUP($D621&amp;"|"&amp;$E621,科目表!$A$5:$B$200,2,FALSE),"※未登録"))</f>
        <v>賃借料</v>
      </c>
      <c r="P621" s="359">
        <f>IF(OR($G621="",$C621=""),"",IF($B621="決算整理",13,MOD(MONTH($C621)-4,12)+1))</f>
        <v>11</v>
      </c>
      <c r="Q621" s="366" t="str">
        <f>IF($G621="","",TRIM(IF(J621+K621+L621+M621&lt;&gt;$G621,"按分不一致 ","")&amp;IF(O621="※未登録","科目未登録 ","")&amp;IF(OR($H621="",ISERROR(MATCH($H621,{1,2,3,4,5,6,7,8},0))),"経費区分? ","")&amp;IF($I621="","状態未設定 ","")&amp;IF(AND(OR($I621="確認済",$I621="未確認"),$B621="月例",OR($C621="",$C621&lt;DATE(年度+2018,4,1),$C621&gt;DATE(年度+2019,3,31))),"年度外の日付 ","")&amp;IF(AND(OR($I621="確認済",$I621="未確認"),O621="対象外"),"対象外の科目 ","")))</f>
        <v/>
      </c>
      <c r="R621" s="366" t="inlineStr">
        <is>
          <t>月例!646</t>
        </is>
      </c>
    </row>
    <row r="622">
      <c r="A622" s="359" t="n">
        <v>618</v>
      </c>
      <c r="B622" s="360" t="inlineStr">
        <is>
          <t>月例</t>
        </is>
      </c>
      <c r="C622" s="361" t="n">
        <v>45351</v>
      </c>
      <c r="D622" s="362" t="inlineStr">
        <is>
          <t>委託費</t>
        </is>
      </c>
      <c r="E622" s="362" t="n"/>
      <c r="F622" s="362" t="inlineStr">
        <is>
          <t>統合管理端末保守料（１月分）</t>
        </is>
      </c>
      <c r="G622" s="363" t="n">
        <v>5390</v>
      </c>
      <c r="H622" s="360" t="n">
        <v>2</v>
      </c>
      <c r="I622" s="360" t="inlineStr">
        <is>
          <t>昨年実績</t>
        </is>
      </c>
      <c r="J622" s="364">
        <f>IF($G622="","",IF($H622=1,$G622-ROUND($G622*10/23,0)-2*ROUND($G622/23,0),IF($H622=2,$G622,0)))</f>
        <v>5390</v>
      </c>
      <c r="K622" s="364">
        <f>IF($G622="","",IF($H622=1,ROUND($G622*10/23,0),IF($H622=3,$G622-2*ROUND($G622/12,0),IF($H622=4,$G622,IF(OR($H622=5,$H622=7),ROUND($G622*10/11,0),0)))))</f>
        <v>0</v>
      </c>
      <c r="L622" s="364">
        <f>IF($G622="","",IF($H622=1,ROUND($G622/23,0),IF($H622=3,ROUND($G622/12,0),IF($H622=5,$G622-ROUND($G622*10/11,0),IF($H622=8,$G622,0)))))</f>
        <v>0</v>
      </c>
      <c r="M622" s="364">
        <f>IF($G622="","",IF($H622=1,ROUND($G622/23,0),IF($H622=3,ROUND($G622/12,0),IF($H622=6,$G622,IF($H622=7,$G622-ROUND($G622*10/11,0),0)))))</f>
        <v>0</v>
      </c>
      <c r="N622" s="364">
        <f>IF($G622="","",K622+L622+M622)</f>
        <v>0</v>
      </c>
      <c r="O622" s="365" t="str">
        <f>IF($G622="","",IFERROR(VLOOKUP($D622&amp;"|"&amp;$E622,科目表!$A$5:$B$200,2,FALSE),"※未登録"))</f>
        <v>委託費</v>
      </c>
      <c r="P622" s="359">
        <f>IF(OR($G622="",$C622=""),"",IF($B622="決算整理",13,MOD(MONTH($C622)-4,12)+1))</f>
        <v>11</v>
      </c>
      <c r="Q622" s="366" t="str">
        <f>IF($G622="","",TRIM(IF(J622+K622+L622+M622&lt;&gt;$G622,"按分不一致 ","")&amp;IF(O622="※未登録","科目未登録 ","")&amp;IF(OR($H622="",ISERROR(MATCH($H622,{1,2,3,4,5,6,7,8},0))),"経費区分? ","")&amp;IF($I622="","状態未設定 ","")&amp;IF(AND(OR($I622="確認済",$I622="未確認"),$B622="月例",OR($C622="",$C622&lt;DATE(年度+2018,4,1),$C622&gt;DATE(年度+2019,3,31))),"年度外の日付 ","")&amp;IF(AND(OR($I622="確認済",$I622="未確認"),O622="対象外"),"対象外の科目 ","")))</f>
        <v/>
      </c>
      <c r="R622" s="366" t="inlineStr">
        <is>
          <t>月例!647</t>
        </is>
      </c>
    </row>
    <row r="623">
      <c r="A623" s="359" t="n">
        <v>619</v>
      </c>
      <c r="B623" s="360" t="inlineStr">
        <is>
          <t>月例</t>
        </is>
      </c>
      <c r="C623" s="361" t="n">
        <v>46083</v>
      </c>
      <c r="D623" s="362" t="inlineStr">
        <is>
          <t>負担金</t>
        </is>
      </c>
      <c r="E623" s="362" t="inlineStr">
        <is>
          <t>厚年負担金等</t>
        </is>
      </c>
      <c r="F623" s="362" t="inlineStr">
        <is>
          <t>１月月例、改定差額分（短期分）子ども子育て拠出金を含む</t>
        </is>
      </c>
      <c r="G623" s="363" t="n">
        <v>62290</v>
      </c>
      <c r="H623" s="360" t="n">
        <v>2</v>
      </c>
      <c r="I623" s="360" t="inlineStr">
        <is>
          <t>昨年実績</t>
        </is>
      </c>
      <c r="J623" s="364">
        <f>IF($G623="","",IF($H623=1,$G623-ROUND($G623*10/23,0)-2*ROUND($G623/23,0),IF($H623=2,$G623,0)))</f>
        <v>62290</v>
      </c>
      <c r="K623" s="364">
        <f>IF($G623="","",IF($H623=1,ROUND($G623*10/23,0),IF($H623=3,$G623-2*ROUND($G623/12,0),IF($H623=4,$G623,IF(OR($H623=5,$H623=7),ROUND($G623*10/11,0),0)))))</f>
        <v>0</v>
      </c>
      <c r="L623" s="364">
        <f>IF($G623="","",IF($H623=1,ROUND($G623/23,0),IF($H623=3,ROUND($G623/12,0),IF($H623=5,$G623-ROUND($G623*10/11,0),IF($H623=8,$G623,0)))))</f>
        <v>0</v>
      </c>
      <c r="M623" s="364">
        <f>IF($G623="","",IF($H623=1,ROUND($G623/23,0),IF($H623=3,ROUND($G623/12,0),IF($H623=6,$G623,IF($H623=7,$G623-ROUND($G623*10/11,0),0)))))</f>
        <v>0</v>
      </c>
      <c r="N623" s="364">
        <f>IF($G623="","",K623+L623+M623)</f>
        <v>0</v>
      </c>
      <c r="O623" s="365" t="str">
        <f>IF($G623="","",IFERROR(VLOOKUP($D623&amp;"|"&amp;$E623,科目表!$A$5:$B$200,2,FALSE),"※未登録"))</f>
        <v>厚年負担金等</v>
      </c>
      <c r="P623" s="359">
        <f>IF(OR($G623="",$C623=""),"",IF($B623="決算整理",13,MOD(MONTH($C623)-4,12)+1))</f>
        <v>12</v>
      </c>
      <c r="Q623" s="366" t="str">
        <f>IF($G623="","",TRIM(IF(J623+K623+L623+M623&lt;&gt;$G623,"按分不一致 ","")&amp;IF(O623="※未登録","科目未登録 ","")&amp;IF(OR($H623="",ISERROR(MATCH($H623,{1,2,3,4,5,6,7,8},0))),"経費区分? ","")&amp;IF($I623="","状態未設定 ","")&amp;IF(AND(OR($I623="確認済",$I623="未確認"),$B623="月例",OR($C623="",$C623&lt;DATE(年度+2018,4,1),$C623&gt;DATE(年度+2019,3,31))),"年度外の日付 ","")&amp;IF(AND(OR($I623="確認済",$I623="未確認"),O623="対象外"),"対象外の科目 ","")))</f>
        <v/>
      </c>
      <c r="R623" s="366" t="inlineStr">
        <is>
          <t>月例!648</t>
        </is>
      </c>
    </row>
    <row r="624">
      <c r="A624" s="359" t="n">
        <v>620</v>
      </c>
      <c r="B624" s="360" t="inlineStr">
        <is>
          <t>月例</t>
        </is>
      </c>
      <c r="C624" s="361" t="n">
        <v>46083</v>
      </c>
      <c r="D624" s="362" t="inlineStr">
        <is>
          <t>負担金</t>
        </is>
      </c>
      <c r="E624" s="362" t="inlineStr">
        <is>
          <t>厚年負担金等</t>
        </is>
      </c>
      <c r="F624" s="362" t="inlineStr">
        <is>
          <t>１月月例、改定差額分（長期分）子ども子育て拠出金を含む</t>
        </is>
      </c>
      <c r="G624" s="363" t="n">
        <v>40987</v>
      </c>
      <c r="H624" s="360" t="n">
        <v>3</v>
      </c>
      <c r="I624" s="360" t="inlineStr">
        <is>
          <t>昨年実績</t>
        </is>
      </c>
      <c r="J624" s="364">
        <f>IF($G624="","",IF($H624=1,$G624-ROUND($G624*10/23,0)-2*ROUND($G624/23,0),IF($H624=2,$G624,0)))</f>
        <v>0</v>
      </c>
      <c r="K624" s="364">
        <f>IF($G624="","",IF($H624=1,ROUND($G624*10/23,0),IF($H624=3,$G624-2*ROUND($G624/12,0),IF($H624=4,$G624,IF(OR($H624=5,$H624=7),ROUND($G624*10/11,0),0)))))</f>
        <v>34155</v>
      </c>
      <c r="L624" s="364">
        <f>IF($G624="","",IF($H624=1,ROUND($G624/23,0),IF($H624=3,ROUND($G624/12,0),IF($H624=5,$G624-ROUND($G624*10/11,0),IF($H624=8,$G624,0)))))</f>
        <v>3416</v>
      </c>
      <c r="M624" s="364">
        <f>IF($G624="","",IF($H624=1,ROUND($G624/23,0),IF($H624=3,ROUND($G624/12,0),IF($H624=6,$G624,IF($H624=7,$G624-ROUND($G624*10/11,0),0)))))</f>
        <v>3416</v>
      </c>
      <c r="N624" s="364">
        <f>IF($G624="","",K624+L624+M624)</f>
        <v>40987</v>
      </c>
      <c r="O624" s="365" t="str">
        <f>IF($G624="","",IFERROR(VLOOKUP($D624&amp;"|"&amp;$E624,科目表!$A$5:$B$200,2,FALSE),"※未登録"))</f>
        <v>厚年負担金等</v>
      </c>
      <c r="P624" s="359">
        <f>IF(OR($G624="",$C624=""),"",IF($B624="決算整理",13,MOD(MONTH($C624)-4,12)+1))</f>
        <v>12</v>
      </c>
      <c r="Q624" s="366" t="str">
        <f>IF($G624="","",TRIM(IF(J624+K624+L624+M624&lt;&gt;$G624,"按分不一致 ","")&amp;IF(O624="※未登録","科目未登録 ","")&amp;IF(OR($H624="",ISERROR(MATCH($H624,{1,2,3,4,5,6,7,8},0))),"経費区分? ","")&amp;IF($I624="","状態未設定 ","")&amp;IF(AND(OR($I624="確認済",$I624="未確認"),$B624="月例",OR($C624="",$C624&lt;DATE(年度+2018,4,1),$C624&gt;DATE(年度+2019,3,31))),"年度外の日付 ","")&amp;IF(AND(OR($I624="確認済",$I624="未確認"),O624="対象外"),"対象外の科目 ","")))</f>
        <v/>
      </c>
      <c r="R624" s="366" t="inlineStr">
        <is>
          <t>月例!649</t>
        </is>
      </c>
    </row>
    <row r="625">
      <c r="A625" s="359" t="n">
        <v>621</v>
      </c>
      <c r="B625" s="360" t="inlineStr">
        <is>
          <t>月例</t>
        </is>
      </c>
      <c r="C625" s="361" t="n">
        <v>44286</v>
      </c>
      <c r="D625" s="362" t="inlineStr">
        <is>
          <t>委託費</t>
        </is>
      </c>
      <c r="E625" s="362" t="n"/>
      <c r="F625" s="362" t="inlineStr">
        <is>
          <t>短期給付個人番号管理システム端末保守サービス（２月分）</t>
        </is>
      </c>
      <c r="G625" s="363" t="n">
        <v>385</v>
      </c>
      <c r="H625" s="360" t="n">
        <v>2</v>
      </c>
      <c r="I625" s="360" t="inlineStr">
        <is>
          <t>昨年実績</t>
        </is>
      </c>
      <c r="J625" s="364">
        <f>IF($G625="","",IF($H625=1,$G625-ROUND($G625*10/23,0)-2*ROUND($G625/23,0),IF($H625=2,$G625,0)))</f>
        <v>385</v>
      </c>
      <c r="K625" s="364">
        <f>IF($G625="","",IF($H625=1,ROUND($G625*10/23,0),IF($H625=3,$G625-2*ROUND($G625/12,0),IF($H625=4,$G625,IF(OR($H625=5,$H625=7),ROUND($G625*10/11,0),0)))))</f>
        <v>0</v>
      </c>
      <c r="L625" s="364">
        <f>IF($G625="","",IF($H625=1,ROUND($G625/23,0),IF($H625=3,ROUND($G625/12,0),IF($H625=5,$G625-ROUND($G625*10/11,0),IF($H625=8,$G625,0)))))</f>
        <v>0</v>
      </c>
      <c r="M625" s="364">
        <f>IF($G625="","",IF($H625=1,ROUND($G625/23,0),IF($H625=3,ROUND($G625/12,0),IF($H625=6,$G625,IF($H625=7,$G625-ROUND($G625*10/11,0),0)))))</f>
        <v>0</v>
      </c>
      <c r="N625" s="364">
        <f>IF($G625="","",K625+L625+M625)</f>
        <v>0</v>
      </c>
      <c r="O625" s="365" t="str">
        <f>IF($G625="","",IFERROR(VLOOKUP($D625&amp;"|"&amp;$E625,科目表!$A$5:$B$200,2,FALSE),"※未登録"))</f>
        <v>委託費</v>
      </c>
      <c r="P625" s="359">
        <f>IF(OR($G625="",$C625=""),"",IF($B625="決算整理",13,MOD(MONTH($C625)-4,12)+1))</f>
        <v>12</v>
      </c>
      <c r="Q625" s="366" t="str">
        <f>IF($G625="","",TRIM(IF(J625+K625+L625+M625&lt;&gt;$G625,"按分不一致 ","")&amp;IF(O625="※未登録","科目未登録 ","")&amp;IF(OR($H625="",ISERROR(MATCH($H625,{1,2,3,4,5,6,7,8},0))),"経費区分? ","")&amp;IF($I625="","状態未設定 ","")&amp;IF(AND(OR($I625="確認済",$I625="未確認"),$B625="月例",OR($C625="",$C625&lt;DATE(年度+2018,4,1),$C625&gt;DATE(年度+2019,3,31))),"年度外の日付 ","")&amp;IF(AND(OR($I625="確認済",$I625="未確認"),O625="対象外"),"対象外の科目 ","")))</f>
        <v/>
      </c>
      <c r="R625" s="366" t="inlineStr">
        <is>
          <t>月例!650</t>
        </is>
      </c>
    </row>
    <row r="626">
      <c r="A626" s="359" t="n">
        <v>622</v>
      </c>
      <c r="B626" s="360" t="inlineStr">
        <is>
          <t>月例</t>
        </is>
      </c>
      <c r="C626" s="361" t="n">
        <v>43553</v>
      </c>
      <c r="D626" s="362" t="inlineStr">
        <is>
          <t>事務費</t>
        </is>
      </c>
      <c r="E626" s="362" t="inlineStr">
        <is>
          <t>事務用消耗品費</t>
        </is>
      </c>
      <c r="F626" s="362" t="inlineStr">
        <is>
          <t>限度額適用認定証（台紙）</t>
        </is>
      </c>
      <c r="G626" s="363" t="n">
        <v>17820</v>
      </c>
      <c r="H626" s="360" t="n">
        <v>2</v>
      </c>
      <c r="I626" s="360" t="inlineStr">
        <is>
          <t>昨年実績</t>
        </is>
      </c>
      <c r="J626" s="364">
        <f>IF($G626="","",IF($H626=1,$G626-ROUND($G626*10/23,0)-2*ROUND($G626/23,0),IF($H626=2,$G626,0)))</f>
        <v>17820</v>
      </c>
      <c r="K626" s="364">
        <f>IF($G626="","",IF($H626=1,ROUND($G626*10/23,0),IF($H626=3,$G626-2*ROUND($G626/12,0),IF($H626=4,$G626,IF(OR($H626=5,$H626=7),ROUND($G626*10/11,0),0)))))</f>
        <v>0</v>
      </c>
      <c r="L626" s="364">
        <f>IF($G626="","",IF($H626=1,ROUND($G626/23,0),IF($H626=3,ROUND($G626/12,0),IF($H626=5,$G626-ROUND($G626*10/11,0),IF($H626=8,$G626,0)))))</f>
        <v>0</v>
      </c>
      <c r="M626" s="364">
        <f>IF($G626="","",IF($H626=1,ROUND($G626/23,0),IF($H626=3,ROUND($G626/12,0),IF($H626=6,$G626,IF($H626=7,$G626-ROUND($G626*10/11,0),0)))))</f>
        <v>0</v>
      </c>
      <c r="N626" s="364">
        <f>IF($G626="","",K626+L626+M626)</f>
        <v>0</v>
      </c>
      <c r="O626" s="365" t="str">
        <f>IF($G626="","",IFERROR(VLOOKUP($D626&amp;"|"&amp;$E626,科目表!$A$5:$B$200,2,FALSE),"※未登録"))</f>
        <v>事務用消耗品費</v>
      </c>
      <c r="P626" s="359">
        <f>IF(OR($G626="",$C626=""),"",IF($B626="決算整理",13,MOD(MONTH($C626)-4,12)+1))</f>
        <v>12</v>
      </c>
      <c r="Q626" s="366" t="str">
        <f>IF($G626="","",TRIM(IF(J626+K626+L626+M626&lt;&gt;$G626,"按分不一致 ","")&amp;IF(O626="※未登録","科目未登録 ","")&amp;IF(OR($H626="",ISERROR(MATCH($H626,{1,2,3,4,5,6,7,8},0))),"経費区分? ","")&amp;IF($I626="","状態未設定 ","")&amp;IF(AND(OR($I626="確認済",$I626="未確認"),$B626="月例",OR($C626="",$C626&lt;DATE(年度+2018,4,1),$C626&gt;DATE(年度+2019,3,31))),"年度外の日付 ","")&amp;IF(AND(OR($I626="確認済",$I626="未確認"),O626="対象外"),"対象外の科目 ","")))</f>
        <v/>
      </c>
      <c r="R626" s="366" t="inlineStr">
        <is>
          <t>月例!651</t>
        </is>
      </c>
    </row>
    <row r="627">
      <c r="A627" s="359" t="n">
        <v>623</v>
      </c>
      <c r="B627" s="360" t="inlineStr">
        <is>
          <t>月例</t>
        </is>
      </c>
      <c r="C627" s="361" t="n">
        <v>46091</v>
      </c>
      <c r="D627" s="362" t="inlineStr">
        <is>
          <t>事務費</t>
        </is>
      </c>
      <c r="E627" s="362" t="inlineStr">
        <is>
          <t>送金料</t>
        </is>
      </c>
      <c r="F627" s="362" t="inlineStr">
        <is>
          <t>振込手数料（広銀）２月分　長期分</t>
        </is>
      </c>
      <c r="G627" s="363" t="n">
        <v>14994</v>
      </c>
      <c r="H627" s="360" t="n">
        <v>3</v>
      </c>
      <c r="I627" s="360" t="inlineStr">
        <is>
          <t>昨年実績</t>
        </is>
      </c>
      <c r="J627" s="364">
        <f>IF($G627="","",IF($H627=1,$G627-ROUND($G627*10/23,0)-2*ROUND($G627/23,0),IF($H627=2,$G627,0)))</f>
        <v>0</v>
      </c>
      <c r="K627" s="364">
        <f>IF($G627="","",IF($H627=1,ROUND($G627*10/23,0),IF($H627=3,$G627-2*ROUND($G627/12,0),IF($H627=4,$G627,IF(OR($H627=5,$H627=7),ROUND($G627*10/11,0),0)))))</f>
        <v>12494</v>
      </c>
      <c r="L627" s="364">
        <f>IF($G627="","",IF($H627=1,ROUND($G627/23,0),IF($H627=3,ROUND($G627/12,0),IF($H627=5,$G627-ROUND($G627*10/11,0),IF($H627=8,$G627,0)))))</f>
        <v>1250</v>
      </c>
      <c r="M627" s="364">
        <f>IF($G627="","",IF($H627=1,ROUND($G627/23,0),IF($H627=3,ROUND($G627/12,0),IF($H627=6,$G627,IF($H627=7,$G627-ROUND($G627*10/11,0),0)))))</f>
        <v>1250</v>
      </c>
      <c r="N627" s="364">
        <f>IF($G627="","",K627+L627+M627)</f>
        <v>14994</v>
      </c>
      <c r="O627" s="365" t="str">
        <f>IF($G627="","",IFERROR(VLOOKUP($D627&amp;"|"&amp;$E627,科目表!$A$5:$B$200,2,FALSE),"※未登録"))</f>
        <v>送金料</v>
      </c>
      <c r="P627" s="359">
        <f>IF(OR($G627="",$C627=""),"",IF($B627="決算整理",13,MOD(MONTH($C627)-4,12)+1))</f>
        <v>12</v>
      </c>
      <c r="Q627" s="366" t="str">
        <f>IF($G627="","",TRIM(IF(J627+K627+L627+M627&lt;&gt;$G627,"按分不一致 ","")&amp;IF(O627="※未登録","科目未登録 ","")&amp;IF(OR($H627="",ISERROR(MATCH($H627,{1,2,3,4,5,6,7,8},0))),"経費区分? ","")&amp;IF($I627="","状態未設定 ","")&amp;IF(AND(OR($I627="確認済",$I627="未確認"),$B627="月例",OR($C627="",$C627&lt;DATE(年度+2018,4,1),$C627&gt;DATE(年度+2019,3,31))),"年度外の日付 ","")&amp;IF(AND(OR($I627="確認済",$I627="未確認"),O627="対象外"),"対象外の科目 ","")))</f>
        <v/>
      </c>
      <c r="R627" s="366" t="inlineStr">
        <is>
          <t>月例!652</t>
        </is>
      </c>
    </row>
    <row r="628">
      <c r="A628" s="359" t="n">
        <v>624</v>
      </c>
      <c r="B628" s="360" t="inlineStr">
        <is>
          <t>月例</t>
        </is>
      </c>
      <c r="C628" s="361" t="n">
        <v>46091</v>
      </c>
      <c r="D628" s="362" t="inlineStr">
        <is>
          <t>事務費</t>
        </is>
      </c>
      <c r="E628" s="362" t="inlineStr">
        <is>
          <t>送金料</t>
        </is>
      </c>
      <c r="F628" s="362" t="inlineStr">
        <is>
          <t>振込手数料（広銀）２月分　短期分</t>
        </is>
      </c>
      <c r="G628" s="363" t="n">
        <v>139863</v>
      </c>
      <c r="H628" s="360" t="n">
        <v>2</v>
      </c>
      <c r="I628" s="360" t="inlineStr">
        <is>
          <t>昨年実績</t>
        </is>
      </c>
      <c r="J628" s="364">
        <f>IF($G628="","",IF($H628=1,$G628-ROUND($G628*10/23,0)-2*ROUND($G628/23,0),IF($H628=2,$G628,0)))</f>
        <v>139863</v>
      </c>
      <c r="K628" s="364">
        <f>IF($G628="","",IF($H628=1,ROUND($G628*10/23,0),IF($H628=3,$G628-2*ROUND($G628/12,0),IF($H628=4,$G628,IF(OR($H628=5,$H628=7),ROUND($G628*10/11,0),0)))))</f>
        <v>0</v>
      </c>
      <c r="L628" s="364">
        <f>IF($G628="","",IF($H628=1,ROUND($G628/23,0),IF($H628=3,ROUND($G628/12,0),IF($H628=5,$G628-ROUND($G628*10/11,0),IF($H628=8,$G628,0)))))</f>
        <v>0</v>
      </c>
      <c r="M628" s="364">
        <f>IF($G628="","",IF($H628=1,ROUND($G628/23,0),IF($H628=3,ROUND($G628/12,0),IF($H628=6,$G628,IF($H628=7,$G628-ROUND($G628*10/11,0),0)))))</f>
        <v>0</v>
      </c>
      <c r="N628" s="364">
        <f>IF($G628="","",K628+L628+M628)</f>
        <v>0</v>
      </c>
      <c r="O628" s="365" t="str">
        <f>IF($G628="","",IFERROR(VLOOKUP($D628&amp;"|"&amp;$E628,科目表!$A$5:$B$200,2,FALSE),"※未登録"))</f>
        <v>送金料</v>
      </c>
      <c r="P628" s="359">
        <f>IF(OR($G628="",$C628=""),"",IF($B628="決算整理",13,MOD(MONTH($C628)-4,12)+1))</f>
        <v>12</v>
      </c>
      <c r="Q628" s="366" t="str">
        <f>IF($G628="","",TRIM(IF(J628+K628+L628+M628&lt;&gt;$G628,"按分不一致 ","")&amp;IF(O628="※未登録","科目未登録 ","")&amp;IF(OR($H628="",ISERROR(MATCH($H628,{1,2,3,4,5,6,7,8},0))),"経費区分? ","")&amp;IF($I628="","状態未設定 ","")&amp;IF(AND(OR($I628="確認済",$I628="未確認"),$B628="月例",OR($C628="",$C628&lt;DATE(年度+2018,4,1),$C628&gt;DATE(年度+2019,3,31))),"年度外の日付 ","")&amp;IF(AND(OR($I628="確認済",$I628="未確認"),O628="対象外"),"対象外の科目 ","")))</f>
        <v/>
      </c>
      <c r="R628" s="366" t="inlineStr">
        <is>
          <t>月例!653</t>
        </is>
      </c>
    </row>
    <row r="629">
      <c r="A629" s="359" t="n">
        <v>625</v>
      </c>
      <c r="B629" s="360" t="inlineStr">
        <is>
          <t>月例</t>
        </is>
      </c>
      <c r="C629" s="361" t="n">
        <v>46112</v>
      </c>
      <c r="D629" s="362" t="inlineStr">
        <is>
          <t>事務費</t>
        </is>
      </c>
      <c r="E629" s="362" t="inlineStr">
        <is>
          <t>送金料</t>
        </is>
      </c>
      <c r="F629" s="362" t="inlineStr">
        <is>
          <t>ゆうちょ銀行手数料（2月分）短期</t>
        </is>
      </c>
      <c r="G629" s="363" t="n">
        <v>7880</v>
      </c>
      <c r="H629" s="360" t="n">
        <v>2</v>
      </c>
      <c r="I629" s="360" t="inlineStr">
        <is>
          <t>昨年実績</t>
        </is>
      </c>
      <c r="J629" s="364">
        <f>IF($G629="","",IF($H629=1,$G629-ROUND($G629*10/23,0)-2*ROUND($G629/23,0),IF($H629=2,$G629,0)))</f>
        <v>7880</v>
      </c>
      <c r="K629" s="364">
        <f>IF($G629="","",IF($H629=1,ROUND($G629*10/23,0),IF($H629=3,$G629-2*ROUND($G629/12,0),IF($H629=4,$G629,IF(OR($H629=5,$H629=7),ROUND($G629*10/11,0),0)))))</f>
        <v>0</v>
      </c>
      <c r="L629" s="364">
        <f>IF($G629="","",IF($H629=1,ROUND($G629/23,0),IF($H629=3,ROUND($G629/12,0),IF($H629=5,$G629-ROUND($G629*10/11,0),IF($H629=8,$G629,0)))))</f>
        <v>0</v>
      </c>
      <c r="M629" s="364">
        <f>IF($G629="","",IF($H629=1,ROUND($G629/23,0),IF($H629=3,ROUND($G629/12,0),IF($H629=6,$G629,IF($H629=7,$G629-ROUND($G629*10/11,0),0)))))</f>
        <v>0</v>
      </c>
      <c r="N629" s="364">
        <f>IF($G629="","",K629+L629+M629)</f>
        <v>0</v>
      </c>
      <c r="O629" s="365" t="str">
        <f>IF($G629="","",IFERROR(VLOOKUP($D629&amp;"|"&amp;$E629,科目表!$A$5:$B$200,2,FALSE),"※未登録"))</f>
        <v>送金料</v>
      </c>
      <c r="P629" s="359">
        <f>IF(OR($G629="",$C629=""),"",IF($B629="決算整理",13,MOD(MONTH($C629)-4,12)+1))</f>
        <v>12</v>
      </c>
      <c r="Q629" s="366" t="str">
        <f>IF($G629="","",TRIM(IF(J629+K629+L629+M629&lt;&gt;$G629,"按分不一致 ","")&amp;IF(O629="※未登録","科目未登録 ","")&amp;IF(OR($H629="",ISERROR(MATCH($H629,{1,2,3,4,5,6,7,8},0))),"経費区分? ","")&amp;IF($I629="","状態未設定 ","")&amp;IF(AND(OR($I629="確認済",$I629="未確認"),$B629="月例",OR($C629="",$C629&lt;DATE(年度+2018,4,1),$C629&gt;DATE(年度+2019,3,31))),"年度外の日付 ","")&amp;IF(AND(OR($I629="確認済",$I629="未確認"),O629="対象外"),"対象外の科目 ","")))</f>
        <v/>
      </c>
      <c r="R629" s="366" t="inlineStr">
        <is>
          <t>月例!654</t>
        </is>
      </c>
    </row>
    <row r="630">
      <c r="A630" s="359" t="n">
        <v>626</v>
      </c>
      <c r="B630" s="360" t="inlineStr">
        <is>
          <t>月例</t>
        </is>
      </c>
      <c r="C630" s="361" t="n">
        <v>46112</v>
      </c>
      <c r="D630" s="362" t="inlineStr">
        <is>
          <t>事務費</t>
        </is>
      </c>
      <c r="E630" s="362" t="inlineStr">
        <is>
          <t>雑費</t>
        </is>
      </c>
      <c r="F630" s="362" t="inlineStr">
        <is>
          <t>ゆうちょ銀行振替口座残高証明（2月分）短期</t>
        </is>
      </c>
      <c r="G630" s="363" t="n">
        <v>550</v>
      </c>
      <c r="H630" s="360" t="n">
        <v>2</v>
      </c>
      <c r="I630" s="360" t="inlineStr">
        <is>
          <t>昨年実績</t>
        </is>
      </c>
      <c r="J630" s="364">
        <f>IF($G630="","",IF($H630=1,$G630-ROUND($G630*10/23,0)-2*ROUND($G630/23,0),IF($H630=2,$G630,0)))</f>
        <v>550</v>
      </c>
      <c r="K630" s="364">
        <f>IF($G630="","",IF($H630=1,ROUND($G630*10/23,0),IF($H630=3,$G630-2*ROUND($G630/12,0),IF($H630=4,$G630,IF(OR($H630=5,$H630=7),ROUND($G630*10/11,0),0)))))</f>
        <v>0</v>
      </c>
      <c r="L630" s="364">
        <f>IF($G630="","",IF($H630=1,ROUND($G630/23,0),IF($H630=3,ROUND($G630/12,0),IF($H630=5,$G630-ROUND($G630*10/11,0),IF($H630=8,$G630,0)))))</f>
        <v>0</v>
      </c>
      <c r="M630" s="364">
        <f>IF($G630="","",IF($H630=1,ROUND($G630/23,0),IF($H630=3,ROUND($G630/12,0),IF($H630=6,$G630,IF($H630=7,$G630-ROUND($G630*10/11,0),0)))))</f>
        <v>0</v>
      </c>
      <c r="N630" s="364">
        <f>IF($G630="","",K630+L630+M630)</f>
        <v>0</v>
      </c>
      <c r="O630" s="365" t="str">
        <f>IF($G630="","",IFERROR(VLOOKUP($D630&amp;"|"&amp;$E630,科目表!$A$5:$B$200,2,FALSE),"※未登録"))</f>
        <v>事務費・雑費</v>
      </c>
      <c r="P630" s="359">
        <f>IF(OR($G630="",$C630=""),"",IF($B630="決算整理",13,MOD(MONTH($C630)-4,12)+1))</f>
        <v>12</v>
      </c>
      <c r="Q630" s="366" t="str">
        <f>IF($G630="","",TRIM(IF(J630+K630+L630+M630&lt;&gt;$G630,"按分不一致 ","")&amp;IF(O630="※未登録","科目未登録 ","")&amp;IF(OR($H630="",ISERROR(MATCH($H630,{1,2,3,4,5,6,7,8},0))),"経費区分? ","")&amp;IF($I630="","状態未設定 ","")&amp;IF(AND(OR($I630="確認済",$I630="未確認"),$B630="月例",OR($C630="",$C630&lt;DATE(年度+2018,4,1),$C630&gt;DATE(年度+2019,3,31))),"年度外の日付 ","")&amp;IF(AND(OR($I630="確認済",$I630="未確認"),O630="対象外"),"対象外の科目 ","")))</f>
        <v/>
      </c>
      <c r="R630" s="366" t="inlineStr">
        <is>
          <t>月例!655</t>
        </is>
      </c>
    </row>
    <row r="631">
      <c r="A631" s="359" t="n">
        <v>627</v>
      </c>
      <c r="B631" s="360" t="inlineStr">
        <is>
          <t>月例</t>
        </is>
      </c>
      <c r="C631" s="361" t="n">
        <v>44995</v>
      </c>
      <c r="D631" s="362" t="inlineStr">
        <is>
          <t>賃借料</t>
        </is>
      </c>
      <c r="E631" s="362" t="n"/>
      <c r="F631" s="362" t="inlineStr">
        <is>
          <t>総務・会館運営委員会等　WEB会議用機器等</t>
        </is>
      </c>
      <c r="G631" s="363" t="n">
        <v>13970</v>
      </c>
      <c r="H631" s="360" t="n">
        <v>1</v>
      </c>
      <c r="I631" s="360" t="inlineStr">
        <is>
          <t>昨年実績</t>
        </is>
      </c>
      <c r="J631" s="364">
        <f>IF($G631="","",IF($H631=1,$G631-ROUND($G631*10/23,0)-2*ROUND($G631/23,0),IF($H631=2,$G631,0)))</f>
        <v>6682</v>
      </c>
      <c r="K631" s="364">
        <f>IF($G631="","",IF($H631=1,ROUND($G631*10/23,0),IF($H631=3,$G631-2*ROUND($G631/12,0),IF($H631=4,$G631,IF(OR($H631=5,$H631=7),ROUND($G631*10/11,0),0)))))</f>
        <v>6074</v>
      </c>
      <c r="L631" s="364">
        <f>IF($G631="","",IF($H631=1,ROUND($G631/23,0),IF($H631=3,ROUND($G631/12,0),IF($H631=5,$G631-ROUND($G631*10/11,0),IF($H631=8,$G631,0)))))</f>
        <v>607</v>
      </c>
      <c r="M631" s="364">
        <f>IF($G631="","",IF($H631=1,ROUND($G631/23,0),IF($H631=3,ROUND($G631/12,0),IF($H631=6,$G631,IF($H631=7,$G631-ROUND($G631*10/11,0),0)))))</f>
        <v>607</v>
      </c>
      <c r="N631" s="364">
        <f>IF($G631="","",K631+L631+M631)</f>
        <v>7288</v>
      </c>
      <c r="O631" s="365" t="str">
        <f>IF($G631="","",IFERROR(VLOOKUP($D631&amp;"|"&amp;$E631,科目表!$A$5:$B$200,2,FALSE),"※未登録"))</f>
        <v>賃借料</v>
      </c>
      <c r="P631" s="359">
        <f>IF(OR($G631="",$C631=""),"",IF($B631="決算整理",13,MOD(MONTH($C631)-4,12)+1))</f>
        <v>12</v>
      </c>
      <c r="Q631" s="366" t="str">
        <f>IF($G631="","",TRIM(IF(J631+K631+L631+M631&lt;&gt;$G631,"按分不一致 ","")&amp;IF(O631="※未登録","科目未登録 ","")&amp;IF(OR($H631="",ISERROR(MATCH($H631,{1,2,3,4,5,6,7,8},0))),"経費区分? ","")&amp;IF($I631="","状態未設定 ","")&amp;IF(AND(OR($I631="確認済",$I631="未確認"),$B631="月例",OR($C631="",$C631&lt;DATE(年度+2018,4,1),$C631&gt;DATE(年度+2019,3,31))),"年度外の日付 ","")&amp;IF(AND(OR($I631="確認済",$I631="未確認"),O631="対象外"),"対象外の科目 ","")))</f>
        <v/>
      </c>
      <c r="R631" s="366" t="inlineStr">
        <is>
          <t>月例!656</t>
        </is>
      </c>
    </row>
    <row r="632">
      <c r="A632" s="359" t="n">
        <v>628</v>
      </c>
      <c r="B632" s="360" t="inlineStr">
        <is>
          <t>月例</t>
        </is>
      </c>
      <c r="C632" s="361" t="n">
        <v>46108</v>
      </c>
      <c r="D632" s="362" t="inlineStr">
        <is>
          <t>賃借料</t>
        </is>
      </c>
      <c r="E632" s="362" t="n"/>
      <c r="F632" s="362" t="inlineStr">
        <is>
          <t>基幹システム用機器賃借料　２月分（長期）</t>
        </is>
      </c>
      <c r="G632" s="363" t="n">
        <v>69613</v>
      </c>
      <c r="H632" s="360" t="n">
        <v>3</v>
      </c>
      <c r="I632" s="360" t="inlineStr">
        <is>
          <t>昨年実績</t>
        </is>
      </c>
      <c r="J632" s="364">
        <f>IF($G632="","",IF($H632=1,$G632-ROUND($G632*10/23,0)-2*ROUND($G632/23,0),IF($H632=2,$G632,0)))</f>
        <v>0</v>
      </c>
      <c r="K632" s="364">
        <f>IF($G632="","",IF($H632=1,ROUND($G632*10/23,0),IF($H632=3,$G632-2*ROUND($G632/12,0),IF($H632=4,$G632,IF(OR($H632=5,$H632=7),ROUND($G632*10/11,0),0)))))</f>
        <v>58011</v>
      </c>
      <c r="L632" s="364">
        <f>IF($G632="","",IF($H632=1,ROUND($G632/23,0),IF($H632=3,ROUND($G632/12,0),IF($H632=5,$G632-ROUND($G632*10/11,0),IF($H632=8,$G632,0)))))</f>
        <v>5801</v>
      </c>
      <c r="M632" s="364">
        <f>IF($G632="","",IF($H632=1,ROUND($G632/23,0),IF($H632=3,ROUND($G632/12,0),IF($H632=6,$G632,IF($H632=7,$G632-ROUND($G632*10/11,0),0)))))</f>
        <v>5801</v>
      </c>
      <c r="N632" s="364">
        <f>IF($G632="","",K632+L632+M632)</f>
        <v>69613</v>
      </c>
      <c r="O632" s="365" t="str">
        <f>IF($G632="","",IFERROR(VLOOKUP($D632&amp;"|"&amp;$E632,科目表!$A$5:$B$200,2,FALSE),"※未登録"))</f>
        <v>賃借料</v>
      </c>
      <c r="P632" s="359">
        <f>IF(OR($G632="",$C632=""),"",IF($B632="決算整理",13,MOD(MONTH($C632)-4,12)+1))</f>
        <v>12</v>
      </c>
      <c r="Q632" s="366" t="str">
        <f>IF($G632="","",TRIM(IF(J632+K632+L632+M632&lt;&gt;$G632,"按分不一致 ","")&amp;IF(O632="※未登録","科目未登録 ","")&amp;IF(OR($H632="",ISERROR(MATCH($H632,{1,2,3,4,5,6,7,8},0))),"経費区分? ","")&amp;IF($I632="","状態未設定 ","")&amp;IF(AND(OR($I632="確認済",$I632="未確認"),$B632="月例",OR($C632="",$C632&lt;DATE(年度+2018,4,1),$C632&gt;DATE(年度+2019,3,31))),"年度外の日付 ","")&amp;IF(AND(OR($I632="確認済",$I632="未確認"),O632="対象外"),"対象外の科目 ","")))</f>
        <v/>
      </c>
      <c r="R632" s="366" t="inlineStr">
        <is>
          <t>月例!657</t>
        </is>
      </c>
    </row>
    <row r="633">
      <c r="A633" s="359" t="n">
        <v>629</v>
      </c>
      <c r="B633" s="360" t="inlineStr">
        <is>
          <t>月例</t>
        </is>
      </c>
      <c r="C633" s="361" t="n">
        <v>46108</v>
      </c>
      <c r="D633" s="362" t="inlineStr">
        <is>
          <t>賃借料</t>
        </is>
      </c>
      <c r="E633" s="362" t="n"/>
      <c r="F633" s="362" t="inlineStr">
        <is>
          <t>基幹システム用機器賃借料　２月分（短期）</t>
        </is>
      </c>
      <c r="G633" s="363" t="n">
        <v>672934</v>
      </c>
      <c r="H633" s="360" t="n">
        <v>2</v>
      </c>
      <c r="I633" s="360" t="inlineStr">
        <is>
          <t>昨年実績</t>
        </is>
      </c>
      <c r="J633" s="364">
        <f>IF($G633="","",IF($H633=1,$G633-ROUND($G633*10/23,0)-2*ROUND($G633/23,0),IF($H633=2,$G633,0)))</f>
        <v>672934</v>
      </c>
      <c r="K633" s="364">
        <f>IF($G633="","",IF($H633=1,ROUND($G633*10/23,0),IF($H633=3,$G633-2*ROUND($G633/12,0),IF($H633=4,$G633,IF(OR($H633=5,$H633=7),ROUND($G633*10/11,0),0)))))</f>
        <v>0</v>
      </c>
      <c r="L633" s="364">
        <f>IF($G633="","",IF($H633=1,ROUND($G633/23,0),IF($H633=3,ROUND($G633/12,0),IF($H633=5,$G633-ROUND($G633*10/11,0),IF($H633=8,$G633,0)))))</f>
        <v>0</v>
      </c>
      <c r="M633" s="364">
        <f>IF($G633="","",IF($H633=1,ROUND($G633/23,0),IF($H633=3,ROUND($G633/12,0),IF($H633=6,$G633,IF($H633=7,$G633-ROUND($G633*10/11,0),0)))))</f>
        <v>0</v>
      </c>
      <c r="N633" s="364">
        <f>IF($G633="","",K633+L633+M633)</f>
        <v>0</v>
      </c>
      <c r="O633" s="365" t="str">
        <f>IF($G633="","",IFERROR(VLOOKUP($D633&amp;"|"&amp;$E633,科目表!$A$5:$B$200,2,FALSE),"※未登録"))</f>
        <v>賃借料</v>
      </c>
      <c r="P633" s="359">
        <f>IF(OR($G633="",$C633=""),"",IF($B633="決算整理",13,MOD(MONTH($C633)-4,12)+1))</f>
        <v>12</v>
      </c>
      <c r="Q633" s="366" t="str">
        <f>IF($G633="","",TRIM(IF(J633+K633+L633+M633&lt;&gt;$G633,"按分不一致 ","")&amp;IF(O633="※未登録","科目未登録 ","")&amp;IF(OR($H633="",ISERROR(MATCH($H633,{1,2,3,4,5,6,7,8},0))),"経費区分? ","")&amp;IF($I633="","状態未設定 ","")&amp;IF(AND(OR($I633="確認済",$I633="未確認"),$B633="月例",OR($C633="",$C633&lt;DATE(年度+2018,4,1),$C633&gt;DATE(年度+2019,3,31))),"年度外の日付 ","")&amp;IF(AND(OR($I633="確認済",$I633="未確認"),O633="対象外"),"対象外の科目 ","")))</f>
        <v/>
      </c>
      <c r="R633" s="366" t="inlineStr">
        <is>
          <t>月例!658</t>
        </is>
      </c>
    </row>
    <row r="634">
      <c r="A634" s="359" t="n">
        <v>630</v>
      </c>
      <c r="B634" s="360" t="inlineStr">
        <is>
          <t>月例</t>
        </is>
      </c>
      <c r="C634" s="361" t="n">
        <v>46108</v>
      </c>
      <c r="D634" s="362" t="inlineStr">
        <is>
          <t>賃借料</t>
        </is>
      </c>
      <c r="E634" s="362" t="n"/>
      <c r="F634" s="362" t="inlineStr">
        <is>
          <t>パソコン（業務経理用）２月分</t>
        </is>
      </c>
      <c r="G634" s="363" t="n">
        <v>5060</v>
      </c>
      <c r="H634" s="360" t="n">
        <v>2</v>
      </c>
      <c r="I634" s="360" t="inlineStr">
        <is>
          <t>昨年実績</t>
        </is>
      </c>
      <c r="J634" s="364">
        <f>IF($G634="","",IF($H634=1,$G634-ROUND($G634*10/23,0)-2*ROUND($G634/23,0),IF($H634=2,$G634,0)))</f>
        <v>5060</v>
      </c>
      <c r="K634" s="364">
        <f>IF($G634="","",IF($H634=1,ROUND($G634*10/23,0),IF($H634=3,$G634-2*ROUND($G634/12,0),IF($H634=4,$G634,IF(OR($H634=5,$H634=7),ROUND($G634*10/11,0),0)))))</f>
        <v>0</v>
      </c>
      <c r="L634" s="364">
        <f>IF($G634="","",IF($H634=1,ROUND($G634/23,0),IF($H634=3,ROUND($G634/12,0),IF($H634=5,$G634-ROUND($G634*10/11,0),IF($H634=8,$G634,0)))))</f>
        <v>0</v>
      </c>
      <c r="M634" s="364">
        <f>IF($G634="","",IF($H634=1,ROUND($G634/23,0),IF($H634=3,ROUND($G634/12,0),IF($H634=6,$G634,IF($H634=7,$G634-ROUND($G634*10/11,0),0)))))</f>
        <v>0</v>
      </c>
      <c r="N634" s="364">
        <f>IF($G634="","",K634+L634+M634)</f>
        <v>0</v>
      </c>
      <c r="O634" s="365" t="str">
        <f>IF($G634="","",IFERROR(VLOOKUP($D634&amp;"|"&amp;$E634,科目表!$A$5:$B$200,2,FALSE),"※未登録"))</f>
        <v>賃借料</v>
      </c>
      <c r="P634" s="359">
        <f>IF(OR($G634="",$C634=""),"",IF($B634="決算整理",13,MOD(MONTH($C634)-4,12)+1))</f>
        <v>12</v>
      </c>
      <c r="Q634" s="366" t="str">
        <f>IF($G634="","",TRIM(IF(J634+K634+L634+M634&lt;&gt;$G634,"按分不一致 ","")&amp;IF(O634="※未登録","科目未登録 ","")&amp;IF(OR($H634="",ISERROR(MATCH($H634,{1,2,3,4,5,6,7,8},0))),"経費区分? ","")&amp;IF($I634="","状態未設定 ","")&amp;IF(AND(OR($I634="確認済",$I634="未確認"),$B634="月例",OR($C634="",$C634&lt;DATE(年度+2018,4,1),$C634&gt;DATE(年度+2019,3,31))),"年度外の日付 ","")&amp;IF(AND(OR($I634="確認済",$I634="未確認"),O634="対象外"),"対象外の科目 ","")))</f>
        <v/>
      </c>
      <c r="R634" s="366" t="inlineStr">
        <is>
          <t>月例!659</t>
        </is>
      </c>
    </row>
    <row r="635">
      <c r="A635" s="359" t="n">
        <v>631</v>
      </c>
      <c r="B635" s="360" t="inlineStr">
        <is>
          <t>月例</t>
        </is>
      </c>
      <c r="C635" s="361" t="n">
        <v>44985</v>
      </c>
      <c r="D635" s="362" t="inlineStr">
        <is>
          <t>事務費</t>
        </is>
      </c>
      <c r="E635" s="362" t="inlineStr">
        <is>
          <t>図書印刷費</t>
        </is>
      </c>
      <c r="F635" s="362" t="inlineStr">
        <is>
          <t>厚生法規総覧追録　５７０３－５７１３号</t>
        </is>
      </c>
      <c r="G635" s="363" t="n">
        <v>33154</v>
      </c>
      <c r="H635" s="360" t="n">
        <v>2</v>
      </c>
      <c r="I635" s="360" t="inlineStr">
        <is>
          <t>昨年実績</t>
        </is>
      </c>
      <c r="J635" s="364">
        <f>IF($G635="","",IF($H635=1,$G635-ROUND($G635*10/23,0)-2*ROUND($G635/23,0),IF($H635=2,$G635,0)))</f>
        <v>33154</v>
      </c>
      <c r="K635" s="364">
        <f>IF($G635="","",IF($H635=1,ROUND($G635*10/23,0),IF($H635=3,$G635-2*ROUND($G635/12,0),IF($H635=4,$G635,IF(OR($H635=5,$H635=7),ROUND($G635*10/11,0),0)))))</f>
        <v>0</v>
      </c>
      <c r="L635" s="364">
        <f>IF($G635="","",IF($H635=1,ROUND($G635/23,0),IF($H635=3,ROUND($G635/12,0),IF($H635=5,$G635-ROUND($G635*10/11,0),IF($H635=8,$G635,0)))))</f>
        <v>0</v>
      </c>
      <c r="M635" s="364">
        <f>IF($G635="","",IF($H635=1,ROUND($G635/23,0),IF($H635=3,ROUND($G635/12,0),IF($H635=6,$G635,IF($H635=7,$G635-ROUND($G635*10/11,0),0)))))</f>
        <v>0</v>
      </c>
      <c r="N635" s="364">
        <f>IF($G635="","",K635+L635+M635)</f>
        <v>0</v>
      </c>
      <c r="O635" s="365" t="str">
        <f>IF($G635="","",IFERROR(VLOOKUP($D635&amp;"|"&amp;$E635,科目表!$A$5:$B$200,2,FALSE),"※未登録"))</f>
        <v>図書印刷費</v>
      </c>
      <c r="P635" s="359">
        <f>IF(OR($G635="",$C635=""),"",IF($B635="決算整理",13,MOD(MONTH($C635)-4,12)+1))</f>
        <v>11</v>
      </c>
      <c r="Q635" s="366" t="str">
        <f>IF($G635="","",TRIM(IF(J635+K635+L635+M635&lt;&gt;$G635,"按分不一致 ","")&amp;IF(O635="※未登録","科目未登録 ","")&amp;IF(OR($H635="",ISERROR(MATCH($H635,{1,2,3,4,5,6,7,8},0))),"経費区分? ","")&amp;IF($I635="","状態未設定 ","")&amp;IF(AND(OR($I635="確認済",$I635="未確認"),$B635="月例",OR($C635="",$C635&lt;DATE(年度+2018,4,1),$C635&gt;DATE(年度+2019,3,31))),"年度外の日付 ","")&amp;IF(AND(OR($I635="確認済",$I635="未確認"),O635="対象外"),"対象外の科目 ","")))</f>
        <v/>
      </c>
      <c r="R635" s="366" t="inlineStr">
        <is>
          <t>月例!660</t>
        </is>
      </c>
    </row>
    <row r="636">
      <c r="A636" s="359" t="n">
        <v>632</v>
      </c>
      <c r="B636" s="360" t="inlineStr">
        <is>
          <t>月例</t>
        </is>
      </c>
      <c r="C636" s="361" t="n">
        <v>44265</v>
      </c>
      <c r="D636" s="362" t="inlineStr">
        <is>
          <t>旅費</t>
        </is>
      </c>
      <c r="E636" s="362" t="n"/>
      <c r="F636" s="362" t="inlineStr">
        <is>
          <t>3/5　職員派遣に伴う内見等（梅谷主事）</t>
        </is>
      </c>
      <c r="G636" s="363" t="n">
        <v>48580</v>
      </c>
      <c r="H636" s="360" t="n">
        <v>3</v>
      </c>
      <c r="I636" s="360" t="inlineStr">
        <is>
          <t>昨年実績</t>
        </is>
      </c>
      <c r="J636" s="364">
        <f>IF($G636="","",IF($H636=1,$G636-ROUND($G636*10/23,0)-2*ROUND($G636/23,0),IF($H636=2,$G636,0)))</f>
        <v>0</v>
      </c>
      <c r="K636" s="364">
        <f>IF($G636="","",IF($H636=1,ROUND($G636*10/23,0),IF($H636=3,$G636-2*ROUND($G636/12,0),IF($H636=4,$G636,IF(OR($H636=5,$H636=7),ROUND($G636*10/11,0),0)))))</f>
        <v>40484</v>
      </c>
      <c r="L636" s="364">
        <f>IF($G636="","",IF($H636=1,ROUND($G636/23,0),IF($H636=3,ROUND($G636/12,0),IF($H636=5,$G636-ROUND($G636*10/11,0),IF($H636=8,$G636,0)))))</f>
        <v>4048</v>
      </c>
      <c r="M636" s="364">
        <f>IF($G636="","",IF($H636=1,ROUND($G636/23,0),IF($H636=3,ROUND($G636/12,0),IF($H636=6,$G636,IF($H636=7,$G636-ROUND($G636*10/11,0),0)))))</f>
        <v>4048</v>
      </c>
      <c r="N636" s="364">
        <f>IF($G636="","",K636+L636+M636)</f>
        <v>48580</v>
      </c>
      <c r="O636" s="365" t="str">
        <f>IF($G636="","",IFERROR(VLOOKUP($D636&amp;"|"&amp;$E636,科目表!$A$5:$B$200,2,FALSE),"※未登録"))</f>
        <v>旅費</v>
      </c>
      <c r="P636" s="359">
        <f>IF(OR($G636="",$C636=""),"",IF($B636="決算整理",13,MOD(MONTH($C636)-4,12)+1))</f>
        <v>12</v>
      </c>
      <c r="Q636" s="366" t="str">
        <f>IF($G636="","",TRIM(IF(J636+K636+L636+M636&lt;&gt;$G636,"按分不一致 ","")&amp;IF(O636="※未登録","科目未登録 ","")&amp;IF(OR($H636="",ISERROR(MATCH($H636,{1,2,3,4,5,6,7,8},0))),"経費区分? ","")&amp;IF($I636="","状態未設定 ","")&amp;IF(AND(OR($I636="確認済",$I636="未確認"),$B636="月例",OR($C636="",$C636&lt;DATE(年度+2018,4,1),$C636&gt;DATE(年度+2019,3,31))),"年度外の日付 ","")&amp;IF(AND(OR($I636="確認済",$I636="未確認"),O636="対象外"),"対象外の科目 ","")))</f>
        <v/>
      </c>
      <c r="R636" s="366" t="inlineStr">
        <is>
          <t>月例!661</t>
        </is>
      </c>
    </row>
    <row r="637">
      <c r="A637" s="359" t="n">
        <v>633</v>
      </c>
      <c r="B637" s="360" t="inlineStr">
        <is>
          <t>月例</t>
        </is>
      </c>
      <c r="C637" s="361" t="n">
        <v>46108</v>
      </c>
      <c r="D637" s="362" t="inlineStr">
        <is>
          <t>委託費</t>
        </is>
      </c>
      <c r="E637" s="362" t="n"/>
      <c r="F637" s="362" t="inlineStr">
        <is>
          <t>ねんきん定期便（２月分）送付業務</t>
        </is>
      </c>
      <c r="G637" s="363" t="n">
        <v>78590</v>
      </c>
      <c r="H637" s="360" t="n">
        <v>5</v>
      </c>
      <c r="I637" s="360" t="inlineStr">
        <is>
          <t>昨年実績</t>
        </is>
      </c>
      <c r="J637" s="364">
        <f>IF($G637="","",IF($H637=1,$G637-ROUND($G637*10/23,0)-2*ROUND($G637/23,0),IF($H637=2,$G637,0)))</f>
        <v>0</v>
      </c>
      <c r="K637" s="364">
        <f>IF($G637="","",IF($H637=1,ROUND($G637*10/23,0),IF($H637=3,$G637-2*ROUND($G637/12,0),IF($H637=4,$G637,IF(OR($H637=5,$H637=7),ROUND($G637*10/11,0),0)))))</f>
        <v>71445</v>
      </c>
      <c r="L637" s="364">
        <f>IF($G637="","",IF($H637=1,ROUND($G637/23,0),IF($H637=3,ROUND($G637/12,0),IF($H637=5,$G637-ROUND($G637*10/11,0),IF($H637=8,$G637,0)))))</f>
        <v>7145</v>
      </c>
      <c r="M637" s="364">
        <f>IF($G637="","",IF($H637=1,ROUND($G637/23,0),IF($H637=3,ROUND($G637/12,0),IF($H637=6,$G637,IF($H637=7,$G637-ROUND($G637*10/11,0),0)))))</f>
        <v>0</v>
      </c>
      <c r="N637" s="364">
        <f>IF($G637="","",K637+L637+M637)</f>
        <v>78590</v>
      </c>
      <c r="O637" s="365" t="str">
        <f>IF($G637="","",IFERROR(VLOOKUP($D637&amp;"|"&amp;$E637,科目表!$A$5:$B$200,2,FALSE),"※未登録"))</f>
        <v>委託費</v>
      </c>
      <c r="P637" s="359">
        <f>IF(OR($G637="",$C637=""),"",IF($B637="決算整理",13,MOD(MONTH($C637)-4,12)+1))</f>
        <v>12</v>
      </c>
      <c r="Q637" s="366" t="str">
        <f>IF($G637="","",TRIM(IF(J637+K637+L637+M637&lt;&gt;$G637,"按分不一致 ","")&amp;IF(O637="※未登録","科目未登録 ","")&amp;IF(OR($H637="",ISERROR(MATCH($H637,{1,2,3,4,5,6,7,8},0))),"経費区分? ","")&amp;IF($I637="","状態未設定 ","")&amp;IF(AND(OR($I637="確認済",$I637="未確認"),$B637="月例",OR($C637="",$C637&lt;DATE(年度+2018,4,1),$C637&gt;DATE(年度+2019,3,31))),"年度外の日付 ","")&amp;IF(AND(OR($I637="確認済",$I637="未確認"),O637="対象外"),"対象外の科目 ","")))</f>
        <v/>
      </c>
      <c r="R637" s="366" t="inlineStr">
        <is>
          <t>月例!662</t>
        </is>
      </c>
    </row>
    <row r="638">
      <c r="A638" s="359" t="n">
        <v>634</v>
      </c>
      <c r="B638" s="360" t="inlineStr">
        <is>
          <t>月例</t>
        </is>
      </c>
      <c r="C638" s="361" t="n">
        <v>45380</v>
      </c>
      <c r="D638" s="362" t="inlineStr">
        <is>
          <t>事務費</t>
        </is>
      </c>
      <c r="E638" s="362" t="inlineStr">
        <is>
          <t>通信運搬費</t>
        </is>
      </c>
      <c r="F638" s="362" t="inlineStr">
        <is>
          <t>柔整申請書送付（２月分）</t>
        </is>
      </c>
      <c r="G638" s="363" t="n">
        <v>1489</v>
      </c>
      <c r="H638" s="360" t="n">
        <v>2</v>
      </c>
      <c r="I638" s="360" t="inlineStr">
        <is>
          <t>昨年実績</t>
        </is>
      </c>
      <c r="J638" s="364">
        <f>IF($G638="","",IF($H638=1,$G638-ROUND($G638*10/23,0)-2*ROUND($G638/23,0),IF($H638=2,$G638,0)))</f>
        <v>1489</v>
      </c>
      <c r="K638" s="364">
        <f>IF($G638="","",IF($H638=1,ROUND($G638*10/23,0),IF($H638=3,$G638-2*ROUND($G638/12,0),IF($H638=4,$G638,IF(OR($H638=5,$H638=7),ROUND($G638*10/11,0),0)))))</f>
        <v>0</v>
      </c>
      <c r="L638" s="364">
        <f>IF($G638="","",IF($H638=1,ROUND($G638/23,0),IF($H638=3,ROUND($G638/12,0),IF($H638=5,$G638-ROUND($G638*10/11,0),IF($H638=8,$G638,0)))))</f>
        <v>0</v>
      </c>
      <c r="M638" s="364">
        <f>IF($G638="","",IF($H638=1,ROUND($G638/23,0),IF($H638=3,ROUND($G638/12,0),IF($H638=6,$G638,IF($H638=7,$G638-ROUND($G638*10/11,0),0)))))</f>
        <v>0</v>
      </c>
      <c r="N638" s="364">
        <f>IF($G638="","",K638+L638+M638)</f>
        <v>0</v>
      </c>
      <c r="O638" s="365" t="str">
        <f>IF($G638="","",IFERROR(VLOOKUP($D638&amp;"|"&amp;$E638,科目表!$A$5:$B$200,2,FALSE),"※未登録"))</f>
        <v>通信運搬費</v>
      </c>
      <c r="P638" s="359">
        <f>IF(OR($G638="",$C638=""),"",IF($B638="決算整理",13,MOD(MONTH($C638)-4,12)+1))</f>
        <v>12</v>
      </c>
      <c r="Q638" s="366" t="str">
        <f>IF($G638="","",TRIM(IF(J638+K638+L638+M638&lt;&gt;$G638,"按分不一致 ","")&amp;IF(O638="※未登録","科目未登録 ","")&amp;IF(OR($H638="",ISERROR(MATCH($H638,{1,2,3,4,5,6,7,8},0))),"経費区分? ","")&amp;IF($I638="","状態未設定 ","")&amp;IF(AND(OR($I638="確認済",$I638="未確認"),$B638="月例",OR($C638="",$C638&lt;DATE(年度+2018,4,1),$C638&gt;DATE(年度+2019,3,31))),"年度外の日付 ","")&amp;IF(AND(OR($I638="確認済",$I638="未確認"),O638="対象外"),"対象外の科目 ","")))</f>
        <v/>
      </c>
      <c r="R638" s="366" t="inlineStr">
        <is>
          <t>月例!663</t>
        </is>
      </c>
    </row>
    <row r="639">
      <c r="A639" s="359" t="n">
        <v>635</v>
      </c>
      <c r="B639" s="360" t="inlineStr">
        <is>
          <t>月例</t>
        </is>
      </c>
      <c r="C639" s="361" t="n">
        <v>46106</v>
      </c>
      <c r="D639" s="362" t="inlineStr">
        <is>
          <t>役員報酬</t>
        </is>
      </c>
      <c r="E639" s="362" t="n"/>
      <c r="F639" s="362" t="inlineStr">
        <is>
          <t>組合会３／２５　学識経験監事　栗栖　一雄</t>
        </is>
      </c>
      <c r="G639" s="363" t="n">
        <v>11000</v>
      </c>
      <c r="H639" s="360" t="n">
        <v>1</v>
      </c>
      <c r="I639" s="360" t="inlineStr">
        <is>
          <t>昨年実績</t>
        </is>
      </c>
      <c r="J639" s="364">
        <f>IF($G639="","",IF($H639=1,$G639-ROUND($G639*10/23,0)-2*ROUND($G639/23,0),IF($H639=2,$G639,0)))</f>
        <v>5261</v>
      </c>
      <c r="K639" s="364">
        <f>IF($G639="","",IF($H639=1,ROUND($G639*10/23,0),IF($H639=3,$G639-2*ROUND($G639/12,0),IF($H639=4,$G639,IF(OR($H639=5,$H639=7),ROUND($G639*10/11,0),0)))))</f>
        <v>4783</v>
      </c>
      <c r="L639" s="364">
        <f>IF($G639="","",IF($H639=1,ROUND($G639/23,0),IF($H639=3,ROUND($G639/12,0),IF($H639=5,$G639-ROUND($G639*10/11,0),IF($H639=8,$G639,0)))))</f>
        <v>478</v>
      </c>
      <c r="M639" s="364">
        <f>IF($G639="","",IF($H639=1,ROUND($G639/23,0),IF($H639=3,ROUND($G639/12,0),IF($H639=6,$G639,IF($H639=7,$G639-ROUND($G639*10/11,0),0)))))</f>
        <v>478</v>
      </c>
      <c r="N639" s="364">
        <f>IF($G639="","",K639+L639+M639)</f>
        <v>5739</v>
      </c>
      <c r="O639" s="365" t="str">
        <f>IF($G639="","",IFERROR(VLOOKUP($D639&amp;"|"&amp;$E639,科目表!$A$5:$B$200,2,FALSE),"※未登録"))</f>
        <v>役員報酬</v>
      </c>
      <c r="P639" s="359">
        <f>IF(OR($G639="",$C639=""),"",IF($B639="決算整理",13,MOD(MONTH($C639)-4,12)+1))</f>
        <v>12</v>
      </c>
      <c r="Q639" s="366" t="str">
        <f>IF($G639="","",TRIM(IF(J639+K639+L639+M639&lt;&gt;$G639,"按分不一致 ","")&amp;IF(O639="※未登録","科目未登録 ","")&amp;IF(OR($H639="",ISERROR(MATCH($H639,{1,2,3,4,5,6,7,8},0))),"経費区分? ","")&amp;IF($I639="","状態未設定 ","")&amp;IF(AND(OR($I639="確認済",$I639="未確認"),$B639="月例",OR($C639="",$C639&lt;DATE(年度+2018,4,1),$C639&gt;DATE(年度+2019,3,31))),"年度外の日付 ","")&amp;IF(AND(OR($I639="確認済",$I639="未確認"),O639="対象外"),"対象外の科目 ","")))</f>
        <v/>
      </c>
      <c r="R639" s="366" t="inlineStr">
        <is>
          <t>月例!664</t>
        </is>
      </c>
    </row>
    <row r="640">
      <c r="A640" s="359" t="n">
        <v>636</v>
      </c>
      <c r="B640" s="360" t="inlineStr">
        <is>
          <t>月例</t>
        </is>
      </c>
      <c r="C640" s="361" t="n">
        <v>46094</v>
      </c>
      <c r="D640" s="362" t="inlineStr">
        <is>
          <t>職員給与</t>
        </is>
      </c>
      <c r="E640" s="362" t="inlineStr">
        <is>
          <t>非常勤職員手当</t>
        </is>
      </c>
      <c r="F640" s="362" t="inlineStr">
        <is>
          <t>３月期末手当（長期分）</t>
        </is>
      </c>
      <c r="G640" s="363" t="n">
        <v>69366</v>
      </c>
      <c r="H640" s="360" t="n">
        <v>3</v>
      </c>
      <c r="I640" s="360" t="inlineStr">
        <is>
          <t>昨年実績</t>
        </is>
      </c>
      <c r="J640" s="364">
        <f>IF($G640="","",IF($H640=1,$G640-ROUND($G640*10/23,0)-2*ROUND($G640/23,0),IF($H640=2,$G640,0)))</f>
        <v>0</v>
      </c>
      <c r="K640" s="364">
        <f>IF($G640="","",IF($H640=1,ROUND($G640*10/23,0),IF($H640=3,$G640-2*ROUND($G640/12,0),IF($H640=4,$G640,IF(OR($H640=5,$H640=7),ROUND($G640*10/11,0),0)))))</f>
        <v>57804</v>
      </c>
      <c r="L640" s="364">
        <f>IF($G640="","",IF($H640=1,ROUND($G640/23,0),IF($H640=3,ROUND($G640/12,0),IF($H640=5,$G640-ROUND($G640*10/11,0),IF($H640=8,$G640,0)))))</f>
        <v>5781</v>
      </c>
      <c r="M640" s="364">
        <f>IF($G640="","",IF($H640=1,ROUND($G640/23,0),IF($H640=3,ROUND($G640/12,0),IF($H640=6,$G640,IF($H640=7,$G640-ROUND($G640*10/11,0),0)))))</f>
        <v>5781</v>
      </c>
      <c r="N640" s="364">
        <f>IF($G640="","",K640+L640+M640)</f>
        <v>69366</v>
      </c>
      <c r="O640" s="365" t="str">
        <f>IF($G640="","",IFERROR(VLOOKUP($D640&amp;"|"&amp;$E640,科目表!$A$5:$B$200,2,FALSE),"※未登録"))</f>
        <v>非常勤職員手当</v>
      </c>
      <c r="P640" s="359">
        <f>IF(OR($G640="",$C640=""),"",IF($B640="決算整理",13,MOD(MONTH($C640)-4,12)+1))</f>
        <v>12</v>
      </c>
      <c r="Q640" s="366" t="str">
        <f>IF($G640="","",TRIM(IF(J640+K640+L640+M640&lt;&gt;$G640,"按分不一致 ","")&amp;IF(O640="※未登録","科目未登録 ","")&amp;IF(OR($H640="",ISERROR(MATCH($H640,{1,2,3,4,5,6,7,8},0))),"経費区分? ","")&amp;IF($I640="","状態未設定 ","")&amp;IF(AND(OR($I640="確認済",$I640="未確認"),$B640="月例",OR($C640="",$C640&lt;DATE(年度+2018,4,1),$C640&gt;DATE(年度+2019,3,31))),"年度外の日付 ","")&amp;IF(AND(OR($I640="確認済",$I640="未確認"),O640="対象外"),"対象外の科目 ","")))</f>
        <v/>
      </c>
      <c r="R640" s="366" t="inlineStr">
        <is>
          <t>月例!665</t>
        </is>
      </c>
    </row>
    <row r="641">
      <c r="A641" s="359" t="n">
        <v>637</v>
      </c>
      <c r="B641" s="360" t="inlineStr">
        <is>
          <t>月例</t>
        </is>
      </c>
      <c r="C641" s="361" t="n">
        <v>44651</v>
      </c>
      <c r="D641" s="362" t="inlineStr">
        <is>
          <t>事務費</t>
        </is>
      </c>
      <c r="E641" s="362" t="inlineStr">
        <is>
          <t>事務用消耗品費</t>
        </is>
      </c>
      <c r="F641" s="362" t="inlineStr">
        <is>
          <t>ポストイット　７００１ＳＳ－NE　3箱他</t>
        </is>
      </c>
      <c r="G641" s="363" t="n">
        <v>10665</v>
      </c>
      <c r="H641" s="360" t="n">
        <v>2</v>
      </c>
      <c r="I641" s="360" t="inlineStr">
        <is>
          <t>昨年実績</t>
        </is>
      </c>
      <c r="J641" s="364">
        <f>IF($G641="","",IF($H641=1,$G641-ROUND($G641*10/23,0)-2*ROUND($G641/23,0),IF($H641=2,$G641,0)))</f>
        <v>10665</v>
      </c>
      <c r="K641" s="364">
        <f>IF($G641="","",IF($H641=1,ROUND($G641*10/23,0),IF($H641=3,$G641-2*ROUND($G641/12,0),IF($H641=4,$G641,IF(OR($H641=5,$H641=7),ROUND($G641*10/11,0),0)))))</f>
        <v>0</v>
      </c>
      <c r="L641" s="364">
        <f>IF($G641="","",IF($H641=1,ROUND($G641/23,0),IF($H641=3,ROUND($G641/12,0),IF($H641=5,$G641-ROUND($G641*10/11,0),IF($H641=8,$G641,0)))))</f>
        <v>0</v>
      </c>
      <c r="M641" s="364">
        <f>IF($G641="","",IF($H641=1,ROUND($G641/23,0),IF($H641=3,ROUND($G641/12,0),IF($H641=6,$G641,IF($H641=7,$G641-ROUND($G641*10/11,0),0)))))</f>
        <v>0</v>
      </c>
      <c r="N641" s="364">
        <f>IF($G641="","",K641+L641+M641)</f>
        <v>0</v>
      </c>
      <c r="O641" s="365" t="str">
        <f>IF($G641="","",IFERROR(VLOOKUP($D641&amp;"|"&amp;$E641,科目表!$A$5:$B$200,2,FALSE),"※未登録"))</f>
        <v>事務用消耗品費</v>
      </c>
      <c r="P641" s="359">
        <f>IF(OR($G641="",$C641=""),"",IF($B641="決算整理",13,MOD(MONTH($C641)-4,12)+1))</f>
        <v>12</v>
      </c>
      <c r="Q641" s="366" t="str">
        <f>IF($G641="","",TRIM(IF(J641+K641+L641+M641&lt;&gt;$G641,"按分不一致 ","")&amp;IF(O641="※未登録","科目未登録 ","")&amp;IF(OR($H641="",ISERROR(MATCH($H641,{1,2,3,4,5,6,7,8},0))),"経費区分? ","")&amp;IF($I641="","状態未設定 ","")&amp;IF(AND(OR($I641="確認済",$I641="未確認"),$B641="月例",OR($C641="",$C641&lt;DATE(年度+2018,4,1),$C641&gt;DATE(年度+2019,3,31))),"年度外の日付 ","")&amp;IF(AND(OR($I641="確認済",$I641="未確認"),O641="対象外"),"対象外の科目 ","")))</f>
        <v/>
      </c>
      <c r="R641" s="366" t="inlineStr">
        <is>
          <t>月例!666</t>
        </is>
      </c>
    </row>
    <row r="642">
      <c r="A642" s="359" t="n">
        <v>638</v>
      </c>
      <c r="B642" s="360" t="inlineStr">
        <is>
          <t>月例</t>
        </is>
      </c>
      <c r="C642" s="361" t="n">
        <v>46108</v>
      </c>
      <c r="D642" s="362" t="inlineStr">
        <is>
          <t>負担金</t>
        </is>
      </c>
      <c r="E642" s="362" t="inlineStr">
        <is>
          <t>負担金</t>
        </is>
      </c>
      <c r="F642" s="362" t="inlineStr">
        <is>
          <t>共済短期・介護負担金（３月賞与、３月月例分）長期</t>
        </is>
      </c>
      <c r="G642" s="363" t="n">
        <v>26637</v>
      </c>
      <c r="H642" s="360" t="n">
        <v>3</v>
      </c>
      <c r="I642" s="360" t="inlineStr">
        <is>
          <t>昨年実績</t>
        </is>
      </c>
      <c r="J642" s="364">
        <f>IF($G642="","",IF($H642=1,$G642-ROUND($G642*10/23,0)-2*ROUND($G642/23,0),IF($H642=2,$G642,0)))</f>
        <v>0</v>
      </c>
      <c r="K642" s="364">
        <f>IF($G642="","",IF($H642=1,ROUND($G642*10/23,0),IF($H642=3,$G642-2*ROUND($G642/12,0),IF($H642=4,$G642,IF(OR($H642=5,$H642=7),ROUND($G642*10/11,0),0)))))</f>
        <v>22197</v>
      </c>
      <c r="L642" s="364">
        <f>IF($G642="","",IF($H642=1,ROUND($G642/23,0),IF($H642=3,ROUND($G642/12,0),IF($H642=5,$G642-ROUND($G642*10/11,0),IF($H642=8,$G642,0)))))</f>
        <v>2220</v>
      </c>
      <c r="M642" s="364">
        <f>IF($G642="","",IF($H642=1,ROUND($G642/23,0),IF($H642=3,ROUND($G642/12,0),IF($H642=6,$G642,IF($H642=7,$G642-ROUND($G642*10/11,0),0)))))</f>
        <v>2220</v>
      </c>
      <c r="N642" s="364">
        <f>IF($G642="","",K642+L642+M642)</f>
        <v>26637</v>
      </c>
      <c r="O642" s="365" t="str">
        <f>IF($G642="","",IFERROR(VLOOKUP($D642&amp;"|"&amp;$E642,科目表!$A$5:$B$200,2,FALSE),"※未登録"))</f>
        <v>共済負担金等</v>
      </c>
      <c r="P642" s="359">
        <f>IF(OR($G642="",$C642=""),"",IF($B642="決算整理",13,MOD(MONTH($C642)-4,12)+1))</f>
        <v>12</v>
      </c>
      <c r="Q642" s="366" t="str">
        <f>IF($G642="","",TRIM(IF(J642+K642+L642+M642&lt;&gt;$G642,"按分不一致 ","")&amp;IF(O642="※未登録","科目未登録 ","")&amp;IF(OR($H642="",ISERROR(MATCH($H642,{1,2,3,4,5,6,7,8},0))),"経費区分? ","")&amp;IF($I642="","状態未設定 ","")&amp;IF(AND(OR($I642="確認済",$I642="未確認"),$B642="月例",OR($C642="",$C642&lt;DATE(年度+2018,4,1),$C642&gt;DATE(年度+2019,3,31))),"年度外の日付 ","")&amp;IF(AND(OR($I642="確認済",$I642="未確認"),O642="対象外"),"対象外の科目 ","")))</f>
        <v/>
      </c>
      <c r="R642" s="366" t="inlineStr">
        <is>
          <t>月例!667</t>
        </is>
      </c>
    </row>
    <row r="643">
      <c r="A643" s="359" t="n">
        <v>639</v>
      </c>
      <c r="B643" s="360" t="inlineStr">
        <is>
          <t>月例</t>
        </is>
      </c>
      <c r="C643" s="361" t="n">
        <v>46108</v>
      </c>
      <c r="D643" s="362" t="inlineStr">
        <is>
          <t>負担金</t>
        </is>
      </c>
      <c r="E643" s="362" t="inlineStr">
        <is>
          <t>負担金</t>
        </is>
      </c>
      <c r="F643" s="362" t="inlineStr">
        <is>
          <t>共済短期・介護負担金（３月月例分）短期</t>
        </is>
      </c>
      <c r="G643" s="363" t="n">
        <v>39697</v>
      </c>
      <c r="H643" s="360" t="n">
        <v>2</v>
      </c>
      <c r="I643" s="360" t="inlineStr">
        <is>
          <t>昨年実績</t>
        </is>
      </c>
      <c r="J643" s="364">
        <f>IF($G643="","",IF($H643=1,$G643-ROUND($G643*10/23,0)-2*ROUND($G643/23,0),IF($H643=2,$G643,0)))</f>
        <v>39697</v>
      </c>
      <c r="K643" s="364">
        <f>IF($G643="","",IF($H643=1,ROUND($G643*10/23,0),IF($H643=3,$G643-2*ROUND($G643/12,0),IF($H643=4,$G643,IF(OR($H643=5,$H643=7),ROUND($G643*10/11,0),0)))))</f>
        <v>0</v>
      </c>
      <c r="L643" s="364">
        <f>IF($G643="","",IF($H643=1,ROUND($G643/23,0),IF($H643=3,ROUND($G643/12,0),IF($H643=5,$G643-ROUND($G643*10/11,0),IF($H643=8,$G643,0)))))</f>
        <v>0</v>
      </c>
      <c r="M643" s="364">
        <f>IF($G643="","",IF($H643=1,ROUND($G643/23,0),IF($H643=3,ROUND($G643/12,0),IF($H643=6,$G643,IF($H643=7,$G643-ROUND($G643*10/11,0),0)))))</f>
        <v>0</v>
      </c>
      <c r="N643" s="364">
        <f>IF($G643="","",K643+L643+M643)</f>
        <v>0</v>
      </c>
      <c r="O643" s="365" t="str">
        <f>IF($G643="","",IFERROR(VLOOKUP($D643&amp;"|"&amp;$E643,科目表!$A$5:$B$200,2,FALSE),"※未登録"))</f>
        <v>共済負担金等</v>
      </c>
      <c r="P643" s="359">
        <f>IF(OR($G643="",$C643=""),"",IF($B643="決算整理",13,MOD(MONTH($C643)-4,12)+1))</f>
        <v>12</v>
      </c>
      <c r="Q643" s="366" t="str">
        <f>IF($G643="","",TRIM(IF(J643+K643+L643+M643&lt;&gt;$G643,"按分不一致 ","")&amp;IF(O643="※未登録","科目未登録 ","")&amp;IF(OR($H643="",ISERROR(MATCH($H643,{1,2,3,4,5,6,7,8},0))),"経費区分? ","")&amp;IF($I643="","状態未設定 ","")&amp;IF(AND(OR($I643="確認済",$I643="未確認"),$B643="月例",OR($C643="",$C643&lt;DATE(年度+2018,4,1),$C643&gt;DATE(年度+2019,3,31))),"年度外の日付 ","")&amp;IF(AND(OR($I643="確認済",$I643="未確認"),O643="対象外"),"対象外の科目 ","")))</f>
        <v/>
      </c>
      <c r="R643" s="366" t="inlineStr">
        <is>
          <t>月例!668</t>
        </is>
      </c>
    </row>
    <row r="644">
      <c r="A644" s="359" t="n">
        <v>640</v>
      </c>
      <c r="B644" s="360" t="inlineStr">
        <is>
          <t>月例</t>
        </is>
      </c>
      <c r="C644" s="361" t="n">
        <v>44651</v>
      </c>
      <c r="D644" s="362" t="inlineStr">
        <is>
          <t>事務費</t>
        </is>
      </c>
      <c r="E644" s="362" t="inlineStr">
        <is>
          <t>事務用消耗品費</t>
        </is>
      </c>
      <c r="F644" s="362" t="inlineStr">
        <is>
          <t>RICOH　 SPトナー　６４００</t>
        </is>
      </c>
      <c r="G644" s="363" t="n">
        <v>18480</v>
      </c>
      <c r="H644" s="360" t="n">
        <v>2</v>
      </c>
      <c r="I644" s="360" t="inlineStr">
        <is>
          <t>昨年実績</t>
        </is>
      </c>
      <c r="J644" s="364">
        <f>IF($G644="","",IF($H644=1,$G644-ROUND($G644*10/23,0)-2*ROUND($G644/23,0),IF($H644=2,$G644,0)))</f>
        <v>18480</v>
      </c>
      <c r="K644" s="364">
        <f>IF($G644="","",IF($H644=1,ROUND($G644*10/23,0),IF($H644=3,$G644-2*ROUND($G644/12,0),IF($H644=4,$G644,IF(OR($H644=5,$H644=7),ROUND($G644*10/11,0),0)))))</f>
        <v>0</v>
      </c>
      <c r="L644" s="364">
        <f>IF($G644="","",IF($H644=1,ROUND($G644/23,0),IF($H644=3,ROUND($G644/12,0),IF($H644=5,$G644-ROUND($G644*10/11,0),IF($H644=8,$G644,0)))))</f>
        <v>0</v>
      </c>
      <c r="M644" s="364">
        <f>IF($G644="","",IF($H644=1,ROUND($G644/23,0),IF($H644=3,ROUND($G644/12,0),IF($H644=6,$G644,IF($H644=7,$G644-ROUND($G644*10/11,0),0)))))</f>
        <v>0</v>
      </c>
      <c r="N644" s="364">
        <f>IF($G644="","",K644+L644+M644)</f>
        <v>0</v>
      </c>
      <c r="O644" s="365" t="str">
        <f>IF($G644="","",IFERROR(VLOOKUP($D644&amp;"|"&amp;$E644,科目表!$A$5:$B$200,2,FALSE),"※未登録"))</f>
        <v>事務用消耗品費</v>
      </c>
      <c r="P644" s="359">
        <f>IF(OR($G644="",$C644=""),"",IF($B644="決算整理",13,MOD(MONTH($C644)-4,12)+1))</f>
        <v>12</v>
      </c>
      <c r="Q644" s="366" t="str">
        <f>IF($G644="","",TRIM(IF(J644+K644+L644+M644&lt;&gt;$G644,"按分不一致 ","")&amp;IF(O644="※未登録","科目未登録 ","")&amp;IF(OR($H644="",ISERROR(MATCH($H644,{1,2,3,4,5,6,7,8},0))),"経費区分? ","")&amp;IF($I644="","状態未設定 ","")&amp;IF(AND(OR($I644="確認済",$I644="未確認"),$B644="月例",OR($C644="",$C644&lt;DATE(年度+2018,4,1),$C644&gt;DATE(年度+2019,3,31))),"年度外の日付 ","")&amp;IF(AND(OR($I644="確認済",$I644="未確認"),O644="対象外"),"対象外の科目 ","")))</f>
        <v/>
      </c>
      <c r="R644" s="366" t="inlineStr">
        <is>
          <t>月例!669</t>
        </is>
      </c>
    </row>
    <row r="645">
      <c r="A645" s="359" t="n">
        <v>641</v>
      </c>
      <c r="B645" s="360" t="inlineStr">
        <is>
          <t>月例</t>
        </is>
      </c>
      <c r="C645" s="361" t="n">
        <v>46108</v>
      </c>
      <c r="D645" s="362" t="inlineStr">
        <is>
          <t>事務費</t>
        </is>
      </c>
      <c r="E645" s="362" t="inlineStr">
        <is>
          <t>事務用消耗品費</t>
        </is>
      </c>
      <c r="F645" s="362" t="inlineStr">
        <is>
          <t xml:space="preserve">ボールペン　BK-127＊10本入／黒　2箱　ほか11点　</t>
        </is>
      </c>
      <c r="G645" s="363" t="n">
        <v>21646</v>
      </c>
      <c r="H645" s="360" t="n">
        <v>3</v>
      </c>
      <c r="I645" s="360" t="inlineStr">
        <is>
          <t>昨年実績</t>
        </is>
      </c>
      <c r="J645" s="364">
        <f>IF($G645="","",IF($H645=1,$G645-ROUND($G645*10/23,0)-2*ROUND($G645/23,0),IF($H645=2,$G645,0)))</f>
        <v>0</v>
      </c>
      <c r="K645" s="364">
        <f>IF($G645="","",IF($H645=1,ROUND($G645*10/23,0),IF($H645=3,$G645-2*ROUND($G645/12,0),IF($H645=4,$G645,IF(OR($H645=5,$H645=7),ROUND($G645*10/11,0),0)))))</f>
        <v>18038</v>
      </c>
      <c r="L645" s="364">
        <f>IF($G645="","",IF($H645=1,ROUND($G645/23,0),IF($H645=3,ROUND($G645/12,0),IF($H645=5,$G645-ROUND($G645*10/11,0),IF($H645=8,$G645,0)))))</f>
        <v>1804</v>
      </c>
      <c r="M645" s="364">
        <f>IF($G645="","",IF($H645=1,ROUND($G645/23,0),IF($H645=3,ROUND($G645/12,0),IF($H645=6,$G645,IF($H645=7,$G645-ROUND($G645*10/11,0),0)))))</f>
        <v>1804</v>
      </c>
      <c r="N645" s="364">
        <f>IF($G645="","",K645+L645+M645)</f>
        <v>21646</v>
      </c>
      <c r="O645" s="365" t="str">
        <f>IF($G645="","",IFERROR(VLOOKUP($D645&amp;"|"&amp;$E645,科目表!$A$5:$B$200,2,FALSE),"※未登録"))</f>
        <v>事務用消耗品費</v>
      </c>
      <c r="P645" s="359">
        <f>IF(OR($G645="",$C645=""),"",IF($B645="決算整理",13,MOD(MONTH($C645)-4,12)+1))</f>
        <v>12</v>
      </c>
      <c r="Q645" s="366" t="str">
        <f>IF($G645="","",TRIM(IF(J645+K645+L645+M645&lt;&gt;$G645,"按分不一致 ","")&amp;IF(O645="※未登録","科目未登録 ","")&amp;IF(OR($H645="",ISERROR(MATCH($H645,{1,2,3,4,5,6,7,8},0))),"経費区分? ","")&amp;IF($I645="","状態未設定 ","")&amp;IF(AND(OR($I645="確認済",$I645="未確認"),$B645="月例",OR($C645="",$C645&lt;DATE(年度+2018,4,1),$C645&gt;DATE(年度+2019,3,31))),"年度外の日付 ","")&amp;IF(AND(OR($I645="確認済",$I645="未確認"),O645="対象外"),"対象外の科目 ","")))</f>
        <v/>
      </c>
      <c r="R645" s="366" t="inlineStr">
        <is>
          <t>月例!670</t>
        </is>
      </c>
    </row>
    <row r="646">
      <c r="A646" s="359" t="n">
        <v>642</v>
      </c>
      <c r="B646" s="360" t="inlineStr">
        <is>
          <t>月例</t>
        </is>
      </c>
      <c r="C646" s="361" t="n">
        <v>46112</v>
      </c>
      <c r="D646" s="362" t="inlineStr">
        <is>
          <t>事務費</t>
        </is>
      </c>
      <c r="E646" s="362" t="inlineStr">
        <is>
          <t>事務用消耗品費</t>
        </is>
      </c>
      <c r="F646" s="362" t="inlineStr">
        <is>
          <t>Ｖクリップ　大／500本　5箱　ほか</t>
        </is>
      </c>
      <c r="G646" s="363" t="n">
        <v>5928</v>
      </c>
      <c r="H646" s="360" t="n">
        <v>2</v>
      </c>
      <c r="I646" s="360" t="inlineStr">
        <is>
          <t>昨年実績</t>
        </is>
      </c>
      <c r="J646" s="364">
        <f>IF($G646="","",IF($H646=1,$G646-ROUND($G646*10/23,0)-2*ROUND($G646/23,0),IF($H646=2,$G646,0)))</f>
        <v>5928</v>
      </c>
      <c r="K646" s="364">
        <f>IF($G646="","",IF($H646=1,ROUND($G646*10/23,0),IF($H646=3,$G646-2*ROUND($G646/12,0),IF($H646=4,$G646,IF(OR($H646=5,$H646=7),ROUND($G646*10/11,0),0)))))</f>
        <v>0</v>
      </c>
      <c r="L646" s="364">
        <f>IF($G646="","",IF($H646=1,ROUND($G646/23,0),IF($H646=3,ROUND($G646/12,0),IF($H646=5,$G646-ROUND($G646*10/11,0),IF($H646=8,$G646,0)))))</f>
        <v>0</v>
      </c>
      <c r="M646" s="364">
        <f>IF($G646="","",IF($H646=1,ROUND($G646/23,0),IF($H646=3,ROUND($G646/12,0),IF($H646=6,$G646,IF($H646=7,$G646-ROUND($G646*10/11,0),0)))))</f>
        <v>0</v>
      </c>
      <c r="N646" s="364">
        <f>IF($G646="","",K646+L646+M646)</f>
        <v>0</v>
      </c>
      <c r="O646" s="365" t="str">
        <f>IF($G646="","",IFERROR(VLOOKUP($D646&amp;"|"&amp;$E646,科目表!$A$5:$B$200,2,FALSE),"※未登録"))</f>
        <v>事務用消耗品費</v>
      </c>
      <c r="P646" s="359">
        <f>IF(OR($G646="",$C646=""),"",IF($B646="決算整理",13,MOD(MONTH($C646)-4,12)+1))</f>
        <v>12</v>
      </c>
      <c r="Q646" s="366" t="str">
        <f>IF($G646="","",TRIM(IF(J646+K646+L646+M646&lt;&gt;$G646,"按分不一致 ","")&amp;IF(O646="※未登録","科目未登録 ","")&amp;IF(OR($H646="",ISERROR(MATCH($H646,{1,2,3,4,5,6,7,8},0))),"経費区分? ","")&amp;IF($I646="","状態未設定 ","")&amp;IF(AND(OR($I646="確認済",$I646="未確認"),$B646="月例",OR($C646="",$C646&lt;DATE(年度+2018,4,1),$C646&gt;DATE(年度+2019,3,31))),"年度外の日付 ","")&amp;IF(AND(OR($I646="確認済",$I646="未確認"),O646="対象外"),"対象外の科目 ","")))</f>
        <v/>
      </c>
      <c r="R646" s="366" t="inlineStr">
        <is>
          <t>月例!671</t>
        </is>
      </c>
    </row>
    <row r="647">
      <c r="A647" s="359" t="n">
        <v>643</v>
      </c>
      <c r="B647" s="360" t="inlineStr">
        <is>
          <t>月例</t>
        </is>
      </c>
      <c r="C647" s="361" t="n">
        <v>43921</v>
      </c>
      <c r="D647" s="362" t="inlineStr">
        <is>
          <t>事務費</t>
        </is>
      </c>
      <c r="E647" s="362" t="inlineStr">
        <is>
          <t>図書印刷費</t>
        </is>
      </c>
      <c r="F647" s="362" t="inlineStr">
        <is>
          <t>角２封筒クラフト８５ｇ郵便枠付き・テープ付　３，０００枚</t>
        </is>
      </c>
      <c r="G647" s="363" t="n">
        <v>47300</v>
      </c>
      <c r="H647" s="360" t="n">
        <v>2</v>
      </c>
      <c r="I647" s="360" t="inlineStr">
        <is>
          <t>昨年実績</t>
        </is>
      </c>
      <c r="J647" s="364">
        <f>IF($G647="","",IF($H647=1,$G647-ROUND($G647*10/23,0)-2*ROUND($G647/23,0),IF($H647=2,$G647,0)))</f>
        <v>47300</v>
      </c>
      <c r="K647" s="364">
        <f>IF($G647="","",IF($H647=1,ROUND($G647*10/23,0),IF($H647=3,$G647-2*ROUND($G647/12,0),IF($H647=4,$G647,IF(OR($H647=5,$H647=7),ROUND($G647*10/11,0),0)))))</f>
        <v>0</v>
      </c>
      <c r="L647" s="364">
        <f>IF($G647="","",IF($H647=1,ROUND($G647/23,0),IF($H647=3,ROUND($G647/12,0),IF($H647=5,$G647-ROUND($G647*10/11,0),IF($H647=8,$G647,0)))))</f>
        <v>0</v>
      </c>
      <c r="M647" s="364">
        <f>IF($G647="","",IF($H647=1,ROUND($G647/23,0),IF($H647=3,ROUND($G647/12,0),IF($H647=6,$G647,IF($H647=7,$G647-ROUND($G647*10/11,0),0)))))</f>
        <v>0</v>
      </c>
      <c r="N647" s="364">
        <f>IF($G647="","",K647+L647+M647)</f>
        <v>0</v>
      </c>
      <c r="O647" s="365" t="str">
        <f>IF($G647="","",IFERROR(VLOOKUP($D647&amp;"|"&amp;$E647,科目表!$A$5:$B$200,2,FALSE),"※未登録"))</f>
        <v>図書印刷費</v>
      </c>
      <c r="P647" s="359">
        <f>IF(OR($G647="",$C647=""),"",IF($B647="決算整理",13,MOD(MONTH($C647)-4,12)+1))</f>
        <v>12</v>
      </c>
      <c r="Q647" s="366" t="str">
        <f>IF($G647="","",TRIM(IF(J647+K647+L647+M647&lt;&gt;$G647,"按分不一致 ","")&amp;IF(O647="※未登録","科目未登録 ","")&amp;IF(OR($H647="",ISERROR(MATCH($H647,{1,2,3,4,5,6,7,8},0))),"経費区分? ","")&amp;IF($I647="","状態未設定 ","")&amp;IF(AND(OR($I647="確認済",$I647="未確認"),$B647="月例",OR($C647="",$C647&lt;DATE(年度+2018,4,1),$C647&gt;DATE(年度+2019,3,31))),"年度外の日付 ","")&amp;IF(AND(OR($I647="確認済",$I647="未確認"),O647="対象外"),"対象外の科目 ","")))</f>
        <v/>
      </c>
      <c r="R647" s="366" t="inlineStr">
        <is>
          <t>月例!672</t>
        </is>
      </c>
    </row>
    <row r="648">
      <c r="A648" s="359" t="n">
        <v>644</v>
      </c>
      <c r="B648" s="360" t="inlineStr">
        <is>
          <t>月例</t>
        </is>
      </c>
      <c r="C648" s="361" t="n">
        <v>46094</v>
      </c>
      <c r="D648" s="362" t="inlineStr">
        <is>
          <t>賃金</t>
        </is>
      </c>
      <c r="E648" s="362" t="n"/>
      <c r="F648" s="362" t="inlineStr">
        <is>
          <t>臨時職員賃金２月分　竹口範子外１名分（短期１００％）</t>
        </is>
      </c>
      <c r="G648" s="363" t="n">
        <v>339340</v>
      </c>
      <c r="H648" s="360" t="n">
        <v>2</v>
      </c>
      <c r="I648" s="360" t="inlineStr">
        <is>
          <t>昨年実績</t>
        </is>
      </c>
      <c r="J648" s="364">
        <f>IF($G648="","",IF($H648=1,$G648-ROUND($G648*10/23,0)-2*ROUND($G648/23,0),IF($H648=2,$G648,0)))</f>
        <v>339340</v>
      </c>
      <c r="K648" s="364">
        <f>IF($G648="","",IF($H648=1,ROUND($G648*10/23,0),IF($H648=3,$G648-2*ROUND($G648/12,0),IF($H648=4,$G648,IF(OR($H648=5,$H648=7),ROUND($G648*10/11,0),0)))))</f>
        <v>0</v>
      </c>
      <c r="L648" s="364">
        <f>IF($G648="","",IF($H648=1,ROUND($G648/23,0),IF($H648=3,ROUND($G648/12,0),IF($H648=5,$G648-ROUND($G648*10/11,0),IF($H648=8,$G648,0)))))</f>
        <v>0</v>
      </c>
      <c r="M648" s="364">
        <f>IF($G648="","",IF($H648=1,ROUND($G648/23,0),IF($H648=3,ROUND($G648/12,0),IF($H648=6,$G648,IF($H648=7,$G648-ROUND($G648*10/11,0),0)))))</f>
        <v>0</v>
      </c>
      <c r="N648" s="364">
        <f>IF($G648="","",K648+L648+M648)</f>
        <v>0</v>
      </c>
      <c r="O648" s="365" t="str">
        <f>IF($G648="","",IFERROR(VLOOKUP($D648&amp;"|"&amp;$E648,科目表!$A$5:$B$200,2,FALSE),"※未登録"))</f>
        <v>賃金</v>
      </c>
      <c r="P648" s="359">
        <f>IF(OR($G648="",$C648=""),"",IF($B648="決算整理",13,MOD(MONTH($C648)-4,12)+1))</f>
        <v>12</v>
      </c>
      <c r="Q648" s="366" t="str">
        <f>IF($G648="","",TRIM(IF(J648+K648+L648+M648&lt;&gt;$G648,"按分不一致 ","")&amp;IF(O648="※未登録","科目未登録 ","")&amp;IF(OR($H648="",ISERROR(MATCH($H648,{1,2,3,4,5,6,7,8},0))),"経費区分? ","")&amp;IF($I648="","状態未設定 ","")&amp;IF(AND(OR($I648="確認済",$I648="未確認"),$B648="月例",OR($C648="",$C648&lt;DATE(年度+2018,4,1),$C648&gt;DATE(年度+2019,3,31))),"年度外の日付 ","")&amp;IF(AND(OR($I648="確認済",$I648="未確認"),O648="対象外"),"対象外の科目 ","")))</f>
        <v/>
      </c>
      <c r="R648" s="366" t="inlineStr">
        <is>
          <t>月例!673</t>
        </is>
      </c>
    </row>
    <row r="649">
      <c r="A649" s="359" t="n">
        <v>645</v>
      </c>
      <c r="B649" s="360" t="inlineStr">
        <is>
          <t>月例</t>
        </is>
      </c>
      <c r="C649" s="361" t="n">
        <v>44637</v>
      </c>
      <c r="D649" s="362" t="inlineStr">
        <is>
          <t>厚生費</t>
        </is>
      </c>
      <c r="E649" s="362" t="inlineStr">
        <is>
          <t>健康診断費</t>
        </is>
      </c>
      <c r="F649" s="362" t="inlineStr">
        <is>
          <t>健康診断費（節目健診：非該当検査項目費用以外・高橋）</t>
        </is>
      </c>
      <c r="G649" s="363" t="n">
        <v>20476</v>
      </c>
      <c r="H649" s="360" t="n">
        <v>2</v>
      </c>
      <c r="I649" s="360" t="inlineStr">
        <is>
          <t>昨年実績</t>
        </is>
      </c>
      <c r="J649" s="364">
        <f>IF($G649="","",IF($H649=1,$G649-ROUND($G649*10/23,0)-2*ROUND($G649/23,0),IF($H649=2,$G649,0)))</f>
        <v>20476</v>
      </c>
      <c r="K649" s="364">
        <f>IF($G649="","",IF($H649=1,ROUND($G649*10/23,0),IF($H649=3,$G649-2*ROUND($G649/12,0),IF($H649=4,$G649,IF(OR($H649=5,$H649=7),ROUND($G649*10/11,0),0)))))</f>
        <v>0</v>
      </c>
      <c r="L649" s="364">
        <f>IF($G649="","",IF($H649=1,ROUND($G649/23,0),IF($H649=3,ROUND($G649/12,0),IF($H649=5,$G649-ROUND($G649*10/11,0),IF($H649=8,$G649,0)))))</f>
        <v>0</v>
      </c>
      <c r="M649" s="364">
        <f>IF($G649="","",IF($H649=1,ROUND($G649/23,0),IF($H649=3,ROUND($G649/12,0),IF($H649=6,$G649,IF($H649=7,$G649-ROUND($G649*10/11,0),0)))))</f>
        <v>0</v>
      </c>
      <c r="N649" s="364">
        <f>IF($G649="","",K649+L649+M649)</f>
        <v>0</v>
      </c>
      <c r="O649" s="365" t="str">
        <f>IF($G649="","",IFERROR(VLOOKUP($D649&amp;"|"&amp;$E649,科目表!$A$5:$B$200,2,FALSE),"※未登録"))</f>
        <v>厚生費</v>
      </c>
      <c r="P649" s="359">
        <f>IF(OR($G649="",$C649=""),"",IF($B649="決算整理",13,MOD(MONTH($C649)-4,12)+1))</f>
        <v>12</v>
      </c>
      <c r="Q649" s="366" t="str">
        <f>IF($G649="","",TRIM(IF(J649+K649+L649+M649&lt;&gt;$G649,"按分不一致 ","")&amp;IF(O649="※未登録","科目未登録 ","")&amp;IF(OR($H649="",ISERROR(MATCH($H649,{1,2,3,4,5,6,7,8},0))),"経費区分? ","")&amp;IF($I649="","状態未設定 ","")&amp;IF(AND(OR($I649="確認済",$I649="未確認"),$B649="月例",OR($C649="",$C649&lt;DATE(年度+2018,4,1),$C649&gt;DATE(年度+2019,3,31))),"年度外の日付 ","")&amp;IF(AND(OR($I649="確認済",$I649="未確認"),O649="対象外"),"対象外の科目 ","")))</f>
        <v/>
      </c>
      <c r="R649" s="366" t="inlineStr">
        <is>
          <t>月例!674</t>
        </is>
      </c>
    </row>
    <row r="650">
      <c r="A650" s="359" t="n">
        <v>646</v>
      </c>
      <c r="B650" s="360" t="inlineStr">
        <is>
          <t>月例</t>
        </is>
      </c>
      <c r="C650" s="361" t="n">
        <v>46100</v>
      </c>
      <c r="D650" s="362" t="inlineStr">
        <is>
          <t>職員給与</t>
        </is>
      </c>
      <c r="E650" s="362" t="inlineStr">
        <is>
          <t>非常勤職員手当</t>
        </is>
      </c>
      <c r="F650" s="362" t="inlineStr">
        <is>
          <t>３月分給与（長期分）</t>
        </is>
      </c>
      <c r="G650" s="363" t="n">
        <v>395611</v>
      </c>
      <c r="H650" s="360" t="n">
        <v>3</v>
      </c>
      <c r="I650" s="360" t="inlineStr">
        <is>
          <t>昨年実績</t>
        </is>
      </c>
      <c r="J650" s="364">
        <f>IF($G650="","",IF($H650=1,$G650-ROUND($G650*10/23,0)-2*ROUND($G650/23,0),IF($H650=2,$G650,0)))</f>
        <v>0</v>
      </c>
      <c r="K650" s="364">
        <f>IF($G650="","",IF($H650=1,ROUND($G650*10/23,0),IF($H650=3,$G650-2*ROUND($G650/12,0),IF($H650=4,$G650,IF(OR($H650=5,$H650=7),ROUND($G650*10/11,0),0)))))</f>
        <v>329675</v>
      </c>
      <c r="L650" s="364">
        <f>IF($G650="","",IF($H650=1,ROUND($G650/23,0),IF($H650=3,ROUND($G650/12,0),IF($H650=5,$G650-ROUND($G650*10/11,0),IF($H650=8,$G650,0)))))</f>
        <v>32968</v>
      </c>
      <c r="M650" s="364">
        <f>IF($G650="","",IF($H650=1,ROUND($G650/23,0),IF($H650=3,ROUND($G650/12,0),IF($H650=6,$G650,IF($H650=7,$G650-ROUND($G650*10/11,0),0)))))</f>
        <v>32968</v>
      </c>
      <c r="N650" s="364">
        <f>IF($G650="","",K650+L650+M650)</f>
        <v>395611</v>
      </c>
      <c r="O650" s="365" t="str">
        <f>IF($G650="","",IFERROR(VLOOKUP($D650&amp;"|"&amp;$E650,科目表!$A$5:$B$200,2,FALSE),"※未登録"))</f>
        <v>非常勤職員手当</v>
      </c>
      <c r="P650" s="359">
        <f>IF(OR($G650="",$C650=""),"",IF($B650="決算整理",13,MOD(MONTH($C650)-4,12)+1))</f>
        <v>12</v>
      </c>
      <c r="Q650" s="366" t="str">
        <f>IF($G650="","",TRIM(IF(J650+K650+L650+M650&lt;&gt;$G650,"按分不一致 ","")&amp;IF(O650="※未登録","科目未登録 ","")&amp;IF(OR($H650="",ISERROR(MATCH($H650,{1,2,3,4,5,6,7,8},0))),"経費区分? ","")&amp;IF($I650="","状態未設定 ","")&amp;IF(AND(OR($I650="確認済",$I650="未確認"),$B650="月例",OR($C650="",$C650&lt;DATE(年度+2018,4,1),$C650&gt;DATE(年度+2019,3,31))),"年度外の日付 ","")&amp;IF(AND(OR($I650="確認済",$I650="未確認"),O650="対象外"),"対象外の科目 ","")))</f>
        <v/>
      </c>
      <c r="R650" s="366" t="inlineStr">
        <is>
          <t>月例!675</t>
        </is>
      </c>
    </row>
    <row r="651">
      <c r="A651" s="359" t="n">
        <v>647</v>
      </c>
      <c r="B651" s="360" t="inlineStr">
        <is>
          <t>月例</t>
        </is>
      </c>
      <c r="C651" s="361" t="n">
        <v>46100</v>
      </c>
      <c r="D651" s="362" t="inlineStr">
        <is>
          <t>職員給与</t>
        </is>
      </c>
      <c r="E651" s="362" t="inlineStr">
        <is>
          <t>非常勤職員手当</t>
        </is>
      </c>
      <c r="F651" s="362" t="inlineStr">
        <is>
          <t>３月分給与（短期分）</t>
        </is>
      </c>
      <c r="G651" s="363" t="n">
        <v>234370</v>
      </c>
      <c r="H651" s="360" t="n">
        <v>2</v>
      </c>
      <c r="I651" s="360" t="inlineStr">
        <is>
          <t>昨年実績</t>
        </is>
      </c>
      <c r="J651" s="364">
        <f>IF($G651="","",IF($H651=1,$G651-ROUND($G651*10/23,0)-2*ROUND($G651/23,0),IF($H651=2,$G651,0)))</f>
        <v>234370</v>
      </c>
      <c r="K651" s="364">
        <f>IF($G651="","",IF($H651=1,ROUND($G651*10/23,0),IF($H651=3,$G651-2*ROUND($G651/12,0),IF($H651=4,$G651,IF(OR($H651=5,$H651=7),ROUND($G651*10/11,0),0)))))</f>
        <v>0</v>
      </c>
      <c r="L651" s="364">
        <f>IF($G651="","",IF($H651=1,ROUND($G651/23,0),IF($H651=3,ROUND($G651/12,0),IF($H651=5,$G651-ROUND($G651*10/11,0),IF($H651=8,$G651,0)))))</f>
        <v>0</v>
      </c>
      <c r="M651" s="364">
        <f>IF($G651="","",IF($H651=1,ROUND($G651/23,0),IF($H651=3,ROUND($G651/12,0),IF($H651=6,$G651,IF($H651=7,$G651-ROUND($G651*10/11,0),0)))))</f>
        <v>0</v>
      </c>
      <c r="N651" s="364">
        <f>IF($G651="","",K651+L651+M651)</f>
        <v>0</v>
      </c>
      <c r="O651" s="365" t="str">
        <f>IF($G651="","",IFERROR(VLOOKUP($D651&amp;"|"&amp;$E651,科目表!$A$5:$B$200,2,FALSE),"※未登録"))</f>
        <v>非常勤職員手当</v>
      </c>
      <c r="P651" s="359">
        <f>IF(OR($G651="",$C651=""),"",IF($B651="決算整理",13,MOD(MONTH($C651)-4,12)+1))</f>
        <v>12</v>
      </c>
      <c r="Q651" s="366" t="str">
        <f>IF($G651="","",TRIM(IF(J651+K651+L651+M651&lt;&gt;$G651,"按分不一致 ","")&amp;IF(O651="※未登録","科目未登録 ","")&amp;IF(OR($H651="",ISERROR(MATCH($H651,{1,2,3,4,5,6,7,8},0))),"経費区分? ","")&amp;IF($I651="","状態未設定 ","")&amp;IF(AND(OR($I651="確認済",$I651="未確認"),$B651="月例",OR($C651="",$C651&lt;DATE(年度+2018,4,1),$C651&gt;DATE(年度+2019,3,31))),"年度外の日付 ","")&amp;IF(AND(OR($I651="確認済",$I651="未確認"),O651="対象外"),"対象外の科目 ","")))</f>
        <v/>
      </c>
      <c r="R651" s="366" t="inlineStr">
        <is>
          <t>月例!676</t>
        </is>
      </c>
    </row>
    <row r="652">
      <c r="A652" s="359" t="n">
        <v>648</v>
      </c>
      <c r="B652" s="360" t="inlineStr">
        <is>
          <t>月例</t>
        </is>
      </c>
      <c r="C652" s="361" t="n">
        <v>46100</v>
      </c>
      <c r="D652" s="362" t="inlineStr">
        <is>
          <t>負担金</t>
        </is>
      </c>
      <c r="E652" s="362" t="inlineStr">
        <is>
          <t>互助会費</t>
        </is>
      </c>
      <c r="F652" s="362" t="inlineStr">
        <is>
          <t>助成金（３月長期分）</t>
        </is>
      </c>
      <c r="G652" s="363" t="n">
        <v>554</v>
      </c>
      <c r="H652" s="360" t="n">
        <v>3</v>
      </c>
      <c r="I652" s="360" t="inlineStr">
        <is>
          <t>昨年実績</t>
        </is>
      </c>
      <c r="J652" s="364">
        <f>IF($G652="","",IF($H652=1,$G652-ROUND($G652*10/23,0)-2*ROUND($G652/23,0),IF($H652=2,$G652,0)))</f>
        <v>0</v>
      </c>
      <c r="K652" s="364">
        <f>IF($G652="","",IF($H652=1,ROUND($G652*10/23,0),IF($H652=3,$G652-2*ROUND($G652/12,0),IF($H652=4,$G652,IF(OR($H652=5,$H652=7),ROUND($G652*10/11,0),0)))))</f>
        <v>462</v>
      </c>
      <c r="L652" s="364">
        <f>IF($G652="","",IF($H652=1,ROUND($G652/23,0),IF($H652=3,ROUND($G652/12,0),IF($H652=5,$G652-ROUND($G652*10/11,0),IF($H652=8,$G652,0)))))</f>
        <v>46</v>
      </c>
      <c r="M652" s="364">
        <f>IF($G652="","",IF($H652=1,ROUND($G652/23,0),IF($H652=3,ROUND($G652/12,0),IF($H652=6,$G652,IF($H652=7,$G652-ROUND($G652*10/11,0),0)))))</f>
        <v>46</v>
      </c>
      <c r="N652" s="364">
        <f>IF($G652="","",K652+L652+M652)</f>
        <v>554</v>
      </c>
      <c r="O652" s="365" t="str">
        <f>IF($G652="","",IFERROR(VLOOKUP($D652&amp;"|"&amp;$E652,科目表!$A$5:$B$200,2,FALSE),"※未登録"))</f>
        <v>互助会費</v>
      </c>
      <c r="P652" s="359">
        <f>IF(OR($G652="",$C652=""),"",IF($B652="決算整理",13,MOD(MONTH($C652)-4,12)+1))</f>
        <v>12</v>
      </c>
      <c r="Q652" s="366" t="str">
        <f>IF($G652="","",TRIM(IF(J652+K652+L652+M652&lt;&gt;$G652,"按分不一致 ","")&amp;IF(O652="※未登録","科目未登録 ","")&amp;IF(OR($H652="",ISERROR(MATCH($H652,{1,2,3,4,5,6,7,8},0))),"経費区分? ","")&amp;IF($I652="","状態未設定 ","")&amp;IF(AND(OR($I652="確認済",$I652="未確認"),$B652="月例",OR($C652="",$C652&lt;DATE(年度+2018,4,1),$C652&gt;DATE(年度+2019,3,31))),"年度外の日付 ","")&amp;IF(AND(OR($I652="確認済",$I652="未確認"),O652="対象外"),"対象外の科目 ","")))</f>
        <v/>
      </c>
      <c r="R652" s="366" t="inlineStr">
        <is>
          <t>月例!677</t>
        </is>
      </c>
    </row>
    <row r="653">
      <c r="A653" s="359" t="n">
        <v>649</v>
      </c>
      <c r="B653" s="360" t="inlineStr">
        <is>
          <t>月例</t>
        </is>
      </c>
      <c r="C653" s="361" t="n">
        <v>46100</v>
      </c>
      <c r="D653" s="362" t="inlineStr">
        <is>
          <t>負担金</t>
        </is>
      </c>
      <c r="E653" s="362" t="inlineStr">
        <is>
          <t>互助会費</t>
        </is>
      </c>
      <c r="F653" s="362" t="inlineStr">
        <is>
          <t>助成金（３月短期分）</t>
        </is>
      </c>
      <c r="G653" s="363" t="n">
        <v>284</v>
      </c>
      <c r="H653" s="360" t="n">
        <v>2</v>
      </c>
      <c r="I653" s="360" t="inlineStr">
        <is>
          <t>昨年実績</t>
        </is>
      </c>
      <c r="J653" s="364">
        <f>IF($G653="","",IF($H653=1,$G653-ROUND($G653*10/23,0)-2*ROUND($G653/23,0),IF($H653=2,$G653,0)))</f>
        <v>284</v>
      </c>
      <c r="K653" s="364">
        <f>IF($G653="","",IF($H653=1,ROUND($G653*10/23,0),IF($H653=3,$G653-2*ROUND($G653/12,0),IF($H653=4,$G653,IF(OR($H653=5,$H653=7),ROUND($G653*10/11,0),0)))))</f>
        <v>0</v>
      </c>
      <c r="L653" s="364">
        <f>IF($G653="","",IF($H653=1,ROUND($G653/23,0),IF($H653=3,ROUND($G653/12,0),IF($H653=5,$G653-ROUND($G653*10/11,0),IF($H653=8,$G653,0)))))</f>
        <v>0</v>
      </c>
      <c r="M653" s="364">
        <f>IF($G653="","",IF($H653=1,ROUND($G653/23,0),IF($H653=3,ROUND($G653/12,0),IF($H653=6,$G653,IF($H653=7,$G653-ROUND($G653*10/11,0),0)))))</f>
        <v>0</v>
      </c>
      <c r="N653" s="364">
        <f>IF($G653="","",K653+L653+M653)</f>
        <v>0</v>
      </c>
      <c r="O653" s="365" t="str">
        <f>IF($G653="","",IFERROR(VLOOKUP($D653&amp;"|"&amp;$E653,科目表!$A$5:$B$200,2,FALSE),"※未登録"))</f>
        <v>互助会費</v>
      </c>
      <c r="P653" s="359">
        <f>IF(OR($G653="",$C653=""),"",IF($B653="決算整理",13,MOD(MONTH($C653)-4,12)+1))</f>
        <v>12</v>
      </c>
      <c r="Q653" s="366" t="str">
        <f>IF($G653="","",TRIM(IF(J653+K653+L653+M653&lt;&gt;$G653,"按分不一致 ","")&amp;IF(O653="※未登録","科目未登録 ","")&amp;IF(OR($H653="",ISERROR(MATCH($H653,{1,2,3,4,5,6,7,8},0))),"経費区分? ","")&amp;IF($I653="","状態未設定 ","")&amp;IF(AND(OR($I653="確認済",$I653="未確認"),$B653="月例",OR($C653="",$C653&lt;DATE(年度+2018,4,1),$C653&gt;DATE(年度+2019,3,31))),"年度外の日付 ","")&amp;IF(AND(OR($I653="確認済",$I653="未確認"),O653="対象外"),"対象外の科目 ","")))</f>
        <v/>
      </c>
      <c r="R653" s="366" t="inlineStr">
        <is>
          <t>月例!678</t>
        </is>
      </c>
    </row>
    <row r="654">
      <c r="A654" s="359" t="n">
        <v>650</v>
      </c>
      <c r="B654" s="360" t="inlineStr">
        <is>
          <t>月例</t>
        </is>
      </c>
      <c r="C654" s="361" t="n">
        <v>46108</v>
      </c>
      <c r="D654" s="362" t="inlineStr">
        <is>
          <t>事務費</t>
        </is>
      </c>
      <c r="E654" s="362" t="inlineStr">
        <is>
          <t>通信運搬費</t>
        </is>
      </c>
      <c r="F654" s="362" t="inlineStr">
        <is>
          <t>料金後納利用料（２月分）長期</t>
        </is>
      </c>
      <c r="G654" s="363" t="n">
        <v>559717</v>
      </c>
      <c r="H654" s="360" t="n">
        <v>3</v>
      </c>
      <c r="I654" s="360" t="inlineStr">
        <is>
          <t>昨年実績</t>
        </is>
      </c>
      <c r="J654" s="364">
        <f>IF($G654="","",IF($H654=1,$G654-ROUND($G654*10/23,0)-2*ROUND($G654/23,0),IF($H654=2,$G654,0)))</f>
        <v>0</v>
      </c>
      <c r="K654" s="364">
        <f>IF($G654="","",IF($H654=1,ROUND($G654*10/23,0),IF($H654=3,$G654-2*ROUND($G654/12,0),IF($H654=4,$G654,IF(OR($H654=5,$H654=7),ROUND($G654*10/11,0),0)))))</f>
        <v>466431</v>
      </c>
      <c r="L654" s="364">
        <f>IF($G654="","",IF($H654=1,ROUND($G654/23,0),IF($H654=3,ROUND($G654/12,0),IF($H654=5,$G654-ROUND($G654*10/11,0),IF($H654=8,$G654,0)))))</f>
        <v>46643</v>
      </c>
      <c r="M654" s="364">
        <f>IF($G654="","",IF($H654=1,ROUND($G654/23,0),IF($H654=3,ROUND($G654/12,0),IF($H654=6,$G654,IF($H654=7,$G654-ROUND($G654*10/11,0),0)))))</f>
        <v>46643</v>
      </c>
      <c r="N654" s="364">
        <f>IF($G654="","",K654+L654+M654)</f>
        <v>559717</v>
      </c>
      <c r="O654" s="365" t="str">
        <f>IF($G654="","",IFERROR(VLOOKUP($D654&amp;"|"&amp;$E654,科目表!$A$5:$B$200,2,FALSE),"※未登録"))</f>
        <v>通信運搬費</v>
      </c>
      <c r="P654" s="359">
        <f>IF(OR($G654="",$C654=""),"",IF($B654="決算整理",13,MOD(MONTH($C654)-4,12)+1))</f>
        <v>12</v>
      </c>
      <c r="Q654" s="366" t="str">
        <f>IF($G654="","",TRIM(IF(J654+K654+L654+M654&lt;&gt;$G654,"按分不一致 ","")&amp;IF(O654="※未登録","科目未登録 ","")&amp;IF(OR($H654="",ISERROR(MATCH($H654,{1,2,3,4,5,6,7,8},0))),"経費区分? ","")&amp;IF($I654="","状態未設定 ","")&amp;IF(AND(OR($I654="確認済",$I654="未確認"),$B654="月例",OR($C654="",$C654&lt;DATE(年度+2018,4,1),$C654&gt;DATE(年度+2019,3,31))),"年度外の日付 ","")&amp;IF(AND(OR($I654="確認済",$I654="未確認"),O654="対象外"),"対象外の科目 ","")))</f>
        <v/>
      </c>
      <c r="R654" s="366" t="inlineStr">
        <is>
          <t>月例!679</t>
        </is>
      </c>
    </row>
    <row r="655">
      <c r="A655" s="359" t="n">
        <v>651</v>
      </c>
      <c r="B655" s="360" t="inlineStr">
        <is>
          <t>月例</t>
        </is>
      </c>
      <c r="C655" s="361" t="n">
        <v>46108</v>
      </c>
      <c r="D655" s="362" t="inlineStr">
        <is>
          <t>事務費</t>
        </is>
      </c>
      <c r="E655" s="362" t="inlineStr">
        <is>
          <t>通信運搬費</t>
        </is>
      </c>
      <c r="F655" s="362" t="inlineStr">
        <is>
          <t>料金後納利用料（２月分）短期</t>
        </is>
      </c>
      <c r="G655" s="363" t="n">
        <v>15960</v>
      </c>
      <c r="H655" s="360" t="n">
        <v>2</v>
      </c>
      <c r="I655" s="360" t="inlineStr">
        <is>
          <t>昨年実績</t>
        </is>
      </c>
      <c r="J655" s="364">
        <f>IF($G655="","",IF($H655=1,$G655-ROUND($G655*10/23,0)-2*ROUND($G655/23,0),IF($H655=2,$G655,0)))</f>
        <v>15960</v>
      </c>
      <c r="K655" s="364">
        <f>IF($G655="","",IF($H655=1,ROUND($G655*10/23,0),IF($H655=3,$G655-2*ROUND($G655/12,0),IF($H655=4,$G655,IF(OR($H655=5,$H655=7),ROUND($G655*10/11,0),0)))))</f>
        <v>0</v>
      </c>
      <c r="L655" s="364">
        <f>IF($G655="","",IF($H655=1,ROUND($G655/23,0),IF($H655=3,ROUND($G655/12,0),IF($H655=5,$G655-ROUND($G655*10/11,0),IF($H655=8,$G655,0)))))</f>
        <v>0</v>
      </c>
      <c r="M655" s="364">
        <f>IF($G655="","",IF($H655=1,ROUND($G655/23,0),IF($H655=3,ROUND($G655/12,0),IF($H655=6,$G655,IF($H655=7,$G655-ROUND($G655*10/11,0),0)))))</f>
        <v>0</v>
      </c>
      <c r="N655" s="364">
        <f>IF($G655="","",K655+L655+M655)</f>
        <v>0</v>
      </c>
      <c r="O655" s="365" t="str">
        <f>IF($G655="","",IFERROR(VLOOKUP($D655&amp;"|"&amp;$E655,科目表!$A$5:$B$200,2,FALSE),"※未登録"))</f>
        <v>通信運搬費</v>
      </c>
      <c r="P655" s="359">
        <f>IF(OR($G655="",$C655=""),"",IF($B655="決算整理",13,MOD(MONTH($C655)-4,12)+1))</f>
        <v>12</v>
      </c>
      <c r="Q655" s="366" t="str">
        <f>IF($G655="","",TRIM(IF(J655+K655+L655+M655&lt;&gt;$G655,"按分不一致 ","")&amp;IF(O655="※未登録","科目未登録 ","")&amp;IF(OR($H655="",ISERROR(MATCH($H655,{1,2,3,4,5,6,7,8},0))),"経費区分? ","")&amp;IF($I655="","状態未設定 ","")&amp;IF(AND(OR($I655="確認済",$I655="未確認"),$B655="月例",OR($C655="",$C655&lt;DATE(年度+2018,4,1),$C655&gt;DATE(年度+2019,3,31))),"年度外の日付 ","")&amp;IF(AND(OR($I655="確認済",$I655="未確認"),O655="対象外"),"対象外の科目 ","")))</f>
        <v/>
      </c>
      <c r="R655" s="366" t="inlineStr">
        <is>
          <t>月例!680</t>
        </is>
      </c>
    </row>
    <row r="656">
      <c r="A656" s="359" t="n">
        <v>652</v>
      </c>
      <c r="B656" s="360" t="inlineStr">
        <is>
          <t>月例</t>
        </is>
      </c>
      <c r="C656" s="361" t="n">
        <v>44277</v>
      </c>
      <c r="D656" s="362" t="inlineStr">
        <is>
          <t>事務費</t>
        </is>
      </c>
      <c r="E656" s="362" t="inlineStr">
        <is>
          <t>通信運搬費</t>
        </is>
      </c>
      <c r="F656" s="362" t="inlineStr">
        <is>
          <t>電話料金（２月使用・３月請求分）</t>
        </is>
      </c>
      <c r="G656" s="363" t="n">
        <v>5407</v>
      </c>
      <c r="H656" s="360" t="n">
        <v>2</v>
      </c>
      <c r="I656" s="360" t="inlineStr">
        <is>
          <t>昨年実績</t>
        </is>
      </c>
      <c r="J656" s="364">
        <f>IF($G656="","",IF($H656=1,$G656-ROUND($G656*10/23,0)-2*ROUND($G656/23,0),IF($H656=2,$G656,0)))</f>
        <v>5407</v>
      </c>
      <c r="K656" s="364">
        <f>IF($G656="","",IF($H656=1,ROUND($G656*10/23,0),IF($H656=3,$G656-2*ROUND($G656/12,0),IF($H656=4,$G656,IF(OR($H656=5,$H656=7),ROUND($G656*10/11,0),0)))))</f>
        <v>0</v>
      </c>
      <c r="L656" s="364">
        <f>IF($G656="","",IF($H656=1,ROUND($G656/23,0),IF($H656=3,ROUND($G656/12,0),IF($H656=5,$G656-ROUND($G656*10/11,0),IF($H656=8,$G656,0)))))</f>
        <v>0</v>
      </c>
      <c r="M656" s="364">
        <f>IF($G656="","",IF($H656=1,ROUND($G656/23,0),IF($H656=3,ROUND($G656/12,0),IF($H656=6,$G656,IF($H656=7,$G656-ROUND($G656*10/11,0),0)))))</f>
        <v>0</v>
      </c>
      <c r="N656" s="364">
        <f>IF($G656="","",K656+L656+M656)</f>
        <v>0</v>
      </c>
      <c r="O656" s="365" t="str">
        <f>IF($G656="","",IFERROR(VLOOKUP($D656&amp;"|"&amp;$E656,科目表!$A$5:$B$200,2,FALSE),"※未登録"))</f>
        <v>通信運搬費</v>
      </c>
      <c r="P656" s="359">
        <f>IF(OR($G656="",$C656=""),"",IF($B656="決算整理",13,MOD(MONTH($C656)-4,12)+1))</f>
        <v>12</v>
      </c>
      <c r="Q656" s="366" t="str">
        <f>IF($G656="","",TRIM(IF(J656+K656+L656+M656&lt;&gt;$G656,"按分不一致 ","")&amp;IF(O656="※未登録","科目未登録 ","")&amp;IF(OR($H656="",ISERROR(MATCH($H656,{1,2,3,4,5,6,7,8},0))),"経費区分? ","")&amp;IF($I656="","状態未設定 ","")&amp;IF(AND(OR($I656="確認済",$I656="未確認"),$B656="月例",OR($C656="",$C656&lt;DATE(年度+2018,4,1),$C656&gt;DATE(年度+2019,3,31))),"年度外の日付 ","")&amp;IF(AND(OR($I656="確認済",$I656="未確認"),O656="対象外"),"対象外の科目 ","")))</f>
        <v/>
      </c>
      <c r="R656" s="366" t="inlineStr">
        <is>
          <t>月例!681</t>
        </is>
      </c>
    </row>
    <row r="657">
      <c r="A657" s="359" t="n">
        <v>653</v>
      </c>
      <c r="B657" s="360" t="inlineStr">
        <is>
          <t>月例</t>
        </is>
      </c>
      <c r="C657" s="361" t="n">
        <v>44985</v>
      </c>
      <c r="D657" s="362" t="inlineStr">
        <is>
          <t>厚生費</t>
        </is>
      </c>
      <c r="E657" s="362" t="inlineStr">
        <is>
          <t>健康診断費</t>
        </is>
      </c>
      <c r="F657" s="362" t="inlineStr">
        <is>
          <t>定期健康診断等（天畠、高橋）</t>
        </is>
      </c>
      <c r="G657" s="363" t="n">
        <v>4675</v>
      </c>
      <c r="H657" s="360" t="n">
        <v>2</v>
      </c>
      <c r="I657" s="360" t="inlineStr">
        <is>
          <t>昨年実績</t>
        </is>
      </c>
      <c r="J657" s="364">
        <f>IF($G657="","",IF($H657=1,$G657-ROUND($G657*10/23,0)-2*ROUND($G657/23,0),IF($H657=2,$G657,0)))</f>
        <v>4675</v>
      </c>
      <c r="K657" s="364">
        <f>IF($G657="","",IF($H657=1,ROUND($G657*10/23,0),IF($H657=3,$G657-2*ROUND($G657/12,0),IF($H657=4,$G657,IF(OR($H657=5,$H657=7),ROUND($G657*10/11,0),0)))))</f>
        <v>0</v>
      </c>
      <c r="L657" s="364">
        <f>IF($G657="","",IF($H657=1,ROUND($G657/23,0),IF($H657=3,ROUND($G657/12,0),IF($H657=5,$G657-ROUND($G657*10/11,0),IF($H657=8,$G657,0)))))</f>
        <v>0</v>
      </c>
      <c r="M657" s="364">
        <f>IF($G657="","",IF($H657=1,ROUND($G657/23,0),IF($H657=3,ROUND($G657/12,0),IF($H657=6,$G657,IF($H657=7,$G657-ROUND($G657*10/11,0),0)))))</f>
        <v>0</v>
      </c>
      <c r="N657" s="364">
        <f>IF($G657="","",K657+L657+M657)</f>
        <v>0</v>
      </c>
      <c r="O657" s="365" t="str">
        <f>IF($G657="","",IFERROR(VLOOKUP($D657&amp;"|"&amp;$E657,科目表!$A$5:$B$200,2,FALSE),"※未登録"))</f>
        <v>厚生費</v>
      </c>
      <c r="P657" s="359">
        <f>IF(OR($G657="",$C657=""),"",IF($B657="決算整理",13,MOD(MONTH($C657)-4,12)+1))</f>
        <v>11</v>
      </c>
      <c r="Q657" s="366" t="str">
        <f>IF($G657="","",TRIM(IF(J657+K657+L657+M657&lt;&gt;$G657,"按分不一致 ","")&amp;IF(O657="※未登録","科目未登録 ","")&amp;IF(OR($H657="",ISERROR(MATCH($H657,{1,2,3,4,5,6,7,8},0))),"経費区分? ","")&amp;IF($I657="","状態未設定 ","")&amp;IF(AND(OR($I657="確認済",$I657="未確認"),$B657="月例",OR($C657="",$C657&lt;DATE(年度+2018,4,1),$C657&gt;DATE(年度+2019,3,31))),"年度外の日付 ","")&amp;IF(AND(OR($I657="確認済",$I657="未確認"),O657="対象外"),"対象外の科目 ","")))</f>
        <v/>
      </c>
      <c r="R657" s="366" t="inlineStr">
        <is>
          <t>月例!682</t>
        </is>
      </c>
    </row>
    <row r="658">
      <c r="A658" s="359" t="n">
        <v>654</v>
      </c>
      <c r="B658" s="360" t="inlineStr">
        <is>
          <t>月例</t>
        </is>
      </c>
      <c r="C658" s="361" t="n">
        <v>44985</v>
      </c>
      <c r="D658" s="362" t="inlineStr">
        <is>
          <t>厚生費</t>
        </is>
      </c>
      <c r="E658" s="362" t="inlineStr">
        <is>
          <t>健康診断費</t>
        </is>
      </c>
      <c r="F658" s="362" t="inlineStr">
        <is>
          <t>情報機器作業従事員健康診断（上久保、佐々木）</t>
        </is>
      </c>
      <c r="G658" s="363" t="n">
        <v>3630</v>
      </c>
      <c r="H658" s="360" t="n">
        <v>3</v>
      </c>
      <c r="I658" s="360" t="inlineStr">
        <is>
          <t>昨年実績</t>
        </is>
      </c>
      <c r="J658" s="364">
        <f>IF($G658="","",IF($H658=1,$G658-ROUND($G658*10/23,0)-2*ROUND($G658/23,0),IF($H658=2,$G658,0)))</f>
        <v>0</v>
      </c>
      <c r="K658" s="364">
        <f>IF($G658="","",IF($H658=1,ROUND($G658*10/23,0),IF($H658=3,$G658-2*ROUND($G658/12,0),IF($H658=4,$G658,IF(OR($H658=5,$H658=7),ROUND($G658*10/11,0),0)))))</f>
        <v>3024</v>
      </c>
      <c r="L658" s="364">
        <f>IF($G658="","",IF($H658=1,ROUND($G658/23,0),IF($H658=3,ROUND($G658/12,0),IF($H658=5,$G658-ROUND($G658*10/11,0),IF($H658=8,$G658,0)))))</f>
        <v>303</v>
      </c>
      <c r="M658" s="364">
        <f>IF($G658="","",IF($H658=1,ROUND($G658/23,0),IF($H658=3,ROUND($G658/12,0),IF($H658=6,$G658,IF($H658=7,$G658-ROUND($G658*10/11,0),0)))))</f>
        <v>303</v>
      </c>
      <c r="N658" s="364">
        <f>IF($G658="","",K658+L658+M658)</f>
        <v>3630</v>
      </c>
      <c r="O658" s="365" t="str">
        <f>IF($G658="","",IFERROR(VLOOKUP($D658&amp;"|"&amp;$E658,科目表!$A$5:$B$200,2,FALSE),"※未登録"))</f>
        <v>厚生費</v>
      </c>
      <c r="P658" s="359">
        <f>IF(OR($G658="",$C658=""),"",IF($B658="決算整理",13,MOD(MONTH($C658)-4,12)+1))</f>
        <v>11</v>
      </c>
      <c r="Q658" s="366" t="str">
        <f>IF($G658="","",TRIM(IF(J658+K658+L658+M658&lt;&gt;$G658,"按分不一致 ","")&amp;IF(O658="※未登録","科目未登録 ","")&amp;IF(OR($H658="",ISERROR(MATCH($H658,{1,2,3,4,5,6,7,8},0))),"経費区分? ","")&amp;IF($I658="","状態未設定 ","")&amp;IF(AND(OR($I658="確認済",$I658="未確認"),$B658="月例",OR($C658="",$C658&lt;DATE(年度+2018,4,1),$C658&gt;DATE(年度+2019,3,31))),"年度外の日付 ","")&amp;IF(AND(OR($I658="確認済",$I658="未確認"),O658="対象外"),"対象外の科目 ","")))</f>
        <v/>
      </c>
      <c r="R658" s="366" t="inlineStr">
        <is>
          <t>月例!683</t>
        </is>
      </c>
    </row>
    <row r="659">
      <c r="A659" s="359" t="n">
        <v>655</v>
      </c>
      <c r="B659" s="360" t="inlineStr">
        <is>
          <t>月例</t>
        </is>
      </c>
      <c r="C659" s="361" t="n">
        <v>44274</v>
      </c>
      <c r="D659" s="362" t="inlineStr">
        <is>
          <t>職員給与</t>
        </is>
      </c>
      <c r="E659" s="362" t="inlineStr">
        <is>
          <t>非常勤職員手当</t>
        </is>
      </c>
      <c r="F659" s="362" t="inlineStr">
        <is>
          <t>３月分給与（長期分）</t>
        </is>
      </c>
      <c r="G659" s="363" t="n">
        <v>340401</v>
      </c>
      <c r="H659" s="360" t="n">
        <v>3</v>
      </c>
      <c r="I659" s="360" t="inlineStr">
        <is>
          <t>昨年実績</t>
        </is>
      </c>
      <c r="J659" s="364">
        <f>IF($G659="","",IF($H659=1,$G659-ROUND($G659*10/23,0)-2*ROUND($G659/23,0),IF($H659=2,$G659,0)))</f>
        <v>0</v>
      </c>
      <c r="K659" s="364">
        <f>IF($G659="","",IF($H659=1,ROUND($G659*10/23,0),IF($H659=3,$G659-2*ROUND($G659/12,0),IF($H659=4,$G659,IF(OR($H659=5,$H659=7),ROUND($G659*10/11,0),0)))))</f>
        <v>283667</v>
      </c>
      <c r="L659" s="364">
        <f>IF($G659="","",IF($H659=1,ROUND($G659/23,0),IF($H659=3,ROUND($G659/12,0),IF($H659=5,$G659-ROUND($G659*10/11,0),IF($H659=8,$G659,0)))))</f>
        <v>28367</v>
      </c>
      <c r="M659" s="364">
        <f>IF($G659="","",IF($H659=1,ROUND($G659/23,0),IF($H659=3,ROUND($G659/12,0),IF($H659=6,$G659,IF($H659=7,$G659-ROUND($G659*10/11,0),0)))))</f>
        <v>28367</v>
      </c>
      <c r="N659" s="364">
        <f>IF($G659="","",K659+L659+M659)</f>
        <v>340401</v>
      </c>
      <c r="O659" s="365" t="str">
        <f>IF($G659="","",IFERROR(VLOOKUP($D659&amp;"|"&amp;$E659,科目表!$A$5:$B$200,2,FALSE),"※未登録"))</f>
        <v>非常勤職員手当</v>
      </c>
      <c r="P659" s="359">
        <f>IF(OR($G659="",$C659=""),"",IF($B659="決算整理",13,MOD(MONTH($C659)-4,12)+1))</f>
        <v>12</v>
      </c>
      <c r="Q659" s="366" t="str">
        <f>IF($G659="","",TRIM(IF(J659+K659+L659+M659&lt;&gt;$G659,"按分不一致 ","")&amp;IF(O659="※未登録","科目未登録 ","")&amp;IF(OR($H659="",ISERROR(MATCH($H659,{1,2,3,4,5,6,7,8},0))),"経費区分? ","")&amp;IF($I659="","状態未設定 ","")&amp;IF(AND(OR($I659="確認済",$I659="未確認"),$B659="月例",OR($C659="",$C659&lt;DATE(年度+2018,4,1),$C659&gt;DATE(年度+2019,3,31))),"年度外の日付 ","")&amp;IF(AND(OR($I659="確認済",$I659="未確認"),O659="対象外"),"対象外の科目 ","")))</f>
        <v/>
      </c>
      <c r="R659" s="366" t="inlineStr">
        <is>
          <t>月例!684</t>
        </is>
      </c>
    </row>
    <row r="660">
      <c r="A660" s="359" t="n">
        <v>656</v>
      </c>
      <c r="B660" s="360" t="inlineStr">
        <is>
          <t>月例</t>
        </is>
      </c>
      <c r="C660" s="361" t="n">
        <v>44274</v>
      </c>
      <c r="D660" s="362" t="inlineStr">
        <is>
          <t>負担金</t>
        </is>
      </c>
      <c r="E660" s="362" t="inlineStr">
        <is>
          <t>互助会費</t>
        </is>
      </c>
      <c r="F660" s="362" t="inlineStr">
        <is>
          <t>助成金（３月長期分）</t>
        </is>
      </c>
      <c r="G660" s="363" t="n">
        <v>476</v>
      </c>
      <c r="H660" s="360" t="n">
        <v>3</v>
      </c>
      <c r="I660" s="360" t="inlineStr">
        <is>
          <t>昨年実績</t>
        </is>
      </c>
      <c r="J660" s="364">
        <f>IF($G660="","",IF($H660=1,$G660-ROUND($G660*10/23,0)-2*ROUND($G660/23,0),IF($H660=2,$G660,0)))</f>
        <v>0</v>
      </c>
      <c r="K660" s="364">
        <f>IF($G660="","",IF($H660=1,ROUND($G660*10/23,0),IF($H660=3,$G660-2*ROUND($G660/12,0),IF($H660=4,$G660,IF(OR($H660=5,$H660=7),ROUND($G660*10/11,0),0)))))</f>
        <v>396</v>
      </c>
      <c r="L660" s="364">
        <f>IF($G660="","",IF($H660=1,ROUND($G660/23,0),IF($H660=3,ROUND($G660/12,0),IF($H660=5,$G660-ROUND($G660*10/11,0),IF($H660=8,$G660,0)))))</f>
        <v>40</v>
      </c>
      <c r="M660" s="364">
        <f>IF($G660="","",IF($H660=1,ROUND($G660/23,0),IF($H660=3,ROUND($G660/12,0),IF($H660=6,$G660,IF($H660=7,$G660-ROUND($G660*10/11,0),0)))))</f>
        <v>40</v>
      </c>
      <c r="N660" s="364">
        <f>IF($G660="","",K660+L660+M660)</f>
        <v>476</v>
      </c>
      <c r="O660" s="365" t="str">
        <f>IF($G660="","",IFERROR(VLOOKUP($D660&amp;"|"&amp;$E660,科目表!$A$5:$B$200,2,FALSE),"※未登録"))</f>
        <v>互助会費</v>
      </c>
      <c r="P660" s="359">
        <f>IF(OR($G660="",$C660=""),"",IF($B660="決算整理",13,MOD(MONTH($C660)-4,12)+1))</f>
        <v>12</v>
      </c>
      <c r="Q660" s="366" t="str">
        <f>IF($G660="","",TRIM(IF(J660+K660+L660+M660&lt;&gt;$G660,"按分不一致 ","")&amp;IF(O660="※未登録","科目未登録 ","")&amp;IF(OR($H660="",ISERROR(MATCH($H660,{1,2,3,4,5,6,7,8},0))),"経費区分? ","")&amp;IF($I660="","状態未設定 ","")&amp;IF(AND(OR($I660="確認済",$I660="未確認"),$B660="月例",OR($C660="",$C660&lt;DATE(年度+2018,4,1),$C660&gt;DATE(年度+2019,3,31))),"年度外の日付 ","")&amp;IF(AND(OR($I660="確認済",$I660="未確認"),O660="対象外"),"対象外の科目 ","")))</f>
        <v/>
      </c>
      <c r="R660" s="366" t="inlineStr">
        <is>
          <t>月例!685</t>
        </is>
      </c>
    </row>
    <row r="661">
      <c r="A661" s="359" t="n">
        <v>657</v>
      </c>
      <c r="B661" s="360" t="inlineStr">
        <is>
          <t>月例</t>
        </is>
      </c>
      <c r="C661" s="361" t="n">
        <v>46112</v>
      </c>
      <c r="D661" s="362" t="inlineStr">
        <is>
          <t>事務費</t>
        </is>
      </c>
      <c r="E661" s="362" t="inlineStr">
        <is>
          <t>通信運搬費</t>
        </is>
      </c>
      <c r="F661" s="362" t="inlineStr">
        <is>
          <t>インターネット通信料金（１・２月利用・３月請求分）</t>
        </is>
      </c>
      <c r="G661" s="363" t="n">
        <v>3663</v>
      </c>
      <c r="H661" s="360" t="n">
        <v>2</v>
      </c>
      <c r="I661" s="360" t="inlineStr">
        <is>
          <t>昨年実績</t>
        </is>
      </c>
      <c r="J661" s="364">
        <f>IF($G661="","",IF($H661=1,$G661-ROUND($G661*10/23,0)-2*ROUND($G661/23,0),IF($H661=2,$G661,0)))</f>
        <v>3663</v>
      </c>
      <c r="K661" s="364">
        <f>IF($G661="","",IF($H661=1,ROUND($G661*10/23,0),IF($H661=3,$G661-2*ROUND($G661/12,0),IF($H661=4,$G661,IF(OR($H661=5,$H661=7),ROUND($G661*10/11,0),0)))))</f>
        <v>0</v>
      </c>
      <c r="L661" s="364">
        <f>IF($G661="","",IF($H661=1,ROUND($G661/23,0),IF($H661=3,ROUND($G661/12,0),IF($H661=5,$G661-ROUND($G661*10/11,0),IF($H661=8,$G661,0)))))</f>
        <v>0</v>
      </c>
      <c r="M661" s="364">
        <f>IF($G661="","",IF($H661=1,ROUND($G661/23,0),IF($H661=3,ROUND($G661/12,0),IF($H661=6,$G661,IF($H661=7,$G661-ROUND($G661*10/11,0),0)))))</f>
        <v>0</v>
      </c>
      <c r="N661" s="364">
        <f>IF($G661="","",K661+L661+M661)</f>
        <v>0</v>
      </c>
      <c r="O661" s="365" t="str">
        <f>IF($G661="","",IFERROR(VLOOKUP($D661&amp;"|"&amp;$E661,科目表!$A$5:$B$200,2,FALSE),"※未登録"))</f>
        <v>通信運搬費</v>
      </c>
      <c r="P661" s="359">
        <f>IF(OR($G661="",$C661=""),"",IF($B661="決算整理",13,MOD(MONTH($C661)-4,12)+1))</f>
        <v>12</v>
      </c>
      <c r="Q661" s="366" t="str">
        <f>IF($G661="","",TRIM(IF(J661+K661+L661+M661&lt;&gt;$G661,"按分不一致 ","")&amp;IF(O661="※未登録","科目未登録 ","")&amp;IF(OR($H661="",ISERROR(MATCH($H661,{1,2,3,4,5,6,7,8},0))),"経費区分? ","")&amp;IF($I661="","状態未設定 ","")&amp;IF(AND(OR($I661="確認済",$I661="未確認"),$B661="月例",OR($C661="",$C661&lt;DATE(年度+2018,4,1),$C661&gt;DATE(年度+2019,3,31))),"年度外の日付 ","")&amp;IF(AND(OR($I661="確認済",$I661="未確認"),O661="対象外"),"対象外の科目 ","")))</f>
        <v/>
      </c>
      <c r="R661" s="366" t="inlineStr">
        <is>
          <t>月例!686</t>
        </is>
      </c>
    </row>
    <row r="662">
      <c r="A662" s="359" t="n">
        <v>658</v>
      </c>
      <c r="B662" s="360" t="inlineStr">
        <is>
          <t>月例</t>
        </is>
      </c>
      <c r="C662" s="361" t="n">
        <v>46112</v>
      </c>
      <c r="D662" s="362" t="inlineStr">
        <is>
          <t>事務費</t>
        </is>
      </c>
      <c r="E662" s="362" t="inlineStr">
        <is>
          <t>図書印刷費</t>
        </is>
      </c>
      <c r="F662" s="362" t="inlineStr">
        <is>
          <t>厚生法規総覧追録　６０７６－６０８５号</t>
        </is>
      </c>
      <c r="G662" s="363" t="n">
        <v>33154</v>
      </c>
      <c r="H662" s="360" t="n">
        <v>2</v>
      </c>
      <c r="I662" s="360" t="inlineStr">
        <is>
          <t>昨年実績</t>
        </is>
      </c>
      <c r="J662" s="364">
        <f>IF($G662="","",IF($H662=1,$G662-ROUND($G662*10/23,0)-2*ROUND($G662/23,0),IF($H662=2,$G662,0)))</f>
        <v>33154</v>
      </c>
      <c r="K662" s="364">
        <f>IF($G662="","",IF($H662=1,ROUND($G662*10/23,0),IF($H662=3,$G662-2*ROUND($G662/12,0),IF($H662=4,$G662,IF(OR($H662=5,$H662=7),ROUND($G662*10/11,0),0)))))</f>
        <v>0</v>
      </c>
      <c r="L662" s="364">
        <f>IF($G662="","",IF($H662=1,ROUND($G662/23,0),IF($H662=3,ROUND($G662/12,0),IF($H662=5,$G662-ROUND($G662*10/11,0),IF($H662=8,$G662,0)))))</f>
        <v>0</v>
      </c>
      <c r="M662" s="364">
        <f>IF($G662="","",IF($H662=1,ROUND($G662/23,0),IF($H662=3,ROUND($G662/12,0),IF($H662=6,$G662,IF($H662=7,$G662-ROUND($G662*10/11,0),0)))))</f>
        <v>0</v>
      </c>
      <c r="N662" s="364">
        <f>IF($G662="","",K662+L662+M662)</f>
        <v>0</v>
      </c>
      <c r="O662" s="365" t="str">
        <f>IF($G662="","",IFERROR(VLOOKUP($D662&amp;"|"&amp;$E662,科目表!$A$5:$B$200,2,FALSE),"※未登録"))</f>
        <v>図書印刷費</v>
      </c>
      <c r="P662" s="359">
        <f>IF(OR($G662="",$C662=""),"",IF($B662="決算整理",13,MOD(MONTH($C662)-4,12)+1))</f>
        <v>12</v>
      </c>
      <c r="Q662" s="366" t="str">
        <f>IF($G662="","",TRIM(IF(J662+K662+L662+M662&lt;&gt;$G662,"按分不一致 ","")&amp;IF(O662="※未登録","科目未登録 ","")&amp;IF(OR($H662="",ISERROR(MATCH($H662,{1,2,3,4,5,6,7,8},0))),"経費区分? ","")&amp;IF($I662="","状態未設定 ","")&amp;IF(AND(OR($I662="確認済",$I662="未確認"),$B662="月例",OR($C662="",$C662&lt;DATE(年度+2018,4,1),$C662&gt;DATE(年度+2019,3,31))),"年度外の日付 ","")&amp;IF(AND(OR($I662="確認済",$I662="未確認"),O662="対象外"),"対象外の科目 ","")))</f>
        <v/>
      </c>
      <c r="R662" s="366" t="inlineStr">
        <is>
          <t>月例!687</t>
        </is>
      </c>
    </row>
    <row r="663">
      <c r="A663" s="359" t="n">
        <v>659</v>
      </c>
      <c r="B663" s="360" t="inlineStr">
        <is>
          <t>月例</t>
        </is>
      </c>
      <c r="C663" s="361" t="n">
        <v>45016</v>
      </c>
      <c r="D663" s="362" t="inlineStr">
        <is>
          <t>事務費</t>
        </is>
      </c>
      <c r="E663" s="362" t="inlineStr">
        <is>
          <t>通信運搬費</t>
        </is>
      </c>
      <c r="F663" s="362" t="inlineStr">
        <is>
          <t>メール便（任継者宛厚生だより１・２月分）</t>
        </is>
      </c>
      <c r="G663" s="363" t="n">
        <v>18564</v>
      </c>
      <c r="H663" s="360" t="n">
        <v>2</v>
      </c>
      <c r="I663" s="360" t="inlineStr">
        <is>
          <t>昨年実績</t>
        </is>
      </c>
      <c r="J663" s="364">
        <f>IF($G663="","",IF($H663=1,$G663-ROUND($G663*10/23,0)-2*ROUND($G663/23,0),IF($H663=2,$G663,0)))</f>
        <v>18564</v>
      </c>
      <c r="K663" s="364">
        <f>IF($G663="","",IF($H663=1,ROUND($G663*10/23,0),IF($H663=3,$G663-2*ROUND($G663/12,0),IF($H663=4,$G663,IF(OR($H663=5,$H663=7),ROUND($G663*10/11,0),0)))))</f>
        <v>0</v>
      </c>
      <c r="L663" s="364">
        <f>IF($G663="","",IF($H663=1,ROUND($G663/23,0),IF($H663=3,ROUND($G663/12,0),IF($H663=5,$G663-ROUND($G663*10/11,0),IF($H663=8,$G663,0)))))</f>
        <v>0</v>
      </c>
      <c r="M663" s="364">
        <f>IF($G663="","",IF($H663=1,ROUND($G663/23,0),IF($H663=3,ROUND($G663/12,0),IF($H663=6,$G663,IF($H663=7,$G663-ROUND($G663*10/11,0),0)))))</f>
        <v>0</v>
      </c>
      <c r="N663" s="364">
        <f>IF($G663="","",K663+L663+M663)</f>
        <v>0</v>
      </c>
      <c r="O663" s="365" t="str">
        <f>IF($G663="","",IFERROR(VLOOKUP($D663&amp;"|"&amp;$E663,科目表!$A$5:$B$200,2,FALSE),"※未登録"))</f>
        <v>通信運搬費</v>
      </c>
      <c r="P663" s="359">
        <f>IF(OR($G663="",$C663=""),"",IF($B663="決算整理",13,MOD(MONTH($C663)-4,12)+1))</f>
        <v>12</v>
      </c>
      <c r="Q663" s="366" t="str">
        <f>IF($G663="","",TRIM(IF(J663+K663+L663+M663&lt;&gt;$G663,"按分不一致 ","")&amp;IF(O663="※未登録","科目未登録 ","")&amp;IF(OR($H663="",ISERROR(MATCH($H663,{1,2,3,4,5,6,7,8},0))),"経費区分? ","")&amp;IF($I663="","状態未設定 ","")&amp;IF(AND(OR($I663="確認済",$I663="未確認"),$B663="月例",OR($C663="",$C663&lt;DATE(年度+2018,4,1),$C663&gt;DATE(年度+2019,3,31))),"年度外の日付 ","")&amp;IF(AND(OR($I663="確認済",$I663="未確認"),O663="対象外"),"対象外の科目 ","")))</f>
        <v/>
      </c>
      <c r="R663" s="366" t="inlineStr">
        <is>
          <t>月例!688</t>
        </is>
      </c>
    </row>
    <row r="664">
      <c r="A664" s="359" t="n">
        <v>660</v>
      </c>
      <c r="B664" s="360" t="inlineStr">
        <is>
          <t>月例</t>
        </is>
      </c>
      <c r="C664" s="361" t="n">
        <v>46100</v>
      </c>
      <c r="D664" s="362" t="inlineStr">
        <is>
          <t>委託費</t>
        </is>
      </c>
      <c r="E664" s="362" t="n"/>
      <c r="F664" s="362" t="inlineStr">
        <is>
          <t>レセプト電子データ提供料（１２月診療分）</t>
        </is>
      </c>
      <c r="G664" s="363" t="n">
        <v>66159</v>
      </c>
      <c r="H664" s="360" t="n">
        <v>2</v>
      </c>
      <c r="I664" s="360" t="inlineStr">
        <is>
          <t>昨年実績</t>
        </is>
      </c>
      <c r="J664" s="364">
        <f>IF($G664="","",IF($H664=1,$G664-ROUND($G664*10/23,0)-2*ROUND($G664/23,0),IF($H664=2,$G664,0)))</f>
        <v>66159</v>
      </c>
      <c r="K664" s="364">
        <f>IF($G664="","",IF($H664=1,ROUND($G664*10/23,0),IF($H664=3,$G664-2*ROUND($G664/12,0),IF($H664=4,$G664,IF(OR($H664=5,$H664=7),ROUND($G664*10/11,0),0)))))</f>
        <v>0</v>
      </c>
      <c r="L664" s="364">
        <f>IF($G664="","",IF($H664=1,ROUND($G664/23,0),IF($H664=3,ROUND($G664/12,0),IF($H664=5,$G664-ROUND($G664*10/11,0),IF($H664=8,$G664,0)))))</f>
        <v>0</v>
      </c>
      <c r="M664" s="364">
        <f>IF($G664="","",IF($H664=1,ROUND($G664/23,0),IF($H664=3,ROUND($G664/12,0),IF($H664=6,$G664,IF($H664=7,$G664-ROUND($G664*10/11,0),0)))))</f>
        <v>0</v>
      </c>
      <c r="N664" s="364">
        <f>IF($G664="","",K664+L664+M664)</f>
        <v>0</v>
      </c>
      <c r="O664" s="365" t="str">
        <f>IF($G664="","",IFERROR(VLOOKUP($D664&amp;"|"&amp;$E664,科目表!$A$5:$B$200,2,FALSE),"※未登録"))</f>
        <v>委託費</v>
      </c>
      <c r="P664" s="359">
        <f>IF(OR($G664="",$C664=""),"",IF($B664="決算整理",13,MOD(MONTH($C664)-4,12)+1))</f>
        <v>12</v>
      </c>
      <c r="Q664" s="366" t="str">
        <f>IF($G664="","",TRIM(IF(J664+K664+L664+M664&lt;&gt;$G664,"按分不一致 ","")&amp;IF(O664="※未登録","科目未登録 ","")&amp;IF(OR($H664="",ISERROR(MATCH($H664,{1,2,3,4,5,6,7,8},0))),"経費区分? ","")&amp;IF($I664="","状態未設定 ","")&amp;IF(AND(OR($I664="確認済",$I664="未確認"),$B664="月例",OR($C664="",$C664&lt;DATE(年度+2018,4,1),$C664&gt;DATE(年度+2019,3,31))),"年度外の日付 ","")&amp;IF(AND(OR($I664="確認済",$I664="未確認"),O664="対象外"),"対象外の科目 ","")))</f>
        <v/>
      </c>
      <c r="R664" s="366" t="inlineStr">
        <is>
          <t>月例!689</t>
        </is>
      </c>
    </row>
    <row r="665">
      <c r="A665" s="359" t="n">
        <v>661</v>
      </c>
      <c r="B665" s="360" t="inlineStr">
        <is>
          <t>月例</t>
        </is>
      </c>
      <c r="C665" s="361" t="n">
        <v>45735</v>
      </c>
      <c r="D665" s="362" t="inlineStr">
        <is>
          <t>事務費</t>
        </is>
      </c>
      <c r="E665" s="362" t="inlineStr">
        <is>
          <t>雑費</t>
        </is>
      </c>
      <c r="F665" s="362" t="inlineStr">
        <is>
          <t>電子証明書発行・更新料（令和7年3月実施分）</t>
        </is>
      </c>
      <c r="G665" s="363" t="n">
        <v>1500</v>
      </c>
      <c r="H665" s="360" t="n">
        <v>2</v>
      </c>
      <c r="I665" s="360" t="inlineStr">
        <is>
          <t>昨年実績</t>
        </is>
      </c>
      <c r="J665" s="364">
        <f>IF($G665="","",IF($H665=1,$G665-ROUND($G665*10/23,0)-2*ROUND($G665/23,0),IF($H665=2,$G665,0)))</f>
        <v>1500</v>
      </c>
      <c r="K665" s="364">
        <f>IF($G665="","",IF($H665=1,ROUND($G665*10/23,0),IF($H665=3,$G665-2*ROUND($G665/12,0),IF($H665=4,$G665,IF(OR($H665=5,$H665=7),ROUND($G665*10/11,0),0)))))</f>
        <v>0</v>
      </c>
      <c r="L665" s="364">
        <f>IF($G665="","",IF($H665=1,ROUND($G665/23,0),IF($H665=3,ROUND($G665/12,0),IF($H665=5,$G665-ROUND($G665*10/11,0),IF($H665=8,$G665,0)))))</f>
        <v>0</v>
      </c>
      <c r="M665" s="364">
        <f>IF($G665="","",IF($H665=1,ROUND($G665/23,0),IF($H665=3,ROUND($G665/12,0),IF($H665=6,$G665,IF($H665=7,$G665-ROUND($G665*10/11,0),0)))))</f>
        <v>0</v>
      </c>
      <c r="N665" s="364">
        <f>IF($G665="","",K665+L665+M665)</f>
        <v>0</v>
      </c>
      <c r="O665" s="365" t="str">
        <f>IF($G665="","",IFERROR(VLOOKUP($D665&amp;"|"&amp;$E665,科目表!$A$5:$B$200,2,FALSE),"※未登録"))</f>
        <v>事務費・雑費</v>
      </c>
      <c r="P665" s="359">
        <f>IF(OR($G665="",$C665=""),"",IF($B665="決算整理",13,MOD(MONTH($C665)-4,12)+1))</f>
        <v>12</v>
      </c>
      <c r="Q665" s="366" t="str">
        <f>IF($G665="","",TRIM(IF(J665+K665+L665+M665&lt;&gt;$G665,"按分不一致 ","")&amp;IF(O665="※未登録","科目未登録 ","")&amp;IF(OR($H665="",ISERROR(MATCH($H665,{1,2,3,4,5,6,7,8},0))),"経費区分? ","")&amp;IF($I665="","状態未設定 ","")&amp;IF(AND(OR($I665="確認済",$I665="未確認"),$B665="月例",OR($C665="",$C665&lt;DATE(年度+2018,4,1),$C665&gt;DATE(年度+2019,3,31))),"年度外の日付 ","")&amp;IF(AND(OR($I665="確認済",$I665="未確認"),O665="対象外"),"対象外の科目 ","")))</f>
        <v/>
      </c>
      <c r="R665" s="366" t="inlineStr">
        <is>
          <t>月例!690</t>
        </is>
      </c>
    </row>
    <row r="666">
      <c r="A666" s="359" t="n">
        <v>662</v>
      </c>
      <c r="B666" s="360" t="inlineStr">
        <is>
          <t>月例</t>
        </is>
      </c>
      <c r="C666" s="361" t="n">
        <v>46112</v>
      </c>
      <c r="D666" s="362" t="inlineStr">
        <is>
          <t>委託費</t>
        </is>
      </c>
      <c r="E666" s="362" t="n"/>
      <c r="F666" s="362" t="inlineStr">
        <is>
          <t>療養費通知及び施術者照会作成業務（柔道整復）</t>
        </is>
      </c>
      <c r="G666" s="363" t="n">
        <v>64900</v>
      </c>
      <c r="H666" s="360" t="n">
        <v>2</v>
      </c>
      <c r="I666" s="360" t="inlineStr">
        <is>
          <t>昨年実績</t>
        </is>
      </c>
      <c r="J666" s="364">
        <f>IF($G666="","",IF($H666=1,$G666-ROUND($G666*10/23,0)-2*ROUND($G666/23,0),IF($H666=2,$G666,0)))</f>
        <v>64900</v>
      </c>
      <c r="K666" s="364">
        <f>IF($G666="","",IF($H666=1,ROUND($G666*10/23,0),IF($H666=3,$G666-2*ROUND($G666/12,0),IF($H666=4,$G666,IF(OR($H666=5,$H666=7),ROUND($G666*10/11,0),0)))))</f>
        <v>0</v>
      </c>
      <c r="L666" s="364">
        <f>IF($G666="","",IF($H666=1,ROUND($G666/23,0),IF($H666=3,ROUND($G666/12,0),IF($H666=5,$G666-ROUND($G666*10/11,0),IF($H666=8,$G666,0)))))</f>
        <v>0</v>
      </c>
      <c r="M666" s="364">
        <f>IF($G666="","",IF($H666=1,ROUND($G666/23,0),IF($H666=3,ROUND($G666/12,0),IF($H666=6,$G666,IF($H666=7,$G666-ROUND($G666*10/11,0),0)))))</f>
        <v>0</v>
      </c>
      <c r="N666" s="364">
        <f>IF($G666="","",K666+L666+M666)</f>
        <v>0</v>
      </c>
      <c r="O666" s="365" t="str">
        <f>IF($G666="","",IFERROR(VLOOKUP($D666&amp;"|"&amp;$E666,科目表!$A$5:$B$200,2,FALSE),"※未登録"))</f>
        <v>委託費</v>
      </c>
      <c r="P666" s="359">
        <f>IF(OR($G666="",$C666=""),"",IF($B666="決算整理",13,MOD(MONTH($C666)-4,12)+1))</f>
        <v>12</v>
      </c>
      <c r="Q666" s="366" t="str">
        <f>IF($G666="","",TRIM(IF(J666+K666+L666+M666&lt;&gt;$G666,"按分不一致 ","")&amp;IF(O666="※未登録","科目未登録 ","")&amp;IF(OR($H666="",ISERROR(MATCH($H666,{1,2,3,4,5,6,7,8},0))),"経費区分? ","")&amp;IF($I666="","状態未設定 ","")&amp;IF(AND(OR($I666="確認済",$I666="未確認"),$B666="月例",OR($C666="",$C666&lt;DATE(年度+2018,4,1),$C666&gt;DATE(年度+2019,3,31))),"年度外の日付 ","")&amp;IF(AND(OR($I666="確認済",$I666="未確認"),O666="対象外"),"対象外の科目 ","")))</f>
        <v/>
      </c>
      <c r="R666" s="366" t="inlineStr">
        <is>
          <t>月例!691</t>
        </is>
      </c>
    </row>
    <row r="667">
      <c r="A667" s="359" t="n">
        <v>663</v>
      </c>
      <c r="B667" s="360" t="inlineStr">
        <is>
          <t>月例</t>
        </is>
      </c>
      <c r="C667" s="361" t="n">
        <v>46112</v>
      </c>
      <c r="D667" s="362" t="inlineStr">
        <is>
          <t>委託費</t>
        </is>
      </c>
      <c r="E667" s="362" t="n"/>
      <c r="F667" s="362" t="inlineStr">
        <is>
          <t>柔整等療養費支給申請書の入力（２月分）</t>
        </is>
      </c>
      <c r="G667" s="363" t="n">
        <v>121678</v>
      </c>
      <c r="H667" s="360" t="n">
        <v>2</v>
      </c>
      <c r="I667" s="360" t="inlineStr">
        <is>
          <t>昨年実績</t>
        </is>
      </c>
      <c r="J667" s="364">
        <f>IF($G667="","",IF($H667=1,$G667-ROUND($G667*10/23,0)-2*ROUND($G667/23,0),IF($H667=2,$G667,0)))</f>
        <v>121678</v>
      </c>
      <c r="K667" s="364">
        <f>IF($G667="","",IF($H667=1,ROUND($G667*10/23,0),IF($H667=3,$G667-2*ROUND($G667/12,0),IF($H667=4,$G667,IF(OR($H667=5,$H667=7),ROUND($G667*10/11,0),0)))))</f>
        <v>0</v>
      </c>
      <c r="L667" s="364">
        <f>IF($G667="","",IF($H667=1,ROUND($G667/23,0),IF($H667=3,ROUND($G667/12,0),IF($H667=5,$G667-ROUND($G667*10/11,0),IF($H667=8,$G667,0)))))</f>
        <v>0</v>
      </c>
      <c r="M667" s="364">
        <f>IF($G667="","",IF($H667=1,ROUND($G667/23,0),IF($H667=3,ROUND($G667/12,0),IF($H667=6,$G667,IF($H667=7,$G667-ROUND($G667*10/11,0),0)))))</f>
        <v>0</v>
      </c>
      <c r="N667" s="364">
        <f>IF($G667="","",K667+L667+M667)</f>
        <v>0</v>
      </c>
      <c r="O667" s="365" t="str">
        <f>IF($G667="","",IFERROR(VLOOKUP($D667&amp;"|"&amp;$E667,科目表!$A$5:$B$200,2,FALSE),"※未登録"))</f>
        <v>委託費</v>
      </c>
      <c r="P667" s="359">
        <f>IF(OR($G667="",$C667=""),"",IF($B667="決算整理",13,MOD(MONTH($C667)-4,12)+1))</f>
        <v>12</v>
      </c>
      <c r="Q667" s="366" t="str">
        <f>IF($G667="","",TRIM(IF(J667+K667+L667+M667&lt;&gt;$G667,"按分不一致 ","")&amp;IF(O667="※未登録","科目未登録 ","")&amp;IF(OR($H667="",ISERROR(MATCH($H667,{1,2,3,4,5,6,7,8},0))),"経費区分? ","")&amp;IF($I667="","状態未設定 ","")&amp;IF(AND(OR($I667="確認済",$I667="未確認"),$B667="月例",OR($C667="",$C667&lt;DATE(年度+2018,4,1),$C667&gt;DATE(年度+2019,3,31))),"年度外の日付 ","")&amp;IF(AND(OR($I667="確認済",$I667="未確認"),O667="対象外"),"対象外の科目 ","")))</f>
        <v/>
      </c>
      <c r="R667" s="366" t="inlineStr">
        <is>
          <t>月例!692</t>
        </is>
      </c>
    </row>
    <row r="668">
      <c r="A668" s="359" t="n">
        <v>664</v>
      </c>
      <c r="B668" s="360" t="inlineStr">
        <is>
          <t>月例</t>
        </is>
      </c>
      <c r="C668" s="361" t="n">
        <v>45031</v>
      </c>
      <c r="D668" s="362" t="inlineStr">
        <is>
          <t>委託費</t>
        </is>
      </c>
      <c r="E668" s="362" t="n"/>
      <c r="F668" s="362" t="inlineStr">
        <is>
          <t>ねんきん定期便（３月分）送付業務</t>
        </is>
      </c>
      <c r="G668" s="363" t="n">
        <v>58300</v>
      </c>
      <c r="H668" s="360" t="n">
        <v>5</v>
      </c>
      <c r="I668" s="360" t="inlineStr">
        <is>
          <t>昨年実績</t>
        </is>
      </c>
      <c r="J668" s="364">
        <f>IF($G668="","",IF($H668=1,$G668-ROUND($G668*10/23,0)-2*ROUND($G668/23,0),IF($H668=2,$G668,0)))</f>
        <v>0</v>
      </c>
      <c r="K668" s="364">
        <f>IF($G668="","",IF($H668=1,ROUND($G668*10/23,0),IF($H668=3,$G668-2*ROUND($G668/12,0),IF($H668=4,$G668,IF(OR($H668=5,$H668=7),ROUND($G668*10/11,0),0)))))</f>
        <v>53000</v>
      </c>
      <c r="L668" s="364">
        <f>IF($G668="","",IF($H668=1,ROUND($G668/23,0),IF($H668=3,ROUND($G668/12,0),IF($H668=5,$G668-ROUND($G668*10/11,0),IF($H668=8,$G668,0)))))</f>
        <v>5300</v>
      </c>
      <c r="M668" s="364">
        <f>IF($G668="","",IF($H668=1,ROUND($G668/23,0),IF($H668=3,ROUND($G668/12,0),IF($H668=6,$G668,IF($H668=7,$G668-ROUND($G668*10/11,0),0)))))</f>
        <v>0</v>
      </c>
      <c r="N668" s="364">
        <f>IF($G668="","",K668+L668+M668)</f>
        <v>58300</v>
      </c>
      <c r="O668" s="365" t="str">
        <f>IF($G668="","",IFERROR(VLOOKUP($D668&amp;"|"&amp;$E668,科目表!$A$5:$B$200,2,FALSE),"※未登録"))</f>
        <v>委託費</v>
      </c>
      <c r="P668" s="359">
        <f>IF(OR($G668="",$C668=""),"",IF($B668="決算整理",13,MOD(MONTH($C668)-4,12)+1))</f>
        <v>1</v>
      </c>
      <c r="Q668" s="366" t="str">
        <f>IF($G668="","",TRIM(IF(J668+K668+L668+M668&lt;&gt;$G668,"按分不一致 ","")&amp;IF(O668="※未登録","科目未登録 ","")&amp;IF(OR($H668="",ISERROR(MATCH($H668,{1,2,3,4,5,6,7,8},0))),"経費区分? ","")&amp;IF($I668="","状態未設定 ","")&amp;IF(AND(OR($I668="確認済",$I668="未確認"),$B668="月例",OR($C668="",$C668&lt;DATE(年度+2018,4,1),$C668&gt;DATE(年度+2019,3,31))),"年度外の日付 ","")&amp;IF(AND(OR($I668="確認済",$I668="未確認"),O668="対象外"),"対象外の科目 ","")))</f>
        <v/>
      </c>
      <c r="R668" s="366" t="inlineStr">
        <is>
          <t>月例!693</t>
        </is>
      </c>
    </row>
    <row r="669">
      <c r="A669" s="359" t="n">
        <v>665</v>
      </c>
      <c r="B669" s="360" t="inlineStr">
        <is>
          <t>月例</t>
        </is>
      </c>
      <c r="C669" s="361" t="n">
        <v>46108</v>
      </c>
      <c r="D669" s="362" t="inlineStr">
        <is>
          <t>事務費</t>
        </is>
      </c>
      <c r="E669" s="362" t="inlineStr">
        <is>
          <t>事務用消耗品費</t>
        </is>
      </c>
      <c r="F669" s="362" t="inlineStr">
        <is>
          <t>トナーカートリッジ（再生品）ＬＢ３２２B　５個</t>
        </is>
      </c>
      <c r="G669" s="363" t="n">
        <v>54450</v>
      </c>
      <c r="H669" s="360" t="n">
        <v>3</v>
      </c>
      <c r="I669" s="360" t="inlineStr">
        <is>
          <t>昨年実績</t>
        </is>
      </c>
      <c r="J669" s="364">
        <f>IF($G669="","",IF($H669=1,$G669-ROUND($G669*10/23,0)-2*ROUND($G669/23,0),IF($H669=2,$G669,0)))</f>
        <v>0</v>
      </c>
      <c r="K669" s="364">
        <f>IF($G669="","",IF($H669=1,ROUND($G669*10/23,0),IF($H669=3,$G669-2*ROUND($G669/12,0),IF($H669=4,$G669,IF(OR($H669=5,$H669=7),ROUND($G669*10/11,0),0)))))</f>
        <v>45374</v>
      </c>
      <c r="L669" s="364">
        <f>IF($G669="","",IF($H669=1,ROUND($G669/23,0),IF($H669=3,ROUND($G669/12,0),IF($H669=5,$G669-ROUND($G669*10/11,0),IF($H669=8,$G669,0)))))</f>
        <v>4538</v>
      </c>
      <c r="M669" s="364">
        <f>IF($G669="","",IF($H669=1,ROUND($G669/23,0),IF($H669=3,ROUND($G669/12,0),IF($H669=6,$G669,IF($H669=7,$G669-ROUND($G669*10/11,0),0)))))</f>
        <v>4538</v>
      </c>
      <c r="N669" s="364">
        <f>IF($G669="","",K669+L669+M669)</f>
        <v>54450</v>
      </c>
      <c r="O669" s="365" t="str">
        <f>IF($G669="","",IFERROR(VLOOKUP($D669&amp;"|"&amp;$E669,科目表!$A$5:$B$200,2,FALSE),"※未登録"))</f>
        <v>事務用消耗品費</v>
      </c>
      <c r="P669" s="359">
        <f>IF(OR($G669="",$C669=""),"",IF($B669="決算整理",13,MOD(MONTH($C669)-4,12)+1))</f>
        <v>12</v>
      </c>
      <c r="Q669" s="366" t="str">
        <f>IF($G669="","",TRIM(IF(J669+K669+L669+M669&lt;&gt;$G669,"按分不一致 ","")&amp;IF(O669="※未登録","科目未登録 ","")&amp;IF(OR($H669="",ISERROR(MATCH($H669,{1,2,3,4,5,6,7,8},0))),"経費区分? ","")&amp;IF($I669="","状態未設定 ","")&amp;IF(AND(OR($I669="確認済",$I669="未確認"),$B669="月例",OR($C669="",$C669&lt;DATE(年度+2018,4,1),$C669&gt;DATE(年度+2019,3,31))),"年度外の日付 ","")&amp;IF(AND(OR($I669="確認済",$I669="未確認"),O669="対象外"),"対象外の科目 ","")))</f>
        <v/>
      </c>
      <c r="R669" s="366" t="inlineStr">
        <is>
          <t>月例!694</t>
        </is>
      </c>
    </row>
    <row r="670">
      <c r="A670" s="359" t="n">
        <v>666</v>
      </c>
      <c r="B670" s="360" t="inlineStr">
        <is>
          <t>月例</t>
        </is>
      </c>
      <c r="C670" s="361" t="n">
        <v>46086</v>
      </c>
      <c r="D670" s="362" t="inlineStr">
        <is>
          <t>事務費</t>
        </is>
      </c>
      <c r="E670" s="362" t="inlineStr">
        <is>
          <t>通信運搬費</t>
        </is>
      </c>
      <c r="F670" s="362" t="inlineStr">
        <is>
          <t>切手、レターパック</t>
        </is>
      </c>
      <c r="G670" s="363" t="n">
        <v>274000</v>
      </c>
      <c r="H670" s="360" t="n">
        <v>3</v>
      </c>
      <c r="I670" s="360" t="inlineStr">
        <is>
          <t>昨年実績</t>
        </is>
      </c>
      <c r="J670" s="364">
        <f>IF($G670="","",IF($H670=1,$G670-ROUND($G670*10/23,0)-2*ROUND($G670/23,0),IF($H670=2,$G670,0)))</f>
        <v>0</v>
      </c>
      <c r="K670" s="364">
        <f>IF($G670="","",IF($H670=1,ROUND($G670*10/23,0),IF($H670=3,$G670-2*ROUND($G670/12,0),IF($H670=4,$G670,IF(OR($H670=5,$H670=7),ROUND($G670*10/11,0),0)))))</f>
        <v>228334</v>
      </c>
      <c r="L670" s="364">
        <f>IF($G670="","",IF($H670=1,ROUND($G670/23,0),IF($H670=3,ROUND($G670/12,0),IF($H670=5,$G670-ROUND($G670*10/11,0),IF($H670=8,$G670,0)))))</f>
        <v>22833</v>
      </c>
      <c r="M670" s="364">
        <f>IF($G670="","",IF($H670=1,ROUND($G670/23,0),IF($H670=3,ROUND($G670/12,0),IF($H670=6,$G670,IF($H670=7,$G670-ROUND($G670*10/11,0),0)))))</f>
        <v>22833</v>
      </c>
      <c r="N670" s="364">
        <f>IF($G670="","",K670+L670+M670)</f>
        <v>274000</v>
      </c>
      <c r="O670" s="365" t="str">
        <f>IF($G670="","",IFERROR(VLOOKUP($D670&amp;"|"&amp;$E670,科目表!$A$5:$B$200,2,FALSE),"※未登録"))</f>
        <v>通信運搬費</v>
      </c>
      <c r="P670" s="359">
        <f>IF(OR($G670="",$C670=""),"",IF($B670="決算整理",13,MOD(MONTH($C670)-4,12)+1))</f>
        <v>12</v>
      </c>
      <c r="Q670" s="366" t="str">
        <f>IF($G670="","",TRIM(IF(J670+K670+L670+M670&lt;&gt;$G670,"按分不一致 ","")&amp;IF(O670="※未登録","科目未登録 ","")&amp;IF(OR($H670="",ISERROR(MATCH($H670,{1,2,3,4,5,6,7,8},0))),"経費区分? ","")&amp;IF($I670="","状態未設定 ","")&amp;IF(AND(OR($I670="確認済",$I670="未確認"),$B670="月例",OR($C670="",$C670&lt;DATE(年度+2018,4,1),$C670&gt;DATE(年度+2019,3,31))),"年度外の日付 ","")&amp;IF(AND(OR($I670="確認済",$I670="未確認"),O670="対象外"),"対象外の科目 ","")))</f>
        <v/>
      </c>
      <c r="R670" s="366" t="inlineStr">
        <is>
          <t>月例!696</t>
        </is>
      </c>
    </row>
    <row r="671">
      <c r="A671" s="359" t="n">
        <v>667</v>
      </c>
      <c r="B671" s="360" t="inlineStr">
        <is>
          <t>月例</t>
        </is>
      </c>
      <c r="C671" s="361" t="n">
        <v>43921</v>
      </c>
      <c r="D671" s="362" t="inlineStr">
        <is>
          <t>賃借料</t>
        </is>
      </c>
      <c r="E671" s="362" t="n"/>
      <c r="F671" s="362" t="inlineStr">
        <is>
          <t>基幹システム（短期）用機器リース料２月分</t>
        </is>
      </c>
      <c r="G671" s="363" t="n">
        <v>193676</v>
      </c>
      <c r="H671" s="360" t="n">
        <v>2</v>
      </c>
      <c r="I671" s="360" t="inlineStr">
        <is>
          <t>昨年実績</t>
        </is>
      </c>
      <c r="J671" s="364">
        <f>IF($G671="","",IF($H671=1,$G671-ROUND($G671*10/23,0)-2*ROUND($G671/23,0),IF($H671=2,$G671,0)))</f>
        <v>193676</v>
      </c>
      <c r="K671" s="364">
        <f>IF($G671="","",IF($H671=1,ROUND($G671*10/23,0),IF($H671=3,$G671-2*ROUND($G671/12,0),IF($H671=4,$G671,IF(OR($H671=5,$H671=7),ROUND($G671*10/11,0),0)))))</f>
        <v>0</v>
      </c>
      <c r="L671" s="364">
        <f>IF($G671="","",IF($H671=1,ROUND($G671/23,0),IF($H671=3,ROUND($G671/12,0),IF($H671=5,$G671-ROUND($G671*10/11,0),IF($H671=8,$G671,0)))))</f>
        <v>0</v>
      </c>
      <c r="M671" s="364">
        <f>IF($G671="","",IF($H671=1,ROUND($G671/23,0),IF($H671=3,ROUND($G671/12,0),IF($H671=6,$G671,IF($H671=7,$G671-ROUND($G671*10/11,0),0)))))</f>
        <v>0</v>
      </c>
      <c r="N671" s="364">
        <f>IF($G671="","",K671+L671+M671)</f>
        <v>0</v>
      </c>
      <c r="O671" s="365" t="str">
        <f>IF($G671="","",IFERROR(VLOOKUP($D671&amp;"|"&amp;$E671,科目表!$A$5:$B$200,2,FALSE),"※未登録"))</f>
        <v>賃借料</v>
      </c>
      <c r="P671" s="359">
        <f>IF(OR($G671="",$C671=""),"",IF($B671="決算整理",13,MOD(MONTH($C671)-4,12)+1))</f>
        <v>12</v>
      </c>
      <c r="Q671" s="366" t="str">
        <f>IF($G671="","",TRIM(IF(J671+K671+L671+M671&lt;&gt;$G671,"按分不一致 ","")&amp;IF(O671="※未登録","科目未登録 ","")&amp;IF(OR($H671="",ISERROR(MATCH($H671,{1,2,3,4,5,6,7,8},0))),"経費区分? ","")&amp;IF($I671="","状態未設定 ","")&amp;IF(AND(OR($I671="確認済",$I671="未確認"),$B671="月例",OR($C671="",$C671&lt;DATE(年度+2018,4,1),$C671&gt;DATE(年度+2019,3,31))),"年度外の日付 ","")&amp;IF(AND(OR($I671="確認済",$I671="未確認"),O671="対象外"),"対象外の科目 ","")))</f>
        <v/>
      </c>
      <c r="R671" s="366" t="inlineStr">
        <is>
          <t>月例!699</t>
        </is>
      </c>
    </row>
    <row r="672">
      <c r="A672" s="359" t="n">
        <v>668</v>
      </c>
      <c r="B672" s="360" t="inlineStr">
        <is>
          <t>月例</t>
        </is>
      </c>
      <c r="C672" s="361" t="n">
        <v>46098</v>
      </c>
      <c r="D672" s="362" t="inlineStr">
        <is>
          <t>賃借料</t>
        </is>
      </c>
      <c r="E672" s="362" t="n"/>
      <c r="F672" s="362" t="inlineStr">
        <is>
          <t>統合管理端末リース料（２月分）</t>
        </is>
      </c>
      <c r="G672" s="363" t="n">
        <v>12738</v>
      </c>
      <c r="H672" s="360" t="n">
        <v>2</v>
      </c>
      <c r="I672" s="360" t="inlineStr">
        <is>
          <t>昨年実績</t>
        </is>
      </c>
      <c r="J672" s="364">
        <f>IF($G672="","",IF($H672=1,$G672-ROUND($G672*10/23,0)-2*ROUND($G672/23,0),IF($H672=2,$G672,0)))</f>
        <v>12738</v>
      </c>
      <c r="K672" s="364">
        <f>IF($G672="","",IF($H672=1,ROUND($G672*10/23,0),IF($H672=3,$G672-2*ROUND($G672/12,0),IF($H672=4,$G672,IF(OR($H672=5,$H672=7),ROUND($G672*10/11,0),0)))))</f>
        <v>0</v>
      </c>
      <c r="L672" s="364">
        <f>IF($G672="","",IF($H672=1,ROUND($G672/23,0),IF($H672=3,ROUND($G672/12,0),IF($H672=5,$G672-ROUND($G672*10/11,0),IF($H672=8,$G672,0)))))</f>
        <v>0</v>
      </c>
      <c r="M672" s="364">
        <f>IF($G672="","",IF($H672=1,ROUND($G672/23,0),IF($H672=3,ROUND($G672/12,0),IF($H672=6,$G672,IF($H672=7,$G672-ROUND($G672*10/11,0),0)))))</f>
        <v>0</v>
      </c>
      <c r="N672" s="364">
        <f>IF($G672="","",K672+L672+M672)</f>
        <v>0</v>
      </c>
      <c r="O672" s="365" t="str">
        <f>IF($G672="","",IFERROR(VLOOKUP($D672&amp;"|"&amp;$E672,科目表!$A$5:$B$200,2,FALSE),"※未登録"))</f>
        <v>賃借料</v>
      </c>
      <c r="P672" s="359">
        <f>IF(OR($G672="",$C672=""),"",IF($B672="決算整理",13,MOD(MONTH($C672)-4,12)+1))</f>
        <v>12</v>
      </c>
      <c r="Q672" s="366" t="str">
        <f>IF($G672="","",TRIM(IF(J672+K672+L672+M672&lt;&gt;$G672,"按分不一致 ","")&amp;IF(O672="※未登録","科目未登録 ","")&amp;IF(OR($H672="",ISERROR(MATCH($H672,{1,2,3,4,5,6,7,8},0))),"経費区分? ","")&amp;IF($I672="","状態未設定 ","")&amp;IF(AND(OR($I672="確認済",$I672="未確認"),$B672="月例",OR($C672="",$C672&lt;DATE(年度+2018,4,1),$C672&gt;DATE(年度+2019,3,31))),"年度外の日付 ","")&amp;IF(AND(OR($I672="確認済",$I672="未確認"),O672="対象外"),"対象外の科目 ","")))</f>
        <v/>
      </c>
      <c r="R672" s="366" t="inlineStr">
        <is>
          <t>月例!700</t>
        </is>
      </c>
    </row>
    <row r="673">
      <c r="A673" s="359" t="n">
        <v>669</v>
      </c>
      <c r="B673" s="360" t="inlineStr">
        <is>
          <t>月例</t>
        </is>
      </c>
      <c r="C673" s="361" t="n">
        <v>45380</v>
      </c>
      <c r="D673" s="362" t="inlineStr">
        <is>
          <t>委託費</t>
        </is>
      </c>
      <c r="E673" s="362" t="n"/>
      <c r="F673" s="362" t="inlineStr">
        <is>
          <t>統合管理端末保守料（２月分）</t>
        </is>
      </c>
      <c r="G673" s="363" t="n">
        <v>5390</v>
      </c>
      <c r="H673" s="360" t="n">
        <v>2</v>
      </c>
      <c r="I673" s="360" t="inlineStr">
        <is>
          <t>昨年実績</t>
        </is>
      </c>
      <c r="J673" s="364">
        <f>IF($G673="","",IF($H673=1,$G673-ROUND($G673*10/23,0)-2*ROUND($G673/23,0),IF($H673=2,$G673,0)))</f>
        <v>5390</v>
      </c>
      <c r="K673" s="364">
        <f>IF($G673="","",IF($H673=1,ROUND($G673*10/23,0),IF($H673=3,$G673-2*ROUND($G673/12,0),IF($H673=4,$G673,IF(OR($H673=5,$H673=7),ROUND($G673*10/11,0),0)))))</f>
        <v>0</v>
      </c>
      <c r="L673" s="364">
        <f>IF($G673="","",IF($H673=1,ROUND($G673/23,0),IF($H673=3,ROUND($G673/12,0),IF($H673=5,$G673-ROUND($G673*10/11,0),IF($H673=8,$G673,0)))))</f>
        <v>0</v>
      </c>
      <c r="M673" s="364">
        <f>IF($G673="","",IF($H673=1,ROUND($G673/23,0),IF($H673=3,ROUND($G673/12,0),IF($H673=6,$G673,IF($H673=7,$G673-ROUND($G673*10/11,0),0)))))</f>
        <v>0</v>
      </c>
      <c r="N673" s="364">
        <f>IF($G673="","",K673+L673+M673)</f>
        <v>0</v>
      </c>
      <c r="O673" s="365" t="str">
        <f>IF($G673="","",IFERROR(VLOOKUP($D673&amp;"|"&amp;$E673,科目表!$A$5:$B$200,2,FALSE),"※未登録"))</f>
        <v>委託費</v>
      </c>
      <c r="P673" s="359">
        <f>IF(OR($G673="",$C673=""),"",IF($B673="決算整理",13,MOD(MONTH($C673)-4,12)+1))</f>
        <v>12</v>
      </c>
      <c r="Q673" s="366" t="str">
        <f>IF($G673="","",TRIM(IF(J673+K673+L673+M673&lt;&gt;$G673,"按分不一致 ","")&amp;IF(O673="※未登録","科目未登録 ","")&amp;IF(OR($H673="",ISERROR(MATCH($H673,{1,2,3,4,5,6,7,8},0))),"経費区分? ","")&amp;IF($I673="","状態未設定 ","")&amp;IF(AND(OR($I673="確認済",$I673="未確認"),$B673="月例",OR($C673="",$C673&lt;DATE(年度+2018,4,1),$C673&gt;DATE(年度+2019,3,31))),"年度外の日付 ","")&amp;IF(AND(OR($I673="確認済",$I673="未確認"),O673="対象外"),"対象外の科目 ","")))</f>
        <v/>
      </c>
      <c r="R673" s="366" t="inlineStr">
        <is>
          <t>月例!701</t>
        </is>
      </c>
    </row>
    <row r="674">
      <c r="A674" s="359" t="n">
        <v>670</v>
      </c>
      <c r="B674" s="360" t="inlineStr">
        <is>
          <t>月例</t>
        </is>
      </c>
      <c r="C674" s="361" t="n">
        <v>45747</v>
      </c>
      <c r="D674" s="362" t="inlineStr">
        <is>
          <t>事務費</t>
        </is>
      </c>
      <c r="E674" s="362" t="inlineStr">
        <is>
          <t>事務用消耗品費</t>
        </is>
      </c>
      <c r="F674" s="362" t="inlineStr">
        <is>
          <t>ラベル用紙　　LBP-F7656-100N １冊</t>
        </is>
      </c>
      <c r="G674" s="363" t="n">
        <v>6237</v>
      </c>
      <c r="H674" s="360" t="n">
        <v>2</v>
      </c>
      <c r="I674" s="360" t="inlineStr">
        <is>
          <t>昨年実績</t>
        </is>
      </c>
      <c r="J674" s="364">
        <f>IF($G674="","",IF($H674=1,$G674-ROUND($G674*10/23,0)-2*ROUND($G674/23,0),IF($H674=2,$G674,0)))</f>
        <v>6237</v>
      </c>
      <c r="K674" s="364">
        <f>IF($G674="","",IF($H674=1,ROUND($G674*10/23,0),IF($H674=3,$G674-2*ROUND($G674/12,0),IF($H674=4,$G674,IF(OR($H674=5,$H674=7),ROUND($G674*10/11,0),0)))))</f>
        <v>0</v>
      </c>
      <c r="L674" s="364">
        <f>IF($G674="","",IF($H674=1,ROUND($G674/23,0),IF($H674=3,ROUND($G674/12,0),IF($H674=5,$G674-ROUND($G674*10/11,0),IF($H674=8,$G674,0)))))</f>
        <v>0</v>
      </c>
      <c r="M674" s="364">
        <f>IF($G674="","",IF($H674=1,ROUND($G674/23,0),IF($H674=3,ROUND($G674/12,0),IF($H674=6,$G674,IF($H674=7,$G674-ROUND($G674*10/11,0),0)))))</f>
        <v>0</v>
      </c>
      <c r="N674" s="364">
        <f>IF($G674="","",K674+L674+M674)</f>
        <v>0</v>
      </c>
      <c r="O674" s="365" t="str">
        <f>IF($G674="","",IFERROR(VLOOKUP($D674&amp;"|"&amp;$E674,科目表!$A$5:$B$200,2,FALSE),"※未登録"))</f>
        <v>事務用消耗品費</v>
      </c>
      <c r="P674" s="359">
        <f>IF(OR($G674="",$C674=""),"",IF($B674="決算整理",13,MOD(MONTH($C674)-4,12)+1))</f>
        <v>12</v>
      </c>
      <c r="Q674" s="366" t="str">
        <f>IF($G674="","",TRIM(IF(J674+K674+L674+M674&lt;&gt;$G674,"按分不一致 ","")&amp;IF(O674="※未登録","科目未登録 ","")&amp;IF(OR($H674="",ISERROR(MATCH($H674,{1,2,3,4,5,6,7,8},0))),"経費区分? ","")&amp;IF($I674="","状態未設定 ","")&amp;IF(AND(OR($I674="確認済",$I674="未確認"),$B674="月例",OR($C674="",$C674&lt;DATE(年度+2018,4,1),$C674&gt;DATE(年度+2019,3,31))),"年度外の日付 ","")&amp;IF(AND(OR($I674="確認済",$I674="未確認"),O674="対象外"),"対象外の科目 ","")))</f>
        <v/>
      </c>
      <c r="R674" s="366" t="inlineStr">
        <is>
          <t>月例!702</t>
        </is>
      </c>
    </row>
    <row r="675">
      <c r="A675" s="359" t="n">
        <v>671</v>
      </c>
      <c r="B675" s="360" t="inlineStr">
        <is>
          <t>月例</t>
        </is>
      </c>
      <c r="C675" s="361" t="n">
        <v>45016</v>
      </c>
      <c r="D675" s="362" t="inlineStr">
        <is>
          <t>事務費</t>
        </is>
      </c>
      <c r="E675" s="362" t="inlineStr">
        <is>
          <t>通信運搬費</t>
        </is>
      </c>
      <c r="F675" s="362" t="inlineStr">
        <is>
          <t>フレッツ光ネクスト利用料等（2月利用・3月請求分）</t>
        </is>
      </c>
      <c r="G675" s="363" t="n">
        <v>5115</v>
      </c>
      <c r="H675" s="360" t="n">
        <v>2</v>
      </c>
      <c r="I675" s="360" t="inlineStr">
        <is>
          <t>昨年実績</t>
        </is>
      </c>
      <c r="J675" s="364">
        <f>IF($G675="","",IF($H675=1,$G675-ROUND($G675*10/23,0)-2*ROUND($G675/23,0),IF($H675=2,$G675,0)))</f>
        <v>5115</v>
      </c>
      <c r="K675" s="364">
        <f>IF($G675="","",IF($H675=1,ROUND($G675*10/23,0),IF($H675=3,$G675-2*ROUND($G675/12,0),IF($H675=4,$G675,IF(OR($H675=5,$H675=7),ROUND($G675*10/11,0),0)))))</f>
        <v>0</v>
      </c>
      <c r="L675" s="364">
        <f>IF($G675="","",IF($H675=1,ROUND($G675/23,0),IF($H675=3,ROUND($G675/12,0),IF($H675=5,$G675-ROUND($G675*10/11,0),IF($H675=8,$G675,0)))))</f>
        <v>0</v>
      </c>
      <c r="M675" s="364">
        <f>IF($G675="","",IF($H675=1,ROUND($G675/23,0),IF($H675=3,ROUND($G675/12,0),IF($H675=6,$G675,IF($H675=7,$G675-ROUND($G675*10/11,0),0)))))</f>
        <v>0</v>
      </c>
      <c r="N675" s="364">
        <f>IF($G675="","",K675+L675+M675)</f>
        <v>0</v>
      </c>
      <c r="O675" s="365" t="str">
        <f>IF($G675="","",IFERROR(VLOOKUP($D675&amp;"|"&amp;$E675,科目表!$A$5:$B$200,2,FALSE),"※未登録"))</f>
        <v>通信運搬費</v>
      </c>
      <c r="P675" s="359">
        <f>IF(OR($G675="",$C675=""),"",IF($B675="決算整理",13,MOD(MONTH($C675)-4,12)+1))</f>
        <v>12</v>
      </c>
      <c r="Q675" s="366" t="str">
        <f>IF($G675="","",TRIM(IF(J675+K675+L675+M675&lt;&gt;$G675,"按分不一致 ","")&amp;IF(O675="※未登録","科目未登録 ","")&amp;IF(OR($H675="",ISERROR(MATCH($H675,{1,2,3,4,5,6,7,8},0))),"経費区分? ","")&amp;IF($I675="","状態未設定 ","")&amp;IF(AND(OR($I675="確認済",$I675="未確認"),$B675="月例",OR($C675="",$C675&lt;DATE(年度+2018,4,1),$C675&gt;DATE(年度+2019,3,31))),"年度外の日付 ","")&amp;IF(AND(OR($I675="確認済",$I675="未確認"),O675="対象外"),"対象外の科目 ","")))</f>
        <v/>
      </c>
      <c r="R675" s="366" t="inlineStr">
        <is>
          <t>月例!703</t>
        </is>
      </c>
    </row>
    <row r="676">
      <c r="A676" s="359" t="n">
        <v>672</v>
      </c>
      <c r="B676" s="360" t="inlineStr">
        <is>
          <t>月例</t>
        </is>
      </c>
      <c r="C676" s="361" t="n">
        <v>45380</v>
      </c>
      <c r="D676" s="362" t="inlineStr">
        <is>
          <t>事務費</t>
        </is>
      </c>
      <c r="E676" s="362" t="inlineStr">
        <is>
          <t>図書印刷費</t>
        </is>
      </c>
      <c r="F676" s="362" t="inlineStr">
        <is>
          <t>国家公務員等共済組合関係通達実例集追録107号</t>
        </is>
      </c>
      <c r="G676" s="363" t="n">
        <v>4400</v>
      </c>
      <c r="H676" s="360" t="n">
        <v>3</v>
      </c>
      <c r="I676" s="360" t="inlineStr">
        <is>
          <t>昨年実績</t>
        </is>
      </c>
      <c r="J676" s="364">
        <f>IF($G676="","",IF($H676=1,$G676-ROUND($G676*10/23,0)-2*ROUND($G676/23,0),IF($H676=2,$G676,0)))</f>
        <v>0</v>
      </c>
      <c r="K676" s="364">
        <f>IF($G676="","",IF($H676=1,ROUND($G676*10/23,0),IF($H676=3,$G676-2*ROUND($G676/12,0),IF($H676=4,$G676,IF(OR($H676=5,$H676=7),ROUND($G676*10/11,0),0)))))</f>
        <v>3666</v>
      </c>
      <c r="L676" s="364">
        <f>IF($G676="","",IF($H676=1,ROUND($G676/23,0),IF($H676=3,ROUND($G676/12,0),IF($H676=5,$G676-ROUND($G676*10/11,0),IF($H676=8,$G676,0)))))</f>
        <v>367</v>
      </c>
      <c r="M676" s="364">
        <f>IF($G676="","",IF($H676=1,ROUND($G676/23,0),IF($H676=3,ROUND($G676/12,0),IF($H676=6,$G676,IF($H676=7,$G676-ROUND($G676*10/11,0),0)))))</f>
        <v>367</v>
      </c>
      <c r="N676" s="364">
        <f>IF($G676="","",K676+L676+M676)</f>
        <v>4400</v>
      </c>
      <c r="O676" s="365" t="str">
        <f>IF($G676="","",IFERROR(VLOOKUP($D676&amp;"|"&amp;$E676,科目表!$A$5:$B$200,2,FALSE),"※未登録"))</f>
        <v>図書印刷費</v>
      </c>
      <c r="P676" s="359">
        <f>IF(OR($G676="",$C676=""),"",IF($B676="決算整理",13,MOD(MONTH($C676)-4,12)+1))</f>
        <v>12</v>
      </c>
      <c r="Q676" s="366" t="str">
        <f>IF($G676="","",TRIM(IF(J676+K676+L676+M676&lt;&gt;$G676,"按分不一致 ","")&amp;IF(O676="※未登録","科目未登録 ","")&amp;IF(OR($H676="",ISERROR(MATCH($H676,{1,2,3,4,5,6,7,8},0))),"経費区分? ","")&amp;IF($I676="","状態未設定 ","")&amp;IF(AND(OR($I676="確認済",$I676="未確認"),$B676="月例",OR($C676="",$C676&lt;DATE(年度+2018,4,1),$C676&gt;DATE(年度+2019,3,31))),"年度外の日付 ","")&amp;IF(AND(OR($I676="確認済",$I676="未確認"),O676="対象外"),"対象外の科目 ","")))</f>
        <v/>
      </c>
      <c r="R676" s="366" t="inlineStr">
        <is>
          <t>月例!704</t>
        </is>
      </c>
    </row>
    <row r="677">
      <c r="A677" s="359" t="n">
        <v>673</v>
      </c>
      <c r="B677" s="360" t="inlineStr">
        <is>
          <t>月例</t>
        </is>
      </c>
      <c r="C677" s="361" t="n">
        <v>46108</v>
      </c>
      <c r="D677" s="362" t="inlineStr">
        <is>
          <t>事務費</t>
        </is>
      </c>
      <c r="E677" s="362" t="inlineStr">
        <is>
          <t>図書印刷費</t>
        </is>
      </c>
      <c r="F677" s="362" t="inlineStr">
        <is>
          <t>地方公務員共済組合関係法令実例判例集追録1171-1179号</t>
        </is>
      </c>
      <c r="G677" s="363" t="n">
        <v>26757</v>
      </c>
      <c r="H677" s="360" t="n">
        <v>3</v>
      </c>
      <c r="I677" s="360" t="inlineStr">
        <is>
          <t>昨年実績</t>
        </is>
      </c>
      <c r="J677" s="364">
        <f>IF($G677="","",IF($H677=1,$G677-ROUND($G677*10/23,0)-2*ROUND($G677/23,0),IF($H677=2,$G677,0)))</f>
        <v>0</v>
      </c>
      <c r="K677" s="364">
        <f>IF($G677="","",IF($H677=1,ROUND($G677*10/23,0),IF($H677=3,$G677-2*ROUND($G677/12,0),IF($H677=4,$G677,IF(OR($H677=5,$H677=7),ROUND($G677*10/11,0),0)))))</f>
        <v>22297</v>
      </c>
      <c r="L677" s="364">
        <f>IF($G677="","",IF($H677=1,ROUND($G677/23,0),IF($H677=3,ROUND($G677/12,0),IF($H677=5,$G677-ROUND($G677*10/11,0),IF($H677=8,$G677,0)))))</f>
        <v>2230</v>
      </c>
      <c r="M677" s="364">
        <f>IF($G677="","",IF($H677=1,ROUND($G677/23,0),IF($H677=3,ROUND($G677/12,0),IF($H677=6,$G677,IF($H677=7,$G677-ROUND($G677*10/11,0),0)))))</f>
        <v>2230</v>
      </c>
      <c r="N677" s="364">
        <f>IF($G677="","",K677+L677+M677)</f>
        <v>26757</v>
      </c>
      <c r="O677" s="365" t="str">
        <f>IF($G677="","",IFERROR(VLOOKUP($D677&amp;"|"&amp;$E677,科目表!$A$5:$B$200,2,FALSE),"※未登録"))</f>
        <v>図書印刷費</v>
      </c>
      <c r="P677" s="359">
        <f>IF(OR($G677="",$C677=""),"",IF($B677="決算整理",13,MOD(MONTH($C677)-4,12)+1))</f>
        <v>12</v>
      </c>
      <c r="Q677" s="366" t="str">
        <f>IF($G677="","",TRIM(IF(J677+K677+L677+M677&lt;&gt;$G677,"按分不一致 ","")&amp;IF(O677="※未登録","科目未登録 ","")&amp;IF(OR($H677="",ISERROR(MATCH($H677,{1,2,3,4,5,6,7,8},0))),"経費区分? ","")&amp;IF($I677="","状態未設定 ","")&amp;IF(AND(OR($I677="確認済",$I677="未確認"),$B677="月例",OR($C677="",$C677&lt;DATE(年度+2018,4,1),$C677&gt;DATE(年度+2019,3,31))),"年度外の日付 ","")&amp;IF(AND(OR($I677="確認済",$I677="未確認"),O677="対象外"),"対象外の科目 ","")))</f>
        <v/>
      </c>
      <c r="R677" s="366" t="inlineStr">
        <is>
          <t>月例!705</t>
        </is>
      </c>
    </row>
    <row r="678">
      <c r="A678" s="359" t="n">
        <v>674</v>
      </c>
      <c r="B678" s="360" t="inlineStr">
        <is>
          <t>月例</t>
        </is>
      </c>
      <c r="C678" s="361" t="n">
        <v>46112</v>
      </c>
      <c r="D678" s="362" t="inlineStr">
        <is>
          <t>事務費</t>
        </is>
      </c>
      <c r="E678" s="362" t="inlineStr">
        <is>
          <t>事務用消耗品費</t>
        </is>
      </c>
      <c r="F678" s="362" t="inlineStr">
        <is>
          <t>トナーカートリッジLPB３T３４　１３本</t>
        </is>
      </c>
      <c r="G678" s="363" t="n">
        <v>98670</v>
      </c>
      <c r="H678" s="360" t="n">
        <v>2</v>
      </c>
      <c r="I678" s="360" t="inlineStr">
        <is>
          <t>昨年実績</t>
        </is>
      </c>
      <c r="J678" s="364">
        <f>IF($G678="","",IF($H678=1,$G678-ROUND($G678*10/23,0)-2*ROUND($G678/23,0),IF($H678=2,$G678,0)))</f>
        <v>98670</v>
      </c>
      <c r="K678" s="364">
        <f>IF($G678="","",IF($H678=1,ROUND($G678*10/23,0),IF($H678=3,$G678-2*ROUND($G678/12,0),IF($H678=4,$G678,IF(OR($H678=5,$H678=7),ROUND($G678*10/11,0),0)))))</f>
        <v>0</v>
      </c>
      <c r="L678" s="364">
        <f>IF($G678="","",IF($H678=1,ROUND($G678/23,0),IF($H678=3,ROUND($G678/12,0),IF($H678=5,$G678-ROUND($G678*10/11,0),IF($H678=8,$G678,0)))))</f>
        <v>0</v>
      </c>
      <c r="M678" s="364">
        <f>IF($G678="","",IF($H678=1,ROUND($G678/23,0),IF($H678=3,ROUND($G678/12,0),IF($H678=6,$G678,IF($H678=7,$G678-ROUND($G678*10/11,0),0)))))</f>
        <v>0</v>
      </c>
      <c r="N678" s="364">
        <f>IF($G678="","",K678+L678+M678)</f>
        <v>0</v>
      </c>
      <c r="O678" s="365" t="str">
        <f>IF($G678="","",IFERROR(VLOOKUP($D678&amp;"|"&amp;$E678,科目表!$A$5:$B$200,2,FALSE),"※未登録"))</f>
        <v>事務用消耗品費</v>
      </c>
      <c r="P678" s="359">
        <f>IF(OR($G678="",$C678=""),"",IF($B678="決算整理",13,MOD(MONTH($C678)-4,12)+1))</f>
        <v>12</v>
      </c>
      <c r="Q678" s="366" t="str">
        <f>IF($G678="","",TRIM(IF(J678+K678+L678+M678&lt;&gt;$G678,"按分不一致 ","")&amp;IF(O678="※未登録","科目未登録 ","")&amp;IF(OR($H678="",ISERROR(MATCH($H678,{1,2,3,4,5,6,7,8},0))),"経費区分? ","")&amp;IF($I678="","状態未設定 ","")&amp;IF(AND(OR($I678="確認済",$I678="未確認"),$B678="月例",OR($C678="",$C678&lt;DATE(年度+2018,4,1),$C678&gt;DATE(年度+2019,3,31))),"年度外の日付 ","")&amp;IF(AND(OR($I678="確認済",$I678="未確認"),O678="対象外"),"対象外の科目 ","")))</f>
        <v/>
      </c>
      <c r="R678" s="366" t="inlineStr">
        <is>
          <t>月例!706</t>
        </is>
      </c>
    </row>
    <row r="679">
      <c r="A679" s="359" t="n">
        <v>675</v>
      </c>
      <c r="B679" s="360" t="inlineStr">
        <is>
          <t>月例</t>
        </is>
      </c>
      <c r="C679" s="361" t="n">
        <v>44251</v>
      </c>
      <c r="D679" s="362" t="inlineStr">
        <is>
          <t>事務費</t>
        </is>
      </c>
      <c r="E679" s="362" t="inlineStr">
        <is>
          <t>送金料</t>
        </is>
      </c>
      <c r="F679" s="362" t="inlineStr">
        <is>
          <t>振込手数料（広銀）２月分　長期分（退職等年金経理　基本料金）</t>
        </is>
      </c>
      <c r="G679" s="363" t="n">
        <v>4180</v>
      </c>
      <c r="H679" s="360" t="n">
        <v>3</v>
      </c>
      <c r="I679" s="360" t="inlineStr">
        <is>
          <t>昨年実績</t>
        </is>
      </c>
      <c r="J679" s="364">
        <f>IF($G679="","",IF($H679=1,$G679-ROUND($G679*10/23,0)-2*ROUND($G679/23,0),IF($H679=2,$G679,0)))</f>
        <v>0</v>
      </c>
      <c r="K679" s="364">
        <f>IF($G679="","",IF($H679=1,ROUND($G679*10/23,0),IF($H679=3,$G679-2*ROUND($G679/12,0),IF($H679=4,$G679,IF(OR($H679=5,$H679=7),ROUND($G679*10/11,0),0)))))</f>
        <v>3484</v>
      </c>
      <c r="L679" s="364">
        <f>IF($G679="","",IF($H679=1,ROUND($G679/23,0),IF($H679=3,ROUND($G679/12,0),IF($H679=5,$G679-ROUND($G679*10/11,0),IF($H679=8,$G679,0)))))</f>
        <v>348</v>
      </c>
      <c r="M679" s="364">
        <f>IF($G679="","",IF($H679=1,ROUND($G679/23,0),IF($H679=3,ROUND($G679/12,0),IF($H679=6,$G679,IF($H679=7,$G679-ROUND($G679*10/11,0),0)))))</f>
        <v>348</v>
      </c>
      <c r="N679" s="364">
        <f>IF($G679="","",K679+L679+M679)</f>
        <v>4180</v>
      </c>
      <c r="O679" s="365" t="str">
        <f>IF($G679="","",IFERROR(VLOOKUP($D679&amp;"|"&amp;$E679,科目表!$A$5:$B$200,2,FALSE),"※未登録"))</f>
        <v>送金料</v>
      </c>
      <c r="P679" s="359">
        <f>IF(OR($G679="",$C679=""),"",IF($B679="決算整理",13,MOD(MONTH($C679)-4,12)+1))</f>
        <v>11</v>
      </c>
      <c r="Q679" s="366" t="str">
        <f>IF($G679="","",TRIM(IF(J679+K679+L679+M679&lt;&gt;$G679,"按分不一致 ","")&amp;IF(O679="※未登録","科目未登録 ","")&amp;IF(OR($H679="",ISERROR(MATCH($H679,{1,2,3,4,5,6,7,8},0))),"経費区分? ","")&amp;IF($I679="","状態未設定 ","")&amp;IF(AND(OR($I679="確認済",$I679="未確認"),$B679="月例",OR($C679="",$C679&lt;DATE(年度+2018,4,1),$C679&gt;DATE(年度+2019,3,31))),"年度外の日付 ","")&amp;IF(AND(OR($I679="確認済",$I679="未確認"),O679="対象外"),"対象外の科目 ","")))</f>
        <v/>
      </c>
      <c r="R679" s="366" t="inlineStr">
        <is>
          <t>月例!707</t>
        </is>
      </c>
    </row>
    <row r="680">
      <c r="A680" s="359" t="n">
        <v>676</v>
      </c>
      <c r="B680" s="360" t="inlineStr">
        <is>
          <t>月例</t>
        </is>
      </c>
      <c r="C680" s="361" t="n">
        <v>46098</v>
      </c>
      <c r="D680" s="362" t="inlineStr">
        <is>
          <t>事務費負担金払込金</t>
        </is>
      </c>
      <c r="E680" s="362" t="n"/>
      <c r="F680" s="362" t="inlineStr">
        <is>
          <t>３月分事務費負担金払込金　連合会へ払込</t>
        </is>
      </c>
      <c r="G680" s="363" t="n">
        <v>4510000</v>
      </c>
      <c r="H680" s="360" t="n">
        <v>5</v>
      </c>
      <c r="I680" s="360" t="inlineStr">
        <is>
          <t>昨年実績</t>
        </is>
      </c>
      <c r="J680" s="364">
        <f>IF($G680="","",IF($H680=1,$G680-ROUND($G680*10/23,0)-2*ROUND($G680/23,0),IF($H680=2,$G680,0)))</f>
        <v>0</v>
      </c>
      <c r="K680" s="364">
        <f>IF($G680="","",IF($H680=1,ROUND($G680*10/23,0),IF($H680=3,$G680-2*ROUND($G680/12,0),IF($H680=4,$G680,IF(OR($H680=5,$H680=7),ROUND($G680*10/11,0),0)))))</f>
        <v>4100000</v>
      </c>
      <c r="L680" s="364">
        <f>IF($G680="","",IF($H680=1,ROUND($G680/23,0),IF($H680=3,ROUND($G680/12,0),IF($H680=5,$G680-ROUND($G680*10/11,0),IF($H680=8,$G680,0)))))</f>
        <v>410000</v>
      </c>
      <c r="M680" s="364">
        <f>IF($G680="","",IF($H680=1,ROUND($G680/23,0),IF($H680=3,ROUND($G680/12,0),IF($H680=6,$G680,IF($H680=7,$G680-ROUND($G680*10/11,0),0)))))</f>
        <v>0</v>
      </c>
      <c r="N680" s="364">
        <f>IF($G680="","",K680+L680+M680)</f>
        <v>4510000</v>
      </c>
      <c r="O680" s="365" t="str">
        <f>IF($G680="","",IFERROR(VLOOKUP($D680&amp;"|"&amp;$E680,科目表!$A$5:$B$200,2,FALSE),"※未登録"))</f>
        <v>事務費負担金払込金</v>
      </c>
      <c r="P680" s="359">
        <f>IF(OR($G680="",$C680=""),"",IF($B680="決算整理",13,MOD(MONTH($C680)-4,12)+1))</f>
        <v>12</v>
      </c>
      <c r="Q680" s="366" t="str">
        <f>IF($G680="","",TRIM(IF(J680+K680+L680+M680&lt;&gt;$G680,"按分不一致 ","")&amp;IF(O680="※未登録","科目未登録 ","")&amp;IF(OR($H680="",ISERROR(MATCH($H680,{1,2,3,4,5,6,7,8},0))),"経費区分? ","")&amp;IF($I680="","状態未設定 ","")&amp;IF(AND(OR($I680="確認済",$I680="未確認"),$B680="月例",OR($C680="",$C680&lt;DATE(年度+2018,4,1),$C680&gt;DATE(年度+2019,3,31))),"年度外の日付 ","")&amp;IF(AND(OR($I680="確認済",$I680="未確認"),O680="対象外"),"対象外の科目 ","")))</f>
        <v/>
      </c>
      <c r="R680" s="366" t="inlineStr">
        <is>
          <t>月例!708</t>
        </is>
      </c>
    </row>
    <row r="681">
      <c r="A681" s="359" t="n">
        <v>677</v>
      </c>
      <c r="B681" s="360" t="inlineStr">
        <is>
          <t>月例</t>
        </is>
      </c>
      <c r="C681" s="361" t="n">
        <v>44286</v>
      </c>
      <c r="D681" s="362" t="inlineStr">
        <is>
          <t>委託費</t>
        </is>
      </c>
      <c r="E681" s="362" t="n"/>
      <c r="F681" s="362" t="inlineStr">
        <is>
          <t>健康スコアリングレポート作成業務</t>
        </is>
      </c>
      <c r="G681" s="363" t="n">
        <v>6875</v>
      </c>
      <c r="H681" s="360" t="n">
        <v>2</v>
      </c>
      <c r="I681" s="360" t="inlineStr">
        <is>
          <t>昨年実績</t>
        </is>
      </c>
      <c r="J681" s="364">
        <f>IF($G681="","",IF($H681=1,$G681-ROUND($G681*10/23,0)-2*ROUND($G681/23,0),IF($H681=2,$G681,0)))</f>
        <v>6875</v>
      </c>
      <c r="K681" s="364">
        <f>IF($G681="","",IF($H681=1,ROUND($G681*10/23,0),IF($H681=3,$G681-2*ROUND($G681/12,0),IF($H681=4,$G681,IF(OR($H681=5,$H681=7),ROUND($G681*10/11,0),0)))))</f>
        <v>0</v>
      </c>
      <c r="L681" s="364">
        <f>IF($G681="","",IF($H681=1,ROUND($G681/23,0),IF($H681=3,ROUND($G681/12,0),IF($H681=5,$G681-ROUND($G681*10/11,0),IF($H681=8,$G681,0)))))</f>
        <v>0</v>
      </c>
      <c r="M681" s="364">
        <f>IF($G681="","",IF($H681=1,ROUND($G681/23,0),IF($H681=3,ROUND($G681/12,0),IF($H681=6,$G681,IF($H681=7,$G681-ROUND($G681*10/11,0),0)))))</f>
        <v>0</v>
      </c>
      <c r="N681" s="364">
        <f>IF($G681="","",K681+L681+M681)</f>
        <v>0</v>
      </c>
      <c r="O681" s="365" t="str">
        <f>IF($G681="","",IFERROR(VLOOKUP($D681&amp;"|"&amp;$E681,科目表!$A$5:$B$200,2,FALSE),"※未登録"))</f>
        <v>委託費</v>
      </c>
      <c r="P681" s="359">
        <f>IF(OR($G681="",$C681=""),"",IF($B681="決算整理",13,MOD(MONTH($C681)-4,12)+1))</f>
        <v>12</v>
      </c>
      <c r="Q681" s="366" t="str">
        <f>IF($G681="","",TRIM(IF(J681+K681+L681+M681&lt;&gt;$G681,"按分不一致 ","")&amp;IF(O681="※未登録","科目未登録 ","")&amp;IF(OR($H681="",ISERROR(MATCH($H681,{1,2,3,4,5,6,7,8},0))),"経費区分? ","")&amp;IF($I681="","状態未設定 ","")&amp;IF(AND(OR($I681="確認済",$I681="未確認"),$B681="月例",OR($C681="",$C681&lt;DATE(年度+2018,4,1),$C681&gt;DATE(年度+2019,3,31))),"年度外の日付 ","")&amp;IF(AND(OR($I681="確認済",$I681="未確認"),O681="対象外"),"対象外の科目 ","")))</f>
        <v/>
      </c>
      <c r="R681" s="366" t="inlineStr">
        <is>
          <t>月例!709</t>
        </is>
      </c>
    </row>
    <row r="682">
      <c r="A682" s="359" t="n">
        <v>678</v>
      </c>
      <c r="B682" s="360" t="inlineStr">
        <is>
          <t>月例</t>
        </is>
      </c>
      <c r="C682" s="361" t="n">
        <v>45015</v>
      </c>
      <c r="D682" s="362" t="inlineStr">
        <is>
          <t>事務費</t>
        </is>
      </c>
      <c r="E682" s="362" t="inlineStr">
        <is>
          <t>送金料</t>
        </is>
      </c>
      <c r="F682" s="362" t="inlineStr">
        <is>
          <t>ＪＡ広島振込手数料</t>
        </is>
      </c>
      <c r="G682" s="363" t="n">
        <v>1540</v>
      </c>
      <c r="H682" s="360" t="n">
        <v>2</v>
      </c>
      <c r="I682" s="360" t="inlineStr">
        <is>
          <t>昨年実績</t>
        </is>
      </c>
      <c r="J682" s="364">
        <f>IF($G682="","",IF($H682=1,$G682-ROUND($G682*10/23,0)-2*ROUND($G682/23,0),IF($H682=2,$G682,0)))</f>
        <v>1540</v>
      </c>
      <c r="K682" s="364">
        <f>IF($G682="","",IF($H682=1,ROUND($G682*10/23,0),IF($H682=3,$G682-2*ROUND($G682/12,0),IF($H682=4,$G682,IF(OR($H682=5,$H682=7),ROUND($G682*10/11,0),0)))))</f>
        <v>0</v>
      </c>
      <c r="L682" s="364">
        <f>IF($G682="","",IF($H682=1,ROUND($G682/23,0),IF($H682=3,ROUND($G682/12,0),IF($H682=5,$G682-ROUND($G682*10/11,0),IF($H682=8,$G682,0)))))</f>
        <v>0</v>
      </c>
      <c r="M682" s="364">
        <f>IF($G682="","",IF($H682=1,ROUND($G682/23,0),IF($H682=3,ROUND($G682/12,0),IF($H682=6,$G682,IF($H682=7,$G682-ROUND($G682*10/11,0),0)))))</f>
        <v>0</v>
      </c>
      <c r="N682" s="364">
        <f>IF($G682="","",K682+L682+M682)</f>
        <v>0</v>
      </c>
      <c r="O682" s="365" t="str">
        <f>IF($G682="","",IFERROR(VLOOKUP($D682&amp;"|"&amp;$E682,科目表!$A$5:$B$200,2,FALSE),"※未登録"))</f>
        <v>送金料</v>
      </c>
      <c r="P682" s="359">
        <f>IF(OR($G682="",$C682=""),"",IF($B682="決算整理",13,MOD(MONTH($C682)-4,12)+1))</f>
        <v>12</v>
      </c>
      <c r="Q682" s="366" t="str">
        <f>IF($G682="","",TRIM(IF(J682+K682+L682+M682&lt;&gt;$G682,"按分不一致 ","")&amp;IF(O682="※未登録","科目未登録 ","")&amp;IF(OR($H682="",ISERROR(MATCH($H682,{1,2,3,4,5,6,7,8},0))),"経費区分? ","")&amp;IF($I682="","状態未設定 ","")&amp;IF(AND(OR($I682="確認済",$I682="未確認"),$B682="月例",OR($C682="",$C682&lt;DATE(年度+2018,4,1),$C682&gt;DATE(年度+2019,3,31))),"年度外の日付 ","")&amp;IF(AND(OR($I682="確認済",$I682="未確認"),O682="対象外"),"対象外の科目 ","")))</f>
        <v/>
      </c>
      <c r="R682" s="366" t="inlineStr">
        <is>
          <t>月例!710</t>
        </is>
      </c>
    </row>
    <row r="683">
      <c r="A683" s="359" t="n">
        <v>679</v>
      </c>
      <c r="B683" s="360" t="inlineStr">
        <is>
          <t>月例</t>
        </is>
      </c>
      <c r="C683" s="361" t="n">
        <v>45747</v>
      </c>
      <c r="D683" s="362" t="inlineStr">
        <is>
          <t>事務費</t>
        </is>
      </c>
      <c r="E683" s="362" t="inlineStr">
        <is>
          <t>通信運搬費</t>
        </is>
      </c>
      <c r="F683" s="362" t="inlineStr">
        <is>
          <t>フレッツ光ネクスト利用料等（2月利用・3月請求分）</t>
        </is>
      </c>
      <c r="G683" s="363" t="n">
        <v>5126</v>
      </c>
      <c r="H683" s="360" t="n">
        <v>2</v>
      </c>
      <c r="I683" s="360" t="inlineStr">
        <is>
          <t>昨年実績</t>
        </is>
      </c>
      <c r="J683" s="364">
        <f>IF($G683="","",IF($H683=1,$G683-ROUND($G683*10/23,0)-2*ROUND($G683/23,0),IF($H683=2,$G683,0)))</f>
        <v>5126</v>
      </c>
      <c r="K683" s="364">
        <f>IF($G683="","",IF($H683=1,ROUND($G683*10/23,0),IF($H683=3,$G683-2*ROUND($G683/12,0),IF($H683=4,$G683,IF(OR($H683=5,$H683=7),ROUND($G683*10/11,0),0)))))</f>
        <v>0</v>
      </c>
      <c r="L683" s="364">
        <f>IF($G683="","",IF($H683=1,ROUND($G683/23,0),IF($H683=3,ROUND($G683/12,0),IF($H683=5,$G683-ROUND($G683*10/11,0),IF($H683=8,$G683,0)))))</f>
        <v>0</v>
      </c>
      <c r="M683" s="364">
        <f>IF($G683="","",IF($H683=1,ROUND($G683/23,0),IF($H683=3,ROUND($G683/12,0),IF($H683=6,$G683,IF($H683=7,$G683-ROUND($G683*10/11,0),0)))))</f>
        <v>0</v>
      </c>
      <c r="N683" s="364">
        <f>IF($G683="","",K683+L683+M683)</f>
        <v>0</v>
      </c>
      <c r="O683" s="365" t="str">
        <f>IF($G683="","",IFERROR(VLOOKUP($D683&amp;"|"&amp;$E683,科目表!$A$5:$B$200,2,FALSE),"※未登録"))</f>
        <v>通信運搬費</v>
      </c>
      <c r="P683" s="359">
        <f>IF(OR($G683="",$C683=""),"",IF($B683="決算整理",13,MOD(MONTH($C683)-4,12)+1))</f>
        <v>12</v>
      </c>
      <c r="Q683" s="366" t="str">
        <f>IF($G683="","",TRIM(IF(J683+K683+L683+M683&lt;&gt;$G683,"按分不一致 ","")&amp;IF(O683="※未登録","科目未登録 ","")&amp;IF(OR($H683="",ISERROR(MATCH($H683,{1,2,3,4,5,6,7,8},0))),"経費区分? ","")&amp;IF($I683="","状態未設定 ","")&amp;IF(AND(OR($I683="確認済",$I683="未確認"),$B683="月例",OR($C683="",$C683&lt;DATE(年度+2018,4,1),$C683&gt;DATE(年度+2019,3,31))),"年度外の日付 ","")&amp;IF(AND(OR($I683="確認済",$I683="未確認"),O683="対象外"),"対象外の科目 ","")))</f>
        <v/>
      </c>
      <c r="R683" s="366" t="inlineStr">
        <is>
          <t>月例!712</t>
        </is>
      </c>
    </row>
    <row r="684">
      <c r="A684" s="359" t="n">
        <v>680</v>
      </c>
      <c r="B684" s="360" t="inlineStr">
        <is>
          <t>月例</t>
        </is>
      </c>
      <c r="C684" s="361" t="n">
        <v>46112</v>
      </c>
      <c r="D684" s="362" t="inlineStr">
        <is>
          <t>負担金</t>
        </is>
      </c>
      <c r="E684" s="362" t="inlineStr">
        <is>
          <t>厚年負担金等</t>
        </is>
      </c>
      <c r="F684" s="362" t="inlineStr">
        <is>
          <t>２月月例分（短期分）子ども子育て拠出金を含む</t>
        </is>
      </c>
      <c r="G684" s="363" t="n">
        <v>59913</v>
      </c>
      <c r="H684" s="360" t="n">
        <v>2</v>
      </c>
      <c r="I684" s="360" t="inlineStr">
        <is>
          <t>昨年実績</t>
        </is>
      </c>
      <c r="J684" s="364">
        <f>IF($G684="","",IF($H684=1,$G684-ROUND($G684*10/23,0)-2*ROUND($G684/23,0),IF($H684=2,$G684,0)))</f>
        <v>59913</v>
      </c>
      <c r="K684" s="364">
        <f>IF($G684="","",IF($H684=1,ROUND($G684*10/23,0),IF($H684=3,$G684-2*ROUND($G684/12,0),IF($H684=4,$G684,IF(OR($H684=5,$H684=7),ROUND($G684*10/11,0),0)))))</f>
        <v>0</v>
      </c>
      <c r="L684" s="364">
        <f>IF($G684="","",IF($H684=1,ROUND($G684/23,0),IF($H684=3,ROUND($G684/12,0),IF($H684=5,$G684-ROUND($G684*10/11,0),IF($H684=8,$G684,0)))))</f>
        <v>0</v>
      </c>
      <c r="M684" s="364">
        <f>IF($G684="","",IF($H684=1,ROUND($G684/23,0),IF($H684=3,ROUND($G684/12,0),IF($H684=6,$G684,IF($H684=7,$G684-ROUND($G684*10/11,0),0)))))</f>
        <v>0</v>
      </c>
      <c r="N684" s="364">
        <f>IF($G684="","",K684+L684+M684)</f>
        <v>0</v>
      </c>
      <c r="O684" s="365" t="str">
        <f>IF($G684="","",IFERROR(VLOOKUP($D684&amp;"|"&amp;$E684,科目表!$A$5:$B$200,2,FALSE),"※未登録"))</f>
        <v>厚年負担金等</v>
      </c>
      <c r="P684" s="359">
        <f>IF(OR($G684="",$C684=""),"",IF($B684="決算整理",13,MOD(MONTH($C684)-4,12)+1))</f>
        <v>12</v>
      </c>
      <c r="Q684" s="366" t="str">
        <f>IF($G684="","",TRIM(IF(J684+K684+L684+M684&lt;&gt;$G684,"按分不一致 ","")&amp;IF(O684="※未登録","科目未登録 ","")&amp;IF(OR($H684="",ISERROR(MATCH($H684,{1,2,3,4,5,6,7,8},0))),"経費区分? ","")&amp;IF($I684="","状態未設定 ","")&amp;IF(AND(OR($I684="確認済",$I684="未確認"),$B684="月例",OR($C684="",$C684&lt;DATE(年度+2018,4,1),$C684&gt;DATE(年度+2019,3,31))),"年度外の日付 ","")&amp;IF(AND(OR($I684="確認済",$I684="未確認"),O684="対象外"),"対象外の科目 ","")))</f>
        <v/>
      </c>
      <c r="R684" s="366" t="inlineStr">
        <is>
          <t>月例!715</t>
        </is>
      </c>
    </row>
    <row r="685">
      <c r="A685" s="359" t="n">
        <v>681</v>
      </c>
      <c r="B685" s="360" t="inlineStr">
        <is>
          <t>月例</t>
        </is>
      </c>
      <c r="C685" s="361" t="n">
        <v>46112</v>
      </c>
      <c r="D685" s="362" t="inlineStr">
        <is>
          <t>負担金</t>
        </is>
      </c>
      <c r="E685" s="362" t="inlineStr">
        <is>
          <t>厚年負担金等</t>
        </is>
      </c>
      <c r="F685" s="362" t="inlineStr">
        <is>
          <t>２月月例分（長期分）子ども子育て拠出金を含む</t>
        </is>
      </c>
      <c r="G685" s="363" t="n">
        <v>37089</v>
      </c>
      <c r="H685" s="360" t="n">
        <v>3</v>
      </c>
      <c r="I685" s="360" t="inlineStr">
        <is>
          <t>昨年実績</t>
        </is>
      </c>
      <c r="J685" s="364">
        <f>IF($G685="","",IF($H685=1,$G685-ROUND($G685*10/23,0)-2*ROUND($G685/23,0),IF($H685=2,$G685,0)))</f>
        <v>0</v>
      </c>
      <c r="K685" s="364">
        <f>IF($G685="","",IF($H685=1,ROUND($G685*10/23,0),IF($H685=3,$G685-2*ROUND($G685/12,0),IF($H685=4,$G685,IF(OR($H685=5,$H685=7),ROUND($G685*10/11,0),0)))))</f>
        <v>30907</v>
      </c>
      <c r="L685" s="364">
        <f>IF($G685="","",IF($H685=1,ROUND($G685/23,0),IF($H685=3,ROUND($G685/12,0),IF($H685=5,$G685-ROUND($G685*10/11,0),IF($H685=8,$G685,0)))))</f>
        <v>3091</v>
      </c>
      <c r="M685" s="364">
        <f>IF($G685="","",IF($H685=1,ROUND($G685/23,0),IF($H685=3,ROUND($G685/12,0),IF($H685=6,$G685,IF($H685=7,$G685-ROUND($G685*10/11,0),0)))))</f>
        <v>3091</v>
      </c>
      <c r="N685" s="364">
        <f>IF($G685="","",K685+L685+M685)</f>
        <v>37089</v>
      </c>
      <c r="O685" s="365" t="str">
        <f>IF($G685="","",IFERROR(VLOOKUP($D685&amp;"|"&amp;$E685,科目表!$A$5:$B$200,2,FALSE),"※未登録"))</f>
        <v>厚年負担金等</v>
      </c>
      <c r="P685" s="359">
        <f>IF(OR($G685="",$C685=""),"",IF($B685="決算整理",13,MOD(MONTH($C685)-4,12)+1))</f>
        <v>12</v>
      </c>
      <c r="Q685" s="366" t="str">
        <f>IF($G685="","",TRIM(IF(J685+K685+L685+M685&lt;&gt;$G685,"按分不一致 ","")&amp;IF(O685="※未登録","科目未登録 ","")&amp;IF(OR($H685="",ISERROR(MATCH($H685,{1,2,3,4,5,6,7,8},0))),"経費区分? ","")&amp;IF($I685="","状態未設定 ","")&amp;IF(AND(OR($I685="確認済",$I685="未確認"),$B685="月例",OR($C685="",$C685&lt;DATE(年度+2018,4,1),$C685&gt;DATE(年度+2019,3,31))),"年度外の日付 ","")&amp;IF(AND(OR($I685="確認済",$I685="未確認"),O685="対象外"),"対象外の科目 ","")))</f>
        <v/>
      </c>
      <c r="R685" s="366" t="inlineStr">
        <is>
          <t>月例!716</t>
        </is>
      </c>
    </row>
    <row r="686">
      <c r="A686" s="359" t="n">
        <v>682</v>
      </c>
      <c r="B686" s="360" t="inlineStr">
        <is>
          <t>月例</t>
        </is>
      </c>
      <c r="C686" s="361" t="n">
        <v>45380</v>
      </c>
      <c r="D686" s="362" t="inlineStr">
        <is>
          <t>事務費</t>
        </is>
      </c>
      <c r="E686" s="362" t="inlineStr">
        <is>
          <t>図書印刷費</t>
        </is>
      </c>
      <c r="F686" s="362" t="inlineStr">
        <is>
          <t>厚生法規総覧追録　５８３６－５８４５号</t>
        </is>
      </c>
      <c r="G686" s="363" t="n">
        <v>33154</v>
      </c>
      <c r="H686" s="360" t="n">
        <v>2</v>
      </c>
      <c r="I686" s="360" t="inlineStr">
        <is>
          <t>昨年実績</t>
        </is>
      </c>
      <c r="J686" s="364">
        <f>IF($G686="","",IF($H686=1,$G686-ROUND($G686*10/23,0)-2*ROUND($G686/23,0),IF($H686=2,$G686,0)))</f>
        <v>33154</v>
      </c>
      <c r="K686" s="364">
        <f>IF($G686="","",IF($H686=1,ROUND($G686*10/23,0),IF($H686=3,$G686-2*ROUND($G686/12,0),IF($H686=4,$G686,IF(OR($H686=5,$H686=7),ROUND($G686*10/11,0),0)))))</f>
        <v>0</v>
      </c>
      <c r="L686" s="364">
        <f>IF($G686="","",IF($H686=1,ROUND($G686/23,0),IF($H686=3,ROUND($G686/12,0),IF($H686=5,$G686-ROUND($G686*10/11,0),IF($H686=8,$G686,0)))))</f>
        <v>0</v>
      </c>
      <c r="M686" s="364">
        <f>IF($G686="","",IF($H686=1,ROUND($G686/23,0),IF($H686=3,ROUND($G686/12,0),IF($H686=6,$G686,IF($H686=7,$G686-ROUND($G686*10/11,0),0)))))</f>
        <v>0</v>
      </c>
      <c r="N686" s="364">
        <f>IF($G686="","",K686+L686+M686)</f>
        <v>0</v>
      </c>
      <c r="O686" s="365" t="str">
        <f>IF($G686="","",IFERROR(VLOOKUP($D686&amp;"|"&amp;$E686,科目表!$A$5:$B$200,2,FALSE),"※未登録"))</f>
        <v>図書印刷費</v>
      </c>
      <c r="P686" s="359">
        <f>IF(OR($G686="",$C686=""),"",IF($B686="決算整理",13,MOD(MONTH($C686)-4,12)+1))</f>
        <v>12</v>
      </c>
      <c r="Q686" s="366" t="str">
        <f>IF($G686="","",TRIM(IF(J686+K686+L686+M686&lt;&gt;$G686,"按分不一致 ","")&amp;IF(O686="※未登録","科目未登録 ","")&amp;IF(OR($H686="",ISERROR(MATCH($H686,{1,2,3,4,5,6,7,8},0))),"経費区分? ","")&amp;IF($I686="","状態未設定 ","")&amp;IF(AND(OR($I686="確認済",$I686="未確認"),$B686="月例",OR($C686="",$C686&lt;DATE(年度+2018,4,1),$C686&gt;DATE(年度+2019,3,31))),"年度外の日付 ","")&amp;IF(AND(OR($I686="確認済",$I686="未確認"),O686="対象外"),"対象外の科目 ","")))</f>
        <v/>
      </c>
      <c r="R686" s="366" t="inlineStr">
        <is>
          <t>月例!717</t>
        </is>
      </c>
    </row>
    <row r="687">
      <c r="A687" s="359" t="n">
        <v>683</v>
      </c>
      <c r="B687" s="360" t="inlineStr">
        <is>
          <t>月例</t>
        </is>
      </c>
      <c r="C687" s="361" t="n">
        <v>45747</v>
      </c>
      <c r="D687" s="362" t="inlineStr">
        <is>
          <t>事務費</t>
        </is>
      </c>
      <c r="E687" s="362" t="inlineStr">
        <is>
          <t>事務用消耗品費</t>
        </is>
      </c>
      <c r="F687" s="362" t="inlineStr">
        <is>
          <t>キャパティE5 　FB-E4-CRN 7個　他</t>
        </is>
      </c>
      <c r="G687" s="363" t="n">
        <v>49633</v>
      </c>
      <c r="H687" s="360" t="n">
        <v>2</v>
      </c>
      <c r="I687" s="360" t="inlineStr">
        <is>
          <t>昨年実績</t>
        </is>
      </c>
      <c r="J687" s="364">
        <f>IF($G687="","",IF($H687=1,$G687-ROUND($G687*10/23,0)-2*ROUND($G687/23,0),IF($H687=2,$G687,0)))</f>
        <v>49633</v>
      </c>
      <c r="K687" s="364">
        <f>IF($G687="","",IF($H687=1,ROUND($G687*10/23,0),IF($H687=3,$G687-2*ROUND($G687/12,0),IF($H687=4,$G687,IF(OR($H687=5,$H687=7),ROUND($G687*10/11,0),0)))))</f>
        <v>0</v>
      </c>
      <c r="L687" s="364">
        <f>IF($G687="","",IF($H687=1,ROUND($G687/23,0),IF($H687=3,ROUND($G687/12,0),IF($H687=5,$G687-ROUND($G687*10/11,0),IF($H687=8,$G687,0)))))</f>
        <v>0</v>
      </c>
      <c r="M687" s="364">
        <f>IF($G687="","",IF($H687=1,ROUND($G687/23,0),IF($H687=3,ROUND($G687/12,0),IF($H687=6,$G687,IF($H687=7,$G687-ROUND($G687*10/11,0),0)))))</f>
        <v>0</v>
      </c>
      <c r="N687" s="364">
        <f>IF($G687="","",K687+L687+M687)</f>
        <v>0</v>
      </c>
      <c r="O687" s="365" t="str">
        <f>IF($G687="","",IFERROR(VLOOKUP($D687&amp;"|"&amp;$E687,科目表!$A$5:$B$200,2,FALSE),"※未登録"))</f>
        <v>事務用消耗品費</v>
      </c>
      <c r="P687" s="359">
        <f>IF(OR($G687="",$C687=""),"",IF($B687="決算整理",13,MOD(MONTH($C687)-4,12)+1))</f>
        <v>12</v>
      </c>
      <c r="Q687" s="366" t="str">
        <f>IF($G687="","",TRIM(IF(J687+K687+L687+M687&lt;&gt;$G687,"按分不一致 ","")&amp;IF(O687="※未登録","科目未登録 ","")&amp;IF(OR($H687="",ISERROR(MATCH($H687,{1,2,3,4,5,6,7,8},0))),"経費区分? ","")&amp;IF($I687="","状態未設定 ","")&amp;IF(AND(OR($I687="確認済",$I687="未確認"),$B687="月例",OR($C687="",$C687&lt;DATE(年度+2018,4,1),$C687&gt;DATE(年度+2019,3,31))),"年度外の日付 ","")&amp;IF(AND(OR($I687="確認済",$I687="未確認"),O687="対象外"),"対象外の科目 ","")))</f>
        <v/>
      </c>
      <c r="R687" s="366" t="inlineStr">
        <is>
          <t>月例!718</t>
        </is>
      </c>
    </row>
    <row r="688">
      <c r="A688" s="359" t="n">
        <v>684</v>
      </c>
      <c r="B688" s="360" t="inlineStr">
        <is>
          <t>月例</t>
        </is>
      </c>
      <c r="C688" s="361" t="n">
        <v>45001</v>
      </c>
      <c r="D688" s="362" t="inlineStr">
        <is>
          <t>事務費</t>
        </is>
      </c>
      <c r="E688" s="362" t="inlineStr">
        <is>
          <t>事務用消耗品費</t>
        </is>
      </c>
      <c r="F688" s="362" t="inlineStr">
        <is>
          <t>トナーカートリッジＬＰＢ３Ｔ２７　９本</t>
        </is>
      </c>
      <c r="G688" s="363" t="n">
        <v>48510</v>
      </c>
      <c r="H688" s="360" t="n">
        <v>3</v>
      </c>
      <c r="I688" s="360" t="inlineStr">
        <is>
          <t>昨年実績</t>
        </is>
      </c>
      <c r="J688" s="364">
        <f>IF($G688="","",IF($H688=1,$G688-ROUND($G688*10/23,0)-2*ROUND($G688/23,0),IF($H688=2,$G688,0)))</f>
        <v>0</v>
      </c>
      <c r="K688" s="364">
        <f>IF($G688="","",IF($H688=1,ROUND($G688*10/23,0),IF($H688=3,$G688-2*ROUND($G688/12,0),IF($H688=4,$G688,IF(OR($H688=5,$H688=7),ROUND($G688*10/11,0),0)))))</f>
        <v>40424</v>
      </c>
      <c r="L688" s="364">
        <f>IF($G688="","",IF($H688=1,ROUND($G688/23,0),IF($H688=3,ROUND($G688/12,0),IF($H688=5,$G688-ROUND($G688*10/11,0),IF($H688=8,$G688,0)))))</f>
        <v>4043</v>
      </c>
      <c r="M688" s="364">
        <f>IF($G688="","",IF($H688=1,ROUND($G688/23,0),IF($H688=3,ROUND($G688/12,0),IF($H688=6,$G688,IF($H688=7,$G688-ROUND($G688*10/11,0),0)))))</f>
        <v>4043</v>
      </c>
      <c r="N688" s="364">
        <f>IF($G688="","",K688+L688+M688)</f>
        <v>48510</v>
      </c>
      <c r="O688" s="365" t="str">
        <f>IF($G688="","",IFERROR(VLOOKUP($D688&amp;"|"&amp;$E688,科目表!$A$5:$B$200,2,FALSE),"※未登録"))</f>
        <v>事務用消耗品費</v>
      </c>
      <c r="P688" s="359">
        <f>IF(OR($G688="",$C688=""),"",IF($B688="決算整理",13,MOD(MONTH($C688)-4,12)+1))</f>
        <v>12</v>
      </c>
      <c r="Q688" s="366" t="str">
        <f>IF($G688="","",TRIM(IF(J688+K688+L688+M688&lt;&gt;$G688,"按分不一致 ","")&amp;IF(O688="※未登録","科目未登録 ","")&amp;IF(OR($H688="",ISERROR(MATCH($H688,{1,2,3,4,5,6,7,8},0))),"経費区分? ","")&amp;IF($I688="","状態未設定 ","")&amp;IF(AND(OR($I688="確認済",$I688="未確認"),$B688="月例",OR($C688="",$C688&lt;DATE(年度+2018,4,1),$C688&gt;DATE(年度+2019,3,31))),"年度外の日付 ","")&amp;IF(AND(OR($I688="確認済",$I688="未確認"),O688="対象外"),"対象外の科目 ","")))</f>
        <v/>
      </c>
      <c r="R688" s="366" t="inlineStr">
        <is>
          <t>月例!719</t>
        </is>
      </c>
    </row>
    <row r="689">
      <c r="A689" s="359" t="n">
        <v>685</v>
      </c>
      <c r="B689" s="360" t="inlineStr">
        <is>
          <t>月例</t>
        </is>
      </c>
      <c r="C689" s="361" t="n">
        <v>45016</v>
      </c>
      <c r="D689" s="362" t="inlineStr">
        <is>
          <t>器具及び備品</t>
        </is>
      </c>
      <c r="E689" s="362" t="n"/>
      <c r="F689" s="362" t="inlineStr">
        <is>
          <t>個人番号管理システム端末 ハードウェア</t>
        </is>
      </c>
      <c r="G689" s="363" t="n">
        <v>127710</v>
      </c>
      <c r="H689" s="360" t="n">
        <v>2</v>
      </c>
      <c r="I689" s="360" t="inlineStr">
        <is>
          <t>昨年実績</t>
        </is>
      </c>
      <c r="J689" s="364">
        <f>IF($G689="","",IF($H689=1,$G689-ROUND($G689*10/23,0)-2*ROUND($G689/23,0),IF($H689=2,$G689,0)))</f>
        <v>127710</v>
      </c>
      <c r="K689" s="364">
        <f>IF($G689="","",IF($H689=1,ROUND($G689*10/23,0),IF($H689=3,$G689-2*ROUND($G689/12,0),IF($H689=4,$G689,IF(OR($H689=5,$H689=7),ROUND($G689*10/11,0),0)))))</f>
        <v>0</v>
      </c>
      <c r="L689" s="364">
        <f>IF($G689="","",IF($H689=1,ROUND($G689/23,0),IF($H689=3,ROUND($G689/12,0),IF($H689=5,$G689-ROUND($G689*10/11,0),IF($H689=8,$G689,0)))))</f>
        <v>0</v>
      </c>
      <c r="M689" s="364">
        <f>IF($G689="","",IF($H689=1,ROUND($G689/23,0),IF($H689=3,ROUND($G689/12,0),IF($H689=6,$G689,IF($H689=7,$G689-ROUND($G689*10/11,0),0)))))</f>
        <v>0</v>
      </c>
      <c r="N689" s="364">
        <f>IF($G689="","",K689+L689+M689)</f>
        <v>0</v>
      </c>
      <c r="O689" s="365" t="str">
        <f>IF($G689="","",IFERROR(VLOOKUP($D689&amp;"|"&amp;$E689,科目表!$A$5:$B$200,2,FALSE),"※未登録"))</f>
        <v>対象外</v>
      </c>
      <c r="P689" s="359">
        <f>IF(OR($G689="",$C689=""),"",IF($B689="決算整理",13,MOD(MONTH($C689)-4,12)+1))</f>
        <v>12</v>
      </c>
      <c r="Q689" s="366" t="str">
        <f>IF($G689="","",TRIM(IF(J689+K689+L689+M689&lt;&gt;$G689,"按分不一致 ","")&amp;IF(O689="※未登録","科目未登録 ","")&amp;IF(OR($H689="",ISERROR(MATCH($H689,{1,2,3,4,5,6,7,8},0))),"経費区分? ","")&amp;IF($I689="","状態未設定 ","")&amp;IF(AND(OR($I689="確認済",$I689="未確認"),$B689="月例",OR($C689="",$C689&lt;DATE(年度+2018,4,1),$C689&gt;DATE(年度+2019,3,31))),"年度外の日付 ","")&amp;IF(AND(OR($I689="確認済",$I689="未確認"),O689="対象外"),"対象外の科目 ","")))</f>
        <v/>
      </c>
      <c r="R689" s="366" t="inlineStr">
        <is>
          <t>月例!720</t>
        </is>
      </c>
    </row>
    <row r="690">
      <c r="A690" s="359" t="n">
        <v>686</v>
      </c>
      <c r="B690" s="360" t="inlineStr">
        <is>
          <t>月例</t>
        </is>
      </c>
      <c r="C690" s="361" t="n">
        <v>45016</v>
      </c>
      <c r="D690" s="362" t="inlineStr">
        <is>
          <t>事務費</t>
        </is>
      </c>
      <c r="E690" s="362" t="inlineStr">
        <is>
          <t>事務用消耗品費</t>
        </is>
      </c>
      <c r="F690" s="362" t="inlineStr">
        <is>
          <t>個人番号管理システム端末 ソフトウェアほか</t>
        </is>
      </c>
      <c r="G690" s="363" t="n">
        <v>61270</v>
      </c>
      <c r="H690" s="360" t="n">
        <v>2</v>
      </c>
      <c r="I690" s="360" t="inlineStr">
        <is>
          <t>昨年実績</t>
        </is>
      </c>
      <c r="J690" s="364">
        <f>IF($G690="","",IF($H690=1,$G690-ROUND($G690*10/23,0)-2*ROUND($G690/23,0),IF($H690=2,$G690,0)))</f>
        <v>61270</v>
      </c>
      <c r="K690" s="364">
        <f>IF($G690="","",IF($H690=1,ROUND($G690*10/23,0),IF($H690=3,$G690-2*ROUND($G690/12,0),IF($H690=4,$G690,IF(OR($H690=5,$H690=7),ROUND($G690*10/11,0),0)))))</f>
        <v>0</v>
      </c>
      <c r="L690" s="364">
        <f>IF($G690="","",IF($H690=1,ROUND($G690/23,0),IF($H690=3,ROUND($G690/12,0),IF($H690=5,$G690-ROUND($G690*10/11,0),IF($H690=8,$G690,0)))))</f>
        <v>0</v>
      </c>
      <c r="M690" s="364">
        <f>IF($G690="","",IF($H690=1,ROUND($G690/23,0),IF($H690=3,ROUND($G690/12,0),IF($H690=6,$G690,IF($H690=7,$G690-ROUND($G690*10/11,0),0)))))</f>
        <v>0</v>
      </c>
      <c r="N690" s="364">
        <f>IF($G690="","",K690+L690+M690)</f>
        <v>0</v>
      </c>
      <c r="O690" s="365" t="str">
        <f>IF($G690="","",IFERROR(VLOOKUP($D690&amp;"|"&amp;$E690,科目表!$A$5:$B$200,2,FALSE),"※未登録"))</f>
        <v>事務用消耗品費</v>
      </c>
      <c r="P690" s="359">
        <f>IF(OR($G690="",$C690=""),"",IF($B690="決算整理",13,MOD(MONTH($C690)-4,12)+1))</f>
        <v>12</v>
      </c>
      <c r="Q690" s="366" t="str">
        <f>IF($G690="","",TRIM(IF(J690+K690+L690+M690&lt;&gt;$G690,"按分不一致 ","")&amp;IF(O690="※未登録","科目未登録 ","")&amp;IF(OR($H690="",ISERROR(MATCH($H690,{1,2,3,4,5,6,7,8},0))),"経費区分? ","")&amp;IF($I690="","状態未設定 ","")&amp;IF(AND(OR($I690="確認済",$I690="未確認"),$B690="月例",OR($C690="",$C690&lt;DATE(年度+2018,4,1),$C690&gt;DATE(年度+2019,3,31))),"年度外の日付 ","")&amp;IF(AND(OR($I690="確認済",$I690="未確認"),O690="対象外"),"対象外の科目 ","")))</f>
        <v/>
      </c>
      <c r="R690" s="366" t="inlineStr">
        <is>
          <t>月例!721</t>
        </is>
      </c>
    </row>
    <row r="691">
      <c r="A691" s="359" t="n">
        <v>687</v>
      </c>
      <c r="B691" s="360" t="inlineStr">
        <is>
          <t>月例</t>
        </is>
      </c>
      <c r="C691" s="361" t="n">
        <v>45016</v>
      </c>
      <c r="D691" s="362" t="inlineStr">
        <is>
          <t>委託費</t>
        </is>
      </c>
      <c r="E691" s="362" t="n"/>
      <c r="F691" s="362" t="inlineStr">
        <is>
          <t>個人番号管理システム端末 搬入・調整</t>
        </is>
      </c>
      <c r="G691" s="363" t="n">
        <v>143000</v>
      </c>
      <c r="H691" s="360" t="n">
        <v>2</v>
      </c>
      <c r="I691" s="360" t="inlineStr">
        <is>
          <t>昨年実績</t>
        </is>
      </c>
      <c r="J691" s="364">
        <f>IF($G691="","",IF($H691=1,$G691-ROUND($G691*10/23,0)-2*ROUND($G691/23,0),IF($H691=2,$G691,0)))</f>
        <v>143000</v>
      </c>
      <c r="K691" s="364">
        <f>IF($G691="","",IF($H691=1,ROUND($G691*10/23,0),IF($H691=3,$G691-2*ROUND($G691/12,0),IF($H691=4,$G691,IF(OR($H691=5,$H691=7),ROUND($G691*10/11,0),0)))))</f>
        <v>0</v>
      </c>
      <c r="L691" s="364">
        <f>IF($G691="","",IF($H691=1,ROUND($G691/23,0),IF($H691=3,ROUND($G691/12,0),IF($H691=5,$G691-ROUND($G691*10/11,0),IF($H691=8,$G691,0)))))</f>
        <v>0</v>
      </c>
      <c r="M691" s="364">
        <f>IF($G691="","",IF($H691=1,ROUND($G691/23,0),IF($H691=3,ROUND($G691/12,0),IF($H691=6,$G691,IF($H691=7,$G691-ROUND($G691*10/11,0),0)))))</f>
        <v>0</v>
      </c>
      <c r="N691" s="364">
        <f>IF($G691="","",K691+L691+M691)</f>
        <v>0</v>
      </c>
      <c r="O691" s="365" t="str">
        <f>IF($G691="","",IFERROR(VLOOKUP($D691&amp;"|"&amp;$E691,科目表!$A$5:$B$200,2,FALSE),"※未登録"))</f>
        <v>委託費</v>
      </c>
      <c r="P691" s="359">
        <f>IF(OR($G691="",$C691=""),"",IF($B691="決算整理",13,MOD(MONTH($C691)-4,12)+1))</f>
        <v>12</v>
      </c>
      <c r="Q691" s="366" t="str">
        <f>IF($G691="","",TRIM(IF(J691+K691+L691+M691&lt;&gt;$G691,"按分不一致 ","")&amp;IF(O691="※未登録","科目未登録 ","")&amp;IF(OR($H691="",ISERROR(MATCH($H691,{1,2,3,4,5,6,7,8},0))),"経費区分? ","")&amp;IF($I691="","状態未設定 ","")&amp;IF(AND(OR($I691="確認済",$I691="未確認"),$B691="月例",OR($C691="",$C691&lt;DATE(年度+2018,4,1),$C691&gt;DATE(年度+2019,3,31))),"年度外の日付 ","")&amp;IF(AND(OR($I691="確認済",$I691="未確認"),O691="対象外"),"対象外の科目 ","")))</f>
        <v/>
      </c>
      <c r="R691" s="366" t="inlineStr">
        <is>
          <t>月例!722</t>
        </is>
      </c>
    </row>
    <row r="692">
      <c r="A692" s="359" t="n">
        <v>688</v>
      </c>
      <c r="B692" s="360" t="inlineStr">
        <is>
          <t>月例</t>
        </is>
      </c>
      <c r="C692" s="361" t="n">
        <v>46112</v>
      </c>
      <c r="D692" s="362" t="inlineStr">
        <is>
          <t>事務費</t>
        </is>
      </c>
      <c r="E692" s="362" t="inlineStr">
        <is>
          <t>図書印刷費</t>
        </is>
      </c>
      <c r="F692" s="362" t="inlineStr">
        <is>
          <t>資格情報通知書封筒　３，０００枚</t>
        </is>
      </c>
      <c r="G692" s="363" t="n">
        <v>99000</v>
      </c>
      <c r="H692" s="360" t="n">
        <v>2</v>
      </c>
      <c r="I692" s="360" t="inlineStr">
        <is>
          <t>昨年実績</t>
        </is>
      </c>
      <c r="J692" s="364">
        <f>IF($G692="","",IF($H692=1,$G692-ROUND($G692*10/23,0)-2*ROUND($G692/23,0),IF($H692=2,$G692,0)))</f>
        <v>99000</v>
      </c>
      <c r="K692" s="364">
        <f>IF($G692="","",IF($H692=1,ROUND($G692*10/23,0),IF($H692=3,$G692-2*ROUND($G692/12,0),IF($H692=4,$G692,IF(OR($H692=5,$H692=7),ROUND($G692*10/11,0),0)))))</f>
        <v>0</v>
      </c>
      <c r="L692" s="364">
        <f>IF($G692="","",IF($H692=1,ROUND($G692/23,0),IF($H692=3,ROUND($G692/12,0),IF($H692=5,$G692-ROUND($G692*10/11,0),IF($H692=8,$G692,0)))))</f>
        <v>0</v>
      </c>
      <c r="M692" s="364">
        <f>IF($G692="","",IF($H692=1,ROUND($G692/23,0),IF($H692=3,ROUND($G692/12,0),IF($H692=6,$G692,IF($H692=7,$G692-ROUND($G692*10/11,0),0)))))</f>
        <v>0</v>
      </c>
      <c r="N692" s="364">
        <f>IF($G692="","",K692+L692+M692)</f>
        <v>0</v>
      </c>
      <c r="O692" s="365" t="str">
        <f>IF($G692="","",IFERROR(VLOOKUP($D692&amp;"|"&amp;$E692,科目表!$A$5:$B$200,2,FALSE),"※未登録"))</f>
        <v>図書印刷費</v>
      </c>
      <c r="P692" s="359">
        <f>IF(OR($G692="",$C692=""),"",IF($B692="決算整理",13,MOD(MONTH($C692)-4,12)+1))</f>
        <v>12</v>
      </c>
      <c r="Q692" s="366" t="str">
        <f>IF($G692="","",TRIM(IF(J692+K692+L692+M692&lt;&gt;$G692,"按分不一致 ","")&amp;IF(O692="※未登録","科目未登録 ","")&amp;IF(OR($H692="",ISERROR(MATCH($H692,{1,2,3,4,5,6,7,8},0))),"経費区分? ","")&amp;IF($I692="","状態未設定 ","")&amp;IF(AND(OR($I692="確認済",$I692="未確認"),$B692="月例",OR($C692="",$C692&lt;DATE(年度+2018,4,1),$C692&gt;DATE(年度+2019,3,31))),"年度外の日付 ","")&amp;IF(AND(OR($I692="確認済",$I692="未確認"),O692="対象外"),"対象外の科目 ","")))</f>
        <v/>
      </c>
      <c r="R692" s="366" t="inlineStr">
        <is>
          <t>月例!723</t>
        </is>
      </c>
    </row>
    <row r="693">
      <c r="A693" s="359" t="n">
        <v>689</v>
      </c>
      <c r="B693" s="360" t="inlineStr">
        <is>
          <t>月例</t>
        </is>
      </c>
      <c r="C693" s="361" t="n">
        <v>45016</v>
      </c>
      <c r="D693" s="362" t="inlineStr">
        <is>
          <t>事務費</t>
        </is>
      </c>
      <c r="E693" s="362" t="inlineStr">
        <is>
          <t>図書印刷費</t>
        </is>
      </c>
      <c r="F693" s="362" t="inlineStr">
        <is>
          <t>厚生法規総覧追録　５７２５－５７３５号</t>
        </is>
      </c>
      <c r="G693" s="363" t="n">
        <v>33154</v>
      </c>
      <c r="H693" s="360" t="n">
        <v>2</v>
      </c>
      <c r="I693" s="360" t="inlineStr">
        <is>
          <t>昨年実績</t>
        </is>
      </c>
      <c r="J693" s="364">
        <f>IF($G693="","",IF($H693=1,$G693-ROUND($G693*10/23,0)-2*ROUND($G693/23,0),IF($H693=2,$G693,0)))</f>
        <v>33154</v>
      </c>
      <c r="K693" s="364">
        <f>IF($G693="","",IF($H693=1,ROUND($G693*10/23,0),IF($H693=3,$G693-2*ROUND($G693/12,0),IF($H693=4,$G693,IF(OR($H693=5,$H693=7),ROUND($G693*10/11,0),0)))))</f>
        <v>0</v>
      </c>
      <c r="L693" s="364">
        <f>IF($G693="","",IF($H693=1,ROUND($G693/23,0),IF($H693=3,ROUND($G693/12,0),IF($H693=5,$G693-ROUND($G693*10/11,0),IF($H693=8,$G693,0)))))</f>
        <v>0</v>
      </c>
      <c r="M693" s="364">
        <f>IF($G693="","",IF($H693=1,ROUND($G693/23,0),IF($H693=3,ROUND($G693/12,0),IF($H693=6,$G693,IF($H693=7,$G693-ROUND($G693*10/11,0),0)))))</f>
        <v>0</v>
      </c>
      <c r="N693" s="364">
        <f>IF($G693="","",K693+L693+M693)</f>
        <v>0</v>
      </c>
      <c r="O693" s="365" t="str">
        <f>IF($G693="","",IFERROR(VLOOKUP($D693&amp;"|"&amp;$E693,科目表!$A$5:$B$200,2,FALSE),"※未登録"))</f>
        <v>図書印刷費</v>
      </c>
      <c r="P693" s="359">
        <f>IF(OR($G693="",$C693=""),"",IF($B693="決算整理",13,MOD(MONTH($C693)-4,12)+1))</f>
        <v>12</v>
      </c>
      <c r="Q693" s="366" t="str">
        <f>IF($G693="","",TRIM(IF(J693+K693+L693+M693&lt;&gt;$G693,"按分不一致 ","")&amp;IF(O693="※未登録","科目未登録 ","")&amp;IF(OR($H693="",ISERROR(MATCH($H693,{1,2,3,4,5,6,7,8},0))),"経費区分? ","")&amp;IF($I693="","状態未設定 ","")&amp;IF(AND(OR($I693="確認済",$I693="未確認"),$B693="月例",OR($C693="",$C693&lt;DATE(年度+2018,4,1),$C693&gt;DATE(年度+2019,3,31))),"年度外の日付 ","")&amp;IF(AND(OR($I693="確認済",$I693="未確認"),O693="対象外"),"対象外の科目 ","")))</f>
        <v/>
      </c>
      <c r="R693" s="366" t="inlineStr">
        <is>
          <t>月例!724</t>
        </is>
      </c>
    </row>
    <row r="694">
      <c r="A694" s="359" t="n">
        <v>690</v>
      </c>
      <c r="B694" s="360" t="inlineStr">
        <is>
          <t>決算整理</t>
        </is>
      </c>
      <c r="C694" s="361" t="n">
        <v>43951</v>
      </c>
      <c r="D694" s="362" t="inlineStr">
        <is>
          <t>委託費</t>
        </is>
      </c>
      <c r="E694" s="362" t="n"/>
      <c r="F694" s="362" t="inlineStr">
        <is>
          <t>人・給システム、庶務事務システム及び端末の使用料（短期分）</t>
        </is>
      </c>
      <c r="G694" s="363" t="n">
        <v>17630</v>
      </c>
      <c r="H694" s="360" t="n">
        <v>2</v>
      </c>
      <c r="I694" s="360" t="inlineStr">
        <is>
          <t>昨年実績</t>
        </is>
      </c>
      <c r="J694" s="364">
        <f>IF($G694="","",IF($H694=1,$G694-ROUND($G694*10/23,0)-2*ROUND($G694/23,0),IF($H694=2,$G694,0)))</f>
        <v>17630</v>
      </c>
      <c r="K694" s="364">
        <f>IF($G694="","",IF($H694=1,ROUND($G694*10/23,0),IF($H694=3,$G694-2*ROUND($G694/12,0),IF($H694=4,$G694,IF(OR($H694=5,$H694=7),ROUND($G694*10/11,0),0)))))</f>
        <v>0</v>
      </c>
      <c r="L694" s="364">
        <f>IF($G694="","",IF($H694=1,ROUND($G694/23,0),IF($H694=3,ROUND($G694/12,0),IF($H694=5,$G694-ROUND($G694*10/11,0),IF($H694=8,$G694,0)))))</f>
        <v>0</v>
      </c>
      <c r="M694" s="364">
        <f>IF($G694="","",IF($H694=1,ROUND($G694/23,0),IF($H694=3,ROUND($G694/12,0),IF($H694=6,$G694,IF($H694=7,$G694-ROUND($G694*10/11,0),0)))))</f>
        <v>0</v>
      </c>
      <c r="N694" s="364">
        <f>IF($G694="","",K694+L694+M694)</f>
        <v>0</v>
      </c>
      <c r="O694" s="365" t="str">
        <f>IF($G694="","",IFERROR(VLOOKUP($D694&amp;"|"&amp;$E694,科目表!$A$5:$B$200,2,FALSE),"※未登録"))</f>
        <v>委託費</v>
      </c>
      <c r="P694" s="359">
        <f>IF(OR($G694="",$C694=""),"",IF($B694="決算整理",13,MOD(MONTH($C694)-4,12)+1))</f>
        <v>13</v>
      </c>
      <c r="Q694" s="366" t="str">
        <f>IF($G694="","",TRIM(IF(J694+K694+L694+M694&lt;&gt;$G694,"按分不一致 ","")&amp;IF(O694="※未登録","科目未登録 ","")&amp;IF(OR($H694="",ISERROR(MATCH($H694,{1,2,3,4,5,6,7,8},0))),"経費区分? ","")&amp;IF($I694="","状態未設定 ","")&amp;IF(AND(OR($I694="確認済",$I694="未確認"),$B694="月例",OR($C694="",$C694&lt;DATE(年度+2018,4,1),$C694&gt;DATE(年度+2019,3,31))),"年度外の日付 ","")&amp;IF(AND(OR($I694="確認済",$I694="未確認"),O694="対象外"),"対象外の科目 ","")))</f>
        <v/>
      </c>
      <c r="R694" s="366" t="inlineStr">
        <is>
          <t>決算整理!5</t>
        </is>
      </c>
    </row>
    <row r="695">
      <c r="A695" s="359" t="n">
        <v>691</v>
      </c>
      <c r="B695" s="360" t="inlineStr">
        <is>
          <t>決算整理</t>
        </is>
      </c>
      <c r="C695" s="361" t="n">
        <v>44666</v>
      </c>
      <c r="D695" s="362" t="inlineStr">
        <is>
          <t>事務費</t>
        </is>
      </c>
      <c r="E695" s="362" t="inlineStr">
        <is>
          <t>図書印刷費</t>
        </is>
      </c>
      <c r="F695" s="362" t="inlineStr">
        <is>
          <t>窓付角形封筒（のり付）１，０００枚ほか</t>
        </is>
      </c>
      <c r="G695" s="363" t="n">
        <v>149600</v>
      </c>
      <c r="H695" s="360" t="n">
        <v>3</v>
      </c>
      <c r="I695" s="360" t="inlineStr">
        <is>
          <t>昨年実績</t>
        </is>
      </c>
      <c r="J695" s="364">
        <f>IF($G695="","",IF($H695=1,$G695-ROUND($G695*10/23,0)-2*ROUND($G695/23,0),IF($H695=2,$G695,0)))</f>
        <v>0</v>
      </c>
      <c r="K695" s="364">
        <f>IF($G695="","",IF($H695=1,ROUND($G695*10/23,0),IF($H695=3,$G695-2*ROUND($G695/12,0),IF($H695=4,$G695,IF(OR($H695=5,$H695=7),ROUND($G695*10/11,0),0)))))</f>
        <v>124666</v>
      </c>
      <c r="L695" s="364">
        <f>IF($G695="","",IF($H695=1,ROUND($G695/23,0),IF($H695=3,ROUND($G695/12,0),IF($H695=5,$G695-ROUND($G695*10/11,0),IF($H695=8,$G695,0)))))</f>
        <v>12467</v>
      </c>
      <c r="M695" s="364">
        <f>IF($G695="","",IF($H695=1,ROUND($G695/23,0),IF($H695=3,ROUND($G695/12,0),IF($H695=6,$G695,IF($H695=7,$G695-ROUND($G695*10/11,0),0)))))</f>
        <v>12467</v>
      </c>
      <c r="N695" s="364">
        <f>IF($G695="","",K695+L695+M695)</f>
        <v>149600</v>
      </c>
      <c r="O695" s="365" t="str">
        <f>IF($G695="","",IFERROR(VLOOKUP($D695&amp;"|"&amp;$E695,科目表!$A$5:$B$200,2,FALSE),"※未登録"))</f>
        <v>図書印刷費</v>
      </c>
      <c r="P695" s="359">
        <f>IF(OR($G695="",$C695=""),"",IF($B695="決算整理",13,MOD(MONTH($C695)-4,12)+1))</f>
        <v>13</v>
      </c>
      <c r="Q695" s="366" t="str">
        <f>IF($G695="","",TRIM(IF(J695+K695+L695+M695&lt;&gt;$G695,"按分不一致 ","")&amp;IF(O695="※未登録","科目未登録 ","")&amp;IF(OR($H695="",ISERROR(MATCH($H695,{1,2,3,4,5,6,7,8},0))),"経費区分? ","")&amp;IF($I695="","状態未設定 ","")&amp;IF(AND(OR($I695="確認済",$I695="未確認"),$B695="月例",OR($C695="",$C695&lt;DATE(年度+2018,4,1),$C695&gt;DATE(年度+2019,3,31))),"年度外の日付 ","")&amp;IF(AND(OR($I695="確認済",$I695="未確認"),O695="対象外"),"対象外の科目 ","")))</f>
        <v/>
      </c>
      <c r="R695" s="366" t="inlineStr">
        <is>
          <t>決算整理!6</t>
        </is>
      </c>
    </row>
    <row r="696">
      <c r="A696" s="359" t="n">
        <v>692</v>
      </c>
      <c r="B696" s="360" t="inlineStr">
        <is>
          <t>決算整理</t>
        </is>
      </c>
      <c r="C696" s="361" t="n">
        <v>45777</v>
      </c>
      <c r="D696" s="362" t="inlineStr">
        <is>
          <t>事務費</t>
        </is>
      </c>
      <c r="E696" s="362" t="inlineStr">
        <is>
          <t>図書印刷費</t>
        </is>
      </c>
      <c r="F696" s="362" t="inlineStr">
        <is>
          <t>厚生法規総覧追録　５９６６－５９７５号</t>
        </is>
      </c>
      <c r="G696" s="363" t="n">
        <v>33154</v>
      </c>
      <c r="H696" s="360" t="n">
        <v>2</v>
      </c>
      <c r="I696" s="360" t="inlineStr">
        <is>
          <t>昨年実績</t>
        </is>
      </c>
      <c r="J696" s="364">
        <f>IF($G696="","",IF($H696=1,$G696-ROUND($G696*10/23,0)-2*ROUND($G696/23,0),IF($H696=2,$G696,0)))</f>
        <v>33154</v>
      </c>
      <c r="K696" s="364">
        <f>IF($G696="","",IF($H696=1,ROUND($G696*10/23,0),IF($H696=3,$G696-2*ROUND($G696/12,0),IF($H696=4,$G696,IF(OR($H696=5,$H696=7),ROUND($G696*10/11,0),0)))))</f>
        <v>0</v>
      </c>
      <c r="L696" s="364">
        <f>IF($G696="","",IF($H696=1,ROUND($G696/23,0),IF($H696=3,ROUND($G696/12,0),IF($H696=5,$G696-ROUND($G696*10/11,0),IF($H696=8,$G696,0)))))</f>
        <v>0</v>
      </c>
      <c r="M696" s="364">
        <f>IF($G696="","",IF($H696=1,ROUND($G696/23,0),IF($H696=3,ROUND($G696/12,0),IF($H696=6,$G696,IF($H696=7,$G696-ROUND($G696*10/11,0),0)))))</f>
        <v>0</v>
      </c>
      <c r="N696" s="364">
        <f>IF($G696="","",K696+L696+M696)</f>
        <v>0</v>
      </c>
      <c r="O696" s="365" t="str">
        <f>IF($G696="","",IFERROR(VLOOKUP($D696&amp;"|"&amp;$E696,科目表!$A$5:$B$200,2,FALSE),"※未登録"))</f>
        <v>図書印刷費</v>
      </c>
      <c r="P696" s="359">
        <f>IF(OR($G696="",$C696=""),"",IF($B696="決算整理",13,MOD(MONTH($C696)-4,12)+1))</f>
        <v>13</v>
      </c>
      <c r="Q696" s="366" t="str">
        <f>IF($G696="","",TRIM(IF(J696+K696+L696+M696&lt;&gt;$G696,"按分不一致 ","")&amp;IF(O696="※未登録","科目未登録 ","")&amp;IF(OR($H696="",ISERROR(MATCH($H696,{1,2,3,4,5,6,7,8},0))),"経費区分? ","")&amp;IF($I696="","状態未設定 ","")&amp;IF(AND(OR($I696="確認済",$I696="未確認"),$B696="月例",OR($C696="",$C696&lt;DATE(年度+2018,4,1),$C696&gt;DATE(年度+2019,3,31))),"年度外の日付 ","")&amp;IF(AND(OR($I696="確認済",$I696="未確認"),O696="対象外"),"対象外の科目 ","")))</f>
        <v/>
      </c>
      <c r="R696" s="366" t="inlineStr">
        <is>
          <t>決算整理!7</t>
        </is>
      </c>
    </row>
    <row r="697">
      <c r="A697" s="359" t="n">
        <v>693</v>
      </c>
      <c r="B697" s="360" t="inlineStr">
        <is>
          <t>決算整理</t>
        </is>
      </c>
      <c r="C697" s="361" t="n">
        <v>45777</v>
      </c>
      <c r="D697" s="362" t="inlineStr">
        <is>
          <t>事務費</t>
        </is>
      </c>
      <c r="E697" s="362" t="inlineStr">
        <is>
          <t>図書印刷費</t>
        </is>
      </c>
      <c r="F697" s="362" t="inlineStr">
        <is>
          <t>長３封筒　４，０００枚</t>
        </is>
      </c>
      <c r="G697" s="363" t="n">
        <v>48400</v>
      </c>
      <c r="H697" s="360" t="n">
        <v>2</v>
      </c>
      <c r="I697" s="360" t="inlineStr">
        <is>
          <t>昨年実績</t>
        </is>
      </c>
      <c r="J697" s="364">
        <f>IF($G697="","",IF($H697=1,$G697-ROUND($G697*10/23,0)-2*ROUND($G697/23,0),IF($H697=2,$G697,0)))</f>
        <v>48400</v>
      </c>
      <c r="K697" s="364">
        <f>IF($G697="","",IF($H697=1,ROUND($G697*10/23,0),IF($H697=3,$G697-2*ROUND($G697/12,0),IF($H697=4,$G697,IF(OR($H697=5,$H697=7),ROUND($G697*10/11,0),0)))))</f>
        <v>0</v>
      </c>
      <c r="L697" s="364">
        <f>IF($G697="","",IF($H697=1,ROUND($G697/23,0),IF($H697=3,ROUND($G697/12,0),IF($H697=5,$G697-ROUND($G697*10/11,0),IF($H697=8,$G697,0)))))</f>
        <v>0</v>
      </c>
      <c r="M697" s="364">
        <f>IF($G697="","",IF($H697=1,ROUND($G697/23,0),IF($H697=3,ROUND($G697/12,0),IF($H697=6,$G697,IF($H697=7,$G697-ROUND($G697*10/11,0),0)))))</f>
        <v>0</v>
      </c>
      <c r="N697" s="364">
        <f>IF($G697="","",K697+L697+M697)</f>
        <v>0</v>
      </c>
      <c r="O697" s="365" t="str">
        <f>IF($G697="","",IFERROR(VLOOKUP($D697&amp;"|"&amp;$E697,科目表!$A$5:$B$200,2,FALSE),"※未登録"))</f>
        <v>図書印刷費</v>
      </c>
      <c r="P697" s="359">
        <f>IF(OR($G697="",$C697=""),"",IF($B697="決算整理",13,MOD(MONTH($C697)-4,12)+1))</f>
        <v>13</v>
      </c>
      <c r="Q697" s="366" t="str">
        <f>IF($G697="","",TRIM(IF(J697+K697+L697+M697&lt;&gt;$G697,"按分不一致 ","")&amp;IF(O697="※未登録","科目未登録 ","")&amp;IF(OR($H697="",ISERROR(MATCH($H697,{1,2,3,4,5,6,7,8},0))),"経費区分? ","")&amp;IF($I697="","状態未設定 ","")&amp;IF(AND(OR($I697="確認済",$I697="未確認"),$B697="月例",OR($C697="",$C697&lt;DATE(年度+2018,4,1),$C697&gt;DATE(年度+2019,3,31))),"年度外の日付 ","")&amp;IF(AND(OR($I697="確認済",$I697="未確認"),O697="対象外"),"対象外の科目 ","")))</f>
        <v/>
      </c>
      <c r="R697" s="366" t="inlineStr">
        <is>
          <t>決算整理!8</t>
        </is>
      </c>
    </row>
    <row r="698">
      <c r="A698" s="359" t="n">
        <v>694</v>
      </c>
      <c r="B698" s="360" t="inlineStr">
        <is>
          <t>決算整理</t>
        </is>
      </c>
      <c r="C698" s="361" t="n">
        <v>46127</v>
      </c>
      <c r="D698" s="362" t="inlineStr">
        <is>
          <t>委託費</t>
        </is>
      </c>
      <c r="E698" s="362" t="n"/>
      <c r="F698" s="362" t="inlineStr">
        <is>
          <t>個別システム保守料（令７年度）短期分</t>
        </is>
      </c>
      <c r="G698" s="363" t="n">
        <v>360360</v>
      </c>
      <c r="H698" s="360" t="n">
        <v>2</v>
      </c>
      <c r="I698" s="360" t="inlineStr">
        <is>
          <t>昨年実績</t>
        </is>
      </c>
      <c r="J698" s="364">
        <f>IF($G698="","",IF($H698=1,$G698-ROUND($G698*10/23,0)-2*ROUND($G698/23,0),IF($H698=2,$G698,0)))</f>
        <v>360360</v>
      </c>
      <c r="K698" s="364">
        <f>IF($G698="","",IF($H698=1,ROUND($G698*10/23,0),IF($H698=3,$G698-2*ROUND($G698/12,0),IF($H698=4,$G698,IF(OR($H698=5,$H698=7),ROUND($G698*10/11,0),0)))))</f>
        <v>0</v>
      </c>
      <c r="L698" s="364">
        <f>IF($G698="","",IF($H698=1,ROUND($G698/23,0),IF($H698=3,ROUND($G698/12,0),IF($H698=5,$G698-ROUND($G698*10/11,0),IF($H698=8,$G698,0)))))</f>
        <v>0</v>
      </c>
      <c r="M698" s="364">
        <f>IF($G698="","",IF($H698=1,ROUND($G698/23,0),IF($H698=3,ROUND($G698/12,0),IF($H698=6,$G698,IF($H698=7,$G698-ROUND($G698*10/11,0),0)))))</f>
        <v>0</v>
      </c>
      <c r="N698" s="364">
        <f>IF($G698="","",K698+L698+M698)</f>
        <v>0</v>
      </c>
      <c r="O698" s="365" t="str">
        <f>IF($G698="","",IFERROR(VLOOKUP($D698&amp;"|"&amp;$E698,科目表!$A$5:$B$200,2,FALSE),"※未登録"))</f>
        <v>委託費</v>
      </c>
      <c r="P698" s="359">
        <f>IF(OR($G698="",$C698=""),"",IF($B698="決算整理",13,MOD(MONTH($C698)-4,12)+1))</f>
        <v>13</v>
      </c>
      <c r="Q698" s="366" t="str">
        <f>IF($G698="","",TRIM(IF(J698+K698+L698+M698&lt;&gt;$G698,"按分不一致 ","")&amp;IF(O698="※未登録","科目未登録 ","")&amp;IF(OR($H698="",ISERROR(MATCH($H698,{1,2,3,4,5,6,7,8},0))),"経費区分? ","")&amp;IF($I698="","状態未設定 ","")&amp;IF(AND(OR($I698="確認済",$I698="未確認"),$B698="月例",OR($C698="",$C698&lt;DATE(年度+2018,4,1),$C698&gt;DATE(年度+2019,3,31))),"年度外の日付 ","")&amp;IF(AND(OR($I698="確認済",$I698="未確認"),O698="対象外"),"対象外の科目 ","")))</f>
        <v/>
      </c>
      <c r="R698" s="366" t="inlineStr">
        <is>
          <t>決算整理!9</t>
        </is>
      </c>
    </row>
    <row r="699">
      <c r="A699" s="359" t="n">
        <v>695</v>
      </c>
      <c r="B699" s="360" t="inlineStr">
        <is>
          <t>決算整理</t>
        </is>
      </c>
      <c r="C699" s="361" t="n">
        <v>43951</v>
      </c>
      <c r="D699" s="362" t="inlineStr">
        <is>
          <t>委託費</t>
        </is>
      </c>
      <c r="E699" s="362" t="n"/>
      <c r="F699" s="362" t="inlineStr">
        <is>
          <t>短期給付等に係る個人番号管理システム端末保守サービス（３月分）</t>
        </is>
      </c>
      <c r="G699" s="363" t="n">
        <v>385</v>
      </c>
      <c r="H699" s="360" t="n">
        <v>2</v>
      </c>
      <c r="I699" s="360" t="inlineStr">
        <is>
          <t>昨年実績</t>
        </is>
      </c>
      <c r="J699" s="364">
        <f>IF($G699="","",IF($H699=1,$G699-ROUND($G699*10/23,0)-2*ROUND($G699/23,0),IF($H699=2,$G699,0)))</f>
        <v>385</v>
      </c>
      <c r="K699" s="364">
        <f>IF($G699="","",IF($H699=1,ROUND($G699*10/23,0),IF($H699=3,$G699-2*ROUND($G699/12,0),IF($H699=4,$G699,IF(OR($H699=5,$H699=7),ROUND($G699*10/11,0),0)))))</f>
        <v>0</v>
      </c>
      <c r="L699" s="364">
        <f>IF($G699="","",IF($H699=1,ROUND($G699/23,0),IF($H699=3,ROUND($G699/12,0),IF($H699=5,$G699-ROUND($G699*10/11,0),IF($H699=8,$G699,0)))))</f>
        <v>0</v>
      </c>
      <c r="M699" s="364">
        <f>IF($G699="","",IF($H699=1,ROUND($G699/23,0),IF($H699=3,ROUND($G699/12,0),IF($H699=6,$G699,IF($H699=7,$G699-ROUND($G699*10/11,0),0)))))</f>
        <v>0</v>
      </c>
      <c r="N699" s="364">
        <f>IF($G699="","",K699+L699+M699)</f>
        <v>0</v>
      </c>
      <c r="O699" s="365" t="str">
        <f>IF($G699="","",IFERROR(VLOOKUP($D699&amp;"|"&amp;$E699,科目表!$A$5:$B$200,2,FALSE),"※未登録"))</f>
        <v>委託費</v>
      </c>
      <c r="P699" s="359">
        <f>IF(OR($G699="",$C699=""),"",IF($B699="決算整理",13,MOD(MONTH($C699)-4,12)+1))</f>
        <v>13</v>
      </c>
      <c r="Q699" s="366" t="str">
        <f>IF($G699="","",TRIM(IF(J699+K699+L699+M699&lt;&gt;$G699,"按分不一致 ","")&amp;IF(O699="※未登録","科目未登録 ","")&amp;IF(OR($H699="",ISERROR(MATCH($H699,{1,2,3,4,5,6,7,8},0))),"経費区分? ","")&amp;IF($I699="","状態未設定 ","")&amp;IF(AND(OR($I699="確認済",$I699="未確認"),$B699="月例",OR($C699="",$C699&lt;DATE(年度+2018,4,1),$C699&gt;DATE(年度+2019,3,31))),"年度外の日付 ","")&amp;IF(AND(OR($I699="確認済",$I699="未確認"),O699="対象外"),"対象外の科目 ","")))</f>
        <v/>
      </c>
      <c r="R699" s="366" t="inlineStr">
        <is>
          <t>決算整理!10</t>
        </is>
      </c>
    </row>
    <row r="700">
      <c r="A700" s="359" t="n">
        <v>696</v>
      </c>
      <c r="B700" s="360" t="inlineStr">
        <is>
          <t>決算整理</t>
        </is>
      </c>
      <c r="C700" s="361" t="n">
        <v>44679</v>
      </c>
      <c r="D700" s="362" t="inlineStr">
        <is>
          <t>委託費</t>
        </is>
      </c>
      <c r="E700" s="362" t="n"/>
      <c r="F700" s="362" t="inlineStr">
        <is>
          <t>病院機構人給システム（ネットワーク等経費）短期</t>
        </is>
      </c>
      <c r="G700" s="363" t="n">
        <v>43626</v>
      </c>
      <c r="H700" s="360" t="n">
        <v>2</v>
      </c>
      <c r="I700" s="360" t="inlineStr">
        <is>
          <t>昨年実績</t>
        </is>
      </c>
      <c r="J700" s="364">
        <f>IF($G700="","",IF($H700=1,$G700-ROUND($G700*10/23,0)-2*ROUND($G700/23,0),IF($H700=2,$G700,0)))</f>
        <v>43626</v>
      </c>
      <c r="K700" s="364">
        <f>IF($G700="","",IF($H700=1,ROUND($G700*10/23,0),IF($H700=3,$G700-2*ROUND($G700/12,0),IF($H700=4,$G700,IF(OR($H700=5,$H700=7),ROUND($G700*10/11,0),0)))))</f>
        <v>0</v>
      </c>
      <c r="L700" s="364">
        <f>IF($G700="","",IF($H700=1,ROUND($G700/23,0),IF($H700=3,ROUND($G700/12,0),IF($H700=5,$G700-ROUND($G700*10/11,0),IF($H700=8,$G700,0)))))</f>
        <v>0</v>
      </c>
      <c r="M700" s="364">
        <f>IF($G700="","",IF($H700=1,ROUND($G700/23,0),IF($H700=3,ROUND($G700/12,0),IF($H700=6,$G700,IF($H700=7,$G700-ROUND($G700*10/11,0),0)))))</f>
        <v>0</v>
      </c>
      <c r="N700" s="364">
        <f>IF($G700="","",K700+L700+M700)</f>
        <v>0</v>
      </c>
      <c r="O700" s="365" t="str">
        <f>IF($G700="","",IFERROR(VLOOKUP($D700&amp;"|"&amp;$E700,科目表!$A$5:$B$200,2,FALSE),"※未登録"))</f>
        <v>委託費</v>
      </c>
      <c r="P700" s="359">
        <f>IF(OR($G700="",$C700=""),"",IF($B700="決算整理",13,MOD(MONTH($C700)-4,12)+1))</f>
        <v>13</v>
      </c>
      <c r="Q700" s="366" t="str">
        <f>IF($G700="","",TRIM(IF(J700+K700+L700+M700&lt;&gt;$G700,"按分不一致 ","")&amp;IF(O700="※未登録","科目未登録 ","")&amp;IF(OR($H700="",ISERROR(MATCH($H700,{1,2,3,4,5,6,7,8},0))),"経費区分? ","")&amp;IF($I700="","状態未設定 ","")&amp;IF(AND(OR($I700="確認済",$I700="未確認"),$B700="月例",OR($C700="",$C700&lt;DATE(年度+2018,4,1),$C700&gt;DATE(年度+2019,3,31))),"年度外の日付 ","")&amp;IF(AND(OR($I700="確認済",$I700="未確認"),O700="対象外"),"対象外の科目 ","")))</f>
        <v/>
      </c>
      <c r="R700" s="366" t="inlineStr">
        <is>
          <t>決算整理!11</t>
        </is>
      </c>
    </row>
    <row r="701">
      <c r="A701" s="359" t="n">
        <v>697</v>
      </c>
      <c r="B701" s="360" t="inlineStr">
        <is>
          <t>決算整理</t>
        </is>
      </c>
      <c r="C701" s="361" t="n">
        <v>43951</v>
      </c>
      <c r="D701" s="362" t="inlineStr">
        <is>
          <t>委託費</t>
        </is>
      </c>
      <c r="E701" s="362" t="n"/>
      <c r="F701" s="362" t="inlineStr">
        <is>
          <t>清掃・警備・ごみ処理（１０～３月分）</t>
        </is>
      </c>
      <c r="G701" s="363" t="n">
        <v>4154</v>
      </c>
      <c r="H701" s="360" t="n">
        <v>2</v>
      </c>
      <c r="I701" s="360" t="inlineStr">
        <is>
          <t>昨年実績</t>
        </is>
      </c>
      <c r="J701" s="364">
        <f>IF($G701="","",IF($H701=1,$G701-ROUND($G701*10/23,0)-2*ROUND($G701/23,0),IF($H701=2,$G701,0)))</f>
        <v>4154</v>
      </c>
      <c r="K701" s="364">
        <f>IF($G701="","",IF($H701=1,ROUND($G701*10/23,0),IF($H701=3,$G701-2*ROUND($G701/12,0),IF($H701=4,$G701,IF(OR($H701=5,$H701=7),ROUND($G701*10/11,0),0)))))</f>
        <v>0</v>
      </c>
      <c r="L701" s="364">
        <f>IF($G701="","",IF($H701=1,ROUND($G701/23,0),IF($H701=3,ROUND($G701/12,0),IF($H701=5,$G701-ROUND($G701*10/11,0),IF($H701=8,$G701,0)))))</f>
        <v>0</v>
      </c>
      <c r="M701" s="364">
        <f>IF($G701="","",IF($H701=1,ROUND($G701/23,0),IF($H701=3,ROUND($G701/12,0),IF($H701=6,$G701,IF($H701=7,$G701-ROUND($G701*10/11,0),0)))))</f>
        <v>0</v>
      </c>
      <c r="N701" s="364">
        <f>IF($G701="","",K701+L701+M701)</f>
        <v>0</v>
      </c>
      <c r="O701" s="365" t="str">
        <f>IF($G701="","",IFERROR(VLOOKUP($D701&amp;"|"&amp;$E701,科目表!$A$5:$B$200,2,FALSE),"※未登録"))</f>
        <v>委託費</v>
      </c>
      <c r="P701" s="359">
        <f>IF(OR($G701="",$C701=""),"",IF($B701="決算整理",13,MOD(MONTH($C701)-4,12)+1))</f>
        <v>13</v>
      </c>
      <c r="Q701" s="366" t="str">
        <f>IF($G701="","",TRIM(IF(J701+K701+L701+M701&lt;&gt;$G701,"按分不一致 ","")&amp;IF(O701="※未登録","科目未登録 ","")&amp;IF(OR($H701="",ISERROR(MATCH($H701,{1,2,3,4,5,6,7,8},0))),"経費区分? ","")&amp;IF($I701="","状態未設定 ","")&amp;IF(AND(OR($I701="確認済",$I701="未確認"),$B701="月例",OR($C701="",$C701&lt;DATE(年度+2018,4,1),$C701&gt;DATE(年度+2019,3,31))),"年度外の日付 ","")&amp;IF(AND(OR($I701="確認済",$I701="未確認"),O701="対象外"),"対象外の科目 ","")))</f>
        <v/>
      </c>
      <c r="R701" s="366" t="inlineStr">
        <is>
          <t>決算整理!12</t>
        </is>
      </c>
    </row>
    <row r="702">
      <c r="A702" s="359" t="n">
        <v>698</v>
      </c>
      <c r="B702" s="360" t="inlineStr">
        <is>
          <t>決算整理</t>
        </is>
      </c>
      <c r="C702" s="361" t="n">
        <v>43951</v>
      </c>
      <c r="D702" s="362" t="inlineStr">
        <is>
          <t>委託費</t>
        </is>
      </c>
      <c r="E702" s="362" t="n"/>
      <c r="F702" s="362" t="inlineStr">
        <is>
          <t>柔整等療養費支給申請書の入力（３月分）</t>
        </is>
      </c>
      <c r="G702" s="363" t="n">
        <v>61281</v>
      </c>
      <c r="H702" s="360" t="n">
        <v>2</v>
      </c>
      <c r="I702" s="360" t="inlineStr">
        <is>
          <t>昨年実績</t>
        </is>
      </c>
      <c r="J702" s="364">
        <f>IF($G702="","",IF($H702=1,$G702-ROUND($G702*10/23,0)-2*ROUND($G702/23,0),IF($H702=2,$G702,0)))</f>
        <v>61281</v>
      </c>
      <c r="K702" s="364">
        <f>IF($G702="","",IF($H702=1,ROUND($G702*10/23,0),IF($H702=3,$G702-2*ROUND($G702/12,0),IF($H702=4,$G702,IF(OR($H702=5,$H702=7),ROUND($G702*10/11,0),0)))))</f>
        <v>0</v>
      </c>
      <c r="L702" s="364">
        <f>IF($G702="","",IF($H702=1,ROUND($G702/23,0),IF($H702=3,ROUND($G702/12,0),IF($H702=5,$G702-ROUND($G702*10/11,0),IF($H702=8,$G702,0)))))</f>
        <v>0</v>
      </c>
      <c r="M702" s="364">
        <f>IF($G702="","",IF($H702=1,ROUND($G702/23,0),IF($H702=3,ROUND($G702/12,0),IF($H702=6,$G702,IF($H702=7,$G702-ROUND($G702*10/11,0),0)))))</f>
        <v>0</v>
      </c>
      <c r="N702" s="364">
        <f>IF($G702="","",K702+L702+M702)</f>
        <v>0</v>
      </c>
      <c r="O702" s="365" t="str">
        <f>IF($G702="","",IFERROR(VLOOKUP($D702&amp;"|"&amp;$E702,科目表!$A$5:$B$200,2,FALSE),"※未登録"))</f>
        <v>委託費</v>
      </c>
      <c r="P702" s="359">
        <f>IF(OR($G702="",$C702=""),"",IF($B702="決算整理",13,MOD(MONTH($C702)-4,12)+1))</f>
        <v>13</v>
      </c>
      <c r="Q702" s="366" t="str">
        <f>IF($G702="","",TRIM(IF(J702+K702+L702+M702&lt;&gt;$G702,"按分不一致 ","")&amp;IF(O702="※未登録","科目未登録 ","")&amp;IF(OR($H702="",ISERROR(MATCH($H702,{1,2,3,4,5,6,7,8},0))),"経費区分? ","")&amp;IF($I702="","状態未設定 ","")&amp;IF(AND(OR($I702="確認済",$I702="未確認"),$B702="月例",OR($C702="",$C702&lt;DATE(年度+2018,4,1),$C702&gt;DATE(年度+2019,3,31))),"年度外の日付 ","")&amp;IF(AND(OR($I702="確認済",$I702="未確認"),O702="対象外"),"対象外の科目 ","")))</f>
        <v/>
      </c>
      <c r="R702" s="366" t="inlineStr">
        <is>
          <t>決算整理!13</t>
        </is>
      </c>
    </row>
    <row r="703">
      <c r="A703" s="359" t="n">
        <v>699</v>
      </c>
      <c r="B703" s="360" t="inlineStr">
        <is>
          <t>決算整理</t>
        </is>
      </c>
      <c r="C703" s="361" t="n">
        <v>44679</v>
      </c>
      <c r="D703" s="362" t="inlineStr">
        <is>
          <t>委託費</t>
        </is>
      </c>
      <c r="E703" s="362" t="n"/>
      <c r="F703" s="362" t="inlineStr">
        <is>
          <t>統合管理端末保守料（３月分）</t>
        </is>
      </c>
      <c r="G703" s="363" t="n">
        <v>770</v>
      </c>
      <c r="H703" s="360" t="n">
        <v>2</v>
      </c>
      <c r="I703" s="360" t="inlineStr">
        <is>
          <t>昨年実績</t>
        </is>
      </c>
      <c r="J703" s="364">
        <f>IF($G703="","",IF($H703=1,$G703-ROUND($G703*10/23,0)-2*ROUND($G703/23,0),IF($H703=2,$G703,0)))</f>
        <v>770</v>
      </c>
      <c r="K703" s="364">
        <f>IF($G703="","",IF($H703=1,ROUND($G703*10/23,0),IF($H703=3,$G703-2*ROUND($G703/12,0),IF($H703=4,$G703,IF(OR($H703=5,$H703=7),ROUND($G703*10/11,0),0)))))</f>
        <v>0</v>
      </c>
      <c r="L703" s="364">
        <f>IF($G703="","",IF($H703=1,ROUND($G703/23,0),IF($H703=3,ROUND($G703/12,0),IF($H703=5,$G703-ROUND($G703*10/11,0),IF($H703=8,$G703,0)))))</f>
        <v>0</v>
      </c>
      <c r="M703" s="364">
        <f>IF($G703="","",IF($H703=1,ROUND($G703/23,0),IF($H703=3,ROUND($G703/12,0),IF($H703=6,$G703,IF($H703=7,$G703-ROUND($G703*10/11,0),0)))))</f>
        <v>0</v>
      </c>
      <c r="N703" s="364">
        <f>IF($G703="","",K703+L703+M703)</f>
        <v>0</v>
      </c>
      <c r="O703" s="365" t="str">
        <f>IF($G703="","",IFERROR(VLOOKUP($D703&amp;"|"&amp;$E703,科目表!$A$5:$B$200,2,FALSE),"※未登録"))</f>
        <v>委託費</v>
      </c>
      <c r="P703" s="359">
        <f>IF(OR($G703="",$C703=""),"",IF($B703="決算整理",13,MOD(MONTH($C703)-4,12)+1))</f>
        <v>13</v>
      </c>
      <c r="Q703" s="366" t="str">
        <f>IF($G703="","",TRIM(IF(J703+K703+L703+M703&lt;&gt;$G703,"按分不一致 ","")&amp;IF(O703="※未登録","科目未登録 ","")&amp;IF(OR($H703="",ISERROR(MATCH($H703,{1,2,3,4,5,6,7,8},0))),"経費区分? ","")&amp;IF($I703="","状態未設定 ","")&amp;IF(AND(OR($I703="確認済",$I703="未確認"),$B703="月例",OR($C703="",$C703&lt;DATE(年度+2018,4,1),$C703&gt;DATE(年度+2019,3,31))),"年度外の日付 ","")&amp;IF(AND(OR($I703="確認済",$I703="未確認"),O703="対象外"),"対象外の科目 ","")))</f>
        <v/>
      </c>
      <c r="R703" s="366" t="inlineStr">
        <is>
          <t>決算整理!14</t>
        </is>
      </c>
    </row>
    <row r="704">
      <c r="A704" s="359" t="n">
        <v>700</v>
      </c>
      <c r="B704" s="360" t="inlineStr">
        <is>
          <t>決算整理</t>
        </is>
      </c>
      <c r="C704" s="361" t="n">
        <v>43980</v>
      </c>
      <c r="D704" s="362" t="inlineStr">
        <is>
          <t>委託費</t>
        </is>
      </c>
      <c r="E704" s="362" t="n"/>
      <c r="F704" s="362" t="inlineStr">
        <is>
          <t>個人番号管理システム（短期等）平成３１年度分</t>
        </is>
      </c>
      <c r="G704" s="363" t="n">
        <v>686447</v>
      </c>
      <c r="H704" s="360" t="n">
        <v>2</v>
      </c>
      <c r="I704" s="360" t="inlineStr">
        <is>
          <t>昨年実績</t>
        </is>
      </c>
      <c r="J704" s="364">
        <f>IF($G704="","",IF($H704=1,$G704-ROUND($G704*10/23,0)-2*ROUND($G704/23,0),IF($H704=2,$G704,0)))</f>
        <v>686447</v>
      </c>
      <c r="K704" s="364">
        <f>IF($G704="","",IF($H704=1,ROUND($G704*10/23,0),IF($H704=3,$G704-2*ROUND($G704/12,0),IF($H704=4,$G704,IF(OR($H704=5,$H704=7),ROUND($G704*10/11,0),0)))))</f>
        <v>0</v>
      </c>
      <c r="L704" s="364">
        <f>IF($G704="","",IF($H704=1,ROUND($G704/23,0),IF($H704=3,ROUND($G704/12,0),IF($H704=5,$G704-ROUND($G704*10/11,0),IF($H704=8,$G704,0)))))</f>
        <v>0</v>
      </c>
      <c r="M704" s="364">
        <f>IF($G704="","",IF($H704=1,ROUND($G704/23,0),IF($H704=3,ROUND($G704/12,0),IF($H704=6,$G704,IF($H704=7,$G704-ROUND($G704*10/11,0),0)))))</f>
        <v>0</v>
      </c>
      <c r="N704" s="364">
        <f>IF($G704="","",K704+L704+M704)</f>
        <v>0</v>
      </c>
      <c r="O704" s="365" t="str">
        <f>IF($G704="","",IFERROR(VLOOKUP($D704&amp;"|"&amp;$E704,科目表!$A$5:$B$200,2,FALSE),"※未登録"))</f>
        <v>委託費</v>
      </c>
      <c r="P704" s="359">
        <f>IF(OR($G704="",$C704=""),"",IF($B704="決算整理",13,MOD(MONTH($C704)-4,12)+1))</f>
        <v>13</v>
      </c>
      <c r="Q704" s="366" t="str">
        <f>IF($G704="","",TRIM(IF(J704+K704+L704+M704&lt;&gt;$G704,"按分不一致 ","")&amp;IF(O704="※未登録","科目未登録 ","")&amp;IF(OR($H704="",ISERROR(MATCH($H704,{1,2,3,4,5,6,7,8},0))),"経費区分? ","")&amp;IF($I704="","状態未設定 ","")&amp;IF(AND(OR($I704="確認済",$I704="未確認"),$B704="月例",OR($C704="",$C704&lt;DATE(年度+2018,4,1),$C704&gt;DATE(年度+2019,3,31))),"年度外の日付 ","")&amp;IF(AND(OR($I704="確認済",$I704="未確認"),O704="対象外"),"対象外の科目 ","")))</f>
        <v/>
      </c>
      <c r="R704" s="366" t="inlineStr">
        <is>
          <t>決算整理!15</t>
        </is>
      </c>
    </row>
    <row r="705">
      <c r="A705" s="359" t="n">
        <v>701</v>
      </c>
      <c r="B705" s="360" t="inlineStr">
        <is>
          <t>決算整理</t>
        </is>
      </c>
      <c r="C705" s="361" t="n">
        <v>43951</v>
      </c>
      <c r="D705" s="362" t="inlineStr">
        <is>
          <t>光熱水料</t>
        </is>
      </c>
      <c r="E705" s="362" t="inlineStr">
        <is>
          <t>ガス料</t>
        </is>
      </c>
      <c r="F705" s="362" t="inlineStr">
        <is>
          <t>行政財産使用ガス料（１０～３月分）</t>
        </is>
      </c>
      <c r="G705" s="363" t="n">
        <v>1255</v>
      </c>
      <c r="H705" s="360" t="n">
        <v>2</v>
      </c>
      <c r="I705" s="360" t="inlineStr">
        <is>
          <t>昨年実績</t>
        </is>
      </c>
      <c r="J705" s="364">
        <f>IF($G705="","",IF($H705=1,$G705-ROUND($G705*10/23,0)-2*ROUND($G705/23,0),IF($H705=2,$G705,0)))</f>
        <v>1255</v>
      </c>
      <c r="K705" s="364">
        <f>IF($G705="","",IF($H705=1,ROUND($G705*10/23,0),IF($H705=3,$G705-2*ROUND($G705/12,0),IF($H705=4,$G705,IF(OR($H705=5,$H705=7),ROUND($G705*10/11,0),0)))))</f>
        <v>0</v>
      </c>
      <c r="L705" s="364">
        <f>IF($G705="","",IF($H705=1,ROUND($G705/23,0),IF($H705=3,ROUND($G705/12,0),IF($H705=5,$G705-ROUND($G705*10/11,0),IF($H705=8,$G705,0)))))</f>
        <v>0</v>
      </c>
      <c r="M705" s="364">
        <f>IF($G705="","",IF($H705=1,ROUND($G705/23,0),IF($H705=3,ROUND($G705/12,0),IF($H705=6,$G705,IF($H705=7,$G705-ROUND($G705*10/11,0),0)))))</f>
        <v>0</v>
      </c>
      <c r="N705" s="364">
        <f>IF($G705="","",K705+L705+M705)</f>
        <v>0</v>
      </c>
      <c r="O705" s="365" t="str">
        <f>IF($G705="","",IFERROR(VLOOKUP($D705&amp;"|"&amp;$E705,科目表!$A$5:$B$200,2,FALSE),"※未登録"))</f>
        <v>光熱水料</v>
      </c>
      <c r="P705" s="359">
        <f>IF(OR($G705="",$C705=""),"",IF($B705="決算整理",13,MOD(MONTH($C705)-4,12)+1))</f>
        <v>13</v>
      </c>
      <c r="Q705" s="366" t="str">
        <f>IF($G705="","",TRIM(IF(J705+K705+L705+M705&lt;&gt;$G705,"按分不一致 ","")&amp;IF(O705="※未登録","科目未登録 ","")&amp;IF(OR($H705="",ISERROR(MATCH($H705,{1,2,3,4,5,6,7,8},0))),"経費区分? ","")&amp;IF($I705="","状態未設定 ","")&amp;IF(AND(OR($I705="確認済",$I705="未確認"),$B705="月例",OR($C705="",$C705&lt;DATE(年度+2018,4,1),$C705&gt;DATE(年度+2019,3,31))),"年度外の日付 ","")&amp;IF(AND(OR($I705="確認済",$I705="未確認"),O705="対象外"),"対象外の科目 ","")))</f>
        <v/>
      </c>
      <c r="R705" s="366" t="inlineStr">
        <is>
          <t>決算整理!16</t>
        </is>
      </c>
    </row>
    <row r="706">
      <c r="A706" s="359" t="n">
        <v>702</v>
      </c>
      <c r="B706" s="360" t="inlineStr">
        <is>
          <t>決算整理</t>
        </is>
      </c>
      <c r="C706" s="361" t="n">
        <v>43951</v>
      </c>
      <c r="D706" s="362" t="inlineStr">
        <is>
          <t>光熱水料</t>
        </is>
      </c>
      <c r="E706" s="362" t="inlineStr">
        <is>
          <t>水道料</t>
        </is>
      </c>
      <c r="F706" s="362" t="inlineStr">
        <is>
          <t>行政財産使用水道料（１０～３月分）</t>
        </is>
      </c>
      <c r="G706" s="363" t="n">
        <v>2324</v>
      </c>
      <c r="H706" s="360" t="n">
        <v>2</v>
      </c>
      <c r="I706" s="360" t="inlineStr">
        <is>
          <t>昨年実績</t>
        </is>
      </c>
      <c r="J706" s="364">
        <f>IF($G706="","",IF($H706=1,$G706-ROUND($G706*10/23,0)-2*ROUND($G706/23,0),IF($H706=2,$G706,0)))</f>
        <v>2324</v>
      </c>
      <c r="K706" s="364">
        <f>IF($G706="","",IF($H706=1,ROUND($G706*10/23,0),IF($H706=3,$G706-2*ROUND($G706/12,0),IF($H706=4,$G706,IF(OR($H706=5,$H706=7),ROUND($G706*10/11,0),0)))))</f>
        <v>0</v>
      </c>
      <c r="L706" s="364">
        <f>IF($G706="","",IF($H706=1,ROUND($G706/23,0),IF($H706=3,ROUND($G706/12,0),IF($H706=5,$G706-ROUND($G706*10/11,0),IF($H706=8,$G706,0)))))</f>
        <v>0</v>
      </c>
      <c r="M706" s="364">
        <f>IF($G706="","",IF($H706=1,ROUND($G706/23,0),IF($H706=3,ROUND($G706/12,0),IF($H706=6,$G706,IF($H706=7,$G706-ROUND($G706*10/11,0),0)))))</f>
        <v>0</v>
      </c>
      <c r="N706" s="364">
        <f>IF($G706="","",K706+L706+M706)</f>
        <v>0</v>
      </c>
      <c r="O706" s="365" t="str">
        <f>IF($G706="","",IFERROR(VLOOKUP($D706&amp;"|"&amp;$E706,科目表!$A$5:$B$200,2,FALSE),"※未登録"))</f>
        <v>光熱水料</v>
      </c>
      <c r="P706" s="359">
        <f>IF(OR($G706="",$C706=""),"",IF($B706="決算整理",13,MOD(MONTH($C706)-4,12)+1))</f>
        <v>13</v>
      </c>
      <c r="Q706" s="366" t="str">
        <f>IF($G706="","",TRIM(IF(J706+K706+L706+M706&lt;&gt;$G706,"按分不一致 ","")&amp;IF(O706="※未登録","科目未登録 ","")&amp;IF(OR($H706="",ISERROR(MATCH($H706,{1,2,3,4,5,6,7,8},0))),"経費区分? ","")&amp;IF($I706="","状態未設定 ","")&amp;IF(AND(OR($I706="確認済",$I706="未確認"),$B706="月例",OR($C706="",$C706&lt;DATE(年度+2018,4,1),$C706&gt;DATE(年度+2019,3,31))),"年度外の日付 ","")&amp;IF(AND(OR($I706="確認済",$I706="未確認"),O706="対象外"),"対象外の科目 ","")))</f>
        <v/>
      </c>
      <c r="R706" s="366" t="inlineStr">
        <is>
          <t>決算整理!17</t>
        </is>
      </c>
    </row>
    <row r="707">
      <c r="A707" s="359" t="n">
        <v>703</v>
      </c>
      <c r="B707" s="360" t="inlineStr">
        <is>
          <t>決算整理</t>
        </is>
      </c>
      <c r="C707" s="361" t="n">
        <v>43951</v>
      </c>
      <c r="D707" s="362" t="inlineStr">
        <is>
          <t>光熱水料</t>
        </is>
      </c>
      <c r="E707" s="362" t="inlineStr">
        <is>
          <t>電気料</t>
        </is>
      </c>
      <c r="F707" s="362" t="inlineStr">
        <is>
          <t>行政財産使用電気料（１０～３月分）</t>
        </is>
      </c>
      <c r="G707" s="363" t="n">
        <v>3770</v>
      </c>
      <c r="H707" s="360" t="n">
        <v>2</v>
      </c>
      <c r="I707" s="360" t="inlineStr">
        <is>
          <t>昨年実績</t>
        </is>
      </c>
      <c r="J707" s="364">
        <f>IF($G707="","",IF($H707=1,$G707-ROUND($G707*10/23,0)-2*ROUND($G707/23,0),IF($H707=2,$G707,0)))</f>
        <v>3770</v>
      </c>
      <c r="K707" s="364">
        <f>IF($G707="","",IF($H707=1,ROUND($G707*10/23,0),IF($H707=3,$G707-2*ROUND($G707/12,0),IF($H707=4,$G707,IF(OR($H707=5,$H707=7),ROUND($G707*10/11,0),0)))))</f>
        <v>0</v>
      </c>
      <c r="L707" s="364">
        <f>IF($G707="","",IF($H707=1,ROUND($G707/23,0),IF($H707=3,ROUND($G707/12,0),IF($H707=5,$G707-ROUND($G707*10/11,0),IF($H707=8,$G707,0)))))</f>
        <v>0</v>
      </c>
      <c r="M707" s="364">
        <f>IF($G707="","",IF($H707=1,ROUND($G707/23,0),IF($H707=3,ROUND($G707/12,0),IF($H707=6,$G707,IF($H707=7,$G707-ROUND($G707*10/11,0),0)))))</f>
        <v>0</v>
      </c>
      <c r="N707" s="364">
        <f>IF($G707="","",K707+L707+M707)</f>
        <v>0</v>
      </c>
      <c r="O707" s="365" t="str">
        <f>IF($G707="","",IFERROR(VLOOKUP($D707&amp;"|"&amp;$E707,科目表!$A$5:$B$200,2,FALSE),"※未登録"))</f>
        <v>光熱水料</v>
      </c>
      <c r="P707" s="359">
        <f>IF(OR($G707="",$C707=""),"",IF($B707="決算整理",13,MOD(MONTH($C707)-4,12)+1))</f>
        <v>13</v>
      </c>
      <c r="Q707" s="366" t="str">
        <f>IF($G707="","",TRIM(IF(J707+K707+L707+M707&lt;&gt;$G707,"按分不一致 ","")&amp;IF(O707="※未登録","科目未登録 ","")&amp;IF(OR($H707="",ISERROR(MATCH($H707,{1,2,3,4,5,6,7,8},0))),"経費区分? ","")&amp;IF($I707="","状態未設定 ","")&amp;IF(AND(OR($I707="確認済",$I707="未確認"),$B707="月例",OR($C707="",$C707&lt;DATE(年度+2018,4,1),$C707&gt;DATE(年度+2019,3,31))),"年度外の日付 ","")&amp;IF(AND(OR($I707="確認済",$I707="未確認"),O707="対象外"),"対象外の科目 ","")))</f>
        <v/>
      </c>
      <c r="R707" s="366" t="inlineStr">
        <is>
          <t>決算整理!18</t>
        </is>
      </c>
    </row>
    <row r="708">
      <c r="A708" s="359" t="n">
        <v>704</v>
      </c>
      <c r="B708" s="360" t="inlineStr">
        <is>
          <t>決算整理</t>
        </is>
      </c>
      <c r="C708" s="361" t="n">
        <v>43951</v>
      </c>
      <c r="D708" s="362" t="inlineStr">
        <is>
          <t>事務費</t>
        </is>
      </c>
      <c r="E708" s="362" t="inlineStr">
        <is>
          <t>事務用消耗品費</t>
        </is>
      </c>
      <c r="F708" s="362" t="inlineStr">
        <is>
          <t>複写機用紙等購入代分担金（第4四半期）短期</t>
        </is>
      </c>
      <c r="G708" s="363" t="n">
        <v>92843</v>
      </c>
      <c r="H708" s="360" t="n">
        <v>2</v>
      </c>
      <c r="I708" s="360" t="inlineStr">
        <is>
          <t>昨年実績</t>
        </is>
      </c>
      <c r="J708" s="364">
        <f>IF($G708="","",IF($H708=1,$G708-ROUND($G708*10/23,0)-2*ROUND($G708/23,0),IF($H708=2,$G708,0)))</f>
        <v>92843</v>
      </c>
      <c r="K708" s="364">
        <f>IF($G708="","",IF($H708=1,ROUND($G708*10/23,0),IF($H708=3,$G708-2*ROUND($G708/12,0),IF($H708=4,$G708,IF(OR($H708=5,$H708=7),ROUND($G708*10/11,0),0)))))</f>
        <v>0</v>
      </c>
      <c r="L708" s="364">
        <f>IF($G708="","",IF($H708=1,ROUND($G708/23,0),IF($H708=3,ROUND($G708/12,0),IF($H708=5,$G708-ROUND($G708*10/11,0),IF($H708=8,$G708,0)))))</f>
        <v>0</v>
      </c>
      <c r="M708" s="364">
        <f>IF($G708="","",IF($H708=1,ROUND($G708/23,0),IF($H708=3,ROUND($G708/12,0),IF($H708=6,$G708,IF($H708=7,$G708-ROUND($G708*10/11,0),0)))))</f>
        <v>0</v>
      </c>
      <c r="N708" s="364">
        <f>IF($G708="","",K708+L708+M708)</f>
        <v>0</v>
      </c>
      <c r="O708" s="365" t="str">
        <f>IF($G708="","",IFERROR(VLOOKUP($D708&amp;"|"&amp;$E708,科目表!$A$5:$B$200,2,FALSE),"※未登録"))</f>
        <v>事務用消耗品費</v>
      </c>
      <c r="P708" s="359">
        <f>IF(OR($G708="",$C708=""),"",IF($B708="決算整理",13,MOD(MONTH($C708)-4,12)+1))</f>
        <v>13</v>
      </c>
      <c r="Q708" s="366" t="str">
        <f>IF($G708="","",TRIM(IF(J708+K708+L708+M708&lt;&gt;$G708,"按分不一致 ","")&amp;IF(O708="※未登録","科目未登録 ","")&amp;IF(OR($H708="",ISERROR(MATCH($H708,{1,2,3,4,5,6,7,8},0))),"経費区分? ","")&amp;IF($I708="","状態未設定 ","")&amp;IF(AND(OR($I708="確認済",$I708="未確認"),$B708="月例",OR($C708="",$C708&lt;DATE(年度+2018,4,1),$C708&gt;DATE(年度+2019,3,31))),"年度外の日付 ","")&amp;IF(AND(OR($I708="確認済",$I708="未確認"),O708="対象外"),"対象外の科目 ","")))</f>
        <v/>
      </c>
      <c r="R708" s="366" t="inlineStr">
        <is>
          <t>決算整理!19</t>
        </is>
      </c>
    </row>
    <row r="709">
      <c r="A709" s="359" t="n">
        <v>705</v>
      </c>
      <c r="B709" s="360" t="inlineStr">
        <is>
          <t>決算整理</t>
        </is>
      </c>
      <c r="C709" s="361" t="n">
        <v>43931</v>
      </c>
      <c r="D709" s="362" t="inlineStr">
        <is>
          <t>事務費</t>
        </is>
      </c>
      <c r="E709" s="362" t="inlineStr">
        <is>
          <t>送金料</t>
        </is>
      </c>
      <c r="F709" s="362" t="inlineStr">
        <is>
          <t>広銀手数料（３月分）短期</t>
        </is>
      </c>
      <c r="G709" s="363" t="n">
        <v>100870</v>
      </c>
      <c r="H709" s="360" t="n">
        <v>2</v>
      </c>
      <c r="I709" s="360" t="inlineStr">
        <is>
          <t>昨年実績</t>
        </is>
      </c>
      <c r="J709" s="364">
        <f>IF($G709="","",IF($H709=1,$G709-ROUND($G709*10/23,0)-2*ROUND($G709/23,0),IF($H709=2,$G709,0)))</f>
        <v>100870</v>
      </c>
      <c r="K709" s="364">
        <f>IF($G709="","",IF($H709=1,ROUND($G709*10/23,0),IF($H709=3,$G709-2*ROUND($G709/12,0),IF($H709=4,$G709,IF(OR($H709=5,$H709=7),ROUND($G709*10/11,0),0)))))</f>
        <v>0</v>
      </c>
      <c r="L709" s="364">
        <f>IF($G709="","",IF($H709=1,ROUND($G709/23,0),IF($H709=3,ROUND($G709/12,0),IF($H709=5,$G709-ROUND($G709*10/11,0),IF($H709=8,$G709,0)))))</f>
        <v>0</v>
      </c>
      <c r="M709" s="364">
        <f>IF($G709="","",IF($H709=1,ROUND($G709/23,0),IF($H709=3,ROUND($G709/12,0),IF($H709=6,$G709,IF($H709=7,$G709-ROUND($G709*10/11,0),0)))))</f>
        <v>0</v>
      </c>
      <c r="N709" s="364">
        <f>IF($G709="","",K709+L709+M709)</f>
        <v>0</v>
      </c>
      <c r="O709" s="365" t="str">
        <f>IF($G709="","",IFERROR(VLOOKUP($D709&amp;"|"&amp;$E709,科目表!$A$5:$B$200,2,FALSE),"※未登録"))</f>
        <v>送金料</v>
      </c>
      <c r="P709" s="359">
        <f>IF(OR($G709="",$C709=""),"",IF($B709="決算整理",13,MOD(MONTH($C709)-4,12)+1))</f>
        <v>13</v>
      </c>
      <c r="Q709" s="366" t="str">
        <f>IF($G709="","",TRIM(IF(J709+K709+L709+M709&lt;&gt;$G709,"按分不一致 ","")&amp;IF(O709="※未登録","科目未登録 ","")&amp;IF(OR($H709="",ISERROR(MATCH($H709,{1,2,3,4,5,6,7,8},0))),"経費区分? ","")&amp;IF($I709="","状態未設定 ","")&amp;IF(AND(OR($I709="確認済",$I709="未確認"),$B709="月例",OR($C709="",$C709&lt;DATE(年度+2018,4,1),$C709&gt;DATE(年度+2019,3,31))),"年度外の日付 ","")&amp;IF(AND(OR($I709="確認済",$I709="未確認"),O709="対象外"),"対象外の科目 ","")))</f>
        <v/>
      </c>
      <c r="R709" s="366" t="inlineStr">
        <is>
          <t>決算整理!20</t>
        </is>
      </c>
    </row>
    <row r="710">
      <c r="A710" s="359" t="n">
        <v>706</v>
      </c>
      <c r="B710" s="360" t="inlineStr">
        <is>
          <t>決算整理</t>
        </is>
      </c>
      <c r="C710" s="361" t="n">
        <v>44679</v>
      </c>
      <c r="D710" s="362" t="inlineStr">
        <is>
          <t>事務費</t>
        </is>
      </c>
      <c r="E710" s="362" t="inlineStr">
        <is>
          <t>通信運搬費</t>
        </is>
      </c>
      <c r="F710" s="362" t="inlineStr">
        <is>
          <t>柔整申請書送付（3月分）</t>
        </is>
      </c>
      <c r="G710" s="363" t="n">
        <v>1386</v>
      </c>
      <c r="H710" s="360" t="n">
        <v>2</v>
      </c>
      <c r="I710" s="360" t="inlineStr">
        <is>
          <t>昨年実績</t>
        </is>
      </c>
      <c r="J710" s="364">
        <f>IF($G710="","",IF($H710=1,$G710-ROUND($G710*10/23,0)-2*ROUND($G710/23,0),IF($H710=2,$G710,0)))</f>
        <v>1386</v>
      </c>
      <c r="K710" s="364">
        <f>IF($G710="","",IF($H710=1,ROUND($G710*10/23,0),IF($H710=3,$G710-2*ROUND($G710/12,0),IF($H710=4,$G710,IF(OR($H710=5,$H710=7),ROUND($G710*10/11,0),0)))))</f>
        <v>0</v>
      </c>
      <c r="L710" s="364">
        <f>IF($G710="","",IF($H710=1,ROUND($G710/23,0),IF($H710=3,ROUND($G710/12,0),IF($H710=5,$G710-ROUND($G710*10/11,0),IF($H710=8,$G710,0)))))</f>
        <v>0</v>
      </c>
      <c r="M710" s="364">
        <f>IF($G710="","",IF($H710=1,ROUND($G710/23,0),IF($H710=3,ROUND($G710/12,0),IF($H710=6,$G710,IF($H710=7,$G710-ROUND($G710*10/11,0),0)))))</f>
        <v>0</v>
      </c>
      <c r="N710" s="364">
        <f>IF($G710="","",K710+L710+M710)</f>
        <v>0</v>
      </c>
      <c r="O710" s="365" t="str">
        <f>IF($G710="","",IFERROR(VLOOKUP($D710&amp;"|"&amp;$E710,科目表!$A$5:$B$200,2,FALSE),"※未登録"))</f>
        <v>通信運搬費</v>
      </c>
      <c r="P710" s="359">
        <f>IF(OR($G710="",$C710=""),"",IF($B710="決算整理",13,MOD(MONTH($C710)-4,12)+1))</f>
        <v>13</v>
      </c>
      <c r="Q710" s="366" t="str">
        <f>IF($G710="","",TRIM(IF(J710+K710+L710+M710&lt;&gt;$G710,"按分不一致 ","")&amp;IF(O710="※未登録","科目未登録 ","")&amp;IF(OR($H710="",ISERROR(MATCH($H710,{1,2,3,4,5,6,7,8},0))),"経費区分? ","")&amp;IF($I710="","状態未設定 ","")&amp;IF(AND(OR($I710="確認済",$I710="未確認"),$B710="月例",OR($C710="",$C710&lt;DATE(年度+2018,4,1),$C710&gt;DATE(年度+2019,3,31))),"年度外の日付 ","")&amp;IF(AND(OR($I710="確認済",$I710="未確認"),O710="対象外"),"対象外の科目 ","")))</f>
        <v/>
      </c>
      <c r="R710" s="366" t="inlineStr">
        <is>
          <t>決算整理!21</t>
        </is>
      </c>
    </row>
    <row r="711">
      <c r="A711" s="359" t="n">
        <v>707</v>
      </c>
      <c r="B711" s="360" t="inlineStr">
        <is>
          <t>決算整理</t>
        </is>
      </c>
      <c r="C711" s="361" t="n">
        <v>45383</v>
      </c>
      <c r="D711" s="362" t="inlineStr">
        <is>
          <t>事務費</t>
        </is>
      </c>
      <c r="E711" s="362" t="inlineStr">
        <is>
          <t>通信運搬費</t>
        </is>
      </c>
      <c r="F711" s="362" t="inlineStr">
        <is>
          <t>フレッツ光ネクスト利用料等（2月利用・3月請求分）</t>
        </is>
      </c>
      <c r="G711" s="363" t="n">
        <v>4906</v>
      </c>
      <c r="H711" s="360" t="n">
        <v>2</v>
      </c>
      <c r="I711" s="360" t="inlineStr">
        <is>
          <t>昨年実績</t>
        </is>
      </c>
      <c r="J711" s="364">
        <f>IF($G711="","",IF($H711=1,$G711-ROUND($G711*10/23,0)-2*ROUND($G711/23,0),IF($H711=2,$G711,0)))</f>
        <v>4906</v>
      </c>
      <c r="K711" s="364">
        <f>IF($G711="","",IF($H711=1,ROUND($G711*10/23,0),IF($H711=3,$G711-2*ROUND($G711/12,0),IF($H711=4,$G711,IF(OR($H711=5,$H711=7),ROUND($G711*10/11,0),0)))))</f>
        <v>0</v>
      </c>
      <c r="L711" s="364">
        <f>IF($G711="","",IF($H711=1,ROUND($G711/23,0),IF($H711=3,ROUND($G711/12,0),IF($H711=5,$G711-ROUND($G711*10/11,0),IF($H711=8,$G711,0)))))</f>
        <v>0</v>
      </c>
      <c r="M711" s="364">
        <f>IF($G711="","",IF($H711=1,ROUND($G711/23,0),IF($H711=3,ROUND($G711/12,0),IF($H711=6,$G711,IF($H711=7,$G711-ROUND($G711*10/11,0),0)))))</f>
        <v>0</v>
      </c>
      <c r="N711" s="364">
        <f>IF($G711="","",K711+L711+M711)</f>
        <v>0</v>
      </c>
      <c r="O711" s="365" t="str">
        <f>IF($G711="","",IFERROR(VLOOKUP($D711&amp;"|"&amp;$E711,科目表!$A$5:$B$200,2,FALSE),"※未登録"))</f>
        <v>通信運搬費</v>
      </c>
      <c r="P711" s="359">
        <f>IF(OR($G711="",$C711=""),"",IF($B711="決算整理",13,MOD(MONTH($C711)-4,12)+1))</f>
        <v>13</v>
      </c>
      <c r="Q711" s="366" t="str">
        <f>IF($G711="","",TRIM(IF(J711+K711+L711+M711&lt;&gt;$G711,"按分不一致 ","")&amp;IF(O711="※未登録","科目未登録 ","")&amp;IF(OR($H711="",ISERROR(MATCH($H711,{1,2,3,4,5,6,7,8},0))),"経費区分? ","")&amp;IF($I711="","状態未設定 ","")&amp;IF(AND(OR($I711="確認済",$I711="未確認"),$B711="月例",OR($C711="",$C711&lt;DATE(年度+2018,4,1),$C711&gt;DATE(年度+2019,3,31))),"年度外の日付 ","")&amp;IF(AND(OR($I711="確認済",$I711="未確認"),O711="対象外"),"対象外の科目 ","")))</f>
        <v/>
      </c>
      <c r="R711" s="366" t="inlineStr">
        <is>
          <t>決算整理!22</t>
        </is>
      </c>
    </row>
    <row r="712">
      <c r="A712" s="359" t="n">
        <v>708</v>
      </c>
      <c r="B712" s="360" t="inlineStr">
        <is>
          <t>決算整理</t>
        </is>
      </c>
      <c r="C712" s="361" t="n">
        <v>43951</v>
      </c>
      <c r="D712" s="362" t="inlineStr">
        <is>
          <t>事務費</t>
        </is>
      </c>
      <c r="E712" s="362" t="inlineStr">
        <is>
          <t>通信運搬費</t>
        </is>
      </c>
      <c r="F712" s="362" t="inlineStr">
        <is>
          <t>事務局電話代　3月使用4月請求分</t>
        </is>
      </c>
      <c r="G712" s="363" t="n">
        <v>5406</v>
      </c>
      <c r="H712" s="360" t="n">
        <v>2</v>
      </c>
      <c r="I712" s="360" t="inlineStr">
        <is>
          <t>昨年実績</t>
        </is>
      </c>
      <c r="J712" s="364">
        <f>IF($G712="","",IF($H712=1,$G712-ROUND($G712*10/23,0)-2*ROUND($G712/23,0),IF($H712=2,$G712,0)))</f>
        <v>5406</v>
      </c>
      <c r="K712" s="364">
        <f>IF($G712="","",IF($H712=1,ROUND($G712*10/23,0),IF($H712=3,$G712-2*ROUND($G712/12,0),IF($H712=4,$G712,IF(OR($H712=5,$H712=7),ROUND($G712*10/11,0),0)))))</f>
        <v>0</v>
      </c>
      <c r="L712" s="364">
        <f>IF($G712="","",IF($H712=1,ROUND($G712/23,0),IF($H712=3,ROUND($G712/12,0),IF($H712=5,$G712-ROUND($G712*10/11,0),IF($H712=8,$G712,0)))))</f>
        <v>0</v>
      </c>
      <c r="M712" s="364">
        <f>IF($G712="","",IF($H712=1,ROUND($G712/23,0),IF($H712=3,ROUND($G712/12,0),IF($H712=6,$G712,IF($H712=7,$G712-ROUND($G712*10/11,0),0)))))</f>
        <v>0</v>
      </c>
      <c r="N712" s="364">
        <f>IF($G712="","",K712+L712+M712)</f>
        <v>0</v>
      </c>
      <c r="O712" s="365" t="str">
        <f>IF($G712="","",IFERROR(VLOOKUP($D712&amp;"|"&amp;$E712,科目表!$A$5:$B$200,2,FALSE),"※未登録"))</f>
        <v>通信運搬費</v>
      </c>
      <c r="P712" s="359">
        <f>IF(OR($G712="",$C712=""),"",IF($B712="決算整理",13,MOD(MONTH($C712)-4,12)+1))</f>
        <v>13</v>
      </c>
      <c r="Q712" s="366" t="str">
        <f>IF($G712="","",TRIM(IF(J712+K712+L712+M712&lt;&gt;$G712,"按分不一致 ","")&amp;IF(O712="※未登録","科目未登録 ","")&amp;IF(OR($H712="",ISERROR(MATCH($H712,{1,2,3,4,5,6,7,8},0))),"経費区分? ","")&amp;IF($I712="","状態未設定 ","")&amp;IF(AND(OR($I712="確認済",$I712="未確認"),$B712="月例",OR($C712="",$C712&lt;DATE(年度+2018,4,1),$C712&gt;DATE(年度+2019,3,31))),"年度外の日付 ","")&amp;IF(AND(OR($I712="確認済",$I712="未確認"),O712="対象外"),"対象外の科目 ","")))</f>
        <v/>
      </c>
      <c r="R712" s="366" t="inlineStr">
        <is>
          <t>決算整理!23</t>
        </is>
      </c>
    </row>
    <row r="713">
      <c r="A713" s="359" t="n">
        <v>709</v>
      </c>
      <c r="B713" s="360" t="inlineStr">
        <is>
          <t>決算整理</t>
        </is>
      </c>
      <c r="C713" s="361" t="n">
        <v>43951</v>
      </c>
      <c r="D713" s="362" t="inlineStr">
        <is>
          <t>事務費</t>
        </is>
      </c>
      <c r="E713" s="362" t="inlineStr">
        <is>
          <t>通信運搬費</t>
        </is>
      </c>
      <c r="F713" s="362" t="inlineStr">
        <is>
          <t>ファクシミリ電話代等分担金（第4四半期）短期</t>
        </is>
      </c>
      <c r="G713" s="363" t="n">
        <v>5952</v>
      </c>
      <c r="H713" s="360" t="n">
        <v>2</v>
      </c>
      <c r="I713" s="360" t="inlineStr">
        <is>
          <t>昨年実績</t>
        </is>
      </c>
      <c r="J713" s="364">
        <f>IF($G713="","",IF($H713=1,$G713-ROUND($G713*10/23,0)-2*ROUND($G713/23,0),IF($H713=2,$G713,0)))</f>
        <v>5952</v>
      </c>
      <c r="K713" s="364">
        <f>IF($G713="","",IF($H713=1,ROUND($G713*10/23,0),IF($H713=3,$G713-2*ROUND($G713/12,0),IF($H713=4,$G713,IF(OR($H713=5,$H713=7),ROUND($G713*10/11,0),0)))))</f>
        <v>0</v>
      </c>
      <c r="L713" s="364">
        <f>IF($G713="","",IF($H713=1,ROUND($G713/23,0),IF($H713=3,ROUND($G713/12,0),IF($H713=5,$G713-ROUND($G713*10/11,0),IF($H713=8,$G713,0)))))</f>
        <v>0</v>
      </c>
      <c r="M713" s="364">
        <f>IF($G713="","",IF($H713=1,ROUND($G713/23,0),IF($H713=3,ROUND($G713/12,0),IF($H713=6,$G713,IF($H713=7,$G713-ROUND($G713*10/11,0),0)))))</f>
        <v>0</v>
      </c>
      <c r="N713" s="364">
        <f>IF($G713="","",K713+L713+M713)</f>
        <v>0</v>
      </c>
      <c r="O713" s="365" t="str">
        <f>IF($G713="","",IFERROR(VLOOKUP($D713&amp;"|"&amp;$E713,科目表!$A$5:$B$200,2,FALSE),"※未登録"))</f>
        <v>通信運搬費</v>
      </c>
      <c r="P713" s="359">
        <f>IF(OR($G713="",$C713=""),"",IF($B713="決算整理",13,MOD(MONTH($C713)-4,12)+1))</f>
        <v>13</v>
      </c>
      <c r="Q713" s="366" t="str">
        <f>IF($G713="","",TRIM(IF(J713+K713+L713+M713&lt;&gt;$G713,"按分不一致 ","")&amp;IF(O713="※未登録","科目未登録 ","")&amp;IF(OR($H713="",ISERROR(MATCH($H713,{1,2,3,4,5,6,7,8},0))),"経費区分? ","")&amp;IF($I713="","状態未設定 ","")&amp;IF(AND(OR($I713="確認済",$I713="未確認"),$B713="月例",OR($C713="",$C713&lt;DATE(年度+2018,4,1),$C713&gt;DATE(年度+2019,3,31))),"年度外の日付 ","")&amp;IF(AND(OR($I713="確認済",$I713="未確認"),O713="対象外"),"対象外の科目 ","")))</f>
        <v/>
      </c>
      <c r="R713" s="366" t="inlineStr">
        <is>
          <t>決算整理!24</t>
        </is>
      </c>
    </row>
    <row r="714">
      <c r="A714" s="359" t="n">
        <v>710</v>
      </c>
      <c r="B714" s="360" t="inlineStr">
        <is>
          <t>決算整理</t>
        </is>
      </c>
      <c r="C714" s="361" t="n">
        <v>43951</v>
      </c>
      <c r="D714" s="362" t="inlineStr">
        <is>
          <t>事務費</t>
        </is>
      </c>
      <c r="E714" s="362" t="inlineStr">
        <is>
          <t>通信運搬費</t>
        </is>
      </c>
      <c r="F714" s="362" t="inlineStr">
        <is>
          <t>行政財産使用電話料（１０～３月分）</t>
        </is>
      </c>
      <c r="G714" s="363" t="n">
        <v>54000</v>
      </c>
      <c r="H714" s="360" t="n">
        <v>2</v>
      </c>
      <c r="I714" s="360" t="inlineStr">
        <is>
          <t>昨年実績</t>
        </is>
      </c>
      <c r="J714" s="364">
        <f>IF($G714="","",IF($H714=1,$G714-ROUND($G714*10/23,0)-2*ROUND($G714/23,0),IF($H714=2,$G714,0)))</f>
        <v>54000</v>
      </c>
      <c r="K714" s="364">
        <f>IF($G714="","",IF($H714=1,ROUND($G714*10/23,0),IF($H714=3,$G714-2*ROUND($G714/12,0),IF($H714=4,$G714,IF(OR($H714=5,$H714=7),ROUND($G714*10/11,0),0)))))</f>
        <v>0</v>
      </c>
      <c r="L714" s="364">
        <f>IF($G714="","",IF($H714=1,ROUND($G714/23,0),IF($H714=3,ROUND($G714/12,0),IF($H714=5,$G714-ROUND($G714*10/11,0),IF($H714=8,$G714,0)))))</f>
        <v>0</v>
      </c>
      <c r="M714" s="364">
        <f>IF($G714="","",IF($H714=1,ROUND($G714/23,0),IF($H714=3,ROUND($G714/12,0),IF($H714=6,$G714,IF($H714=7,$G714-ROUND($G714*10/11,0),0)))))</f>
        <v>0</v>
      </c>
      <c r="N714" s="364">
        <f>IF($G714="","",K714+L714+M714)</f>
        <v>0</v>
      </c>
      <c r="O714" s="365" t="str">
        <f>IF($G714="","",IFERROR(VLOOKUP($D714&amp;"|"&amp;$E714,科目表!$A$5:$B$200,2,FALSE),"※未登録"))</f>
        <v>通信運搬費</v>
      </c>
      <c r="P714" s="359">
        <f>IF(OR($G714="",$C714=""),"",IF($B714="決算整理",13,MOD(MONTH($C714)-4,12)+1))</f>
        <v>13</v>
      </c>
      <c r="Q714" s="366" t="str">
        <f>IF($G714="","",TRIM(IF(J714+K714+L714+M714&lt;&gt;$G714,"按分不一致 ","")&amp;IF(O714="※未登録","科目未登録 ","")&amp;IF(OR($H714="",ISERROR(MATCH($H714,{1,2,3,4,5,6,7,8},0))),"経費区分? ","")&amp;IF($I714="","状態未設定 ","")&amp;IF(AND(OR($I714="確認済",$I714="未確認"),$B714="月例",OR($C714="",$C714&lt;DATE(年度+2018,4,1),$C714&gt;DATE(年度+2019,3,31))),"年度外の日付 ","")&amp;IF(AND(OR($I714="確認済",$I714="未確認"),O714="対象外"),"対象外の科目 ","")))</f>
        <v/>
      </c>
      <c r="R714" s="366" t="inlineStr">
        <is>
          <t>決算整理!25</t>
        </is>
      </c>
    </row>
    <row r="715">
      <c r="A715" s="359" t="n">
        <v>711</v>
      </c>
      <c r="B715" s="360" t="inlineStr">
        <is>
          <t>決算整理</t>
        </is>
      </c>
      <c r="C715" s="361" t="n">
        <v>45383</v>
      </c>
      <c r="D715" s="362" t="inlineStr">
        <is>
          <t>事務費</t>
        </is>
      </c>
      <c r="E715" s="362" t="inlineStr">
        <is>
          <t>通信運搬費</t>
        </is>
      </c>
      <c r="F715" s="362" t="inlineStr">
        <is>
          <t>インターネット通信料金（１月・２月使用・３月請求分）</t>
        </is>
      </c>
      <c r="G715" s="363" t="n">
        <v>3415</v>
      </c>
      <c r="H715" s="360" t="n">
        <v>2</v>
      </c>
      <c r="I715" s="360" t="inlineStr">
        <is>
          <t>昨年実績</t>
        </is>
      </c>
      <c r="J715" s="364">
        <f>IF($G715="","",IF($H715=1,$G715-ROUND($G715*10/23,0)-2*ROUND($G715/23,0),IF($H715=2,$G715,0)))</f>
        <v>3415</v>
      </c>
      <c r="K715" s="364">
        <f>IF($G715="","",IF($H715=1,ROUND($G715*10/23,0),IF($H715=3,$G715-2*ROUND($G715/12,0),IF($H715=4,$G715,IF(OR($H715=5,$H715=7),ROUND($G715*10/11,0),0)))))</f>
        <v>0</v>
      </c>
      <c r="L715" s="364">
        <f>IF($G715="","",IF($H715=1,ROUND($G715/23,0),IF($H715=3,ROUND($G715/12,0),IF($H715=5,$G715-ROUND($G715*10/11,0),IF($H715=8,$G715,0)))))</f>
        <v>0</v>
      </c>
      <c r="M715" s="364">
        <f>IF($G715="","",IF($H715=1,ROUND($G715/23,0),IF($H715=3,ROUND($G715/12,0),IF($H715=6,$G715,IF($H715=7,$G715-ROUND($G715*10/11,0),0)))))</f>
        <v>0</v>
      </c>
      <c r="N715" s="364">
        <f>IF($G715="","",K715+L715+M715)</f>
        <v>0</v>
      </c>
      <c r="O715" s="365" t="str">
        <f>IF($G715="","",IFERROR(VLOOKUP($D715&amp;"|"&amp;$E715,科目表!$A$5:$B$200,2,FALSE),"※未登録"))</f>
        <v>通信運搬費</v>
      </c>
      <c r="P715" s="359">
        <f>IF(OR($G715="",$C715=""),"",IF($B715="決算整理",13,MOD(MONTH($C715)-4,12)+1))</f>
        <v>13</v>
      </c>
      <c r="Q715" s="366" t="str">
        <f>IF($G715="","",TRIM(IF(J715+K715+L715+M715&lt;&gt;$G715,"按分不一致 ","")&amp;IF(O715="※未登録","科目未登録 ","")&amp;IF(OR($H715="",ISERROR(MATCH($H715,{1,2,3,4,5,6,7,8},0))),"経費区分? ","")&amp;IF($I715="","状態未設定 ","")&amp;IF(AND(OR($I715="確認済",$I715="未確認"),$B715="月例",OR($C715="",$C715&lt;DATE(年度+2018,4,1),$C715&gt;DATE(年度+2019,3,31))),"年度外の日付 ","")&amp;IF(AND(OR($I715="確認済",$I715="未確認"),O715="対象外"),"対象外の科目 ","")))</f>
        <v/>
      </c>
      <c r="R715" s="366" t="inlineStr">
        <is>
          <t>決算整理!26</t>
        </is>
      </c>
    </row>
    <row r="716">
      <c r="A716" s="359" t="n">
        <v>712</v>
      </c>
      <c r="B716" s="360" t="inlineStr">
        <is>
          <t>決算整理</t>
        </is>
      </c>
      <c r="C716" s="361" t="n">
        <v>46127</v>
      </c>
      <c r="D716" s="362" t="inlineStr">
        <is>
          <t>賃金</t>
        </is>
      </c>
      <c r="E716" s="362" t="n"/>
      <c r="F716" s="362" t="inlineStr">
        <is>
          <t>臨時職員賃金３月分　佐藤幸恵他１名分（短期１００％）</t>
        </is>
      </c>
      <c r="G716" s="363" t="n">
        <v>376346</v>
      </c>
      <c r="H716" s="360" t="n">
        <v>2</v>
      </c>
      <c r="I716" s="360" t="inlineStr">
        <is>
          <t>昨年実績</t>
        </is>
      </c>
      <c r="J716" s="364">
        <f>IF($G716="","",IF($H716=1,$G716-ROUND($G716*10/23,0)-2*ROUND($G716/23,0),IF($H716=2,$G716,0)))</f>
        <v>376346</v>
      </c>
      <c r="K716" s="364">
        <f>IF($G716="","",IF($H716=1,ROUND($G716*10/23,0),IF($H716=3,$G716-2*ROUND($G716/12,0),IF($H716=4,$G716,IF(OR($H716=5,$H716=7),ROUND($G716*10/11,0),0)))))</f>
        <v>0</v>
      </c>
      <c r="L716" s="364">
        <f>IF($G716="","",IF($H716=1,ROUND($G716/23,0),IF($H716=3,ROUND($G716/12,0),IF($H716=5,$G716-ROUND($G716*10/11,0),IF($H716=8,$G716,0)))))</f>
        <v>0</v>
      </c>
      <c r="M716" s="364">
        <f>IF($G716="","",IF($H716=1,ROUND($G716/23,0),IF($H716=3,ROUND($G716/12,0),IF($H716=6,$G716,IF($H716=7,$G716-ROUND($G716*10/11,0),0)))))</f>
        <v>0</v>
      </c>
      <c r="N716" s="364">
        <f>IF($G716="","",K716+L716+M716)</f>
        <v>0</v>
      </c>
      <c r="O716" s="365" t="str">
        <f>IF($G716="","",IFERROR(VLOOKUP($D716&amp;"|"&amp;$E716,科目表!$A$5:$B$200,2,FALSE),"※未登録"))</f>
        <v>賃金</v>
      </c>
      <c r="P716" s="359">
        <f>IF(OR($G716="",$C716=""),"",IF($B716="決算整理",13,MOD(MONTH($C716)-4,12)+1))</f>
        <v>13</v>
      </c>
      <c r="Q716" s="366" t="str">
        <f>IF($G716="","",TRIM(IF(J716+K716+L716+M716&lt;&gt;$G716,"按分不一致 ","")&amp;IF(O716="※未登録","科目未登録 ","")&amp;IF(OR($H716="",ISERROR(MATCH($H716,{1,2,3,4,5,6,7,8},0))),"経費区分? ","")&amp;IF($I716="","状態未設定 ","")&amp;IF(AND(OR($I716="確認済",$I716="未確認"),$B716="月例",OR($C716="",$C716&lt;DATE(年度+2018,4,1),$C716&gt;DATE(年度+2019,3,31))),"年度外の日付 ","")&amp;IF(AND(OR($I716="確認済",$I716="未確認"),O716="対象外"),"対象外の科目 ","")))</f>
        <v/>
      </c>
      <c r="R716" s="366" t="inlineStr">
        <is>
          <t>決算整理!27</t>
        </is>
      </c>
    </row>
    <row r="717">
      <c r="A717" s="359" t="n">
        <v>713</v>
      </c>
      <c r="B717" s="360" t="inlineStr">
        <is>
          <t>決算整理</t>
        </is>
      </c>
      <c r="C717" s="361" t="n">
        <v>46127</v>
      </c>
      <c r="D717" s="362" t="inlineStr">
        <is>
          <t>賃借料</t>
        </is>
      </c>
      <c r="E717" s="362" t="n"/>
      <c r="F717" s="362" t="inlineStr">
        <is>
          <t>パソコン（業務経理用）3月分</t>
        </is>
      </c>
      <c r="G717" s="363" t="n">
        <v>5060</v>
      </c>
      <c r="H717" s="360" t="n">
        <v>2</v>
      </c>
      <c r="I717" s="360" t="inlineStr">
        <is>
          <t>昨年実績</t>
        </is>
      </c>
      <c r="J717" s="364">
        <f>IF($G717="","",IF($H717=1,$G717-ROUND($G717*10/23,0)-2*ROUND($G717/23,0),IF($H717=2,$G717,0)))</f>
        <v>5060</v>
      </c>
      <c r="K717" s="364">
        <f>IF($G717="","",IF($H717=1,ROUND($G717*10/23,0),IF($H717=3,$G717-2*ROUND($G717/12,0),IF($H717=4,$G717,IF(OR($H717=5,$H717=7),ROUND($G717*10/11,0),0)))))</f>
        <v>0</v>
      </c>
      <c r="L717" s="364">
        <f>IF($G717="","",IF($H717=1,ROUND($G717/23,0),IF($H717=3,ROUND($G717/12,0),IF($H717=5,$G717-ROUND($G717*10/11,0),IF($H717=8,$G717,0)))))</f>
        <v>0</v>
      </c>
      <c r="M717" s="364">
        <f>IF($G717="","",IF($H717=1,ROUND($G717/23,0),IF($H717=3,ROUND($G717/12,0),IF($H717=6,$G717,IF($H717=7,$G717-ROUND($G717*10/11,0),0)))))</f>
        <v>0</v>
      </c>
      <c r="N717" s="364">
        <f>IF($G717="","",K717+L717+M717)</f>
        <v>0</v>
      </c>
      <c r="O717" s="365" t="str">
        <f>IF($G717="","",IFERROR(VLOOKUP($D717&amp;"|"&amp;$E717,科目表!$A$5:$B$200,2,FALSE),"※未登録"))</f>
        <v>賃借料</v>
      </c>
      <c r="P717" s="359">
        <f>IF(OR($G717="",$C717=""),"",IF($B717="決算整理",13,MOD(MONTH($C717)-4,12)+1))</f>
        <v>13</v>
      </c>
      <c r="Q717" s="366" t="str">
        <f>IF($G717="","",TRIM(IF(J717+K717+L717+M717&lt;&gt;$G717,"按分不一致 ","")&amp;IF(O717="※未登録","科目未登録 ","")&amp;IF(OR($H717="",ISERROR(MATCH($H717,{1,2,3,4,5,6,7,8},0))),"経費区分? ","")&amp;IF($I717="","状態未設定 ","")&amp;IF(AND(OR($I717="確認済",$I717="未確認"),$B717="月例",OR($C717="",$C717&lt;DATE(年度+2018,4,1),$C717&gt;DATE(年度+2019,3,31))),"年度外の日付 ","")&amp;IF(AND(OR($I717="確認済",$I717="未確認"),O717="対象外"),"対象外の科目 ","")))</f>
        <v/>
      </c>
      <c r="R717" s="366" t="inlineStr">
        <is>
          <t>決算整理!28</t>
        </is>
      </c>
    </row>
    <row r="718">
      <c r="A718" s="359" t="n">
        <v>714</v>
      </c>
      <c r="B718" s="360" t="inlineStr">
        <is>
          <t>決算整理</t>
        </is>
      </c>
      <c r="C718" s="361" t="n">
        <v>44316</v>
      </c>
      <c r="D718" s="362" t="inlineStr">
        <is>
          <t>事務費</t>
        </is>
      </c>
      <c r="E718" s="362" t="inlineStr">
        <is>
          <t>事務用消耗品費</t>
        </is>
      </c>
      <c r="F718" s="362" t="inlineStr">
        <is>
          <t>リサイクルトナー　ＬＰＢ３Ｔ２７</t>
        </is>
      </c>
      <c r="G718" s="363" t="n">
        <v>49500</v>
      </c>
      <c r="H718" s="360" t="n">
        <v>2</v>
      </c>
      <c r="I718" s="360" t="inlineStr">
        <is>
          <t>昨年実績</t>
        </is>
      </c>
      <c r="J718" s="364">
        <f>IF($G718="","",IF($H718=1,$G718-ROUND($G718*10/23,0)-2*ROUND($G718/23,0),IF($H718=2,$G718,0)))</f>
        <v>49500</v>
      </c>
      <c r="K718" s="364">
        <f>IF($G718="","",IF($H718=1,ROUND($G718*10/23,0),IF($H718=3,$G718-2*ROUND($G718/12,0),IF($H718=4,$G718,IF(OR($H718=5,$H718=7),ROUND($G718*10/11,0),0)))))</f>
        <v>0</v>
      </c>
      <c r="L718" s="364">
        <f>IF($G718="","",IF($H718=1,ROUND($G718/23,0),IF($H718=3,ROUND($G718/12,0),IF($H718=5,$G718-ROUND($G718*10/11,0),IF($H718=8,$G718,0)))))</f>
        <v>0</v>
      </c>
      <c r="M718" s="364">
        <f>IF($G718="","",IF($H718=1,ROUND($G718/23,0),IF($H718=3,ROUND($G718/12,0),IF($H718=6,$G718,IF($H718=7,$G718-ROUND($G718*10/11,0),0)))))</f>
        <v>0</v>
      </c>
      <c r="N718" s="364">
        <f>IF($G718="","",K718+L718+M718)</f>
        <v>0</v>
      </c>
      <c r="O718" s="365" t="str">
        <f>IF($G718="","",IFERROR(VLOOKUP($D718&amp;"|"&amp;$E718,科目表!$A$5:$B$200,2,FALSE),"※未登録"))</f>
        <v>事務用消耗品費</v>
      </c>
      <c r="P718" s="359">
        <f>IF(OR($G718="",$C718=""),"",IF($B718="決算整理",13,MOD(MONTH($C718)-4,12)+1))</f>
        <v>13</v>
      </c>
      <c r="Q718" s="366" t="str">
        <f>IF($G718="","",TRIM(IF(J718+K718+L718+M718&lt;&gt;$G718,"按分不一致 ","")&amp;IF(O718="※未登録","科目未登録 ","")&amp;IF(OR($H718="",ISERROR(MATCH($H718,{1,2,3,4,5,6,7,8},0))),"経費区分? ","")&amp;IF($I718="","状態未設定 ","")&amp;IF(AND(OR($I718="確認済",$I718="未確認"),$B718="月例",OR($C718="",$C718&lt;DATE(年度+2018,4,1),$C718&gt;DATE(年度+2019,3,31))),"年度外の日付 ","")&amp;IF(AND(OR($I718="確認済",$I718="未確認"),O718="対象外"),"対象外の科目 ","")))</f>
        <v/>
      </c>
      <c r="R718" s="366" t="inlineStr">
        <is>
          <t>決算整理!29</t>
        </is>
      </c>
    </row>
    <row r="719">
      <c r="A719" s="359" t="n">
        <v>715</v>
      </c>
      <c r="B719" s="360" t="inlineStr">
        <is>
          <t>決算整理</t>
        </is>
      </c>
      <c r="C719" s="361" t="n">
        <v>46140</v>
      </c>
      <c r="D719" s="362" t="inlineStr">
        <is>
          <t>賃借料</t>
        </is>
      </c>
      <c r="E719" s="362" t="n"/>
      <c r="F719" s="362" t="inlineStr">
        <is>
          <t>サーバーラック賃借料　（短期）</t>
        </is>
      </c>
      <c r="G719" s="363" t="n">
        <v>156144</v>
      </c>
      <c r="H719" s="360" t="n">
        <v>2</v>
      </c>
      <c r="I719" s="360" t="inlineStr">
        <is>
          <t>昨年実績</t>
        </is>
      </c>
      <c r="J719" s="364">
        <f>IF($G719="","",IF($H719=1,$G719-ROUND($G719*10/23,0)-2*ROUND($G719/23,0),IF($H719=2,$G719,0)))</f>
        <v>156144</v>
      </c>
      <c r="K719" s="364">
        <f>IF($G719="","",IF($H719=1,ROUND($G719*10/23,0),IF($H719=3,$G719-2*ROUND($G719/12,0),IF($H719=4,$G719,IF(OR($H719=5,$H719=7),ROUND($G719*10/11,0),0)))))</f>
        <v>0</v>
      </c>
      <c r="L719" s="364">
        <f>IF($G719="","",IF($H719=1,ROUND($G719/23,0),IF($H719=3,ROUND($G719/12,0),IF($H719=5,$G719-ROUND($G719*10/11,0),IF($H719=8,$G719,0)))))</f>
        <v>0</v>
      </c>
      <c r="M719" s="364">
        <f>IF($G719="","",IF($H719=1,ROUND($G719/23,0),IF($H719=3,ROUND($G719/12,0),IF($H719=6,$G719,IF($H719=7,$G719-ROUND($G719*10/11,0),0)))))</f>
        <v>0</v>
      </c>
      <c r="N719" s="364">
        <f>IF($G719="","",K719+L719+M719)</f>
        <v>0</v>
      </c>
      <c r="O719" s="365" t="str">
        <f>IF($G719="","",IFERROR(VLOOKUP($D719&amp;"|"&amp;$E719,科目表!$A$5:$B$200,2,FALSE),"※未登録"))</f>
        <v>賃借料</v>
      </c>
      <c r="P719" s="359">
        <f>IF(OR($G719="",$C719=""),"",IF($B719="決算整理",13,MOD(MONTH($C719)-4,12)+1))</f>
        <v>13</v>
      </c>
      <c r="Q719" s="366" t="str">
        <f>IF($G719="","",TRIM(IF(J719+K719+L719+M719&lt;&gt;$G719,"按分不一致 ","")&amp;IF(O719="※未登録","科目未登録 ","")&amp;IF(OR($H719="",ISERROR(MATCH($H719,{1,2,3,4,5,6,7,8},0))),"経費区分? ","")&amp;IF($I719="","状態未設定 ","")&amp;IF(AND(OR($I719="確認済",$I719="未確認"),$B719="月例",OR($C719="",$C719&lt;DATE(年度+2018,4,1),$C719&gt;DATE(年度+2019,3,31))),"年度外の日付 ","")&amp;IF(AND(OR($I719="確認済",$I719="未確認"),O719="対象外"),"対象外の科目 ","")))</f>
        <v/>
      </c>
      <c r="R719" s="366" t="inlineStr">
        <is>
          <t>決算整理!30</t>
        </is>
      </c>
    </row>
    <row r="720">
      <c r="A720" s="359" t="n">
        <v>716</v>
      </c>
      <c r="B720" s="360" t="inlineStr">
        <is>
          <t>決算整理</t>
        </is>
      </c>
      <c r="C720" s="361" t="n">
        <v>45397</v>
      </c>
      <c r="D720" s="362" t="inlineStr">
        <is>
          <t>賃借料</t>
        </is>
      </c>
      <c r="E720" s="362" t="n"/>
      <c r="F720" s="362" t="inlineStr">
        <is>
          <t>サーバーラック賃借料　（長期）</t>
        </is>
      </c>
      <c r="G720" s="363" t="n">
        <v>372</v>
      </c>
      <c r="H720" s="360" t="n">
        <v>3</v>
      </c>
      <c r="I720" s="360" t="inlineStr">
        <is>
          <t>昨年実績</t>
        </is>
      </c>
      <c r="J720" s="364">
        <f>IF($G720="","",IF($H720=1,$G720-ROUND($G720*10/23,0)-2*ROUND($G720/23,0),IF($H720=2,$G720,0)))</f>
        <v>0</v>
      </c>
      <c r="K720" s="364">
        <f>IF($G720="","",IF($H720=1,ROUND($G720*10/23,0),IF($H720=3,$G720-2*ROUND($G720/12,0),IF($H720=4,$G720,IF(OR($H720=5,$H720=7),ROUND($G720*10/11,0),0)))))</f>
        <v>310</v>
      </c>
      <c r="L720" s="364">
        <f>IF($G720="","",IF($H720=1,ROUND($G720/23,0),IF($H720=3,ROUND($G720/12,0),IF($H720=5,$G720-ROUND($G720*10/11,0),IF($H720=8,$G720,0)))))</f>
        <v>31</v>
      </c>
      <c r="M720" s="364">
        <f>IF($G720="","",IF($H720=1,ROUND($G720/23,0),IF($H720=3,ROUND($G720/12,0),IF($H720=6,$G720,IF($H720=7,$G720-ROUND($G720*10/11,0),0)))))</f>
        <v>31</v>
      </c>
      <c r="N720" s="364">
        <f>IF($G720="","",K720+L720+M720)</f>
        <v>372</v>
      </c>
      <c r="O720" s="365" t="str">
        <f>IF($G720="","",IFERROR(VLOOKUP($D720&amp;"|"&amp;$E720,科目表!$A$5:$B$200,2,FALSE),"※未登録"))</f>
        <v>賃借料</v>
      </c>
      <c r="P720" s="359">
        <f>IF(OR($G720="",$C720=""),"",IF($B720="決算整理",13,MOD(MONTH($C720)-4,12)+1))</f>
        <v>13</v>
      </c>
      <c r="Q720" s="366" t="str">
        <f>IF($G720="","",TRIM(IF(J720+K720+L720+M720&lt;&gt;$G720,"按分不一致 ","")&amp;IF(O720="※未登録","科目未登録 ","")&amp;IF(OR($H720="",ISERROR(MATCH($H720,{1,2,3,4,5,6,7,8},0))),"経費区分? ","")&amp;IF($I720="","状態未設定 ","")&amp;IF(AND(OR($I720="確認済",$I720="未確認"),$B720="月例",OR($C720="",$C720&lt;DATE(年度+2018,4,1),$C720&gt;DATE(年度+2019,3,31))),"年度外の日付 ","")&amp;IF(AND(OR($I720="確認済",$I720="未確認"),O720="対象外"),"対象外の科目 ","")))</f>
        <v/>
      </c>
      <c r="R720" s="366" t="inlineStr">
        <is>
          <t>決算整理!31</t>
        </is>
      </c>
    </row>
    <row r="721">
      <c r="A721" s="359" t="n">
        <v>717</v>
      </c>
      <c r="B721" s="360" t="inlineStr">
        <is>
          <t>決算整理</t>
        </is>
      </c>
      <c r="C721" s="361" t="n">
        <v>44679</v>
      </c>
      <c r="D721" s="362" t="inlineStr">
        <is>
          <t>賃借料</t>
        </is>
      </c>
      <c r="E721" s="362" t="n"/>
      <c r="F721" s="362" t="inlineStr">
        <is>
          <t>病院機構人給システム（パソコン・プリンタ使用料）短期</t>
        </is>
      </c>
      <c r="G721" s="363" t="n">
        <v>25902</v>
      </c>
      <c r="H721" s="360" t="n">
        <v>2</v>
      </c>
      <c r="I721" s="360" t="inlineStr">
        <is>
          <t>昨年実績</t>
        </is>
      </c>
      <c r="J721" s="364">
        <f>IF($G721="","",IF($H721=1,$G721-ROUND($G721*10/23,0)-2*ROUND($G721/23,0),IF($H721=2,$G721,0)))</f>
        <v>25902</v>
      </c>
      <c r="K721" s="364">
        <f>IF($G721="","",IF($H721=1,ROUND($G721*10/23,0),IF($H721=3,$G721-2*ROUND($G721/12,0),IF($H721=4,$G721,IF(OR($H721=5,$H721=7),ROUND($G721*10/11,0),0)))))</f>
        <v>0</v>
      </c>
      <c r="L721" s="364">
        <f>IF($G721="","",IF($H721=1,ROUND($G721/23,0),IF($H721=3,ROUND($G721/12,0),IF($H721=5,$G721-ROUND($G721*10/11,0),IF($H721=8,$G721,0)))))</f>
        <v>0</v>
      </c>
      <c r="M721" s="364">
        <f>IF($G721="","",IF($H721=1,ROUND($G721/23,0),IF($H721=3,ROUND($G721/12,0),IF($H721=6,$G721,IF($H721=7,$G721-ROUND($G721*10/11,0),0)))))</f>
        <v>0</v>
      </c>
      <c r="N721" s="364">
        <f>IF($G721="","",K721+L721+M721)</f>
        <v>0</v>
      </c>
      <c r="O721" s="365" t="str">
        <f>IF($G721="","",IFERROR(VLOOKUP($D721&amp;"|"&amp;$E721,科目表!$A$5:$B$200,2,FALSE),"※未登録"))</f>
        <v>賃借料</v>
      </c>
      <c r="P721" s="359">
        <f>IF(OR($G721="",$C721=""),"",IF($B721="決算整理",13,MOD(MONTH($C721)-4,12)+1))</f>
        <v>13</v>
      </c>
      <c r="Q721" s="366" t="str">
        <f>IF($G721="","",TRIM(IF(J721+K721+L721+M721&lt;&gt;$G721,"按分不一致 ","")&amp;IF(O721="※未登録","科目未登録 ","")&amp;IF(OR($H721="",ISERROR(MATCH($H721,{1,2,3,4,5,6,7,8},0))),"経費区分? ","")&amp;IF($I721="","状態未設定 ","")&amp;IF(AND(OR($I721="確認済",$I721="未確認"),$B721="月例",OR($C721="",$C721&lt;DATE(年度+2018,4,1),$C721&gt;DATE(年度+2019,3,31))),"年度外の日付 ","")&amp;IF(AND(OR($I721="確認済",$I721="未確認"),O721="対象外"),"対象外の科目 ","")))</f>
        <v/>
      </c>
      <c r="R721" s="366" t="inlineStr">
        <is>
          <t>決算整理!32</t>
        </is>
      </c>
    </row>
    <row r="722">
      <c r="A722" s="359" t="n">
        <v>718</v>
      </c>
      <c r="B722" s="360" t="inlineStr">
        <is>
          <t>決算整理</t>
        </is>
      </c>
      <c r="C722" s="361" t="n">
        <v>46128</v>
      </c>
      <c r="D722" s="362" t="inlineStr">
        <is>
          <t>賃借料</t>
        </is>
      </c>
      <c r="E722" s="362" t="n"/>
      <c r="F722" s="362" t="inlineStr">
        <is>
          <t>統合管理端末リース料（３月分）</t>
        </is>
      </c>
      <c r="G722" s="363" t="n">
        <v>12738</v>
      </c>
      <c r="H722" s="360" t="n">
        <v>2</v>
      </c>
      <c r="I722" s="360" t="inlineStr">
        <is>
          <t>昨年実績</t>
        </is>
      </c>
      <c r="J722" s="364">
        <f>IF($G722="","",IF($H722=1,$G722-ROUND($G722*10/23,0)-2*ROUND($G722/23,0),IF($H722=2,$G722,0)))</f>
        <v>12738</v>
      </c>
      <c r="K722" s="364">
        <f>IF($G722="","",IF($H722=1,ROUND($G722*10/23,0),IF($H722=3,$G722-2*ROUND($G722/12,0),IF($H722=4,$G722,IF(OR($H722=5,$H722=7),ROUND($G722*10/11,0),0)))))</f>
        <v>0</v>
      </c>
      <c r="L722" s="364">
        <f>IF($G722="","",IF($H722=1,ROUND($G722/23,0),IF($H722=3,ROUND($G722/12,0),IF($H722=5,$G722-ROUND($G722*10/11,0),IF($H722=8,$G722,0)))))</f>
        <v>0</v>
      </c>
      <c r="M722" s="364">
        <f>IF($G722="","",IF($H722=1,ROUND($G722/23,0),IF($H722=3,ROUND($G722/12,0),IF($H722=6,$G722,IF($H722=7,$G722-ROUND($G722*10/11,0),0)))))</f>
        <v>0</v>
      </c>
      <c r="N722" s="364">
        <f>IF($G722="","",K722+L722+M722)</f>
        <v>0</v>
      </c>
      <c r="O722" s="365" t="str">
        <f>IF($G722="","",IFERROR(VLOOKUP($D722&amp;"|"&amp;$E722,科目表!$A$5:$B$200,2,FALSE),"※未登録"))</f>
        <v>賃借料</v>
      </c>
      <c r="P722" s="359">
        <f>IF(OR($G722="",$C722=""),"",IF($B722="決算整理",13,MOD(MONTH($C722)-4,12)+1))</f>
        <v>13</v>
      </c>
      <c r="Q722" s="366" t="str">
        <f>IF($G722="","",TRIM(IF(J722+K722+L722+M722&lt;&gt;$G722,"按分不一致 ","")&amp;IF(O722="※未登録","科目未登録 ","")&amp;IF(OR($H722="",ISERROR(MATCH($H722,{1,2,3,4,5,6,7,8},0))),"経費区分? ","")&amp;IF($I722="","状態未設定 ","")&amp;IF(AND(OR($I722="確認済",$I722="未確認"),$B722="月例",OR($C722="",$C722&lt;DATE(年度+2018,4,1),$C722&gt;DATE(年度+2019,3,31))),"年度外の日付 ","")&amp;IF(AND(OR($I722="確認済",$I722="未確認"),O722="対象外"),"対象外の科目 ","")))</f>
        <v/>
      </c>
      <c r="R722" s="366" t="inlineStr">
        <is>
          <t>決算整理!33</t>
        </is>
      </c>
    </row>
    <row r="723">
      <c r="A723" s="359" t="n">
        <v>719</v>
      </c>
      <c r="B723" s="360" t="inlineStr">
        <is>
          <t>決算整理</t>
        </is>
      </c>
      <c r="C723" s="361" t="n">
        <v>43951</v>
      </c>
      <c r="D723" s="362" t="inlineStr">
        <is>
          <t>普及費</t>
        </is>
      </c>
      <c r="E723" s="362" t="n"/>
      <c r="F723" s="362" t="inlineStr">
        <is>
          <t>厚生だより等印刷代分担金（第4四半期）短期</t>
        </is>
      </c>
      <c r="G723" s="363" t="n">
        <v>532196</v>
      </c>
      <c r="H723" s="360" t="n">
        <v>2</v>
      </c>
      <c r="I723" s="360" t="inlineStr">
        <is>
          <t>昨年実績</t>
        </is>
      </c>
      <c r="J723" s="364">
        <f>IF($G723="","",IF($H723=1,$G723-ROUND($G723*10/23,0)-2*ROUND($G723/23,0),IF($H723=2,$G723,0)))</f>
        <v>532196</v>
      </c>
      <c r="K723" s="364">
        <f>IF($G723="","",IF($H723=1,ROUND($G723*10/23,0),IF($H723=3,$G723-2*ROUND($G723/12,0),IF($H723=4,$G723,IF(OR($H723=5,$H723=7),ROUND($G723*10/11,0),0)))))</f>
        <v>0</v>
      </c>
      <c r="L723" s="364">
        <f>IF($G723="","",IF($H723=1,ROUND($G723/23,0),IF($H723=3,ROUND($G723/12,0),IF($H723=5,$G723-ROUND($G723*10/11,0),IF($H723=8,$G723,0)))))</f>
        <v>0</v>
      </c>
      <c r="M723" s="364">
        <f>IF($G723="","",IF($H723=1,ROUND($G723/23,0),IF($H723=3,ROUND($G723/12,0),IF($H723=6,$G723,IF($H723=7,$G723-ROUND($G723*10/11,0),0)))))</f>
        <v>0</v>
      </c>
      <c r="N723" s="364">
        <f>IF($G723="","",K723+L723+M723)</f>
        <v>0</v>
      </c>
      <c r="O723" s="365" t="str">
        <f>IF($G723="","",IFERROR(VLOOKUP($D723&amp;"|"&amp;$E723,科目表!$A$5:$B$200,2,FALSE),"※未登録"))</f>
        <v>普及費</v>
      </c>
      <c r="P723" s="359">
        <f>IF(OR($G723="",$C723=""),"",IF($B723="決算整理",13,MOD(MONTH($C723)-4,12)+1))</f>
        <v>13</v>
      </c>
      <c r="Q723" s="366" t="str">
        <f>IF($G723="","",TRIM(IF(J723+K723+L723+M723&lt;&gt;$G723,"按分不一致 ","")&amp;IF(O723="※未登録","科目未登録 ","")&amp;IF(OR($H723="",ISERROR(MATCH($H723,{1,2,3,4,5,6,7,8},0))),"経費区分? ","")&amp;IF($I723="","状態未設定 ","")&amp;IF(AND(OR($I723="確認済",$I723="未確認"),$B723="月例",OR($C723="",$C723&lt;DATE(年度+2018,4,1),$C723&gt;DATE(年度+2019,3,31))),"年度外の日付 ","")&amp;IF(AND(OR($I723="確認済",$I723="未確認"),O723="対象外"),"対象外の科目 ","")))</f>
        <v/>
      </c>
      <c r="R723" s="366" t="inlineStr">
        <is>
          <t>決算整理!34</t>
        </is>
      </c>
    </row>
    <row r="724">
      <c r="A724" s="359" t="n">
        <v>720</v>
      </c>
      <c r="B724" s="360" t="inlineStr">
        <is>
          <t>決算整理</t>
        </is>
      </c>
      <c r="C724" s="361" t="n">
        <v>43951</v>
      </c>
      <c r="D724" s="362" t="inlineStr">
        <is>
          <t>負担金</t>
        </is>
      </c>
      <c r="E724" s="362" t="inlineStr">
        <is>
          <t>厚年負担金等</t>
        </is>
      </c>
      <c r="F724" s="362" t="inlineStr">
        <is>
          <t>３月月例+３月賞与分（短期分）子ども子育て拠出金を含む</t>
        </is>
      </c>
      <c r="G724" s="363" t="n">
        <v>49538</v>
      </c>
      <c r="H724" s="360" t="n">
        <v>2</v>
      </c>
      <c r="I724" s="360" t="inlineStr">
        <is>
          <t>昨年実績</t>
        </is>
      </c>
      <c r="J724" s="364">
        <f>IF($G724="","",IF($H724=1,$G724-ROUND($G724*10/23,0)-2*ROUND($G724/23,0),IF($H724=2,$G724,0)))</f>
        <v>49538</v>
      </c>
      <c r="K724" s="364">
        <f>IF($G724="","",IF($H724=1,ROUND($G724*10/23,0),IF($H724=3,$G724-2*ROUND($G724/12,0),IF($H724=4,$G724,IF(OR($H724=5,$H724=7),ROUND($G724*10/11,0),0)))))</f>
        <v>0</v>
      </c>
      <c r="L724" s="364">
        <f>IF($G724="","",IF($H724=1,ROUND($G724/23,0),IF($H724=3,ROUND($G724/12,0),IF($H724=5,$G724-ROUND($G724*10/11,0),IF($H724=8,$G724,0)))))</f>
        <v>0</v>
      </c>
      <c r="M724" s="364">
        <f>IF($G724="","",IF($H724=1,ROUND($G724/23,0),IF($H724=3,ROUND($G724/12,0),IF($H724=6,$G724,IF($H724=7,$G724-ROUND($G724*10/11,0),0)))))</f>
        <v>0</v>
      </c>
      <c r="N724" s="364">
        <f>IF($G724="","",K724+L724+M724)</f>
        <v>0</v>
      </c>
      <c r="O724" s="365" t="str">
        <f>IF($G724="","",IFERROR(VLOOKUP($D724&amp;"|"&amp;$E724,科目表!$A$5:$B$200,2,FALSE),"※未登録"))</f>
        <v>厚年負担金等</v>
      </c>
      <c r="P724" s="359">
        <f>IF(OR($G724="",$C724=""),"",IF($B724="決算整理",13,MOD(MONTH($C724)-4,12)+1))</f>
        <v>13</v>
      </c>
      <c r="Q724" s="366" t="str">
        <f>IF($G724="","",TRIM(IF(J724+K724+L724+M724&lt;&gt;$G724,"按分不一致 ","")&amp;IF(O724="※未登録","科目未登録 ","")&amp;IF(OR($H724="",ISERROR(MATCH($H724,{1,2,3,4,5,6,7,8},0))),"経費区分? ","")&amp;IF($I724="","状態未設定 ","")&amp;IF(AND(OR($I724="確認済",$I724="未確認"),$B724="月例",OR($C724="",$C724&lt;DATE(年度+2018,4,1),$C724&gt;DATE(年度+2019,3,31))),"年度外の日付 ","")&amp;IF(AND(OR($I724="確認済",$I724="未確認"),O724="対象外"),"対象外の科目 ","")))</f>
        <v/>
      </c>
      <c r="R724" s="366" t="inlineStr">
        <is>
          <t>決算整理!35</t>
        </is>
      </c>
    </row>
    <row r="725">
      <c r="A725" s="359" t="n">
        <v>721</v>
      </c>
      <c r="B725" s="360" t="inlineStr">
        <is>
          <t>決算整理</t>
        </is>
      </c>
      <c r="C725" s="361" t="n">
        <v>43951</v>
      </c>
      <c r="D725" s="362" t="inlineStr">
        <is>
          <t>負担金</t>
        </is>
      </c>
      <c r="E725" s="362" t="inlineStr">
        <is>
          <t>協会けんぽ保険料等</t>
        </is>
      </c>
      <c r="F725" s="362" t="inlineStr">
        <is>
          <t>３月月例+３月賞与分（短期分）</t>
        </is>
      </c>
      <c r="G725" s="363" t="n">
        <v>28829</v>
      </c>
      <c r="H725" s="360" t="n">
        <v>2</v>
      </c>
      <c r="I725" s="360" t="inlineStr">
        <is>
          <t>昨年実績</t>
        </is>
      </c>
      <c r="J725" s="364">
        <f>IF($G725="","",IF($H725=1,$G725-ROUND($G725*10/23,0)-2*ROUND($G725/23,0),IF($H725=2,$G725,0)))</f>
        <v>28829</v>
      </c>
      <c r="K725" s="364">
        <f>IF($G725="","",IF($H725=1,ROUND($G725*10/23,0),IF($H725=3,$G725-2*ROUND($G725/12,0),IF($H725=4,$G725,IF(OR($H725=5,$H725=7),ROUND($G725*10/11,0),0)))))</f>
        <v>0</v>
      </c>
      <c r="L725" s="364">
        <f>IF($G725="","",IF($H725=1,ROUND($G725/23,0),IF($H725=3,ROUND($G725/12,0),IF($H725=5,$G725-ROUND($G725*10/11,0),IF($H725=8,$G725,0)))))</f>
        <v>0</v>
      </c>
      <c r="M725" s="364">
        <f>IF($G725="","",IF($H725=1,ROUND($G725/23,0),IF($H725=3,ROUND($G725/12,0),IF($H725=6,$G725,IF($H725=7,$G725-ROUND($G725*10/11,0),0)))))</f>
        <v>0</v>
      </c>
      <c r="N725" s="364">
        <f>IF($G725="","",K725+L725+M725)</f>
        <v>0</v>
      </c>
      <c r="O725" s="365" t="str">
        <f>IF($G725="","",IFERROR(VLOOKUP($D725&amp;"|"&amp;$E725,科目表!$A$5:$B$200,2,FALSE),"※未登録"))</f>
        <v>協会けんぽ保険料等</v>
      </c>
      <c r="P725" s="359">
        <f>IF(OR($G725="",$C725=""),"",IF($B725="決算整理",13,MOD(MONTH($C725)-4,12)+1))</f>
        <v>13</v>
      </c>
      <c r="Q725" s="366" t="str">
        <f>IF($G725="","",TRIM(IF(J725+K725+L725+M725&lt;&gt;$G725,"按分不一致 ","")&amp;IF(O725="※未登録","科目未登録 ","")&amp;IF(OR($H725="",ISERROR(MATCH($H725,{1,2,3,4,5,6,7,8},0))),"経費区分? ","")&amp;IF($I725="","状態未設定 ","")&amp;IF(AND(OR($I725="確認済",$I725="未確認"),$B725="月例",OR($C725="",$C725&lt;DATE(年度+2018,4,1),$C725&gt;DATE(年度+2019,3,31))),"年度外の日付 ","")&amp;IF(AND(OR($I725="確認済",$I725="未確認"),O725="対象外"),"対象外の科目 ","")))</f>
        <v/>
      </c>
      <c r="R725" s="366" t="inlineStr">
        <is>
          <t>決算整理!36</t>
        </is>
      </c>
    </row>
    <row r="726">
      <c r="A726" s="359" t="n">
        <v>722</v>
      </c>
      <c r="B726" s="360" t="inlineStr">
        <is>
          <t>決算整理</t>
        </is>
      </c>
      <c r="C726" s="361" t="n">
        <v>43942</v>
      </c>
      <c r="D726" s="362" t="inlineStr">
        <is>
          <t>立替金</t>
        </is>
      </c>
      <c r="E726" s="362" t="n"/>
      <c r="F726" s="362" t="inlineStr">
        <is>
          <t>ゆうちょ銀行払込料金</t>
        </is>
      </c>
      <c r="G726" s="363" t="n">
        <v>6400</v>
      </c>
      <c r="H726" s="360" t="n">
        <v>3</v>
      </c>
      <c r="I726" s="360" t="inlineStr">
        <is>
          <t>昨年実績</t>
        </is>
      </c>
      <c r="J726" s="364">
        <f>IF($G726="","",IF($H726=1,$G726-ROUND($G726*10/23,0)-2*ROUND($G726/23,0),IF($H726=2,$G726,0)))</f>
        <v>0</v>
      </c>
      <c r="K726" s="364">
        <f>IF($G726="","",IF($H726=1,ROUND($G726*10/23,0),IF($H726=3,$G726-2*ROUND($G726/12,0),IF($H726=4,$G726,IF(OR($H726=5,$H726=7),ROUND($G726*10/11,0),0)))))</f>
        <v>5334</v>
      </c>
      <c r="L726" s="364">
        <f>IF($G726="","",IF($H726=1,ROUND($G726/23,0),IF($H726=3,ROUND($G726/12,0),IF($H726=5,$G726-ROUND($G726*10/11,0),IF($H726=8,$G726,0)))))</f>
        <v>533</v>
      </c>
      <c r="M726" s="364">
        <f>IF($G726="","",IF($H726=1,ROUND($G726/23,0),IF($H726=3,ROUND($G726/12,0),IF($H726=6,$G726,IF($H726=7,$G726-ROUND($G726*10/11,0),0)))))</f>
        <v>533</v>
      </c>
      <c r="N726" s="364">
        <f>IF($G726="","",K726+L726+M726)</f>
        <v>6400</v>
      </c>
      <c r="O726" s="365" t="str">
        <f>IF($G726="","",IFERROR(VLOOKUP($D726&amp;"|"&amp;$E726,科目表!$A$5:$B$200,2,FALSE),"※未登録"))</f>
        <v>対象外</v>
      </c>
      <c r="P726" s="359">
        <f>IF(OR($G726="",$C726=""),"",IF($B726="決算整理",13,MOD(MONTH($C726)-4,12)+1))</f>
        <v>13</v>
      </c>
      <c r="Q726" s="366" t="str">
        <f>IF($G726="","",TRIM(IF(J726+K726+L726+M726&lt;&gt;$G726,"按分不一致 ","")&amp;IF(O726="※未登録","科目未登録 ","")&amp;IF(OR($H726="",ISERROR(MATCH($H726,{1,2,3,4,5,6,7,8},0))),"経費区分? ","")&amp;IF($I726="","状態未設定 ","")&amp;IF(AND(OR($I726="確認済",$I726="未確認"),$B726="月例",OR($C726="",$C726&lt;DATE(年度+2018,4,1),$C726&gt;DATE(年度+2019,3,31))),"年度外の日付 ","")&amp;IF(AND(OR($I726="確認済",$I726="未確認"),O726="対象外"),"対象外の科目 ","")))</f>
        <v/>
      </c>
      <c r="R726" s="366" t="inlineStr">
        <is>
          <t>決算整理!37</t>
        </is>
      </c>
    </row>
    <row r="727">
      <c r="A727" s="359" t="n">
        <v>723</v>
      </c>
      <c r="B727" s="360" t="inlineStr">
        <is>
          <t>決算整理</t>
        </is>
      </c>
      <c r="C727" s="361" t="n">
        <v>45768</v>
      </c>
      <c r="D727" s="362" t="inlineStr">
        <is>
          <t>事務費</t>
        </is>
      </c>
      <c r="E727" s="362" t="inlineStr">
        <is>
          <t>雑費</t>
        </is>
      </c>
      <c r="F727" s="362" t="inlineStr">
        <is>
          <t>ゆうちょ銀行一般振替口座　残高証明書発行手数料</t>
        </is>
      </c>
      <c r="G727" s="363" t="n">
        <v>3300</v>
      </c>
      <c r="H727" s="360" t="n">
        <v>3</v>
      </c>
      <c r="I727" s="360" t="inlineStr">
        <is>
          <t>昨年実績</t>
        </is>
      </c>
      <c r="J727" s="364">
        <f>IF($G727="","",IF($H727=1,$G727-ROUND($G727*10/23,0)-2*ROUND($G727/23,0),IF($H727=2,$G727,0)))</f>
        <v>0</v>
      </c>
      <c r="K727" s="364">
        <f>IF($G727="","",IF($H727=1,ROUND($G727*10/23,0),IF($H727=3,$G727-2*ROUND($G727/12,0),IF($H727=4,$G727,IF(OR($H727=5,$H727=7),ROUND($G727*10/11,0),0)))))</f>
        <v>2750</v>
      </c>
      <c r="L727" s="364">
        <f>IF($G727="","",IF($H727=1,ROUND($G727/23,0),IF($H727=3,ROUND($G727/12,0),IF($H727=5,$G727-ROUND($G727*10/11,0),IF($H727=8,$G727,0)))))</f>
        <v>275</v>
      </c>
      <c r="M727" s="364">
        <f>IF($G727="","",IF($H727=1,ROUND($G727/23,0),IF($H727=3,ROUND($G727/12,0),IF($H727=6,$G727,IF($H727=7,$G727-ROUND($G727*10/11,0),0)))))</f>
        <v>275</v>
      </c>
      <c r="N727" s="364">
        <f>IF($G727="","",K727+L727+M727)</f>
        <v>3300</v>
      </c>
      <c r="O727" s="365" t="str">
        <f>IF($G727="","",IFERROR(VLOOKUP($D727&amp;"|"&amp;$E727,科目表!$A$5:$B$200,2,FALSE),"※未登録"))</f>
        <v>事務費・雑費</v>
      </c>
      <c r="P727" s="359">
        <f>IF(OR($G727="",$C727=""),"",IF($B727="決算整理",13,MOD(MONTH($C727)-4,12)+1))</f>
        <v>13</v>
      </c>
      <c r="Q727" s="366" t="str">
        <f>IF($G727="","",TRIM(IF(J727+K727+L727+M727&lt;&gt;$G727,"按分不一致 ","")&amp;IF(O727="※未登録","科目未登録 ","")&amp;IF(OR($H727="",ISERROR(MATCH($H727,{1,2,3,4,5,6,7,8},0))),"経費区分? ","")&amp;IF($I727="","状態未設定 ","")&amp;IF(AND(OR($I727="確認済",$I727="未確認"),$B727="月例",OR($C727="",$C727&lt;DATE(年度+2018,4,1),$C727&gt;DATE(年度+2019,3,31))),"年度外の日付 ","")&amp;IF(AND(OR($I727="確認済",$I727="未確認"),O727="対象外"),"対象外の科目 ","")))</f>
        <v/>
      </c>
      <c r="R727" s="366" t="inlineStr">
        <is>
          <t>決算整理!38</t>
        </is>
      </c>
    </row>
    <row r="728">
      <c r="A728" s="359" t="n">
        <v>724</v>
      </c>
      <c r="B728" s="360" t="inlineStr">
        <is>
          <t>決算整理</t>
        </is>
      </c>
      <c r="C728" s="361" t="n">
        <v>43936</v>
      </c>
      <c r="D728" s="362" t="inlineStr">
        <is>
          <t>委託費</t>
        </is>
      </c>
      <c r="E728" s="362" t="n"/>
      <c r="F728" s="362" t="inlineStr">
        <is>
          <t>個別システム保守料（平成３１年度）長期分</t>
        </is>
      </c>
      <c r="G728" s="363" t="n">
        <v>198020</v>
      </c>
      <c r="H728" s="360" t="n">
        <v>3</v>
      </c>
      <c r="I728" s="360" t="inlineStr">
        <is>
          <t>昨年実績</t>
        </is>
      </c>
      <c r="J728" s="364">
        <f>IF($G728="","",IF($H728=1,$G728-ROUND($G728*10/23,0)-2*ROUND($G728/23,0),IF($H728=2,$G728,0)))</f>
        <v>0</v>
      </c>
      <c r="K728" s="364">
        <f>IF($G728="","",IF($H728=1,ROUND($G728*10/23,0),IF($H728=3,$G728-2*ROUND($G728/12,0),IF($H728=4,$G728,IF(OR($H728=5,$H728=7),ROUND($G728*10/11,0),0)))))</f>
        <v>165016</v>
      </c>
      <c r="L728" s="364">
        <f>IF($G728="","",IF($H728=1,ROUND($G728/23,0),IF($H728=3,ROUND($G728/12,0),IF($H728=5,$G728-ROUND($G728*10/11,0),IF($H728=8,$G728,0)))))</f>
        <v>16502</v>
      </c>
      <c r="M728" s="364">
        <f>IF($G728="","",IF($H728=1,ROUND($G728/23,0),IF($H728=3,ROUND($G728/12,0),IF($H728=6,$G728,IF($H728=7,$G728-ROUND($G728*10/11,0),0)))))</f>
        <v>16502</v>
      </c>
      <c r="N728" s="364">
        <f>IF($G728="","",K728+L728+M728)</f>
        <v>198020</v>
      </c>
      <c r="O728" s="365" t="str">
        <f>IF($G728="","",IFERROR(VLOOKUP($D728&amp;"|"&amp;$E728,科目表!$A$5:$B$200,2,FALSE),"※未登録"))</f>
        <v>委託費</v>
      </c>
      <c r="P728" s="359">
        <f>IF(OR($G728="",$C728=""),"",IF($B728="決算整理",13,MOD(MONTH($C728)-4,12)+1))</f>
        <v>13</v>
      </c>
      <c r="Q728" s="366" t="str">
        <f>IF($G728="","",TRIM(IF(J728+K728+L728+M728&lt;&gt;$G728,"按分不一致 ","")&amp;IF(O728="※未登録","科目未登録 ","")&amp;IF(OR($H728="",ISERROR(MATCH($H728,{1,2,3,4,5,6,7,8},0))),"経費区分? ","")&amp;IF($I728="","状態未設定 ","")&amp;IF(AND(OR($I728="確認済",$I728="未確認"),$B728="月例",OR($C728="",$C728&lt;DATE(年度+2018,4,1),$C728&gt;DATE(年度+2019,3,31))),"年度外の日付 ","")&amp;IF(AND(OR($I728="確認済",$I728="未確認"),O728="対象外"),"対象外の科目 ","")))</f>
        <v/>
      </c>
      <c r="R728" s="366" t="inlineStr">
        <is>
          <t>決算整理!39</t>
        </is>
      </c>
    </row>
    <row r="729">
      <c r="A729" s="359" t="n">
        <v>725</v>
      </c>
      <c r="B729" s="360" t="inlineStr">
        <is>
          <t>決算整理</t>
        </is>
      </c>
      <c r="C729" s="361" t="n">
        <v>44679</v>
      </c>
      <c r="D729" s="362" t="inlineStr">
        <is>
          <t>委託費</t>
        </is>
      </c>
      <c r="E729" s="362" t="n"/>
      <c r="F729" s="362" t="inlineStr">
        <is>
          <t>病院機構人給システム（ネットワーク等経費）長期</t>
        </is>
      </c>
      <c r="G729" s="363" t="n">
        <v>43626</v>
      </c>
      <c r="H729" s="360" t="n">
        <v>3</v>
      </c>
      <c r="I729" s="360" t="inlineStr">
        <is>
          <t>昨年実績</t>
        </is>
      </c>
      <c r="J729" s="364">
        <f>IF($G729="","",IF($H729=1,$G729-ROUND($G729*10/23,0)-2*ROUND($G729/23,0),IF($H729=2,$G729,0)))</f>
        <v>0</v>
      </c>
      <c r="K729" s="364">
        <f>IF($G729="","",IF($H729=1,ROUND($G729*10/23,0),IF($H729=3,$G729-2*ROUND($G729/12,0),IF($H729=4,$G729,IF(OR($H729=5,$H729=7),ROUND($G729*10/11,0),0)))))</f>
        <v>36354</v>
      </c>
      <c r="L729" s="364">
        <f>IF($G729="","",IF($H729=1,ROUND($G729/23,0),IF($H729=3,ROUND($G729/12,0),IF($H729=5,$G729-ROUND($G729*10/11,0),IF($H729=8,$G729,0)))))</f>
        <v>3636</v>
      </c>
      <c r="M729" s="364">
        <f>IF($G729="","",IF($H729=1,ROUND($G729/23,0),IF($H729=3,ROUND($G729/12,0),IF($H729=6,$G729,IF($H729=7,$G729-ROUND($G729*10/11,0),0)))))</f>
        <v>3636</v>
      </c>
      <c r="N729" s="364">
        <f>IF($G729="","",K729+L729+M729)</f>
        <v>43626</v>
      </c>
      <c r="O729" s="365" t="str">
        <f>IF($G729="","",IFERROR(VLOOKUP($D729&amp;"|"&amp;$E729,科目表!$A$5:$B$200,2,FALSE),"※未登録"))</f>
        <v>委託費</v>
      </c>
      <c r="P729" s="359">
        <f>IF(OR($G729="",$C729=""),"",IF($B729="決算整理",13,MOD(MONTH($C729)-4,12)+1))</f>
        <v>13</v>
      </c>
      <c r="Q729" s="366" t="str">
        <f>IF($G729="","",TRIM(IF(J729+K729+L729+M729&lt;&gt;$G729,"按分不一致 ","")&amp;IF(O729="※未登録","科目未登録 ","")&amp;IF(OR($H729="",ISERROR(MATCH($H729,{1,2,3,4,5,6,7,8},0))),"経費区分? ","")&amp;IF($I729="","状態未設定 ","")&amp;IF(AND(OR($I729="確認済",$I729="未確認"),$B729="月例",OR($C729="",$C729&lt;DATE(年度+2018,4,1),$C729&gt;DATE(年度+2019,3,31))),"年度外の日付 ","")&amp;IF(AND(OR($I729="確認済",$I729="未確認"),O729="対象外"),"対象外の科目 ","")))</f>
        <v/>
      </c>
      <c r="R729" s="366" t="inlineStr">
        <is>
          <t>決算整理!40</t>
        </is>
      </c>
    </row>
    <row r="730">
      <c r="A730" s="359" t="n">
        <v>726</v>
      </c>
      <c r="B730" s="360" t="inlineStr">
        <is>
          <t>決算整理</t>
        </is>
      </c>
      <c r="C730" s="361" t="n">
        <v>45044</v>
      </c>
      <c r="D730" s="362" t="inlineStr">
        <is>
          <t>事務費</t>
        </is>
      </c>
      <c r="E730" s="362" t="inlineStr">
        <is>
          <t>事務用消耗品費</t>
        </is>
      </c>
      <c r="F730" s="362" t="inlineStr">
        <is>
          <t>マグネットポケット　マクー５００NB　1個</t>
        </is>
      </c>
      <c r="G730" s="363" t="n">
        <v>1579</v>
      </c>
      <c r="H730" s="360" t="n">
        <v>2</v>
      </c>
      <c r="I730" s="360" t="inlineStr">
        <is>
          <t>昨年実績</t>
        </is>
      </c>
      <c r="J730" s="364">
        <f>IF($G730="","",IF($H730=1,$G730-ROUND($G730*10/23,0)-2*ROUND($G730/23,0),IF($H730=2,$G730,0)))</f>
        <v>1579</v>
      </c>
      <c r="K730" s="364">
        <f>IF($G730="","",IF($H730=1,ROUND($G730*10/23,0),IF($H730=3,$G730-2*ROUND($G730/12,0),IF($H730=4,$G730,IF(OR($H730=5,$H730=7),ROUND($G730*10/11,0),0)))))</f>
        <v>0</v>
      </c>
      <c r="L730" s="364">
        <f>IF($G730="","",IF($H730=1,ROUND($G730/23,0),IF($H730=3,ROUND($G730/12,0),IF($H730=5,$G730-ROUND($G730*10/11,0),IF($H730=8,$G730,0)))))</f>
        <v>0</v>
      </c>
      <c r="M730" s="364">
        <f>IF($G730="","",IF($H730=1,ROUND($G730/23,0),IF($H730=3,ROUND($G730/12,0),IF($H730=6,$G730,IF($H730=7,$G730-ROUND($G730*10/11,0),0)))))</f>
        <v>0</v>
      </c>
      <c r="N730" s="364">
        <f>IF($G730="","",K730+L730+M730)</f>
        <v>0</v>
      </c>
      <c r="O730" s="365" t="str">
        <f>IF($G730="","",IFERROR(VLOOKUP($D730&amp;"|"&amp;$E730,科目表!$A$5:$B$200,2,FALSE),"※未登録"))</f>
        <v>事務用消耗品費</v>
      </c>
      <c r="P730" s="359">
        <f>IF(OR($G730="",$C730=""),"",IF($B730="決算整理",13,MOD(MONTH($C730)-4,12)+1))</f>
        <v>13</v>
      </c>
      <c r="Q730" s="366" t="str">
        <f>IF($G730="","",TRIM(IF(J730+K730+L730+M730&lt;&gt;$G730,"按分不一致 ","")&amp;IF(O730="※未登録","科目未登録 ","")&amp;IF(OR($H730="",ISERROR(MATCH($H730,{1,2,3,4,5,6,7,8},0))),"経費区分? ","")&amp;IF($I730="","状態未設定 ","")&amp;IF(AND(OR($I730="確認済",$I730="未確認"),$B730="月例",OR($C730="",$C730&lt;DATE(年度+2018,4,1),$C730&gt;DATE(年度+2019,3,31))),"年度外の日付 ","")&amp;IF(AND(OR($I730="確認済",$I730="未確認"),O730="対象外"),"対象外の科目 ","")))</f>
        <v/>
      </c>
      <c r="R730" s="366" t="inlineStr">
        <is>
          <t>決算整理!41</t>
        </is>
      </c>
    </row>
    <row r="731">
      <c r="A731" s="359" t="n">
        <v>727</v>
      </c>
      <c r="B731" s="360" t="inlineStr">
        <is>
          <t>決算整理</t>
        </is>
      </c>
      <c r="C731" s="361" t="n">
        <v>43951</v>
      </c>
      <c r="D731" s="362" t="inlineStr">
        <is>
          <t>委託費</t>
        </is>
      </c>
      <c r="E731" s="362" t="n"/>
      <c r="F731" s="362" t="inlineStr">
        <is>
          <t>清掃・警備・ごみ処理（１０～３月分）</t>
        </is>
      </c>
      <c r="G731" s="363" t="n">
        <v>23404</v>
      </c>
      <c r="H731" s="360" t="n">
        <v>3</v>
      </c>
      <c r="I731" s="360" t="inlineStr">
        <is>
          <t>昨年実績</t>
        </is>
      </c>
      <c r="J731" s="364">
        <f>IF($G731="","",IF($H731=1,$G731-ROUND($G731*10/23,0)-2*ROUND($G731/23,0),IF($H731=2,$G731,0)))</f>
        <v>0</v>
      </c>
      <c r="K731" s="364">
        <f>IF($G731="","",IF($H731=1,ROUND($G731*10/23,0),IF($H731=3,$G731-2*ROUND($G731/12,0),IF($H731=4,$G731,IF(OR($H731=5,$H731=7),ROUND($G731*10/11,0),0)))))</f>
        <v>19504</v>
      </c>
      <c r="L731" s="364">
        <f>IF($G731="","",IF($H731=1,ROUND($G731/23,0),IF($H731=3,ROUND($G731/12,0),IF($H731=5,$G731-ROUND($G731*10/11,0),IF($H731=8,$G731,0)))))</f>
        <v>1950</v>
      </c>
      <c r="M731" s="364">
        <f>IF($G731="","",IF($H731=1,ROUND($G731/23,0),IF($H731=3,ROUND($G731/12,0),IF($H731=6,$G731,IF($H731=7,$G731-ROUND($G731*10/11,0),0)))))</f>
        <v>1950</v>
      </c>
      <c r="N731" s="364">
        <f>IF($G731="","",K731+L731+M731)</f>
        <v>23404</v>
      </c>
      <c r="O731" s="365" t="str">
        <f>IF($G731="","",IFERROR(VLOOKUP($D731&amp;"|"&amp;$E731,科目表!$A$5:$B$200,2,FALSE),"※未登録"))</f>
        <v>委託費</v>
      </c>
      <c r="P731" s="359">
        <f>IF(OR($G731="",$C731=""),"",IF($B731="決算整理",13,MOD(MONTH($C731)-4,12)+1))</f>
        <v>13</v>
      </c>
      <c r="Q731" s="366" t="str">
        <f>IF($G731="","",TRIM(IF(J731+K731+L731+M731&lt;&gt;$G731,"按分不一致 ","")&amp;IF(O731="※未登録","科目未登録 ","")&amp;IF(OR($H731="",ISERROR(MATCH($H731,{1,2,3,4,5,6,7,8},0))),"経費区分? ","")&amp;IF($I731="","状態未設定 ","")&amp;IF(AND(OR($I731="確認済",$I731="未確認"),$B731="月例",OR($C731="",$C731&lt;DATE(年度+2018,4,1),$C731&gt;DATE(年度+2019,3,31))),"年度外の日付 ","")&amp;IF(AND(OR($I731="確認済",$I731="未確認"),O731="対象外"),"対象外の科目 ","")))</f>
        <v/>
      </c>
      <c r="R731" s="366" t="inlineStr">
        <is>
          <t>決算整理!42</t>
        </is>
      </c>
    </row>
    <row r="732">
      <c r="A732" s="359" t="n">
        <v>728</v>
      </c>
      <c r="B732" s="360" t="inlineStr">
        <is>
          <t>決算整理</t>
        </is>
      </c>
      <c r="C732" s="361" t="n">
        <v>43951</v>
      </c>
      <c r="D732" s="362" t="inlineStr">
        <is>
          <t>光熱水料</t>
        </is>
      </c>
      <c r="E732" s="362" t="inlineStr">
        <is>
          <t>ガス料</t>
        </is>
      </c>
      <c r="F732" s="362" t="inlineStr">
        <is>
          <t>行政財産使用ガス料（１０～３月分）</t>
        </is>
      </c>
      <c r="G732" s="363" t="n">
        <v>7073</v>
      </c>
      <c r="H732" s="360" t="n">
        <v>3</v>
      </c>
      <c r="I732" s="360" t="inlineStr">
        <is>
          <t>昨年実績</t>
        </is>
      </c>
      <c r="J732" s="364">
        <f>IF($G732="","",IF($H732=1,$G732-ROUND($G732*10/23,0)-2*ROUND($G732/23,0),IF($H732=2,$G732,0)))</f>
        <v>0</v>
      </c>
      <c r="K732" s="364">
        <f>IF($G732="","",IF($H732=1,ROUND($G732*10/23,0),IF($H732=3,$G732-2*ROUND($G732/12,0),IF($H732=4,$G732,IF(OR($H732=5,$H732=7),ROUND($G732*10/11,0),0)))))</f>
        <v>5895</v>
      </c>
      <c r="L732" s="364">
        <f>IF($G732="","",IF($H732=1,ROUND($G732/23,0),IF($H732=3,ROUND($G732/12,0),IF($H732=5,$G732-ROUND($G732*10/11,0),IF($H732=8,$G732,0)))))</f>
        <v>589</v>
      </c>
      <c r="M732" s="364">
        <f>IF($G732="","",IF($H732=1,ROUND($G732/23,0),IF($H732=3,ROUND($G732/12,0),IF($H732=6,$G732,IF($H732=7,$G732-ROUND($G732*10/11,0),0)))))</f>
        <v>589</v>
      </c>
      <c r="N732" s="364">
        <f>IF($G732="","",K732+L732+M732)</f>
        <v>7073</v>
      </c>
      <c r="O732" s="365" t="str">
        <f>IF($G732="","",IFERROR(VLOOKUP($D732&amp;"|"&amp;$E732,科目表!$A$5:$B$200,2,FALSE),"※未登録"))</f>
        <v>光熱水料</v>
      </c>
      <c r="P732" s="359">
        <f>IF(OR($G732="",$C732=""),"",IF($B732="決算整理",13,MOD(MONTH($C732)-4,12)+1))</f>
        <v>13</v>
      </c>
      <c r="Q732" s="366" t="str">
        <f>IF($G732="","",TRIM(IF(J732+K732+L732+M732&lt;&gt;$G732,"按分不一致 ","")&amp;IF(O732="※未登録","科目未登録 ","")&amp;IF(OR($H732="",ISERROR(MATCH($H732,{1,2,3,4,5,6,7,8},0))),"経費区分? ","")&amp;IF($I732="","状態未設定 ","")&amp;IF(AND(OR($I732="確認済",$I732="未確認"),$B732="月例",OR($C732="",$C732&lt;DATE(年度+2018,4,1),$C732&gt;DATE(年度+2019,3,31))),"年度外の日付 ","")&amp;IF(AND(OR($I732="確認済",$I732="未確認"),O732="対象外"),"対象外の科目 ","")))</f>
        <v/>
      </c>
      <c r="R732" s="366" t="inlineStr">
        <is>
          <t>決算整理!43</t>
        </is>
      </c>
    </row>
    <row r="733">
      <c r="A733" s="359" t="n">
        <v>729</v>
      </c>
      <c r="B733" s="360" t="inlineStr">
        <is>
          <t>決算整理</t>
        </is>
      </c>
      <c r="C733" s="361" t="n">
        <v>43951</v>
      </c>
      <c r="D733" s="362" t="inlineStr">
        <is>
          <t>光熱水料</t>
        </is>
      </c>
      <c r="E733" s="362" t="inlineStr">
        <is>
          <t>水道料</t>
        </is>
      </c>
      <c r="F733" s="362" t="inlineStr">
        <is>
          <t>行政財産使用水道料（１０～３月分）</t>
        </is>
      </c>
      <c r="G733" s="363" t="n">
        <v>13093</v>
      </c>
      <c r="H733" s="360" t="n">
        <v>3</v>
      </c>
      <c r="I733" s="360" t="inlineStr">
        <is>
          <t>昨年実績</t>
        </is>
      </c>
      <c r="J733" s="364">
        <f>IF($G733="","",IF($H733=1,$G733-ROUND($G733*10/23,0)-2*ROUND($G733/23,0),IF($H733=2,$G733,0)))</f>
        <v>0</v>
      </c>
      <c r="K733" s="364">
        <f>IF($G733="","",IF($H733=1,ROUND($G733*10/23,0),IF($H733=3,$G733-2*ROUND($G733/12,0),IF($H733=4,$G733,IF(OR($H733=5,$H733=7),ROUND($G733*10/11,0),0)))))</f>
        <v>10911</v>
      </c>
      <c r="L733" s="364">
        <f>IF($G733="","",IF($H733=1,ROUND($G733/23,0),IF($H733=3,ROUND($G733/12,0),IF($H733=5,$G733-ROUND($G733*10/11,0),IF($H733=8,$G733,0)))))</f>
        <v>1091</v>
      </c>
      <c r="M733" s="364">
        <f>IF($G733="","",IF($H733=1,ROUND($G733/23,0),IF($H733=3,ROUND($G733/12,0),IF($H733=6,$G733,IF($H733=7,$G733-ROUND($G733*10/11,0),0)))))</f>
        <v>1091</v>
      </c>
      <c r="N733" s="364">
        <f>IF($G733="","",K733+L733+M733)</f>
        <v>13093</v>
      </c>
      <c r="O733" s="365" t="str">
        <f>IF($G733="","",IFERROR(VLOOKUP($D733&amp;"|"&amp;$E733,科目表!$A$5:$B$200,2,FALSE),"※未登録"))</f>
        <v>光熱水料</v>
      </c>
      <c r="P733" s="359">
        <f>IF(OR($G733="",$C733=""),"",IF($B733="決算整理",13,MOD(MONTH($C733)-4,12)+1))</f>
        <v>13</v>
      </c>
      <c r="Q733" s="366" t="str">
        <f>IF($G733="","",TRIM(IF(J733+K733+L733+M733&lt;&gt;$G733,"按分不一致 ","")&amp;IF(O733="※未登録","科目未登録 ","")&amp;IF(OR($H733="",ISERROR(MATCH($H733,{1,2,3,4,5,6,7,8},0))),"経費区分? ","")&amp;IF($I733="","状態未設定 ","")&amp;IF(AND(OR($I733="確認済",$I733="未確認"),$B733="月例",OR($C733="",$C733&lt;DATE(年度+2018,4,1),$C733&gt;DATE(年度+2019,3,31))),"年度外の日付 ","")&amp;IF(AND(OR($I733="確認済",$I733="未確認"),O733="対象外"),"対象外の科目 ","")))</f>
        <v/>
      </c>
      <c r="R733" s="366" t="inlineStr">
        <is>
          <t>決算整理!44</t>
        </is>
      </c>
    </row>
    <row r="734">
      <c r="A734" s="359" t="n">
        <v>730</v>
      </c>
      <c r="B734" s="360" t="inlineStr">
        <is>
          <t>決算整理</t>
        </is>
      </c>
      <c r="C734" s="361" t="n">
        <v>43951</v>
      </c>
      <c r="D734" s="362" t="inlineStr">
        <is>
          <t>光熱水料</t>
        </is>
      </c>
      <c r="E734" s="362" t="inlineStr">
        <is>
          <t>電気料</t>
        </is>
      </c>
      <c r="F734" s="362" t="inlineStr">
        <is>
          <t>行政財産使用電気料（１０～３月分）</t>
        </is>
      </c>
      <c r="G734" s="363" t="n">
        <v>21240</v>
      </c>
      <c r="H734" s="360" t="n">
        <v>3</v>
      </c>
      <c r="I734" s="360" t="inlineStr">
        <is>
          <t>昨年実績</t>
        </is>
      </c>
      <c r="J734" s="364">
        <f>IF($G734="","",IF($H734=1,$G734-ROUND($G734*10/23,0)-2*ROUND($G734/23,0),IF($H734=2,$G734,0)))</f>
        <v>0</v>
      </c>
      <c r="K734" s="364">
        <f>IF($G734="","",IF($H734=1,ROUND($G734*10/23,0),IF($H734=3,$G734-2*ROUND($G734/12,0),IF($H734=4,$G734,IF(OR($H734=5,$H734=7),ROUND($G734*10/11,0),0)))))</f>
        <v>17700</v>
      </c>
      <c r="L734" s="364">
        <f>IF($G734="","",IF($H734=1,ROUND($G734/23,0),IF($H734=3,ROUND($G734/12,0),IF($H734=5,$G734-ROUND($G734*10/11,0),IF($H734=8,$G734,0)))))</f>
        <v>1770</v>
      </c>
      <c r="M734" s="364">
        <f>IF($G734="","",IF($H734=1,ROUND($G734/23,0),IF($H734=3,ROUND($G734/12,0),IF($H734=6,$G734,IF($H734=7,$G734-ROUND($G734*10/11,0),0)))))</f>
        <v>1770</v>
      </c>
      <c r="N734" s="364">
        <f>IF($G734="","",K734+L734+M734)</f>
        <v>21240</v>
      </c>
      <c r="O734" s="365" t="str">
        <f>IF($G734="","",IFERROR(VLOOKUP($D734&amp;"|"&amp;$E734,科目表!$A$5:$B$200,2,FALSE),"※未登録"))</f>
        <v>光熱水料</v>
      </c>
      <c r="P734" s="359">
        <f>IF(OR($G734="",$C734=""),"",IF($B734="決算整理",13,MOD(MONTH($C734)-4,12)+1))</f>
        <v>13</v>
      </c>
      <c r="Q734" s="366" t="str">
        <f>IF($G734="","",TRIM(IF(J734+K734+L734+M734&lt;&gt;$G734,"按分不一致 ","")&amp;IF(O734="※未登録","科目未登録 ","")&amp;IF(OR($H734="",ISERROR(MATCH($H734,{1,2,3,4,5,6,7,8},0))),"経費区分? ","")&amp;IF($I734="","状態未設定 ","")&amp;IF(AND(OR($I734="確認済",$I734="未確認"),$B734="月例",OR($C734="",$C734&lt;DATE(年度+2018,4,1),$C734&gt;DATE(年度+2019,3,31))),"年度外の日付 ","")&amp;IF(AND(OR($I734="確認済",$I734="未確認"),O734="対象外"),"対象外の科目 ","")))</f>
        <v/>
      </c>
      <c r="R734" s="366" t="inlineStr">
        <is>
          <t>決算整理!45</t>
        </is>
      </c>
    </row>
    <row r="735">
      <c r="A735" s="359" t="n">
        <v>731</v>
      </c>
      <c r="B735" s="360" t="inlineStr">
        <is>
          <t>決算整理</t>
        </is>
      </c>
      <c r="C735" s="361" t="n">
        <v>45775</v>
      </c>
      <c r="D735" s="362" t="inlineStr">
        <is>
          <t>事務費</t>
        </is>
      </c>
      <c r="E735" s="362" t="inlineStr">
        <is>
          <t>事務用消耗品費</t>
        </is>
      </c>
      <c r="F735" s="362" t="inlineStr">
        <is>
          <t>ゴム印　１式</t>
        </is>
      </c>
      <c r="G735" s="363" t="n">
        <v>16035</v>
      </c>
      <c r="H735" s="360" t="n">
        <v>3</v>
      </c>
      <c r="I735" s="360" t="inlineStr">
        <is>
          <t>昨年実績</t>
        </is>
      </c>
      <c r="J735" s="364">
        <f>IF($G735="","",IF($H735=1,$G735-ROUND($G735*10/23,0)-2*ROUND($G735/23,0),IF($H735=2,$G735,0)))</f>
        <v>0</v>
      </c>
      <c r="K735" s="364">
        <f>IF($G735="","",IF($H735=1,ROUND($G735*10/23,0),IF($H735=3,$G735-2*ROUND($G735/12,0),IF($H735=4,$G735,IF(OR($H735=5,$H735=7),ROUND($G735*10/11,0),0)))))</f>
        <v>13363</v>
      </c>
      <c r="L735" s="364">
        <f>IF($G735="","",IF($H735=1,ROUND($G735/23,0),IF($H735=3,ROUND($G735/12,0),IF($H735=5,$G735-ROUND($G735*10/11,0),IF($H735=8,$G735,0)))))</f>
        <v>1336</v>
      </c>
      <c r="M735" s="364">
        <f>IF($G735="","",IF($H735=1,ROUND($G735/23,0),IF($H735=3,ROUND($G735/12,0),IF($H735=6,$G735,IF($H735=7,$G735-ROUND($G735*10/11,0),0)))))</f>
        <v>1336</v>
      </c>
      <c r="N735" s="364">
        <f>IF($G735="","",K735+L735+M735)</f>
        <v>16035</v>
      </c>
      <c r="O735" s="365" t="str">
        <f>IF($G735="","",IFERROR(VLOOKUP($D735&amp;"|"&amp;$E735,科目表!$A$5:$B$200,2,FALSE),"※未登録"))</f>
        <v>事務用消耗品費</v>
      </c>
      <c r="P735" s="359">
        <f>IF(OR($G735="",$C735=""),"",IF($B735="決算整理",13,MOD(MONTH($C735)-4,12)+1))</f>
        <v>13</v>
      </c>
      <c r="Q735" s="366" t="str">
        <f>IF($G735="","",TRIM(IF(J735+K735+L735+M735&lt;&gt;$G735,"按分不一致 ","")&amp;IF(O735="※未登録","科目未登録 ","")&amp;IF(OR($H735="",ISERROR(MATCH($H735,{1,2,3,4,5,6,7,8},0))),"経費区分? ","")&amp;IF($I735="","状態未設定 ","")&amp;IF(AND(OR($I735="確認済",$I735="未確認"),$B735="月例",OR($C735="",$C735&lt;DATE(年度+2018,4,1),$C735&gt;DATE(年度+2019,3,31))),"年度外の日付 ","")&amp;IF(AND(OR($I735="確認済",$I735="未確認"),O735="対象外"),"対象外の科目 ","")))</f>
        <v/>
      </c>
      <c r="R735" s="366" t="inlineStr">
        <is>
          <t>決算整理!46</t>
        </is>
      </c>
    </row>
    <row r="736">
      <c r="A736" s="359" t="n">
        <v>732</v>
      </c>
      <c r="B736" s="360" t="inlineStr">
        <is>
          <t>決算整理</t>
        </is>
      </c>
      <c r="C736" s="361" t="n">
        <v>43951</v>
      </c>
      <c r="D736" s="362" t="inlineStr">
        <is>
          <t>事務費</t>
        </is>
      </c>
      <c r="E736" s="362" t="inlineStr">
        <is>
          <t>事務用消耗品費</t>
        </is>
      </c>
      <c r="F736" s="362" t="inlineStr">
        <is>
          <t>複写機用紙等購入代分担金（第4四半期）長期</t>
        </is>
      </c>
      <c r="G736" s="363" t="n">
        <v>92843</v>
      </c>
      <c r="H736" s="360" t="n">
        <v>3</v>
      </c>
      <c r="I736" s="360" t="inlineStr">
        <is>
          <t>昨年実績</t>
        </is>
      </c>
      <c r="J736" s="364">
        <f>IF($G736="","",IF($H736=1,$G736-ROUND($G736*10/23,0)-2*ROUND($G736/23,0),IF($H736=2,$G736,0)))</f>
        <v>0</v>
      </c>
      <c r="K736" s="364">
        <f>IF($G736="","",IF($H736=1,ROUND($G736*10/23,0),IF($H736=3,$G736-2*ROUND($G736/12,0),IF($H736=4,$G736,IF(OR($H736=5,$H736=7),ROUND($G736*10/11,0),0)))))</f>
        <v>77369</v>
      </c>
      <c r="L736" s="364">
        <f>IF($G736="","",IF($H736=1,ROUND($G736/23,0),IF($H736=3,ROUND($G736/12,0),IF($H736=5,$G736-ROUND($G736*10/11,0),IF($H736=8,$G736,0)))))</f>
        <v>7737</v>
      </c>
      <c r="M736" s="364">
        <f>IF($G736="","",IF($H736=1,ROUND($G736/23,0),IF($H736=3,ROUND($G736/12,0),IF($H736=6,$G736,IF($H736=7,$G736-ROUND($G736*10/11,0),0)))))</f>
        <v>7737</v>
      </c>
      <c r="N736" s="364">
        <f>IF($G736="","",K736+L736+M736)</f>
        <v>92843</v>
      </c>
      <c r="O736" s="365" t="str">
        <f>IF($G736="","",IFERROR(VLOOKUP($D736&amp;"|"&amp;$E736,科目表!$A$5:$B$200,2,FALSE),"※未登録"))</f>
        <v>事務用消耗品費</v>
      </c>
      <c r="P736" s="359">
        <f>IF(OR($G736="",$C736=""),"",IF($B736="決算整理",13,MOD(MONTH($C736)-4,12)+1))</f>
        <v>13</v>
      </c>
      <c r="Q736" s="366" t="str">
        <f>IF($G736="","",TRIM(IF(J736+K736+L736+M736&lt;&gt;$G736,"按分不一致 ","")&amp;IF(O736="※未登録","科目未登録 ","")&amp;IF(OR($H736="",ISERROR(MATCH($H736,{1,2,3,4,5,6,7,8},0))),"経費区分? ","")&amp;IF($I736="","状態未設定 ","")&amp;IF(AND(OR($I736="確認済",$I736="未確認"),$B736="月例",OR($C736="",$C736&lt;DATE(年度+2018,4,1),$C736&gt;DATE(年度+2019,3,31))),"年度外の日付 ","")&amp;IF(AND(OR($I736="確認済",$I736="未確認"),O736="対象外"),"対象外の科目 ","")))</f>
        <v/>
      </c>
      <c r="R736" s="366" t="inlineStr">
        <is>
          <t>決算整理!47</t>
        </is>
      </c>
    </row>
    <row r="737">
      <c r="A737" s="359" t="n">
        <v>733</v>
      </c>
      <c r="B737" s="360" t="inlineStr">
        <is>
          <t>決算整理</t>
        </is>
      </c>
      <c r="C737" s="361" t="n">
        <v>43942</v>
      </c>
      <c r="D737" s="362" t="inlineStr">
        <is>
          <t>事務費</t>
        </is>
      </c>
      <c r="E737" s="362" t="inlineStr">
        <is>
          <t>送金料</t>
        </is>
      </c>
      <c r="F737" s="362" t="inlineStr">
        <is>
          <t>年金過払金等返還金振替料金（ゆうちょ銀行）</t>
        </is>
      </c>
      <c r="G737" s="363" t="n">
        <v>1022</v>
      </c>
      <c r="H737" s="360" t="n">
        <v>3</v>
      </c>
      <c r="I737" s="360" t="inlineStr">
        <is>
          <t>昨年実績</t>
        </is>
      </c>
      <c r="J737" s="364">
        <f>IF($G737="","",IF($H737=1,$G737-ROUND($G737*10/23,0)-2*ROUND($G737/23,0),IF($H737=2,$G737,0)))</f>
        <v>0</v>
      </c>
      <c r="K737" s="364">
        <f>IF($G737="","",IF($H737=1,ROUND($G737*10/23,0),IF($H737=3,$G737-2*ROUND($G737/12,0),IF($H737=4,$G737,IF(OR($H737=5,$H737=7),ROUND($G737*10/11,0),0)))))</f>
        <v>852</v>
      </c>
      <c r="L737" s="364">
        <f>IF($G737="","",IF($H737=1,ROUND($G737/23,0),IF($H737=3,ROUND($G737/12,0),IF($H737=5,$G737-ROUND($G737*10/11,0),IF($H737=8,$G737,0)))))</f>
        <v>85</v>
      </c>
      <c r="M737" s="364">
        <f>IF($G737="","",IF($H737=1,ROUND($G737/23,0),IF($H737=3,ROUND($G737/12,0),IF($H737=6,$G737,IF($H737=7,$G737-ROUND($G737*10/11,0),0)))))</f>
        <v>85</v>
      </c>
      <c r="N737" s="364">
        <f>IF($G737="","",K737+L737+M737)</f>
        <v>1022</v>
      </c>
      <c r="O737" s="365" t="str">
        <f>IF($G737="","",IFERROR(VLOOKUP($D737&amp;"|"&amp;$E737,科目表!$A$5:$B$200,2,FALSE),"※未登録"))</f>
        <v>送金料</v>
      </c>
      <c r="P737" s="359">
        <f>IF(OR($G737="",$C737=""),"",IF($B737="決算整理",13,MOD(MONTH($C737)-4,12)+1))</f>
        <v>13</v>
      </c>
      <c r="Q737" s="366" t="str">
        <f>IF($G737="","",TRIM(IF(J737+K737+L737+M737&lt;&gt;$G737,"按分不一致 ","")&amp;IF(O737="※未登録","科目未登録 ","")&amp;IF(OR($H737="",ISERROR(MATCH($H737,{1,2,3,4,5,6,7,8},0))),"経費区分? ","")&amp;IF($I737="","状態未設定 ","")&amp;IF(AND(OR($I737="確認済",$I737="未確認"),$B737="月例",OR($C737="",$C737&lt;DATE(年度+2018,4,1),$C737&gt;DATE(年度+2019,3,31))),"年度外の日付 ","")&amp;IF(AND(OR($I737="確認済",$I737="未確認"),O737="対象外"),"対象外の科目 ","")))</f>
        <v/>
      </c>
      <c r="R737" s="366" t="inlineStr">
        <is>
          <t>決算整理!48</t>
        </is>
      </c>
    </row>
    <row r="738">
      <c r="A738" s="359" t="n">
        <v>734</v>
      </c>
      <c r="B738" s="360" t="inlineStr">
        <is>
          <t>決算整理</t>
        </is>
      </c>
      <c r="C738" s="361" t="n">
        <v>43931</v>
      </c>
      <c r="D738" s="362" t="inlineStr">
        <is>
          <t>事務費</t>
        </is>
      </c>
      <c r="E738" s="362" t="inlineStr">
        <is>
          <t>送金料</t>
        </is>
      </c>
      <c r="F738" s="362" t="inlineStr">
        <is>
          <t>広銀手数料（３月分）長期</t>
        </is>
      </c>
      <c r="G738" s="363" t="n">
        <v>19580</v>
      </c>
      <c r="H738" s="360" t="n">
        <v>3</v>
      </c>
      <c r="I738" s="360" t="inlineStr">
        <is>
          <t>昨年実績</t>
        </is>
      </c>
      <c r="J738" s="364">
        <f>IF($G738="","",IF($H738=1,$G738-ROUND($G738*10/23,0)-2*ROUND($G738/23,0),IF($H738=2,$G738,0)))</f>
        <v>0</v>
      </c>
      <c r="K738" s="364">
        <f>IF($G738="","",IF($H738=1,ROUND($G738*10/23,0),IF($H738=3,$G738-2*ROUND($G738/12,0),IF($H738=4,$G738,IF(OR($H738=5,$H738=7),ROUND($G738*10/11,0),0)))))</f>
        <v>16316</v>
      </c>
      <c r="L738" s="364">
        <f>IF($G738="","",IF($H738=1,ROUND($G738/23,0),IF($H738=3,ROUND($G738/12,0),IF($H738=5,$G738-ROUND($G738*10/11,0),IF($H738=8,$G738,0)))))</f>
        <v>1632</v>
      </c>
      <c r="M738" s="364">
        <f>IF($G738="","",IF($H738=1,ROUND($G738/23,0),IF($H738=3,ROUND($G738/12,0),IF($H738=6,$G738,IF($H738=7,$G738-ROUND($G738*10/11,0),0)))))</f>
        <v>1632</v>
      </c>
      <c r="N738" s="364">
        <f>IF($G738="","",K738+L738+M738)</f>
        <v>19580</v>
      </c>
      <c r="O738" s="365" t="str">
        <f>IF($G738="","",IFERROR(VLOOKUP($D738&amp;"|"&amp;$E738,科目表!$A$5:$B$200,2,FALSE),"※未登録"))</f>
        <v>送金料</v>
      </c>
      <c r="P738" s="359">
        <f>IF(OR($G738="",$C738=""),"",IF($B738="決算整理",13,MOD(MONTH($C738)-4,12)+1))</f>
        <v>13</v>
      </c>
      <c r="Q738" s="366" t="str">
        <f>IF($G738="","",TRIM(IF(J738+K738+L738+M738&lt;&gt;$G738,"按分不一致 ","")&amp;IF(O738="※未登録","科目未登録 ","")&amp;IF(OR($H738="",ISERROR(MATCH($H738,{1,2,3,4,5,6,7,8},0))),"経費区分? ","")&amp;IF($I738="","状態未設定 ","")&amp;IF(AND(OR($I738="確認済",$I738="未確認"),$B738="月例",OR($C738="",$C738&lt;DATE(年度+2018,4,1),$C738&gt;DATE(年度+2019,3,31))),"年度外の日付 ","")&amp;IF(AND(OR($I738="確認済",$I738="未確認"),O738="対象外"),"対象外の科目 ","")))</f>
        <v/>
      </c>
      <c r="R738" s="366" t="inlineStr">
        <is>
          <t>決算整理!49</t>
        </is>
      </c>
    </row>
    <row r="739">
      <c r="A739" s="359" t="n">
        <v>735</v>
      </c>
      <c r="B739" s="360" t="inlineStr">
        <is>
          <t>決算整理</t>
        </is>
      </c>
      <c r="C739" s="361" t="n">
        <v>43951</v>
      </c>
      <c r="D739" s="362" t="inlineStr">
        <is>
          <t>事務費</t>
        </is>
      </c>
      <c r="E739" s="362" t="inlineStr">
        <is>
          <t>通信運搬費</t>
        </is>
      </c>
      <c r="F739" s="362" t="inlineStr">
        <is>
          <t>後納料金利用料　3月分</t>
        </is>
      </c>
      <c r="G739" s="363" t="n">
        <v>80599</v>
      </c>
      <c r="H739" s="360" t="n">
        <v>3</v>
      </c>
      <c r="I739" s="360" t="inlineStr">
        <is>
          <t>昨年実績</t>
        </is>
      </c>
      <c r="J739" s="364">
        <f>IF($G739="","",IF($H739=1,$G739-ROUND($G739*10/23,0)-2*ROUND($G739/23,0),IF($H739=2,$G739,0)))</f>
        <v>0</v>
      </c>
      <c r="K739" s="364">
        <f>IF($G739="","",IF($H739=1,ROUND($G739*10/23,0),IF($H739=3,$G739-2*ROUND($G739/12,0),IF($H739=4,$G739,IF(OR($H739=5,$H739=7),ROUND($G739*10/11,0),0)))))</f>
        <v>67165</v>
      </c>
      <c r="L739" s="364">
        <f>IF($G739="","",IF($H739=1,ROUND($G739/23,0),IF($H739=3,ROUND($G739/12,0),IF($H739=5,$G739-ROUND($G739*10/11,0),IF($H739=8,$G739,0)))))</f>
        <v>6717</v>
      </c>
      <c r="M739" s="364">
        <f>IF($G739="","",IF($H739=1,ROUND($G739/23,0),IF($H739=3,ROUND($G739/12,0),IF($H739=6,$G739,IF($H739=7,$G739-ROUND($G739*10/11,0),0)))))</f>
        <v>6717</v>
      </c>
      <c r="N739" s="364">
        <f>IF($G739="","",K739+L739+M739)</f>
        <v>80599</v>
      </c>
      <c r="O739" s="365" t="str">
        <f>IF($G739="","",IFERROR(VLOOKUP($D739&amp;"|"&amp;$E739,科目表!$A$5:$B$200,2,FALSE),"※未登録"))</f>
        <v>通信運搬費</v>
      </c>
      <c r="P739" s="359">
        <f>IF(OR($G739="",$C739=""),"",IF($B739="決算整理",13,MOD(MONTH($C739)-4,12)+1))</f>
        <v>13</v>
      </c>
      <c r="Q739" s="366" t="str">
        <f>IF($G739="","",TRIM(IF(J739+K739+L739+M739&lt;&gt;$G739,"按分不一致 ","")&amp;IF(O739="※未登録","科目未登録 ","")&amp;IF(OR($H739="",ISERROR(MATCH($H739,{1,2,3,4,5,6,7,8},0))),"経費区分? ","")&amp;IF($I739="","状態未設定 ","")&amp;IF(AND(OR($I739="確認済",$I739="未確認"),$B739="月例",OR($C739="",$C739&lt;DATE(年度+2018,4,1),$C739&gt;DATE(年度+2019,3,31))),"年度外の日付 ","")&amp;IF(AND(OR($I739="確認済",$I739="未確認"),O739="対象外"),"対象外の科目 ","")))</f>
        <v/>
      </c>
      <c r="R739" s="366" t="inlineStr">
        <is>
          <t>決算整理!50</t>
        </is>
      </c>
    </row>
    <row r="740">
      <c r="A740" s="359" t="n">
        <v>736</v>
      </c>
      <c r="B740" s="360" t="inlineStr">
        <is>
          <t>決算整理</t>
        </is>
      </c>
      <c r="C740" s="361" t="n">
        <v>43951</v>
      </c>
      <c r="D740" s="362" t="inlineStr">
        <is>
          <t>事務費</t>
        </is>
      </c>
      <c r="E740" s="362" t="inlineStr">
        <is>
          <t>通信運搬費</t>
        </is>
      </c>
      <c r="F740" s="362" t="inlineStr">
        <is>
          <t>ファクシミリ電話代等分担金（第4四半期）長期</t>
        </is>
      </c>
      <c r="G740" s="363" t="n">
        <v>5952</v>
      </c>
      <c r="H740" s="360" t="n">
        <v>3</v>
      </c>
      <c r="I740" s="360" t="inlineStr">
        <is>
          <t>昨年実績</t>
        </is>
      </c>
      <c r="J740" s="364">
        <f>IF($G740="","",IF($H740=1,$G740-ROUND($G740*10/23,0)-2*ROUND($G740/23,0),IF($H740=2,$G740,0)))</f>
        <v>0</v>
      </c>
      <c r="K740" s="364">
        <f>IF($G740="","",IF($H740=1,ROUND($G740*10/23,0),IF($H740=3,$G740-2*ROUND($G740/12,0),IF($H740=4,$G740,IF(OR($H740=5,$H740=7),ROUND($G740*10/11,0),0)))))</f>
        <v>4960</v>
      </c>
      <c r="L740" s="364">
        <f>IF($G740="","",IF($H740=1,ROUND($G740/23,0),IF($H740=3,ROUND($G740/12,0),IF($H740=5,$G740-ROUND($G740*10/11,0),IF($H740=8,$G740,0)))))</f>
        <v>496</v>
      </c>
      <c r="M740" s="364">
        <f>IF($G740="","",IF($H740=1,ROUND($G740/23,0),IF($H740=3,ROUND($G740/12,0),IF($H740=6,$G740,IF($H740=7,$G740-ROUND($G740*10/11,0),0)))))</f>
        <v>496</v>
      </c>
      <c r="N740" s="364">
        <f>IF($G740="","",K740+L740+M740)</f>
        <v>5952</v>
      </c>
      <c r="O740" s="365" t="str">
        <f>IF($G740="","",IFERROR(VLOOKUP($D740&amp;"|"&amp;$E740,科目表!$A$5:$B$200,2,FALSE),"※未登録"))</f>
        <v>通信運搬費</v>
      </c>
      <c r="P740" s="359">
        <f>IF(OR($G740="",$C740=""),"",IF($B740="決算整理",13,MOD(MONTH($C740)-4,12)+1))</f>
        <v>13</v>
      </c>
      <c r="Q740" s="366" t="str">
        <f>IF($G740="","",TRIM(IF(J740+K740+L740+M740&lt;&gt;$G740,"按分不一致 ","")&amp;IF(O740="※未登録","科目未登録 ","")&amp;IF(OR($H740="",ISERROR(MATCH($H740,{1,2,3,4,5,6,7,8},0))),"経費区分? ","")&amp;IF($I740="","状態未設定 ","")&amp;IF(AND(OR($I740="確認済",$I740="未確認"),$B740="月例",OR($C740="",$C740&lt;DATE(年度+2018,4,1),$C740&gt;DATE(年度+2019,3,31))),"年度外の日付 ","")&amp;IF(AND(OR($I740="確認済",$I740="未確認"),O740="対象外"),"対象外の科目 ","")))</f>
        <v/>
      </c>
      <c r="R740" s="366" t="inlineStr">
        <is>
          <t>決算整理!51</t>
        </is>
      </c>
    </row>
    <row r="741">
      <c r="A741" s="359" t="n">
        <v>737</v>
      </c>
      <c r="B741" s="360" t="inlineStr">
        <is>
          <t>決算整理</t>
        </is>
      </c>
      <c r="C741" s="361" t="n">
        <v>43951</v>
      </c>
      <c r="D741" s="362" t="inlineStr">
        <is>
          <t>事務費</t>
        </is>
      </c>
      <c r="E741" s="362" t="inlineStr">
        <is>
          <t>通信運搬費</t>
        </is>
      </c>
      <c r="F741" s="362" t="inlineStr">
        <is>
          <t>行政財産使用電話料（１０～３月分）</t>
        </is>
      </c>
      <c r="G741" s="363" t="n">
        <v>18000</v>
      </c>
      <c r="H741" s="360" t="n">
        <v>3</v>
      </c>
      <c r="I741" s="360" t="inlineStr">
        <is>
          <t>昨年実績</t>
        </is>
      </c>
      <c r="J741" s="364">
        <f>IF($G741="","",IF($H741=1,$G741-ROUND($G741*10/23,0)-2*ROUND($G741/23,0),IF($H741=2,$G741,0)))</f>
        <v>0</v>
      </c>
      <c r="K741" s="364">
        <f>IF($G741="","",IF($H741=1,ROUND($G741*10/23,0),IF($H741=3,$G741-2*ROUND($G741/12,0),IF($H741=4,$G741,IF(OR($H741=5,$H741=7),ROUND($G741*10/11,0),0)))))</f>
        <v>15000</v>
      </c>
      <c r="L741" s="364">
        <f>IF($G741="","",IF($H741=1,ROUND($G741/23,0),IF($H741=3,ROUND($G741/12,0),IF($H741=5,$G741-ROUND($G741*10/11,0),IF($H741=8,$G741,0)))))</f>
        <v>1500</v>
      </c>
      <c r="M741" s="364">
        <f>IF($G741="","",IF($H741=1,ROUND($G741/23,0),IF($H741=3,ROUND($G741/12,0),IF($H741=6,$G741,IF($H741=7,$G741-ROUND($G741*10/11,0),0)))))</f>
        <v>1500</v>
      </c>
      <c r="N741" s="364">
        <f>IF($G741="","",K741+L741+M741)</f>
        <v>18000</v>
      </c>
      <c r="O741" s="365" t="str">
        <f>IF($G741="","",IFERROR(VLOOKUP($D741&amp;"|"&amp;$E741,科目表!$A$5:$B$200,2,FALSE),"※未登録"))</f>
        <v>通信運搬費</v>
      </c>
      <c r="P741" s="359">
        <f>IF(OR($G741="",$C741=""),"",IF($B741="決算整理",13,MOD(MONTH($C741)-4,12)+1))</f>
        <v>13</v>
      </c>
      <c r="Q741" s="366" t="str">
        <f>IF($G741="","",TRIM(IF(J741+K741+L741+M741&lt;&gt;$G741,"按分不一致 ","")&amp;IF(O741="※未登録","科目未登録 ","")&amp;IF(OR($H741="",ISERROR(MATCH($H741,{1,2,3,4,5,6,7,8},0))),"経費区分? ","")&amp;IF($I741="","状態未設定 ","")&amp;IF(AND(OR($I741="確認済",$I741="未確認"),$B741="月例",OR($C741="",$C741&lt;DATE(年度+2018,4,1),$C741&gt;DATE(年度+2019,3,31))),"年度外の日付 ","")&amp;IF(AND(OR($I741="確認済",$I741="未確認"),O741="対象外"),"対象外の科目 ","")))</f>
        <v/>
      </c>
      <c r="R741" s="366" t="inlineStr">
        <is>
          <t>決算整理!52</t>
        </is>
      </c>
    </row>
    <row r="742">
      <c r="A742" s="359" t="n">
        <v>738</v>
      </c>
      <c r="B742" s="360" t="inlineStr">
        <is>
          <t>決算整理</t>
        </is>
      </c>
      <c r="C742" s="361" t="n">
        <v>43942</v>
      </c>
      <c r="D742" s="362" t="inlineStr">
        <is>
          <t>事務費</t>
        </is>
      </c>
      <c r="E742" s="362" t="n"/>
      <c r="F742" s="362" t="inlineStr">
        <is>
          <t>ゆうちょ銀行一般振替口座　残高証明書発行手数料</t>
        </is>
      </c>
      <c r="G742" s="363" t="n">
        <v>617</v>
      </c>
      <c r="H742" s="360" t="n">
        <v>3</v>
      </c>
      <c r="I742" s="360" t="inlineStr">
        <is>
          <t>昨年実績</t>
        </is>
      </c>
      <c r="J742" s="364">
        <f>IF($G742="","",IF($H742=1,$G742-ROUND($G742*10/23,0)-2*ROUND($G742/23,0),IF($H742=2,$G742,0)))</f>
        <v>0</v>
      </c>
      <c r="K742" s="364">
        <f>IF($G742="","",IF($H742=1,ROUND($G742*10/23,0),IF($H742=3,$G742-2*ROUND($G742/12,0),IF($H742=4,$G742,IF(OR($H742=5,$H742=7),ROUND($G742*10/11,0),0)))))</f>
        <v>515</v>
      </c>
      <c r="L742" s="364">
        <f>IF($G742="","",IF($H742=1,ROUND($G742/23,0),IF($H742=3,ROUND($G742/12,0),IF($H742=5,$G742-ROUND($G742*10/11,0),IF($H742=8,$G742,0)))))</f>
        <v>51</v>
      </c>
      <c r="M742" s="364">
        <f>IF($G742="","",IF($H742=1,ROUND($G742/23,0),IF($H742=3,ROUND($G742/12,0),IF($H742=6,$G742,IF($H742=7,$G742-ROUND($G742*10/11,0),0)))))</f>
        <v>51</v>
      </c>
      <c r="N742" s="364">
        <f>IF($G742="","",K742+L742+M742)</f>
        <v>617</v>
      </c>
      <c r="O742" s="365" t="str">
        <f>IF($G742="","",IFERROR(VLOOKUP($D742&amp;"|"&amp;$E742,科目表!$A$5:$B$200,2,FALSE),"※未登録"))</f>
        <v>事務費・雑費</v>
      </c>
      <c r="P742" s="359">
        <f>IF(OR($G742="",$C742=""),"",IF($B742="決算整理",13,MOD(MONTH($C742)-4,12)+1))</f>
        <v>13</v>
      </c>
      <c r="Q742" s="366" t="str">
        <f>IF($G742="","",TRIM(IF(J742+K742+L742+M742&lt;&gt;$G742,"按分不一致 ","")&amp;IF(O742="※未登録","科目未登録 ","")&amp;IF(OR($H742="",ISERROR(MATCH($H742,{1,2,3,4,5,6,7,8},0))),"経費区分? ","")&amp;IF($I742="","状態未設定 ","")&amp;IF(AND(OR($I742="確認済",$I742="未確認"),$B742="月例",OR($C742="",$C742&lt;DATE(年度+2018,4,1),$C742&gt;DATE(年度+2019,3,31))),"年度外の日付 ","")&amp;IF(AND(OR($I742="確認済",$I742="未確認"),O742="対象外"),"対象外の科目 ","")))</f>
        <v/>
      </c>
      <c r="R742" s="366" t="inlineStr">
        <is>
          <t>決算整理!53</t>
        </is>
      </c>
    </row>
    <row r="743">
      <c r="A743" s="359" t="n">
        <v>739</v>
      </c>
      <c r="B743" s="360" t="inlineStr">
        <is>
          <t>決算整理</t>
        </is>
      </c>
      <c r="C743" s="361" t="n">
        <v>46140</v>
      </c>
      <c r="D743" s="362" t="inlineStr">
        <is>
          <t>賃借料</t>
        </is>
      </c>
      <c r="E743" s="362" t="n"/>
      <c r="F743" s="362" t="inlineStr">
        <is>
          <t>サーバラック（長期）</t>
        </is>
      </c>
      <c r="G743" s="363" t="n">
        <v>16152</v>
      </c>
      <c r="H743" s="360" t="n">
        <v>3</v>
      </c>
      <c r="I743" s="360" t="inlineStr">
        <is>
          <t>昨年実績</t>
        </is>
      </c>
      <c r="J743" s="364">
        <f>IF($G743="","",IF($H743=1,$G743-ROUND($G743*10/23,0)-2*ROUND($G743/23,0),IF($H743=2,$G743,0)))</f>
        <v>0</v>
      </c>
      <c r="K743" s="364">
        <f>IF($G743="","",IF($H743=1,ROUND($G743*10/23,0),IF($H743=3,$G743-2*ROUND($G743/12,0),IF($H743=4,$G743,IF(OR($H743=5,$H743=7),ROUND($G743*10/11,0),0)))))</f>
        <v>13460</v>
      </c>
      <c r="L743" s="364">
        <f>IF($G743="","",IF($H743=1,ROUND($G743/23,0),IF($H743=3,ROUND($G743/12,0),IF($H743=5,$G743-ROUND($G743*10/11,0),IF($H743=8,$G743,0)))))</f>
        <v>1346</v>
      </c>
      <c r="M743" s="364">
        <f>IF($G743="","",IF($H743=1,ROUND($G743/23,0),IF($H743=3,ROUND($G743/12,0),IF($H743=6,$G743,IF($H743=7,$G743-ROUND($G743*10/11,0),0)))))</f>
        <v>1346</v>
      </c>
      <c r="N743" s="364">
        <f>IF($G743="","",K743+L743+M743)</f>
        <v>16152</v>
      </c>
      <c r="O743" s="365" t="str">
        <f>IF($G743="","",IFERROR(VLOOKUP($D743&amp;"|"&amp;$E743,科目表!$A$5:$B$200,2,FALSE),"※未登録"))</f>
        <v>賃借料</v>
      </c>
      <c r="P743" s="359">
        <f>IF(OR($G743="",$C743=""),"",IF($B743="決算整理",13,MOD(MONTH($C743)-4,12)+1))</f>
        <v>13</v>
      </c>
      <c r="Q743" s="366" t="str">
        <f>IF($G743="","",TRIM(IF(J743+K743+L743+M743&lt;&gt;$G743,"按分不一致 ","")&amp;IF(O743="※未登録","科目未登録 ","")&amp;IF(OR($H743="",ISERROR(MATCH($H743,{1,2,3,4,5,6,7,8},0))),"経費区分? ","")&amp;IF($I743="","状態未設定 ","")&amp;IF(AND(OR($I743="確認済",$I743="未確認"),$B743="月例",OR($C743="",$C743&lt;DATE(年度+2018,4,1),$C743&gt;DATE(年度+2019,3,31))),"年度外の日付 ","")&amp;IF(AND(OR($I743="確認済",$I743="未確認"),O743="対象外"),"対象外の科目 ","")))</f>
        <v/>
      </c>
      <c r="R743" s="366" t="inlineStr">
        <is>
          <t>決算整理!54</t>
        </is>
      </c>
    </row>
    <row r="744">
      <c r="A744" s="359" t="n">
        <v>740</v>
      </c>
      <c r="B744" s="360" t="inlineStr">
        <is>
          <t>決算整理</t>
        </is>
      </c>
      <c r="C744" s="361" t="n">
        <v>44679</v>
      </c>
      <c r="D744" s="362" t="inlineStr">
        <is>
          <t>賃借料</t>
        </is>
      </c>
      <c r="E744" s="362" t="n"/>
      <c r="F744" s="362" t="inlineStr">
        <is>
          <t>病院機構人給システム（パソコン・プリンタ使用料）長期</t>
        </is>
      </c>
      <c r="G744" s="363" t="n">
        <v>25902</v>
      </c>
      <c r="H744" s="360" t="n">
        <v>3</v>
      </c>
      <c r="I744" s="360" t="inlineStr">
        <is>
          <t>昨年実績</t>
        </is>
      </c>
      <c r="J744" s="364">
        <f>IF($G744="","",IF($H744=1,$G744-ROUND($G744*10/23,0)-2*ROUND($G744/23,0),IF($H744=2,$G744,0)))</f>
        <v>0</v>
      </c>
      <c r="K744" s="364">
        <f>IF($G744="","",IF($H744=1,ROUND($G744*10/23,0),IF($H744=3,$G744-2*ROUND($G744/12,0),IF($H744=4,$G744,IF(OR($H744=5,$H744=7),ROUND($G744*10/11,0),0)))))</f>
        <v>21584</v>
      </c>
      <c r="L744" s="364">
        <f>IF($G744="","",IF($H744=1,ROUND($G744/23,0),IF($H744=3,ROUND($G744/12,0),IF($H744=5,$G744-ROUND($G744*10/11,0),IF($H744=8,$G744,0)))))</f>
        <v>2159</v>
      </c>
      <c r="M744" s="364">
        <f>IF($G744="","",IF($H744=1,ROUND($G744/23,0),IF($H744=3,ROUND($G744/12,0),IF($H744=6,$G744,IF($H744=7,$G744-ROUND($G744*10/11,0),0)))))</f>
        <v>2159</v>
      </c>
      <c r="N744" s="364">
        <f>IF($G744="","",K744+L744+M744)</f>
        <v>25902</v>
      </c>
      <c r="O744" s="365" t="str">
        <f>IF($G744="","",IFERROR(VLOOKUP($D744&amp;"|"&amp;$E744,科目表!$A$5:$B$200,2,FALSE),"※未登録"))</f>
        <v>賃借料</v>
      </c>
      <c r="P744" s="359">
        <f>IF(OR($G744="",$C744=""),"",IF($B744="決算整理",13,MOD(MONTH($C744)-4,12)+1))</f>
        <v>13</v>
      </c>
      <c r="Q744" s="366" t="str">
        <f>IF($G744="","",TRIM(IF(J744+K744+L744+M744&lt;&gt;$G744,"按分不一致 ","")&amp;IF(O744="※未登録","科目未登録 ","")&amp;IF(OR($H744="",ISERROR(MATCH($H744,{1,2,3,4,5,6,7,8},0))),"経費区分? ","")&amp;IF($I744="","状態未設定 ","")&amp;IF(AND(OR($I744="確認済",$I744="未確認"),$B744="月例",OR($C744="",$C744&lt;DATE(年度+2018,4,1),$C744&gt;DATE(年度+2019,3,31))),"年度外の日付 ","")&amp;IF(AND(OR($I744="確認済",$I744="未確認"),O744="対象外"),"対象外の科目 ","")))</f>
        <v/>
      </c>
      <c r="R744" s="366" t="inlineStr">
        <is>
          <t>決算整理!55</t>
        </is>
      </c>
    </row>
    <row r="745">
      <c r="A745" s="359" t="n">
        <v>741</v>
      </c>
      <c r="B745" s="360" t="inlineStr">
        <is>
          <t>決算整理</t>
        </is>
      </c>
      <c r="C745" s="361" t="n">
        <v>43951</v>
      </c>
      <c r="D745" s="362" t="inlineStr">
        <is>
          <t>普及費</t>
        </is>
      </c>
      <c r="E745" s="362" t="n"/>
      <c r="F745" s="362" t="inlineStr">
        <is>
          <t>厚生だより等印刷代分担金（第4四半期）長期</t>
        </is>
      </c>
      <c r="G745" s="363" t="n">
        <v>522996</v>
      </c>
      <c r="H745" s="360" t="n">
        <v>3</v>
      </c>
      <c r="I745" s="360" t="inlineStr">
        <is>
          <t>昨年実績</t>
        </is>
      </c>
      <c r="J745" s="364">
        <f>IF($G745="","",IF($H745=1,$G745-ROUND($G745*10/23,0)-2*ROUND($G745/23,0),IF($H745=2,$G745,0)))</f>
        <v>0</v>
      </c>
      <c r="K745" s="364">
        <f>IF($G745="","",IF($H745=1,ROUND($G745*10/23,0),IF($H745=3,$G745-2*ROUND($G745/12,0),IF($H745=4,$G745,IF(OR($H745=5,$H745=7),ROUND($G745*10/11,0),0)))))</f>
        <v>435830</v>
      </c>
      <c r="L745" s="364">
        <f>IF($G745="","",IF($H745=1,ROUND($G745/23,0),IF($H745=3,ROUND($G745/12,0),IF($H745=5,$G745-ROUND($G745*10/11,0),IF($H745=8,$G745,0)))))</f>
        <v>43583</v>
      </c>
      <c r="M745" s="364">
        <f>IF($G745="","",IF($H745=1,ROUND($G745/23,0),IF($H745=3,ROUND($G745/12,0),IF($H745=6,$G745,IF($H745=7,$G745-ROUND($G745*10/11,0),0)))))</f>
        <v>43583</v>
      </c>
      <c r="N745" s="364">
        <f>IF($G745="","",K745+L745+M745)</f>
        <v>522996</v>
      </c>
      <c r="O745" s="365" t="str">
        <f>IF($G745="","",IFERROR(VLOOKUP($D745&amp;"|"&amp;$E745,科目表!$A$5:$B$200,2,FALSE),"※未登録"))</f>
        <v>普及費</v>
      </c>
      <c r="P745" s="359">
        <f>IF(OR($G745="",$C745=""),"",IF($B745="決算整理",13,MOD(MONTH($C745)-4,12)+1))</f>
        <v>13</v>
      </c>
      <c r="Q745" s="366" t="str">
        <f>IF($G745="","",TRIM(IF(J745+K745+L745+M745&lt;&gt;$G745,"按分不一致 ","")&amp;IF(O745="※未登録","科目未登録 ","")&amp;IF(OR($H745="",ISERROR(MATCH($H745,{1,2,3,4,5,6,7,8},0))),"経費区分? ","")&amp;IF($I745="","状態未設定 ","")&amp;IF(AND(OR($I745="確認済",$I745="未確認"),$B745="月例",OR($C745="",$C745&lt;DATE(年度+2018,4,1),$C745&gt;DATE(年度+2019,3,31))),"年度外の日付 ","")&amp;IF(AND(OR($I745="確認済",$I745="未確認"),O745="対象外"),"対象外の科目 ","")))</f>
        <v/>
      </c>
      <c r="R745" s="366" t="inlineStr">
        <is>
          <t>決算整理!56</t>
        </is>
      </c>
    </row>
    <row r="746">
      <c r="A746" s="359" t="n">
        <v>742</v>
      </c>
      <c r="B746" s="360" t="inlineStr">
        <is>
          <t>決算整理</t>
        </is>
      </c>
      <c r="C746" s="361" t="n">
        <v>43951</v>
      </c>
      <c r="D746" s="362" t="inlineStr">
        <is>
          <t>負担金</t>
        </is>
      </c>
      <c r="E746" s="362" t="inlineStr">
        <is>
          <t>厚年負担金等</t>
        </is>
      </c>
      <c r="F746" s="362" t="inlineStr">
        <is>
          <t>３月月例+３月賞与分（長期分）子ども子育て拠出金を含む</t>
        </is>
      </c>
      <c r="G746" s="363" t="n">
        <v>39858</v>
      </c>
      <c r="H746" s="360" t="n">
        <v>3</v>
      </c>
      <c r="I746" s="360" t="inlineStr">
        <is>
          <t>昨年実績</t>
        </is>
      </c>
      <c r="J746" s="364">
        <f>IF($G746="","",IF($H746=1,$G746-ROUND($G746*10/23,0)-2*ROUND($G746/23,0),IF($H746=2,$G746,0)))</f>
        <v>0</v>
      </c>
      <c r="K746" s="364">
        <f>IF($G746="","",IF($H746=1,ROUND($G746*10/23,0),IF($H746=3,$G746-2*ROUND($G746/12,0),IF($H746=4,$G746,IF(OR($H746=5,$H746=7),ROUND($G746*10/11,0),0)))))</f>
        <v>33214</v>
      </c>
      <c r="L746" s="364">
        <f>IF($G746="","",IF($H746=1,ROUND($G746/23,0),IF($H746=3,ROUND($G746/12,0),IF($H746=5,$G746-ROUND($G746*10/11,0),IF($H746=8,$G746,0)))))</f>
        <v>3322</v>
      </c>
      <c r="M746" s="364">
        <f>IF($G746="","",IF($H746=1,ROUND($G746/23,0),IF($H746=3,ROUND($G746/12,0),IF($H746=6,$G746,IF($H746=7,$G746-ROUND($G746*10/11,0),0)))))</f>
        <v>3322</v>
      </c>
      <c r="N746" s="364">
        <f>IF($G746="","",K746+L746+M746)</f>
        <v>39858</v>
      </c>
      <c r="O746" s="365" t="str">
        <f>IF($G746="","",IFERROR(VLOOKUP($D746&amp;"|"&amp;$E746,科目表!$A$5:$B$200,2,FALSE),"※未登録"))</f>
        <v>厚年負担金等</v>
      </c>
      <c r="P746" s="359">
        <f>IF(OR($G746="",$C746=""),"",IF($B746="決算整理",13,MOD(MONTH($C746)-4,12)+1))</f>
        <v>13</v>
      </c>
      <c r="Q746" s="366" t="str">
        <f>IF($G746="","",TRIM(IF(J746+K746+L746+M746&lt;&gt;$G746,"按分不一致 ","")&amp;IF(O746="※未登録","科目未登録 ","")&amp;IF(OR($H746="",ISERROR(MATCH($H746,{1,2,3,4,5,6,7,8},0))),"経費区分? ","")&amp;IF($I746="","状態未設定 ","")&amp;IF(AND(OR($I746="確認済",$I746="未確認"),$B746="月例",OR($C746="",$C746&lt;DATE(年度+2018,4,1),$C746&gt;DATE(年度+2019,3,31))),"年度外の日付 ","")&amp;IF(AND(OR($I746="確認済",$I746="未確認"),O746="対象外"),"対象外の科目 ","")))</f>
        <v/>
      </c>
      <c r="R746" s="366" t="inlineStr">
        <is>
          <t>決算整理!57</t>
        </is>
      </c>
    </row>
    <row r="747">
      <c r="A747" s="359" t="n">
        <v>743</v>
      </c>
      <c r="B747" s="360" t="inlineStr">
        <is>
          <t>決算整理</t>
        </is>
      </c>
      <c r="C747" s="361" t="n">
        <v>43951</v>
      </c>
      <c r="D747" s="362" t="inlineStr">
        <is>
          <t>負担金</t>
        </is>
      </c>
      <c r="E747" s="362" t="inlineStr">
        <is>
          <t>協会けんぽ保険料等</t>
        </is>
      </c>
      <c r="F747" s="362" t="inlineStr">
        <is>
          <t>３月月例+３月賞与分（長期分）</t>
        </is>
      </c>
      <c r="G747" s="363" t="n">
        <v>22364</v>
      </c>
      <c r="H747" s="360" t="n">
        <v>3</v>
      </c>
      <c r="I747" s="360" t="inlineStr">
        <is>
          <t>昨年実績</t>
        </is>
      </c>
      <c r="J747" s="364">
        <f>IF($G747="","",IF($H747=1,$G747-ROUND($G747*10/23,0)-2*ROUND($G747/23,0),IF($H747=2,$G747,0)))</f>
        <v>0</v>
      </c>
      <c r="K747" s="364">
        <f>IF($G747="","",IF($H747=1,ROUND($G747*10/23,0),IF($H747=3,$G747-2*ROUND($G747/12,0),IF($H747=4,$G747,IF(OR($H747=5,$H747=7),ROUND($G747*10/11,0),0)))))</f>
        <v>18636</v>
      </c>
      <c r="L747" s="364">
        <f>IF($G747="","",IF($H747=1,ROUND($G747/23,0),IF($H747=3,ROUND($G747/12,0),IF($H747=5,$G747-ROUND($G747*10/11,0),IF($H747=8,$G747,0)))))</f>
        <v>1864</v>
      </c>
      <c r="M747" s="364">
        <f>IF($G747="","",IF($H747=1,ROUND($G747/23,0),IF($H747=3,ROUND($G747/12,0),IF($H747=6,$G747,IF($H747=7,$G747-ROUND($G747*10/11,0),0)))))</f>
        <v>1864</v>
      </c>
      <c r="N747" s="364">
        <f>IF($G747="","",K747+L747+M747)</f>
        <v>22364</v>
      </c>
      <c r="O747" s="365" t="str">
        <f>IF($G747="","",IFERROR(VLOOKUP($D747&amp;"|"&amp;$E747,科目表!$A$5:$B$200,2,FALSE),"※未登録"))</f>
        <v>協会けんぽ保険料等</v>
      </c>
      <c r="P747" s="359">
        <f>IF(OR($G747="",$C747=""),"",IF($B747="決算整理",13,MOD(MONTH($C747)-4,12)+1))</f>
        <v>13</v>
      </c>
      <c r="Q747" s="366" t="str">
        <f>IF($G747="","",TRIM(IF(J747+K747+L747+M747&lt;&gt;$G747,"按分不一致 ","")&amp;IF(O747="※未登録","科目未登録 ","")&amp;IF(OR($H747="",ISERROR(MATCH($H747,{1,2,3,4,5,6,7,8},0))),"経費区分? ","")&amp;IF($I747="","状態未設定 ","")&amp;IF(AND(OR($I747="確認済",$I747="未確認"),$B747="月例",OR($C747="",$C747&lt;DATE(年度+2018,4,1),$C747&gt;DATE(年度+2019,3,31))),"年度外の日付 ","")&amp;IF(AND(OR($I747="確認済",$I747="未確認"),O747="対象外"),"対象外の科目 ","")))</f>
        <v/>
      </c>
      <c r="R747" s="366" t="inlineStr">
        <is>
          <t>決算整理!58</t>
        </is>
      </c>
    </row>
    <row r="748">
      <c r="A748" s="359" t="n">
        <v>744</v>
      </c>
      <c r="B748" s="360" t="inlineStr">
        <is>
          <t>決算整理</t>
        </is>
      </c>
      <c r="C748" s="361" t="n">
        <v>46127</v>
      </c>
      <c r="D748" s="362" t="inlineStr">
        <is>
          <t>委託費</t>
        </is>
      </c>
      <c r="E748" s="362" t="n"/>
      <c r="F748" s="362" t="inlineStr">
        <is>
          <t>ねんきん定期便（３月分）送付業務</t>
        </is>
      </c>
      <c r="G748" s="363" t="n">
        <v>80964</v>
      </c>
      <c r="H748" s="360" t="n">
        <v>5</v>
      </c>
      <c r="I748" s="360" t="inlineStr">
        <is>
          <t>昨年実績</t>
        </is>
      </c>
      <c r="J748" s="364">
        <f>IF($G748="","",IF($H748=1,$G748-ROUND($G748*10/23,0)-2*ROUND($G748/23,0),IF($H748=2,$G748,0)))</f>
        <v>0</v>
      </c>
      <c r="K748" s="364">
        <f>IF($G748="","",IF($H748=1,ROUND($G748*10/23,0),IF($H748=3,$G748-2*ROUND($G748/12,0),IF($H748=4,$G748,IF(OR($H748=5,$H748=7),ROUND($G748*10/11,0),0)))))</f>
        <v>73604</v>
      </c>
      <c r="L748" s="364">
        <f>IF($G748="","",IF($H748=1,ROUND($G748/23,0),IF($H748=3,ROUND($G748/12,0),IF($H748=5,$G748-ROUND($G748*10/11,0),IF($H748=8,$G748,0)))))</f>
        <v>7360</v>
      </c>
      <c r="M748" s="364">
        <f>IF($G748="","",IF($H748=1,ROUND($G748/23,0),IF($H748=3,ROUND($G748/12,0),IF($H748=6,$G748,IF($H748=7,$G748-ROUND($G748*10/11,0),0)))))</f>
        <v>0</v>
      </c>
      <c r="N748" s="364">
        <f>IF($G748="","",K748+L748+M748)</f>
        <v>80964</v>
      </c>
      <c r="O748" s="365" t="str">
        <f>IF($G748="","",IFERROR(VLOOKUP($D748&amp;"|"&amp;$E748,科目表!$A$5:$B$200,2,FALSE),"※未登録"))</f>
        <v>委託費</v>
      </c>
      <c r="P748" s="359">
        <f>IF(OR($G748="",$C748=""),"",IF($B748="決算整理",13,MOD(MONTH($C748)-4,12)+1))</f>
        <v>13</v>
      </c>
      <c r="Q748" s="366" t="str">
        <f>IF($G748="","",TRIM(IF(J748+K748+L748+M748&lt;&gt;$G748,"按分不一致 ","")&amp;IF(O748="※未登録","科目未登録 ","")&amp;IF(OR($H748="",ISERROR(MATCH($H748,{1,2,3,4,5,6,7,8},0))),"経費区分? ","")&amp;IF($I748="","状態未設定 ","")&amp;IF(AND(OR($I748="確認済",$I748="未確認"),$B748="月例",OR($C748="",$C748&lt;DATE(年度+2018,4,1),$C748&gt;DATE(年度+2019,3,31))),"年度外の日付 ","")&amp;IF(AND(OR($I748="確認済",$I748="未確認"),O748="対象外"),"対象外の科目 ","")))</f>
        <v/>
      </c>
      <c r="R748" s="366" t="inlineStr">
        <is>
          <t>決算整理!59</t>
        </is>
      </c>
    </row>
    <row r="749">
      <c r="A749" s="359" t="n">
        <v>745</v>
      </c>
      <c r="B749" s="360" t="inlineStr">
        <is>
          <t>決算整理</t>
        </is>
      </c>
      <c r="C749" s="361" t="n">
        <v>46127</v>
      </c>
      <c r="D749" s="362" t="inlineStr">
        <is>
          <t>賃借料</t>
        </is>
      </c>
      <c r="E749" s="362" t="n"/>
      <c r="F749" s="362" t="inlineStr">
        <is>
          <t>サーバ版標準システム構成機器（10～3月分)</t>
        </is>
      </c>
      <c r="G749" s="363" t="n">
        <v>87450</v>
      </c>
      <c r="H749" s="360" t="n">
        <v>3</v>
      </c>
      <c r="I749" s="360" t="inlineStr">
        <is>
          <t>昨年実績</t>
        </is>
      </c>
      <c r="J749" s="364">
        <f>IF($G749="","",IF($H749=1,$G749-ROUND($G749*10/23,0)-2*ROUND($G749/23,0),IF($H749=2,$G749,0)))</f>
        <v>0</v>
      </c>
      <c r="K749" s="364">
        <f>IF($G749="","",IF($H749=1,ROUND($G749*10/23,0),IF($H749=3,$G749-2*ROUND($G749/12,0),IF($H749=4,$G749,IF(OR($H749=5,$H749=7),ROUND($G749*10/11,0),0)))))</f>
        <v>72874</v>
      </c>
      <c r="L749" s="364">
        <f>IF($G749="","",IF($H749=1,ROUND($G749/23,0),IF($H749=3,ROUND($G749/12,0),IF($H749=5,$G749-ROUND($G749*10/11,0),IF($H749=8,$G749,0)))))</f>
        <v>7288</v>
      </c>
      <c r="M749" s="364">
        <f>IF($G749="","",IF($H749=1,ROUND($G749/23,0),IF($H749=3,ROUND($G749/12,0),IF($H749=6,$G749,IF($H749=7,$G749-ROUND($G749*10/11,0),0)))))</f>
        <v>7288</v>
      </c>
      <c r="N749" s="364">
        <f>IF($G749="","",K749+L749+M749)</f>
        <v>87450</v>
      </c>
      <c r="O749" s="365" t="str">
        <f>IF($G749="","",IFERROR(VLOOKUP($D749&amp;"|"&amp;$E749,科目表!$A$5:$B$200,2,FALSE),"※未登録"))</f>
        <v>賃借料</v>
      </c>
      <c r="P749" s="359">
        <f>IF(OR($G749="",$C749=""),"",IF($B749="決算整理",13,MOD(MONTH($C749)-4,12)+1))</f>
        <v>13</v>
      </c>
      <c r="Q749" s="366" t="str">
        <f>IF($G749="","",TRIM(IF(J749+K749+L749+M749&lt;&gt;$G749,"按分不一致 ","")&amp;IF(O749="※未登録","科目未登録 ","")&amp;IF(OR($H749="",ISERROR(MATCH($H749,{1,2,3,4,5,6,7,8},0))),"経費区分? ","")&amp;IF($I749="","状態未設定 ","")&amp;IF(AND(OR($I749="確認済",$I749="未確認"),$B749="月例",OR($C749="",$C749&lt;DATE(年度+2018,4,1),$C749&gt;DATE(年度+2019,3,31))),"年度外の日付 ","")&amp;IF(AND(OR($I749="確認済",$I749="未確認"),O749="対象外"),"対象外の科目 ","")))</f>
        <v/>
      </c>
      <c r="R749" s="366" t="inlineStr">
        <is>
          <t>決算整理!60</t>
        </is>
      </c>
    </row>
    <row r="750">
      <c r="A750" s="359" t="n">
        <v>746</v>
      </c>
      <c r="B750" s="360" t="inlineStr">
        <is>
          <t>決算整理</t>
        </is>
      </c>
      <c r="C750" s="361" t="n">
        <v>46140</v>
      </c>
      <c r="D750" s="362" t="inlineStr">
        <is>
          <t>賃借料</t>
        </is>
      </c>
      <c r="E750" s="362" t="n"/>
      <c r="F750" s="362" t="inlineStr">
        <is>
          <t>基幹システム用機器賃借料　３月分（長期）</t>
        </is>
      </c>
      <c r="G750" s="363" t="n">
        <v>69613</v>
      </c>
      <c r="H750" s="360" t="n">
        <v>3</v>
      </c>
      <c r="I750" s="360" t="inlineStr">
        <is>
          <t>昨年実績</t>
        </is>
      </c>
      <c r="J750" s="364">
        <f>IF($G750="","",IF($H750=1,$G750-ROUND($G750*10/23,0)-2*ROUND($G750/23,0),IF($H750=2,$G750,0)))</f>
        <v>0</v>
      </c>
      <c r="K750" s="364">
        <f>IF($G750="","",IF($H750=1,ROUND($G750*10/23,0),IF($H750=3,$G750-2*ROUND($G750/12,0),IF($H750=4,$G750,IF(OR($H750=5,$H750=7),ROUND($G750*10/11,0),0)))))</f>
        <v>58011</v>
      </c>
      <c r="L750" s="364">
        <f>IF($G750="","",IF($H750=1,ROUND($G750/23,0),IF($H750=3,ROUND($G750/12,0),IF($H750=5,$G750-ROUND($G750*10/11,0),IF($H750=8,$G750,0)))))</f>
        <v>5801</v>
      </c>
      <c r="M750" s="364">
        <f>IF($G750="","",IF($H750=1,ROUND($G750/23,0),IF($H750=3,ROUND($G750/12,0),IF($H750=6,$G750,IF($H750=7,$G750-ROUND($G750*10/11,0),0)))))</f>
        <v>5801</v>
      </c>
      <c r="N750" s="364">
        <f>IF($G750="","",K750+L750+M750)</f>
        <v>69613</v>
      </c>
      <c r="O750" s="365" t="str">
        <f>IF($G750="","",IFERROR(VLOOKUP($D750&amp;"|"&amp;$E750,科目表!$A$5:$B$200,2,FALSE),"※未登録"))</f>
        <v>賃借料</v>
      </c>
      <c r="P750" s="359">
        <f>IF(OR($G750="",$C750=""),"",IF($B750="決算整理",13,MOD(MONTH($C750)-4,12)+1))</f>
        <v>13</v>
      </c>
      <c r="Q750" s="366" t="str">
        <f>IF($G750="","",TRIM(IF(J750+K750+L750+M750&lt;&gt;$G750,"按分不一致 ","")&amp;IF(O750="※未登録","科目未登録 ","")&amp;IF(OR($H750="",ISERROR(MATCH($H750,{1,2,3,4,5,6,7,8},0))),"経費区分? ","")&amp;IF($I750="","状態未設定 ","")&amp;IF(AND(OR($I750="確認済",$I750="未確認"),$B750="月例",OR($C750="",$C750&lt;DATE(年度+2018,4,1),$C750&gt;DATE(年度+2019,3,31))),"年度外の日付 ","")&amp;IF(AND(OR($I750="確認済",$I750="未確認"),O750="対象外"),"対象外の科目 ","")))</f>
        <v/>
      </c>
      <c r="R750" s="366" t="inlineStr">
        <is>
          <t>決算整理!61</t>
        </is>
      </c>
    </row>
    <row r="751">
      <c r="A751" s="359" t="n">
        <v>747</v>
      </c>
      <c r="B751" s="360" t="inlineStr">
        <is>
          <t>決算整理</t>
        </is>
      </c>
      <c r="C751" s="361" t="n">
        <v>46140</v>
      </c>
      <c r="D751" s="362" t="inlineStr">
        <is>
          <t>賃借料</t>
        </is>
      </c>
      <c r="E751" s="362" t="n"/>
      <c r="F751" s="362" t="inlineStr">
        <is>
          <t>基幹システム用機器賃借料　３月分（短期）</t>
        </is>
      </c>
      <c r="G751" s="363" t="n">
        <v>672934</v>
      </c>
      <c r="H751" s="360" t="n">
        <v>2</v>
      </c>
      <c r="I751" s="360" t="inlineStr">
        <is>
          <t>昨年実績</t>
        </is>
      </c>
      <c r="J751" s="364">
        <f>IF($G751="","",IF($H751=1,$G751-ROUND($G751*10/23,0)-2*ROUND($G751/23,0),IF($H751=2,$G751,0)))</f>
        <v>672934</v>
      </c>
      <c r="K751" s="364">
        <f>IF($G751="","",IF($H751=1,ROUND($G751*10/23,0),IF($H751=3,$G751-2*ROUND($G751/12,0),IF($H751=4,$G751,IF(OR($H751=5,$H751=7),ROUND($G751*10/11,0),0)))))</f>
        <v>0</v>
      </c>
      <c r="L751" s="364">
        <f>IF($G751="","",IF($H751=1,ROUND($G751/23,0),IF($H751=3,ROUND($G751/12,0),IF($H751=5,$G751-ROUND($G751*10/11,0),IF($H751=8,$G751,0)))))</f>
        <v>0</v>
      </c>
      <c r="M751" s="364">
        <f>IF($G751="","",IF($H751=1,ROUND($G751/23,0),IF($H751=3,ROUND($G751/12,0),IF($H751=6,$G751,IF($H751=7,$G751-ROUND($G751*10/11,0),0)))))</f>
        <v>0</v>
      </c>
      <c r="N751" s="364">
        <f>IF($G751="","",K751+L751+M751)</f>
        <v>0</v>
      </c>
      <c r="O751" s="365" t="str">
        <f>IF($G751="","",IFERROR(VLOOKUP($D751&amp;"|"&amp;$E751,科目表!$A$5:$B$200,2,FALSE),"※未登録"))</f>
        <v>賃借料</v>
      </c>
      <c r="P751" s="359">
        <f>IF(OR($G751="",$C751=""),"",IF($B751="決算整理",13,MOD(MONTH($C751)-4,12)+1))</f>
        <v>13</v>
      </c>
      <c r="Q751" s="366" t="str">
        <f>IF($G751="","",TRIM(IF(J751+K751+L751+M751&lt;&gt;$G751,"按分不一致 ","")&amp;IF(O751="※未登録","科目未登録 ","")&amp;IF(OR($H751="",ISERROR(MATCH($H751,{1,2,3,4,5,6,7,8},0))),"経費区分? ","")&amp;IF($I751="","状態未設定 ","")&amp;IF(AND(OR($I751="確認済",$I751="未確認"),$B751="月例",OR($C751="",$C751&lt;DATE(年度+2018,4,1),$C751&gt;DATE(年度+2019,3,31))),"年度外の日付 ","")&amp;IF(AND(OR($I751="確認済",$I751="未確認"),O751="対象外"),"対象外の科目 ","")))</f>
        <v/>
      </c>
      <c r="R751" s="366" t="inlineStr">
        <is>
          <t>決算整理!62</t>
        </is>
      </c>
    </row>
    <row r="752">
      <c r="A752" s="359" t="n">
        <v>748</v>
      </c>
      <c r="B752" s="360" t="inlineStr">
        <is>
          <t>決算整理</t>
        </is>
      </c>
      <c r="C752" s="361" t="n">
        <v>44679</v>
      </c>
      <c r="D752" s="362" t="inlineStr">
        <is>
          <t>事務費</t>
        </is>
      </c>
      <c r="E752" s="362" t="inlineStr">
        <is>
          <t>通信運搬費</t>
        </is>
      </c>
      <c r="F752" s="362" t="inlineStr">
        <is>
          <t>メール便（任継者宛厚生だより３月分）</t>
        </is>
      </c>
      <c r="G752" s="363" t="n">
        <v>3024</v>
      </c>
      <c r="H752" s="360" t="n">
        <v>2</v>
      </c>
      <c r="I752" s="360" t="inlineStr">
        <is>
          <t>昨年実績</t>
        </is>
      </c>
      <c r="J752" s="364">
        <f>IF($G752="","",IF($H752=1,$G752-ROUND($G752*10/23,0)-2*ROUND($G752/23,0),IF($H752=2,$G752,0)))</f>
        <v>3024</v>
      </c>
      <c r="K752" s="364">
        <f>IF($G752="","",IF($H752=1,ROUND($G752*10/23,0),IF($H752=3,$G752-2*ROUND($G752/12,0),IF($H752=4,$G752,IF(OR($H752=5,$H752=7),ROUND($G752*10/11,0),0)))))</f>
        <v>0</v>
      </c>
      <c r="L752" s="364">
        <f>IF($G752="","",IF($H752=1,ROUND($G752/23,0),IF($H752=3,ROUND($G752/12,0),IF($H752=5,$G752-ROUND($G752*10/11,0),IF($H752=8,$G752,0)))))</f>
        <v>0</v>
      </c>
      <c r="M752" s="364">
        <f>IF($G752="","",IF($H752=1,ROUND($G752/23,0),IF($H752=3,ROUND($G752/12,0),IF($H752=6,$G752,IF($H752=7,$G752-ROUND($G752*10/11,0),0)))))</f>
        <v>0</v>
      </c>
      <c r="N752" s="364">
        <f>IF($G752="","",K752+L752+M752)</f>
        <v>0</v>
      </c>
      <c r="O752" s="365" t="str">
        <f>IF($G752="","",IFERROR(VLOOKUP($D752&amp;"|"&amp;$E752,科目表!$A$5:$B$200,2,FALSE),"※未登録"))</f>
        <v>通信運搬費</v>
      </c>
      <c r="P752" s="359">
        <f>IF(OR($G752="",$C752=""),"",IF($B752="決算整理",13,MOD(MONTH($C752)-4,12)+1))</f>
        <v>13</v>
      </c>
      <c r="Q752" s="366" t="str">
        <f>IF($G752="","",TRIM(IF(J752+K752+L752+M752&lt;&gt;$G752,"按分不一致 ","")&amp;IF(O752="※未登録","科目未登録 ","")&amp;IF(OR($H752="",ISERROR(MATCH($H752,{1,2,3,4,5,6,7,8},0))),"経費区分? ","")&amp;IF($I752="","状態未設定 ","")&amp;IF(AND(OR($I752="確認済",$I752="未確認"),$B752="月例",OR($C752="",$C752&lt;DATE(年度+2018,4,1),$C752&gt;DATE(年度+2019,3,31))),"年度外の日付 ","")&amp;IF(AND(OR($I752="確認済",$I752="未確認"),O752="対象外"),"対象外の科目 ","")))</f>
        <v/>
      </c>
      <c r="R752" s="366" t="inlineStr">
        <is>
          <t>決算整理!63</t>
        </is>
      </c>
    </row>
    <row r="753">
      <c r="A753" s="359" t="n"/>
      <c r="B753" s="360" t="n"/>
      <c r="C753" s="361" t="n"/>
      <c r="D753" s="362" t="n"/>
      <c r="E753" s="362" t="n"/>
      <c r="F753" s="362" t="n"/>
      <c r="G753" s="363" t="n"/>
      <c r="H753" s="360" t="n"/>
      <c r="I753" s="360" t="n"/>
      <c r="J753" s="364" t="str">
        <f>IF($G753="","",IF($H753=1,$G753-ROUND($G753*10/23,0)-2*ROUND($G753/23,0),IF($H753=2,$G753,0)))</f>
        <v/>
      </c>
      <c r="K753" s="364" t="str">
        <f>IF($G753="","",IF($H753=1,ROUND($G753*10/23,0),IF($H753=3,$G753-2*ROUND($G753/12,0),IF($H753=4,$G753,IF(OR($H753=5,$H753=7),ROUND($G753*10/11,0),0)))))</f>
        <v/>
      </c>
      <c r="L753" s="364" t="str">
        <f>IF($G753="","",IF($H753=1,ROUND($G753/23,0),IF($H753=3,ROUND($G753/12,0),IF($H753=5,$G753-ROUND($G753*10/11,0),IF($H753=8,$G753,0)))))</f>
        <v/>
      </c>
      <c r="M753" s="364" t="str">
        <f>IF($G753="","",IF($H753=1,ROUND($G753/23,0),IF($H753=3,ROUND($G753/12,0),IF($H753=6,$G753,IF($H753=7,$G753-ROUND($G753*10/11,0),0)))))</f>
        <v/>
      </c>
      <c r="N753" s="364" t="str">
        <f>IF($G753="","",K753+L753+M753)</f>
        <v/>
      </c>
      <c r="O753" s="365" t="str">
        <f>IF($G753="","",IFERROR(VLOOKUP($D753&amp;"|"&amp;$E753,科目表!$A$5:$B$200,2,FALSE),"※未登録"))</f>
        <v/>
      </c>
      <c r="P753" s="359" t="str">
        <f>IF(OR($G753="",$C753=""),"",IF($B753="決算整理",13,MOD(MONTH($C753)-4,12)+1))</f>
        <v/>
      </c>
      <c r="Q753" s="366" t="str">
        <f>IF($G753="","",TRIM(IF(J753+K753+L753+M753&lt;&gt;$G753,"按分不一致 ","")&amp;IF(O753="※未登録","科目未登録 ","")&amp;IF(OR($H753="",ISERROR(MATCH($H753,{1,2,3,4,5,6,7,8},0))),"経費区分? ","")&amp;IF($I753="","状態未設定 ","")&amp;IF(AND(OR($I753="確認済",$I753="未確認"),$B753="月例",OR($C753="",$C753&lt;DATE(年度+2018,4,1),$C753&gt;DATE(年度+2019,3,31))),"年度外の日付 ","")&amp;IF(AND(OR($I753="確認済",$I753="未確認"),O753="対象外"),"対象外の科目 ","")))</f>
        <v/>
      </c>
      <c r="R753" s="366" t="n"/>
    </row>
    <row r="754">
      <c r="A754" s="359" t="n"/>
      <c r="B754" s="360" t="n"/>
      <c r="C754" s="361" t="n"/>
      <c r="D754" s="362" t="n"/>
      <c r="E754" s="362" t="n"/>
      <c r="F754" s="362" t="n"/>
      <c r="G754" s="363" t="n"/>
      <c r="H754" s="360" t="n"/>
      <c r="I754" s="360" t="n"/>
      <c r="J754" s="364" t="str">
        <f>IF($G754="","",IF($H754=1,$G754-ROUND($G754*10/23,0)-2*ROUND($G754/23,0),IF($H754=2,$G754,0)))</f>
        <v/>
      </c>
      <c r="K754" s="364" t="str">
        <f>IF($G754="","",IF($H754=1,ROUND($G754*10/23,0),IF($H754=3,$G754-2*ROUND($G754/12,0),IF($H754=4,$G754,IF(OR($H754=5,$H754=7),ROUND($G754*10/11,0),0)))))</f>
        <v/>
      </c>
      <c r="L754" s="364" t="str">
        <f>IF($G754="","",IF($H754=1,ROUND($G754/23,0),IF($H754=3,ROUND($G754/12,0),IF($H754=5,$G754-ROUND($G754*10/11,0),IF($H754=8,$G754,0)))))</f>
        <v/>
      </c>
      <c r="M754" s="364" t="str">
        <f>IF($G754="","",IF($H754=1,ROUND($G754/23,0),IF($H754=3,ROUND($G754/12,0),IF($H754=6,$G754,IF($H754=7,$G754-ROUND($G754*10/11,0),0)))))</f>
        <v/>
      </c>
      <c r="N754" s="364" t="str">
        <f>IF($G754="","",K754+L754+M754)</f>
        <v/>
      </c>
      <c r="O754" s="365" t="str">
        <f>IF($G754="","",IFERROR(VLOOKUP($D754&amp;"|"&amp;$E754,科目表!$A$5:$B$200,2,FALSE),"※未登録"))</f>
        <v/>
      </c>
      <c r="P754" s="359" t="str">
        <f>IF(OR($G754="",$C754=""),"",IF($B754="決算整理",13,MOD(MONTH($C754)-4,12)+1))</f>
        <v/>
      </c>
      <c r="Q754" s="366" t="str">
        <f>IF($G754="","",TRIM(IF(J754+K754+L754+M754&lt;&gt;$G754,"按分不一致 ","")&amp;IF(O754="※未登録","科目未登録 ","")&amp;IF(OR($H754="",ISERROR(MATCH($H754,{1,2,3,4,5,6,7,8},0))),"経費区分? ","")&amp;IF($I754="","状態未設定 ","")&amp;IF(AND(OR($I754="確認済",$I754="未確認"),$B754="月例",OR($C754="",$C754&lt;DATE(年度+2018,4,1),$C754&gt;DATE(年度+2019,3,31))),"年度外の日付 ","")&amp;IF(AND(OR($I754="確認済",$I754="未確認"),O754="対象外"),"対象外の科目 ","")))</f>
        <v/>
      </c>
      <c r="R754" s="366" t="n"/>
    </row>
    <row r="755">
      <c r="A755" s="359" t="n"/>
      <c r="B755" s="360" t="n"/>
      <c r="C755" s="361" t="n"/>
      <c r="D755" s="362" t="n"/>
      <c r="E755" s="362" t="n"/>
      <c r="F755" s="362" t="n"/>
      <c r="G755" s="363" t="n"/>
      <c r="H755" s="360" t="n"/>
      <c r="I755" s="360" t="n"/>
      <c r="J755" s="364" t="str">
        <f>IF($G755="","",IF($H755=1,$G755-ROUND($G755*10/23,0)-2*ROUND($G755/23,0),IF($H755=2,$G755,0)))</f>
        <v/>
      </c>
      <c r="K755" s="364" t="str">
        <f>IF($G755="","",IF($H755=1,ROUND($G755*10/23,0),IF($H755=3,$G755-2*ROUND($G755/12,0),IF($H755=4,$G755,IF(OR($H755=5,$H755=7),ROUND($G755*10/11,0),0)))))</f>
        <v/>
      </c>
      <c r="L755" s="364" t="str">
        <f>IF($G755="","",IF($H755=1,ROUND($G755/23,0),IF($H755=3,ROUND($G755/12,0),IF($H755=5,$G755-ROUND($G755*10/11,0),IF($H755=8,$G755,0)))))</f>
        <v/>
      </c>
      <c r="M755" s="364" t="str">
        <f>IF($G755="","",IF($H755=1,ROUND($G755/23,0),IF($H755=3,ROUND($G755/12,0),IF($H755=6,$G755,IF($H755=7,$G755-ROUND($G755*10/11,0),0)))))</f>
        <v/>
      </c>
      <c r="N755" s="364" t="str">
        <f>IF($G755="","",K755+L755+M755)</f>
        <v/>
      </c>
      <c r="O755" s="365" t="str">
        <f>IF($G755="","",IFERROR(VLOOKUP($D755&amp;"|"&amp;$E755,科目表!$A$5:$B$200,2,FALSE),"※未登録"))</f>
        <v/>
      </c>
      <c r="P755" s="359" t="str">
        <f>IF(OR($G755="",$C755=""),"",IF($B755="決算整理",13,MOD(MONTH($C755)-4,12)+1))</f>
        <v/>
      </c>
      <c r="Q755" s="366" t="str">
        <f>IF($G755="","",TRIM(IF(J755+K755+L755+M755&lt;&gt;$G755,"按分不一致 ","")&amp;IF(O755="※未登録","科目未登録 ","")&amp;IF(OR($H755="",ISERROR(MATCH($H755,{1,2,3,4,5,6,7,8},0))),"経費区分? ","")&amp;IF($I755="","状態未設定 ","")&amp;IF(AND(OR($I755="確認済",$I755="未確認"),$B755="月例",OR($C755="",$C755&lt;DATE(年度+2018,4,1),$C755&gt;DATE(年度+2019,3,31))),"年度外の日付 ","")&amp;IF(AND(OR($I755="確認済",$I755="未確認"),O755="対象外"),"対象外の科目 ","")))</f>
        <v/>
      </c>
      <c r="R755" s="366" t="n"/>
    </row>
    <row r="756">
      <c r="A756" s="359" t="n"/>
      <c r="B756" s="360" t="n"/>
      <c r="C756" s="361" t="n"/>
      <c r="D756" s="362" t="n"/>
      <c r="E756" s="362" t="n"/>
      <c r="F756" s="362" t="n"/>
      <c r="G756" s="363" t="n"/>
      <c r="H756" s="360" t="n"/>
      <c r="I756" s="360" t="n"/>
      <c r="J756" s="364" t="str">
        <f>IF($G756="","",IF($H756=1,$G756-ROUND($G756*10/23,0)-2*ROUND($G756/23,0),IF($H756=2,$G756,0)))</f>
        <v/>
      </c>
      <c r="K756" s="364" t="str">
        <f>IF($G756="","",IF($H756=1,ROUND($G756*10/23,0),IF($H756=3,$G756-2*ROUND($G756/12,0),IF($H756=4,$G756,IF(OR($H756=5,$H756=7),ROUND($G756*10/11,0),0)))))</f>
        <v/>
      </c>
      <c r="L756" s="364" t="str">
        <f>IF($G756="","",IF($H756=1,ROUND($G756/23,0),IF($H756=3,ROUND($G756/12,0),IF($H756=5,$G756-ROUND($G756*10/11,0),IF($H756=8,$G756,0)))))</f>
        <v/>
      </c>
      <c r="M756" s="364" t="str">
        <f>IF($G756="","",IF($H756=1,ROUND($G756/23,0),IF($H756=3,ROUND($G756/12,0),IF($H756=6,$G756,IF($H756=7,$G756-ROUND($G756*10/11,0),0)))))</f>
        <v/>
      </c>
      <c r="N756" s="364" t="str">
        <f>IF($G756="","",K756+L756+M756)</f>
        <v/>
      </c>
      <c r="O756" s="365" t="str">
        <f>IF($G756="","",IFERROR(VLOOKUP($D756&amp;"|"&amp;$E756,科目表!$A$5:$B$200,2,FALSE),"※未登録"))</f>
        <v/>
      </c>
      <c r="P756" s="359" t="str">
        <f>IF(OR($G756="",$C756=""),"",IF($B756="決算整理",13,MOD(MONTH($C756)-4,12)+1))</f>
        <v/>
      </c>
      <c r="Q756" s="366" t="str">
        <f>IF($G756="","",TRIM(IF(J756+K756+L756+M756&lt;&gt;$G756,"按分不一致 ","")&amp;IF(O756="※未登録","科目未登録 ","")&amp;IF(OR($H756="",ISERROR(MATCH($H756,{1,2,3,4,5,6,7,8},0))),"経費区分? ","")&amp;IF($I756="","状態未設定 ","")&amp;IF(AND(OR($I756="確認済",$I756="未確認"),$B756="月例",OR($C756="",$C756&lt;DATE(年度+2018,4,1),$C756&gt;DATE(年度+2019,3,31))),"年度外の日付 ","")&amp;IF(AND(OR($I756="確認済",$I756="未確認"),O756="対象外"),"対象外の科目 ","")))</f>
        <v/>
      </c>
      <c r="R756" s="366" t="n"/>
    </row>
    <row r="757">
      <c r="A757" s="359" t="n"/>
      <c r="B757" s="360" t="n"/>
      <c r="C757" s="361" t="n"/>
      <c r="D757" s="362" t="n"/>
      <c r="E757" s="362" t="n"/>
      <c r="F757" s="362" t="n"/>
      <c r="G757" s="363" t="n"/>
      <c r="H757" s="360" t="n"/>
      <c r="I757" s="360" t="n"/>
      <c r="J757" s="364" t="str">
        <f>IF($G757="","",IF($H757=1,$G757-ROUND($G757*10/23,0)-2*ROUND($G757/23,0),IF($H757=2,$G757,0)))</f>
        <v/>
      </c>
      <c r="K757" s="364" t="str">
        <f>IF($G757="","",IF($H757=1,ROUND($G757*10/23,0),IF($H757=3,$G757-2*ROUND($G757/12,0),IF($H757=4,$G757,IF(OR($H757=5,$H757=7),ROUND($G757*10/11,0),0)))))</f>
        <v/>
      </c>
      <c r="L757" s="364" t="str">
        <f>IF($G757="","",IF($H757=1,ROUND($G757/23,0),IF($H757=3,ROUND($G757/12,0),IF($H757=5,$G757-ROUND($G757*10/11,0),IF($H757=8,$G757,0)))))</f>
        <v/>
      </c>
      <c r="M757" s="364" t="str">
        <f>IF($G757="","",IF($H757=1,ROUND($G757/23,0),IF($H757=3,ROUND($G757/12,0),IF($H757=6,$G757,IF($H757=7,$G757-ROUND($G757*10/11,0),0)))))</f>
        <v/>
      </c>
      <c r="N757" s="364" t="str">
        <f>IF($G757="","",K757+L757+M757)</f>
        <v/>
      </c>
      <c r="O757" s="365" t="str">
        <f>IF($G757="","",IFERROR(VLOOKUP($D757&amp;"|"&amp;$E757,科目表!$A$5:$B$200,2,FALSE),"※未登録"))</f>
        <v/>
      </c>
      <c r="P757" s="359" t="str">
        <f>IF(OR($G757="",$C757=""),"",IF($B757="決算整理",13,MOD(MONTH($C757)-4,12)+1))</f>
        <v/>
      </c>
      <c r="Q757" s="366" t="str">
        <f>IF($G757="","",TRIM(IF(J757+K757+L757+M757&lt;&gt;$G757,"按分不一致 ","")&amp;IF(O757="※未登録","科目未登録 ","")&amp;IF(OR($H757="",ISERROR(MATCH($H757,{1,2,3,4,5,6,7,8},0))),"経費区分? ","")&amp;IF($I757="","状態未設定 ","")&amp;IF(AND(OR($I757="確認済",$I757="未確認"),$B757="月例",OR($C757="",$C757&lt;DATE(年度+2018,4,1),$C757&gt;DATE(年度+2019,3,31))),"年度外の日付 ","")&amp;IF(AND(OR($I757="確認済",$I757="未確認"),O757="対象外"),"対象外の科目 ","")))</f>
        <v/>
      </c>
      <c r="R757" s="366" t="n"/>
    </row>
    <row r="758">
      <c r="A758" s="359" t="n"/>
      <c r="B758" s="360" t="n"/>
      <c r="C758" s="361" t="n"/>
      <c r="D758" s="362" t="n"/>
      <c r="E758" s="362" t="n"/>
      <c r="F758" s="362" t="n"/>
      <c r="G758" s="363" t="n"/>
      <c r="H758" s="360" t="n"/>
      <c r="I758" s="360" t="n"/>
      <c r="J758" s="364" t="str">
        <f>IF($G758="","",IF($H758=1,$G758-ROUND($G758*10/23,0)-2*ROUND($G758/23,0),IF($H758=2,$G758,0)))</f>
        <v/>
      </c>
      <c r="K758" s="364" t="str">
        <f>IF($G758="","",IF($H758=1,ROUND($G758*10/23,0),IF($H758=3,$G758-2*ROUND($G758/12,0),IF($H758=4,$G758,IF(OR($H758=5,$H758=7),ROUND($G758*10/11,0),0)))))</f>
        <v/>
      </c>
      <c r="L758" s="364" t="str">
        <f>IF($G758="","",IF($H758=1,ROUND($G758/23,0),IF($H758=3,ROUND($G758/12,0),IF($H758=5,$G758-ROUND($G758*10/11,0),IF($H758=8,$G758,0)))))</f>
        <v/>
      </c>
      <c r="M758" s="364" t="str">
        <f>IF($G758="","",IF($H758=1,ROUND($G758/23,0),IF($H758=3,ROUND($G758/12,0),IF($H758=6,$G758,IF($H758=7,$G758-ROUND($G758*10/11,0),0)))))</f>
        <v/>
      </c>
      <c r="N758" s="364" t="str">
        <f>IF($G758="","",K758+L758+M758)</f>
        <v/>
      </c>
      <c r="O758" s="365" t="str">
        <f>IF($G758="","",IFERROR(VLOOKUP($D758&amp;"|"&amp;$E758,科目表!$A$5:$B$200,2,FALSE),"※未登録"))</f>
        <v/>
      </c>
      <c r="P758" s="359" t="str">
        <f>IF(OR($G758="",$C758=""),"",IF($B758="決算整理",13,MOD(MONTH($C758)-4,12)+1))</f>
        <v/>
      </c>
      <c r="Q758" s="366" t="str">
        <f>IF($G758="","",TRIM(IF(J758+K758+L758+M758&lt;&gt;$G758,"按分不一致 ","")&amp;IF(O758="※未登録","科目未登録 ","")&amp;IF(OR($H758="",ISERROR(MATCH($H758,{1,2,3,4,5,6,7,8},0))),"経費区分? ","")&amp;IF($I758="","状態未設定 ","")&amp;IF(AND(OR($I758="確認済",$I758="未確認"),$B758="月例",OR($C758="",$C758&lt;DATE(年度+2018,4,1),$C758&gt;DATE(年度+2019,3,31))),"年度外の日付 ","")&amp;IF(AND(OR($I758="確認済",$I758="未確認"),O758="対象外"),"対象外の科目 ","")))</f>
        <v/>
      </c>
      <c r="R758" s="366" t="n"/>
    </row>
    <row r="759">
      <c r="A759" s="359" t="n"/>
      <c r="B759" s="360" t="n"/>
      <c r="C759" s="361" t="n"/>
      <c r="D759" s="362" t="n"/>
      <c r="E759" s="362" t="n"/>
      <c r="F759" s="362" t="n"/>
      <c r="G759" s="363" t="n"/>
      <c r="H759" s="360" t="n"/>
      <c r="I759" s="360" t="n"/>
      <c r="J759" s="364" t="str">
        <f>IF($G759="","",IF($H759=1,$G759-ROUND($G759*10/23,0)-2*ROUND($G759/23,0),IF($H759=2,$G759,0)))</f>
        <v/>
      </c>
      <c r="K759" s="364" t="str">
        <f>IF($G759="","",IF($H759=1,ROUND($G759*10/23,0),IF($H759=3,$G759-2*ROUND($G759/12,0),IF($H759=4,$G759,IF(OR($H759=5,$H759=7),ROUND($G759*10/11,0),0)))))</f>
        <v/>
      </c>
      <c r="L759" s="364" t="str">
        <f>IF($G759="","",IF($H759=1,ROUND($G759/23,0),IF($H759=3,ROUND($G759/12,0),IF($H759=5,$G759-ROUND($G759*10/11,0),IF($H759=8,$G759,0)))))</f>
        <v/>
      </c>
      <c r="M759" s="364" t="str">
        <f>IF($G759="","",IF($H759=1,ROUND($G759/23,0),IF($H759=3,ROUND($G759/12,0),IF($H759=6,$G759,IF($H759=7,$G759-ROUND($G759*10/11,0),0)))))</f>
        <v/>
      </c>
      <c r="N759" s="364" t="str">
        <f>IF($G759="","",K759+L759+M759)</f>
        <v/>
      </c>
      <c r="O759" s="365" t="str">
        <f>IF($G759="","",IFERROR(VLOOKUP($D759&amp;"|"&amp;$E759,科目表!$A$5:$B$200,2,FALSE),"※未登録"))</f>
        <v/>
      </c>
      <c r="P759" s="359" t="str">
        <f>IF(OR($G759="",$C759=""),"",IF($B759="決算整理",13,MOD(MONTH($C759)-4,12)+1))</f>
        <v/>
      </c>
      <c r="Q759" s="366" t="str">
        <f>IF($G759="","",TRIM(IF(J759+K759+L759+M759&lt;&gt;$G759,"按分不一致 ","")&amp;IF(O759="※未登録","科目未登録 ","")&amp;IF(OR($H759="",ISERROR(MATCH($H759,{1,2,3,4,5,6,7,8},0))),"経費区分? ","")&amp;IF($I759="","状態未設定 ","")&amp;IF(AND(OR($I759="確認済",$I759="未確認"),$B759="月例",OR($C759="",$C759&lt;DATE(年度+2018,4,1),$C759&gt;DATE(年度+2019,3,31))),"年度外の日付 ","")&amp;IF(AND(OR($I759="確認済",$I759="未確認"),O759="対象外"),"対象外の科目 ","")))</f>
        <v/>
      </c>
      <c r="R759" s="366" t="n"/>
    </row>
    <row r="760">
      <c r="A760" s="359" t="n"/>
      <c r="B760" s="360" t="n"/>
      <c r="C760" s="361" t="n"/>
      <c r="D760" s="362" t="n"/>
      <c r="E760" s="362" t="n"/>
      <c r="F760" s="362" t="n"/>
      <c r="G760" s="363" t="n"/>
      <c r="H760" s="360" t="n"/>
      <c r="I760" s="360" t="n"/>
      <c r="J760" s="364" t="str">
        <f>IF($G760="","",IF($H760=1,$G760-ROUND($G760*10/23,0)-2*ROUND($G760/23,0),IF($H760=2,$G760,0)))</f>
        <v/>
      </c>
      <c r="K760" s="364" t="str">
        <f>IF($G760="","",IF($H760=1,ROUND($G760*10/23,0),IF($H760=3,$G760-2*ROUND($G760/12,0),IF($H760=4,$G760,IF(OR($H760=5,$H760=7),ROUND($G760*10/11,0),0)))))</f>
        <v/>
      </c>
      <c r="L760" s="364" t="str">
        <f>IF($G760="","",IF($H760=1,ROUND($G760/23,0),IF($H760=3,ROUND($G760/12,0),IF($H760=5,$G760-ROUND($G760*10/11,0),IF($H760=8,$G760,0)))))</f>
        <v/>
      </c>
      <c r="M760" s="364" t="str">
        <f>IF($G760="","",IF($H760=1,ROUND($G760/23,0),IF($H760=3,ROUND($G760/12,0),IF($H760=6,$G760,IF($H760=7,$G760-ROUND($G760*10/11,0),0)))))</f>
        <v/>
      </c>
      <c r="N760" s="364" t="str">
        <f>IF($G760="","",K760+L760+M760)</f>
        <v/>
      </c>
      <c r="O760" s="365" t="str">
        <f>IF($G760="","",IFERROR(VLOOKUP($D760&amp;"|"&amp;$E760,科目表!$A$5:$B$200,2,FALSE),"※未登録"))</f>
        <v/>
      </c>
      <c r="P760" s="359" t="str">
        <f>IF(OR($G760="",$C760=""),"",IF($B760="決算整理",13,MOD(MONTH($C760)-4,12)+1))</f>
        <v/>
      </c>
      <c r="Q760" s="366" t="str">
        <f>IF($G760="","",TRIM(IF(J760+K760+L760+M760&lt;&gt;$G760,"按分不一致 ","")&amp;IF(O760="※未登録","科目未登録 ","")&amp;IF(OR($H760="",ISERROR(MATCH($H760,{1,2,3,4,5,6,7,8},0))),"経費区分? ","")&amp;IF($I760="","状態未設定 ","")&amp;IF(AND(OR($I760="確認済",$I760="未確認"),$B760="月例",OR($C760="",$C760&lt;DATE(年度+2018,4,1),$C760&gt;DATE(年度+2019,3,31))),"年度外の日付 ","")&amp;IF(AND(OR($I760="確認済",$I760="未確認"),O760="対象外"),"対象外の科目 ","")))</f>
        <v/>
      </c>
      <c r="R760" s="366" t="n"/>
    </row>
    <row r="761">
      <c r="A761" s="359" t="n"/>
      <c r="B761" s="360" t="n"/>
      <c r="C761" s="361" t="n"/>
      <c r="D761" s="362" t="n"/>
      <c r="E761" s="362" t="n"/>
      <c r="F761" s="362" t="n"/>
      <c r="G761" s="363" t="n"/>
      <c r="H761" s="360" t="n"/>
      <c r="I761" s="360" t="n"/>
      <c r="J761" s="364" t="str">
        <f>IF($G761="","",IF($H761=1,$G761-ROUND($G761*10/23,0)-2*ROUND($G761/23,0),IF($H761=2,$G761,0)))</f>
        <v/>
      </c>
      <c r="K761" s="364" t="str">
        <f>IF($G761="","",IF($H761=1,ROUND($G761*10/23,0),IF($H761=3,$G761-2*ROUND($G761/12,0),IF($H761=4,$G761,IF(OR($H761=5,$H761=7),ROUND($G761*10/11,0),0)))))</f>
        <v/>
      </c>
      <c r="L761" s="364" t="str">
        <f>IF($G761="","",IF($H761=1,ROUND($G761/23,0),IF($H761=3,ROUND($G761/12,0),IF($H761=5,$G761-ROUND($G761*10/11,0),IF($H761=8,$G761,0)))))</f>
        <v/>
      </c>
      <c r="M761" s="364" t="str">
        <f>IF($G761="","",IF($H761=1,ROUND($G761/23,0),IF($H761=3,ROUND($G761/12,0),IF($H761=6,$G761,IF($H761=7,$G761-ROUND($G761*10/11,0),0)))))</f>
        <v/>
      </c>
      <c r="N761" s="364" t="str">
        <f>IF($G761="","",K761+L761+M761)</f>
        <v/>
      </c>
      <c r="O761" s="365" t="str">
        <f>IF($G761="","",IFERROR(VLOOKUP($D761&amp;"|"&amp;$E761,科目表!$A$5:$B$200,2,FALSE),"※未登録"))</f>
        <v/>
      </c>
      <c r="P761" s="359" t="str">
        <f>IF(OR($G761="",$C761=""),"",IF($B761="決算整理",13,MOD(MONTH($C761)-4,12)+1))</f>
        <v/>
      </c>
      <c r="Q761" s="366" t="str">
        <f>IF($G761="","",TRIM(IF(J761+K761+L761+M761&lt;&gt;$G761,"按分不一致 ","")&amp;IF(O761="※未登録","科目未登録 ","")&amp;IF(OR($H761="",ISERROR(MATCH($H761,{1,2,3,4,5,6,7,8},0))),"経費区分? ","")&amp;IF($I761="","状態未設定 ","")&amp;IF(AND(OR($I761="確認済",$I761="未確認"),$B761="月例",OR($C761="",$C761&lt;DATE(年度+2018,4,1),$C761&gt;DATE(年度+2019,3,31))),"年度外の日付 ","")&amp;IF(AND(OR($I761="確認済",$I761="未確認"),O761="対象外"),"対象外の科目 ","")))</f>
        <v/>
      </c>
      <c r="R761" s="366" t="n"/>
    </row>
    <row r="762">
      <c r="A762" s="359" t="n"/>
      <c r="B762" s="360" t="n"/>
      <c r="C762" s="361" t="n"/>
      <c r="D762" s="362" t="n"/>
      <c r="E762" s="362" t="n"/>
      <c r="F762" s="362" t="n"/>
      <c r="G762" s="363" t="n"/>
      <c r="H762" s="360" t="n"/>
      <c r="I762" s="360" t="n"/>
      <c r="J762" s="364" t="str">
        <f>IF($G762="","",IF($H762=1,$G762-ROUND($G762*10/23,0)-2*ROUND($G762/23,0),IF($H762=2,$G762,0)))</f>
        <v/>
      </c>
      <c r="K762" s="364" t="str">
        <f>IF($G762="","",IF($H762=1,ROUND($G762*10/23,0),IF($H762=3,$G762-2*ROUND($G762/12,0),IF($H762=4,$G762,IF(OR($H762=5,$H762=7),ROUND($G762*10/11,0),0)))))</f>
        <v/>
      </c>
      <c r="L762" s="364" t="str">
        <f>IF($G762="","",IF($H762=1,ROUND($G762/23,0),IF($H762=3,ROUND($G762/12,0),IF($H762=5,$G762-ROUND($G762*10/11,0),IF($H762=8,$G762,0)))))</f>
        <v/>
      </c>
      <c r="M762" s="364" t="str">
        <f>IF($G762="","",IF($H762=1,ROUND($G762/23,0),IF($H762=3,ROUND($G762/12,0),IF($H762=6,$G762,IF($H762=7,$G762-ROUND($G762*10/11,0),0)))))</f>
        <v/>
      </c>
      <c r="N762" s="364" t="str">
        <f>IF($G762="","",K762+L762+M762)</f>
        <v/>
      </c>
      <c r="O762" s="365" t="str">
        <f>IF($G762="","",IFERROR(VLOOKUP($D762&amp;"|"&amp;$E762,科目表!$A$5:$B$200,2,FALSE),"※未登録"))</f>
        <v/>
      </c>
      <c r="P762" s="359" t="str">
        <f>IF(OR($G762="",$C762=""),"",IF($B762="決算整理",13,MOD(MONTH($C762)-4,12)+1))</f>
        <v/>
      </c>
      <c r="Q762" s="366" t="str">
        <f>IF($G762="","",TRIM(IF(J762+K762+L762+M762&lt;&gt;$G762,"按分不一致 ","")&amp;IF(O762="※未登録","科目未登録 ","")&amp;IF(OR($H762="",ISERROR(MATCH($H762,{1,2,3,4,5,6,7,8},0))),"経費区分? ","")&amp;IF($I762="","状態未設定 ","")&amp;IF(AND(OR($I762="確認済",$I762="未確認"),$B762="月例",OR($C762="",$C762&lt;DATE(年度+2018,4,1),$C762&gt;DATE(年度+2019,3,31))),"年度外の日付 ","")&amp;IF(AND(OR($I762="確認済",$I762="未確認"),O762="対象外"),"対象外の科目 ","")))</f>
        <v/>
      </c>
      <c r="R762" s="366" t="n"/>
    </row>
    <row r="763">
      <c r="A763" s="359" t="n"/>
      <c r="B763" s="360" t="n"/>
      <c r="C763" s="361" t="n"/>
      <c r="D763" s="362" t="n"/>
      <c r="E763" s="362" t="n"/>
      <c r="F763" s="362" t="n"/>
      <c r="G763" s="363" t="n"/>
      <c r="H763" s="360" t="n"/>
      <c r="I763" s="360" t="n"/>
      <c r="J763" s="364" t="str">
        <f>IF($G763="","",IF($H763=1,$G763-ROUND($G763*10/23,0)-2*ROUND($G763/23,0),IF($H763=2,$G763,0)))</f>
        <v/>
      </c>
      <c r="K763" s="364" t="str">
        <f>IF($G763="","",IF($H763=1,ROUND($G763*10/23,0),IF($H763=3,$G763-2*ROUND($G763/12,0),IF($H763=4,$G763,IF(OR($H763=5,$H763=7),ROUND($G763*10/11,0),0)))))</f>
        <v/>
      </c>
      <c r="L763" s="364" t="str">
        <f>IF($G763="","",IF($H763=1,ROUND($G763/23,0),IF($H763=3,ROUND($G763/12,0),IF($H763=5,$G763-ROUND($G763*10/11,0),IF($H763=8,$G763,0)))))</f>
        <v/>
      </c>
      <c r="M763" s="364" t="str">
        <f>IF($G763="","",IF($H763=1,ROUND($G763/23,0),IF($H763=3,ROUND($G763/12,0),IF($H763=6,$G763,IF($H763=7,$G763-ROUND($G763*10/11,0),0)))))</f>
        <v/>
      </c>
      <c r="N763" s="364" t="str">
        <f>IF($G763="","",K763+L763+M763)</f>
        <v/>
      </c>
      <c r="O763" s="365" t="str">
        <f>IF($G763="","",IFERROR(VLOOKUP($D763&amp;"|"&amp;$E763,科目表!$A$5:$B$200,2,FALSE),"※未登録"))</f>
        <v/>
      </c>
      <c r="P763" s="359" t="str">
        <f>IF(OR($G763="",$C763=""),"",IF($B763="決算整理",13,MOD(MONTH($C763)-4,12)+1))</f>
        <v/>
      </c>
      <c r="Q763" s="366" t="str">
        <f>IF($G763="","",TRIM(IF(J763+K763+L763+M763&lt;&gt;$G763,"按分不一致 ","")&amp;IF(O763="※未登録","科目未登録 ","")&amp;IF(OR($H763="",ISERROR(MATCH($H763,{1,2,3,4,5,6,7,8},0))),"経費区分? ","")&amp;IF($I763="","状態未設定 ","")&amp;IF(AND(OR($I763="確認済",$I763="未確認"),$B763="月例",OR($C763="",$C763&lt;DATE(年度+2018,4,1),$C763&gt;DATE(年度+2019,3,31))),"年度外の日付 ","")&amp;IF(AND(OR($I763="確認済",$I763="未確認"),O763="対象外"),"対象外の科目 ","")))</f>
        <v/>
      </c>
      <c r="R763" s="366" t="n"/>
    </row>
    <row r="764">
      <c r="A764" s="359" t="n"/>
      <c r="B764" s="360" t="n"/>
      <c r="C764" s="361" t="n"/>
      <c r="D764" s="362" t="n"/>
      <c r="E764" s="362" t="n"/>
      <c r="F764" s="362" t="n"/>
      <c r="G764" s="363" t="n"/>
      <c r="H764" s="360" t="n"/>
      <c r="I764" s="360" t="n"/>
      <c r="J764" s="364" t="str">
        <f>IF($G764="","",IF($H764=1,$G764-ROUND($G764*10/23,0)-2*ROUND($G764/23,0),IF($H764=2,$G764,0)))</f>
        <v/>
      </c>
      <c r="K764" s="364" t="str">
        <f>IF($G764="","",IF($H764=1,ROUND($G764*10/23,0),IF($H764=3,$G764-2*ROUND($G764/12,0),IF($H764=4,$G764,IF(OR($H764=5,$H764=7),ROUND($G764*10/11,0),0)))))</f>
        <v/>
      </c>
      <c r="L764" s="364" t="str">
        <f>IF($G764="","",IF($H764=1,ROUND($G764/23,0),IF($H764=3,ROUND($G764/12,0),IF($H764=5,$G764-ROUND($G764*10/11,0),IF($H764=8,$G764,0)))))</f>
        <v/>
      </c>
      <c r="M764" s="364" t="str">
        <f>IF($G764="","",IF($H764=1,ROUND($G764/23,0),IF($H764=3,ROUND($G764/12,0),IF($H764=6,$G764,IF($H764=7,$G764-ROUND($G764*10/11,0),0)))))</f>
        <v/>
      </c>
      <c r="N764" s="364" t="str">
        <f>IF($G764="","",K764+L764+M764)</f>
        <v/>
      </c>
      <c r="O764" s="365" t="str">
        <f>IF($G764="","",IFERROR(VLOOKUP($D764&amp;"|"&amp;$E764,科目表!$A$5:$B$200,2,FALSE),"※未登録"))</f>
        <v/>
      </c>
      <c r="P764" s="359" t="str">
        <f>IF(OR($G764="",$C764=""),"",IF($B764="決算整理",13,MOD(MONTH($C764)-4,12)+1))</f>
        <v/>
      </c>
      <c r="Q764" s="366" t="str">
        <f>IF($G764="","",TRIM(IF(J764+K764+L764+M764&lt;&gt;$G764,"按分不一致 ","")&amp;IF(O764="※未登録","科目未登録 ","")&amp;IF(OR($H764="",ISERROR(MATCH($H764,{1,2,3,4,5,6,7,8},0))),"経費区分? ","")&amp;IF($I764="","状態未設定 ","")&amp;IF(AND(OR($I764="確認済",$I764="未確認"),$B764="月例",OR($C764="",$C764&lt;DATE(年度+2018,4,1),$C764&gt;DATE(年度+2019,3,31))),"年度外の日付 ","")&amp;IF(AND(OR($I764="確認済",$I764="未確認"),O764="対象外"),"対象外の科目 ","")))</f>
        <v/>
      </c>
      <c r="R764" s="366" t="n"/>
    </row>
    <row r="765">
      <c r="A765" s="359" t="n"/>
      <c r="B765" s="360" t="n"/>
      <c r="C765" s="361" t="n"/>
      <c r="D765" s="362" t="n"/>
      <c r="E765" s="362" t="n"/>
      <c r="F765" s="362" t="n"/>
      <c r="G765" s="363" t="n"/>
      <c r="H765" s="360" t="n"/>
      <c r="I765" s="360" t="n"/>
      <c r="J765" s="364" t="str">
        <f>IF($G765="","",IF($H765=1,$G765-ROUND($G765*10/23,0)-2*ROUND($G765/23,0),IF($H765=2,$G765,0)))</f>
        <v/>
      </c>
      <c r="K765" s="364" t="str">
        <f>IF($G765="","",IF($H765=1,ROUND($G765*10/23,0),IF($H765=3,$G765-2*ROUND($G765/12,0),IF($H765=4,$G765,IF(OR($H765=5,$H765=7),ROUND($G765*10/11,0),0)))))</f>
        <v/>
      </c>
      <c r="L765" s="364" t="str">
        <f>IF($G765="","",IF($H765=1,ROUND($G765/23,0),IF($H765=3,ROUND($G765/12,0),IF($H765=5,$G765-ROUND($G765*10/11,0),IF($H765=8,$G765,0)))))</f>
        <v/>
      </c>
      <c r="M765" s="364" t="str">
        <f>IF($G765="","",IF($H765=1,ROUND($G765/23,0),IF($H765=3,ROUND($G765/12,0),IF($H765=6,$G765,IF($H765=7,$G765-ROUND($G765*10/11,0),0)))))</f>
        <v/>
      </c>
      <c r="N765" s="364" t="str">
        <f>IF($G765="","",K765+L765+M765)</f>
        <v/>
      </c>
      <c r="O765" s="365" t="str">
        <f>IF($G765="","",IFERROR(VLOOKUP($D765&amp;"|"&amp;$E765,科目表!$A$5:$B$200,2,FALSE),"※未登録"))</f>
        <v/>
      </c>
      <c r="P765" s="359" t="str">
        <f>IF(OR($G765="",$C765=""),"",IF($B765="決算整理",13,MOD(MONTH($C765)-4,12)+1))</f>
        <v/>
      </c>
      <c r="Q765" s="366" t="str">
        <f>IF($G765="","",TRIM(IF(J765+K765+L765+M765&lt;&gt;$G765,"按分不一致 ","")&amp;IF(O765="※未登録","科目未登録 ","")&amp;IF(OR($H765="",ISERROR(MATCH($H765,{1,2,3,4,5,6,7,8},0))),"経費区分? ","")&amp;IF($I765="","状態未設定 ","")&amp;IF(AND(OR($I765="確認済",$I765="未確認"),$B765="月例",OR($C765="",$C765&lt;DATE(年度+2018,4,1),$C765&gt;DATE(年度+2019,3,31))),"年度外の日付 ","")&amp;IF(AND(OR($I765="確認済",$I765="未確認"),O765="対象外"),"対象外の科目 ","")))</f>
        <v/>
      </c>
      <c r="R765" s="366" t="n"/>
    </row>
    <row r="766">
      <c r="A766" s="359" t="n"/>
      <c r="B766" s="360" t="n"/>
      <c r="C766" s="361" t="n"/>
      <c r="D766" s="362" t="n"/>
      <c r="E766" s="362" t="n"/>
      <c r="F766" s="362" t="n"/>
      <c r="G766" s="363" t="n"/>
      <c r="H766" s="360" t="n"/>
      <c r="I766" s="360" t="n"/>
      <c r="J766" s="364" t="str">
        <f>IF($G766="","",IF($H766=1,$G766-ROUND($G766*10/23,0)-2*ROUND($G766/23,0),IF($H766=2,$G766,0)))</f>
        <v/>
      </c>
      <c r="K766" s="364" t="str">
        <f>IF($G766="","",IF($H766=1,ROUND($G766*10/23,0),IF($H766=3,$G766-2*ROUND($G766/12,0),IF($H766=4,$G766,IF(OR($H766=5,$H766=7),ROUND($G766*10/11,0),0)))))</f>
        <v/>
      </c>
      <c r="L766" s="364" t="str">
        <f>IF($G766="","",IF($H766=1,ROUND($G766/23,0),IF($H766=3,ROUND($G766/12,0),IF($H766=5,$G766-ROUND($G766*10/11,0),IF($H766=8,$G766,0)))))</f>
        <v/>
      </c>
      <c r="M766" s="364" t="str">
        <f>IF($G766="","",IF($H766=1,ROUND($G766/23,0),IF($H766=3,ROUND($G766/12,0),IF($H766=6,$G766,IF($H766=7,$G766-ROUND($G766*10/11,0),0)))))</f>
        <v/>
      </c>
      <c r="N766" s="364" t="str">
        <f>IF($G766="","",K766+L766+M766)</f>
        <v/>
      </c>
      <c r="O766" s="365" t="str">
        <f>IF($G766="","",IFERROR(VLOOKUP($D766&amp;"|"&amp;$E766,科目表!$A$5:$B$200,2,FALSE),"※未登録"))</f>
        <v/>
      </c>
      <c r="P766" s="359" t="str">
        <f>IF(OR($G766="",$C766=""),"",IF($B766="決算整理",13,MOD(MONTH($C766)-4,12)+1))</f>
        <v/>
      </c>
      <c r="Q766" s="366" t="str">
        <f>IF($G766="","",TRIM(IF(J766+K766+L766+M766&lt;&gt;$G766,"按分不一致 ","")&amp;IF(O766="※未登録","科目未登録 ","")&amp;IF(OR($H766="",ISERROR(MATCH($H766,{1,2,3,4,5,6,7,8},0))),"経費区分? ","")&amp;IF($I766="","状態未設定 ","")&amp;IF(AND(OR($I766="確認済",$I766="未確認"),$B766="月例",OR($C766="",$C766&lt;DATE(年度+2018,4,1),$C766&gt;DATE(年度+2019,3,31))),"年度外の日付 ","")&amp;IF(AND(OR($I766="確認済",$I766="未確認"),O766="対象外"),"対象外の科目 ","")))</f>
        <v/>
      </c>
      <c r="R766" s="366" t="n"/>
    </row>
    <row r="767">
      <c r="A767" s="359" t="n"/>
      <c r="B767" s="360" t="n"/>
      <c r="C767" s="361" t="n"/>
      <c r="D767" s="362" t="n"/>
      <c r="E767" s="362" t="n"/>
      <c r="F767" s="362" t="n"/>
      <c r="G767" s="363" t="n"/>
      <c r="H767" s="360" t="n"/>
      <c r="I767" s="360" t="n"/>
      <c r="J767" s="364" t="str">
        <f>IF($G767="","",IF($H767=1,$G767-ROUND($G767*10/23,0)-2*ROUND($G767/23,0),IF($H767=2,$G767,0)))</f>
        <v/>
      </c>
      <c r="K767" s="364" t="str">
        <f>IF($G767="","",IF($H767=1,ROUND($G767*10/23,0),IF($H767=3,$G767-2*ROUND($G767/12,0),IF($H767=4,$G767,IF(OR($H767=5,$H767=7),ROUND($G767*10/11,0),0)))))</f>
        <v/>
      </c>
      <c r="L767" s="364" t="str">
        <f>IF($G767="","",IF($H767=1,ROUND($G767/23,0),IF($H767=3,ROUND($G767/12,0),IF($H767=5,$G767-ROUND($G767*10/11,0),IF($H767=8,$G767,0)))))</f>
        <v/>
      </c>
      <c r="M767" s="364" t="str">
        <f>IF($G767="","",IF($H767=1,ROUND($G767/23,0),IF($H767=3,ROUND($G767/12,0),IF($H767=6,$G767,IF($H767=7,$G767-ROUND($G767*10/11,0),0)))))</f>
        <v/>
      </c>
      <c r="N767" s="364" t="str">
        <f>IF($G767="","",K767+L767+M767)</f>
        <v/>
      </c>
      <c r="O767" s="365" t="str">
        <f>IF($G767="","",IFERROR(VLOOKUP($D767&amp;"|"&amp;$E767,科目表!$A$5:$B$200,2,FALSE),"※未登録"))</f>
        <v/>
      </c>
      <c r="P767" s="359" t="str">
        <f>IF(OR($G767="",$C767=""),"",IF($B767="決算整理",13,MOD(MONTH($C767)-4,12)+1))</f>
        <v/>
      </c>
      <c r="Q767" s="366" t="str">
        <f>IF($G767="","",TRIM(IF(J767+K767+L767+M767&lt;&gt;$G767,"按分不一致 ","")&amp;IF(O767="※未登録","科目未登録 ","")&amp;IF(OR($H767="",ISERROR(MATCH($H767,{1,2,3,4,5,6,7,8},0))),"経費区分? ","")&amp;IF($I767="","状態未設定 ","")&amp;IF(AND(OR($I767="確認済",$I767="未確認"),$B767="月例",OR($C767="",$C767&lt;DATE(年度+2018,4,1),$C767&gt;DATE(年度+2019,3,31))),"年度外の日付 ","")&amp;IF(AND(OR($I767="確認済",$I767="未確認"),O767="対象外"),"対象外の科目 ","")))</f>
        <v/>
      </c>
      <c r="R767" s="366" t="n"/>
    </row>
    <row r="768">
      <c r="A768" s="359" t="n"/>
      <c r="B768" s="360" t="n"/>
      <c r="C768" s="361" t="n"/>
      <c r="D768" s="362" t="n"/>
      <c r="E768" s="362" t="n"/>
      <c r="F768" s="362" t="n"/>
      <c r="G768" s="363" t="n"/>
      <c r="H768" s="360" t="n"/>
      <c r="I768" s="360" t="n"/>
      <c r="J768" s="364" t="str">
        <f>IF($G768="","",IF($H768=1,$G768-ROUND($G768*10/23,0)-2*ROUND($G768/23,0),IF($H768=2,$G768,0)))</f>
        <v/>
      </c>
      <c r="K768" s="364" t="str">
        <f>IF($G768="","",IF($H768=1,ROUND($G768*10/23,0),IF($H768=3,$G768-2*ROUND($G768/12,0),IF($H768=4,$G768,IF(OR($H768=5,$H768=7),ROUND($G768*10/11,0),0)))))</f>
        <v/>
      </c>
      <c r="L768" s="364" t="str">
        <f>IF($G768="","",IF($H768=1,ROUND($G768/23,0),IF($H768=3,ROUND($G768/12,0),IF($H768=5,$G768-ROUND($G768*10/11,0),IF($H768=8,$G768,0)))))</f>
        <v/>
      </c>
      <c r="M768" s="364" t="str">
        <f>IF($G768="","",IF($H768=1,ROUND($G768/23,0),IF($H768=3,ROUND($G768/12,0),IF($H768=6,$G768,IF($H768=7,$G768-ROUND($G768*10/11,0),0)))))</f>
        <v/>
      </c>
      <c r="N768" s="364" t="str">
        <f>IF($G768="","",K768+L768+M768)</f>
        <v/>
      </c>
      <c r="O768" s="365" t="str">
        <f>IF($G768="","",IFERROR(VLOOKUP($D768&amp;"|"&amp;$E768,科目表!$A$5:$B$200,2,FALSE),"※未登録"))</f>
        <v/>
      </c>
      <c r="P768" s="359" t="str">
        <f>IF(OR($G768="",$C768=""),"",IF($B768="決算整理",13,MOD(MONTH($C768)-4,12)+1))</f>
        <v/>
      </c>
      <c r="Q768" s="366" t="str">
        <f>IF($G768="","",TRIM(IF(J768+K768+L768+M768&lt;&gt;$G768,"按分不一致 ","")&amp;IF(O768="※未登録","科目未登録 ","")&amp;IF(OR($H768="",ISERROR(MATCH($H768,{1,2,3,4,5,6,7,8},0))),"経費区分? ","")&amp;IF($I768="","状態未設定 ","")&amp;IF(AND(OR($I768="確認済",$I768="未確認"),$B768="月例",OR($C768="",$C768&lt;DATE(年度+2018,4,1),$C768&gt;DATE(年度+2019,3,31))),"年度外の日付 ","")&amp;IF(AND(OR($I768="確認済",$I768="未確認"),O768="対象外"),"対象外の科目 ","")))</f>
        <v/>
      </c>
      <c r="R768" s="366" t="n"/>
    </row>
    <row r="769">
      <c r="A769" s="359" t="n"/>
      <c r="B769" s="360" t="n"/>
      <c r="C769" s="361" t="n"/>
      <c r="D769" s="362" t="n"/>
      <c r="E769" s="362" t="n"/>
      <c r="F769" s="362" t="n"/>
      <c r="G769" s="363" t="n"/>
      <c r="H769" s="360" t="n"/>
      <c r="I769" s="360" t="n"/>
      <c r="J769" s="364" t="str">
        <f>IF($G769="","",IF($H769=1,$G769-ROUND($G769*10/23,0)-2*ROUND($G769/23,0),IF($H769=2,$G769,0)))</f>
        <v/>
      </c>
      <c r="K769" s="364" t="str">
        <f>IF($G769="","",IF($H769=1,ROUND($G769*10/23,0),IF($H769=3,$G769-2*ROUND($G769/12,0),IF($H769=4,$G769,IF(OR($H769=5,$H769=7),ROUND($G769*10/11,0),0)))))</f>
        <v/>
      </c>
      <c r="L769" s="364" t="str">
        <f>IF($G769="","",IF($H769=1,ROUND($G769/23,0),IF($H769=3,ROUND($G769/12,0),IF($H769=5,$G769-ROUND($G769*10/11,0),IF($H769=8,$G769,0)))))</f>
        <v/>
      </c>
      <c r="M769" s="364" t="str">
        <f>IF($G769="","",IF($H769=1,ROUND($G769/23,0),IF($H769=3,ROUND($G769/12,0),IF($H769=6,$G769,IF($H769=7,$G769-ROUND($G769*10/11,0),0)))))</f>
        <v/>
      </c>
      <c r="N769" s="364" t="str">
        <f>IF($G769="","",K769+L769+M769)</f>
        <v/>
      </c>
      <c r="O769" s="365" t="str">
        <f>IF($G769="","",IFERROR(VLOOKUP($D769&amp;"|"&amp;$E769,科目表!$A$5:$B$200,2,FALSE),"※未登録"))</f>
        <v/>
      </c>
      <c r="P769" s="359" t="str">
        <f>IF(OR($G769="",$C769=""),"",IF($B769="決算整理",13,MOD(MONTH($C769)-4,12)+1))</f>
        <v/>
      </c>
      <c r="Q769" s="366" t="str">
        <f>IF($G769="","",TRIM(IF(J769+K769+L769+M769&lt;&gt;$G769,"按分不一致 ","")&amp;IF(O769="※未登録","科目未登録 ","")&amp;IF(OR($H769="",ISERROR(MATCH($H769,{1,2,3,4,5,6,7,8},0))),"経費区分? ","")&amp;IF($I769="","状態未設定 ","")&amp;IF(AND(OR($I769="確認済",$I769="未確認"),$B769="月例",OR($C769="",$C769&lt;DATE(年度+2018,4,1),$C769&gt;DATE(年度+2019,3,31))),"年度外の日付 ","")&amp;IF(AND(OR($I769="確認済",$I769="未確認"),O769="対象外"),"対象外の科目 ","")))</f>
        <v/>
      </c>
      <c r="R769" s="366" t="n"/>
    </row>
    <row r="770">
      <c r="A770" s="359" t="n"/>
      <c r="B770" s="360" t="n"/>
      <c r="C770" s="361" t="n"/>
      <c r="D770" s="362" t="n"/>
      <c r="E770" s="362" t="n"/>
      <c r="F770" s="362" t="n"/>
      <c r="G770" s="363" t="n"/>
      <c r="H770" s="360" t="n"/>
      <c r="I770" s="360" t="n"/>
      <c r="J770" s="364" t="str">
        <f>IF($G770="","",IF($H770=1,$G770-ROUND($G770*10/23,0)-2*ROUND($G770/23,0),IF($H770=2,$G770,0)))</f>
        <v/>
      </c>
      <c r="K770" s="364" t="str">
        <f>IF($G770="","",IF($H770=1,ROUND($G770*10/23,0),IF($H770=3,$G770-2*ROUND($G770/12,0),IF($H770=4,$G770,IF(OR($H770=5,$H770=7),ROUND($G770*10/11,0),0)))))</f>
        <v/>
      </c>
      <c r="L770" s="364" t="str">
        <f>IF($G770="","",IF($H770=1,ROUND($G770/23,0),IF($H770=3,ROUND($G770/12,0),IF($H770=5,$G770-ROUND($G770*10/11,0),IF($H770=8,$G770,0)))))</f>
        <v/>
      </c>
      <c r="M770" s="364" t="str">
        <f>IF($G770="","",IF($H770=1,ROUND($G770/23,0),IF($H770=3,ROUND($G770/12,0),IF($H770=6,$G770,IF($H770=7,$G770-ROUND($G770*10/11,0),0)))))</f>
        <v/>
      </c>
      <c r="N770" s="364" t="str">
        <f>IF($G770="","",K770+L770+M770)</f>
        <v/>
      </c>
      <c r="O770" s="365" t="str">
        <f>IF($G770="","",IFERROR(VLOOKUP($D770&amp;"|"&amp;$E770,科目表!$A$5:$B$200,2,FALSE),"※未登録"))</f>
        <v/>
      </c>
      <c r="P770" s="359" t="str">
        <f>IF(OR($G770="",$C770=""),"",IF($B770="決算整理",13,MOD(MONTH($C770)-4,12)+1))</f>
        <v/>
      </c>
      <c r="Q770" s="366" t="str">
        <f>IF($G770="","",TRIM(IF(J770+K770+L770+M770&lt;&gt;$G770,"按分不一致 ","")&amp;IF(O770="※未登録","科目未登録 ","")&amp;IF(OR($H770="",ISERROR(MATCH($H770,{1,2,3,4,5,6,7,8},0))),"経費区分? ","")&amp;IF($I770="","状態未設定 ","")&amp;IF(AND(OR($I770="確認済",$I770="未確認"),$B770="月例",OR($C770="",$C770&lt;DATE(年度+2018,4,1),$C770&gt;DATE(年度+2019,3,31))),"年度外の日付 ","")&amp;IF(AND(OR($I770="確認済",$I770="未確認"),O770="対象外"),"対象外の科目 ","")))</f>
        <v/>
      </c>
      <c r="R770" s="366" t="n"/>
    </row>
    <row r="771">
      <c r="A771" s="359" t="n"/>
      <c r="B771" s="360" t="n"/>
      <c r="C771" s="361" t="n"/>
      <c r="D771" s="362" t="n"/>
      <c r="E771" s="362" t="n"/>
      <c r="F771" s="362" t="n"/>
      <c r="G771" s="363" t="n"/>
      <c r="H771" s="360" t="n"/>
      <c r="I771" s="360" t="n"/>
      <c r="J771" s="364" t="str">
        <f>IF($G771="","",IF($H771=1,$G771-ROUND($G771*10/23,0)-2*ROUND($G771/23,0),IF($H771=2,$G771,0)))</f>
        <v/>
      </c>
      <c r="K771" s="364" t="str">
        <f>IF($G771="","",IF($H771=1,ROUND($G771*10/23,0),IF($H771=3,$G771-2*ROUND($G771/12,0),IF($H771=4,$G771,IF(OR($H771=5,$H771=7),ROUND($G771*10/11,0),0)))))</f>
        <v/>
      </c>
      <c r="L771" s="364" t="str">
        <f>IF($G771="","",IF($H771=1,ROUND($G771/23,0),IF($H771=3,ROUND($G771/12,0),IF($H771=5,$G771-ROUND($G771*10/11,0),IF($H771=8,$G771,0)))))</f>
        <v/>
      </c>
      <c r="M771" s="364" t="str">
        <f>IF($G771="","",IF($H771=1,ROUND($G771/23,0),IF($H771=3,ROUND($G771/12,0),IF($H771=6,$G771,IF($H771=7,$G771-ROUND($G771*10/11,0),0)))))</f>
        <v/>
      </c>
      <c r="N771" s="364" t="str">
        <f>IF($G771="","",K771+L771+M771)</f>
        <v/>
      </c>
      <c r="O771" s="365" t="str">
        <f>IF($G771="","",IFERROR(VLOOKUP($D771&amp;"|"&amp;$E771,科目表!$A$5:$B$200,2,FALSE),"※未登録"))</f>
        <v/>
      </c>
      <c r="P771" s="359" t="str">
        <f>IF(OR($G771="",$C771=""),"",IF($B771="決算整理",13,MOD(MONTH($C771)-4,12)+1))</f>
        <v/>
      </c>
      <c r="Q771" s="366" t="str">
        <f>IF($G771="","",TRIM(IF(J771+K771+L771+M771&lt;&gt;$G771,"按分不一致 ","")&amp;IF(O771="※未登録","科目未登録 ","")&amp;IF(OR($H771="",ISERROR(MATCH($H771,{1,2,3,4,5,6,7,8},0))),"経費区分? ","")&amp;IF($I771="","状態未設定 ","")&amp;IF(AND(OR($I771="確認済",$I771="未確認"),$B771="月例",OR($C771="",$C771&lt;DATE(年度+2018,4,1),$C771&gt;DATE(年度+2019,3,31))),"年度外の日付 ","")&amp;IF(AND(OR($I771="確認済",$I771="未確認"),O771="対象外"),"対象外の科目 ","")))</f>
        <v/>
      </c>
      <c r="R771" s="366" t="n"/>
    </row>
    <row r="772">
      <c r="A772" s="359" t="n"/>
      <c r="B772" s="360" t="n"/>
      <c r="C772" s="361" t="n"/>
      <c r="D772" s="362" t="n"/>
      <c r="E772" s="362" t="n"/>
      <c r="F772" s="362" t="n"/>
      <c r="G772" s="363" t="n"/>
      <c r="H772" s="360" t="n"/>
      <c r="I772" s="360" t="n"/>
      <c r="J772" s="364" t="str">
        <f>IF($G772="","",IF($H772=1,$G772-ROUND($G772*10/23,0)-2*ROUND($G772/23,0),IF($H772=2,$G772,0)))</f>
        <v/>
      </c>
      <c r="K772" s="364" t="str">
        <f>IF($G772="","",IF($H772=1,ROUND($G772*10/23,0),IF($H772=3,$G772-2*ROUND($G772/12,0),IF($H772=4,$G772,IF(OR($H772=5,$H772=7),ROUND($G772*10/11,0),0)))))</f>
        <v/>
      </c>
      <c r="L772" s="364" t="str">
        <f>IF($G772="","",IF($H772=1,ROUND($G772/23,0),IF($H772=3,ROUND($G772/12,0),IF($H772=5,$G772-ROUND($G772*10/11,0),IF($H772=8,$G772,0)))))</f>
        <v/>
      </c>
      <c r="M772" s="364" t="str">
        <f>IF($G772="","",IF($H772=1,ROUND($G772/23,0),IF($H772=3,ROUND($G772/12,0),IF($H772=6,$G772,IF($H772=7,$G772-ROUND($G772*10/11,0),0)))))</f>
        <v/>
      </c>
      <c r="N772" s="364" t="str">
        <f>IF($G772="","",K772+L772+M772)</f>
        <v/>
      </c>
      <c r="O772" s="365" t="str">
        <f>IF($G772="","",IFERROR(VLOOKUP($D772&amp;"|"&amp;$E772,科目表!$A$5:$B$200,2,FALSE),"※未登録"))</f>
        <v/>
      </c>
      <c r="P772" s="359" t="str">
        <f>IF(OR($G772="",$C772=""),"",IF($B772="決算整理",13,MOD(MONTH($C772)-4,12)+1))</f>
        <v/>
      </c>
      <c r="Q772" s="366" t="str">
        <f>IF($G772="","",TRIM(IF(J772+K772+L772+M772&lt;&gt;$G772,"按分不一致 ","")&amp;IF(O772="※未登録","科目未登録 ","")&amp;IF(OR($H772="",ISERROR(MATCH($H772,{1,2,3,4,5,6,7,8},0))),"経費区分? ","")&amp;IF($I772="","状態未設定 ","")&amp;IF(AND(OR($I772="確認済",$I772="未確認"),$B772="月例",OR($C772="",$C772&lt;DATE(年度+2018,4,1),$C772&gt;DATE(年度+2019,3,31))),"年度外の日付 ","")&amp;IF(AND(OR($I772="確認済",$I772="未確認"),O772="対象外"),"対象外の科目 ","")))</f>
        <v/>
      </c>
      <c r="R772" s="366" t="n"/>
    </row>
    <row r="773">
      <c r="A773" s="359" t="n"/>
      <c r="B773" s="360" t="n"/>
      <c r="C773" s="361" t="n"/>
      <c r="D773" s="362" t="n"/>
      <c r="E773" s="362" t="n"/>
      <c r="F773" s="362" t="n"/>
      <c r="G773" s="363" t="n"/>
      <c r="H773" s="360" t="n"/>
      <c r="I773" s="360" t="n"/>
      <c r="J773" s="364" t="str">
        <f>IF($G773="","",IF($H773=1,$G773-ROUND($G773*10/23,0)-2*ROUND($G773/23,0),IF($H773=2,$G773,0)))</f>
        <v/>
      </c>
      <c r="K773" s="364" t="str">
        <f>IF($G773="","",IF($H773=1,ROUND($G773*10/23,0),IF($H773=3,$G773-2*ROUND($G773/12,0),IF($H773=4,$G773,IF(OR($H773=5,$H773=7),ROUND($G773*10/11,0),0)))))</f>
        <v/>
      </c>
      <c r="L773" s="364" t="str">
        <f>IF($G773="","",IF($H773=1,ROUND($G773/23,0),IF($H773=3,ROUND($G773/12,0),IF($H773=5,$G773-ROUND($G773*10/11,0),IF($H773=8,$G773,0)))))</f>
        <v/>
      </c>
      <c r="M773" s="364" t="str">
        <f>IF($G773="","",IF($H773=1,ROUND($G773/23,0),IF($H773=3,ROUND($G773/12,0),IF($H773=6,$G773,IF($H773=7,$G773-ROUND($G773*10/11,0),0)))))</f>
        <v/>
      </c>
      <c r="N773" s="364" t="str">
        <f>IF($G773="","",K773+L773+M773)</f>
        <v/>
      </c>
      <c r="O773" s="365" t="str">
        <f>IF($G773="","",IFERROR(VLOOKUP($D773&amp;"|"&amp;$E773,科目表!$A$5:$B$200,2,FALSE),"※未登録"))</f>
        <v/>
      </c>
      <c r="P773" s="359" t="str">
        <f>IF(OR($G773="",$C773=""),"",IF($B773="決算整理",13,MOD(MONTH($C773)-4,12)+1))</f>
        <v/>
      </c>
      <c r="Q773" s="366" t="str">
        <f>IF($G773="","",TRIM(IF(J773+K773+L773+M773&lt;&gt;$G773,"按分不一致 ","")&amp;IF(O773="※未登録","科目未登録 ","")&amp;IF(OR($H773="",ISERROR(MATCH($H773,{1,2,3,4,5,6,7,8},0))),"経費区分? ","")&amp;IF($I773="","状態未設定 ","")&amp;IF(AND(OR($I773="確認済",$I773="未確認"),$B773="月例",OR($C773="",$C773&lt;DATE(年度+2018,4,1),$C773&gt;DATE(年度+2019,3,31))),"年度外の日付 ","")&amp;IF(AND(OR($I773="確認済",$I773="未確認"),O773="対象外"),"対象外の科目 ","")))</f>
        <v/>
      </c>
      <c r="R773" s="366" t="n"/>
    </row>
    <row r="774">
      <c r="A774" s="359" t="n"/>
      <c r="B774" s="360" t="n"/>
      <c r="C774" s="361" t="n"/>
      <c r="D774" s="362" t="n"/>
      <c r="E774" s="362" t="n"/>
      <c r="F774" s="362" t="n"/>
      <c r="G774" s="363" t="n"/>
      <c r="H774" s="360" t="n"/>
      <c r="I774" s="360" t="n"/>
      <c r="J774" s="364" t="str">
        <f>IF($G774="","",IF($H774=1,$G774-ROUND($G774*10/23,0)-2*ROUND($G774/23,0),IF($H774=2,$G774,0)))</f>
        <v/>
      </c>
      <c r="K774" s="364" t="str">
        <f>IF($G774="","",IF($H774=1,ROUND($G774*10/23,0),IF($H774=3,$G774-2*ROUND($G774/12,0),IF($H774=4,$G774,IF(OR($H774=5,$H774=7),ROUND($G774*10/11,0),0)))))</f>
        <v/>
      </c>
      <c r="L774" s="364" t="str">
        <f>IF($G774="","",IF($H774=1,ROUND($G774/23,0),IF($H774=3,ROUND($G774/12,0),IF($H774=5,$G774-ROUND($G774*10/11,0),IF($H774=8,$G774,0)))))</f>
        <v/>
      </c>
      <c r="M774" s="364" t="str">
        <f>IF($G774="","",IF($H774=1,ROUND($G774/23,0),IF($H774=3,ROUND($G774/12,0),IF($H774=6,$G774,IF($H774=7,$G774-ROUND($G774*10/11,0),0)))))</f>
        <v/>
      </c>
      <c r="N774" s="364" t="str">
        <f>IF($G774="","",K774+L774+M774)</f>
        <v/>
      </c>
      <c r="O774" s="365" t="str">
        <f>IF($G774="","",IFERROR(VLOOKUP($D774&amp;"|"&amp;$E774,科目表!$A$5:$B$200,2,FALSE),"※未登録"))</f>
        <v/>
      </c>
      <c r="P774" s="359" t="str">
        <f>IF(OR($G774="",$C774=""),"",IF($B774="決算整理",13,MOD(MONTH($C774)-4,12)+1))</f>
        <v/>
      </c>
      <c r="Q774" s="366" t="str">
        <f>IF($G774="","",TRIM(IF(J774+K774+L774+M774&lt;&gt;$G774,"按分不一致 ","")&amp;IF(O774="※未登録","科目未登録 ","")&amp;IF(OR($H774="",ISERROR(MATCH($H774,{1,2,3,4,5,6,7,8},0))),"経費区分? ","")&amp;IF($I774="","状態未設定 ","")&amp;IF(AND(OR($I774="確認済",$I774="未確認"),$B774="月例",OR($C774="",$C774&lt;DATE(年度+2018,4,1),$C774&gt;DATE(年度+2019,3,31))),"年度外の日付 ","")&amp;IF(AND(OR($I774="確認済",$I774="未確認"),O774="対象外"),"対象外の科目 ","")))</f>
        <v/>
      </c>
      <c r="R774" s="366" t="n"/>
    </row>
    <row r="775">
      <c r="A775" s="359" t="n"/>
      <c r="B775" s="360" t="n"/>
      <c r="C775" s="361" t="n"/>
      <c r="D775" s="362" t="n"/>
      <c r="E775" s="362" t="n"/>
      <c r="F775" s="362" t="n"/>
      <c r="G775" s="363" t="n"/>
      <c r="H775" s="360" t="n"/>
      <c r="I775" s="360" t="n"/>
      <c r="J775" s="364" t="str">
        <f>IF($G775="","",IF($H775=1,$G775-ROUND($G775*10/23,0)-2*ROUND($G775/23,0),IF($H775=2,$G775,0)))</f>
        <v/>
      </c>
      <c r="K775" s="364" t="str">
        <f>IF($G775="","",IF($H775=1,ROUND($G775*10/23,0),IF($H775=3,$G775-2*ROUND($G775/12,0),IF($H775=4,$G775,IF(OR($H775=5,$H775=7),ROUND($G775*10/11,0),0)))))</f>
        <v/>
      </c>
      <c r="L775" s="364" t="str">
        <f>IF($G775="","",IF($H775=1,ROUND($G775/23,0),IF($H775=3,ROUND($G775/12,0),IF($H775=5,$G775-ROUND($G775*10/11,0),IF($H775=8,$G775,0)))))</f>
        <v/>
      </c>
      <c r="M775" s="364" t="str">
        <f>IF($G775="","",IF($H775=1,ROUND($G775/23,0),IF($H775=3,ROUND($G775/12,0),IF($H775=6,$G775,IF($H775=7,$G775-ROUND($G775*10/11,0),0)))))</f>
        <v/>
      </c>
      <c r="N775" s="364" t="str">
        <f>IF($G775="","",K775+L775+M775)</f>
        <v/>
      </c>
      <c r="O775" s="365" t="str">
        <f>IF($G775="","",IFERROR(VLOOKUP($D775&amp;"|"&amp;$E775,科目表!$A$5:$B$200,2,FALSE),"※未登録"))</f>
        <v/>
      </c>
      <c r="P775" s="359" t="str">
        <f>IF(OR($G775="",$C775=""),"",IF($B775="決算整理",13,MOD(MONTH($C775)-4,12)+1))</f>
        <v/>
      </c>
      <c r="Q775" s="366" t="str">
        <f>IF($G775="","",TRIM(IF(J775+K775+L775+M775&lt;&gt;$G775,"按分不一致 ","")&amp;IF(O775="※未登録","科目未登録 ","")&amp;IF(OR($H775="",ISERROR(MATCH($H775,{1,2,3,4,5,6,7,8},0))),"経費区分? ","")&amp;IF($I775="","状態未設定 ","")&amp;IF(AND(OR($I775="確認済",$I775="未確認"),$B775="月例",OR($C775="",$C775&lt;DATE(年度+2018,4,1),$C775&gt;DATE(年度+2019,3,31))),"年度外の日付 ","")&amp;IF(AND(OR($I775="確認済",$I775="未確認"),O775="対象外"),"対象外の科目 ","")))</f>
        <v/>
      </c>
      <c r="R775" s="366" t="n"/>
    </row>
    <row r="776">
      <c r="A776" s="359" t="n"/>
      <c r="B776" s="360" t="n"/>
      <c r="C776" s="361" t="n"/>
      <c r="D776" s="362" t="n"/>
      <c r="E776" s="362" t="n"/>
      <c r="F776" s="362" t="n"/>
      <c r="G776" s="363" t="n"/>
      <c r="H776" s="360" t="n"/>
      <c r="I776" s="360" t="n"/>
      <c r="J776" s="364" t="str">
        <f>IF($G776="","",IF($H776=1,$G776-ROUND($G776*10/23,0)-2*ROUND($G776/23,0),IF($H776=2,$G776,0)))</f>
        <v/>
      </c>
      <c r="K776" s="364" t="str">
        <f>IF($G776="","",IF($H776=1,ROUND($G776*10/23,0),IF($H776=3,$G776-2*ROUND($G776/12,0),IF($H776=4,$G776,IF(OR($H776=5,$H776=7),ROUND($G776*10/11,0),0)))))</f>
        <v/>
      </c>
      <c r="L776" s="364" t="str">
        <f>IF($G776="","",IF($H776=1,ROUND($G776/23,0),IF($H776=3,ROUND($G776/12,0),IF($H776=5,$G776-ROUND($G776*10/11,0),IF($H776=8,$G776,0)))))</f>
        <v/>
      </c>
      <c r="M776" s="364" t="str">
        <f>IF($G776="","",IF($H776=1,ROUND($G776/23,0),IF($H776=3,ROUND($G776/12,0),IF($H776=6,$G776,IF($H776=7,$G776-ROUND($G776*10/11,0),0)))))</f>
        <v/>
      </c>
      <c r="N776" s="364" t="str">
        <f>IF($G776="","",K776+L776+M776)</f>
        <v/>
      </c>
      <c r="O776" s="365" t="str">
        <f>IF($G776="","",IFERROR(VLOOKUP($D776&amp;"|"&amp;$E776,科目表!$A$5:$B$200,2,FALSE),"※未登録"))</f>
        <v/>
      </c>
      <c r="P776" s="359" t="str">
        <f>IF(OR($G776="",$C776=""),"",IF($B776="決算整理",13,MOD(MONTH($C776)-4,12)+1))</f>
        <v/>
      </c>
      <c r="Q776" s="366" t="str">
        <f>IF($G776="","",TRIM(IF(J776+K776+L776+M776&lt;&gt;$G776,"按分不一致 ","")&amp;IF(O776="※未登録","科目未登録 ","")&amp;IF(OR($H776="",ISERROR(MATCH($H776,{1,2,3,4,5,6,7,8},0))),"経費区分? ","")&amp;IF($I776="","状態未設定 ","")&amp;IF(AND(OR($I776="確認済",$I776="未確認"),$B776="月例",OR($C776="",$C776&lt;DATE(年度+2018,4,1),$C776&gt;DATE(年度+2019,3,31))),"年度外の日付 ","")&amp;IF(AND(OR($I776="確認済",$I776="未確認"),O776="対象外"),"対象外の科目 ","")))</f>
        <v/>
      </c>
      <c r="R776" s="366" t="n"/>
    </row>
    <row r="777">
      <c r="A777" s="359" t="n"/>
      <c r="B777" s="360" t="n"/>
      <c r="C777" s="361" t="n"/>
      <c r="D777" s="362" t="n"/>
      <c r="E777" s="362" t="n"/>
      <c r="F777" s="362" t="n"/>
      <c r="G777" s="363" t="n"/>
      <c r="H777" s="360" t="n"/>
      <c r="I777" s="360" t="n"/>
      <c r="J777" s="364" t="str">
        <f>IF($G777="","",IF($H777=1,$G777-ROUND($G777*10/23,0)-2*ROUND($G777/23,0),IF($H777=2,$G777,0)))</f>
        <v/>
      </c>
      <c r="K777" s="364" t="str">
        <f>IF($G777="","",IF($H777=1,ROUND($G777*10/23,0),IF($H777=3,$G777-2*ROUND($G777/12,0),IF($H777=4,$G777,IF(OR($H777=5,$H777=7),ROUND($G777*10/11,0),0)))))</f>
        <v/>
      </c>
      <c r="L777" s="364" t="str">
        <f>IF($G777="","",IF($H777=1,ROUND($G777/23,0),IF($H777=3,ROUND($G777/12,0),IF($H777=5,$G777-ROUND($G777*10/11,0),IF($H777=8,$G777,0)))))</f>
        <v/>
      </c>
      <c r="M777" s="364" t="str">
        <f>IF($G777="","",IF($H777=1,ROUND($G777/23,0),IF($H777=3,ROUND($G777/12,0),IF($H777=6,$G777,IF($H777=7,$G777-ROUND($G777*10/11,0),0)))))</f>
        <v/>
      </c>
      <c r="N777" s="364" t="str">
        <f>IF($G777="","",K777+L777+M777)</f>
        <v/>
      </c>
      <c r="O777" s="365" t="str">
        <f>IF($G777="","",IFERROR(VLOOKUP($D777&amp;"|"&amp;$E777,科目表!$A$5:$B$200,2,FALSE),"※未登録"))</f>
        <v/>
      </c>
      <c r="P777" s="359" t="str">
        <f>IF(OR($G777="",$C777=""),"",IF($B777="決算整理",13,MOD(MONTH($C777)-4,12)+1))</f>
        <v/>
      </c>
      <c r="Q777" s="366" t="str">
        <f>IF($G777="","",TRIM(IF(J777+K777+L777+M777&lt;&gt;$G777,"按分不一致 ","")&amp;IF(O777="※未登録","科目未登録 ","")&amp;IF(OR($H777="",ISERROR(MATCH($H777,{1,2,3,4,5,6,7,8},0))),"経費区分? ","")&amp;IF($I777="","状態未設定 ","")&amp;IF(AND(OR($I777="確認済",$I777="未確認"),$B777="月例",OR($C777="",$C777&lt;DATE(年度+2018,4,1),$C777&gt;DATE(年度+2019,3,31))),"年度外の日付 ","")&amp;IF(AND(OR($I777="確認済",$I777="未確認"),O777="対象外"),"対象外の科目 ","")))</f>
        <v/>
      </c>
      <c r="R777" s="366" t="n"/>
    </row>
    <row r="778">
      <c r="A778" s="359" t="n"/>
      <c r="B778" s="360" t="n"/>
      <c r="C778" s="361" t="n"/>
      <c r="D778" s="362" t="n"/>
      <c r="E778" s="362" t="n"/>
      <c r="F778" s="362" t="n"/>
      <c r="G778" s="363" t="n"/>
      <c r="H778" s="360" t="n"/>
      <c r="I778" s="360" t="n"/>
      <c r="J778" s="364" t="str">
        <f>IF($G778="","",IF($H778=1,$G778-ROUND($G778*10/23,0)-2*ROUND($G778/23,0),IF($H778=2,$G778,0)))</f>
        <v/>
      </c>
      <c r="K778" s="364" t="str">
        <f>IF($G778="","",IF($H778=1,ROUND($G778*10/23,0),IF($H778=3,$G778-2*ROUND($G778/12,0),IF($H778=4,$G778,IF(OR($H778=5,$H778=7),ROUND($G778*10/11,0),0)))))</f>
        <v/>
      </c>
      <c r="L778" s="364" t="str">
        <f>IF($G778="","",IF($H778=1,ROUND($G778/23,0),IF($H778=3,ROUND($G778/12,0),IF($H778=5,$G778-ROUND($G778*10/11,0),IF($H778=8,$G778,0)))))</f>
        <v/>
      </c>
      <c r="M778" s="364" t="str">
        <f>IF($G778="","",IF($H778=1,ROUND($G778/23,0),IF($H778=3,ROUND($G778/12,0),IF($H778=6,$G778,IF($H778=7,$G778-ROUND($G778*10/11,0),0)))))</f>
        <v/>
      </c>
      <c r="N778" s="364" t="str">
        <f>IF($G778="","",K778+L778+M778)</f>
        <v/>
      </c>
      <c r="O778" s="365" t="str">
        <f>IF($G778="","",IFERROR(VLOOKUP($D778&amp;"|"&amp;$E778,科目表!$A$5:$B$200,2,FALSE),"※未登録"))</f>
        <v/>
      </c>
      <c r="P778" s="359" t="str">
        <f>IF(OR($G778="",$C778=""),"",IF($B778="決算整理",13,MOD(MONTH($C778)-4,12)+1))</f>
        <v/>
      </c>
      <c r="Q778" s="366" t="str">
        <f>IF($G778="","",TRIM(IF(J778+K778+L778+M778&lt;&gt;$G778,"按分不一致 ","")&amp;IF(O778="※未登録","科目未登録 ","")&amp;IF(OR($H778="",ISERROR(MATCH($H778,{1,2,3,4,5,6,7,8},0))),"経費区分? ","")&amp;IF($I778="","状態未設定 ","")&amp;IF(AND(OR($I778="確認済",$I778="未確認"),$B778="月例",OR($C778="",$C778&lt;DATE(年度+2018,4,1),$C778&gt;DATE(年度+2019,3,31))),"年度外の日付 ","")&amp;IF(AND(OR($I778="確認済",$I778="未確認"),O778="対象外"),"対象外の科目 ","")))</f>
        <v/>
      </c>
      <c r="R778" s="366" t="n"/>
    </row>
    <row r="779">
      <c r="A779" s="359" t="n"/>
      <c r="B779" s="360" t="n"/>
      <c r="C779" s="361" t="n"/>
      <c r="D779" s="362" t="n"/>
      <c r="E779" s="362" t="n"/>
      <c r="F779" s="362" t="n"/>
      <c r="G779" s="363" t="n"/>
      <c r="H779" s="360" t="n"/>
      <c r="I779" s="360" t="n"/>
      <c r="J779" s="364" t="str">
        <f>IF($G779="","",IF($H779=1,$G779-ROUND($G779*10/23,0)-2*ROUND($G779/23,0),IF($H779=2,$G779,0)))</f>
        <v/>
      </c>
      <c r="K779" s="364" t="str">
        <f>IF($G779="","",IF($H779=1,ROUND($G779*10/23,0),IF($H779=3,$G779-2*ROUND($G779/12,0),IF($H779=4,$G779,IF(OR($H779=5,$H779=7),ROUND($G779*10/11,0),0)))))</f>
        <v/>
      </c>
      <c r="L779" s="364" t="str">
        <f>IF($G779="","",IF($H779=1,ROUND($G779/23,0),IF($H779=3,ROUND($G779/12,0),IF($H779=5,$G779-ROUND($G779*10/11,0),IF($H779=8,$G779,0)))))</f>
        <v/>
      </c>
      <c r="M779" s="364" t="str">
        <f>IF($G779="","",IF($H779=1,ROUND($G779/23,0),IF($H779=3,ROUND($G779/12,0),IF($H779=6,$G779,IF($H779=7,$G779-ROUND($G779*10/11,0),0)))))</f>
        <v/>
      </c>
      <c r="N779" s="364" t="str">
        <f>IF($G779="","",K779+L779+M779)</f>
        <v/>
      </c>
      <c r="O779" s="365" t="str">
        <f>IF($G779="","",IFERROR(VLOOKUP($D779&amp;"|"&amp;$E779,科目表!$A$5:$B$200,2,FALSE),"※未登録"))</f>
        <v/>
      </c>
      <c r="P779" s="359" t="str">
        <f>IF(OR($G779="",$C779=""),"",IF($B779="決算整理",13,MOD(MONTH($C779)-4,12)+1))</f>
        <v/>
      </c>
      <c r="Q779" s="366" t="str">
        <f>IF($G779="","",TRIM(IF(J779+K779+L779+M779&lt;&gt;$G779,"按分不一致 ","")&amp;IF(O779="※未登録","科目未登録 ","")&amp;IF(OR($H779="",ISERROR(MATCH($H779,{1,2,3,4,5,6,7,8},0))),"経費区分? ","")&amp;IF($I779="","状態未設定 ","")&amp;IF(AND(OR($I779="確認済",$I779="未確認"),$B779="月例",OR($C779="",$C779&lt;DATE(年度+2018,4,1),$C779&gt;DATE(年度+2019,3,31))),"年度外の日付 ","")&amp;IF(AND(OR($I779="確認済",$I779="未確認"),O779="対象外"),"対象外の科目 ","")))</f>
        <v/>
      </c>
      <c r="R779" s="366" t="n"/>
    </row>
    <row r="780">
      <c r="A780" s="359" t="n"/>
      <c r="B780" s="360" t="n"/>
      <c r="C780" s="361" t="n"/>
      <c r="D780" s="362" t="n"/>
      <c r="E780" s="362" t="n"/>
      <c r="F780" s="362" t="n"/>
      <c r="G780" s="363" t="n"/>
      <c r="H780" s="360" t="n"/>
      <c r="I780" s="360" t="n"/>
      <c r="J780" s="364" t="str">
        <f>IF($G780="","",IF($H780=1,$G780-ROUND($G780*10/23,0)-2*ROUND($G780/23,0),IF($H780=2,$G780,0)))</f>
        <v/>
      </c>
      <c r="K780" s="364" t="str">
        <f>IF($G780="","",IF($H780=1,ROUND($G780*10/23,0),IF($H780=3,$G780-2*ROUND($G780/12,0),IF($H780=4,$G780,IF(OR($H780=5,$H780=7),ROUND($G780*10/11,0),0)))))</f>
        <v/>
      </c>
      <c r="L780" s="364" t="str">
        <f>IF($G780="","",IF($H780=1,ROUND($G780/23,0),IF($H780=3,ROUND($G780/12,0),IF($H780=5,$G780-ROUND($G780*10/11,0),IF($H780=8,$G780,0)))))</f>
        <v/>
      </c>
      <c r="M780" s="364" t="str">
        <f>IF($G780="","",IF($H780=1,ROUND($G780/23,0),IF($H780=3,ROUND($G780/12,0),IF($H780=6,$G780,IF($H780=7,$G780-ROUND($G780*10/11,0),0)))))</f>
        <v/>
      </c>
      <c r="N780" s="364" t="str">
        <f>IF($G780="","",K780+L780+M780)</f>
        <v/>
      </c>
      <c r="O780" s="365" t="str">
        <f>IF($G780="","",IFERROR(VLOOKUP($D780&amp;"|"&amp;$E780,科目表!$A$5:$B$200,2,FALSE),"※未登録"))</f>
        <v/>
      </c>
      <c r="P780" s="359" t="str">
        <f>IF(OR($G780="",$C780=""),"",IF($B780="決算整理",13,MOD(MONTH($C780)-4,12)+1))</f>
        <v/>
      </c>
      <c r="Q780" s="366" t="str">
        <f>IF($G780="","",TRIM(IF(J780+K780+L780+M780&lt;&gt;$G780,"按分不一致 ","")&amp;IF(O780="※未登録","科目未登録 ","")&amp;IF(OR($H780="",ISERROR(MATCH($H780,{1,2,3,4,5,6,7,8},0))),"経費区分? ","")&amp;IF($I780="","状態未設定 ","")&amp;IF(AND(OR($I780="確認済",$I780="未確認"),$B780="月例",OR($C780="",$C780&lt;DATE(年度+2018,4,1),$C780&gt;DATE(年度+2019,3,31))),"年度外の日付 ","")&amp;IF(AND(OR($I780="確認済",$I780="未確認"),O780="対象外"),"対象外の科目 ","")))</f>
        <v/>
      </c>
      <c r="R780" s="366" t="n"/>
    </row>
    <row r="781">
      <c r="A781" s="359" t="n"/>
      <c r="B781" s="360" t="n"/>
      <c r="C781" s="361" t="n"/>
      <c r="D781" s="362" t="n"/>
      <c r="E781" s="362" t="n"/>
      <c r="F781" s="362" t="n"/>
      <c r="G781" s="363" t="n"/>
      <c r="H781" s="360" t="n"/>
      <c r="I781" s="360" t="n"/>
      <c r="J781" s="364" t="str">
        <f>IF($G781="","",IF($H781=1,$G781-ROUND($G781*10/23,0)-2*ROUND($G781/23,0),IF($H781=2,$G781,0)))</f>
        <v/>
      </c>
      <c r="K781" s="364" t="str">
        <f>IF($G781="","",IF($H781=1,ROUND($G781*10/23,0),IF($H781=3,$G781-2*ROUND($G781/12,0),IF($H781=4,$G781,IF(OR($H781=5,$H781=7),ROUND($G781*10/11,0),0)))))</f>
        <v/>
      </c>
      <c r="L781" s="364" t="str">
        <f>IF($G781="","",IF($H781=1,ROUND($G781/23,0),IF($H781=3,ROUND($G781/12,0),IF($H781=5,$G781-ROUND($G781*10/11,0),IF($H781=8,$G781,0)))))</f>
        <v/>
      </c>
      <c r="M781" s="364" t="str">
        <f>IF($G781="","",IF($H781=1,ROUND($G781/23,0),IF($H781=3,ROUND($G781/12,0),IF($H781=6,$G781,IF($H781=7,$G781-ROUND($G781*10/11,0),0)))))</f>
        <v/>
      </c>
      <c r="N781" s="364" t="str">
        <f>IF($G781="","",K781+L781+M781)</f>
        <v/>
      </c>
      <c r="O781" s="365" t="str">
        <f>IF($G781="","",IFERROR(VLOOKUP($D781&amp;"|"&amp;$E781,科目表!$A$5:$B$200,2,FALSE),"※未登録"))</f>
        <v/>
      </c>
      <c r="P781" s="359" t="str">
        <f>IF(OR($G781="",$C781=""),"",IF($B781="決算整理",13,MOD(MONTH($C781)-4,12)+1))</f>
        <v/>
      </c>
      <c r="Q781" s="366" t="str">
        <f>IF($G781="","",TRIM(IF(J781+K781+L781+M781&lt;&gt;$G781,"按分不一致 ","")&amp;IF(O781="※未登録","科目未登録 ","")&amp;IF(OR($H781="",ISERROR(MATCH($H781,{1,2,3,4,5,6,7,8},0))),"経費区分? ","")&amp;IF($I781="","状態未設定 ","")&amp;IF(AND(OR($I781="確認済",$I781="未確認"),$B781="月例",OR($C781="",$C781&lt;DATE(年度+2018,4,1),$C781&gt;DATE(年度+2019,3,31))),"年度外の日付 ","")&amp;IF(AND(OR($I781="確認済",$I781="未確認"),O781="対象外"),"対象外の科目 ","")))</f>
        <v/>
      </c>
      <c r="R781" s="366" t="n"/>
    </row>
    <row r="782">
      <c r="A782" s="359" t="n"/>
      <c r="B782" s="360" t="n"/>
      <c r="C782" s="361" t="n"/>
      <c r="D782" s="362" t="n"/>
      <c r="E782" s="362" t="n"/>
      <c r="F782" s="362" t="n"/>
      <c r="G782" s="363" t="n"/>
      <c r="H782" s="360" t="n"/>
      <c r="I782" s="360" t="n"/>
      <c r="J782" s="364" t="str">
        <f>IF($G782="","",IF($H782=1,$G782-ROUND($G782*10/23,0)-2*ROUND($G782/23,0),IF($H782=2,$G782,0)))</f>
        <v/>
      </c>
      <c r="K782" s="364" t="str">
        <f>IF($G782="","",IF($H782=1,ROUND($G782*10/23,0),IF($H782=3,$G782-2*ROUND($G782/12,0),IF($H782=4,$G782,IF(OR($H782=5,$H782=7),ROUND($G782*10/11,0),0)))))</f>
        <v/>
      </c>
      <c r="L782" s="364" t="str">
        <f>IF($G782="","",IF($H782=1,ROUND($G782/23,0),IF($H782=3,ROUND($G782/12,0),IF($H782=5,$G782-ROUND($G782*10/11,0),IF($H782=8,$G782,0)))))</f>
        <v/>
      </c>
      <c r="M782" s="364" t="str">
        <f>IF($G782="","",IF($H782=1,ROUND($G782/23,0),IF($H782=3,ROUND($G782/12,0),IF($H782=6,$G782,IF($H782=7,$G782-ROUND($G782*10/11,0),0)))))</f>
        <v/>
      </c>
      <c r="N782" s="364" t="str">
        <f>IF($G782="","",K782+L782+M782)</f>
        <v/>
      </c>
      <c r="O782" s="365" t="str">
        <f>IF($G782="","",IFERROR(VLOOKUP($D782&amp;"|"&amp;$E782,科目表!$A$5:$B$200,2,FALSE),"※未登録"))</f>
        <v/>
      </c>
      <c r="P782" s="359" t="str">
        <f>IF(OR($G782="",$C782=""),"",IF($B782="決算整理",13,MOD(MONTH($C782)-4,12)+1))</f>
        <v/>
      </c>
      <c r="Q782" s="366" t="str">
        <f>IF($G782="","",TRIM(IF(J782+K782+L782+M782&lt;&gt;$G782,"按分不一致 ","")&amp;IF(O782="※未登録","科目未登録 ","")&amp;IF(OR($H782="",ISERROR(MATCH($H782,{1,2,3,4,5,6,7,8},0))),"経費区分? ","")&amp;IF($I782="","状態未設定 ","")&amp;IF(AND(OR($I782="確認済",$I782="未確認"),$B782="月例",OR($C782="",$C782&lt;DATE(年度+2018,4,1),$C782&gt;DATE(年度+2019,3,31))),"年度外の日付 ","")&amp;IF(AND(OR($I782="確認済",$I782="未確認"),O782="対象外"),"対象外の科目 ","")))</f>
        <v/>
      </c>
      <c r="R782" s="366" t="n"/>
    </row>
    <row r="783">
      <c r="A783" s="359" t="n"/>
      <c r="B783" s="360" t="n"/>
      <c r="C783" s="361" t="n"/>
      <c r="D783" s="362" t="n"/>
      <c r="E783" s="362" t="n"/>
      <c r="F783" s="362" t="n"/>
      <c r="G783" s="363" t="n"/>
      <c r="H783" s="360" t="n"/>
      <c r="I783" s="360" t="n"/>
      <c r="J783" s="364" t="str">
        <f>IF($G783="","",IF($H783=1,$G783-ROUND($G783*10/23,0)-2*ROUND($G783/23,0),IF($H783=2,$G783,0)))</f>
        <v/>
      </c>
      <c r="K783" s="364" t="str">
        <f>IF($G783="","",IF($H783=1,ROUND($G783*10/23,0),IF($H783=3,$G783-2*ROUND($G783/12,0),IF($H783=4,$G783,IF(OR($H783=5,$H783=7),ROUND($G783*10/11,0),0)))))</f>
        <v/>
      </c>
      <c r="L783" s="364" t="str">
        <f>IF($G783="","",IF($H783=1,ROUND($G783/23,0),IF($H783=3,ROUND($G783/12,0),IF($H783=5,$G783-ROUND($G783*10/11,0),IF($H783=8,$G783,0)))))</f>
        <v/>
      </c>
      <c r="M783" s="364" t="str">
        <f>IF($G783="","",IF($H783=1,ROUND($G783/23,0),IF($H783=3,ROUND($G783/12,0),IF($H783=6,$G783,IF($H783=7,$G783-ROUND($G783*10/11,0),0)))))</f>
        <v/>
      </c>
      <c r="N783" s="364" t="str">
        <f>IF($G783="","",K783+L783+M783)</f>
        <v/>
      </c>
      <c r="O783" s="365" t="str">
        <f>IF($G783="","",IFERROR(VLOOKUP($D783&amp;"|"&amp;$E783,科目表!$A$5:$B$200,2,FALSE),"※未登録"))</f>
        <v/>
      </c>
      <c r="P783" s="359" t="str">
        <f>IF(OR($G783="",$C783=""),"",IF($B783="決算整理",13,MOD(MONTH($C783)-4,12)+1))</f>
        <v/>
      </c>
      <c r="Q783" s="366" t="str">
        <f>IF($G783="","",TRIM(IF(J783+K783+L783+M783&lt;&gt;$G783,"按分不一致 ","")&amp;IF(O783="※未登録","科目未登録 ","")&amp;IF(OR($H783="",ISERROR(MATCH($H783,{1,2,3,4,5,6,7,8},0))),"経費区分? ","")&amp;IF($I783="","状態未設定 ","")&amp;IF(AND(OR($I783="確認済",$I783="未確認"),$B783="月例",OR($C783="",$C783&lt;DATE(年度+2018,4,1),$C783&gt;DATE(年度+2019,3,31))),"年度外の日付 ","")&amp;IF(AND(OR($I783="確認済",$I783="未確認"),O783="対象外"),"対象外の科目 ","")))</f>
        <v/>
      </c>
      <c r="R783" s="366" t="n"/>
    </row>
    <row r="784">
      <c r="A784" s="359" t="n"/>
      <c r="B784" s="360" t="n"/>
      <c r="C784" s="361" t="n"/>
      <c r="D784" s="362" t="n"/>
      <c r="E784" s="362" t="n"/>
      <c r="F784" s="362" t="n"/>
      <c r="G784" s="363" t="n"/>
      <c r="H784" s="360" t="n"/>
      <c r="I784" s="360" t="n"/>
      <c r="J784" s="364" t="str">
        <f>IF($G784="","",IF($H784=1,$G784-ROUND($G784*10/23,0)-2*ROUND($G784/23,0),IF($H784=2,$G784,0)))</f>
        <v/>
      </c>
      <c r="K784" s="364" t="str">
        <f>IF($G784="","",IF($H784=1,ROUND($G784*10/23,0),IF($H784=3,$G784-2*ROUND($G784/12,0),IF($H784=4,$G784,IF(OR($H784=5,$H784=7),ROUND($G784*10/11,0),0)))))</f>
        <v/>
      </c>
      <c r="L784" s="364" t="str">
        <f>IF($G784="","",IF($H784=1,ROUND($G784/23,0),IF($H784=3,ROUND($G784/12,0),IF($H784=5,$G784-ROUND($G784*10/11,0),IF($H784=8,$G784,0)))))</f>
        <v/>
      </c>
      <c r="M784" s="364" t="str">
        <f>IF($G784="","",IF($H784=1,ROUND($G784/23,0),IF($H784=3,ROUND($G784/12,0),IF($H784=6,$G784,IF($H784=7,$G784-ROUND($G784*10/11,0),0)))))</f>
        <v/>
      </c>
      <c r="N784" s="364" t="str">
        <f>IF($G784="","",K784+L784+M784)</f>
        <v/>
      </c>
      <c r="O784" s="365" t="str">
        <f>IF($G784="","",IFERROR(VLOOKUP($D784&amp;"|"&amp;$E784,科目表!$A$5:$B$200,2,FALSE),"※未登録"))</f>
        <v/>
      </c>
      <c r="P784" s="359" t="str">
        <f>IF(OR($G784="",$C784=""),"",IF($B784="決算整理",13,MOD(MONTH($C784)-4,12)+1))</f>
        <v/>
      </c>
      <c r="Q784" s="366" t="str">
        <f>IF($G784="","",TRIM(IF(J784+K784+L784+M784&lt;&gt;$G784,"按分不一致 ","")&amp;IF(O784="※未登録","科目未登録 ","")&amp;IF(OR($H784="",ISERROR(MATCH($H784,{1,2,3,4,5,6,7,8},0))),"経費区分? ","")&amp;IF($I784="","状態未設定 ","")&amp;IF(AND(OR($I784="確認済",$I784="未確認"),$B784="月例",OR($C784="",$C784&lt;DATE(年度+2018,4,1),$C784&gt;DATE(年度+2019,3,31))),"年度外の日付 ","")&amp;IF(AND(OR($I784="確認済",$I784="未確認"),O784="対象外"),"対象外の科目 ","")))</f>
        <v/>
      </c>
      <c r="R784" s="366" t="n"/>
    </row>
    <row r="785">
      <c r="A785" s="359" t="n"/>
      <c r="B785" s="360" t="n"/>
      <c r="C785" s="361" t="n"/>
      <c r="D785" s="362" t="n"/>
      <c r="E785" s="362" t="n"/>
      <c r="F785" s="362" t="n"/>
      <c r="G785" s="363" t="n"/>
      <c r="H785" s="360" t="n"/>
      <c r="I785" s="360" t="n"/>
      <c r="J785" s="364" t="str">
        <f>IF($G785="","",IF($H785=1,$G785-ROUND($G785*10/23,0)-2*ROUND($G785/23,0),IF($H785=2,$G785,0)))</f>
        <v/>
      </c>
      <c r="K785" s="364" t="str">
        <f>IF($G785="","",IF($H785=1,ROUND($G785*10/23,0),IF($H785=3,$G785-2*ROUND($G785/12,0),IF($H785=4,$G785,IF(OR($H785=5,$H785=7),ROUND($G785*10/11,0),0)))))</f>
        <v/>
      </c>
      <c r="L785" s="364" t="str">
        <f>IF($G785="","",IF($H785=1,ROUND($G785/23,0),IF($H785=3,ROUND($G785/12,0),IF($H785=5,$G785-ROUND($G785*10/11,0),IF($H785=8,$G785,0)))))</f>
        <v/>
      </c>
      <c r="M785" s="364" t="str">
        <f>IF($G785="","",IF($H785=1,ROUND($G785/23,0),IF($H785=3,ROUND($G785/12,0),IF($H785=6,$G785,IF($H785=7,$G785-ROUND($G785*10/11,0),0)))))</f>
        <v/>
      </c>
      <c r="N785" s="364" t="str">
        <f>IF($G785="","",K785+L785+M785)</f>
        <v/>
      </c>
      <c r="O785" s="365" t="str">
        <f>IF($G785="","",IFERROR(VLOOKUP($D785&amp;"|"&amp;$E785,科目表!$A$5:$B$200,2,FALSE),"※未登録"))</f>
        <v/>
      </c>
      <c r="P785" s="359" t="str">
        <f>IF(OR($G785="",$C785=""),"",IF($B785="決算整理",13,MOD(MONTH($C785)-4,12)+1))</f>
        <v/>
      </c>
      <c r="Q785" s="366" t="str">
        <f>IF($G785="","",TRIM(IF(J785+K785+L785+M785&lt;&gt;$G785,"按分不一致 ","")&amp;IF(O785="※未登録","科目未登録 ","")&amp;IF(OR($H785="",ISERROR(MATCH($H785,{1,2,3,4,5,6,7,8},0))),"経費区分? ","")&amp;IF($I785="","状態未設定 ","")&amp;IF(AND(OR($I785="確認済",$I785="未確認"),$B785="月例",OR($C785="",$C785&lt;DATE(年度+2018,4,1),$C785&gt;DATE(年度+2019,3,31))),"年度外の日付 ","")&amp;IF(AND(OR($I785="確認済",$I785="未確認"),O785="対象外"),"対象外の科目 ","")))</f>
        <v/>
      </c>
      <c r="R785" s="366" t="n"/>
    </row>
    <row r="786">
      <c r="A786" s="359" t="n"/>
      <c r="B786" s="360" t="n"/>
      <c r="C786" s="361" t="n"/>
      <c r="D786" s="362" t="n"/>
      <c r="E786" s="362" t="n"/>
      <c r="F786" s="362" t="n"/>
      <c r="G786" s="363" t="n"/>
      <c r="H786" s="360" t="n"/>
      <c r="I786" s="360" t="n"/>
      <c r="J786" s="364" t="str">
        <f>IF($G786="","",IF($H786=1,$G786-ROUND($G786*10/23,0)-2*ROUND($G786/23,0),IF($H786=2,$G786,0)))</f>
        <v/>
      </c>
      <c r="K786" s="364" t="str">
        <f>IF($G786="","",IF($H786=1,ROUND($G786*10/23,0),IF($H786=3,$G786-2*ROUND($G786/12,0),IF($H786=4,$G786,IF(OR($H786=5,$H786=7),ROUND($G786*10/11,0),0)))))</f>
        <v/>
      </c>
      <c r="L786" s="364" t="str">
        <f>IF($G786="","",IF($H786=1,ROUND($G786/23,0),IF($H786=3,ROUND($G786/12,0),IF($H786=5,$G786-ROUND($G786*10/11,0),IF($H786=8,$G786,0)))))</f>
        <v/>
      </c>
      <c r="M786" s="364" t="str">
        <f>IF($G786="","",IF($H786=1,ROUND($G786/23,0),IF($H786=3,ROUND($G786/12,0),IF($H786=6,$G786,IF($H786=7,$G786-ROUND($G786*10/11,0),0)))))</f>
        <v/>
      </c>
      <c r="N786" s="364" t="str">
        <f>IF($G786="","",K786+L786+M786)</f>
        <v/>
      </c>
      <c r="O786" s="365" t="str">
        <f>IF($G786="","",IFERROR(VLOOKUP($D786&amp;"|"&amp;$E786,科目表!$A$5:$B$200,2,FALSE),"※未登録"))</f>
        <v/>
      </c>
      <c r="P786" s="359" t="str">
        <f>IF(OR($G786="",$C786=""),"",IF($B786="決算整理",13,MOD(MONTH($C786)-4,12)+1))</f>
        <v/>
      </c>
      <c r="Q786" s="366" t="str">
        <f>IF($G786="","",TRIM(IF(J786+K786+L786+M786&lt;&gt;$G786,"按分不一致 ","")&amp;IF(O786="※未登録","科目未登録 ","")&amp;IF(OR($H786="",ISERROR(MATCH($H786,{1,2,3,4,5,6,7,8},0))),"経費区分? ","")&amp;IF($I786="","状態未設定 ","")&amp;IF(AND(OR($I786="確認済",$I786="未確認"),$B786="月例",OR($C786="",$C786&lt;DATE(年度+2018,4,1),$C786&gt;DATE(年度+2019,3,31))),"年度外の日付 ","")&amp;IF(AND(OR($I786="確認済",$I786="未確認"),O786="対象外"),"対象外の科目 ","")))</f>
        <v/>
      </c>
      <c r="R786" s="366" t="n"/>
    </row>
    <row r="787">
      <c r="A787" s="359" t="n"/>
      <c r="B787" s="360" t="n"/>
      <c r="C787" s="361" t="n"/>
      <c r="D787" s="362" t="n"/>
      <c r="E787" s="362" t="n"/>
      <c r="F787" s="362" t="n"/>
      <c r="G787" s="363" t="n"/>
      <c r="H787" s="360" t="n"/>
      <c r="I787" s="360" t="n"/>
      <c r="J787" s="364" t="str">
        <f>IF($G787="","",IF($H787=1,$G787-ROUND($G787*10/23,0)-2*ROUND($G787/23,0),IF($H787=2,$G787,0)))</f>
        <v/>
      </c>
      <c r="K787" s="364" t="str">
        <f>IF($G787="","",IF($H787=1,ROUND($G787*10/23,0),IF($H787=3,$G787-2*ROUND($G787/12,0),IF($H787=4,$G787,IF(OR($H787=5,$H787=7),ROUND($G787*10/11,0),0)))))</f>
        <v/>
      </c>
      <c r="L787" s="364" t="str">
        <f>IF($G787="","",IF($H787=1,ROUND($G787/23,0),IF($H787=3,ROUND($G787/12,0),IF($H787=5,$G787-ROUND($G787*10/11,0),IF($H787=8,$G787,0)))))</f>
        <v/>
      </c>
      <c r="M787" s="364" t="str">
        <f>IF($G787="","",IF($H787=1,ROUND($G787/23,0),IF($H787=3,ROUND($G787/12,0),IF($H787=6,$G787,IF($H787=7,$G787-ROUND($G787*10/11,0),0)))))</f>
        <v/>
      </c>
      <c r="N787" s="364" t="str">
        <f>IF($G787="","",K787+L787+M787)</f>
        <v/>
      </c>
      <c r="O787" s="365" t="str">
        <f>IF($G787="","",IFERROR(VLOOKUP($D787&amp;"|"&amp;$E787,科目表!$A$5:$B$200,2,FALSE),"※未登録"))</f>
        <v/>
      </c>
      <c r="P787" s="359" t="str">
        <f>IF(OR($G787="",$C787=""),"",IF($B787="決算整理",13,MOD(MONTH($C787)-4,12)+1))</f>
        <v/>
      </c>
      <c r="Q787" s="366" t="str">
        <f>IF($G787="","",TRIM(IF(J787+K787+L787+M787&lt;&gt;$G787,"按分不一致 ","")&amp;IF(O787="※未登録","科目未登録 ","")&amp;IF(OR($H787="",ISERROR(MATCH($H787,{1,2,3,4,5,6,7,8},0))),"経費区分? ","")&amp;IF($I787="","状態未設定 ","")&amp;IF(AND(OR($I787="確認済",$I787="未確認"),$B787="月例",OR($C787="",$C787&lt;DATE(年度+2018,4,1),$C787&gt;DATE(年度+2019,3,31))),"年度外の日付 ","")&amp;IF(AND(OR($I787="確認済",$I787="未確認"),O787="対象外"),"対象外の科目 ","")))</f>
        <v/>
      </c>
      <c r="R787" s="366" t="n"/>
    </row>
    <row r="788">
      <c r="A788" s="359" t="n"/>
      <c r="B788" s="360" t="n"/>
      <c r="C788" s="361" t="n"/>
      <c r="D788" s="362" t="n"/>
      <c r="E788" s="362" t="n"/>
      <c r="F788" s="362" t="n"/>
      <c r="G788" s="363" t="n"/>
      <c r="H788" s="360" t="n"/>
      <c r="I788" s="360" t="n"/>
      <c r="J788" s="364" t="str">
        <f>IF($G788="","",IF($H788=1,$G788-ROUND($G788*10/23,0)-2*ROUND($G788/23,0),IF($H788=2,$G788,0)))</f>
        <v/>
      </c>
      <c r="K788" s="364" t="str">
        <f>IF($G788="","",IF($H788=1,ROUND($G788*10/23,0),IF($H788=3,$G788-2*ROUND($G788/12,0),IF($H788=4,$G788,IF(OR($H788=5,$H788=7),ROUND($G788*10/11,0),0)))))</f>
        <v/>
      </c>
      <c r="L788" s="364" t="str">
        <f>IF($G788="","",IF($H788=1,ROUND($G788/23,0),IF($H788=3,ROUND($G788/12,0),IF($H788=5,$G788-ROUND($G788*10/11,0),IF($H788=8,$G788,0)))))</f>
        <v/>
      </c>
      <c r="M788" s="364" t="str">
        <f>IF($G788="","",IF($H788=1,ROUND($G788/23,0),IF($H788=3,ROUND($G788/12,0),IF($H788=6,$G788,IF($H788=7,$G788-ROUND($G788*10/11,0),0)))))</f>
        <v/>
      </c>
      <c r="N788" s="364" t="str">
        <f>IF($G788="","",K788+L788+M788)</f>
        <v/>
      </c>
      <c r="O788" s="365" t="str">
        <f>IF($G788="","",IFERROR(VLOOKUP($D788&amp;"|"&amp;$E788,科目表!$A$5:$B$200,2,FALSE),"※未登録"))</f>
        <v/>
      </c>
      <c r="P788" s="359" t="str">
        <f>IF(OR($G788="",$C788=""),"",IF($B788="決算整理",13,MOD(MONTH($C788)-4,12)+1))</f>
        <v/>
      </c>
      <c r="Q788" s="366" t="str">
        <f>IF($G788="","",TRIM(IF(J788+K788+L788+M788&lt;&gt;$G788,"按分不一致 ","")&amp;IF(O788="※未登録","科目未登録 ","")&amp;IF(OR($H788="",ISERROR(MATCH($H788,{1,2,3,4,5,6,7,8},0))),"経費区分? ","")&amp;IF($I788="","状態未設定 ","")&amp;IF(AND(OR($I788="確認済",$I788="未確認"),$B788="月例",OR($C788="",$C788&lt;DATE(年度+2018,4,1),$C788&gt;DATE(年度+2019,3,31))),"年度外の日付 ","")&amp;IF(AND(OR($I788="確認済",$I788="未確認"),O788="対象外"),"対象外の科目 ","")))</f>
        <v/>
      </c>
      <c r="R788" s="366" t="n"/>
    </row>
    <row r="789">
      <c r="A789" s="359" t="n"/>
      <c r="B789" s="360" t="n"/>
      <c r="C789" s="361" t="n"/>
      <c r="D789" s="362" t="n"/>
      <c r="E789" s="362" t="n"/>
      <c r="F789" s="362" t="n"/>
      <c r="G789" s="363" t="n"/>
      <c r="H789" s="360" t="n"/>
      <c r="I789" s="360" t="n"/>
      <c r="J789" s="364" t="str">
        <f>IF($G789="","",IF($H789=1,$G789-ROUND($G789*10/23,0)-2*ROUND($G789/23,0),IF($H789=2,$G789,0)))</f>
        <v/>
      </c>
      <c r="K789" s="364" t="str">
        <f>IF($G789="","",IF($H789=1,ROUND($G789*10/23,0),IF($H789=3,$G789-2*ROUND($G789/12,0),IF($H789=4,$G789,IF(OR($H789=5,$H789=7),ROUND($G789*10/11,0),0)))))</f>
        <v/>
      </c>
      <c r="L789" s="364" t="str">
        <f>IF($G789="","",IF($H789=1,ROUND($G789/23,0),IF($H789=3,ROUND($G789/12,0),IF($H789=5,$G789-ROUND($G789*10/11,0),IF($H789=8,$G789,0)))))</f>
        <v/>
      </c>
      <c r="M789" s="364" t="str">
        <f>IF($G789="","",IF($H789=1,ROUND($G789/23,0),IF($H789=3,ROUND($G789/12,0),IF($H789=6,$G789,IF($H789=7,$G789-ROUND($G789*10/11,0),0)))))</f>
        <v/>
      </c>
      <c r="N789" s="364" t="str">
        <f>IF($G789="","",K789+L789+M789)</f>
        <v/>
      </c>
      <c r="O789" s="365" t="str">
        <f>IF($G789="","",IFERROR(VLOOKUP($D789&amp;"|"&amp;$E789,科目表!$A$5:$B$200,2,FALSE),"※未登録"))</f>
        <v/>
      </c>
      <c r="P789" s="359" t="str">
        <f>IF(OR($G789="",$C789=""),"",IF($B789="決算整理",13,MOD(MONTH($C789)-4,12)+1))</f>
        <v/>
      </c>
      <c r="Q789" s="366" t="str">
        <f>IF($G789="","",TRIM(IF(J789+K789+L789+M789&lt;&gt;$G789,"按分不一致 ","")&amp;IF(O789="※未登録","科目未登録 ","")&amp;IF(OR($H789="",ISERROR(MATCH($H789,{1,2,3,4,5,6,7,8},0))),"経費区分? ","")&amp;IF($I789="","状態未設定 ","")&amp;IF(AND(OR($I789="確認済",$I789="未確認"),$B789="月例",OR($C789="",$C789&lt;DATE(年度+2018,4,1),$C789&gt;DATE(年度+2019,3,31))),"年度外の日付 ","")&amp;IF(AND(OR($I789="確認済",$I789="未確認"),O789="対象外"),"対象外の科目 ","")))</f>
        <v/>
      </c>
      <c r="R789" s="366" t="n"/>
    </row>
    <row r="790">
      <c r="A790" s="359" t="n"/>
      <c r="B790" s="360" t="n"/>
      <c r="C790" s="361" t="n"/>
      <c r="D790" s="362" t="n"/>
      <c r="E790" s="362" t="n"/>
      <c r="F790" s="362" t="n"/>
      <c r="G790" s="363" t="n"/>
      <c r="H790" s="360" t="n"/>
      <c r="I790" s="360" t="n"/>
      <c r="J790" s="364" t="str">
        <f>IF($G790="","",IF($H790=1,$G790-ROUND($G790*10/23,0)-2*ROUND($G790/23,0),IF($H790=2,$G790,0)))</f>
        <v/>
      </c>
      <c r="K790" s="364" t="str">
        <f>IF($G790="","",IF($H790=1,ROUND($G790*10/23,0),IF($H790=3,$G790-2*ROUND($G790/12,0),IF($H790=4,$G790,IF(OR($H790=5,$H790=7),ROUND($G790*10/11,0),0)))))</f>
        <v/>
      </c>
      <c r="L790" s="364" t="str">
        <f>IF($G790="","",IF($H790=1,ROUND($G790/23,0),IF($H790=3,ROUND($G790/12,0),IF($H790=5,$G790-ROUND($G790*10/11,0),IF($H790=8,$G790,0)))))</f>
        <v/>
      </c>
      <c r="M790" s="364" t="str">
        <f>IF($G790="","",IF($H790=1,ROUND($G790/23,0),IF($H790=3,ROUND($G790/12,0),IF($H790=6,$G790,IF($H790=7,$G790-ROUND($G790*10/11,0),0)))))</f>
        <v/>
      </c>
      <c r="N790" s="364" t="str">
        <f>IF($G790="","",K790+L790+M790)</f>
        <v/>
      </c>
      <c r="O790" s="365" t="str">
        <f>IF($G790="","",IFERROR(VLOOKUP($D790&amp;"|"&amp;$E790,科目表!$A$5:$B$200,2,FALSE),"※未登録"))</f>
        <v/>
      </c>
      <c r="P790" s="359" t="str">
        <f>IF(OR($G790="",$C790=""),"",IF($B790="決算整理",13,MOD(MONTH($C790)-4,12)+1))</f>
        <v/>
      </c>
      <c r="Q790" s="366" t="str">
        <f>IF($G790="","",TRIM(IF(J790+K790+L790+M790&lt;&gt;$G790,"按分不一致 ","")&amp;IF(O790="※未登録","科目未登録 ","")&amp;IF(OR($H790="",ISERROR(MATCH($H790,{1,2,3,4,5,6,7,8},0))),"経費区分? ","")&amp;IF($I790="","状態未設定 ","")&amp;IF(AND(OR($I790="確認済",$I790="未確認"),$B790="月例",OR($C790="",$C790&lt;DATE(年度+2018,4,1),$C790&gt;DATE(年度+2019,3,31))),"年度外の日付 ","")&amp;IF(AND(OR($I790="確認済",$I790="未確認"),O790="対象外"),"対象外の科目 ","")))</f>
        <v/>
      </c>
      <c r="R790" s="366" t="n"/>
    </row>
    <row r="791">
      <c r="A791" s="359" t="n"/>
      <c r="B791" s="360" t="n"/>
      <c r="C791" s="361" t="n"/>
      <c r="D791" s="362" t="n"/>
      <c r="E791" s="362" t="n"/>
      <c r="F791" s="362" t="n"/>
      <c r="G791" s="363" t="n"/>
      <c r="H791" s="360" t="n"/>
      <c r="I791" s="360" t="n"/>
      <c r="J791" s="364" t="str">
        <f>IF($G791="","",IF($H791=1,$G791-ROUND($G791*10/23,0)-2*ROUND($G791/23,0),IF($H791=2,$G791,0)))</f>
        <v/>
      </c>
      <c r="K791" s="364" t="str">
        <f>IF($G791="","",IF($H791=1,ROUND($G791*10/23,0),IF($H791=3,$G791-2*ROUND($G791/12,0),IF($H791=4,$G791,IF(OR($H791=5,$H791=7),ROUND($G791*10/11,0),0)))))</f>
        <v/>
      </c>
      <c r="L791" s="364" t="str">
        <f>IF($G791="","",IF($H791=1,ROUND($G791/23,0),IF($H791=3,ROUND($G791/12,0),IF($H791=5,$G791-ROUND($G791*10/11,0),IF($H791=8,$G791,0)))))</f>
        <v/>
      </c>
      <c r="M791" s="364" t="str">
        <f>IF($G791="","",IF($H791=1,ROUND($G791/23,0),IF($H791=3,ROUND($G791/12,0),IF($H791=6,$G791,IF($H791=7,$G791-ROUND($G791*10/11,0),0)))))</f>
        <v/>
      </c>
      <c r="N791" s="364" t="str">
        <f>IF($G791="","",K791+L791+M791)</f>
        <v/>
      </c>
      <c r="O791" s="365" t="str">
        <f>IF($G791="","",IFERROR(VLOOKUP($D791&amp;"|"&amp;$E791,科目表!$A$5:$B$200,2,FALSE),"※未登録"))</f>
        <v/>
      </c>
      <c r="P791" s="359" t="str">
        <f>IF(OR($G791="",$C791=""),"",IF($B791="決算整理",13,MOD(MONTH($C791)-4,12)+1))</f>
        <v/>
      </c>
      <c r="Q791" s="366" t="str">
        <f>IF($G791="","",TRIM(IF(J791+K791+L791+M791&lt;&gt;$G791,"按分不一致 ","")&amp;IF(O791="※未登録","科目未登録 ","")&amp;IF(OR($H791="",ISERROR(MATCH($H791,{1,2,3,4,5,6,7,8},0))),"経費区分? ","")&amp;IF($I791="","状態未設定 ","")&amp;IF(AND(OR($I791="確認済",$I791="未確認"),$B791="月例",OR($C791="",$C791&lt;DATE(年度+2018,4,1),$C791&gt;DATE(年度+2019,3,31))),"年度外の日付 ","")&amp;IF(AND(OR($I791="確認済",$I791="未確認"),O791="対象外"),"対象外の科目 ","")))</f>
        <v/>
      </c>
      <c r="R791" s="366" t="n"/>
    </row>
    <row r="792">
      <c r="A792" s="359" t="n"/>
      <c r="B792" s="360" t="n"/>
      <c r="C792" s="361" t="n"/>
      <c r="D792" s="362" t="n"/>
      <c r="E792" s="362" t="n"/>
      <c r="F792" s="362" t="n"/>
      <c r="G792" s="363" t="n"/>
      <c r="H792" s="360" t="n"/>
      <c r="I792" s="360" t="n"/>
      <c r="J792" s="364" t="str">
        <f>IF($G792="","",IF($H792=1,$G792-ROUND($G792*10/23,0)-2*ROUND($G792/23,0),IF($H792=2,$G792,0)))</f>
        <v/>
      </c>
      <c r="K792" s="364" t="str">
        <f>IF($G792="","",IF($H792=1,ROUND($G792*10/23,0),IF($H792=3,$G792-2*ROUND($G792/12,0),IF($H792=4,$G792,IF(OR($H792=5,$H792=7),ROUND($G792*10/11,0),0)))))</f>
        <v/>
      </c>
      <c r="L792" s="364" t="str">
        <f>IF($G792="","",IF($H792=1,ROUND($G792/23,0),IF($H792=3,ROUND($G792/12,0),IF($H792=5,$G792-ROUND($G792*10/11,0),IF($H792=8,$G792,0)))))</f>
        <v/>
      </c>
      <c r="M792" s="364" t="str">
        <f>IF($G792="","",IF($H792=1,ROUND($G792/23,0),IF($H792=3,ROUND($G792/12,0),IF($H792=6,$G792,IF($H792=7,$G792-ROUND($G792*10/11,0),0)))))</f>
        <v/>
      </c>
      <c r="N792" s="364" t="str">
        <f>IF($G792="","",K792+L792+M792)</f>
        <v/>
      </c>
      <c r="O792" s="365" t="str">
        <f>IF($G792="","",IFERROR(VLOOKUP($D792&amp;"|"&amp;$E792,科目表!$A$5:$B$200,2,FALSE),"※未登録"))</f>
        <v/>
      </c>
      <c r="P792" s="359" t="str">
        <f>IF(OR($G792="",$C792=""),"",IF($B792="決算整理",13,MOD(MONTH($C792)-4,12)+1))</f>
        <v/>
      </c>
      <c r="Q792" s="366" t="str">
        <f>IF($G792="","",TRIM(IF(J792+K792+L792+M792&lt;&gt;$G792,"按分不一致 ","")&amp;IF(O792="※未登録","科目未登録 ","")&amp;IF(OR($H792="",ISERROR(MATCH($H792,{1,2,3,4,5,6,7,8},0))),"経費区分? ","")&amp;IF($I792="","状態未設定 ","")&amp;IF(AND(OR($I792="確認済",$I792="未確認"),$B792="月例",OR($C792="",$C792&lt;DATE(年度+2018,4,1),$C792&gt;DATE(年度+2019,3,31))),"年度外の日付 ","")&amp;IF(AND(OR($I792="確認済",$I792="未確認"),O792="対象外"),"対象外の科目 ","")))</f>
        <v/>
      </c>
      <c r="R792" s="366" t="n"/>
    </row>
    <row r="793">
      <c r="A793" s="359" t="n"/>
      <c r="B793" s="360" t="n"/>
      <c r="C793" s="361" t="n"/>
      <c r="D793" s="362" t="n"/>
      <c r="E793" s="362" t="n"/>
      <c r="F793" s="362" t="n"/>
      <c r="G793" s="363" t="n"/>
      <c r="H793" s="360" t="n"/>
      <c r="I793" s="360" t="n"/>
      <c r="J793" s="364" t="str">
        <f>IF($G793="","",IF($H793=1,$G793-ROUND($G793*10/23,0)-2*ROUND($G793/23,0),IF($H793=2,$G793,0)))</f>
        <v/>
      </c>
      <c r="K793" s="364" t="str">
        <f>IF($G793="","",IF($H793=1,ROUND($G793*10/23,0),IF($H793=3,$G793-2*ROUND($G793/12,0),IF($H793=4,$G793,IF(OR($H793=5,$H793=7),ROUND($G793*10/11,0),0)))))</f>
        <v/>
      </c>
      <c r="L793" s="364" t="str">
        <f>IF($G793="","",IF($H793=1,ROUND($G793/23,0),IF($H793=3,ROUND($G793/12,0),IF($H793=5,$G793-ROUND($G793*10/11,0),IF($H793=8,$G793,0)))))</f>
        <v/>
      </c>
      <c r="M793" s="364" t="str">
        <f>IF($G793="","",IF($H793=1,ROUND($G793/23,0),IF($H793=3,ROUND($G793/12,0),IF($H793=6,$G793,IF($H793=7,$G793-ROUND($G793*10/11,0),0)))))</f>
        <v/>
      </c>
      <c r="N793" s="364" t="str">
        <f>IF($G793="","",K793+L793+M793)</f>
        <v/>
      </c>
      <c r="O793" s="365" t="str">
        <f>IF($G793="","",IFERROR(VLOOKUP($D793&amp;"|"&amp;$E793,科目表!$A$5:$B$200,2,FALSE),"※未登録"))</f>
        <v/>
      </c>
      <c r="P793" s="359" t="str">
        <f>IF(OR($G793="",$C793=""),"",IF($B793="決算整理",13,MOD(MONTH($C793)-4,12)+1))</f>
        <v/>
      </c>
      <c r="Q793" s="366" t="str">
        <f>IF($G793="","",TRIM(IF(J793+K793+L793+M793&lt;&gt;$G793,"按分不一致 ","")&amp;IF(O793="※未登録","科目未登録 ","")&amp;IF(OR($H793="",ISERROR(MATCH($H793,{1,2,3,4,5,6,7,8},0))),"経費区分? ","")&amp;IF($I793="","状態未設定 ","")&amp;IF(AND(OR($I793="確認済",$I793="未確認"),$B793="月例",OR($C793="",$C793&lt;DATE(年度+2018,4,1),$C793&gt;DATE(年度+2019,3,31))),"年度外の日付 ","")&amp;IF(AND(OR($I793="確認済",$I793="未確認"),O793="対象外"),"対象外の科目 ","")))</f>
        <v/>
      </c>
      <c r="R793" s="366" t="n"/>
    </row>
    <row r="794">
      <c r="A794" s="359" t="n"/>
      <c r="B794" s="360" t="n"/>
      <c r="C794" s="361" t="n"/>
      <c r="D794" s="362" t="n"/>
      <c r="E794" s="362" t="n"/>
      <c r="F794" s="362" t="n"/>
      <c r="G794" s="363" t="n"/>
      <c r="H794" s="360" t="n"/>
      <c r="I794" s="360" t="n"/>
      <c r="J794" s="364" t="str">
        <f>IF($G794="","",IF($H794=1,$G794-ROUND($G794*10/23,0)-2*ROUND($G794/23,0),IF($H794=2,$G794,0)))</f>
        <v/>
      </c>
      <c r="K794" s="364" t="str">
        <f>IF($G794="","",IF($H794=1,ROUND($G794*10/23,0),IF($H794=3,$G794-2*ROUND($G794/12,0),IF($H794=4,$G794,IF(OR($H794=5,$H794=7),ROUND($G794*10/11,0),0)))))</f>
        <v/>
      </c>
      <c r="L794" s="364" t="str">
        <f>IF($G794="","",IF($H794=1,ROUND($G794/23,0),IF($H794=3,ROUND($G794/12,0),IF($H794=5,$G794-ROUND($G794*10/11,0),IF($H794=8,$G794,0)))))</f>
        <v/>
      </c>
      <c r="M794" s="364" t="str">
        <f>IF($G794="","",IF($H794=1,ROUND($G794/23,0),IF($H794=3,ROUND($G794/12,0),IF($H794=6,$G794,IF($H794=7,$G794-ROUND($G794*10/11,0),0)))))</f>
        <v/>
      </c>
      <c r="N794" s="364" t="str">
        <f>IF($G794="","",K794+L794+M794)</f>
        <v/>
      </c>
      <c r="O794" s="365" t="str">
        <f>IF($G794="","",IFERROR(VLOOKUP($D794&amp;"|"&amp;$E794,科目表!$A$5:$B$200,2,FALSE),"※未登録"))</f>
        <v/>
      </c>
      <c r="P794" s="359" t="str">
        <f>IF(OR($G794="",$C794=""),"",IF($B794="決算整理",13,MOD(MONTH($C794)-4,12)+1))</f>
        <v/>
      </c>
      <c r="Q794" s="366" t="str">
        <f>IF($G794="","",TRIM(IF(J794+K794+L794+M794&lt;&gt;$G794,"按分不一致 ","")&amp;IF(O794="※未登録","科目未登録 ","")&amp;IF(OR($H794="",ISERROR(MATCH($H794,{1,2,3,4,5,6,7,8},0))),"経費区分? ","")&amp;IF($I794="","状態未設定 ","")&amp;IF(AND(OR($I794="確認済",$I794="未確認"),$B794="月例",OR($C794="",$C794&lt;DATE(年度+2018,4,1),$C794&gt;DATE(年度+2019,3,31))),"年度外の日付 ","")&amp;IF(AND(OR($I794="確認済",$I794="未確認"),O794="対象外"),"対象外の科目 ","")))</f>
        <v/>
      </c>
      <c r="R794" s="366" t="n"/>
    </row>
    <row r="795">
      <c r="A795" s="359" t="n"/>
      <c r="B795" s="360" t="n"/>
      <c r="C795" s="361" t="n"/>
      <c r="D795" s="362" t="n"/>
      <c r="E795" s="362" t="n"/>
      <c r="F795" s="362" t="n"/>
      <c r="G795" s="363" t="n"/>
      <c r="H795" s="360" t="n"/>
      <c r="I795" s="360" t="n"/>
      <c r="J795" s="364" t="str">
        <f>IF($G795="","",IF($H795=1,$G795-ROUND($G795*10/23,0)-2*ROUND($G795/23,0),IF($H795=2,$G795,0)))</f>
        <v/>
      </c>
      <c r="K795" s="364" t="str">
        <f>IF($G795="","",IF($H795=1,ROUND($G795*10/23,0),IF($H795=3,$G795-2*ROUND($G795/12,0),IF($H795=4,$G795,IF(OR($H795=5,$H795=7),ROUND($G795*10/11,0),0)))))</f>
        <v/>
      </c>
      <c r="L795" s="364" t="str">
        <f>IF($G795="","",IF($H795=1,ROUND($G795/23,0),IF($H795=3,ROUND($G795/12,0),IF($H795=5,$G795-ROUND($G795*10/11,0),IF($H795=8,$G795,0)))))</f>
        <v/>
      </c>
      <c r="M795" s="364" t="str">
        <f>IF($G795="","",IF($H795=1,ROUND($G795/23,0),IF($H795=3,ROUND($G795/12,0),IF($H795=6,$G795,IF($H795=7,$G795-ROUND($G795*10/11,0),0)))))</f>
        <v/>
      </c>
      <c r="N795" s="364" t="str">
        <f>IF($G795="","",K795+L795+M795)</f>
        <v/>
      </c>
      <c r="O795" s="365" t="str">
        <f>IF($G795="","",IFERROR(VLOOKUP($D795&amp;"|"&amp;$E795,科目表!$A$5:$B$200,2,FALSE),"※未登録"))</f>
        <v/>
      </c>
      <c r="P795" s="359" t="str">
        <f>IF(OR($G795="",$C795=""),"",IF($B795="決算整理",13,MOD(MONTH($C795)-4,12)+1))</f>
        <v/>
      </c>
      <c r="Q795" s="366" t="str">
        <f>IF($G795="","",TRIM(IF(J795+K795+L795+M795&lt;&gt;$G795,"按分不一致 ","")&amp;IF(O795="※未登録","科目未登録 ","")&amp;IF(OR($H795="",ISERROR(MATCH($H795,{1,2,3,4,5,6,7,8},0))),"経費区分? ","")&amp;IF($I795="","状態未設定 ","")&amp;IF(AND(OR($I795="確認済",$I795="未確認"),$B795="月例",OR($C795="",$C795&lt;DATE(年度+2018,4,1),$C795&gt;DATE(年度+2019,3,31))),"年度外の日付 ","")&amp;IF(AND(OR($I795="確認済",$I795="未確認"),O795="対象外"),"対象外の科目 ","")))</f>
        <v/>
      </c>
      <c r="R795" s="366" t="n"/>
    </row>
    <row r="796">
      <c r="A796" s="359" t="n"/>
      <c r="B796" s="360" t="n"/>
      <c r="C796" s="361" t="n"/>
      <c r="D796" s="362" t="n"/>
      <c r="E796" s="362" t="n"/>
      <c r="F796" s="362" t="n"/>
      <c r="G796" s="363" t="n"/>
      <c r="H796" s="360" t="n"/>
      <c r="I796" s="360" t="n"/>
      <c r="J796" s="364" t="str">
        <f>IF($G796="","",IF($H796=1,$G796-ROUND($G796*10/23,0)-2*ROUND($G796/23,0),IF($H796=2,$G796,0)))</f>
        <v/>
      </c>
      <c r="K796" s="364" t="str">
        <f>IF($G796="","",IF($H796=1,ROUND($G796*10/23,0),IF($H796=3,$G796-2*ROUND($G796/12,0),IF($H796=4,$G796,IF(OR($H796=5,$H796=7),ROUND($G796*10/11,0),0)))))</f>
        <v/>
      </c>
      <c r="L796" s="364" t="str">
        <f>IF($G796="","",IF($H796=1,ROUND($G796/23,0),IF($H796=3,ROUND($G796/12,0),IF($H796=5,$G796-ROUND($G796*10/11,0),IF($H796=8,$G796,0)))))</f>
        <v/>
      </c>
      <c r="M796" s="364" t="str">
        <f>IF($G796="","",IF($H796=1,ROUND($G796/23,0),IF($H796=3,ROUND($G796/12,0),IF($H796=6,$G796,IF($H796=7,$G796-ROUND($G796*10/11,0),0)))))</f>
        <v/>
      </c>
      <c r="N796" s="364" t="str">
        <f>IF($G796="","",K796+L796+M796)</f>
        <v/>
      </c>
      <c r="O796" s="365" t="str">
        <f>IF($G796="","",IFERROR(VLOOKUP($D796&amp;"|"&amp;$E796,科目表!$A$5:$B$200,2,FALSE),"※未登録"))</f>
        <v/>
      </c>
      <c r="P796" s="359" t="str">
        <f>IF(OR($G796="",$C796=""),"",IF($B796="決算整理",13,MOD(MONTH($C796)-4,12)+1))</f>
        <v/>
      </c>
      <c r="Q796" s="366" t="str">
        <f>IF($G796="","",TRIM(IF(J796+K796+L796+M796&lt;&gt;$G796,"按分不一致 ","")&amp;IF(O796="※未登録","科目未登録 ","")&amp;IF(OR($H796="",ISERROR(MATCH($H796,{1,2,3,4,5,6,7,8},0))),"経費区分? ","")&amp;IF($I796="","状態未設定 ","")&amp;IF(AND(OR($I796="確認済",$I796="未確認"),$B796="月例",OR($C796="",$C796&lt;DATE(年度+2018,4,1),$C796&gt;DATE(年度+2019,3,31))),"年度外の日付 ","")&amp;IF(AND(OR($I796="確認済",$I796="未確認"),O796="対象外"),"対象外の科目 ","")))</f>
        <v/>
      </c>
      <c r="R796" s="366" t="n"/>
    </row>
    <row r="797">
      <c r="A797" s="359" t="n"/>
      <c r="B797" s="360" t="n"/>
      <c r="C797" s="361" t="n"/>
      <c r="D797" s="362" t="n"/>
      <c r="E797" s="362" t="n"/>
      <c r="F797" s="362" t="n"/>
      <c r="G797" s="363" t="n"/>
      <c r="H797" s="360" t="n"/>
      <c r="I797" s="360" t="n"/>
      <c r="J797" s="364" t="str">
        <f>IF($G797="","",IF($H797=1,$G797-ROUND($G797*10/23,0)-2*ROUND($G797/23,0),IF($H797=2,$G797,0)))</f>
        <v/>
      </c>
      <c r="K797" s="364" t="str">
        <f>IF($G797="","",IF($H797=1,ROUND($G797*10/23,0),IF($H797=3,$G797-2*ROUND($G797/12,0),IF($H797=4,$G797,IF(OR($H797=5,$H797=7),ROUND($G797*10/11,0),0)))))</f>
        <v/>
      </c>
      <c r="L797" s="364" t="str">
        <f>IF($G797="","",IF($H797=1,ROUND($G797/23,0),IF($H797=3,ROUND($G797/12,0),IF($H797=5,$G797-ROUND($G797*10/11,0),IF($H797=8,$G797,0)))))</f>
        <v/>
      </c>
      <c r="M797" s="364" t="str">
        <f>IF($G797="","",IF($H797=1,ROUND($G797/23,0),IF($H797=3,ROUND($G797/12,0),IF($H797=6,$G797,IF($H797=7,$G797-ROUND($G797*10/11,0),0)))))</f>
        <v/>
      </c>
      <c r="N797" s="364" t="str">
        <f>IF($G797="","",K797+L797+M797)</f>
        <v/>
      </c>
      <c r="O797" s="365" t="str">
        <f>IF($G797="","",IFERROR(VLOOKUP($D797&amp;"|"&amp;$E797,科目表!$A$5:$B$200,2,FALSE),"※未登録"))</f>
        <v/>
      </c>
      <c r="P797" s="359" t="str">
        <f>IF(OR($G797="",$C797=""),"",IF($B797="決算整理",13,MOD(MONTH($C797)-4,12)+1))</f>
        <v/>
      </c>
      <c r="Q797" s="366" t="str">
        <f>IF($G797="","",TRIM(IF(J797+K797+L797+M797&lt;&gt;$G797,"按分不一致 ","")&amp;IF(O797="※未登録","科目未登録 ","")&amp;IF(OR($H797="",ISERROR(MATCH($H797,{1,2,3,4,5,6,7,8},0))),"経費区分? ","")&amp;IF($I797="","状態未設定 ","")&amp;IF(AND(OR($I797="確認済",$I797="未確認"),$B797="月例",OR($C797="",$C797&lt;DATE(年度+2018,4,1),$C797&gt;DATE(年度+2019,3,31))),"年度外の日付 ","")&amp;IF(AND(OR($I797="確認済",$I797="未確認"),O797="対象外"),"対象外の科目 ","")))</f>
        <v/>
      </c>
      <c r="R797" s="366" t="n"/>
    </row>
    <row r="798">
      <c r="A798" s="359" t="n"/>
      <c r="B798" s="360" t="n"/>
      <c r="C798" s="361" t="n"/>
      <c r="D798" s="362" t="n"/>
      <c r="E798" s="362" t="n"/>
      <c r="F798" s="362" t="n"/>
      <c r="G798" s="363" t="n"/>
      <c r="H798" s="360" t="n"/>
      <c r="I798" s="360" t="n"/>
      <c r="J798" s="364" t="str">
        <f>IF($G798="","",IF($H798=1,$G798-ROUND($G798*10/23,0)-2*ROUND($G798/23,0),IF($H798=2,$G798,0)))</f>
        <v/>
      </c>
      <c r="K798" s="364" t="str">
        <f>IF($G798="","",IF($H798=1,ROUND($G798*10/23,0),IF($H798=3,$G798-2*ROUND($G798/12,0),IF($H798=4,$G798,IF(OR($H798=5,$H798=7),ROUND($G798*10/11,0),0)))))</f>
        <v/>
      </c>
      <c r="L798" s="364" t="str">
        <f>IF($G798="","",IF($H798=1,ROUND($G798/23,0),IF($H798=3,ROUND($G798/12,0),IF($H798=5,$G798-ROUND($G798*10/11,0),IF($H798=8,$G798,0)))))</f>
        <v/>
      </c>
      <c r="M798" s="364" t="str">
        <f>IF($G798="","",IF($H798=1,ROUND($G798/23,0),IF($H798=3,ROUND($G798/12,0),IF($H798=6,$G798,IF($H798=7,$G798-ROUND($G798*10/11,0),0)))))</f>
        <v/>
      </c>
      <c r="N798" s="364" t="str">
        <f>IF($G798="","",K798+L798+M798)</f>
        <v/>
      </c>
      <c r="O798" s="365" t="str">
        <f>IF($G798="","",IFERROR(VLOOKUP($D798&amp;"|"&amp;$E798,科目表!$A$5:$B$200,2,FALSE),"※未登録"))</f>
        <v/>
      </c>
      <c r="P798" s="359" t="str">
        <f>IF(OR($G798="",$C798=""),"",IF($B798="決算整理",13,MOD(MONTH($C798)-4,12)+1))</f>
        <v/>
      </c>
      <c r="Q798" s="366" t="str">
        <f>IF($G798="","",TRIM(IF(J798+K798+L798+M798&lt;&gt;$G798,"按分不一致 ","")&amp;IF(O798="※未登録","科目未登録 ","")&amp;IF(OR($H798="",ISERROR(MATCH($H798,{1,2,3,4,5,6,7,8},0))),"経費区分? ","")&amp;IF($I798="","状態未設定 ","")&amp;IF(AND(OR($I798="確認済",$I798="未確認"),$B798="月例",OR($C798="",$C798&lt;DATE(年度+2018,4,1),$C798&gt;DATE(年度+2019,3,31))),"年度外の日付 ","")&amp;IF(AND(OR($I798="確認済",$I798="未確認"),O798="対象外"),"対象外の科目 ","")))</f>
        <v/>
      </c>
      <c r="R798" s="366" t="n"/>
    </row>
    <row r="799">
      <c r="A799" s="359" t="n"/>
      <c r="B799" s="360" t="n"/>
      <c r="C799" s="361" t="n"/>
      <c r="D799" s="362" t="n"/>
      <c r="E799" s="362" t="n"/>
      <c r="F799" s="362" t="n"/>
      <c r="G799" s="363" t="n"/>
      <c r="H799" s="360" t="n"/>
      <c r="I799" s="360" t="n"/>
      <c r="J799" s="364" t="str">
        <f>IF($G799="","",IF($H799=1,$G799-ROUND($G799*10/23,0)-2*ROUND($G799/23,0),IF($H799=2,$G799,0)))</f>
        <v/>
      </c>
      <c r="K799" s="364" t="str">
        <f>IF($G799="","",IF($H799=1,ROUND($G799*10/23,0),IF($H799=3,$G799-2*ROUND($G799/12,0),IF($H799=4,$G799,IF(OR($H799=5,$H799=7),ROUND($G799*10/11,0),0)))))</f>
        <v/>
      </c>
      <c r="L799" s="364" t="str">
        <f>IF($G799="","",IF($H799=1,ROUND($G799/23,0),IF($H799=3,ROUND($G799/12,0),IF($H799=5,$G799-ROUND($G799*10/11,0),IF($H799=8,$G799,0)))))</f>
        <v/>
      </c>
      <c r="M799" s="364" t="str">
        <f>IF($G799="","",IF($H799=1,ROUND($G799/23,0),IF($H799=3,ROUND($G799/12,0),IF($H799=6,$G799,IF($H799=7,$G799-ROUND($G799*10/11,0),0)))))</f>
        <v/>
      </c>
      <c r="N799" s="364" t="str">
        <f>IF($G799="","",K799+L799+M799)</f>
        <v/>
      </c>
      <c r="O799" s="365" t="str">
        <f>IF($G799="","",IFERROR(VLOOKUP($D799&amp;"|"&amp;$E799,科目表!$A$5:$B$200,2,FALSE),"※未登録"))</f>
        <v/>
      </c>
      <c r="P799" s="359" t="str">
        <f>IF(OR($G799="",$C799=""),"",IF($B799="決算整理",13,MOD(MONTH($C799)-4,12)+1))</f>
        <v/>
      </c>
      <c r="Q799" s="366" t="str">
        <f>IF($G799="","",TRIM(IF(J799+K799+L799+M799&lt;&gt;$G799,"按分不一致 ","")&amp;IF(O799="※未登録","科目未登録 ","")&amp;IF(OR($H799="",ISERROR(MATCH($H799,{1,2,3,4,5,6,7,8},0))),"経費区分? ","")&amp;IF($I799="","状態未設定 ","")&amp;IF(AND(OR($I799="確認済",$I799="未確認"),$B799="月例",OR($C799="",$C799&lt;DATE(年度+2018,4,1),$C799&gt;DATE(年度+2019,3,31))),"年度外の日付 ","")&amp;IF(AND(OR($I799="確認済",$I799="未確認"),O799="対象外"),"対象外の科目 ","")))</f>
        <v/>
      </c>
      <c r="R799" s="366" t="n"/>
    </row>
    <row r="800">
      <c r="A800" s="359" t="n"/>
      <c r="B800" s="360" t="n"/>
      <c r="C800" s="361" t="n"/>
      <c r="D800" s="362" t="n"/>
      <c r="E800" s="362" t="n"/>
      <c r="F800" s="362" t="n"/>
      <c r="G800" s="363" t="n"/>
      <c r="H800" s="360" t="n"/>
      <c r="I800" s="360" t="n"/>
      <c r="J800" s="364" t="str">
        <f>IF($G800="","",IF($H800=1,$G800-ROUND($G800*10/23,0)-2*ROUND($G800/23,0),IF($H800=2,$G800,0)))</f>
        <v/>
      </c>
      <c r="K800" s="364" t="str">
        <f>IF($G800="","",IF($H800=1,ROUND($G800*10/23,0),IF($H800=3,$G800-2*ROUND($G800/12,0),IF($H800=4,$G800,IF(OR($H800=5,$H800=7),ROUND($G800*10/11,0),0)))))</f>
        <v/>
      </c>
      <c r="L800" s="364" t="str">
        <f>IF($G800="","",IF($H800=1,ROUND($G800/23,0),IF($H800=3,ROUND($G800/12,0),IF($H800=5,$G800-ROUND($G800*10/11,0),IF($H800=8,$G800,0)))))</f>
        <v/>
      </c>
      <c r="M800" s="364" t="str">
        <f>IF($G800="","",IF($H800=1,ROUND($G800/23,0),IF($H800=3,ROUND($G800/12,0),IF($H800=6,$G800,IF($H800=7,$G800-ROUND($G800*10/11,0),0)))))</f>
        <v/>
      </c>
      <c r="N800" s="364" t="str">
        <f>IF($G800="","",K800+L800+M800)</f>
        <v/>
      </c>
      <c r="O800" s="365" t="str">
        <f>IF($G800="","",IFERROR(VLOOKUP($D800&amp;"|"&amp;$E800,科目表!$A$5:$B$200,2,FALSE),"※未登録"))</f>
        <v/>
      </c>
      <c r="P800" s="359" t="str">
        <f>IF(OR($G800="",$C800=""),"",IF($B800="決算整理",13,MOD(MONTH($C800)-4,12)+1))</f>
        <v/>
      </c>
      <c r="Q800" s="366" t="str">
        <f>IF($G800="","",TRIM(IF(J800+K800+L800+M800&lt;&gt;$G800,"按分不一致 ","")&amp;IF(O800="※未登録","科目未登録 ","")&amp;IF(OR($H800="",ISERROR(MATCH($H800,{1,2,3,4,5,6,7,8},0))),"経費区分? ","")&amp;IF($I800="","状態未設定 ","")&amp;IF(AND(OR($I800="確認済",$I800="未確認"),$B800="月例",OR($C800="",$C800&lt;DATE(年度+2018,4,1),$C800&gt;DATE(年度+2019,3,31))),"年度外の日付 ","")&amp;IF(AND(OR($I800="確認済",$I800="未確認"),O800="対象外"),"対象外の科目 ","")))</f>
        <v/>
      </c>
      <c r="R800" s="366" t="n"/>
    </row>
    <row r="801">
      <c r="A801" s="359" t="n"/>
      <c r="B801" s="360" t="n"/>
      <c r="C801" s="361" t="n"/>
      <c r="D801" s="362" t="n"/>
      <c r="E801" s="362" t="n"/>
      <c r="F801" s="362" t="n"/>
      <c r="G801" s="363" t="n"/>
      <c r="H801" s="360" t="n"/>
      <c r="I801" s="360" t="n"/>
      <c r="J801" s="364" t="str">
        <f>IF($G801="","",IF($H801=1,$G801-ROUND($G801*10/23,0)-2*ROUND($G801/23,0),IF($H801=2,$G801,0)))</f>
        <v/>
      </c>
      <c r="K801" s="364" t="str">
        <f>IF($G801="","",IF($H801=1,ROUND($G801*10/23,0),IF($H801=3,$G801-2*ROUND($G801/12,0),IF($H801=4,$G801,IF(OR($H801=5,$H801=7),ROUND($G801*10/11,0),0)))))</f>
        <v/>
      </c>
      <c r="L801" s="364" t="str">
        <f>IF($G801="","",IF($H801=1,ROUND($G801/23,0),IF($H801=3,ROUND($G801/12,0),IF($H801=5,$G801-ROUND($G801*10/11,0),IF($H801=8,$G801,0)))))</f>
        <v/>
      </c>
      <c r="M801" s="364" t="str">
        <f>IF($G801="","",IF($H801=1,ROUND($G801/23,0),IF($H801=3,ROUND($G801/12,0),IF($H801=6,$G801,IF($H801=7,$G801-ROUND($G801*10/11,0),0)))))</f>
        <v/>
      </c>
      <c r="N801" s="364" t="str">
        <f>IF($G801="","",K801+L801+M801)</f>
        <v/>
      </c>
      <c r="O801" s="365" t="str">
        <f>IF($G801="","",IFERROR(VLOOKUP($D801&amp;"|"&amp;$E801,科目表!$A$5:$B$200,2,FALSE),"※未登録"))</f>
        <v/>
      </c>
      <c r="P801" s="359" t="str">
        <f>IF(OR($G801="",$C801=""),"",IF($B801="決算整理",13,MOD(MONTH($C801)-4,12)+1))</f>
        <v/>
      </c>
      <c r="Q801" s="366" t="str">
        <f>IF($G801="","",TRIM(IF(J801+K801+L801+M801&lt;&gt;$G801,"按分不一致 ","")&amp;IF(O801="※未登録","科目未登録 ","")&amp;IF(OR($H801="",ISERROR(MATCH($H801,{1,2,3,4,5,6,7,8},0))),"経費区分? ","")&amp;IF($I801="","状態未設定 ","")&amp;IF(AND(OR($I801="確認済",$I801="未確認"),$B801="月例",OR($C801="",$C801&lt;DATE(年度+2018,4,1),$C801&gt;DATE(年度+2019,3,31))),"年度外の日付 ","")&amp;IF(AND(OR($I801="確認済",$I801="未確認"),O801="対象外"),"対象外の科目 ","")))</f>
        <v/>
      </c>
      <c r="R801" s="366" t="n"/>
    </row>
    <row r="802">
      <c r="A802" s="359" t="n"/>
      <c r="B802" s="360" t="n"/>
      <c r="C802" s="361" t="n"/>
      <c r="D802" s="362" t="n"/>
      <c r="E802" s="362" t="n"/>
      <c r="F802" s="362" t="n"/>
      <c r="G802" s="363" t="n"/>
      <c r="H802" s="360" t="n"/>
      <c r="I802" s="360" t="n"/>
      <c r="J802" s="364" t="str">
        <f>IF($G802="","",IF($H802=1,$G802-ROUND($G802*10/23,0)-2*ROUND($G802/23,0),IF($H802=2,$G802,0)))</f>
        <v/>
      </c>
      <c r="K802" s="364" t="str">
        <f>IF($G802="","",IF($H802=1,ROUND($G802*10/23,0),IF($H802=3,$G802-2*ROUND($G802/12,0),IF($H802=4,$G802,IF(OR($H802=5,$H802=7),ROUND($G802*10/11,0),0)))))</f>
        <v/>
      </c>
      <c r="L802" s="364" t="str">
        <f>IF($G802="","",IF($H802=1,ROUND($G802/23,0),IF($H802=3,ROUND($G802/12,0),IF($H802=5,$G802-ROUND($G802*10/11,0),IF($H802=8,$G802,0)))))</f>
        <v/>
      </c>
      <c r="M802" s="364" t="str">
        <f>IF($G802="","",IF($H802=1,ROUND($G802/23,0),IF($H802=3,ROUND($G802/12,0),IF($H802=6,$G802,IF($H802=7,$G802-ROUND($G802*10/11,0),0)))))</f>
        <v/>
      </c>
      <c r="N802" s="364" t="str">
        <f>IF($G802="","",K802+L802+M802)</f>
        <v/>
      </c>
      <c r="O802" s="365" t="str">
        <f>IF($G802="","",IFERROR(VLOOKUP($D802&amp;"|"&amp;$E802,科目表!$A$5:$B$200,2,FALSE),"※未登録"))</f>
        <v/>
      </c>
      <c r="P802" s="359" t="str">
        <f>IF(OR($G802="",$C802=""),"",IF($B802="決算整理",13,MOD(MONTH($C802)-4,12)+1))</f>
        <v/>
      </c>
      <c r="Q802" s="366" t="str">
        <f>IF($G802="","",TRIM(IF(J802+K802+L802+M802&lt;&gt;$G802,"按分不一致 ","")&amp;IF(O802="※未登録","科目未登録 ","")&amp;IF(OR($H802="",ISERROR(MATCH($H802,{1,2,3,4,5,6,7,8},0))),"経費区分? ","")&amp;IF($I802="","状態未設定 ","")&amp;IF(AND(OR($I802="確認済",$I802="未確認"),$B802="月例",OR($C802="",$C802&lt;DATE(年度+2018,4,1),$C802&gt;DATE(年度+2019,3,31))),"年度外の日付 ","")&amp;IF(AND(OR($I802="確認済",$I802="未確認"),O802="対象外"),"対象外の科目 ","")))</f>
        <v/>
      </c>
      <c r="R802" s="366" t="n"/>
    </row>
    <row r="803">
      <c r="A803" s="359" t="n"/>
      <c r="B803" s="360" t="n"/>
      <c r="C803" s="361" t="n"/>
      <c r="D803" s="362" t="n"/>
      <c r="E803" s="362" t="n"/>
      <c r="F803" s="362" t="n"/>
      <c r="G803" s="363" t="n"/>
      <c r="H803" s="360" t="n"/>
      <c r="I803" s="360" t="n"/>
      <c r="J803" s="364" t="str">
        <f>IF($G803="","",IF($H803=1,$G803-ROUND($G803*10/23,0)-2*ROUND($G803/23,0),IF($H803=2,$G803,0)))</f>
        <v/>
      </c>
      <c r="K803" s="364" t="str">
        <f>IF($G803="","",IF($H803=1,ROUND($G803*10/23,0),IF($H803=3,$G803-2*ROUND($G803/12,0),IF($H803=4,$G803,IF(OR($H803=5,$H803=7),ROUND($G803*10/11,0),0)))))</f>
        <v/>
      </c>
      <c r="L803" s="364" t="str">
        <f>IF($G803="","",IF($H803=1,ROUND($G803/23,0),IF($H803=3,ROUND($G803/12,0),IF($H803=5,$G803-ROUND($G803*10/11,0),IF($H803=8,$G803,0)))))</f>
        <v/>
      </c>
      <c r="M803" s="364" t="str">
        <f>IF($G803="","",IF($H803=1,ROUND($G803/23,0),IF($H803=3,ROUND($G803/12,0),IF($H803=6,$G803,IF($H803=7,$G803-ROUND($G803*10/11,0),0)))))</f>
        <v/>
      </c>
      <c r="N803" s="364" t="str">
        <f>IF($G803="","",K803+L803+M803)</f>
        <v/>
      </c>
      <c r="O803" s="365" t="str">
        <f>IF($G803="","",IFERROR(VLOOKUP($D803&amp;"|"&amp;$E803,科目表!$A$5:$B$200,2,FALSE),"※未登録"))</f>
        <v/>
      </c>
      <c r="P803" s="359" t="str">
        <f>IF(OR($G803="",$C803=""),"",IF($B803="決算整理",13,MOD(MONTH($C803)-4,12)+1))</f>
        <v/>
      </c>
      <c r="Q803" s="366" t="str">
        <f>IF($G803="","",TRIM(IF(J803+K803+L803+M803&lt;&gt;$G803,"按分不一致 ","")&amp;IF(O803="※未登録","科目未登録 ","")&amp;IF(OR($H803="",ISERROR(MATCH($H803,{1,2,3,4,5,6,7,8},0))),"経費区分? ","")&amp;IF($I803="","状態未設定 ","")&amp;IF(AND(OR($I803="確認済",$I803="未確認"),$B803="月例",OR($C803="",$C803&lt;DATE(年度+2018,4,1),$C803&gt;DATE(年度+2019,3,31))),"年度外の日付 ","")&amp;IF(AND(OR($I803="確認済",$I803="未確認"),O803="対象外"),"対象外の科目 ","")))</f>
        <v/>
      </c>
      <c r="R803" s="366" t="n"/>
    </row>
    <row r="804">
      <c r="A804" s="359" t="n"/>
      <c r="B804" s="360" t="n"/>
      <c r="C804" s="361" t="n"/>
      <c r="D804" s="362" t="n"/>
      <c r="E804" s="362" t="n"/>
      <c r="F804" s="362" t="n"/>
      <c r="G804" s="363" t="n"/>
      <c r="H804" s="360" t="n"/>
      <c r="I804" s="360" t="n"/>
      <c r="J804" s="364" t="str">
        <f>IF($G804="","",IF($H804=1,$G804-ROUND($G804*10/23,0)-2*ROUND($G804/23,0),IF($H804=2,$G804,0)))</f>
        <v/>
      </c>
      <c r="K804" s="364" t="str">
        <f>IF($G804="","",IF($H804=1,ROUND($G804*10/23,0),IF($H804=3,$G804-2*ROUND($G804/12,0),IF($H804=4,$G804,IF(OR($H804=5,$H804=7),ROUND($G804*10/11,0),0)))))</f>
        <v/>
      </c>
      <c r="L804" s="364" t="str">
        <f>IF($G804="","",IF($H804=1,ROUND($G804/23,0),IF($H804=3,ROUND($G804/12,0),IF($H804=5,$G804-ROUND($G804*10/11,0),IF($H804=8,$G804,0)))))</f>
        <v/>
      </c>
      <c r="M804" s="364" t="str">
        <f>IF($G804="","",IF($H804=1,ROUND($G804/23,0),IF($H804=3,ROUND($G804/12,0),IF($H804=6,$G804,IF($H804=7,$G804-ROUND($G804*10/11,0),0)))))</f>
        <v/>
      </c>
      <c r="N804" s="364" t="str">
        <f>IF($G804="","",K804+L804+M804)</f>
        <v/>
      </c>
      <c r="O804" s="365" t="str">
        <f>IF($G804="","",IFERROR(VLOOKUP($D804&amp;"|"&amp;$E804,科目表!$A$5:$B$200,2,FALSE),"※未登録"))</f>
        <v/>
      </c>
      <c r="P804" s="359" t="str">
        <f>IF(OR($G804="",$C804=""),"",IF($B804="決算整理",13,MOD(MONTH($C804)-4,12)+1))</f>
        <v/>
      </c>
      <c r="Q804" s="366" t="str">
        <f>IF($G804="","",TRIM(IF(J804+K804+L804+M804&lt;&gt;$G804,"按分不一致 ","")&amp;IF(O804="※未登録","科目未登録 ","")&amp;IF(OR($H804="",ISERROR(MATCH($H804,{1,2,3,4,5,6,7,8},0))),"経費区分? ","")&amp;IF($I804="","状態未設定 ","")&amp;IF(AND(OR($I804="確認済",$I804="未確認"),$B804="月例",OR($C804="",$C804&lt;DATE(年度+2018,4,1),$C804&gt;DATE(年度+2019,3,31))),"年度外の日付 ","")&amp;IF(AND(OR($I804="確認済",$I804="未確認"),O804="対象外"),"対象外の科目 ","")))</f>
        <v/>
      </c>
      <c r="R804" s="366" t="n"/>
    </row>
    <row r="805">
      <c r="A805" s="359" t="n"/>
      <c r="B805" s="360" t="n"/>
      <c r="C805" s="361" t="n"/>
      <c r="D805" s="362" t="n"/>
      <c r="E805" s="362" t="n"/>
      <c r="F805" s="362" t="n"/>
      <c r="G805" s="363" t="n"/>
      <c r="H805" s="360" t="n"/>
      <c r="I805" s="360" t="n"/>
      <c r="J805" s="364" t="str">
        <f>IF($G805="","",IF($H805=1,$G805-ROUND($G805*10/23,0)-2*ROUND($G805/23,0),IF($H805=2,$G805,0)))</f>
        <v/>
      </c>
      <c r="K805" s="364" t="str">
        <f>IF($G805="","",IF($H805=1,ROUND($G805*10/23,0),IF($H805=3,$G805-2*ROUND($G805/12,0),IF($H805=4,$G805,IF(OR($H805=5,$H805=7),ROUND($G805*10/11,0),0)))))</f>
        <v/>
      </c>
      <c r="L805" s="364" t="str">
        <f>IF($G805="","",IF($H805=1,ROUND($G805/23,0),IF($H805=3,ROUND($G805/12,0),IF($H805=5,$G805-ROUND($G805*10/11,0),IF($H805=8,$G805,0)))))</f>
        <v/>
      </c>
      <c r="M805" s="364" t="str">
        <f>IF($G805="","",IF($H805=1,ROUND($G805/23,0),IF($H805=3,ROUND($G805/12,0),IF($H805=6,$G805,IF($H805=7,$G805-ROUND($G805*10/11,0),0)))))</f>
        <v/>
      </c>
      <c r="N805" s="364" t="str">
        <f>IF($G805="","",K805+L805+M805)</f>
        <v/>
      </c>
      <c r="O805" s="365" t="str">
        <f>IF($G805="","",IFERROR(VLOOKUP($D805&amp;"|"&amp;$E805,科目表!$A$5:$B$200,2,FALSE),"※未登録"))</f>
        <v/>
      </c>
      <c r="P805" s="359" t="str">
        <f>IF(OR($G805="",$C805=""),"",IF($B805="決算整理",13,MOD(MONTH($C805)-4,12)+1))</f>
        <v/>
      </c>
      <c r="Q805" s="366" t="str">
        <f>IF($G805="","",TRIM(IF(J805+K805+L805+M805&lt;&gt;$G805,"按分不一致 ","")&amp;IF(O805="※未登録","科目未登録 ","")&amp;IF(OR($H805="",ISERROR(MATCH($H805,{1,2,3,4,5,6,7,8},0))),"経費区分? ","")&amp;IF($I805="","状態未設定 ","")&amp;IF(AND(OR($I805="確認済",$I805="未確認"),$B805="月例",OR($C805="",$C805&lt;DATE(年度+2018,4,1),$C805&gt;DATE(年度+2019,3,31))),"年度外の日付 ","")&amp;IF(AND(OR($I805="確認済",$I805="未確認"),O805="対象外"),"対象外の科目 ","")))</f>
        <v/>
      </c>
      <c r="R805" s="366" t="n"/>
    </row>
    <row r="806">
      <c r="A806" s="359" t="n"/>
      <c r="B806" s="360" t="n"/>
      <c r="C806" s="361" t="n"/>
      <c r="D806" s="362" t="n"/>
      <c r="E806" s="362" t="n"/>
      <c r="F806" s="362" t="n"/>
      <c r="G806" s="363" t="n"/>
      <c r="H806" s="360" t="n"/>
      <c r="I806" s="360" t="n"/>
      <c r="J806" s="364" t="str">
        <f>IF($G806="","",IF($H806=1,$G806-ROUND($G806*10/23,0)-2*ROUND($G806/23,0),IF($H806=2,$G806,0)))</f>
        <v/>
      </c>
      <c r="K806" s="364" t="str">
        <f>IF($G806="","",IF($H806=1,ROUND($G806*10/23,0),IF($H806=3,$G806-2*ROUND($G806/12,0),IF($H806=4,$G806,IF(OR($H806=5,$H806=7),ROUND($G806*10/11,0),0)))))</f>
        <v/>
      </c>
      <c r="L806" s="364" t="str">
        <f>IF($G806="","",IF($H806=1,ROUND($G806/23,0),IF($H806=3,ROUND($G806/12,0),IF($H806=5,$G806-ROUND($G806*10/11,0),IF($H806=8,$G806,0)))))</f>
        <v/>
      </c>
      <c r="M806" s="364" t="str">
        <f>IF($G806="","",IF($H806=1,ROUND($G806/23,0),IF($H806=3,ROUND($G806/12,0),IF($H806=6,$G806,IF($H806=7,$G806-ROUND($G806*10/11,0),0)))))</f>
        <v/>
      </c>
      <c r="N806" s="364" t="str">
        <f>IF($G806="","",K806+L806+M806)</f>
        <v/>
      </c>
      <c r="O806" s="365" t="str">
        <f>IF($G806="","",IFERROR(VLOOKUP($D806&amp;"|"&amp;$E806,科目表!$A$5:$B$200,2,FALSE),"※未登録"))</f>
        <v/>
      </c>
      <c r="P806" s="359" t="str">
        <f>IF(OR($G806="",$C806=""),"",IF($B806="決算整理",13,MOD(MONTH($C806)-4,12)+1))</f>
        <v/>
      </c>
      <c r="Q806" s="366" t="str">
        <f>IF($G806="","",TRIM(IF(J806+K806+L806+M806&lt;&gt;$G806,"按分不一致 ","")&amp;IF(O806="※未登録","科目未登録 ","")&amp;IF(OR($H806="",ISERROR(MATCH($H806,{1,2,3,4,5,6,7,8},0))),"経費区分? ","")&amp;IF($I806="","状態未設定 ","")&amp;IF(AND(OR($I806="確認済",$I806="未確認"),$B806="月例",OR($C806="",$C806&lt;DATE(年度+2018,4,1),$C806&gt;DATE(年度+2019,3,31))),"年度外の日付 ","")&amp;IF(AND(OR($I806="確認済",$I806="未確認"),O806="対象外"),"対象外の科目 ","")))</f>
        <v/>
      </c>
      <c r="R806" s="366" t="n"/>
    </row>
    <row r="807">
      <c r="A807" s="359" t="n"/>
      <c r="B807" s="360" t="n"/>
      <c r="C807" s="361" t="n"/>
      <c r="D807" s="362" t="n"/>
      <c r="E807" s="362" t="n"/>
      <c r="F807" s="362" t="n"/>
      <c r="G807" s="363" t="n"/>
      <c r="H807" s="360" t="n"/>
      <c r="I807" s="360" t="n"/>
      <c r="J807" s="364" t="str">
        <f>IF($G807="","",IF($H807=1,$G807-ROUND($G807*10/23,0)-2*ROUND($G807/23,0),IF($H807=2,$G807,0)))</f>
        <v/>
      </c>
      <c r="K807" s="364" t="str">
        <f>IF($G807="","",IF($H807=1,ROUND($G807*10/23,0),IF($H807=3,$G807-2*ROUND($G807/12,0),IF($H807=4,$G807,IF(OR($H807=5,$H807=7),ROUND($G807*10/11,0),0)))))</f>
        <v/>
      </c>
      <c r="L807" s="364" t="str">
        <f>IF($G807="","",IF($H807=1,ROUND($G807/23,0),IF($H807=3,ROUND($G807/12,0),IF($H807=5,$G807-ROUND($G807*10/11,0),IF($H807=8,$G807,0)))))</f>
        <v/>
      </c>
      <c r="M807" s="364" t="str">
        <f>IF($G807="","",IF($H807=1,ROUND($G807/23,0),IF($H807=3,ROUND($G807/12,0),IF($H807=6,$G807,IF($H807=7,$G807-ROUND($G807*10/11,0),0)))))</f>
        <v/>
      </c>
      <c r="N807" s="364" t="str">
        <f>IF($G807="","",K807+L807+M807)</f>
        <v/>
      </c>
      <c r="O807" s="365" t="str">
        <f>IF($G807="","",IFERROR(VLOOKUP($D807&amp;"|"&amp;$E807,科目表!$A$5:$B$200,2,FALSE),"※未登録"))</f>
        <v/>
      </c>
      <c r="P807" s="359" t="str">
        <f>IF(OR($G807="",$C807=""),"",IF($B807="決算整理",13,MOD(MONTH($C807)-4,12)+1))</f>
        <v/>
      </c>
      <c r="Q807" s="366" t="str">
        <f>IF($G807="","",TRIM(IF(J807+K807+L807+M807&lt;&gt;$G807,"按分不一致 ","")&amp;IF(O807="※未登録","科目未登録 ","")&amp;IF(OR($H807="",ISERROR(MATCH($H807,{1,2,3,4,5,6,7,8},0))),"経費区分? ","")&amp;IF($I807="","状態未設定 ","")&amp;IF(AND(OR($I807="確認済",$I807="未確認"),$B807="月例",OR($C807="",$C807&lt;DATE(年度+2018,4,1),$C807&gt;DATE(年度+2019,3,31))),"年度外の日付 ","")&amp;IF(AND(OR($I807="確認済",$I807="未確認"),O807="対象外"),"対象外の科目 ","")))</f>
        <v/>
      </c>
      <c r="R807" s="366" t="n"/>
    </row>
    <row r="808">
      <c r="A808" s="359" t="n"/>
      <c r="B808" s="360" t="n"/>
      <c r="C808" s="361" t="n"/>
      <c r="D808" s="362" t="n"/>
      <c r="E808" s="362" t="n"/>
      <c r="F808" s="362" t="n"/>
      <c r="G808" s="363" t="n"/>
      <c r="H808" s="360" t="n"/>
      <c r="I808" s="360" t="n"/>
      <c r="J808" s="364" t="str">
        <f>IF($G808="","",IF($H808=1,$G808-ROUND($G808*10/23,0)-2*ROUND($G808/23,0),IF($H808=2,$G808,0)))</f>
        <v/>
      </c>
      <c r="K808" s="364" t="str">
        <f>IF($G808="","",IF($H808=1,ROUND($G808*10/23,0),IF($H808=3,$G808-2*ROUND($G808/12,0),IF($H808=4,$G808,IF(OR($H808=5,$H808=7),ROUND($G808*10/11,0),0)))))</f>
        <v/>
      </c>
      <c r="L808" s="364" t="str">
        <f>IF($G808="","",IF($H808=1,ROUND($G808/23,0),IF($H808=3,ROUND($G808/12,0),IF($H808=5,$G808-ROUND($G808*10/11,0),IF($H808=8,$G808,0)))))</f>
        <v/>
      </c>
      <c r="M808" s="364" t="str">
        <f>IF($G808="","",IF($H808=1,ROUND($G808/23,0),IF($H808=3,ROUND($G808/12,0),IF($H808=6,$G808,IF($H808=7,$G808-ROUND($G808*10/11,0),0)))))</f>
        <v/>
      </c>
      <c r="N808" s="364" t="str">
        <f>IF($G808="","",K808+L808+M808)</f>
        <v/>
      </c>
      <c r="O808" s="365" t="str">
        <f>IF($G808="","",IFERROR(VLOOKUP($D808&amp;"|"&amp;$E808,科目表!$A$5:$B$200,2,FALSE),"※未登録"))</f>
        <v/>
      </c>
      <c r="P808" s="359" t="str">
        <f>IF(OR($G808="",$C808=""),"",IF($B808="決算整理",13,MOD(MONTH($C808)-4,12)+1))</f>
        <v/>
      </c>
      <c r="Q808" s="366" t="str">
        <f>IF($G808="","",TRIM(IF(J808+K808+L808+M808&lt;&gt;$G808,"按分不一致 ","")&amp;IF(O808="※未登録","科目未登録 ","")&amp;IF(OR($H808="",ISERROR(MATCH($H808,{1,2,3,4,5,6,7,8},0))),"経費区分? ","")&amp;IF($I808="","状態未設定 ","")&amp;IF(AND(OR($I808="確認済",$I808="未確認"),$B808="月例",OR($C808="",$C808&lt;DATE(年度+2018,4,1),$C808&gt;DATE(年度+2019,3,31))),"年度外の日付 ","")&amp;IF(AND(OR($I808="確認済",$I808="未確認"),O808="対象外"),"対象外の科目 ","")))</f>
        <v/>
      </c>
      <c r="R808" s="366" t="n"/>
    </row>
    <row r="809">
      <c r="A809" s="359" t="n"/>
      <c r="B809" s="360" t="n"/>
      <c r="C809" s="361" t="n"/>
      <c r="D809" s="362" t="n"/>
      <c r="E809" s="362" t="n"/>
      <c r="F809" s="362" t="n"/>
      <c r="G809" s="363" t="n"/>
      <c r="H809" s="360" t="n"/>
      <c r="I809" s="360" t="n"/>
      <c r="J809" s="364" t="str">
        <f>IF($G809="","",IF($H809=1,$G809-ROUND($G809*10/23,0)-2*ROUND($G809/23,0),IF($H809=2,$G809,0)))</f>
        <v/>
      </c>
      <c r="K809" s="364" t="str">
        <f>IF($G809="","",IF($H809=1,ROUND($G809*10/23,0),IF($H809=3,$G809-2*ROUND($G809/12,0),IF($H809=4,$G809,IF(OR($H809=5,$H809=7),ROUND($G809*10/11,0),0)))))</f>
        <v/>
      </c>
      <c r="L809" s="364" t="str">
        <f>IF($G809="","",IF($H809=1,ROUND($G809/23,0),IF($H809=3,ROUND($G809/12,0),IF($H809=5,$G809-ROUND($G809*10/11,0),IF($H809=8,$G809,0)))))</f>
        <v/>
      </c>
      <c r="M809" s="364" t="str">
        <f>IF($G809="","",IF($H809=1,ROUND($G809/23,0),IF($H809=3,ROUND($G809/12,0),IF($H809=6,$G809,IF($H809=7,$G809-ROUND($G809*10/11,0),0)))))</f>
        <v/>
      </c>
      <c r="N809" s="364" t="str">
        <f>IF($G809="","",K809+L809+M809)</f>
        <v/>
      </c>
      <c r="O809" s="365" t="str">
        <f>IF($G809="","",IFERROR(VLOOKUP($D809&amp;"|"&amp;$E809,科目表!$A$5:$B$200,2,FALSE),"※未登録"))</f>
        <v/>
      </c>
      <c r="P809" s="359" t="str">
        <f>IF(OR($G809="",$C809=""),"",IF($B809="決算整理",13,MOD(MONTH($C809)-4,12)+1))</f>
        <v/>
      </c>
      <c r="Q809" s="366" t="str">
        <f>IF($G809="","",TRIM(IF(J809+K809+L809+M809&lt;&gt;$G809,"按分不一致 ","")&amp;IF(O809="※未登録","科目未登録 ","")&amp;IF(OR($H809="",ISERROR(MATCH($H809,{1,2,3,4,5,6,7,8},0))),"経費区分? ","")&amp;IF($I809="","状態未設定 ","")&amp;IF(AND(OR($I809="確認済",$I809="未確認"),$B809="月例",OR($C809="",$C809&lt;DATE(年度+2018,4,1),$C809&gt;DATE(年度+2019,3,31))),"年度外の日付 ","")&amp;IF(AND(OR($I809="確認済",$I809="未確認"),O809="対象外"),"対象外の科目 ","")))</f>
        <v/>
      </c>
      <c r="R809" s="366" t="n"/>
    </row>
    <row r="810">
      <c r="A810" s="359" t="n"/>
      <c r="B810" s="360" t="n"/>
      <c r="C810" s="361" t="n"/>
      <c r="D810" s="362" t="n"/>
      <c r="E810" s="362" t="n"/>
      <c r="F810" s="362" t="n"/>
      <c r="G810" s="363" t="n"/>
      <c r="H810" s="360" t="n"/>
      <c r="I810" s="360" t="n"/>
      <c r="J810" s="364" t="str">
        <f>IF($G810="","",IF($H810=1,$G810-ROUND($G810*10/23,0)-2*ROUND($G810/23,0),IF($H810=2,$G810,0)))</f>
        <v/>
      </c>
      <c r="K810" s="364" t="str">
        <f>IF($G810="","",IF($H810=1,ROUND($G810*10/23,0),IF($H810=3,$G810-2*ROUND($G810/12,0),IF($H810=4,$G810,IF(OR($H810=5,$H810=7),ROUND($G810*10/11,0),0)))))</f>
        <v/>
      </c>
      <c r="L810" s="364" t="str">
        <f>IF($G810="","",IF($H810=1,ROUND($G810/23,0),IF($H810=3,ROUND($G810/12,0),IF($H810=5,$G810-ROUND($G810*10/11,0),IF($H810=8,$G810,0)))))</f>
        <v/>
      </c>
      <c r="M810" s="364" t="str">
        <f>IF($G810="","",IF($H810=1,ROUND($G810/23,0),IF($H810=3,ROUND($G810/12,0),IF($H810=6,$G810,IF($H810=7,$G810-ROUND($G810*10/11,0),0)))))</f>
        <v/>
      </c>
      <c r="N810" s="364" t="str">
        <f>IF($G810="","",K810+L810+M810)</f>
        <v/>
      </c>
      <c r="O810" s="365" t="str">
        <f>IF($G810="","",IFERROR(VLOOKUP($D810&amp;"|"&amp;$E810,科目表!$A$5:$B$200,2,FALSE),"※未登録"))</f>
        <v/>
      </c>
      <c r="P810" s="359" t="str">
        <f>IF(OR($G810="",$C810=""),"",IF($B810="決算整理",13,MOD(MONTH($C810)-4,12)+1))</f>
        <v/>
      </c>
      <c r="Q810" s="366" t="str">
        <f>IF($G810="","",TRIM(IF(J810+K810+L810+M810&lt;&gt;$G810,"按分不一致 ","")&amp;IF(O810="※未登録","科目未登録 ","")&amp;IF(OR($H810="",ISERROR(MATCH($H810,{1,2,3,4,5,6,7,8},0))),"経費区分? ","")&amp;IF($I810="","状態未設定 ","")&amp;IF(AND(OR($I810="確認済",$I810="未確認"),$B810="月例",OR($C810="",$C810&lt;DATE(年度+2018,4,1),$C810&gt;DATE(年度+2019,3,31))),"年度外の日付 ","")&amp;IF(AND(OR($I810="確認済",$I810="未確認"),O810="対象外"),"対象外の科目 ","")))</f>
        <v/>
      </c>
      <c r="R810" s="366" t="n"/>
    </row>
    <row r="811">
      <c r="A811" s="359" t="n"/>
      <c r="B811" s="360" t="n"/>
      <c r="C811" s="361" t="n"/>
      <c r="D811" s="362" t="n"/>
      <c r="E811" s="362" t="n"/>
      <c r="F811" s="362" t="n"/>
      <c r="G811" s="363" t="n"/>
      <c r="H811" s="360" t="n"/>
      <c r="I811" s="360" t="n"/>
      <c r="J811" s="364" t="str">
        <f>IF($G811="","",IF($H811=1,$G811-ROUND($G811*10/23,0)-2*ROUND($G811/23,0),IF($H811=2,$G811,0)))</f>
        <v/>
      </c>
      <c r="K811" s="364" t="str">
        <f>IF($G811="","",IF($H811=1,ROUND($G811*10/23,0),IF($H811=3,$G811-2*ROUND($G811/12,0),IF($H811=4,$G811,IF(OR($H811=5,$H811=7),ROUND($G811*10/11,0),0)))))</f>
        <v/>
      </c>
      <c r="L811" s="364" t="str">
        <f>IF($G811="","",IF($H811=1,ROUND($G811/23,0),IF($H811=3,ROUND($G811/12,0),IF($H811=5,$G811-ROUND($G811*10/11,0),IF($H811=8,$G811,0)))))</f>
        <v/>
      </c>
      <c r="M811" s="364" t="str">
        <f>IF($G811="","",IF($H811=1,ROUND($G811/23,0),IF($H811=3,ROUND($G811/12,0),IF($H811=6,$G811,IF($H811=7,$G811-ROUND($G811*10/11,0),0)))))</f>
        <v/>
      </c>
      <c r="N811" s="364" t="str">
        <f>IF($G811="","",K811+L811+M811)</f>
        <v/>
      </c>
      <c r="O811" s="365" t="str">
        <f>IF($G811="","",IFERROR(VLOOKUP($D811&amp;"|"&amp;$E811,科目表!$A$5:$B$200,2,FALSE),"※未登録"))</f>
        <v/>
      </c>
      <c r="P811" s="359" t="str">
        <f>IF(OR($G811="",$C811=""),"",IF($B811="決算整理",13,MOD(MONTH($C811)-4,12)+1))</f>
        <v/>
      </c>
      <c r="Q811" s="366" t="str">
        <f>IF($G811="","",TRIM(IF(J811+K811+L811+M811&lt;&gt;$G811,"按分不一致 ","")&amp;IF(O811="※未登録","科目未登録 ","")&amp;IF(OR($H811="",ISERROR(MATCH($H811,{1,2,3,4,5,6,7,8},0))),"経費区分? ","")&amp;IF($I811="","状態未設定 ","")&amp;IF(AND(OR($I811="確認済",$I811="未確認"),$B811="月例",OR($C811="",$C811&lt;DATE(年度+2018,4,1),$C811&gt;DATE(年度+2019,3,31))),"年度外の日付 ","")&amp;IF(AND(OR($I811="確認済",$I811="未確認"),O811="対象外"),"対象外の科目 ","")))</f>
        <v/>
      </c>
      <c r="R811" s="366" t="n"/>
    </row>
    <row r="812">
      <c r="A812" s="359" t="n"/>
      <c r="B812" s="360" t="n"/>
      <c r="C812" s="361" t="n"/>
      <c r="D812" s="362" t="n"/>
      <c r="E812" s="362" t="n"/>
      <c r="F812" s="362" t="n"/>
      <c r="G812" s="363" t="n"/>
      <c r="H812" s="360" t="n"/>
      <c r="I812" s="360" t="n"/>
      <c r="J812" s="364" t="str">
        <f>IF($G812="","",IF($H812=1,$G812-ROUND($G812*10/23,0)-2*ROUND($G812/23,0),IF($H812=2,$G812,0)))</f>
        <v/>
      </c>
      <c r="K812" s="364" t="str">
        <f>IF($G812="","",IF($H812=1,ROUND($G812*10/23,0),IF($H812=3,$G812-2*ROUND($G812/12,0),IF($H812=4,$G812,IF(OR($H812=5,$H812=7),ROUND($G812*10/11,0),0)))))</f>
        <v/>
      </c>
      <c r="L812" s="364" t="str">
        <f>IF($G812="","",IF($H812=1,ROUND($G812/23,0),IF($H812=3,ROUND($G812/12,0),IF($H812=5,$G812-ROUND($G812*10/11,0),IF($H812=8,$G812,0)))))</f>
        <v/>
      </c>
      <c r="M812" s="364" t="str">
        <f>IF($G812="","",IF($H812=1,ROUND($G812/23,0),IF($H812=3,ROUND($G812/12,0),IF($H812=6,$G812,IF($H812=7,$G812-ROUND($G812*10/11,0),0)))))</f>
        <v/>
      </c>
      <c r="N812" s="364" t="str">
        <f>IF($G812="","",K812+L812+M812)</f>
        <v/>
      </c>
      <c r="O812" s="365" t="str">
        <f>IF($G812="","",IFERROR(VLOOKUP($D812&amp;"|"&amp;$E812,科目表!$A$5:$B$200,2,FALSE),"※未登録"))</f>
        <v/>
      </c>
      <c r="P812" s="359" t="str">
        <f>IF(OR($G812="",$C812=""),"",IF($B812="決算整理",13,MOD(MONTH($C812)-4,12)+1))</f>
        <v/>
      </c>
      <c r="Q812" s="366" t="str">
        <f>IF($G812="","",TRIM(IF(J812+K812+L812+M812&lt;&gt;$G812,"按分不一致 ","")&amp;IF(O812="※未登録","科目未登録 ","")&amp;IF(OR($H812="",ISERROR(MATCH($H812,{1,2,3,4,5,6,7,8},0))),"経費区分? ","")&amp;IF($I812="","状態未設定 ","")&amp;IF(AND(OR($I812="確認済",$I812="未確認"),$B812="月例",OR($C812="",$C812&lt;DATE(年度+2018,4,1),$C812&gt;DATE(年度+2019,3,31))),"年度外の日付 ","")&amp;IF(AND(OR($I812="確認済",$I812="未確認"),O812="対象外"),"対象外の科目 ","")))</f>
        <v/>
      </c>
      <c r="R812" s="366" t="n"/>
    </row>
    <row r="813">
      <c r="A813" s="359" t="n"/>
      <c r="B813" s="360" t="n"/>
      <c r="C813" s="361" t="n"/>
      <c r="D813" s="362" t="n"/>
      <c r="E813" s="362" t="n"/>
      <c r="F813" s="362" t="n"/>
      <c r="G813" s="363" t="n"/>
      <c r="H813" s="360" t="n"/>
      <c r="I813" s="360" t="n"/>
      <c r="J813" s="364" t="str">
        <f>IF($G813="","",IF($H813=1,$G813-ROUND($G813*10/23,0)-2*ROUND($G813/23,0),IF($H813=2,$G813,0)))</f>
        <v/>
      </c>
      <c r="K813" s="364" t="str">
        <f>IF($G813="","",IF($H813=1,ROUND($G813*10/23,0),IF($H813=3,$G813-2*ROUND($G813/12,0),IF($H813=4,$G813,IF(OR($H813=5,$H813=7),ROUND($G813*10/11,0),0)))))</f>
        <v/>
      </c>
      <c r="L813" s="364" t="str">
        <f>IF($G813="","",IF($H813=1,ROUND($G813/23,0),IF($H813=3,ROUND($G813/12,0),IF($H813=5,$G813-ROUND($G813*10/11,0),IF($H813=8,$G813,0)))))</f>
        <v/>
      </c>
      <c r="M813" s="364" t="str">
        <f>IF($G813="","",IF($H813=1,ROUND($G813/23,0),IF($H813=3,ROUND($G813/12,0),IF($H813=6,$G813,IF($H813=7,$G813-ROUND($G813*10/11,0),0)))))</f>
        <v/>
      </c>
      <c r="N813" s="364" t="str">
        <f>IF($G813="","",K813+L813+M813)</f>
        <v/>
      </c>
      <c r="O813" s="365" t="str">
        <f>IF($G813="","",IFERROR(VLOOKUP($D813&amp;"|"&amp;$E813,科目表!$A$5:$B$200,2,FALSE),"※未登録"))</f>
        <v/>
      </c>
      <c r="P813" s="359" t="str">
        <f>IF(OR($G813="",$C813=""),"",IF($B813="決算整理",13,MOD(MONTH($C813)-4,12)+1))</f>
        <v/>
      </c>
      <c r="Q813" s="366" t="str">
        <f>IF($G813="","",TRIM(IF(J813+K813+L813+M813&lt;&gt;$G813,"按分不一致 ","")&amp;IF(O813="※未登録","科目未登録 ","")&amp;IF(OR($H813="",ISERROR(MATCH($H813,{1,2,3,4,5,6,7,8},0))),"経費区分? ","")&amp;IF($I813="","状態未設定 ","")&amp;IF(AND(OR($I813="確認済",$I813="未確認"),$B813="月例",OR($C813="",$C813&lt;DATE(年度+2018,4,1),$C813&gt;DATE(年度+2019,3,31))),"年度外の日付 ","")&amp;IF(AND(OR($I813="確認済",$I813="未確認"),O813="対象外"),"対象外の科目 ","")))</f>
        <v/>
      </c>
      <c r="R813" s="366" t="n"/>
    </row>
    <row r="814">
      <c r="A814" s="359" t="n"/>
      <c r="B814" s="360" t="n"/>
      <c r="C814" s="361" t="n"/>
      <c r="D814" s="362" t="n"/>
      <c r="E814" s="362" t="n"/>
      <c r="F814" s="362" t="n"/>
      <c r="G814" s="363" t="n"/>
      <c r="H814" s="360" t="n"/>
      <c r="I814" s="360" t="n"/>
      <c r="J814" s="364" t="str">
        <f>IF($G814="","",IF($H814=1,$G814-ROUND($G814*10/23,0)-2*ROUND($G814/23,0),IF($H814=2,$G814,0)))</f>
        <v/>
      </c>
      <c r="K814" s="364" t="str">
        <f>IF($G814="","",IF($H814=1,ROUND($G814*10/23,0),IF($H814=3,$G814-2*ROUND($G814/12,0),IF($H814=4,$G814,IF(OR($H814=5,$H814=7),ROUND($G814*10/11,0),0)))))</f>
        <v/>
      </c>
      <c r="L814" s="364" t="str">
        <f>IF($G814="","",IF($H814=1,ROUND($G814/23,0),IF($H814=3,ROUND($G814/12,0),IF($H814=5,$G814-ROUND($G814*10/11,0),IF($H814=8,$G814,0)))))</f>
        <v/>
      </c>
      <c r="M814" s="364" t="str">
        <f>IF($G814="","",IF($H814=1,ROUND($G814/23,0),IF($H814=3,ROUND($G814/12,0),IF($H814=6,$G814,IF($H814=7,$G814-ROUND($G814*10/11,0),0)))))</f>
        <v/>
      </c>
      <c r="N814" s="364" t="str">
        <f>IF($G814="","",K814+L814+M814)</f>
        <v/>
      </c>
      <c r="O814" s="365" t="str">
        <f>IF($G814="","",IFERROR(VLOOKUP($D814&amp;"|"&amp;$E814,科目表!$A$5:$B$200,2,FALSE),"※未登録"))</f>
        <v/>
      </c>
      <c r="P814" s="359" t="str">
        <f>IF(OR($G814="",$C814=""),"",IF($B814="決算整理",13,MOD(MONTH($C814)-4,12)+1))</f>
        <v/>
      </c>
      <c r="Q814" s="366" t="str">
        <f>IF($G814="","",TRIM(IF(J814+K814+L814+M814&lt;&gt;$G814,"按分不一致 ","")&amp;IF(O814="※未登録","科目未登録 ","")&amp;IF(OR($H814="",ISERROR(MATCH($H814,{1,2,3,4,5,6,7,8},0))),"経費区分? ","")&amp;IF($I814="","状態未設定 ","")&amp;IF(AND(OR($I814="確認済",$I814="未確認"),$B814="月例",OR($C814="",$C814&lt;DATE(年度+2018,4,1),$C814&gt;DATE(年度+2019,3,31))),"年度外の日付 ","")&amp;IF(AND(OR($I814="確認済",$I814="未確認"),O814="対象外"),"対象外の科目 ","")))</f>
        <v/>
      </c>
      <c r="R814" s="366" t="n"/>
    </row>
    <row r="815">
      <c r="A815" s="359" t="n"/>
      <c r="B815" s="360" t="n"/>
      <c r="C815" s="361" t="n"/>
      <c r="D815" s="362" t="n"/>
      <c r="E815" s="362" t="n"/>
      <c r="F815" s="362" t="n"/>
      <c r="G815" s="363" t="n"/>
      <c r="H815" s="360" t="n"/>
      <c r="I815" s="360" t="n"/>
      <c r="J815" s="364" t="str">
        <f>IF($G815="","",IF($H815=1,$G815-ROUND($G815*10/23,0)-2*ROUND($G815/23,0),IF($H815=2,$G815,0)))</f>
        <v/>
      </c>
      <c r="K815" s="364" t="str">
        <f>IF($G815="","",IF($H815=1,ROUND($G815*10/23,0),IF($H815=3,$G815-2*ROUND($G815/12,0),IF($H815=4,$G815,IF(OR($H815=5,$H815=7),ROUND($G815*10/11,0),0)))))</f>
        <v/>
      </c>
      <c r="L815" s="364" t="str">
        <f>IF($G815="","",IF($H815=1,ROUND($G815/23,0),IF($H815=3,ROUND($G815/12,0),IF($H815=5,$G815-ROUND($G815*10/11,0),IF($H815=8,$G815,0)))))</f>
        <v/>
      </c>
      <c r="M815" s="364" t="str">
        <f>IF($G815="","",IF($H815=1,ROUND($G815/23,0),IF($H815=3,ROUND($G815/12,0),IF($H815=6,$G815,IF($H815=7,$G815-ROUND($G815*10/11,0),0)))))</f>
        <v/>
      </c>
      <c r="N815" s="364" t="str">
        <f>IF($G815="","",K815+L815+M815)</f>
        <v/>
      </c>
      <c r="O815" s="365" t="str">
        <f>IF($G815="","",IFERROR(VLOOKUP($D815&amp;"|"&amp;$E815,科目表!$A$5:$B$200,2,FALSE),"※未登録"))</f>
        <v/>
      </c>
      <c r="P815" s="359" t="str">
        <f>IF(OR($G815="",$C815=""),"",IF($B815="決算整理",13,MOD(MONTH($C815)-4,12)+1))</f>
        <v/>
      </c>
      <c r="Q815" s="366" t="str">
        <f>IF($G815="","",TRIM(IF(J815+K815+L815+M815&lt;&gt;$G815,"按分不一致 ","")&amp;IF(O815="※未登録","科目未登録 ","")&amp;IF(OR($H815="",ISERROR(MATCH($H815,{1,2,3,4,5,6,7,8},0))),"経費区分? ","")&amp;IF($I815="","状態未設定 ","")&amp;IF(AND(OR($I815="確認済",$I815="未確認"),$B815="月例",OR($C815="",$C815&lt;DATE(年度+2018,4,1),$C815&gt;DATE(年度+2019,3,31))),"年度外の日付 ","")&amp;IF(AND(OR($I815="確認済",$I815="未確認"),O815="対象外"),"対象外の科目 ","")))</f>
        <v/>
      </c>
      <c r="R815" s="366" t="n"/>
    </row>
    <row r="816">
      <c r="A816" s="359" t="n"/>
      <c r="B816" s="360" t="n"/>
      <c r="C816" s="361" t="n"/>
      <c r="D816" s="362" t="n"/>
      <c r="E816" s="362" t="n"/>
      <c r="F816" s="362" t="n"/>
      <c r="G816" s="363" t="n"/>
      <c r="H816" s="360" t="n"/>
      <c r="I816" s="360" t="n"/>
      <c r="J816" s="364" t="str">
        <f>IF($G816="","",IF($H816=1,$G816-ROUND($G816*10/23,0)-2*ROUND($G816/23,0),IF($H816=2,$G816,0)))</f>
        <v/>
      </c>
      <c r="K816" s="364" t="str">
        <f>IF($G816="","",IF($H816=1,ROUND($G816*10/23,0),IF($H816=3,$G816-2*ROUND($G816/12,0),IF($H816=4,$G816,IF(OR($H816=5,$H816=7),ROUND($G816*10/11,0),0)))))</f>
        <v/>
      </c>
      <c r="L816" s="364" t="str">
        <f>IF($G816="","",IF($H816=1,ROUND($G816/23,0),IF($H816=3,ROUND($G816/12,0),IF($H816=5,$G816-ROUND($G816*10/11,0),IF($H816=8,$G816,0)))))</f>
        <v/>
      </c>
      <c r="M816" s="364" t="str">
        <f>IF($G816="","",IF($H816=1,ROUND($G816/23,0),IF($H816=3,ROUND($G816/12,0),IF($H816=6,$G816,IF($H816=7,$G816-ROUND($G816*10/11,0),0)))))</f>
        <v/>
      </c>
      <c r="N816" s="364" t="str">
        <f>IF($G816="","",K816+L816+M816)</f>
        <v/>
      </c>
      <c r="O816" s="365" t="str">
        <f>IF($G816="","",IFERROR(VLOOKUP($D816&amp;"|"&amp;$E816,科目表!$A$5:$B$200,2,FALSE),"※未登録"))</f>
        <v/>
      </c>
      <c r="P816" s="359" t="str">
        <f>IF(OR($G816="",$C816=""),"",IF($B816="決算整理",13,MOD(MONTH($C816)-4,12)+1))</f>
        <v/>
      </c>
      <c r="Q816" s="366" t="str">
        <f>IF($G816="","",TRIM(IF(J816+K816+L816+M816&lt;&gt;$G816,"按分不一致 ","")&amp;IF(O816="※未登録","科目未登録 ","")&amp;IF(OR($H816="",ISERROR(MATCH($H816,{1,2,3,4,5,6,7,8},0))),"経費区分? ","")&amp;IF($I816="","状態未設定 ","")&amp;IF(AND(OR($I816="確認済",$I816="未確認"),$B816="月例",OR($C816="",$C816&lt;DATE(年度+2018,4,1),$C816&gt;DATE(年度+2019,3,31))),"年度外の日付 ","")&amp;IF(AND(OR($I816="確認済",$I816="未確認"),O816="対象外"),"対象外の科目 ","")))</f>
        <v/>
      </c>
      <c r="R816" s="366" t="n"/>
    </row>
    <row r="817">
      <c r="A817" s="359" t="n"/>
      <c r="B817" s="360" t="n"/>
      <c r="C817" s="361" t="n"/>
      <c r="D817" s="362" t="n"/>
      <c r="E817" s="362" t="n"/>
      <c r="F817" s="362" t="n"/>
      <c r="G817" s="363" t="n"/>
      <c r="H817" s="360" t="n"/>
      <c r="I817" s="360" t="n"/>
      <c r="J817" s="364" t="str">
        <f>IF($G817="","",IF($H817=1,$G817-ROUND($G817*10/23,0)-2*ROUND($G817/23,0),IF($H817=2,$G817,0)))</f>
        <v/>
      </c>
      <c r="K817" s="364" t="str">
        <f>IF($G817="","",IF($H817=1,ROUND($G817*10/23,0),IF($H817=3,$G817-2*ROUND($G817/12,0),IF($H817=4,$G817,IF(OR($H817=5,$H817=7),ROUND($G817*10/11,0),0)))))</f>
        <v/>
      </c>
      <c r="L817" s="364" t="str">
        <f>IF($G817="","",IF($H817=1,ROUND($G817/23,0),IF($H817=3,ROUND($G817/12,0),IF($H817=5,$G817-ROUND($G817*10/11,0),IF($H817=8,$G817,0)))))</f>
        <v/>
      </c>
      <c r="M817" s="364" t="str">
        <f>IF($G817="","",IF($H817=1,ROUND($G817/23,0),IF($H817=3,ROUND($G817/12,0),IF($H817=6,$G817,IF($H817=7,$G817-ROUND($G817*10/11,0),0)))))</f>
        <v/>
      </c>
      <c r="N817" s="364" t="str">
        <f>IF($G817="","",K817+L817+M817)</f>
        <v/>
      </c>
      <c r="O817" s="365" t="str">
        <f>IF($G817="","",IFERROR(VLOOKUP($D817&amp;"|"&amp;$E817,科目表!$A$5:$B$200,2,FALSE),"※未登録"))</f>
        <v/>
      </c>
      <c r="P817" s="359" t="str">
        <f>IF(OR($G817="",$C817=""),"",IF($B817="決算整理",13,MOD(MONTH($C817)-4,12)+1))</f>
        <v/>
      </c>
      <c r="Q817" s="366" t="str">
        <f>IF($G817="","",TRIM(IF(J817+K817+L817+M817&lt;&gt;$G817,"按分不一致 ","")&amp;IF(O817="※未登録","科目未登録 ","")&amp;IF(OR($H817="",ISERROR(MATCH($H817,{1,2,3,4,5,6,7,8},0))),"経費区分? ","")&amp;IF($I817="","状態未設定 ","")&amp;IF(AND(OR($I817="確認済",$I817="未確認"),$B817="月例",OR($C817="",$C817&lt;DATE(年度+2018,4,1),$C817&gt;DATE(年度+2019,3,31))),"年度外の日付 ","")&amp;IF(AND(OR($I817="確認済",$I817="未確認"),O817="対象外"),"対象外の科目 ","")))</f>
        <v/>
      </c>
      <c r="R817" s="366" t="n"/>
    </row>
    <row r="818">
      <c r="A818" s="359" t="n"/>
      <c r="B818" s="360" t="n"/>
      <c r="C818" s="361" t="n"/>
      <c r="D818" s="362" t="n"/>
      <c r="E818" s="362" t="n"/>
      <c r="F818" s="362" t="n"/>
      <c r="G818" s="363" t="n"/>
      <c r="H818" s="360" t="n"/>
      <c r="I818" s="360" t="n"/>
      <c r="J818" s="364" t="str">
        <f>IF($G818="","",IF($H818=1,$G818-ROUND($G818*10/23,0)-2*ROUND($G818/23,0),IF($H818=2,$G818,0)))</f>
        <v/>
      </c>
      <c r="K818" s="364" t="str">
        <f>IF($G818="","",IF($H818=1,ROUND($G818*10/23,0),IF($H818=3,$G818-2*ROUND($G818/12,0),IF($H818=4,$G818,IF(OR($H818=5,$H818=7),ROUND($G818*10/11,0),0)))))</f>
        <v/>
      </c>
      <c r="L818" s="364" t="str">
        <f>IF($G818="","",IF($H818=1,ROUND($G818/23,0),IF($H818=3,ROUND($G818/12,0),IF($H818=5,$G818-ROUND($G818*10/11,0),IF($H818=8,$G818,0)))))</f>
        <v/>
      </c>
      <c r="M818" s="364" t="str">
        <f>IF($G818="","",IF($H818=1,ROUND($G818/23,0),IF($H818=3,ROUND($G818/12,0),IF($H818=6,$G818,IF($H818=7,$G818-ROUND($G818*10/11,0),0)))))</f>
        <v/>
      </c>
      <c r="N818" s="364" t="str">
        <f>IF($G818="","",K818+L818+M818)</f>
        <v/>
      </c>
      <c r="O818" s="365" t="str">
        <f>IF($G818="","",IFERROR(VLOOKUP($D818&amp;"|"&amp;$E818,科目表!$A$5:$B$200,2,FALSE),"※未登録"))</f>
        <v/>
      </c>
      <c r="P818" s="359" t="str">
        <f>IF(OR($G818="",$C818=""),"",IF($B818="決算整理",13,MOD(MONTH($C818)-4,12)+1))</f>
        <v/>
      </c>
      <c r="Q818" s="366" t="str">
        <f>IF($G818="","",TRIM(IF(J818+K818+L818+M818&lt;&gt;$G818,"按分不一致 ","")&amp;IF(O818="※未登録","科目未登録 ","")&amp;IF(OR($H818="",ISERROR(MATCH($H818,{1,2,3,4,5,6,7,8},0))),"経費区分? ","")&amp;IF($I818="","状態未設定 ","")&amp;IF(AND(OR($I818="確認済",$I818="未確認"),$B818="月例",OR($C818="",$C818&lt;DATE(年度+2018,4,1),$C818&gt;DATE(年度+2019,3,31))),"年度外の日付 ","")&amp;IF(AND(OR($I818="確認済",$I818="未確認"),O818="対象外"),"対象外の科目 ","")))</f>
        <v/>
      </c>
      <c r="R818" s="366" t="n"/>
    </row>
    <row r="819">
      <c r="A819" s="359" t="n"/>
      <c r="B819" s="360" t="n"/>
      <c r="C819" s="361" t="n"/>
      <c r="D819" s="362" t="n"/>
      <c r="E819" s="362" t="n"/>
      <c r="F819" s="362" t="n"/>
      <c r="G819" s="363" t="n"/>
      <c r="H819" s="360" t="n"/>
      <c r="I819" s="360" t="n"/>
      <c r="J819" s="364" t="str">
        <f>IF($G819="","",IF($H819=1,$G819-ROUND($G819*10/23,0)-2*ROUND($G819/23,0),IF($H819=2,$G819,0)))</f>
        <v/>
      </c>
      <c r="K819" s="364" t="str">
        <f>IF($G819="","",IF($H819=1,ROUND($G819*10/23,0),IF($H819=3,$G819-2*ROUND($G819/12,0),IF($H819=4,$G819,IF(OR($H819=5,$H819=7),ROUND($G819*10/11,0),0)))))</f>
        <v/>
      </c>
      <c r="L819" s="364" t="str">
        <f>IF($G819="","",IF($H819=1,ROUND($G819/23,0),IF($H819=3,ROUND($G819/12,0),IF($H819=5,$G819-ROUND($G819*10/11,0),IF($H819=8,$G819,0)))))</f>
        <v/>
      </c>
      <c r="M819" s="364" t="str">
        <f>IF($G819="","",IF($H819=1,ROUND($G819/23,0),IF($H819=3,ROUND($G819/12,0),IF($H819=6,$G819,IF($H819=7,$G819-ROUND($G819*10/11,0),0)))))</f>
        <v/>
      </c>
      <c r="N819" s="364" t="str">
        <f>IF($G819="","",K819+L819+M819)</f>
        <v/>
      </c>
      <c r="O819" s="365" t="str">
        <f>IF($G819="","",IFERROR(VLOOKUP($D819&amp;"|"&amp;$E819,科目表!$A$5:$B$200,2,FALSE),"※未登録"))</f>
        <v/>
      </c>
      <c r="P819" s="359" t="str">
        <f>IF(OR($G819="",$C819=""),"",IF($B819="決算整理",13,MOD(MONTH($C819)-4,12)+1))</f>
        <v/>
      </c>
      <c r="Q819" s="366" t="str">
        <f>IF($G819="","",TRIM(IF(J819+K819+L819+M819&lt;&gt;$G819,"按分不一致 ","")&amp;IF(O819="※未登録","科目未登録 ","")&amp;IF(OR($H819="",ISERROR(MATCH($H819,{1,2,3,4,5,6,7,8},0))),"経費区分? ","")&amp;IF($I819="","状態未設定 ","")&amp;IF(AND(OR($I819="確認済",$I819="未確認"),$B819="月例",OR($C819="",$C819&lt;DATE(年度+2018,4,1),$C819&gt;DATE(年度+2019,3,31))),"年度外の日付 ","")&amp;IF(AND(OR($I819="確認済",$I819="未確認"),O819="対象外"),"対象外の科目 ","")))</f>
        <v/>
      </c>
      <c r="R819" s="366" t="n"/>
    </row>
    <row r="820">
      <c r="A820" s="359" t="n"/>
      <c r="B820" s="360" t="n"/>
      <c r="C820" s="361" t="n"/>
      <c r="D820" s="362" t="n"/>
      <c r="E820" s="362" t="n"/>
      <c r="F820" s="362" t="n"/>
      <c r="G820" s="363" t="n"/>
      <c r="H820" s="360" t="n"/>
      <c r="I820" s="360" t="n"/>
      <c r="J820" s="364" t="str">
        <f>IF($G820="","",IF($H820=1,$G820-ROUND($G820*10/23,0)-2*ROUND($G820/23,0),IF($H820=2,$G820,0)))</f>
        <v/>
      </c>
      <c r="K820" s="364" t="str">
        <f>IF($G820="","",IF($H820=1,ROUND($G820*10/23,0),IF($H820=3,$G820-2*ROUND($G820/12,0),IF($H820=4,$G820,IF(OR($H820=5,$H820=7),ROUND($G820*10/11,0),0)))))</f>
        <v/>
      </c>
      <c r="L820" s="364" t="str">
        <f>IF($G820="","",IF($H820=1,ROUND($G820/23,0),IF($H820=3,ROUND($G820/12,0),IF($H820=5,$G820-ROUND($G820*10/11,0),IF($H820=8,$G820,0)))))</f>
        <v/>
      </c>
      <c r="M820" s="364" t="str">
        <f>IF($G820="","",IF($H820=1,ROUND($G820/23,0),IF($H820=3,ROUND($G820/12,0),IF($H820=6,$G820,IF($H820=7,$G820-ROUND($G820*10/11,0),0)))))</f>
        <v/>
      </c>
      <c r="N820" s="364" t="str">
        <f>IF($G820="","",K820+L820+M820)</f>
        <v/>
      </c>
      <c r="O820" s="365" t="str">
        <f>IF($G820="","",IFERROR(VLOOKUP($D820&amp;"|"&amp;$E820,科目表!$A$5:$B$200,2,FALSE),"※未登録"))</f>
        <v/>
      </c>
      <c r="P820" s="359" t="str">
        <f>IF(OR($G820="",$C820=""),"",IF($B820="決算整理",13,MOD(MONTH($C820)-4,12)+1))</f>
        <v/>
      </c>
      <c r="Q820" s="366" t="str">
        <f>IF($G820="","",TRIM(IF(J820+K820+L820+M820&lt;&gt;$G820,"按分不一致 ","")&amp;IF(O820="※未登録","科目未登録 ","")&amp;IF(OR($H820="",ISERROR(MATCH($H820,{1,2,3,4,5,6,7,8},0))),"経費区分? ","")&amp;IF($I820="","状態未設定 ","")&amp;IF(AND(OR($I820="確認済",$I820="未確認"),$B820="月例",OR($C820="",$C820&lt;DATE(年度+2018,4,1),$C820&gt;DATE(年度+2019,3,31))),"年度外の日付 ","")&amp;IF(AND(OR($I820="確認済",$I820="未確認"),O820="対象外"),"対象外の科目 ","")))</f>
        <v/>
      </c>
      <c r="R820" s="366" t="n"/>
    </row>
    <row r="821">
      <c r="A821" s="359" t="n"/>
      <c r="B821" s="360" t="n"/>
      <c r="C821" s="361" t="n"/>
      <c r="D821" s="362" t="n"/>
      <c r="E821" s="362" t="n"/>
      <c r="F821" s="362" t="n"/>
      <c r="G821" s="363" t="n"/>
      <c r="H821" s="360" t="n"/>
      <c r="I821" s="360" t="n"/>
      <c r="J821" s="364" t="str">
        <f>IF($G821="","",IF($H821=1,$G821-ROUND($G821*10/23,0)-2*ROUND($G821/23,0),IF($H821=2,$G821,0)))</f>
        <v/>
      </c>
      <c r="K821" s="364" t="str">
        <f>IF($G821="","",IF($H821=1,ROUND($G821*10/23,0),IF($H821=3,$G821-2*ROUND($G821/12,0),IF($H821=4,$G821,IF(OR($H821=5,$H821=7),ROUND($G821*10/11,0),0)))))</f>
        <v/>
      </c>
      <c r="L821" s="364" t="str">
        <f>IF($G821="","",IF($H821=1,ROUND($G821/23,0),IF($H821=3,ROUND($G821/12,0),IF($H821=5,$G821-ROUND($G821*10/11,0),IF($H821=8,$G821,0)))))</f>
        <v/>
      </c>
      <c r="M821" s="364" t="str">
        <f>IF($G821="","",IF($H821=1,ROUND($G821/23,0),IF($H821=3,ROUND($G821/12,0),IF($H821=6,$G821,IF($H821=7,$G821-ROUND($G821*10/11,0),0)))))</f>
        <v/>
      </c>
      <c r="N821" s="364" t="str">
        <f>IF($G821="","",K821+L821+M821)</f>
        <v/>
      </c>
      <c r="O821" s="365" t="str">
        <f>IF($G821="","",IFERROR(VLOOKUP($D821&amp;"|"&amp;$E821,科目表!$A$5:$B$200,2,FALSE),"※未登録"))</f>
        <v/>
      </c>
      <c r="P821" s="359" t="str">
        <f>IF(OR($G821="",$C821=""),"",IF($B821="決算整理",13,MOD(MONTH($C821)-4,12)+1))</f>
        <v/>
      </c>
      <c r="Q821" s="366" t="str">
        <f>IF($G821="","",TRIM(IF(J821+K821+L821+M821&lt;&gt;$G821,"按分不一致 ","")&amp;IF(O821="※未登録","科目未登録 ","")&amp;IF(OR($H821="",ISERROR(MATCH($H821,{1,2,3,4,5,6,7,8},0))),"経費区分? ","")&amp;IF($I821="","状態未設定 ","")&amp;IF(AND(OR($I821="確認済",$I821="未確認"),$B821="月例",OR($C821="",$C821&lt;DATE(年度+2018,4,1),$C821&gt;DATE(年度+2019,3,31))),"年度外の日付 ","")&amp;IF(AND(OR($I821="確認済",$I821="未確認"),O821="対象外"),"対象外の科目 ","")))</f>
        <v/>
      </c>
      <c r="R821" s="366" t="n"/>
    </row>
    <row r="822">
      <c r="A822" s="359" t="n"/>
      <c r="B822" s="360" t="n"/>
      <c r="C822" s="361" t="n"/>
      <c r="D822" s="362" t="n"/>
      <c r="E822" s="362" t="n"/>
      <c r="F822" s="362" t="n"/>
      <c r="G822" s="363" t="n"/>
      <c r="H822" s="360" t="n"/>
      <c r="I822" s="360" t="n"/>
      <c r="J822" s="364" t="str">
        <f>IF($G822="","",IF($H822=1,$G822-ROUND($G822*10/23,0)-2*ROUND($G822/23,0),IF($H822=2,$G822,0)))</f>
        <v/>
      </c>
      <c r="K822" s="364" t="str">
        <f>IF($G822="","",IF($H822=1,ROUND($G822*10/23,0),IF($H822=3,$G822-2*ROUND($G822/12,0),IF($H822=4,$G822,IF(OR($H822=5,$H822=7),ROUND($G822*10/11,0),0)))))</f>
        <v/>
      </c>
      <c r="L822" s="364" t="str">
        <f>IF($G822="","",IF($H822=1,ROUND($G822/23,0),IF($H822=3,ROUND($G822/12,0),IF($H822=5,$G822-ROUND($G822*10/11,0),IF($H822=8,$G822,0)))))</f>
        <v/>
      </c>
      <c r="M822" s="364" t="str">
        <f>IF($G822="","",IF($H822=1,ROUND($G822/23,0),IF($H822=3,ROUND($G822/12,0),IF($H822=6,$G822,IF($H822=7,$G822-ROUND($G822*10/11,0),0)))))</f>
        <v/>
      </c>
      <c r="N822" s="364" t="str">
        <f>IF($G822="","",K822+L822+M822)</f>
        <v/>
      </c>
      <c r="O822" s="365" t="str">
        <f>IF($G822="","",IFERROR(VLOOKUP($D822&amp;"|"&amp;$E822,科目表!$A$5:$B$200,2,FALSE),"※未登録"))</f>
        <v/>
      </c>
      <c r="P822" s="359" t="str">
        <f>IF(OR($G822="",$C822=""),"",IF($B822="決算整理",13,MOD(MONTH($C822)-4,12)+1))</f>
        <v/>
      </c>
      <c r="Q822" s="366" t="str">
        <f>IF($G822="","",TRIM(IF(J822+K822+L822+M822&lt;&gt;$G822,"按分不一致 ","")&amp;IF(O822="※未登録","科目未登録 ","")&amp;IF(OR($H822="",ISERROR(MATCH($H822,{1,2,3,4,5,6,7,8},0))),"経費区分? ","")&amp;IF($I822="","状態未設定 ","")&amp;IF(AND(OR($I822="確認済",$I822="未確認"),$B822="月例",OR($C822="",$C822&lt;DATE(年度+2018,4,1),$C822&gt;DATE(年度+2019,3,31))),"年度外の日付 ","")&amp;IF(AND(OR($I822="確認済",$I822="未確認"),O822="対象外"),"対象外の科目 ","")))</f>
        <v/>
      </c>
      <c r="R822" s="366" t="n"/>
    </row>
    <row r="823">
      <c r="A823" s="359" t="n"/>
      <c r="B823" s="360" t="n"/>
      <c r="C823" s="361" t="n"/>
      <c r="D823" s="362" t="n"/>
      <c r="E823" s="362" t="n"/>
      <c r="F823" s="362" t="n"/>
      <c r="G823" s="363" t="n"/>
      <c r="H823" s="360" t="n"/>
      <c r="I823" s="360" t="n"/>
      <c r="J823" s="364" t="str">
        <f>IF($G823="","",IF($H823=1,$G823-ROUND($G823*10/23,0)-2*ROUND($G823/23,0),IF($H823=2,$G823,0)))</f>
        <v/>
      </c>
      <c r="K823" s="364" t="str">
        <f>IF($G823="","",IF($H823=1,ROUND($G823*10/23,0),IF($H823=3,$G823-2*ROUND($G823/12,0),IF($H823=4,$G823,IF(OR($H823=5,$H823=7),ROUND($G823*10/11,0),0)))))</f>
        <v/>
      </c>
      <c r="L823" s="364" t="str">
        <f>IF($G823="","",IF($H823=1,ROUND($G823/23,0),IF($H823=3,ROUND($G823/12,0),IF($H823=5,$G823-ROUND($G823*10/11,0),IF($H823=8,$G823,0)))))</f>
        <v/>
      </c>
      <c r="M823" s="364" t="str">
        <f>IF($G823="","",IF($H823=1,ROUND($G823/23,0),IF($H823=3,ROUND($G823/12,0),IF($H823=6,$G823,IF($H823=7,$G823-ROUND($G823*10/11,0),0)))))</f>
        <v/>
      </c>
      <c r="N823" s="364" t="str">
        <f>IF($G823="","",K823+L823+M823)</f>
        <v/>
      </c>
      <c r="O823" s="365" t="str">
        <f>IF($G823="","",IFERROR(VLOOKUP($D823&amp;"|"&amp;$E823,科目表!$A$5:$B$200,2,FALSE),"※未登録"))</f>
        <v/>
      </c>
      <c r="P823" s="359" t="str">
        <f>IF(OR($G823="",$C823=""),"",IF($B823="決算整理",13,MOD(MONTH($C823)-4,12)+1))</f>
        <v/>
      </c>
      <c r="Q823" s="366" t="str">
        <f>IF($G823="","",TRIM(IF(J823+K823+L823+M823&lt;&gt;$G823,"按分不一致 ","")&amp;IF(O823="※未登録","科目未登録 ","")&amp;IF(OR($H823="",ISERROR(MATCH($H823,{1,2,3,4,5,6,7,8},0))),"経費区分? ","")&amp;IF($I823="","状態未設定 ","")&amp;IF(AND(OR($I823="確認済",$I823="未確認"),$B823="月例",OR($C823="",$C823&lt;DATE(年度+2018,4,1),$C823&gt;DATE(年度+2019,3,31))),"年度外の日付 ","")&amp;IF(AND(OR($I823="確認済",$I823="未確認"),O823="対象外"),"対象外の科目 ","")))</f>
        <v/>
      </c>
      <c r="R823" s="366" t="n"/>
    </row>
    <row r="824">
      <c r="A824" s="359" t="n"/>
      <c r="B824" s="360" t="n"/>
      <c r="C824" s="361" t="n"/>
      <c r="D824" s="362" t="n"/>
      <c r="E824" s="362" t="n"/>
      <c r="F824" s="362" t="n"/>
      <c r="G824" s="363" t="n"/>
      <c r="H824" s="360" t="n"/>
      <c r="I824" s="360" t="n"/>
      <c r="J824" s="364" t="str">
        <f>IF($G824="","",IF($H824=1,$G824-ROUND($G824*10/23,0)-2*ROUND($G824/23,0),IF($H824=2,$G824,0)))</f>
        <v/>
      </c>
      <c r="K824" s="364" t="str">
        <f>IF($G824="","",IF($H824=1,ROUND($G824*10/23,0),IF($H824=3,$G824-2*ROUND($G824/12,0),IF($H824=4,$G824,IF(OR($H824=5,$H824=7),ROUND($G824*10/11,0),0)))))</f>
        <v/>
      </c>
      <c r="L824" s="364" t="str">
        <f>IF($G824="","",IF($H824=1,ROUND($G824/23,0),IF($H824=3,ROUND($G824/12,0),IF($H824=5,$G824-ROUND($G824*10/11,0),IF($H824=8,$G824,0)))))</f>
        <v/>
      </c>
      <c r="M824" s="364" t="str">
        <f>IF($G824="","",IF($H824=1,ROUND($G824/23,0),IF($H824=3,ROUND($G824/12,0),IF($H824=6,$G824,IF($H824=7,$G824-ROUND($G824*10/11,0),0)))))</f>
        <v/>
      </c>
      <c r="N824" s="364" t="str">
        <f>IF($G824="","",K824+L824+M824)</f>
        <v/>
      </c>
      <c r="O824" s="365" t="str">
        <f>IF($G824="","",IFERROR(VLOOKUP($D824&amp;"|"&amp;$E824,科目表!$A$5:$B$200,2,FALSE),"※未登録"))</f>
        <v/>
      </c>
      <c r="P824" s="359" t="str">
        <f>IF(OR($G824="",$C824=""),"",IF($B824="決算整理",13,MOD(MONTH($C824)-4,12)+1))</f>
        <v/>
      </c>
      <c r="Q824" s="366" t="str">
        <f>IF($G824="","",TRIM(IF(J824+K824+L824+M824&lt;&gt;$G824,"按分不一致 ","")&amp;IF(O824="※未登録","科目未登録 ","")&amp;IF(OR($H824="",ISERROR(MATCH($H824,{1,2,3,4,5,6,7,8},0))),"経費区分? ","")&amp;IF($I824="","状態未設定 ","")&amp;IF(AND(OR($I824="確認済",$I824="未確認"),$B824="月例",OR($C824="",$C824&lt;DATE(年度+2018,4,1),$C824&gt;DATE(年度+2019,3,31))),"年度外の日付 ","")&amp;IF(AND(OR($I824="確認済",$I824="未確認"),O824="対象外"),"対象外の科目 ","")))</f>
        <v/>
      </c>
      <c r="R824" s="366" t="n"/>
    </row>
    <row r="825">
      <c r="A825" s="359" t="n"/>
      <c r="B825" s="360" t="n"/>
      <c r="C825" s="361" t="n"/>
      <c r="D825" s="362" t="n"/>
      <c r="E825" s="362" t="n"/>
      <c r="F825" s="362" t="n"/>
      <c r="G825" s="363" t="n"/>
      <c r="H825" s="360" t="n"/>
      <c r="I825" s="360" t="n"/>
      <c r="J825" s="364" t="str">
        <f>IF($G825="","",IF($H825=1,$G825-ROUND($G825*10/23,0)-2*ROUND($G825/23,0),IF($H825=2,$G825,0)))</f>
        <v/>
      </c>
      <c r="K825" s="364" t="str">
        <f>IF($G825="","",IF($H825=1,ROUND($G825*10/23,0),IF($H825=3,$G825-2*ROUND($G825/12,0),IF($H825=4,$G825,IF(OR($H825=5,$H825=7),ROUND($G825*10/11,0),0)))))</f>
        <v/>
      </c>
      <c r="L825" s="364" t="str">
        <f>IF($G825="","",IF($H825=1,ROUND($G825/23,0),IF($H825=3,ROUND($G825/12,0),IF($H825=5,$G825-ROUND($G825*10/11,0),IF($H825=8,$G825,0)))))</f>
        <v/>
      </c>
      <c r="M825" s="364" t="str">
        <f>IF($G825="","",IF($H825=1,ROUND($G825/23,0),IF($H825=3,ROUND($G825/12,0),IF($H825=6,$G825,IF($H825=7,$G825-ROUND($G825*10/11,0),0)))))</f>
        <v/>
      </c>
      <c r="N825" s="364" t="str">
        <f>IF($G825="","",K825+L825+M825)</f>
        <v/>
      </c>
      <c r="O825" s="365" t="str">
        <f>IF($G825="","",IFERROR(VLOOKUP($D825&amp;"|"&amp;$E825,科目表!$A$5:$B$200,2,FALSE),"※未登録"))</f>
        <v/>
      </c>
      <c r="P825" s="359" t="str">
        <f>IF(OR($G825="",$C825=""),"",IF($B825="決算整理",13,MOD(MONTH($C825)-4,12)+1))</f>
        <v/>
      </c>
      <c r="Q825" s="366" t="str">
        <f>IF($G825="","",TRIM(IF(J825+K825+L825+M825&lt;&gt;$G825,"按分不一致 ","")&amp;IF(O825="※未登録","科目未登録 ","")&amp;IF(OR($H825="",ISERROR(MATCH($H825,{1,2,3,4,5,6,7,8},0))),"経費区分? ","")&amp;IF($I825="","状態未設定 ","")&amp;IF(AND(OR($I825="確認済",$I825="未確認"),$B825="月例",OR($C825="",$C825&lt;DATE(年度+2018,4,1),$C825&gt;DATE(年度+2019,3,31))),"年度外の日付 ","")&amp;IF(AND(OR($I825="確認済",$I825="未確認"),O825="対象外"),"対象外の科目 ","")))</f>
        <v/>
      </c>
      <c r="R825" s="366" t="n"/>
    </row>
    <row r="826">
      <c r="A826" s="359" t="n"/>
      <c r="B826" s="360" t="n"/>
      <c r="C826" s="361" t="n"/>
      <c r="D826" s="362" t="n"/>
      <c r="E826" s="362" t="n"/>
      <c r="F826" s="362" t="n"/>
      <c r="G826" s="363" t="n"/>
      <c r="H826" s="360" t="n"/>
      <c r="I826" s="360" t="n"/>
      <c r="J826" s="364" t="str">
        <f>IF($G826="","",IF($H826=1,$G826-ROUND($G826*10/23,0)-2*ROUND($G826/23,0),IF($H826=2,$G826,0)))</f>
        <v/>
      </c>
      <c r="K826" s="364" t="str">
        <f>IF($G826="","",IF($H826=1,ROUND($G826*10/23,0),IF($H826=3,$G826-2*ROUND($G826/12,0),IF($H826=4,$G826,IF(OR($H826=5,$H826=7),ROUND($G826*10/11,0),0)))))</f>
        <v/>
      </c>
      <c r="L826" s="364" t="str">
        <f>IF($G826="","",IF($H826=1,ROUND($G826/23,0),IF($H826=3,ROUND($G826/12,0),IF($H826=5,$G826-ROUND($G826*10/11,0),IF($H826=8,$G826,0)))))</f>
        <v/>
      </c>
      <c r="M826" s="364" t="str">
        <f>IF($G826="","",IF($H826=1,ROUND($G826/23,0),IF($H826=3,ROUND($G826/12,0),IF($H826=6,$G826,IF($H826=7,$G826-ROUND($G826*10/11,0),0)))))</f>
        <v/>
      </c>
      <c r="N826" s="364" t="str">
        <f>IF($G826="","",K826+L826+M826)</f>
        <v/>
      </c>
      <c r="O826" s="365" t="str">
        <f>IF($G826="","",IFERROR(VLOOKUP($D826&amp;"|"&amp;$E826,科目表!$A$5:$B$200,2,FALSE),"※未登録"))</f>
        <v/>
      </c>
      <c r="P826" s="359" t="str">
        <f>IF(OR($G826="",$C826=""),"",IF($B826="決算整理",13,MOD(MONTH($C826)-4,12)+1))</f>
        <v/>
      </c>
      <c r="Q826" s="366" t="str">
        <f>IF($G826="","",TRIM(IF(J826+K826+L826+M826&lt;&gt;$G826,"按分不一致 ","")&amp;IF(O826="※未登録","科目未登録 ","")&amp;IF(OR($H826="",ISERROR(MATCH($H826,{1,2,3,4,5,6,7,8},0))),"経費区分? ","")&amp;IF($I826="","状態未設定 ","")&amp;IF(AND(OR($I826="確認済",$I826="未確認"),$B826="月例",OR($C826="",$C826&lt;DATE(年度+2018,4,1),$C826&gt;DATE(年度+2019,3,31))),"年度外の日付 ","")&amp;IF(AND(OR($I826="確認済",$I826="未確認"),O826="対象外"),"対象外の科目 ","")))</f>
        <v/>
      </c>
      <c r="R826" s="366" t="n"/>
    </row>
    <row r="827">
      <c r="A827" s="359" t="n"/>
      <c r="B827" s="360" t="n"/>
      <c r="C827" s="361" t="n"/>
      <c r="D827" s="362" t="n"/>
      <c r="E827" s="362" t="n"/>
      <c r="F827" s="362" t="n"/>
      <c r="G827" s="363" t="n"/>
      <c r="H827" s="360" t="n"/>
      <c r="I827" s="360" t="n"/>
      <c r="J827" s="364" t="str">
        <f>IF($G827="","",IF($H827=1,$G827-ROUND($G827*10/23,0)-2*ROUND($G827/23,0),IF($H827=2,$G827,0)))</f>
        <v/>
      </c>
      <c r="K827" s="364" t="str">
        <f>IF($G827="","",IF($H827=1,ROUND($G827*10/23,0),IF($H827=3,$G827-2*ROUND($G827/12,0),IF($H827=4,$G827,IF(OR($H827=5,$H827=7),ROUND($G827*10/11,0),0)))))</f>
        <v/>
      </c>
      <c r="L827" s="364" t="str">
        <f>IF($G827="","",IF($H827=1,ROUND($G827/23,0),IF($H827=3,ROUND($G827/12,0),IF($H827=5,$G827-ROUND($G827*10/11,0),IF($H827=8,$G827,0)))))</f>
        <v/>
      </c>
      <c r="M827" s="364" t="str">
        <f>IF($G827="","",IF($H827=1,ROUND($G827/23,0),IF($H827=3,ROUND($G827/12,0),IF($H827=6,$G827,IF($H827=7,$G827-ROUND($G827*10/11,0),0)))))</f>
        <v/>
      </c>
      <c r="N827" s="364" t="str">
        <f>IF($G827="","",K827+L827+M827)</f>
        <v/>
      </c>
      <c r="O827" s="365" t="str">
        <f>IF($G827="","",IFERROR(VLOOKUP($D827&amp;"|"&amp;$E827,科目表!$A$5:$B$200,2,FALSE),"※未登録"))</f>
        <v/>
      </c>
      <c r="P827" s="359" t="str">
        <f>IF(OR($G827="",$C827=""),"",IF($B827="決算整理",13,MOD(MONTH($C827)-4,12)+1))</f>
        <v/>
      </c>
      <c r="Q827" s="366" t="str">
        <f>IF($G827="","",TRIM(IF(J827+K827+L827+M827&lt;&gt;$G827,"按分不一致 ","")&amp;IF(O827="※未登録","科目未登録 ","")&amp;IF(OR($H827="",ISERROR(MATCH($H827,{1,2,3,4,5,6,7,8},0))),"経費区分? ","")&amp;IF($I827="","状態未設定 ","")&amp;IF(AND(OR($I827="確認済",$I827="未確認"),$B827="月例",OR($C827="",$C827&lt;DATE(年度+2018,4,1),$C827&gt;DATE(年度+2019,3,31))),"年度外の日付 ","")&amp;IF(AND(OR($I827="確認済",$I827="未確認"),O827="対象外"),"対象外の科目 ","")))</f>
        <v/>
      </c>
      <c r="R827" s="366" t="n"/>
    </row>
    <row r="828">
      <c r="A828" s="359" t="n"/>
      <c r="B828" s="360" t="n"/>
      <c r="C828" s="361" t="n"/>
      <c r="D828" s="362" t="n"/>
      <c r="E828" s="362" t="n"/>
      <c r="F828" s="362" t="n"/>
      <c r="G828" s="363" t="n"/>
      <c r="H828" s="360" t="n"/>
      <c r="I828" s="360" t="n"/>
      <c r="J828" s="364" t="str">
        <f>IF($G828="","",IF($H828=1,$G828-ROUND($G828*10/23,0)-2*ROUND($G828/23,0),IF($H828=2,$G828,0)))</f>
        <v/>
      </c>
      <c r="K828" s="364" t="str">
        <f>IF($G828="","",IF($H828=1,ROUND($G828*10/23,0),IF($H828=3,$G828-2*ROUND($G828/12,0),IF($H828=4,$G828,IF(OR($H828=5,$H828=7),ROUND($G828*10/11,0),0)))))</f>
        <v/>
      </c>
      <c r="L828" s="364" t="str">
        <f>IF($G828="","",IF($H828=1,ROUND($G828/23,0),IF($H828=3,ROUND($G828/12,0),IF($H828=5,$G828-ROUND($G828*10/11,0),IF($H828=8,$G828,0)))))</f>
        <v/>
      </c>
      <c r="M828" s="364" t="str">
        <f>IF($G828="","",IF($H828=1,ROUND($G828/23,0),IF($H828=3,ROUND($G828/12,0),IF($H828=6,$G828,IF($H828=7,$G828-ROUND($G828*10/11,0),0)))))</f>
        <v/>
      </c>
      <c r="N828" s="364" t="str">
        <f>IF($G828="","",K828+L828+M828)</f>
        <v/>
      </c>
      <c r="O828" s="365" t="str">
        <f>IF($G828="","",IFERROR(VLOOKUP($D828&amp;"|"&amp;$E828,科目表!$A$5:$B$200,2,FALSE),"※未登録"))</f>
        <v/>
      </c>
      <c r="P828" s="359" t="str">
        <f>IF(OR($G828="",$C828=""),"",IF($B828="決算整理",13,MOD(MONTH($C828)-4,12)+1))</f>
        <v/>
      </c>
      <c r="Q828" s="366" t="str">
        <f>IF($G828="","",TRIM(IF(J828+K828+L828+M828&lt;&gt;$G828,"按分不一致 ","")&amp;IF(O828="※未登録","科目未登録 ","")&amp;IF(OR($H828="",ISERROR(MATCH($H828,{1,2,3,4,5,6,7,8},0))),"経費区分? ","")&amp;IF($I828="","状態未設定 ","")&amp;IF(AND(OR($I828="確認済",$I828="未確認"),$B828="月例",OR($C828="",$C828&lt;DATE(年度+2018,4,1),$C828&gt;DATE(年度+2019,3,31))),"年度外の日付 ","")&amp;IF(AND(OR($I828="確認済",$I828="未確認"),O828="対象外"),"対象外の科目 ","")))</f>
        <v/>
      </c>
      <c r="R828" s="366" t="n"/>
    </row>
    <row r="829">
      <c r="A829" s="359" t="n"/>
      <c r="B829" s="360" t="n"/>
      <c r="C829" s="361" t="n"/>
      <c r="D829" s="362" t="n"/>
      <c r="E829" s="362" t="n"/>
      <c r="F829" s="362" t="n"/>
      <c r="G829" s="363" t="n"/>
      <c r="H829" s="360" t="n"/>
      <c r="I829" s="360" t="n"/>
      <c r="J829" s="364" t="str">
        <f>IF($G829="","",IF($H829=1,$G829-ROUND($G829*10/23,0)-2*ROUND($G829/23,0),IF($H829=2,$G829,0)))</f>
        <v/>
      </c>
      <c r="K829" s="364" t="str">
        <f>IF($G829="","",IF($H829=1,ROUND($G829*10/23,0),IF($H829=3,$G829-2*ROUND($G829/12,0),IF($H829=4,$G829,IF(OR($H829=5,$H829=7),ROUND($G829*10/11,0),0)))))</f>
        <v/>
      </c>
      <c r="L829" s="364" t="str">
        <f>IF($G829="","",IF($H829=1,ROUND($G829/23,0),IF($H829=3,ROUND($G829/12,0),IF($H829=5,$G829-ROUND($G829*10/11,0),IF($H829=8,$G829,0)))))</f>
        <v/>
      </c>
      <c r="M829" s="364" t="str">
        <f>IF($G829="","",IF($H829=1,ROUND($G829/23,0),IF($H829=3,ROUND($G829/12,0),IF($H829=6,$G829,IF($H829=7,$G829-ROUND($G829*10/11,0),0)))))</f>
        <v/>
      </c>
      <c r="N829" s="364" t="str">
        <f>IF($G829="","",K829+L829+M829)</f>
        <v/>
      </c>
      <c r="O829" s="365" t="str">
        <f>IF($G829="","",IFERROR(VLOOKUP($D829&amp;"|"&amp;$E829,科目表!$A$5:$B$200,2,FALSE),"※未登録"))</f>
        <v/>
      </c>
      <c r="P829" s="359" t="str">
        <f>IF(OR($G829="",$C829=""),"",IF($B829="決算整理",13,MOD(MONTH($C829)-4,12)+1))</f>
        <v/>
      </c>
      <c r="Q829" s="366" t="str">
        <f>IF($G829="","",TRIM(IF(J829+K829+L829+M829&lt;&gt;$G829,"按分不一致 ","")&amp;IF(O829="※未登録","科目未登録 ","")&amp;IF(OR($H829="",ISERROR(MATCH($H829,{1,2,3,4,5,6,7,8},0))),"経費区分? ","")&amp;IF($I829="","状態未設定 ","")&amp;IF(AND(OR($I829="確認済",$I829="未確認"),$B829="月例",OR($C829="",$C829&lt;DATE(年度+2018,4,1),$C829&gt;DATE(年度+2019,3,31))),"年度外の日付 ","")&amp;IF(AND(OR($I829="確認済",$I829="未確認"),O829="対象外"),"対象外の科目 ","")))</f>
        <v/>
      </c>
      <c r="R829" s="366" t="n"/>
    </row>
    <row r="830">
      <c r="A830" s="359" t="n"/>
      <c r="B830" s="360" t="n"/>
      <c r="C830" s="361" t="n"/>
      <c r="D830" s="362" t="n"/>
      <c r="E830" s="362" t="n"/>
      <c r="F830" s="362" t="n"/>
      <c r="G830" s="363" t="n"/>
      <c r="H830" s="360" t="n"/>
      <c r="I830" s="360" t="n"/>
      <c r="J830" s="364" t="str">
        <f>IF($G830="","",IF($H830=1,$G830-ROUND($G830*10/23,0)-2*ROUND($G830/23,0),IF($H830=2,$G830,0)))</f>
        <v/>
      </c>
      <c r="K830" s="364" t="str">
        <f>IF($G830="","",IF($H830=1,ROUND($G830*10/23,0),IF($H830=3,$G830-2*ROUND($G830/12,0),IF($H830=4,$G830,IF(OR($H830=5,$H830=7),ROUND($G830*10/11,0),0)))))</f>
        <v/>
      </c>
      <c r="L830" s="364" t="str">
        <f>IF($G830="","",IF($H830=1,ROUND($G830/23,0),IF($H830=3,ROUND($G830/12,0),IF($H830=5,$G830-ROUND($G830*10/11,0),IF($H830=8,$G830,0)))))</f>
        <v/>
      </c>
      <c r="M830" s="364" t="str">
        <f>IF($G830="","",IF($H830=1,ROUND($G830/23,0),IF($H830=3,ROUND($G830/12,0),IF($H830=6,$G830,IF($H830=7,$G830-ROUND($G830*10/11,0),0)))))</f>
        <v/>
      </c>
      <c r="N830" s="364" t="str">
        <f>IF($G830="","",K830+L830+M830)</f>
        <v/>
      </c>
      <c r="O830" s="365" t="str">
        <f>IF($G830="","",IFERROR(VLOOKUP($D830&amp;"|"&amp;$E830,科目表!$A$5:$B$200,2,FALSE),"※未登録"))</f>
        <v/>
      </c>
      <c r="P830" s="359" t="str">
        <f>IF(OR($G830="",$C830=""),"",IF($B830="決算整理",13,MOD(MONTH($C830)-4,12)+1))</f>
        <v/>
      </c>
      <c r="Q830" s="366" t="str">
        <f>IF($G830="","",TRIM(IF(J830+K830+L830+M830&lt;&gt;$G830,"按分不一致 ","")&amp;IF(O830="※未登録","科目未登録 ","")&amp;IF(OR($H830="",ISERROR(MATCH($H830,{1,2,3,4,5,6,7,8},0))),"経費区分? ","")&amp;IF($I830="","状態未設定 ","")&amp;IF(AND(OR($I830="確認済",$I830="未確認"),$B830="月例",OR($C830="",$C830&lt;DATE(年度+2018,4,1),$C830&gt;DATE(年度+2019,3,31))),"年度外の日付 ","")&amp;IF(AND(OR($I830="確認済",$I830="未確認"),O830="対象外"),"対象外の科目 ","")))</f>
        <v/>
      </c>
      <c r="R830" s="366" t="n"/>
    </row>
    <row r="831">
      <c r="A831" s="359" t="n"/>
      <c r="B831" s="360" t="n"/>
      <c r="C831" s="361" t="n"/>
      <c r="D831" s="362" t="n"/>
      <c r="E831" s="362" t="n"/>
      <c r="F831" s="362" t="n"/>
      <c r="G831" s="363" t="n"/>
      <c r="H831" s="360" t="n"/>
      <c r="I831" s="360" t="n"/>
      <c r="J831" s="364" t="str">
        <f>IF($G831="","",IF($H831=1,$G831-ROUND($G831*10/23,0)-2*ROUND($G831/23,0),IF($H831=2,$G831,0)))</f>
        <v/>
      </c>
      <c r="K831" s="364" t="str">
        <f>IF($G831="","",IF($H831=1,ROUND($G831*10/23,0),IF($H831=3,$G831-2*ROUND($G831/12,0),IF($H831=4,$G831,IF(OR($H831=5,$H831=7),ROUND($G831*10/11,0),0)))))</f>
        <v/>
      </c>
      <c r="L831" s="364" t="str">
        <f>IF($G831="","",IF($H831=1,ROUND($G831/23,0),IF($H831=3,ROUND($G831/12,0),IF($H831=5,$G831-ROUND($G831*10/11,0),IF($H831=8,$G831,0)))))</f>
        <v/>
      </c>
      <c r="M831" s="364" t="str">
        <f>IF($G831="","",IF($H831=1,ROUND($G831/23,0),IF($H831=3,ROUND($G831/12,0),IF($H831=6,$G831,IF($H831=7,$G831-ROUND($G831*10/11,0),0)))))</f>
        <v/>
      </c>
      <c r="N831" s="364" t="str">
        <f>IF($G831="","",K831+L831+M831)</f>
        <v/>
      </c>
      <c r="O831" s="365" t="str">
        <f>IF($G831="","",IFERROR(VLOOKUP($D831&amp;"|"&amp;$E831,科目表!$A$5:$B$200,2,FALSE),"※未登録"))</f>
        <v/>
      </c>
      <c r="P831" s="359" t="str">
        <f>IF(OR($G831="",$C831=""),"",IF($B831="決算整理",13,MOD(MONTH($C831)-4,12)+1))</f>
        <v/>
      </c>
      <c r="Q831" s="366" t="str">
        <f>IF($G831="","",TRIM(IF(J831+K831+L831+M831&lt;&gt;$G831,"按分不一致 ","")&amp;IF(O831="※未登録","科目未登録 ","")&amp;IF(OR($H831="",ISERROR(MATCH($H831,{1,2,3,4,5,6,7,8},0))),"経費区分? ","")&amp;IF($I831="","状態未設定 ","")&amp;IF(AND(OR($I831="確認済",$I831="未確認"),$B831="月例",OR($C831="",$C831&lt;DATE(年度+2018,4,1),$C831&gt;DATE(年度+2019,3,31))),"年度外の日付 ","")&amp;IF(AND(OR($I831="確認済",$I831="未確認"),O831="対象外"),"対象外の科目 ","")))</f>
        <v/>
      </c>
      <c r="R831" s="366" t="n"/>
    </row>
    <row r="832">
      <c r="A832" s="359" t="n"/>
      <c r="B832" s="360" t="n"/>
      <c r="C832" s="361" t="n"/>
      <c r="D832" s="362" t="n"/>
      <c r="E832" s="362" t="n"/>
      <c r="F832" s="362" t="n"/>
      <c r="G832" s="363" t="n"/>
      <c r="H832" s="360" t="n"/>
      <c r="I832" s="360" t="n"/>
      <c r="J832" s="364" t="str">
        <f>IF($G832="","",IF($H832=1,$G832-ROUND($G832*10/23,0)-2*ROUND($G832/23,0),IF($H832=2,$G832,0)))</f>
        <v/>
      </c>
      <c r="K832" s="364" t="str">
        <f>IF($G832="","",IF($H832=1,ROUND($G832*10/23,0),IF($H832=3,$G832-2*ROUND($G832/12,0),IF($H832=4,$G832,IF(OR($H832=5,$H832=7),ROUND($G832*10/11,0),0)))))</f>
        <v/>
      </c>
      <c r="L832" s="364" t="str">
        <f>IF($G832="","",IF($H832=1,ROUND($G832/23,0),IF($H832=3,ROUND($G832/12,0),IF($H832=5,$G832-ROUND($G832*10/11,0),IF($H832=8,$G832,0)))))</f>
        <v/>
      </c>
      <c r="M832" s="364" t="str">
        <f>IF($G832="","",IF($H832=1,ROUND($G832/23,0),IF($H832=3,ROUND($G832/12,0),IF($H832=6,$G832,IF($H832=7,$G832-ROUND($G832*10/11,0),0)))))</f>
        <v/>
      </c>
      <c r="N832" s="364" t="str">
        <f>IF($G832="","",K832+L832+M832)</f>
        <v/>
      </c>
      <c r="O832" s="365" t="str">
        <f>IF($G832="","",IFERROR(VLOOKUP($D832&amp;"|"&amp;$E832,科目表!$A$5:$B$200,2,FALSE),"※未登録"))</f>
        <v/>
      </c>
      <c r="P832" s="359" t="str">
        <f>IF(OR($G832="",$C832=""),"",IF($B832="決算整理",13,MOD(MONTH($C832)-4,12)+1))</f>
        <v/>
      </c>
      <c r="Q832" s="366" t="str">
        <f>IF($G832="","",TRIM(IF(J832+K832+L832+M832&lt;&gt;$G832,"按分不一致 ","")&amp;IF(O832="※未登録","科目未登録 ","")&amp;IF(OR($H832="",ISERROR(MATCH($H832,{1,2,3,4,5,6,7,8},0))),"経費区分? ","")&amp;IF($I832="","状態未設定 ","")&amp;IF(AND(OR($I832="確認済",$I832="未確認"),$B832="月例",OR($C832="",$C832&lt;DATE(年度+2018,4,1),$C832&gt;DATE(年度+2019,3,31))),"年度外の日付 ","")&amp;IF(AND(OR($I832="確認済",$I832="未確認"),O832="対象外"),"対象外の科目 ","")))</f>
        <v/>
      </c>
      <c r="R832" s="366" t="n"/>
    </row>
    <row r="833">
      <c r="A833" s="359" t="n"/>
      <c r="B833" s="360" t="n"/>
      <c r="C833" s="361" t="n"/>
      <c r="D833" s="362" t="n"/>
      <c r="E833" s="362" t="n"/>
      <c r="F833" s="362" t="n"/>
      <c r="G833" s="363" t="n"/>
      <c r="H833" s="360" t="n"/>
      <c r="I833" s="360" t="n"/>
      <c r="J833" s="364" t="str">
        <f>IF($G833="","",IF($H833=1,$G833-ROUND($G833*10/23,0)-2*ROUND($G833/23,0),IF($H833=2,$G833,0)))</f>
        <v/>
      </c>
      <c r="K833" s="364" t="str">
        <f>IF($G833="","",IF($H833=1,ROUND($G833*10/23,0),IF($H833=3,$G833-2*ROUND($G833/12,0),IF($H833=4,$G833,IF(OR($H833=5,$H833=7),ROUND($G833*10/11,0),0)))))</f>
        <v/>
      </c>
      <c r="L833" s="364" t="str">
        <f>IF($G833="","",IF($H833=1,ROUND($G833/23,0),IF($H833=3,ROUND($G833/12,0),IF($H833=5,$G833-ROUND($G833*10/11,0),IF($H833=8,$G833,0)))))</f>
        <v/>
      </c>
      <c r="M833" s="364" t="str">
        <f>IF($G833="","",IF($H833=1,ROUND($G833/23,0),IF($H833=3,ROUND($G833/12,0),IF($H833=6,$G833,IF($H833=7,$G833-ROUND($G833*10/11,0),0)))))</f>
        <v/>
      </c>
      <c r="N833" s="364" t="str">
        <f>IF($G833="","",K833+L833+M833)</f>
        <v/>
      </c>
      <c r="O833" s="365" t="str">
        <f>IF($G833="","",IFERROR(VLOOKUP($D833&amp;"|"&amp;$E833,科目表!$A$5:$B$200,2,FALSE),"※未登録"))</f>
        <v/>
      </c>
      <c r="P833" s="359" t="str">
        <f>IF(OR($G833="",$C833=""),"",IF($B833="決算整理",13,MOD(MONTH($C833)-4,12)+1))</f>
        <v/>
      </c>
      <c r="Q833" s="366" t="str">
        <f>IF($G833="","",TRIM(IF(J833+K833+L833+M833&lt;&gt;$G833,"按分不一致 ","")&amp;IF(O833="※未登録","科目未登録 ","")&amp;IF(OR($H833="",ISERROR(MATCH($H833,{1,2,3,4,5,6,7,8},0))),"経費区分? ","")&amp;IF($I833="","状態未設定 ","")&amp;IF(AND(OR($I833="確認済",$I833="未確認"),$B833="月例",OR($C833="",$C833&lt;DATE(年度+2018,4,1),$C833&gt;DATE(年度+2019,3,31))),"年度外の日付 ","")&amp;IF(AND(OR($I833="確認済",$I833="未確認"),O833="対象外"),"対象外の科目 ","")))</f>
        <v/>
      </c>
      <c r="R833" s="366" t="n"/>
    </row>
    <row r="834">
      <c r="A834" s="359" t="n"/>
      <c r="B834" s="360" t="n"/>
      <c r="C834" s="361" t="n"/>
      <c r="D834" s="362" t="n"/>
      <c r="E834" s="362" t="n"/>
      <c r="F834" s="362" t="n"/>
      <c r="G834" s="363" t="n"/>
      <c r="H834" s="360" t="n"/>
      <c r="I834" s="360" t="n"/>
      <c r="J834" s="364" t="str">
        <f>IF($G834="","",IF($H834=1,$G834-ROUND($G834*10/23,0)-2*ROUND($G834/23,0),IF($H834=2,$G834,0)))</f>
        <v/>
      </c>
      <c r="K834" s="364" t="str">
        <f>IF($G834="","",IF($H834=1,ROUND($G834*10/23,0),IF($H834=3,$G834-2*ROUND($G834/12,0),IF($H834=4,$G834,IF(OR($H834=5,$H834=7),ROUND($G834*10/11,0),0)))))</f>
        <v/>
      </c>
      <c r="L834" s="364" t="str">
        <f>IF($G834="","",IF($H834=1,ROUND($G834/23,0),IF($H834=3,ROUND($G834/12,0),IF($H834=5,$G834-ROUND($G834*10/11,0),IF($H834=8,$G834,0)))))</f>
        <v/>
      </c>
      <c r="M834" s="364" t="str">
        <f>IF($G834="","",IF($H834=1,ROUND($G834/23,0),IF($H834=3,ROUND($G834/12,0),IF($H834=6,$G834,IF($H834=7,$G834-ROUND($G834*10/11,0),0)))))</f>
        <v/>
      </c>
      <c r="N834" s="364" t="str">
        <f>IF($G834="","",K834+L834+M834)</f>
        <v/>
      </c>
      <c r="O834" s="365" t="str">
        <f>IF($G834="","",IFERROR(VLOOKUP($D834&amp;"|"&amp;$E834,科目表!$A$5:$B$200,2,FALSE),"※未登録"))</f>
        <v/>
      </c>
      <c r="P834" s="359" t="str">
        <f>IF(OR($G834="",$C834=""),"",IF($B834="決算整理",13,MOD(MONTH($C834)-4,12)+1))</f>
        <v/>
      </c>
      <c r="Q834" s="366" t="str">
        <f>IF($G834="","",TRIM(IF(J834+K834+L834+M834&lt;&gt;$G834,"按分不一致 ","")&amp;IF(O834="※未登録","科目未登録 ","")&amp;IF(OR($H834="",ISERROR(MATCH($H834,{1,2,3,4,5,6,7,8},0))),"経費区分? ","")&amp;IF($I834="","状態未設定 ","")&amp;IF(AND(OR($I834="確認済",$I834="未確認"),$B834="月例",OR($C834="",$C834&lt;DATE(年度+2018,4,1),$C834&gt;DATE(年度+2019,3,31))),"年度外の日付 ","")&amp;IF(AND(OR($I834="確認済",$I834="未確認"),O834="対象外"),"対象外の科目 ","")))</f>
        <v/>
      </c>
      <c r="R834" s="366" t="n"/>
    </row>
    <row r="835">
      <c r="A835" s="359" t="n"/>
      <c r="B835" s="360" t="n"/>
      <c r="C835" s="361" t="n"/>
      <c r="D835" s="362" t="n"/>
      <c r="E835" s="362" t="n"/>
      <c r="F835" s="362" t="n"/>
      <c r="G835" s="363" t="n"/>
      <c r="H835" s="360" t="n"/>
      <c r="I835" s="360" t="n"/>
      <c r="J835" s="364" t="str">
        <f>IF($G835="","",IF($H835=1,$G835-ROUND($G835*10/23,0)-2*ROUND($G835/23,0),IF($H835=2,$G835,0)))</f>
        <v/>
      </c>
      <c r="K835" s="364" t="str">
        <f>IF($G835="","",IF($H835=1,ROUND($G835*10/23,0),IF($H835=3,$G835-2*ROUND($G835/12,0),IF($H835=4,$G835,IF(OR($H835=5,$H835=7),ROUND($G835*10/11,0),0)))))</f>
        <v/>
      </c>
      <c r="L835" s="364" t="str">
        <f>IF($G835="","",IF($H835=1,ROUND($G835/23,0),IF($H835=3,ROUND($G835/12,0),IF($H835=5,$G835-ROUND($G835*10/11,0),IF($H835=8,$G835,0)))))</f>
        <v/>
      </c>
      <c r="M835" s="364" t="str">
        <f>IF($G835="","",IF($H835=1,ROUND($G835/23,0),IF($H835=3,ROUND($G835/12,0),IF($H835=6,$G835,IF($H835=7,$G835-ROUND($G835*10/11,0),0)))))</f>
        <v/>
      </c>
      <c r="N835" s="364" t="str">
        <f>IF($G835="","",K835+L835+M835)</f>
        <v/>
      </c>
      <c r="O835" s="365" t="str">
        <f>IF($G835="","",IFERROR(VLOOKUP($D835&amp;"|"&amp;$E835,科目表!$A$5:$B$200,2,FALSE),"※未登録"))</f>
        <v/>
      </c>
      <c r="P835" s="359" t="str">
        <f>IF(OR($G835="",$C835=""),"",IF($B835="決算整理",13,MOD(MONTH($C835)-4,12)+1))</f>
        <v/>
      </c>
      <c r="Q835" s="366" t="str">
        <f>IF($G835="","",TRIM(IF(J835+K835+L835+M835&lt;&gt;$G835,"按分不一致 ","")&amp;IF(O835="※未登録","科目未登録 ","")&amp;IF(OR($H835="",ISERROR(MATCH($H835,{1,2,3,4,5,6,7,8},0))),"経費区分? ","")&amp;IF($I835="","状態未設定 ","")&amp;IF(AND(OR($I835="確認済",$I835="未確認"),$B835="月例",OR($C835="",$C835&lt;DATE(年度+2018,4,1),$C835&gt;DATE(年度+2019,3,31))),"年度外の日付 ","")&amp;IF(AND(OR($I835="確認済",$I835="未確認"),O835="対象外"),"対象外の科目 ","")))</f>
        <v/>
      </c>
      <c r="R835" s="366" t="n"/>
    </row>
    <row r="836">
      <c r="A836" s="359" t="n"/>
      <c r="B836" s="360" t="n"/>
      <c r="C836" s="361" t="n"/>
      <c r="D836" s="362" t="n"/>
      <c r="E836" s="362" t="n"/>
      <c r="F836" s="362" t="n"/>
      <c r="G836" s="363" t="n"/>
      <c r="H836" s="360" t="n"/>
      <c r="I836" s="360" t="n"/>
      <c r="J836" s="364" t="str">
        <f>IF($G836="","",IF($H836=1,$G836-ROUND($G836*10/23,0)-2*ROUND($G836/23,0),IF($H836=2,$G836,0)))</f>
        <v/>
      </c>
      <c r="K836" s="364" t="str">
        <f>IF($G836="","",IF($H836=1,ROUND($G836*10/23,0),IF($H836=3,$G836-2*ROUND($G836/12,0),IF($H836=4,$G836,IF(OR($H836=5,$H836=7),ROUND($G836*10/11,0),0)))))</f>
        <v/>
      </c>
      <c r="L836" s="364" t="str">
        <f>IF($G836="","",IF($H836=1,ROUND($G836/23,0),IF($H836=3,ROUND($G836/12,0),IF($H836=5,$G836-ROUND($G836*10/11,0),IF($H836=8,$G836,0)))))</f>
        <v/>
      </c>
      <c r="M836" s="364" t="str">
        <f>IF($G836="","",IF($H836=1,ROUND($G836/23,0),IF($H836=3,ROUND($G836/12,0),IF($H836=6,$G836,IF($H836=7,$G836-ROUND($G836*10/11,0),0)))))</f>
        <v/>
      </c>
      <c r="N836" s="364" t="str">
        <f>IF($G836="","",K836+L836+M836)</f>
        <v/>
      </c>
      <c r="O836" s="365" t="str">
        <f>IF($G836="","",IFERROR(VLOOKUP($D836&amp;"|"&amp;$E836,科目表!$A$5:$B$200,2,FALSE),"※未登録"))</f>
        <v/>
      </c>
      <c r="P836" s="359" t="str">
        <f>IF(OR($G836="",$C836=""),"",IF($B836="決算整理",13,MOD(MONTH($C836)-4,12)+1))</f>
        <v/>
      </c>
      <c r="Q836" s="366" t="str">
        <f>IF($G836="","",TRIM(IF(J836+K836+L836+M836&lt;&gt;$G836,"按分不一致 ","")&amp;IF(O836="※未登録","科目未登録 ","")&amp;IF(OR($H836="",ISERROR(MATCH($H836,{1,2,3,4,5,6,7,8},0))),"経費区分? ","")&amp;IF($I836="","状態未設定 ","")&amp;IF(AND(OR($I836="確認済",$I836="未確認"),$B836="月例",OR($C836="",$C836&lt;DATE(年度+2018,4,1),$C836&gt;DATE(年度+2019,3,31))),"年度外の日付 ","")&amp;IF(AND(OR($I836="確認済",$I836="未確認"),O836="対象外"),"対象外の科目 ","")))</f>
        <v/>
      </c>
      <c r="R836" s="366" t="n"/>
    </row>
    <row r="837">
      <c r="A837" s="359" t="n"/>
      <c r="B837" s="360" t="n"/>
      <c r="C837" s="361" t="n"/>
      <c r="D837" s="362" t="n"/>
      <c r="E837" s="362" t="n"/>
      <c r="F837" s="362" t="n"/>
      <c r="G837" s="363" t="n"/>
      <c r="H837" s="360" t="n"/>
      <c r="I837" s="360" t="n"/>
      <c r="J837" s="364" t="str">
        <f>IF($G837="","",IF($H837=1,$G837-ROUND($G837*10/23,0)-2*ROUND($G837/23,0),IF($H837=2,$G837,0)))</f>
        <v/>
      </c>
      <c r="K837" s="364" t="str">
        <f>IF($G837="","",IF($H837=1,ROUND($G837*10/23,0),IF($H837=3,$G837-2*ROUND($G837/12,0),IF($H837=4,$G837,IF(OR($H837=5,$H837=7),ROUND($G837*10/11,0),0)))))</f>
        <v/>
      </c>
      <c r="L837" s="364" t="str">
        <f>IF($G837="","",IF($H837=1,ROUND($G837/23,0),IF($H837=3,ROUND($G837/12,0),IF($H837=5,$G837-ROUND($G837*10/11,0),IF($H837=8,$G837,0)))))</f>
        <v/>
      </c>
      <c r="M837" s="364" t="str">
        <f>IF($G837="","",IF($H837=1,ROUND($G837/23,0),IF($H837=3,ROUND($G837/12,0),IF($H837=6,$G837,IF($H837=7,$G837-ROUND($G837*10/11,0),0)))))</f>
        <v/>
      </c>
      <c r="N837" s="364" t="str">
        <f>IF($G837="","",K837+L837+M837)</f>
        <v/>
      </c>
      <c r="O837" s="365" t="str">
        <f>IF($G837="","",IFERROR(VLOOKUP($D837&amp;"|"&amp;$E837,科目表!$A$5:$B$200,2,FALSE),"※未登録"))</f>
        <v/>
      </c>
      <c r="P837" s="359" t="str">
        <f>IF(OR($G837="",$C837=""),"",IF($B837="決算整理",13,MOD(MONTH($C837)-4,12)+1))</f>
        <v/>
      </c>
      <c r="Q837" s="366" t="str">
        <f>IF($G837="","",TRIM(IF(J837+K837+L837+M837&lt;&gt;$G837,"按分不一致 ","")&amp;IF(O837="※未登録","科目未登録 ","")&amp;IF(OR($H837="",ISERROR(MATCH($H837,{1,2,3,4,5,6,7,8},0))),"経費区分? ","")&amp;IF($I837="","状態未設定 ","")&amp;IF(AND(OR($I837="確認済",$I837="未確認"),$B837="月例",OR($C837="",$C837&lt;DATE(年度+2018,4,1),$C837&gt;DATE(年度+2019,3,31))),"年度外の日付 ","")&amp;IF(AND(OR($I837="確認済",$I837="未確認"),O837="対象外"),"対象外の科目 ","")))</f>
        <v/>
      </c>
      <c r="R837" s="366" t="n"/>
    </row>
    <row r="838">
      <c r="A838" s="359" t="n"/>
      <c r="B838" s="360" t="n"/>
      <c r="C838" s="361" t="n"/>
      <c r="D838" s="362" t="n"/>
      <c r="E838" s="362" t="n"/>
      <c r="F838" s="362" t="n"/>
      <c r="G838" s="363" t="n"/>
      <c r="H838" s="360" t="n"/>
      <c r="I838" s="360" t="n"/>
      <c r="J838" s="364" t="str">
        <f>IF($G838="","",IF($H838=1,$G838-ROUND($G838*10/23,0)-2*ROUND($G838/23,0),IF($H838=2,$G838,0)))</f>
        <v/>
      </c>
      <c r="K838" s="364" t="str">
        <f>IF($G838="","",IF($H838=1,ROUND($G838*10/23,0),IF($H838=3,$G838-2*ROUND($G838/12,0),IF($H838=4,$G838,IF(OR($H838=5,$H838=7),ROUND($G838*10/11,0),0)))))</f>
        <v/>
      </c>
      <c r="L838" s="364" t="str">
        <f>IF($G838="","",IF($H838=1,ROUND($G838/23,0),IF($H838=3,ROUND($G838/12,0),IF($H838=5,$G838-ROUND($G838*10/11,0),IF($H838=8,$G838,0)))))</f>
        <v/>
      </c>
      <c r="M838" s="364" t="str">
        <f>IF($G838="","",IF($H838=1,ROUND($G838/23,0),IF($H838=3,ROUND($G838/12,0),IF($H838=6,$G838,IF($H838=7,$G838-ROUND($G838*10/11,0),0)))))</f>
        <v/>
      </c>
      <c r="N838" s="364" t="str">
        <f>IF($G838="","",K838+L838+M838)</f>
        <v/>
      </c>
      <c r="O838" s="365" t="str">
        <f>IF($G838="","",IFERROR(VLOOKUP($D838&amp;"|"&amp;$E838,科目表!$A$5:$B$200,2,FALSE),"※未登録"))</f>
        <v/>
      </c>
      <c r="P838" s="359" t="str">
        <f>IF(OR($G838="",$C838=""),"",IF($B838="決算整理",13,MOD(MONTH($C838)-4,12)+1))</f>
        <v/>
      </c>
      <c r="Q838" s="366" t="str">
        <f>IF($G838="","",TRIM(IF(J838+K838+L838+M838&lt;&gt;$G838,"按分不一致 ","")&amp;IF(O838="※未登録","科目未登録 ","")&amp;IF(OR($H838="",ISERROR(MATCH($H838,{1,2,3,4,5,6,7,8},0))),"経費区分? ","")&amp;IF($I838="","状態未設定 ","")&amp;IF(AND(OR($I838="確認済",$I838="未確認"),$B838="月例",OR($C838="",$C838&lt;DATE(年度+2018,4,1),$C838&gt;DATE(年度+2019,3,31))),"年度外の日付 ","")&amp;IF(AND(OR($I838="確認済",$I838="未確認"),O838="対象外"),"対象外の科目 ","")))</f>
        <v/>
      </c>
      <c r="R838" s="366" t="n"/>
    </row>
    <row r="839">
      <c r="A839" s="359" t="n"/>
      <c r="B839" s="360" t="n"/>
      <c r="C839" s="361" t="n"/>
      <c r="D839" s="362" t="n"/>
      <c r="E839" s="362" t="n"/>
      <c r="F839" s="362" t="n"/>
      <c r="G839" s="363" t="n"/>
      <c r="H839" s="360" t="n"/>
      <c r="I839" s="360" t="n"/>
      <c r="J839" s="364" t="str">
        <f>IF($G839="","",IF($H839=1,$G839-ROUND($G839*10/23,0)-2*ROUND($G839/23,0),IF($H839=2,$G839,0)))</f>
        <v/>
      </c>
      <c r="K839" s="364" t="str">
        <f>IF($G839="","",IF($H839=1,ROUND($G839*10/23,0),IF($H839=3,$G839-2*ROUND($G839/12,0),IF($H839=4,$G839,IF(OR($H839=5,$H839=7),ROUND($G839*10/11,0),0)))))</f>
        <v/>
      </c>
      <c r="L839" s="364" t="str">
        <f>IF($G839="","",IF($H839=1,ROUND($G839/23,0),IF($H839=3,ROUND($G839/12,0),IF($H839=5,$G839-ROUND($G839*10/11,0),IF($H839=8,$G839,0)))))</f>
        <v/>
      </c>
      <c r="M839" s="364" t="str">
        <f>IF($G839="","",IF($H839=1,ROUND($G839/23,0),IF($H839=3,ROUND($G839/12,0),IF($H839=6,$G839,IF($H839=7,$G839-ROUND($G839*10/11,0),0)))))</f>
        <v/>
      </c>
      <c r="N839" s="364" t="str">
        <f>IF($G839="","",K839+L839+M839)</f>
        <v/>
      </c>
      <c r="O839" s="365" t="str">
        <f>IF($G839="","",IFERROR(VLOOKUP($D839&amp;"|"&amp;$E839,科目表!$A$5:$B$200,2,FALSE),"※未登録"))</f>
        <v/>
      </c>
      <c r="P839" s="359" t="str">
        <f>IF(OR($G839="",$C839=""),"",IF($B839="決算整理",13,MOD(MONTH($C839)-4,12)+1))</f>
        <v/>
      </c>
      <c r="Q839" s="366" t="str">
        <f>IF($G839="","",TRIM(IF(J839+K839+L839+M839&lt;&gt;$G839,"按分不一致 ","")&amp;IF(O839="※未登録","科目未登録 ","")&amp;IF(OR($H839="",ISERROR(MATCH($H839,{1,2,3,4,5,6,7,8},0))),"経費区分? ","")&amp;IF($I839="","状態未設定 ","")&amp;IF(AND(OR($I839="確認済",$I839="未確認"),$B839="月例",OR($C839="",$C839&lt;DATE(年度+2018,4,1),$C839&gt;DATE(年度+2019,3,31))),"年度外の日付 ","")&amp;IF(AND(OR($I839="確認済",$I839="未確認"),O839="対象外"),"対象外の科目 ","")))</f>
        <v/>
      </c>
      <c r="R839" s="366" t="n"/>
    </row>
    <row r="840">
      <c r="A840" s="359" t="n"/>
      <c r="B840" s="360" t="n"/>
      <c r="C840" s="361" t="n"/>
      <c r="D840" s="362" t="n"/>
      <c r="E840" s="362" t="n"/>
      <c r="F840" s="362" t="n"/>
      <c r="G840" s="363" t="n"/>
      <c r="H840" s="360" t="n"/>
      <c r="I840" s="360" t="n"/>
      <c r="J840" s="364" t="str">
        <f>IF($G840="","",IF($H840=1,$G840-ROUND($G840*10/23,0)-2*ROUND($G840/23,0),IF($H840=2,$G840,0)))</f>
        <v/>
      </c>
      <c r="K840" s="364" t="str">
        <f>IF($G840="","",IF($H840=1,ROUND($G840*10/23,0),IF($H840=3,$G840-2*ROUND($G840/12,0),IF($H840=4,$G840,IF(OR($H840=5,$H840=7),ROUND($G840*10/11,0),0)))))</f>
        <v/>
      </c>
      <c r="L840" s="364" t="str">
        <f>IF($G840="","",IF($H840=1,ROUND($G840/23,0),IF($H840=3,ROUND($G840/12,0),IF($H840=5,$G840-ROUND($G840*10/11,0),IF($H840=8,$G840,0)))))</f>
        <v/>
      </c>
      <c r="M840" s="364" t="str">
        <f>IF($G840="","",IF($H840=1,ROUND($G840/23,0),IF($H840=3,ROUND($G840/12,0),IF($H840=6,$G840,IF($H840=7,$G840-ROUND($G840*10/11,0),0)))))</f>
        <v/>
      </c>
      <c r="N840" s="364" t="str">
        <f>IF($G840="","",K840+L840+M840)</f>
        <v/>
      </c>
      <c r="O840" s="365" t="str">
        <f>IF($G840="","",IFERROR(VLOOKUP($D840&amp;"|"&amp;$E840,科目表!$A$5:$B$200,2,FALSE),"※未登録"))</f>
        <v/>
      </c>
      <c r="P840" s="359" t="str">
        <f>IF(OR($G840="",$C840=""),"",IF($B840="決算整理",13,MOD(MONTH($C840)-4,12)+1))</f>
        <v/>
      </c>
      <c r="Q840" s="366" t="str">
        <f>IF($G840="","",TRIM(IF(J840+K840+L840+M840&lt;&gt;$G840,"按分不一致 ","")&amp;IF(O840="※未登録","科目未登録 ","")&amp;IF(OR($H840="",ISERROR(MATCH($H840,{1,2,3,4,5,6,7,8},0))),"経費区分? ","")&amp;IF($I840="","状態未設定 ","")&amp;IF(AND(OR($I840="確認済",$I840="未確認"),$B840="月例",OR($C840="",$C840&lt;DATE(年度+2018,4,1),$C840&gt;DATE(年度+2019,3,31))),"年度外の日付 ","")&amp;IF(AND(OR($I840="確認済",$I840="未確認"),O840="対象外"),"対象外の科目 ","")))</f>
        <v/>
      </c>
      <c r="R840" s="366" t="n"/>
    </row>
    <row r="841">
      <c r="A841" s="359" t="n"/>
      <c r="B841" s="360" t="n"/>
      <c r="C841" s="361" t="n"/>
      <c r="D841" s="362" t="n"/>
      <c r="E841" s="362" t="n"/>
      <c r="F841" s="362" t="n"/>
      <c r="G841" s="363" t="n"/>
      <c r="H841" s="360" t="n"/>
      <c r="I841" s="360" t="n"/>
      <c r="J841" s="364" t="str">
        <f>IF($G841="","",IF($H841=1,$G841-ROUND($G841*10/23,0)-2*ROUND($G841/23,0),IF($H841=2,$G841,0)))</f>
        <v/>
      </c>
      <c r="K841" s="364" t="str">
        <f>IF($G841="","",IF($H841=1,ROUND($G841*10/23,0),IF($H841=3,$G841-2*ROUND($G841/12,0),IF($H841=4,$G841,IF(OR($H841=5,$H841=7),ROUND($G841*10/11,0),0)))))</f>
        <v/>
      </c>
      <c r="L841" s="364" t="str">
        <f>IF($G841="","",IF($H841=1,ROUND($G841/23,0),IF($H841=3,ROUND($G841/12,0),IF($H841=5,$G841-ROUND($G841*10/11,0),IF($H841=8,$G841,0)))))</f>
        <v/>
      </c>
      <c r="M841" s="364" t="str">
        <f>IF($G841="","",IF($H841=1,ROUND($G841/23,0),IF($H841=3,ROUND($G841/12,0),IF($H841=6,$G841,IF($H841=7,$G841-ROUND($G841*10/11,0),0)))))</f>
        <v/>
      </c>
      <c r="N841" s="364" t="str">
        <f>IF($G841="","",K841+L841+M841)</f>
        <v/>
      </c>
      <c r="O841" s="365" t="str">
        <f>IF($G841="","",IFERROR(VLOOKUP($D841&amp;"|"&amp;$E841,科目表!$A$5:$B$200,2,FALSE),"※未登録"))</f>
        <v/>
      </c>
      <c r="P841" s="359" t="str">
        <f>IF(OR($G841="",$C841=""),"",IF($B841="決算整理",13,MOD(MONTH($C841)-4,12)+1))</f>
        <v/>
      </c>
      <c r="Q841" s="366" t="str">
        <f>IF($G841="","",TRIM(IF(J841+K841+L841+M841&lt;&gt;$G841,"按分不一致 ","")&amp;IF(O841="※未登録","科目未登録 ","")&amp;IF(OR($H841="",ISERROR(MATCH($H841,{1,2,3,4,5,6,7,8},0))),"経費区分? ","")&amp;IF($I841="","状態未設定 ","")&amp;IF(AND(OR($I841="確認済",$I841="未確認"),$B841="月例",OR($C841="",$C841&lt;DATE(年度+2018,4,1),$C841&gt;DATE(年度+2019,3,31))),"年度外の日付 ","")&amp;IF(AND(OR($I841="確認済",$I841="未確認"),O841="対象外"),"対象外の科目 ","")))</f>
        <v/>
      </c>
      <c r="R841" s="366" t="n"/>
    </row>
    <row r="842">
      <c r="A842" s="359" t="n"/>
      <c r="B842" s="360" t="n"/>
      <c r="C842" s="361" t="n"/>
      <c r="D842" s="362" t="n"/>
      <c r="E842" s="362" t="n"/>
      <c r="F842" s="362" t="n"/>
      <c r="G842" s="363" t="n"/>
      <c r="H842" s="360" t="n"/>
      <c r="I842" s="360" t="n"/>
      <c r="J842" s="364" t="str">
        <f>IF($G842="","",IF($H842=1,$G842-ROUND($G842*10/23,0)-2*ROUND($G842/23,0),IF($H842=2,$G842,0)))</f>
        <v/>
      </c>
      <c r="K842" s="364" t="str">
        <f>IF($G842="","",IF($H842=1,ROUND($G842*10/23,0),IF($H842=3,$G842-2*ROUND($G842/12,0),IF($H842=4,$G842,IF(OR($H842=5,$H842=7),ROUND($G842*10/11,0),0)))))</f>
        <v/>
      </c>
      <c r="L842" s="364" t="str">
        <f>IF($G842="","",IF($H842=1,ROUND($G842/23,0),IF($H842=3,ROUND($G842/12,0),IF($H842=5,$G842-ROUND($G842*10/11,0),IF($H842=8,$G842,0)))))</f>
        <v/>
      </c>
      <c r="M842" s="364" t="str">
        <f>IF($G842="","",IF($H842=1,ROUND($G842/23,0),IF($H842=3,ROUND($G842/12,0),IF($H842=6,$G842,IF($H842=7,$G842-ROUND($G842*10/11,0),0)))))</f>
        <v/>
      </c>
      <c r="N842" s="364" t="str">
        <f>IF($G842="","",K842+L842+M842)</f>
        <v/>
      </c>
      <c r="O842" s="365" t="str">
        <f>IF($G842="","",IFERROR(VLOOKUP($D842&amp;"|"&amp;$E842,科目表!$A$5:$B$200,2,FALSE),"※未登録"))</f>
        <v/>
      </c>
      <c r="P842" s="359" t="str">
        <f>IF(OR($G842="",$C842=""),"",IF($B842="決算整理",13,MOD(MONTH($C842)-4,12)+1))</f>
        <v/>
      </c>
      <c r="Q842" s="366" t="str">
        <f>IF($G842="","",TRIM(IF(J842+K842+L842+M842&lt;&gt;$G842,"按分不一致 ","")&amp;IF(O842="※未登録","科目未登録 ","")&amp;IF(OR($H842="",ISERROR(MATCH($H842,{1,2,3,4,5,6,7,8},0))),"経費区分? ","")&amp;IF($I842="","状態未設定 ","")&amp;IF(AND(OR($I842="確認済",$I842="未確認"),$B842="月例",OR($C842="",$C842&lt;DATE(年度+2018,4,1),$C842&gt;DATE(年度+2019,3,31))),"年度外の日付 ","")&amp;IF(AND(OR($I842="確認済",$I842="未確認"),O842="対象外"),"対象外の科目 ","")))</f>
        <v/>
      </c>
      <c r="R842" s="366" t="n"/>
    </row>
    <row r="843">
      <c r="A843" s="359" t="n"/>
      <c r="B843" s="360" t="n"/>
      <c r="C843" s="361" t="n"/>
      <c r="D843" s="362" t="n"/>
      <c r="E843" s="362" t="n"/>
      <c r="F843" s="362" t="n"/>
      <c r="G843" s="363" t="n"/>
      <c r="H843" s="360" t="n"/>
      <c r="I843" s="360" t="n"/>
      <c r="J843" s="364" t="str">
        <f>IF($G843="","",IF($H843=1,$G843-ROUND($G843*10/23,0)-2*ROUND($G843/23,0),IF($H843=2,$G843,0)))</f>
        <v/>
      </c>
      <c r="K843" s="364" t="str">
        <f>IF($G843="","",IF($H843=1,ROUND($G843*10/23,0),IF($H843=3,$G843-2*ROUND($G843/12,0),IF($H843=4,$G843,IF(OR($H843=5,$H843=7),ROUND($G843*10/11,0),0)))))</f>
        <v/>
      </c>
      <c r="L843" s="364" t="str">
        <f>IF($G843="","",IF($H843=1,ROUND($G843/23,0),IF($H843=3,ROUND($G843/12,0),IF($H843=5,$G843-ROUND($G843*10/11,0),IF($H843=8,$G843,0)))))</f>
        <v/>
      </c>
      <c r="M843" s="364" t="str">
        <f>IF($G843="","",IF($H843=1,ROUND($G843/23,0),IF($H843=3,ROUND($G843/12,0),IF($H843=6,$G843,IF($H843=7,$G843-ROUND($G843*10/11,0),0)))))</f>
        <v/>
      </c>
      <c r="N843" s="364" t="str">
        <f>IF($G843="","",K843+L843+M843)</f>
        <v/>
      </c>
      <c r="O843" s="365" t="str">
        <f>IF($G843="","",IFERROR(VLOOKUP($D843&amp;"|"&amp;$E843,科目表!$A$5:$B$200,2,FALSE),"※未登録"))</f>
        <v/>
      </c>
      <c r="P843" s="359" t="str">
        <f>IF(OR($G843="",$C843=""),"",IF($B843="決算整理",13,MOD(MONTH($C843)-4,12)+1))</f>
        <v/>
      </c>
      <c r="Q843" s="366" t="str">
        <f>IF($G843="","",TRIM(IF(J843+K843+L843+M843&lt;&gt;$G843,"按分不一致 ","")&amp;IF(O843="※未登録","科目未登録 ","")&amp;IF(OR($H843="",ISERROR(MATCH($H843,{1,2,3,4,5,6,7,8},0))),"経費区分? ","")&amp;IF($I843="","状態未設定 ","")&amp;IF(AND(OR($I843="確認済",$I843="未確認"),$B843="月例",OR($C843="",$C843&lt;DATE(年度+2018,4,1),$C843&gt;DATE(年度+2019,3,31))),"年度外の日付 ","")&amp;IF(AND(OR($I843="確認済",$I843="未確認"),O843="対象外"),"対象外の科目 ","")))</f>
        <v/>
      </c>
      <c r="R843" s="366" t="n"/>
    </row>
    <row r="844">
      <c r="A844" s="359" t="n"/>
      <c r="B844" s="360" t="n"/>
      <c r="C844" s="361" t="n"/>
      <c r="D844" s="362" t="n"/>
      <c r="E844" s="362" t="n"/>
      <c r="F844" s="362" t="n"/>
      <c r="G844" s="363" t="n"/>
      <c r="H844" s="360" t="n"/>
      <c r="I844" s="360" t="n"/>
      <c r="J844" s="364" t="str">
        <f>IF($G844="","",IF($H844=1,$G844-ROUND($G844*10/23,0)-2*ROUND($G844/23,0),IF($H844=2,$G844,0)))</f>
        <v/>
      </c>
      <c r="K844" s="364" t="str">
        <f>IF($G844="","",IF($H844=1,ROUND($G844*10/23,0),IF($H844=3,$G844-2*ROUND($G844/12,0),IF($H844=4,$G844,IF(OR($H844=5,$H844=7),ROUND($G844*10/11,0),0)))))</f>
        <v/>
      </c>
      <c r="L844" s="364" t="str">
        <f>IF($G844="","",IF($H844=1,ROUND($G844/23,0),IF($H844=3,ROUND($G844/12,0),IF($H844=5,$G844-ROUND($G844*10/11,0),IF($H844=8,$G844,0)))))</f>
        <v/>
      </c>
      <c r="M844" s="364" t="str">
        <f>IF($G844="","",IF($H844=1,ROUND($G844/23,0),IF($H844=3,ROUND($G844/12,0),IF($H844=6,$G844,IF($H844=7,$G844-ROUND($G844*10/11,0),0)))))</f>
        <v/>
      </c>
      <c r="N844" s="364" t="str">
        <f>IF($G844="","",K844+L844+M844)</f>
        <v/>
      </c>
      <c r="O844" s="365" t="str">
        <f>IF($G844="","",IFERROR(VLOOKUP($D844&amp;"|"&amp;$E844,科目表!$A$5:$B$200,2,FALSE),"※未登録"))</f>
        <v/>
      </c>
      <c r="P844" s="359" t="str">
        <f>IF(OR($G844="",$C844=""),"",IF($B844="決算整理",13,MOD(MONTH($C844)-4,12)+1))</f>
        <v/>
      </c>
      <c r="Q844" s="366" t="str">
        <f>IF($G844="","",TRIM(IF(J844+K844+L844+M844&lt;&gt;$G844,"按分不一致 ","")&amp;IF(O844="※未登録","科目未登録 ","")&amp;IF(OR($H844="",ISERROR(MATCH($H844,{1,2,3,4,5,6,7,8},0))),"経費区分? ","")&amp;IF($I844="","状態未設定 ","")&amp;IF(AND(OR($I844="確認済",$I844="未確認"),$B844="月例",OR($C844="",$C844&lt;DATE(年度+2018,4,1),$C844&gt;DATE(年度+2019,3,31))),"年度外の日付 ","")&amp;IF(AND(OR($I844="確認済",$I844="未確認"),O844="対象外"),"対象外の科目 ","")))</f>
        <v/>
      </c>
      <c r="R844" s="366" t="n"/>
    </row>
    <row r="845">
      <c r="A845" s="359" t="n"/>
      <c r="B845" s="360" t="n"/>
      <c r="C845" s="361" t="n"/>
      <c r="D845" s="362" t="n"/>
      <c r="E845" s="362" t="n"/>
      <c r="F845" s="362" t="n"/>
      <c r="G845" s="363" t="n"/>
      <c r="H845" s="360" t="n"/>
      <c r="I845" s="360" t="n"/>
      <c r="J845" s="364" t="str">
        <f>IF($G845="","",IF($H845=1,$G845-ROUND($G845*10/23,0)-2*ROUND($G845/23,0),IF($H845=2,$G845,0)))</f>
        <v/>
      </c>
      <c r="K845" s="364" t="str">
        <f>IF($G845="","",IF($H845=1,ROUND($G845*10/23,0),IF($H845=3,$G845-2*ROUND($G845/12,0),IF($H845=4,$G845,IF(OR($H845=5,$H845=7),ROUND($G845*10/11,0),0)))))</f>
        <v/>
      </c>
      <c r="L845" s="364" t="str">
        <f>IF($G845="","",IF($H845=1,ROUND($G845/23,0),IF($H845=3,ROUND($G845/12,0),IF($H845=5,$G845-ROUND($G845*10/11,0),IF($H845=8,$G845,0)))))</f>
        <v/>
      </c>
      <c r="M845" s="364" t="str">
        <f>IF($G845="","",IF($H845=1,ROUND($G845/23,0),IF($H845=3,ROUND($G845/12,0),IF($H845=6,$G845,IF($H845=7,$G845-ROUND($G845*10/11,0),0)))))</f>
        <v/>
      </c>
      <c r="N845" s="364" t="str">
        <f>IF($G845="","",K845+L845+M845)</f>
        <v/>
      </c>
      <c r="O845" s="365" t="str">
        <f>IF($G845="","",IFERROR(VLOOKUP($D845&amp;"|"&amp;$E845,科目表!$A$5:$B$200,2,FALSE),"※未登録"))</f>
        <v/>
      </c>
      <c r="P845" s="359" t="str">
        <f>IF(OR($G845="",$C845=""),"",IF($B845="決算整理",13,MOD(MONTH($C845)-4,12)+1))</f>
        <v/>
      </c>
      <c r="Q845" s="366" t="str">
        <f>IF($G845="","",TRIM(IF(J845+K845+L845+M845&lt;&gt;$G845,"按分不一致 ","")&amp;IF(O845="※未登録","科目未登録 ","")&amp;IF(OR($H845="",ISERROR(MATCH($H845,{1,2,3,4,5,6,7,8},0))),"経費区分? ","")&amp;IF($I845="","状態未設定 ","")&amp;IF(AND(OR($I845="確認済",$I845="未確認"),$B845="月例",OR($C845="",$C845&lt;DATE(年度+2018,4,1),$C845&gt;DATE(年度+2019,3,31))),"年度外の日付 ","")&amp;IF(AND(OR($I845="確認済",$I845="未確認"),O845="対象外"),"対象外の科目 ","")))</f>
        <v/>
      </c>
      <c r="R845" s="366" t="n"/>
    </row>
    <row r="846">
      <c r="A846" s="359" t="n"/>
      <c r="B846" s="360" t="n"/>
      <c r="C846" s="361" t="n"/>
      <c r="D846" s="362" t="n"/>
      <c r="E846" s="362" t="n"/>
      <c r="F846" s="362" t="n"/>
      <c r="G846" s="363" t="n"/>
      <c r="H846" s="360" t="n"/>
      <c r="I846" s="360" t="n"/>
      <c r="J846" s="364" t="str">
        <f>IF($G846="","",IF($H846=1,$G846-ROUND($G846*10/23,0)-2*ROUND($G846/23,0),IF($H846=2,$G846,0)))</f>
        <v/>
      </c>
      <c r="K846" s="364" t="str">
        <f>IF($G846="","",IF($H846=1,ROUND($G846*10/23,0),IF($H846=3,$G846-2*ROUND($G846/12,0),IF($H846=4,$G846,IF(OR($H846=5,$H846=7),ROUND($G846*10/11,0),0)))))</f>
        <v/>
      </c>
      <c r="L846" s="364" t="str">
        <f>IF($G846="","",IF($H846=1,ROUND($G846/23,0),IF($H846=3,ROUND($G846/12,0),IF($H846=5,$G846-ROUND($G846*10/11,0),IF($H846=8,$G846,0)))))</f>
        <v/>
      </c>
      <c r="M846" s="364" t="str">
        <f>IF($G846="","",IF($H846=1,ROUND($G846/23,0),IF($H846=3,ROUND($G846/12,0),IF($H846=6,$G846,IF($H846=7,$G846-ROUND($G846*10/11,0),0)))))</f>
        <v/>
      </c>
      <c r="N846" s="364" t="str">
        <f>IF($G846="","",K846+L846+M846)</f>
        <v/>
      </c>
      <c r="O846" s="365" t="str">
        <f>IF($G846="","",IFERROR(VLOOKUP($D846&amp;"|"&amp;$E846,科目表!$A$5:$B$200,2,FALSE),"※未登録"))</f>
        <v/>
      </c>
      <c r="P846" s="359" t="str">
        <f>IF(OR($G846="",$C846=""),"",IF($B846="決算整理",13,MOD(MONTH($C846)-4,12)+1))</f>
        <v/>
      </c>
      <c r="Q846" s="366" t="str">
        <f>IF($G846="","",TRIM(IF(J846+K846+L846+M846&lt;&gt;$G846,"按分不一致 ","")&amp;IF(O846="※未登録","科目未登録 ","")&amp;IF(OR($H846="",ISERROR(MATCH($H846,{1,2,3,4,5,6,7,8},0))),"経費区分? ","")&amp;IF($I846="","状態未設定 ","")&amp;IF(AND(OR($I846="確認済",$I846="未確認"),$B846="月例",OR($C846="",$C846&lt;DATE(年度+2018,4,1),$C846&gt;DATE(年度+2019,3,31))),"年度外の日付 ","")&amp;IF(AND(OR($I846="確認済",$I846="未確認"),O846="対象外"),"対象外の科目 ","")))</f>
        <v/>
      </c>
      <c r="R846" s="366" t="n"/>
    </row>
    <row r="847">
      <c r="A847" s="359" t="n"/>
      <c r="B847" s="360" t="n"/>
      <c r="C847" s="361" t="n"/>
      <c r="D847" s="362" t="n"/>
      <c r="E847" s="362" t="n"/>
      <c r="F847" s="362" t="n"/>
      <c r="G847" s="363" t="n"/>
      <c r="H847" s="360" t="n"/>
      <c r="I847" s="360" t="n"/>
      <c r="J847" s="364" t="str">
        <f>IF($G847="","",IF($H847=1,$G847-ROUND($G847*10/23,0)-2*ROUND($G847/23,0),IF($H847=2,$G847,0)))</f>
        <v/>
      </c>
      <c r="K847" s="364" t="str">
        <f>IF($G847="","",IF($H847=1,ROUND($G847*10/23,0),IF($H847=3,$G847-2*ROUND($G847/12,0),IF($H847=4,$G847,IF(OR($H847=5,$H847=7),ROUND($G847*10/11,0),0)))))</f>
        <v/>
      </c>
      <c r="L847" s="364" t="str">
        <f>IF($G847="","",IF($H847=1,ROUND($G847/23,0),IF($H847=3,ROUND($G847/12,0),IF($H847=5,$G847-ROUND($G847*10/11,0),IF($H847=8,$G847,0)))))</f>
        <v/>
      </c>
      <c r="M847" s="364" t="str">
        <f>IF($G847="","",IF($H847=1,ROUND($G847/23,0),IF($H847=3,ROUND($G847/12,0),IF($H847=6,$G847,IF($H847=7,$G847-ROUND($G847*10/11,0),0)))))</f>
        <v/>
      </c>
      <c r="N847" s="364" t="str">
        <f>IF($G847="","",K847+L847+M847)</f>
        <v/>
      </c>
      <c r="O847" s="365" t="str">
        <f>IF($G847="","",IFERROR(VLOOKUP($D847&amp;"|"&amp;$E847,科目表!$A$5:$B$200,2,FALSE),"※未登録"))</f>
        <v/>
      </c>
      <c r="P847" s="359" t="str">
        <f>IF(OR($G847="",$C847=""),"",IF($B847="決算整理",13,MOD(MONTH($C847)-4,12)+1))</f>
        <v/>
      </c>
      <c r="Q847" s="366" t="str">
        <f>IF($G847="","",TRIM(IF(J847+K847+L847+M847&lt;&gt;$G847,"按分不一致 ","")&amp;IF(O847="※未登録","科目未登録 ","")&amp;IF(OR($H847="",ISERROR(MATCH($H847,{1,2,3,4,5,6,7,8},0))),"経費区分? ","")&amp;IF($I847="","状態未設定 ","")&amp;IF(AND(OR($I847="確認済",$I847="未確認"),$B847="月例",OR($C847="",$C847&lt;DATE(年度+2018,4,1),$C847&gt;DATE(年度+2019,3,31))),"年度外の日付 ","")&amp;IF(AND(OR($I847="確認済",$I847="未確認"),O847="対象外"),"対象外の科目 ","")))</f>
        <v/>
      </c>
      <c r="R847" s="366" t="n"/>
    </row>
    <row r="848">
      <c r="A848" s="359" t="n"/>
      <c r="B848" s="360" t="n"/>
      <c r="C848" s="361" t="n"/>
      <c r="D848" s="362" t="n"/>
      <c r="E848" s="362" t="n"/>
      <c r="F848" s="362" t="n"/>
      <c r="G848" s="363" t="n"/>
      <c r="H848" s="360" t="n"/>
      <c r="I848" s="360" t="n"/>
      <c r="J848" s="364" t="str">
        <f>IF($G848="","",IF($H848=1,$G848-ROUND($G848*10/23,0)-2*ROUND($G848/23,0),IF($H848=2,$G848,0)))</f>
        <v/>
      </c>
      <c r="K848" s="364" t="str">
        <f>IF($G848="","",IF($H848=1,ROUND($G848*10/23,0),IF($H848=3,$G848-2*ROUND($G848/12,0),IF($H848=4,$G848,IF(OR($H848=5,$H848=7),ROUND($G848*10/11,0),0)))))</f>
        <v/>
      </c>
      <c r="L848" s="364" t="str">
        <f>IF($G848="","",IF($H848=1,ROUND($G848/23,0),IF($H848=3,ROUND($G848/12,0),IF($H848=5,$G848-ROUND($G848*10/11,0),IF($H848=8,$G848,0)))))</f>
        <v/>
      </c>
      <c r="M848" s="364" t="str">
        <f>IF($G848="","",IF($H848=1,ROUND($G848/23,0),IF($H848=3,ROUND($G848/12,0),IF($H848=6,$G848,IF($H848=7,$G848-ROUND($G848*10/11,0),0)))))</f>
        <v/>
      </c>
      <c r="N848" s="364" t="str">
        <f>IF($G848="","",K848+L848+M848)</f>
        <v/>
      </c>
      <c r="O848" s="365" t="str">
        <f>IF($G848="","",IFERROR(VLOOKUP($D848&amp;"|"&amp;$E848,科目表!$A$5:$B$200,2,FALSE),"※未登録"))</f>
        <v/>
      </c>
      <c r="P848" s="359" t="str">
        <f>IF(OR($G848="",$C848=""),"",IF($B848="決算整理",13,MOD(MONTH($C848)-4,12)+1))</f>
        <v/>
      </c>
      <c r="Q848" s="366" t="str">
        <f>IF($G848="","",TRIM(IF(J848+K848+L848+M848&lt;&gt;$G848,"按分不一致 ","")&amp;IF(O848="※未登録","科目未登録 ","")&amp;IF(OR($H848="",ISERROR(MATCH($H848,{1,2,3,4,5,6,7,8},0))),"経費区分? ","")&amp;IF($I848="","状態未設定 ","")&amp;IF(AND(OR($I848="確認済",$I848="未確認"),$B848="月例",OR($C848="",$C848&lt;DATE(年度+2018,4,1),$C848&gt;DATE(年度+2019,3,31))),"年度外の日付 ","")&amp;IF(AND(OR($I848="確認済",$I848="未確認"),O848="対象外"),"対象外の科目 ","")))</f>
        <v/>
      </c>
      <c r="R848" s="366" t="n"/>
    </row>
    <row r="849">
      <c r="A849" s="359" t="n"/>
      <c r="B849" s="360" t="n"/>
      <c r="C849" s="361" t="n"/>
      <c r="D849" s="362" t="n"/>
      <c r="E849" s="362" t="n"/>
      <c r="F849" s="362" t="n"/>
      <c r="G849" s="363" t="n"/>
      <c r="H849" s="360" t="n"/>
      <c r="I849" s="360" t="n"/>
      <c r="J849" s="364" t="str">
        <f>IF($G849="","",IF($H849=1,$G849-ROUND($G849*10/23,0)-2*ROUND($G849/23,0),IF($H849=2,$G849,0)))</f>
        <v/>
      </c>
      <c r="K849" s="364" t="str">
        <f>IF($G849="","",IF($H849=1,ROUND($G849*10/23,0),IF($H849=3,$G849-2*ROUND($G849/12,0),IF($H849=4,$G849,IF(OR($H849=5,$H849=7),ROUND($G849*10/11,0),0)))))</f>
        <v/>
      </c>
      <c r="L849" s="364" t="str">
        <f>IF($G849="","",IF($H849=1,ROUND($G849/23,0),IF($H849=3,ROUND($G849/12,0),IF($H849=5,$G849-ROUND($G849*10/11,0),IF($H849=8,$G849,0)))))</f>
        <v/>
      </c>
      <c r="M849" s="364" t="str">
        <f>IF($G849="","",IF($H849=1,ROUND($G849/23,0),IF($H849=3,ROUND($G849/12,0),IF($H849=6,$G849,IF($H849=7,$G849-ROUND($G849*10/11,0),0)))))</f>
        <v/>
      </c>
      <c r="N849" s="364" t="str">
        <f>IF($G849="","",K849+L849+M849)</f>
        <v/>
      </c>
      <c r="O849" s="365" t="str">
        <f>IF($G849="","",IFERROR(VLOOKUP($D849&amp;"|"&amp;$E849,科目表!$A$5:$B$200,2,FALSE),"※未登録"))</f>
        <v/>
      </c>
      <c r="P849" s="359" t="str">
        <f>IF(OR($G849="",$C849=""),"",IF($B849="決算整理",13,MOD(MONTH($C849)-4,12)+1))</f>
        <v/>
      </c>
      <c r="Q849" s="366" t="str">
        <f>IF($G849="","",TRIM(IF(J849+K849+L849+M849&lt;&gt;$G849,"按分不一致 ","")&amp;IF(O849="※未登録","科目未登録 ","")&amp;IF(OR($H849="",ISERROR(MATCH($H849,{1,2,3,4,5,6,7,8},0))),"経費区分? ","")&amp;IF($I849="","状態未設定 ","")&amp;IF(AND(OR($I849="確認済",$I849="未確認"),$B849="月例",OR($C849="",$C849&lt;DATE(年度+2018,4,1),$C849&gt;DATE(年度+2019,3,31))),"年度外の日付 ","")&amp;IF(AND(OR($I849="確認済",$I849="未確認"),O849="対象外"),"対象外の科目 ","")))</f>
        <v/>
      </c>
      <c r="R849" s="366" t="n"/>
    </row>
    <row r="850">
      <c r="A850" s="359" t="n"/>
      <c r="B850" s="360" t="n"/>
      <c r="C850" s="361" t="n"/>
      <c r="D850" s="362" t="n"/>
      <c r="E850" s="362" t="n"/>
      <c r="F850" s="362" t="n"/>
      <c r="G850" s="363" t="n"/>
      <c r="H850" s="360" t="n"/>
      <c r="I850" s="360" t="n"/>
      <c r="J850" s="364" t="str">
        <f>IF($G850="","",IF($H850=1,$G850-ROUND($G850*10/23,0)-2*ROUND($G850/23,0),IF($H850=2,$G850,0)))</f>
        <v/>
      </c>
      <c r="K850" s="364" t="str">
        <f>IF($G850="","",IF($H850=1,ROUND($G850*10/23,0),IF($H850=3,$G850-2*ROUND($G850/12,0),IF($H850=4,$G850,IF(OR($H850=5,$H850=7),ROUND($G850*10/11,0),0)))))</f>
        <v/>
      </c>
      <c r="L850" s="364" t="str">
        <f>IF($G850="","",IF($H850=1,ROUND($G850/23,0),IF($H850=3,ROUND($G850/12,0),IF($H850=5,$G850-ROUND($G850*10/11,0),IF($H850=8,$G850,0)))))</f>
        <v/>
      </c>
      <c r="M850" s="364" t="str">
        <f>IF($G850="","",IF($H850=1,ROUND($G850/23,0),IF($H850=3,ROUND($G850/12,0),IF($H850=6,$G850,IF($H850=7,$G850-ROUND($G850*10/11,0),0)))))</f>
        <v/>
      </c>
      <c r="N850" s="364" t="str">
        <f>IF($G850="","",K850+L850+M850)</f>
        <v/>
      </c>
      <c r="O850" s="365" t="str">
        <f>IF($G850="","",IFERROR(VLOOKUP($D850&amp;"|"&amp;$E850,科目表!$A$5:$B$200,2,FALSE),"※未登録"))</f>
        <v/>
      </c>
      <c r="P850" s="359" t="str">
        <f>IF(OR($G850="",$C850=""),"",IF($B850="決算整理",13,MOD(MONTH($C850)-4,12)+1))</f>
        <v/>
      </c>
      <c r="Q850" s="366" t="str">
        <f>IF($G850="","",TRIM(IF(J850+K850+L850+M850&lt;&gt;$G850,"按分不一致 ","")&amp;IF(O850="※未登録","科目未登録 ","")&amp;IF(OR($H850="",ISERROR(MATCH($H850,{1,2,3,4,5,6,7,8},0))),"経費区分? ","")&amp;IF($I850="","状態未設定 ","")&amp;IF(AND(OR($I850="確認済",$I850="未確認"),$B850="月例",OR($C850="",$C850&lt;DATE(年度+2018,4,1),$C850&gt;DATE(年度+2019,3,31))),"年度外の日付 ","")&amp;IF(AND(OR($I850="確認済",$I850="未確認"),O850="対象外"),"対象外の科目 ","")))</f>
        <v/>
      </c>
      <c r="R850" s="366" t="n"/>
    </row>
    <row r="851">
      <c r="A851" s="359" t="n"/>
      <c r="B851" s="360" t="n"/>
      <c r="C851" s="361" t="n"/>
      <c r="D851" s="362" t="n"/>
      <c r="E851" s="362" t="n"/>
      <c r="F851" s="362" t="n"/>
      <c r="G851" s="363" t="n"/>
      <c r="H851" s="360" t="n"/>
      <c r="I851" s="360" t="n"/>
      <c r="J851" s="364" t="str">
        <f>IF($G851="","",IF($H851=1,$G851-ROUND($G851*10/23,0)-2*ROUND($G851/23,0),IF($H851=2,$G851,0)))</f>
        <v/>
      </c>
      <c r="K851" s="364" t="str">
        <f>IF($G851="","",IF($H851=1,ROUND($G851*10/23,0),IF($H851=3,$G851-2*ROUND($G851/12,0),IF($H851=4,$G851,IF(OR($H851=5,$H851=7),ROUND($G851*10/11,0),0)))))</f>
        <v/>
      </c>
      <c r="L851" s="364" t="str">
        <f>IF($G851="","",IF($H851=1,ROUND($G851/23,0),IF($H851=3,ROUND($G851/12,0),IF($H851=5,$G851-ROUND($G851*10/11,0),IF($H851=8,$G851,0)))))</f>
        <v/>
      </c>
      <c r="M851" s="364" t="str">
        <f>IF($G851="","",IF($H851=1,ROUND($G851/23,0),IF($H851=3,ROUND($G851/12,0),IF($H851=6,$G851,IF($H851=7,$G851-ROUND($G851*10/11,0),0)))))</f>
        <v/>
      </c>
      <c r="N851" s="364" t="str">
        <f>IF($G851="","",K851+L851+M851)</f>
        <v/>
      </c>
      <c r="O851" s="365" t="str">
        <f>IF($G851="","",IFERROR(VLOOKUP($D851&amp;"|"&amp;$E851,科目表!$A$5:$B$200,2,FALSE),"※未登録"))</f>
        <v/>
      </c>
      <c r="P851" s="359" t="str">
        <f>IF(OR($G851="",$C851=""),"",IF($B851="決算整理",13,MOD(MONTH($C851)-4,12)+1))</f>
        <v/>
      </c>
      <c r="Q851" s="366" t="str">
        <f>IF($G851="","",TRIM(IF(J851+K851+L851+M851&lt;&gt;$G851,"按分不一致 ","")&amp;IF(O851="※未登録","科目未登録 ","")&amp;IF(OR($H851="",ISERROR(MATCH($H851,{1,2,3,4,5,6,7,8},0))),"経費区分? ","")&amp;IF($I851="","状態未設定 ","")&amp;IF(AND(OR($I851="確認済",$I851="未確認"),$B851="月例",OR($C851="",$C851&lt;DATE(年度+2018,4,1),$C851&gt;DATE(年度+2019,3,31))),"年度外の日付 ","")&amp;IF(AND(OR($I851="確認済",$I851="未確認"),O851="対象外"),"対象外の科目 ","")))</f>
        <v/>
      </c>
      <c r="R851" s="366" t="n"/>
    </row>
    <row r="852">
      <c r="A852" s="359" t="n"/>
      <c r="B852" s="360" t="n"/>
      <c r="C852" s="361" t="n"/>
      <c r="D852" s="362" t="n"/>
      <c r="E852" s="362" t="n"/>
      <c r="F852" s="362" t="n"/>
      <c r="G852" s="363" t="n"/>
      <c r="H852" s="360" t="n"/>
      <c r="I852" s="360" t="n"/>
      <c r="J852" s="364" t="str">
        <f>IF($G852="","",IF($H852=1,$G852-ROUND($G852*10/23,0)-2*ROUND($G852/23,0),IF($H852=2,$G852,0)))</f>
        <v/>
      </c>
      <c r="K852" s="364" t="str">
        <f>IF($G852="","",IF($H852=1,ROUND($G852*10/23,0),IF($H852=3,$G852-2*ROUND($G852/12,0),IF($H852=4,$G852,IF(OR($H852=5,$H852=7),ROUND($G852*10/11,0),0)))))</f>
        <v/>
      </c>
      <c r="L852" s="364" t="str">
        <f>IF($G852="","",IF($H852=1,ROUND($G852/23,0),IF($H852=3,ROUND($G852/12,0),IF($H852=5,$G852-ROUND($G852*10/11,0),IF($H852=8,$G852,0)))))</f>
        <v/>
      </c>
      <c r="M852" s="364" t="str">
        <f>IF($G852="","",IF($H852=1,ROUND($G852/23,0),IF($H852=3,ROUND($G852/12,0),IF($H852=6,$G852,IF($H852=7,$G852-ROUND($G852*10/11,0),0)))))</f>
        <v/>
      </c>
      <c r="N852" s="364" t="str">
        <f>IF($G852="","",K852+L852+M852)</f>
        <v/>
      </c>
      <c r="O852" s="365" t="str">
        <f>IF($G852="","",IFERROR(VLOOKUP($D852&amp;"|"&amp;$E852,科目表!$A$5:$B$200,2,FALSE),"※未登録"))</f>
        <v/>
      </c>
      <c r="P852" s="359" t="str">
        <f>IF(OR($G852="",$C852=""),"",IF($B852="決算整理",13,MOD(MONTH($C852)-4,12)+1))</f>
        <v/>
      </c>
      <c r="Q852" s="366" t="str">
        <f>IF($G852="","",TRIM(IF(J852+K852+L852+M852&lt;&gt;$G852,"按分不一致 ","")&amp;IF(O852="※未登録","科目未登録 ","")&amp;IF(OR($H852="",ISERROR(MATCH($H852,{1,2,3,4,5,6,7,8},0))),"経費区分? ","")&amp;IF($I852="","状態未設定 ","")&amp;IF(AND(OR($I852="確認済",$I852="未確認"),$B852="月例",OR($C852="",$C852&lt;DATE(年度+2018,4,1),$C852&gt;DATE(年度+2019,3,31))),"年度外の日付 ","")&amp;IF(AND(OR($I852="確認済",$I852="未確認"),O852="対象外"),"対象外の科目 ","")))</f>
        <v/>
      </c>
      <c r="R852" s="366" t="n"/>
    </row>
    <row r="853">
      <c r="A853" s="359" t="n"/>
      <c r="B853" s="360" t="n"/>
      <c r="C853" s="361" t="n"/>
      <c r="D853" s="362" t="n"/>
      <c r="E853" s="362" t="n"/>
      <c r="F853" s="362" t="n"/>
      <c r="G853" s="363" t="n"/>
      <c r="H853" s="360" t="n"/>
      <c r="I853" s="360" t="n"/>
      <c r="J853" s="364" t="str">
        <f>IF($G853="","",IF($H853=1,$G853-ROUND($G853*10/23,0)-2*ROUND($G853/23,0),IF($H853=2,$G853,0)))</f>
        <v/>
      </c>
      <c r="K853" s="364" t="str">
        <f>IF($G853="","",IF($H853=1,ROUND($G853*10/23,0),IF($H853=3,$G853-2*ROUND($G853/12,0),IF($H853=4,$G853,IF(OR($H853=5,$H853=7),ROUND($G853*10/11,0),0)))))</f>
        <v/>
      </c>
      <c r="L853" s="364" t="str">
        <f>IF($G853="","",IF($H853=1,ROUND($G853/23,0),IF($H853=3,ROUND($G853/12,0),IF($H853=5,$G853-ROUND($G853*10/11,0),IF($H853=8,$G853,0)))))</f>
        <v/>
      </c>
      <c r="M853" s="364" t="str">
        <f>IF($G853="","",IF($H853=1,ROUND($G853/23,0),IF($H853=3,ROUND($G853/12,0),IF($H853=6,$G853,IF($H853=7,$G853-ROUND($G853*10/11,0),0)))))</f>
        <v/>
      </c>
      <c r="N853" s="364" t="str">
        <f>IF($G853="","",K853+L853+M853)</f>
        <v/>
      </c>
      <c r="O853" s="365" t="str">
        <f>IF($G853="","",IFERROR(VLOOKUP($D853&amp;"|"&amp;$E853,科目表!$A$5:$B$200,2,FALSE),"※未登録"))</f>
        <v/>
      </c>
      <c r="P853" s="359" t="str">
        <f>IF(OR($G853="",$C853=""),"",IF($B853="決算整理",13,MOD(MONTH($C853)-4,12)+1))</f>
        <v/>
      </c>
      <c r="Q853" s="366" t="str">
        <f>IF($G853="","",TRIM(IF(J853+K853+L853+M853&lt;&gt;$G853,"按分不一致 ","")&amp;IF(O853="※未登録","科目未登録 ","")&amp;IF(OR($H853="",ISERROR(MATCH($H853,{1,2,3,4,5,6,7,8},0))),"経費区分? ","")&amp;IF($I853="","状態未設定 ","")&amp;IF(AND(OR($I853="確認済",$I853="未確認"),$B853="月例",OR($C853="",$C853&lt;DATE(年度+2018,4,1),$C853&gt;DATE(年度+2019,3,31))),"年度外の日付 ","")&amp;IF(AND(OR($I853="確認済",$I853="未確認"),O853="対象外"),"対象外の科目 ","")))</f>
        <v/>
      </c>
      <c r="R853" s="366" t="n"/>
    </row>
    <row r="854">
      <c r="A854" s="359" t="n"/>
      <c r="B854" s="360" t="n"/>
      <c r="C854" s="361" t="n"/>
      <c r="D854" s="362" t="n"/>
      <c r="E854" s="362" t="n"/>
      <c r="F854" s="362" t="n"/>
      <c r="G854" s="363" t="n"/>
      <c r="H854" s="360" t="n"/>
      <c r="I854" s="360" t="n"/>
      <c r="J854" s="364" t="str">
        <f>IF($G854="","",IF($H854=1,$G854-ROUND($G854*10/23,0)-2*ROUND($G854/23,0),IF($H854=2,$G854,0)))</f>
        <v/>
      </c>
      <c r="K854" s="364" t="str">
        <f>IF($G854="","",IF($H854=1,ROUND($G854*10/23,0),IF($H854=3,$G854-2*ROUND($G854/12,0),IF($H854=4,$G854,IF(OR($H854=5,$H854=7),ROUND($G854*10/11,0),0)))))</f>
        <v/>
      </c>
      <c r="L854" s="364" t="str">
        <f>IF($G854="","",IF($H854=1,ROUND($G854/23,0),IF($H854=3,ROUND($G854/12,0),IF($H854=5,$G854-ROUND($G854*10/11,0),IF($H854=8,$G854,0)))))</f>
        <v/>
      </c>
      <c r="M854" s="364" t="str">
        <f>IF($G854="","",IF($H854=1,ROUND($G854/23,0),IF($H854=3,ROUND($G854/12,0),IF($H854=6,$G854,IF($H854=7,$G854-ROUND($G854*10/11,0),0)))))</f>
        <v/>
      </c>
      <c r="N854" s="364" t="str">
        <f>IF($G854="","",K854+L854+M854)</f>
        <v/>
      </c>
      <c r="O854" s="365" t="str">
        <f>IF($G854="","",IFERROR(VLOOKUP($D854&amp;"|"&amp;$E854,科目表!$A$5:$B$200,2,FALSE),"※未登録"))</f>
        <v/>
      </c>
      <c r="P854" s="359" t="str">
        <f>IF(OR($G854="",$C854=""),"",IF($B854="決算整理",13,MOD(MONTH($C854)-4,12)+1))</f>
        <v/>
      </c>
      <c r="Q854" s="366" t="str">
        <f>IF($G854="","",TRIM(IF(J854+K854+L854+M854&lt;&gt;$G854,"按分不一致 ","")&amp;IF(O854="※未登録","科目未登録 ","")&amp;IF(OR($H854="",ISERROR(MATCH($H854,{1,2,3,4,5,6,7,8},0))),"経費区分? ","")&amp;IF($I854="","状態未設定 ","")&amp;IF(AND(OR($I854="確認済",$I854="未確認"),$B854="月例",OR($C854="",$C854&lt;DATE(年度+2018,4,1),$C854&gt;DATE(年度+2019,3,31))),"年度外の日付 ","")&amp;IF(AND(OR($I854="確認済",$I854="未確認"),O854="対象外"),"対象外の科目 ","")))</f>
        <v/>
      </c>
      <c r="R854" s="366" t="n"/>
    </row>
    <row r="855">
      <c r="A855" s="359" t="n"/>
      <c r="B855" s="360" t="n"/>
      <c r="C855" s="361" t="n"/>
      <c r="D855" s="362" t="n"/>
      <c r="E855" s="362" t="n"/>
      <c r="F855" s="362" t="n"/>
      <c r="G855" s="363" t="n"/>
      <c r="H855" s="360" t="n"/>
      <c r="I855" s="360" t="n"/>
      <c r="J855" s="364" t="str">
        <f>IF($G855="","",IF($H855=1,$G855-ROUND($G855*10/23,0)-2*ROUND($G855/23,0),IF($H855=2,$G855,0)))</f>
        <v/>
      </c>
      <c r="K855" s="364" t="str">
        <f>IF($G855="","",IF($H855=1,ROUND($G855*10/23,0),IF($H855=3,$G855-2*ROUND($G855/12,0),IF($H855=4,$G855,IF(OR($H855=5,$H855=7),ROUND($G855*10/11,0),0)))))</f>
        <v/>
      </c>
      <c r="L855" s="364" t="str">
        <f>IF($G855="","",IF($H855=1,ROUND($G855/23,0),IF($H855=3,ROUND($G855/12,0),IF($H855=5,$G855-ROUND($G855*10/11,0),IF($H855=8,$G855,0)))))</f>
        <v/>
      </c>
      <c r="M855" s="364" t="str">
        <f>IF($G855="","",IF($H855=1,ROUND($G855/23,0),IF($H855=3,ROUND($G855/12,0),IF($H855=6,$G855,IF($H855=7,$G855-ROUND($G855*10/11,0),0)))))</f>
        <v/>
      </c>
      <c r="N855" s="364" t="str">
        <f>IF($G855="","",K855+L855+M855)</f>
        <v/>
      </c>
      <c r="O855" s="365" t="str">
        <f>IF($G855="","",IFERROR(VLOOKUP($D855&amp;"|"&amp;$E855,科目表!$A$5:$B$200,2,FALSE),"※未登録"))</f>
        <v/>
      </c>
      <c r="P855" s="359" t="str">
        <f>IF(OR($G855="",$C855=""),"",IF($B855="決算整理",13,MOD(MONTH($C855)-4,12)+1))</f>
        <v/>
      </c>
      <c r="Q855" s="366" t="str">
        <f>IF($G855="","",TRIM(IF(J855+K855+L855+M855&lt;&gt;$G855,"按分不一致 ","")&amp;IF(O855="※未登録","科目未登録 ","")&amp;IF(OR($H855="",ISERROR(MATCH($H855,{1,2,3,4,5,6,7,8},0))),"経費区分? ","")&amp;IF($I855="","状態未設定 ","")&amp;IF(AND(OR($I855="確認済",$I855="未確認"),$B855="月例",OR($C855="",$C855&lt;DATE(年度+2018,4,1),$C855&gt;DATE(年度+2019,3,31))),"年度外の日付 ","")&amp;IF(AND(OR($I855="確認済",$I855="未確認"),O855="対象外"),"対象外の科目 ","")))</f>
        <v/>
      </c>
      <c r="R855" s="366" t="n"/>
    </row>
    <row r="856">
      <c r="A856" s="359" t="n"/>
      <c r="B856" s="360" t="n"/>
      <c r="C856" s="361" t="n"/>
      <c r="D856" s="362" t="n"/>
      <c r="E856" s="362" t="n"/>
      <c r="F856" s="362" t="n"/>
      <c r="G856" s="363" t="n"/>
      <c r="H856" s="360" t="n"/>
      <c r="I856" s="360" t="n"/>
      <c r="J856" s="364" t="str">
        <f>IF($G856="","",IF($H856=1,$G856-ROUND($G856*10/23,0)-2*ROUND($G856/23,0),IF($H856=2,$G856,0)))</f>
        <v/>
      </c>
      <c r="K856" s="364" t="str">
        <f>IF($G856="","",IF($H856=1,ROUND($G856*10/23,0),IF($H856=3,$G856-2*ROUND($G856/12,0),IF($H856=4,$G856,IF(OR($H856=5,$H856=7),ROUND($G856*10/11,0),0)))))</f>
        <v/>
      </c>
      <c r="L856" s="364" t="str">
        <f>IF($G856="","",IF($H856=1,ROUND($G856/23,0),IF($H856=3,ROUND($G856/12,0),IF($H856=5,$G856-ROUND($G856*10/11,0),IF($H856=8,$G856,0)))))</f>
        <v/>
      </c>
      <c r="M856" s="364" t="str">
        <f>IF($G856="","",IF($H856=1,ROUND($G856/23,0),IF($H856=3,ROUND($G856/12,0),IF($H856=6,$G856,IF($H856=7,$G856-ROUND($G856*10/11,0),0)))))</f>
        <v/>
      </c>
      <c r="N856" s="364" t="str">
        <f>IF($G856="","",K856+L856+M856)</f>
        <v/>
      </c>
      <c r="O856" s="365" t="str">
        <f>IF($G856="","",IFERROR(VLOOKUP($D856&amp;"|"&amp;$E856,科目表!$A$5:$B$200,2,FALSE),"※未登録"))</f>
        <v/>
      </c>
      <c r="P856" s="359" t="str">
        <f>IF(OR($G856="",$C856=""),"",IF($B856="決算整理",13,MOD(MONTH($C856)-4,12)+1))</f>
        <v/>
      </c>
      <c r="Q856" s="366" t="str">
        <f>IF($G856="","",TRIM(IF(J856+K856+L856+M856&lt;&gt;$G856,"按分不一致 ","")&amp;IF(O856="※未登録","科目未登録 ","")&amp;IF(OR($H856="",ISERROR(MATCH($H856,{1,2,3,4,5,6,7,8},0))),"経費区分? ","")&amp;IF($I856="","状態未設定 ","")&amp;IF(AND(OR($I856="確認済",$I856="未確認"),$B856="月例",OR($C856="",$C856&lt;DATE(年度+2018,4,1),$C856&gt;DATE(年度+2019,3,31))),"年度外の日付 ","")&amp;IF(AND(OR($I856="確認済",$I856="未確認"),O856="対象外"),"対象外の科目 ","")))</f>
        <v/>
      </c>
      <c r="R856" s="366" t="n"/>
    </row>
    <row r="857">
      <c r="A857" s="359" t="n"/>
      <c r="B857" s="360" t="n"/>
      <c r="C857" s="361" t="n"/>
      <c r="D857" s="362" t="n"/>
      <c r="E857" s="362" t="n"/>
      <c r="F857" s="362" t="n"/>
      <c r="G857" s="363" t="n"/>
      <c r="H857" s="360" t="n"/>
      <c r="I857" s="360" t="n"/>
      <c r="J857" s="364" t="str">
        <f>IF($G857="","",IF($H857=1,$G857-ROUND($G857*10/23,0)-2*ROUND($G857/23,0),IF($H857=2,$G857,0)))</f>
        <v/>
      </c>
      <c r="K857" s="364" t="str">
        <f>IF($G857="","",IF($H857=1,ROUND($G857*10/23,0),IF($H857=3,$G857-2*ROUND($G857/12,0),IF($H857=4,$G857,IF(OR($H857=5,$H857=7),ROUND($G857*10/11,0),0)))))</f>
        <v/>
      </c>
      <c r="L857" s="364" t="str">
        <f>IF($G857="","",IF($H857=1,ROUND($G857/23,0),IF($H857=3,ROUND($G857/12,0),IF($H857=5,$G857-ROUND($G857*10/11,0),IF($H857=8,$G857,0)))))</f>
        <v/>
      </c>
      <c r="M857" s="364" t="str">
        <f>IF($G857="","",IF($H857=1,ROUND($G857/23,0),IF($H857=3,ROUND($G857/12,0),IF($H857=6,$G857,IF($H857=7,$G857-ROUND($G857*10/11,0),0)))))</f>
        <v/>
      </c>
      <c r="N857" s="364" t="str">
        <f>IF($G857="","",K857+L857+M857)</f>
        <v/>
      </c>
      <c r="O857" s="365" t="str">
        <f>IF($G857="","",IFERROR(VLOOKUP($D857&amp;"|"&amp;$E857,科目表!$A$5:$B$200,2,FALSE),"※未登録"))</f>
        <v/>
      </c>
      <c r="P857" s="359" t="str">
        <f>IF(OR($G857="",$C857=""),"",IF($B857="決算整理",13,MOD(MONTH($C857)-4,12)+1))</f>
        <v/>
      </c>
      <c r="Q857" s="366" t="str">
        <f>IF($G857="","",TRIM(IF(J857+K857+L857+M857&lt;&gt;$G857,"按分不一致 ","")&amp;IF(O857="※未登録","科目未登録 ","")&amp;IF(OR($H857="",ISERROR(MATCH($H857,{1,2,3,4,5,6,7,8},0))),"経費区分? ","")&amp;IF($I857="","状態未設定 ","")&amp;IF(AND(OR($I857="確認済",$I857="未確認"),$B857="月例",OR($C857="",$C857&lt;DATE(年度+2018,4,1),$C857&gt;DATE(年度+2019,3,31))),"年度外の日付 ","")&amp;IF(AND(OR($I857="確認済",$I857="未確認"),O857="対象外"),"対象外の科目 ","")))</f>
        <v/>
      </c>
      <c r="R857" s="366" t="n"/>
    </row>
    <row r="858">
      <c r="A858" s="359" t="n"/>
      <c r="B858" s="360" t="n"/>
      <c r="C858" s="361" t="n"/>
      <c r="D858" s="362" t="n"/>
      <c r="E858" s="362" t="n"/>
      <c r="F858" s="362" t="n"/>
      <c r="G858" s="363" t="n"/>
      <c r="H858" s="360" t="n"/>
      <c r="I858" s="360" t="n"/>
      <c r="J858" s="364" t="str">
        <f>IF($G858="","",IF($H858=1,$G858-ROUND($G858*10/23,0)-2*ROUND($G858/23,0),IF($H858=2,$G858,0)))</f>
        <v/>
      </c>
      <c r="K858" s="364" t="str">
        <f>IF($G858="","",IF($H858=1,ROUND($G858*10/23,0),IF($H858=3,$G858-2*ROUND($G858/12,0),IF($H858=4,$G858,IF(OR($H858=5,$H858=7),ROUND($G858*10/11,0),0)))))</f>
        <v/>
      </c>
      <c r="L858" s="364" t="str">
        <f>IF($G858="","",IF($H858=1,ROUND($G858/23,0),IF($H858=3,ROUND($G858/12,0),IF($H858=5,$G858-ROUND($G858*10/11,0),IF($H858=8,$G858,0)))))</f>
        <v/>
      </c>
      <c r="M858" s="364" t="str">
        <f>IF($G858="","",IF($H858=1,ROUND($G858/23,0),IF($H858=3,ROUND($G858/12,0),IF($H858=6,$G858,IF($H858=7,$G858-ROUND($G858*10/11,0),0)))))</f>
        <v/>
      </c>
      <c r="N858" s="364" t="str">
        <f>IF($G858="","",K858+L858+M858)</f>
        <v/>
      </c>
      <c r="O858" s="365" t="str">
        <f>IF($G858="","",IFERROR(VLOOKUP($D858&amp;"|"&amp;$E858,科目表!$A$5:$B$200,2,FALSE),"※未登録"))</f>
        <v/>
      </c>
      <c r="P858" s="359" t="str">
        <f>IF(OR($G858="",$C858=""),"",IF($B858="決算整理",13,MOD(MONTH($C858)-4,12)+1))</f>
        <v/>
      </c>
      <c r="Q858" s="366" t="str">
        <f>IF($G858="","",TRIM(IF(J858+K858+L858+M858&lt;&gt;$G858,"按分不一致 ","")&amp;IF(O858="※未登録","科目未登録 ","")&amp;IF(OR($H858="",ISERROR(MATCH($H858,{1,2,3,4,5,6,7,8},0))),"経費区分? ","")&amp;IF($I858="","状態未設定 ","")&amp;IF(AND(OR($I858="確認済",$I858="未確認"),$B858="月例",OR($C858="",$C858&lt;DATE(年度+2018,4,1),$C858&gt;DATE(年度+2019,3,31))),"年度外の日付 ","")&amp;IF(AND(OR($I858="確認済",$I858="未確認"),O858="対象外"),"対象外の科目 ","")))</f>
        <v/>
      </c>
      <c r="R858" s="366" t="n"/>
    </row>
    <row r="859">
      <c r="A859" s="359" t="n"/>
      <c r="B859" s="360" t="n"/>
      <c r="C859" s="361" t="n"/>
      <c r="D859" s="362" t="n"/>
      <c r="E859" s="362" t="n"/>
      <c r="F859" s="362" t="n"/>
      <c r="G859" s="363" t="n"/>
      <c r="H859" s="360" t="n"/>
      <c r="I859" s="360" t="n"/>
      <c r="J859" s="364" t="str">
        <f>IF($G859="","",IF($H859=1,$G859-ROUND($G859*10/23,0)-2*ROUND($G859/23,0),IF($H859=2,$G859,0)))</f>
        <v/>
      </c>
      <c r="K859" s="364" t="str">
        <f>IF($G859="","",IF($H859=1,ROUND($G859*10/23,0),IF($H859=3,$G859-2*ROUND($G859/12,0),IF($H859=4,$G859,IF(OR($H859=5,$H859=7),ROUND($G859*10/11,0),0)))))</f>
        <v/>
      </c>
      <c r="L859" s="364" t="str">
        <f>IF($G859="","",IF($H859=1,ROUND($G859/23,0),IF($H859=3,ROUND($G859/12,0),IF($H859=5,$G859-ROUND($G859*10/11,0),IF($H859=8,$G859,0)))))</f>
        <v/>
      </c>
      <c r="M859" s="364" t="str">
        <f>IF($G859="","",IF($H859=1,ROUND($G859/23,0),IF($H859=3,ROUND($G859/12,0),IF($H859=6,$G859,IF($H859=7,$G859-ROUND($G859*10/11,0),0)))))</f>
        <v/>
      </c>
      <c r="N859" s="364" t="str">
        <f>IF($G859="","",K859+L859+M859)</f>
        <v/>
      </c>
      <c r="O859" s="365" t="str">
        <f>IF($G859="","",IFERROR(VLOOKUP($D859&amp;"|"&amp;$E859,科目表!$A$5:$B$200,2,FALSE),"※未登録"))</f>
        <v/>
      </c>
      <c r="P859" s="359" t="str">
        <f>IF(OR($G859="",$C859=""),"",IF($B859="決算整理",13,MOD(MONTH($C859)-4,12)+1))</f>
        <v/>
      </c>
      <c r="Q859" s="366" t="str">
        <f>IF($G859="","",TRIM(IF(J859+K859+L859+M859&lt;&gt;$G859,"按分不一致 ","")&amp;IF(O859="※未登録","科目未登録 ","")&amp;IF(OR($H859="",ISERROR(MATCH($H859,{1,2,3,4,5,6,7,8},0))),"経費区分? ","")&amp;IF($I859="","状態未設定 ","")&amp;IF(AND(OR($I859="確認済",$I859="未確認"),$B859="月例",OR($C859="",$C859&lt;DATE(年度+2018,4,1),$C859&gt;DATE(年度+2019,3,31))),"年度外の日付 ","")&amp;IF(AND(OR($I859="確認済",$I859="未確認"),O859="対象外"),"対象外の科目 ","")))</f>
        <v/>
      </c>
      <c r="R859" s="366" t="n"/>
    </row>
    <row r="860">
      <c r="A860" s="359" t="n"/>
      <c r="B860" s="360" t="n"/>
      <c r="C860" s="361" t="n"/>
      <c r="D860" s="362" t="n"/>
      <c r="E860" s="362" t="n"/>
      <c r="F860" s="362" t="n"/>
      <c r="G860" s="363" t="n"/>
      <c r="H860" s="360" t="n"/>
      <c r="I860" s="360" t="n"/>
      <c r="J860" s="364" t="str">
        <f>IF($G860="","",IF($H860=1,$G860-ROUND($G860*10/23,0)-2*ROUND($G860/23,0),IF($H860=2,$G860,0)))</f>
        <v/>
      </c>
      <c r="K860" s="364" t="str">
        <f>IF($G860="","",IF($H860=1,ROUND($G860*10/23,0),IF($H860=3,$G860-2*ROUND($G860/12,0),IF($H860=4,$G860,IF(OR($H860=5,$H860=7),ROUND($G860*10/11,0),0)))))</f>
        <v/>
      </c>
      <c r="L860" s="364" t="str">
        <f>IF($G860="","",IF($H860=1,ROUND($G860/23,0),IF($H860=3,ROUND($G860/12,0),IF($H860=5,$G860-ROUND($G860*10/11,0),IF($H860=8,$G860,0)))))</f>
        <v/>
      </c>
      <c r="M860" s="364" t="str">
        <f>IF($G860="","",IF($H860=1,ROUND($G860/23,0),IF($H860=3,ROUND($G860/12,0),IF($H860=6,$G860,IF($H860=7,$G860-ROUND($G860*10/11,0),0)))))</f>
        <v/>
      </c>
      <c r="N860" s="364" t="str">
        <f>IF($G860="","",K860+L860+M860)</f>
        <v/>
      </c>
      <c r="O860" s="365" t="str">
        <f>IF($G860="","",IFERROR(VLOOKUP($D860&amp;"|"&amp;$E860,科目表!$A$5:$B$200,2,FALSE),"※未登録"))</f>
        <v/>
      </c>
      <c r="P860" s="359" t="str">
        <f>IF(OR($G860="",$C860=""),"",IF($B860="決算整理",13,MOD(MONTH($C860)-4,12)+1))</f>
        <v/>
      </c>
      <c r="Q860" s="366" t="str">
        <f>IF($G860="","",TRIM(IF(J860+K860+L860+M860&lt;&gt;$G860,"按分不一致 ","")&amp;IF(O860="※未登録","科目未登録 ","")&amp;IF(OR($H860="",ISERROR(MATCH($H860,{1,2,3,4,5,6,7,8},0))),"経費区分? ","")&amp;IF($I860="","状態未設定 ","")&amp;IF(AND(OR($I860="確認済",$I860="未確認"),$B860="月例",OR($C860="",$C860&lt;DATE(年度+2018,4,1),$C860&gt;DATE(年度+2019,3,31))),"年度外の日付 ","")&amp;IF(AND(OR($I860="確認済",$I860="未確認"),O860="対象外"),"対象外の科目 ","")))</f>
        <v/>
      </c>
      <c r="R860" s="366" t="n"/>
    </row>
    <row r="861">
      <c r="A861" s="359" t="n"/>
      <c r="B861" s="360" t="n"/>
      <c r="C861" s="361" t="n"/>
      <c r="D861" s="362" t="n"/>
      <c r="E861" s="362" t="n"/>
      <c r="F861" s="362" t="n"/>
      <c r="G861" s="363" t="n"/>
      <c r="H861" s="360" t="n"/>
      <c r="I861" s="360" t="n"/>
      <c r="J861" s="364" t="str">
        <f>IF($G861="","",IF($H861=1,$G861-ROUND($G861*10/23,0)-2*ROUND($G861/23,0),IF($H861=2,$G861,0)))</f>
        <v/>
      </c>
      <c r="K861" s="364" t="str">
        <f>IF($G861="","",IF($H861=1,ROUND($G861*10/23,0),IF($H861=3,$G861-2*ROUND($G861/12,0),IF($H861=4,$G861,IF(OR($H861=5,$H861=7),ROUND($G861*10/11,0),0)))))</f>
        <v/>
      </c>
      <c r="L861" s="364" t="str">
        <f>IF($G861="","",IF($H861=1,ROUND($G861/23,0),IF($H861=3,ROUND($G861/12,0),IF($H861=5,$G861-ROUND($G861*10/11,0),IF($H861=8,$G861,0)))))</f>
        <v/>
      </c>
      <c r="M861" s="364" t="str">
        <f>IF($G861="","",IF($H861=1,ROUND($G861/23,0),IF($H861=3,ROUND($G861/12,0),IF($H861=6,$G861,IF($H861=7,$G861-ROUND($G861*10/11,0),0)))))</f>
        <v/>
      </c>
      <c r="N861" s="364" t="str">
        <f>IF($G861="","",K861+L861+M861)</f>
        <v/>
      </c>
      <c r="O861" s="365" t="str">
        <f>IF($G861="","",IFERROR(VLOOKUP($D861&amp;"|"&amp;$E861,科目表!$A$5:$B$200,2,FALSE),"※未登録"))</f>
        <v/>
      </c>
      <c r="P861" s="359" t="str">
        <f>IF(OR($G861="",$C861=""),"",IF($B861="決算整理",13,MOD(MONTH($C861)-4,12)+1))</f>
        <v/>
      </c>
      <c r="Q861" s="366" t="str">
        <f>IF($G861="","",TRIM(IF(J861+K861+L861+M861&lt;&gt;$G861,"按分不一致 ","")&amp;IF(O861="※未登録","科目未登録 ","")&amp;IF(OR($H861="",ISERROR(MATCH($H861,{1,2,3,4,5,6,7,8},0))),"経費区分? ","")&amp;IF($I861="","状態未設定 ","")&amp;IF(AND(OR($I861="確認済",$I861="未確認"),$B861="月例",OR($C861="",$C861&lt;DATE(年度+2018,4,1),$C861&gt;DATE(年度+2019,3,31))),"年度外の日付 ","")&amp;IF(AND(OR($I861="確認済",$I861="未確認"),O861="対象外"),"対象外の科目 ","")))</f>
        <v/>
      </c>
      <c r="R861" s="366" t="n"/>
    </row>
    <row r="862">
      <c r="A862" s="359" t="n"/>
      <c r="B862" s="360" t="n"/>
      <c r="C862" s="361" t="n"/>
      <c r="D862" s="362" t="n"/>
      <c r="E862" s="362" t="n"/>
      <c r="F862" s="362" t="n"/>
      <c r="G862" s="363" t="n"/>
      <c r="H862" s="360" t="n"/>
      <c r="I862" s="360" t="n"/>
      <c r="J862" s="364" t="str">
        <f>IF($G862="","",IF($H862=1,$G862-ROUND($G862*10/23,0)-2*ROUND($G862/23,0),IF($H862=2,$G862,0)))</f>
        <v/>
      </c>
      <c r="K862" s="364" t="str">
        <f>IF($G862="","",IF($H862=1,ROUND($G862*10/23,0),IF($H862=3,$G862-2*ROUND($G862/12,0),IF($H862=4,$G862,IF(OR($H862=5,$H862=7),ROUND($G862*10/11,0),0)))))</f>
        <v/>
      </c>
      <c r="L862" s="364" t="str">
        <f>IF($G862="","",IF($H862=1,ROUND($G862/23,0),IF($H862=3,ROUND($G862/12,0),IF($H862=5,$G862-ROUND($G862*10/11,0),IF($H862=8,$G862,0)))))</f>
        <v/>
      </c>
      <c r="M862" s="364" t="str">
        <f>IF($G862="","",IF($H862=1,ROUND($G862/23,0),IF($H862=3,ROUND($G862/12,0),IF($H862=6,$G862,IF($H862=7,$G862-ROUND($G862*10/11,0),0)))))</f>
        <v/>
      </c>
      <c r="N862" s="364" t="str">
        <f>IF($G862="","",K862+L862+M862)</f>
        <v/>
      </c>
      <c r="O862" s="365" t="str">
        <f>IF($G862="","",IFERROR(VLOOKUP($D862&amp;"|"&amp;$E862,科目表!$A$5:$B$200,2,FALSE),"※未登録"))</f>
        <v/>
      </c>
      <c r="P862" s="359" t="str">
        <f>IF(OR($G862="",$C862=""),"",IF($B862="決算整理",13,MOD(MONTH($C862)-4,12)+1))</f>
        <v/>
      </c>
      <c r="Q862" s="366" t="str">
        <f>IF($G862="","",TRIM(IF(J862+K862+L862+M862&lt;&gt;$G862,"按分不一致 ","")&amp;IF(O862="※未登録","科目未登録 ","")&amp;IF(OR($H862="",ISERROR(MATCH($H862,{1,2,3,4,5,6,7,8},0))),"経費区分? ","")&amp;IF($I862="","状態未設定 ","")&amp;IF(AND(OR($I862="確認済",$I862="未確認"),$B862="月例",OR($C862="",$C862&lt;DATE(年度+2018,4,1),$C862&gt;DATE(年度+2019,3,31))),"年度外の日付 ","")&amp;IF(AND(OR($I862="確認済",$I862="未確認"),O862="対象外"),"対象外の科目 ","")))</f>
        <v/>
      </c>
      <c r="R862" s="366" t="n"/>
    </row>
    <row r="863">
      <c r="A863" s="359" t="n"/>
      <c r="B863" s="360" t="n"/>
      <c r="C863" s="361" t="n"/>
      <c r="D863" s="362" t="n"/>
      <c r="E863" s="362" t="n"/>
      <c r="F863" s="362" t="n"/>
      <c r="G863" s="363" t="n"/>
      <c r="H863" s="360" t="n"/>
      <c r="I863" s="360" t="n"/>
      <c r="J863" s="364" t="str">
        <f>IF($G863="","",IF($H863=1,$G863-ROUND($G863*10/23,0)-2*ROUND($G863/23,0),IF($H863=2,$G863,0)))</f>
        <v/>
      </c>
      <c r="K863" s="364" t="str">
        <f>IF($G863="","",IF($H863=1,ROUND($G863*10/23,0),IF($H863=3,$G863-2*ROUND($G863/12,0),IF($H863=4,$G863,IF(OR($H863=5,$H863=7),ROUND($G863*10/11,0),0)))))</f>
        <v/>
      </c>
      <c r="L863" s="364" t="str">
        <f>IF($G863="","",IF($H863=1,ROUND($G863/23,0),IF($H863=3,ROUND($G863/12,0),IF($H863=5,$G863-ROUND($G863*10/11,0),IF($H863=8,$G863,0)))))</f>
        <v/>
      </c>
      <c r="M863" s="364" t="str">
        <f>IF($G863="","",IF($H863=1,ROUND($G863/23,0),IF($H863=3,ROUND($G863/12,0),IF($H863=6,$G863,IF($H863=7,$G863-ROUND($G863*10/11,0),0)))))</f>
        <v/>
      </c>
      <c r="N863" s="364" t="str">
        <f>IF($G863="","",K863+L863+M863)</f>
        <v/>
      </c>
      <c r="O863" s="365" t="str">
        <f>IF($G863="","",IFERROR(VLOOKUP($D863&amp;"|"&amp;$E863,科目表!$A$5:$B$200,2,FALSE),"※未登録"))</f>
        <v/>
      </c>
      <c r="P863" s="359" t="str">
        <f>IF(OR($G863="",$C863=""),"",IF($B863="決算整理",13,MOD(MONTH($C863)-4,12)+1))</f>
        <v/>
      </c>
      <c r="Q863" s="366" t="str">
        <f>IF($G863="","",TRIM(IF(J863+K863+L863+M863&lt;&gt;$G863,"按分不一致 ","")&amp;IF(O863="※未登録","科目未登録 ","")&amp;IF(OR($H863="",ISERROR(MATCH($H863,{1,2,3,4,5,6,7,8},0))),"経費区分? ","")&amp;IF($I863="","状態未設定 ","")&amp;IF(AND(OR($I863="確認済",$I863="未確認"),$B863="月例",OR($C863="",$C863&lt;DATE(年度+2018,4,1),$C863&gt;DATE(年度+2019,3,31))),"年度外の日付 ","")&amp;IF(AND(OR($I863="確認済",$I863="未確認"),O863="対象外"),"対象外の科目 ","")))</f>
        <v/>
      </c>
      <c r="R863" s="366" t="n"/>
    </row>
    <row r="864">
      <c r="A864" s="359" t="n"/>
      <c r="B864" s="360" t="n"/>
      <c r="C864" s="361" t="n"/>
      <c r="D864" s="362" t="n"/>
      <c r="E864" s="362" t="n"/>
      <c r="F864" s="362" t="n"/>
      <c r="G864" s="363" t="n"/>
      <c r="H864" s="360" t="n"/>
      <c r="I864" s="360" t="n"/>
      <c r="J864" s="364" t="str">
        <f>IF($G864="","",IF($H864=1,$G864-ROUND($G864*10/23,0)-2*ROUND($G864/23,0),IF($H864=2,$G864,0)))</f>
        <v/>
      </c>
      <c r="K864" s="364" t="str">
        <f>IF($G864="","",IF($H864=1,ROUND($G864*10/23,0),IF($H864=3,$G864-2*ROUND($G864/12,0),IF($H864=4,$G864,IF(OR($H864=5,$H864=7),ROUND($G864*10/11,0),0)))))</f>
        <v/>
      </c>
      <c r="L864" s="364" t="str">
        <f>IF($G864="","",IF($H864=1,ROUND($G864/23,0),IF($H864=3,ROUND($G864/12,0),IF($H864=5,$G864-ROUND($G864*10/11,0),IF($H864=8,$G864,0)))))</f>
        <v/>
      </c>
      <c r="M864" s="364" t="str">
        <f>IF($G864="","",IF($H864=1,ROUND($G864/23,0),IF($H864=3,ROUND($G864/12,0),IF($H864=6,$G864,IF($H864=7,$G864-ROUND($G864*10/11,0),0)))))</f>
        <v/>
      </c>
      <c r="N864" s="364" t="str">
        <f>IF($G864="","",K864+L864+M864)</f>
        <v/>
      </c>
      <c r="O864" s="365" t="str">
        <f>IF($G864="","",IFERROR(VLOOKUP($D864&amp;"|"&amp;$E864,科目表!$A$5:$B$200,2,FALSE),"※未登録"))</f>
        <v/>
      </c>
      <c r="P864" s="359" t="str">
        <f>IF(OR($G864="",$C864=""),"",IF($B864="決算整理",13,MOD(MONTH($C864)-4,12)+1))</f>
        <v/>
      </c>
      <c r="Q864" s="366" t="str">
        <f>IF($G864="","",TRIM(IF(J864+K864+L864+M864&lt;&gt;$G864,"按分不一致 ","")&amp;IF(O864="※未登録","科目未登録 ","")&amp;IF(OR($H864="",ISERROR(MATCH($H864,{1,2,3,4,5,6,7,8},0))),"経費区分? ","")&amp;IF($I864="","状態未設定 ","")&amp;IF(AND(OR($I864="確認済",$I864="未確認"),$B864="月例",OR($C864="",$C864&lt;DATE(年度+2018,4,1),$C864&gt;DATE(年度+2019,3,31))),"年度外の日付 ","")&amp;IF(AND(OR($I864="確認済",$I864="未確認"),O864="対象外"),"対象外の科目 ","")))</f>
        <v/>
      </c>
      <c r="R864" s="366" t="n"/>
    </row>
    <row r="865">
      <c r="A865" s="359" t="n"/>
      <c r="B865" s="360" t="n"/>
      <c r="C865" s="361" t="n"/>
      <c r="D865" s="362" t="n"/>
      <c r="E865" s="362" t="n"/>
      <c r="F865" s="362" t="n"/>
      <c r="G865" s="363" t="n"/>
      <c r="H865" s="360" t="n"/>
      <c r="I865" s="360" t="n"/>
      <c r="J865" s="364" t="str">
        <f>IF($G865="","",IF($H865=1,$G865-ROUND($G865*10/23,0)-2*ROUND($G865/23,0),IF($H865=2,$G865,0)))</f>
        <v/>
      </c>
      <c r="K865" s="364" t="str">
        <f>IF($G865="","",IF($H865=1,ROUND($G865*10/23,0),IF($H865=3,$G865-2*ROUND($G865/12,0),IF($H865=4,$G865,IF(OR($H865=5,$H865=7),ROUND($G865*10/11,0),0)))))</f>
        <v/>
      </c>
      <c r="L865" s="364" t="str">
        <f>IF($G865="","",IF($H865=1,ROUND($G865/23,0),IF($H865=3,ROUND($G865/12,0),IF($H865=5,$G865-ROUND($G865*10/11,0),IF($H865=8,$G865,0)))))</f>
        <v/>
      </c>
      <c r="M865" s="364" t="str">
        <f>IF($G865="","",IF($H865=1,ROUND($G865/23,0),IF($H865=3,ROUND($G865/12,0),IF($H865=6,$G865,IF($H865=7,$G865-ROUND($G865*10/11,0),0)))))</f>
        <v/>
      </c>
      <c r="N865" s="364" t="str">
        <f>IF($G865="","",K865+L865+M865)</f>
        <v/>
      </c>
      <c r="O865" s="365" t="str">
        <f>IF($G865="","",IFERROR(VLOOKUP($D865&amp;"|"&amp;$E865,科目表!$A$5:$B$200,2,FALSE),"※未登録"))</f>
        <v/>
      </c>
      <c r="P865" s="359" t="str">
        <f>IF(OR($G865="",$C865=""),"",IF($B865="決算整理",13,MOD(MONTH($C865)-4,12)+1))</f>
        <v/>
      </c>
      <c r="Q865" s="366" t="str">
        <f>IF($G865="","",TRIM(IF(J865+K865+L865+M865&lt;&gt;$G865,"按分不一致 ","")&amp;IF(O865="※未登録","科目未登録 ","")&amp;IF(OR($H865="",ISERROR(MATCH($H865,{1,2,3,4,5,6,7,8},0))),"経費区分? ","")&amp;IF($I865="","状態未設定 ","")&amp;IF(AND(OR($I865="確認済",$I865="未確認"),$B865="月例",OR($C865="",$C865&lt;DATE(年度+2018,4,1),$C865&gt;DATE(年度+2019,3,31))),"年度外の日付 ","")&amp;IF(AND(OR($I865="確認済",$I865="未確認"),O865="対象外"),"対象外の科目 ","")))</f>
        <v/>
      </c>
      <c r="R865" s="366" t="n"/>
    </row>
    <row r="866">
      <c r="A866" s="359" t="n"/>
      <c r="B866" s="360" t="n"/>
      <c r="C866" s="361" t="n"/>
      <c r="D866" s="362" t="n"/>
      <c r="E866" s="362" t="n"/>
      <c r="F866" s="362" t="n"/>
      <c r="G866" s="363" t="n"/>
      <c r="H866" s="360" t="n"/>
      <c r="I866" s="360" t="n"/>
      <c r="J866" s="364" t="str">
        <f>IF($G866="","",IF($H866=1,$G866-ROUND($G866*10/23,0)-2*ROUND($G866/23,0),IF($H866=2,$G866,0)))</f>
        <v/>
      </c>
      <c r="K866" s="364" t="str">
        <f>IF($G866="","",IF($H866=1,ROUND($G866*10/23,0),IF($H866=3,$G866-2*ROUND($G866/12,0),IF($H866=4,$G866,IF(OR($H866=5,$H866=7),ROUND($G866*10/11,0),0)))))</f>
        <v/>
      </c>
      <c r="L866" s="364" t="str">
        <f>IF($G866="","",IF($H866=1,ROUND($G866/23,0),IF($H866=3,ROUND($G866/12,0),IF($H866=5,$G866-ROUND($G866*10/11,0),IF($H866=8,$G866,0)))))</f>
        <v/>
      </c>
      <c r="M866" s="364" t="str">
        <f>IF($G866="","",IF($H866=1,ROUND($G866/23,0),IF($H866=3,ROUND($G866/12,0),IF($H866=6,$G866,IF($H866=7,$G866-ROUND($G866*10/11,0),0)))))</f>
        <v/>
      </c>
      <c r="N866" s="364" t="str">
        <f>IF($G866="","",K866+L866+M866)</f>
        <v/>
      </c>
      <c r="O866" s="365" t="str">
        <f>IF($G866="","",IFERROR(VLOOKUP($D866&amp;"|"&amp;$E866,科目表!$A$5:$B$200,2,FALSE),"※未登録"))</f>
        <v/>
      </c>
      <c r="P866" s="359" t="str">
        <f>IF(OR($G866="",$C866=""),"",IF($B866="決算整理",13,MOD(MONTH($C866)-4,12)+1))</f>
        <v/>
      </c>
      <c r="Q866" s="366" t="str">
        <f>IF($G866="","",TRIM(IF(J866+K866+L866+M866&lt;&gt;$G866,"按分不一致 ","")&amp;IF(O866="※未登録","科目未登録 ","")&amp;IF(OR($H866="",ISERROR(MATCH($H866,{1,2,3,4,5,6,7,8},0))),"経費区分? ","")&amp;IF($I866="","状態未設定 ","")&amp;IF(AND(OR($I866="確認済",$I866="未確認"),$B866="月例",OR($C866="",$C866&lt;DATE(年度+2018,4,1),$C866&gt;DATE(年度+2019,3,31))),"年度外の日付 ","")&amp;IF(AND(OR($I866="確認済",$I866="未確認"),O866="対象外"),"対象外の科目 ","")))</f>
        <v/>
      </c>
      <c r="R866" s="366" t="n"/>
    </row>
    <row r="867">
      <c r="A867" s="359" t="n"/>
      <c r="B867" s="360" t="n"/>
      <c r="C867" s="361" t="n"/>
      <c r="D867" s="362" t="n"/>
      <c r="E867" s="362" t="n"/>
      <c r="F867" s="362" t="n"/>
      <c r="G867" s="363" t="n"/>
      <c r="H867" s="360" t="n"/>
      <c r="I867" s="360" t="n"/>
      <c r="J867" s="364" t="str">
        <f>IF($G867="","",IF($H867=1,$G867-ROUND($G867*10/23,0)-2*ROUND($G867/23,0),IF($H867=2,$G867,0)))</f>
        <v/>
      </c>
      <c r="K867" s="364" t="str">
        <f>IF($G867="","",IF($H867=1,ROUND($G867*10/23,0),IF($H867=3,$G867-2*ROUND($G867/12,0),IF($H867=4,$G867,IF(OR($H867=5,$H867=7),ROUND($G867*10/11,0),0)))))</f>
        <v/>
      </c>
      <c r="L867" s="364" t="str">
        <f>IF($G867="","",IF($H867=1,ROUND($G867/23,0),IF($H867=3,ROUND($G867/12,0),IF($H867=5,$G867-ROUND($G867*10/11,0),IF($H867=8,$G867,0)))))</f>
        <v/>
      </c>
      <c r="M867" s="364" t="str">
        <f>IF($G867="","",IF($H867=1,ROUND($G867/23,0),IF($H867=3,ROUND($G867/12,0),IF($H867=6,$G867,IF($H867=7,$G867-ROUND($G867*10/11,0),0)))))</f>
        <v/>
      </c>
      <c r="N867" s="364" t="str">
        <f>IF($G867="","",K867+L867+M867)</f>
        <v/>
      </c>
      <c r="O867" s="365" t="str">
        <f>IF($G867="","",IFERROR(VLOOKUP($D867&amp;"|"&amp;$E867,科目表!$A$5:$B$200,2,FALSE),"※未登録"))</f>
        <v/>
      </c>
      <c r="P867" s="359" t="str">
        <f>IF(OR($G867="",$C867=""),"",IF($B867="決算整理",13,MOD(MONTH($C867)-4,12)+1))</f>
        <v/>
      </c>
      <c r="Q867" s="366" t="str">
        <f>IF($G867="","",TRIM(IF(J867+K867+L867+M867&lt;&gt;$G867,"按分不一致 ","")&amp;IF(O867="※未登録","科目未登録 ","")&amp;IF(OR($H867="",ISERROR(MATCH($H867,{1,2,3,4,5,6,7,8},0))),"経費区分? ","")&amp;IF($I867="","状態未設定 ","")&amp;IF(AND(OR($I867="確認済",$I867="未確認"),$B867="月例",OR($C867="",$C867&lt;DATE(年度+2018,4,1),$C867&gt;DATE(年度+2019,3,31))),"年度外の日付 ","")&amp;IF(AND(OR($I867="確認済",$I867="未確認"),O867="対象外"),"対象外の科目 ","")))</f>
        <v/>
      </c>
      <c r="R867" s="366" t="n"/>
    </row>
    <row r="868">
      <c r="A868" s="359" t="n"/>
      <c r="B868" s="360" t="n"/>
      <c r="C868" s="361" t="n"/>
      <c r="D868" s="362" t="n"/>
      <c r="E868" s="362" t="n"/>
      <c r="F868" s="362" t="n"/>
      <c r="G868" s="363" t="n"/>
      <c r="H868" s="360" t="n"/>
      <c r="I868" s="360" t="n"/>
      <c r="J868" s="364" t="str">
        <f>IF($G868="","",IF($H868=1,$G868-ROUND($G868*10/23,0)-2*ROUND($G868/23,0),IF($H868=2,$G868,0)))</f>
        <v/>
      </c>
      <c r="K868" s="364" t="str">
        <f>IF($G868="","",IF($H868=1,ROUND($G868*10/23,0),IF($H868=3,$G868-2*ROUND($G868/12,0),IF($H868=4,$G868,IF(OR($H868=5,$H868=7),ROUND($G868*10/11,0),0)))))</f>
        <v/>
      </c>
      <c r="L868" s="364" t="str">
        <f>IF($G868="","",IF($H868=1,ROUND($G868/23,0),IF($H868=3,ROUND($G868/12,0),IF($H868=5,$G868-ROUND($G868*10/11,0),IF($H868=8,$G868,0)))))</f>
        <v/>
      </c>
      <c r="M868" s="364" t="str">
        <f>IF($G868="","",IF($H868=1,ROUND($G868/23,0),IF($H868=3,ROUND($G868/12,0),IF($H868=6,$G868,IF($H868=7,$G868-ROUND($G868*10/11,0),0)))))</f>
        <v/>
      </c>
      <c r="N868" s="364" t="str">
        <f>IF($G868="","",K868+L868+M868)</f>
        <v/>
      </c>
      <c r="O868" s="365" t="str">
        <f>IF($G868="","",IFERROR(VLOOKUP($D868&amp;"|"&amp;$E868,科目表!$A$5:$B$200,2,FALSE),"※未登録"))</f>
        <v/>
      </c>
      <c r="P868" s="359" t="str">
        <f>IF(OR($G868="",$C868=""),"",IF($B868="決算整理",13,MOD(MONTH($C868)-4,12)+1))</f>
        <v/>
      </c>
      <c r="Q868" s="366" t="str">
        <f>IF($G868="","",TRIM(IF(J868+K868+L868+M868&lt;&gt;$G868,"按分不一致 ","")&amp;IF(O868="※未登録","科目未登録 ","")&amp;IF(OR($H868="",ISERROR(MATCH($H868,{1,2,3,4,5,6,7,8},0))),"経費区分? ","")&amp;IF($I868="","状態未設定 ","")&amp;IF(AND(OR($I868="確認済",$I868="未確認"),$B868="月例",OR($C868="",$C868&lt;DATE(年度+2018,4,1),$C868&gt;DATE(年度+2019,3,31))),"年度外の日付 ","")&amp;IF(AND(OR($I868="確認済",$I868="未確認"),O868="対象外"),"対象外の科目 ","")))</f>
        <v/>
      </c>
      <c r="R868" s="366" t="n"/>
    </row>
    <row r="869">
      <c r="A869" s="359" t="n"/>
      <c r="B869" s="360" t="n"/>
      <c r="C869" s="361" t="n"/>
      <c r="D869" s="362" t="n"/>
      <c r="E869" s="362" t="n"/>
      <c r="F869" s="362" t="n"/>
      <c r="G869" s="363" t="n"/>
      <c r="H869" s="360" t="n"/>
      <c r="I869" s="360" t="n"/>
      <c r="J869" s="364" t="str">
        <f>IF($G869="","",IF($H869=1,$G869-ROUND($G869*10/23,0)-2*ROUND($G869/23,0),IF($H869=2,$G869,0)))</f>
        <v/>
      </c>
      <c r="K869" s="364" t="str">
        <f>IF($G869="","",IF($H869=1,ROUND($G869*10/23,0),IF($H869=3,$G869-2*ROUND($G869/12,0),IF($H869=4,$G869,IF(OR($H869=5,$H869=7),ROUND($G869*10/11,0),0)))))</f>
        <v/>
      </c>
      <c r="L869" s="364" t="str">
        <f>IF($G869="","",IF($H869=1,ROUND($G869/23,0),IF($H869=3,ROUND($G869/12,0),IF($H869=5,$G869-ROUND($G869*10/11,0),IF($H869=8,$G869,0)))))</f>
        <v/>
      </c>
      <c r="M869" s="364" t="str">
        <f>IF($G869="","",IF($H869=1,ROUND($G869/23,0),IF($H869=3,ROUND($G869/12,0),IF($H869=6,$G869,IF($H869=7,$G869-ROUND($G869*10/11,0),0)))))</f>
        <v/>
      </c>
      <c r="N869" s="364" t="str">
        <f>IF($G869="","",K869+L869+M869)</f>
        <v/>
      </c>
      <c r="O869" s="365" t="str">
        <f>IF($G869="","",IFERROR(VLOOKUP($D869&amp;"|"&amp;$E869,科目表!$A$5:$B$200,2,FALSE),"※未登録"))</f>
        <v/>
      </c>
      <c r="P869" s="359" t="str">
        <f>IF(OR($G869="",$C869=""),"",IF($B869="決算整理",13,MOD(MONTH($C869)-4,12)+1))</f>
        <v/>
      </c>
      <c r="Q869" s="366" t="str">
        <f>IF($G869="","",TRIM(IF(J869+K869+L869+M869&lt;&gt;$G869,"按分不一致 ","")&amp;IF(O869="※未登録","科目未登録 ","")&amp;IF(OR($H869="",ISERROR(MATCH($H869,{1,2,3,4,5,6,7,8},0))),"経費区分? ","")&amp;IF($I869="","状態未設定 ","")&amp;IF(AND(OR($I869="確認済",$I869="未確認"),$B869="月例",OR($C869="",$C869&lt;DATE(年度+2018,4,1),$C869&gt;DATE(年度+2019,3,31))),"年度外の日付 ","")&amp;IF(AND(OR($I869="確認済",$I869="未確認"),O869="対象外"),"対象外の科目 ","")))</f>
        <v/>
      </c>
      <c r="R869" s="366" t="n"/>
    </row>
    <row r="870">
      <c r="A870" s="359" t="n"/>
      <c r="B870" s="360" t="n"/>
      <c r="C870" s="361" t="n"/>
      <c r="D870" s="362" t="n"/>
      <c r="E870" s="362" t="n"/>
      <c r="F870" s="362" t="n"/>
      <c r="G870" s="363" t="n"/>
      <c r="H870" s="360" t="n"/>
      <c r="I870" s="360" t="n"/>
      <c r="J870" s="364" t="str">
        <f>IF($G870="","",IF($H870=1,$G870-ROUND($G870*10/23,0)-2*ROUND($G870/23,0),IF($H870=2,$G870,0)))</f>
        <v/>
      </c>
      <c r="K870" s="364" t="str">
        <f>IF($G870="","",IF($H870=1,ROUND($G870*10/23,0),IF($H870=3,$G870-2*ROUND($G870/12,0),IF($H870=4,$G870,IF(OR($H870=5,$H870=7),ROUND($G870*10/11,0),0)))))</f>
        <v/>
      </c>
      <c r="L870" s="364" t="str">
        <f>IF($G870="","",IF($H870=1,ROUND($G870/23,0),IF($H870=3,ROUND($G870/12,0),IF($H870=5,$G870-ROUND($G870*10/11,0),IF($H870=8,$G870,0)))))</f>
        <v/>
      </c>
      <c r="M870" s="364" t="str">
        <f>IF($G870="","",IF($H870=1,ROUND($G870/23,0),IF($H870=3,ROUND($G870/12,0),IF($H870=6,$G870,IF($H870=7,$G870-ROUND($G870*10/11,0),0)))))</f>
        <v/>
      </c>
      <c r="N870" s="364" t="str">
        <f>IF($G870="","",K870+L870+M870)</f>
        <v/>
      </c>
      <c r="O870" s="365" t="str">
        <f>IF($G870="","",IFERROR(VLOOKUP($D870&amp;"|"&amp;$E870,科目表!$A$5:$B$200,2,FALSE),"※未登録"))</f>
        <v/>
      </c>
      <c r="P870" s="359" t="str">
        <f>IF(OR($G870="",$C870=""),"",IF($B870="決算整理",13,MOD(MONTH($C870)-4,12)+1))</f>
        <v/>
      </c>
      <c r="Q870" s="366" t="str">
        <f>IF($G870="","",TRIM(IF(J870+K870+L870+M870&lt;&gt;$G870,"按分不一致 ","")&amp;IF(O870="※未登録","科目未登録 ","")&amp;IF(OR($H870="",ISERROR(MATCH($H870,{1,2,3,4,5,6,7,8},0))),"経費区分? ","")&amp;IF($I870="","状態未設定 ","")&amp;IF(AND(OR($I870="確認済",$I870="未確認"),$B870="月例",OR($C870="",$C870&lt;DATE(年度+2018,4,1),$C870&gt;DATE(年度+2019,3,31))),"年度外の日付 ","")&amp;IF(AND(OR($I870="確認済",$I870="未確認"),O870="対象外"),"対象外の科目 ","")))</f>
        <v/>
      </c>
      <c r="R870" s="366" t="n"/>
    </row>
    <row r="871">
      <c r="A871" s="359" t="n"/>
      <c r="B871" s="360" t="n"/>
      <c r="C871" s="361" t="n"/>
      <c r="D871" s="362" t="n"/>
      <c r="E871" s="362" t="n"/>
      <c r="F871" s="362" t="n"/>
      <c r="G871" s="363" t="n"/>
      <c r="H871" s="360" t="n"/>
      <c r="I871" s="360" t="n"/>
      <c r="J871" s="364" t="str">
        <f>IF($G871="","",IF($H871=1,$G871-ROUND($G871*10/23,0)-2*ROUND($G871/23,0),IF($H871=2,$G871,0)))</f>
        <v/>
      </c>
      <c r="K871" s="364" t="str">
        <f>IF($G871="","",IF($H871=1,ROUND($G871*10/23,0),IF($H871=3,$G871-2*ROUND($G871/12,0),IF($H871=4,$G871,IF(OR($H871=5,$H871=7),ROUND($G871*10/11,0),0)))))</f>
        <v/>
      </c>
      <c r="L871" s="364" t="str">
        <f>IF($G871="","",IF($H871=1,ROUND($G871/23,0),IF($H871=3,ROUND($G871/12,0),IF($H871=5,$G871-ROUND($G871*10/11,0),IF($H871=8,$G871,0)))))</f>
        <v/>
      </c>
      <c r="M871" s="364" t="str">
        <f>IF($G871="","",IF($H871=1,ROUND($G871/23,0),IF($H871=3,ROUND($G871/12,0),IF($H871=6,$G871,IF($H871=7,$G871-ROUND($G871*10/11,0),0)))))</f>
        <v/>
      </c>
      <c r="N871" s="364" t="str">
        <f>IF($G871="","",K871+L871+M871)</f>
        <v/>
      </c>
      <c r="O871" s="365" t="str">
        <f>IF($G871="","",IFERROR(VLOOKUP($D871&amp;"|"&amp;$E871,科目表!$A$5:$B$200,2,FALSE),"※未登録"))</f>
        <v/>
      </c>
      <c r="P871" s="359" t="str">
        <f>IF(OR($G871="",$C871=""),"",IF($B871="決算整理",13,MOD(MONTH($C871)-4,12)+1))</f>
        <v/>
      </c>
      <c r="Q871" s="366" t="str">
        <f>IF($G871="","",TRIM(IF(J871+K871+L871+M871&lt;&gt;$G871,"按分不一致 ","")&amp;IF(O871="※未登録","科目未登録 ","")&amp;IF(OR($H871="",ISERROR(MATCH($H871,{1,2,3,4,5,6,7,8},0))),"経費区分? ","")&amp;IF($I871="","状態未設定 ","")&amp;IF(AND(OR($I871="確認済",$I871="未確認"),$B871="月例",OR($C871="",$C871&lt;DATE(年度+2018,4,1),$C871&gt;DATE(年度+2019,3,31))),"年度外の日付 ","")&amp;IF(AND(OR($I871="確認済",$I871="未確認"),O871="対象外"),"対象外の科目 ","")))</f>
        <v/>
      </c>
      <c r="R871" s="366" t="n"/>
    </row>
    <row r="872">
      <c r="A872" s="359" t="n"/>
      <c r="B872" s="360" t="n"/>
      <c r="C872" s="361" t="n"/>
      <c r="D872" s="362" t="n"/>
      <c r="E872" s="362" t="n"/>
      <c r="F872" s="362" t="n"/>
      <c r="G872" s="363" t="n"/>
      <c r="H872" s="360" t="n"/>
      <c r="I872" s="360" t="n"/>
      <c r="J872" s="364" t="str">
        <f>IF($G872="","",IF($H872=1,$G872-ROUND($G872*10/23,0)-2*ROUND($G872/23,0),IF($H872=2,$G872,0)))</f>
        <v/>
      </c>
      <c r="K872" s="364" t="str">
        <f>IF($G872="","",IF($H872=1,ROUND($G872*10/23,0),IF($H872=3,$G872-2*ROUND($G872/12,0),IF($H872=4,$G872,IF(OR($H872=5,$H872=7),ROUND($G872*10/11,0),0)))))</f>
        <v/>
      </c>
      <c r="L872" s="364" t="str">
        <f>IF($G872="","",IF($H872=1,ROUND($G872/23,0),IF($H872=3,ROUND($G872/12,0),IF($H872=5,$G872-ROUND($G872*10/11,0),IF($H872=8,$G872,0)))))</f>
        <v/>
      </c>
      <c r="M872" s="364" t="str">
        <f>IF($G872="","",IF($H872=1,ROUND($G872/23,0),IF($H872=3,ROUND($G872/12,0),IF($H872=6,$G872,IF($H872=7,$G872-ROUND($G872*10/11,0),0)))))</f>
        <v/>
      </c>
      <c r="N872" s="364" t="str">
        <f>IF($G872="","",K872+L872+M872)</f>
        <v/>
      </c>
      <c r="O872" s="365" t="str">
        <f>IF($G872="","",IFERROR(VLOOKUP($D872&amp;"|"&amp;$E872,科目表!$A$5:$B$200,2,FALSE),"※未登録"))</f>
        <v/>
      </c>
      <c r="P872" s="359" t="str">
        <f>IF(OR($G872="",$C872=""),"",IF($B872="決算整理",13,MOD(MONTH($C872)-4,12)+1))</f>
        <v/>
      </c>
      <c r="Q872" s="366" t="str">
        <f>IF($G872="","",TRIM(IF(J872+K872+L872+M872&lt;&gt;$G872,"按分不一致 ","")&amp;IF(O872="※未登録","科目未登録 ","")&amp;IF(OR($H872="",ISERROR(MATCH($H872,{1,2,3,4,5,6,7,8},0))),"経費区分? ","")&amp;IF($I872="","状態未設定 ","")&amp;IF(AND(OR($I872="確認済",$I872="未確認"),$B872="月例",OR($C872="",$C872&lt;DATE(年度+2018,4,1),$C872&gt;DATE(年度+2019,3,31))),"年度外の日付 ","")&amp;IF(AND(OR($I872="確認済",$I872="未確認"),O872="対象外"),"対象外の科目 ","")))</f>
        <v/>
      </c>
      <c r="R872" s="366" t="n"/>
    </row>
    <row r="873">
      <c r="A873" s="359" t="n"/>
      <c r="B873" s="360" t="n"/>
      <c r="C873" s="361" t="n"/>
      <c r="D873" s="362" t="n"/>
      <c r="E873" s="362" t="n"/>
      <c r="F873" s="362" t="n"/>
      <c r="G873" s="363" t="n"/>
      <c r="H873" s="360" t="n"/>
      <c r="I873" s="360" t="n"/>
      <c r="J873" s="364" t="str">
        <f>IF($G873="","",IF($H873=1,$G873-ROUND($G873*10/23,0)-2*ROUND($G873/23,0),IF($H873=2,$G873,0)))</f>
        <v/>
      </c>
      <c r="K873" s="364" t="str">
        <f>IF($G873="","",IF($H873=1,ROUND($G873*10/23,0),IF($H873=3,$G873-2*ROUND($G873/12,0),IF($H873=4,$G873,IF(OR($H873=5,$H873=7),ROUND($G873*10/11,0),0)))))</f>
        <v/>
      </c>
      <c r="L873" s="364" t="str">
        <f>IF($G873="","",IF($H873=1,ROUND($G873/23,0),IF($H873=3,ROUND($G873/12,0),IF($H873=5,$G873-ROUND($G873*10/11,0),IF($H873=8,$G873,0)))))</f>
        <v/>
      </c>
      <c r="M873" s="364" t="str">
        <f>IF($G873="","",IF($H873=1,ROUND($G873/23,0),IF($H873=3,ROUND($G873/12,0),IF($H873=6,$G873,IF($H873=7,$G873-ROUND($G873*10/11,0),0)))))</f>
        <v/>
      </c>
      <c r="N873" s="364" t="str">
        <f>IF($G873="","",K873+L873+M873)</f>
        <v/>
      </c>
      <c r="O873" s="365" t="str">
        <f>IF($G873="","",IFERROR(VLOOKUP($D873&amp;"|"&amp;$E873,科目表!$A$5:$B$200,2,FALSE),"※未登録"))</f>
        <v/>
      </c>
      <c r="P873" s="359" t="str">
        <f>IF(OR($G873="",$C873=""),"",IF($B873="決算整理",13,MOD(MONTH($C873)-4,12)+1))</f>
        <v/>
      </c>
      <c r="Q873" s="366" t="str">
        <f>IF($G873="","",TRIM(IF(J873+K873+L873+M873&lt;&gt;$G873,"按分不一致 ","")&amp;IF(O873="※未登録","科目未登録 ","")&amp;IF(OR($H873="",ISERROR(MATCH($H873,{1,2,3,4,5,6,7,8},0))),"経費区分? ","")&amp;IF($I873="","状態未設定 ","")&amp;IF(AND(OR($I873="確認済",$I873="未確認"),$B873="月例",OR($C873="",$C873&lt;DATE(年度+2018,4,1),$C873&gt;DATE(年度+2019,3,31))),"年度外の日付 ","")&amp;IF(AND(OR($I873="確認済",$I873="未確認"),O873="対象外"),"対象外の科目 ","")))</f>
        <v/>
      </c>
      <c r="R873" s="366" t="n"/>
    </row>
    <row r="874">
      <c r="A874" s="359" t="n"/>
      <c r="B874" s="360" t="n"/>
      <c r="C874" s="361" t="n"/>
      <c r="D874" s="362" t="n"/>
      <c r="E874" s="362" t="n"/>
      <c r="F874" s="362" t="n"/>
      <c r="G874" s="363" t="n"/>
      <c r="H874" s="360" t="n"/>
      <c r="I874" s="360" t="n"/>
      <c r="J874" s="364" t="str">
        <f>IF($G874="","",IF($H874=1,$G874-ROUND($G874*10/23,0)-2*ROUND($G874/23,0),IF($H874=2,$G874,0)))</f>
        <v/>
      </c>
      <c r="K874" s="364" t="str">
        <f>IF($G874="","",IF($H874=1,ROUND($G874*10/23,0),IF($H874=3,$G874-2*ROUND($G874/12,0),IF($H874=4,$G874,IF(OR($H874=5,$H874=7),ROUND($G874*10/11,0),0)))))</f>
        <v/>
      </c>
      <c r="L874" s="364" t="str">
        <f>IF($G874="","",IF($H874=1,ROUND($G874/23,0),IF($H874=3,ROUND($G874/12,0),IF($H874=5,$G874-ROUND($G874*10/11,0),IF($H874=8,$G874,0)))))</f>
        <v/>
      </c>
      <c r="M874" s="364" t="str">
        <f>IF($G874="","",IF($H874=1,ROUND($G874/23,0),IF($H874=3,ROUND($G874/12,0),IF($H874=6,$G874,IF($H874=7,$G874-ROUND($G874*10/11,0),0)))))</f>
        <v/>
      </c>
      <c r="N874" s="364" t="str">
        <f>IF($G874="","",K874+L874+M874)</f>
        <v/>
      </c>
      <c r="O874" s="365" t="str">
        <f>IF($G874="","",IFERROR(VLOOKUP($D874&amp;"|"&amp;$E874,科目表!$A$5:$B$200,2,FALSE),"※未登録"))</f>
        <v/>
      </c>
      <c r="P874" s="359" t="str">
        <f>IF(OR($G874="",$C874=""),"",IF($B874="決算整理",13,MOD(MONTH($C874)-4,12)+1))</f>
        <v/>
      </c>
      <c r="Q874" s="366" t="str">
        <f>IF($G874="","",TRIM(IF(J874+K874+L874+M874&lt;&gt;$G874,"按分不一致 ","")&amp;IF(O874="※未登録","科目未登録 ","")&amp;IF(OR($H874="",ISERROR(MATCH($H874,{1,2,3,4,5,6,7,8},0))),"経費区分? ","")&amp;IF($I874="","状態未設定 ","")&amp;IF(AND(OR($I874="確認済",$I874="未確認"),$B874="月例",OR($C874="",$C874&lt;DATE(年度+2018,4,1),$C874&gt;DATE(年度+2019,3,31))),"年度外の日付 ","")&amp;IF(AND(OR($I874="確認済",$I874="未確認"),O874="対象外"),"対象外の科目 ","")))</f>
        <v/>
      </c>
      <c r="R874" s="366" t="n"/>
    </row>
    <row r="875">
      <c r="A875" s="359" t="n"/>
      <c r="B875" s="360" t="n"/>
      <c r="C875" s="361" t="n"/>
      <c r="D875" s="362" t="n"/>
      <c r="E875" s="362" t="n"/>
      <c r="F875" s="362" t="n"/>
      <c r="G875" s="363" t="n"/>
      <c r="H875" s="360" t="n"/>
      <c r="I875" s="360" t="n"/>
      <c r="J875" s="364" t="str">
        <f>IF($G875="","",IF($H875=1,$G875-ROUND($G875*10/23,0)-2*ROUND($G875/23,0),IF($H875=2,$G875,0)))</f>
        <v/>
      </c>
      <c r="K875" s="364" t="str">
        <f>IF($G875="","",IF($H875=1,ROUND($G875*10/23,0),IF($H875=3,$G875-2*ROUND($G875/12,0),IF($H875=4,$G875,IF(OR($H875=5,$H875=7),ROUND($G875*10/11,0),0)))))</f>
        <v/>
      </c>
      <c r="L875" s="364" t="str">
        <f>IF($G875="","",IF($H875=1,ROUND($G875/23,0),IF($H875=3,ROUND($G875/12,0),IF($H875=5,$G875-ROUND($G875*10/11,0),IF($H875=8,$G875,0)))))</f>
        <v/>
      </c>
      <c r="M875" s="364" t="str">
        <f>IF($G875="","",IF($H875=1,ROUND($G875/23,0),IF($H875=3,ROUND($G875/12,0),IF($H875=6,$G875,IF($H875=7,$G875-ROUND($G875*10/11,0),0)))))</f>
        <v/>
      </c>
      <c r="N875" s="364" t="str">
        <f>IF($G875="","",K875+L875+M875)</f>
        <v/>
      </c>
      <c r="O875" s="365" t="str">
        <f>IF($G875="","",IFERROR(VLOOKUP($D875&amp;"|"&amp;$E875,科目表!$A$5:$B$200,2,FALSE),"※未登録"))</f>
        <v/>
      </c>
      <c r="P875" s="359" t="str">
        <f>IF(OR($G875="",$C875=""),"",IF($B875="決算整理",13,MOD(MONTH($C875)-4,12)+1))</f>
        <v/>
      </c>
      <c r="Q875" s="366" t="str">
        <f>IF($G875="","",TRIM(IF(J875+K875+L875+M875&lt;&gt;$G875,"按分不一致 ","")&amp;IF(O875="※未登録","科目未登録 ","")&amp;IF(OR($H875="",ISERROR(MATCH($H875,{1,2,3,4,5,6,7,8},0))),"経費区分? ","")&amp;IF($I875="","状態未設定 ","")&amp;IF(AND(OR($I875="確認済",$I875="未確認"),$B875="月例",OR($C875="",$C875&lt;DATE(年度+2018,4,1),$C875&gt;DATE(年度+2019,3,31))),"年度外の日付 ","")&amp;IF(AND(OR($I875="確認済",$I875="未確認"),O875="対象外"),"対象外の科目 ","")))</f>
        <v/>
      </c>
      <c r="R875" s="366" t="n"/>
    </row>
    <row r="876">
      <c r="A876" s="359" t="n"/>
      <c r="B876" s="360" t="n"/>
      <c r="C876" s="361" t="n"/>
      <c r="D876" s="362" t="n"/>
      <c r="E876" s="362" t="n"/>
      <c r="F876" s="362" t="n"/>
      <c r="G876" s="363" t="n"/>
      <c r="H876" s="360" t="n"/>
      <c r="I876" s="360" t="n"/>
      <c r="J876" s="364" t="str">
        <f>IF($G876="","",IF($H876=1,$G876-ROUND($G876*10/23,0)-2*ROUND($G876/23,0),IF($H876=2,$G876,0)))</f>
        <v/>
      </c>
      <c r="K876" s="364" t="str">
        <f>IF($G876="","",IF($H876=1,ROUND($G876*10/23,0),IF($H876=3,$G876-2*ROUND($G876/12,0),IF($H876=4,$G876,IF(OR($H876=5,$H876=7),ROUND($G876*10/11,0),0)))))</f>
        <v/>
      </c>
      <c r="L876" s="364" t="str">
        <f>IF($G876="","",IF($H876=1,ROUND($G876/23,0),IF($H876=3,ROUND($G876/12,0),IF($H876=5,$G876-ROUND($G876*10/11,0),IF($H876=8,$G876,0)))))</f>
        <v/>
      </c>
      <c r="M876" s="364" t="str">
        <f>IF($G876="","",IF($H876=1,ROUND($G876/23,0),IF($H876=3,ROUND($G876/12,0),IF($H876=6,$G876,IF($H876=7,$G876-ROUND($G876*10/11,0),0)))))</f>
        <v/>
      </c>
      <c r="N876" s="364" t="str">
        <f>IF($G876="","",K876+L876+M876)</f>
        <v/>
      </c>
      <c r="O876" s="365" t="str">
        <f>IF($G876="","",IFERROR(VLOOKUP($D876&amp;"|"&amp;$E876,科目表!$A$5:$B$200,2,FALSE),"※未登録"))</f>
        <v/>
      </c>
      <c r="P876" s="359" t="str">
        <f>IF(OR($G876="",$C876=""),"",IF($B876="決算整理",13,MOD(MONTH($C876)-4,12)+1))</f>
        <v/>
      </c>
      <c r="Q876" s="366" t="str">
        <f>IF($G876="","",TRIM(IF(J876+K876+L876+M876&lt;&gt;$G876,"按分不一致 ","")&amp;IF(O876="※未登録","科目未登録 ","")&amp;IF(OR($H876="",ISERROR(MATCH($H876,{1,2,3,4,5,6,7,8},0))),"経費区分? ","")&amp;IF($I876="","状態未設定 ","")&amp;IF(AND(OR($I876="確認済",$I876="未確認"),$B876="月例",OR($C876="",$C876&lt;DATE(年度+2018,4,1),$C876&gt;DATE(年度+2019,3,31))),"年度外の日付 ","")&amp;IF(AND(OR($I876="確認済",$I876="未確認"),O876="対象外"),"対象外の科目 ","")))</f>
        <v/>
      </c>
      <c r="R876" s="366" t="n"/>
    </row>
    <row r="877">
      <c r="A877" s="359" t="n"/>
      <c r="B877" s="360" t="n"/>
      <c r="C877" s="361" t="n"/>
      <c r="D877" s="362" t="n"/>
      <c r="E877" s="362" t="n"/>
      <c r="F877" s="362" t="n"/>
      <c r="G877" s="363" t="n"/>
      <c r="H877" s="360" t="n"/>
      <c r="I877" s="360" t="n"/>
      <c r="J877" s="364" t="str">
        <f>IF($G877="","",IF($H877=1,$G877-ROUND($G877*10/23,0)-2*ROUND($G877/23,0),IF($H877=2,$G877,0)))</f>
        <v/>
      </c>
      <c r="K877" s="364" t="str">
        <f>IF($G877="","",IF($H877=1,ROUND($G877*10/23,0),IF($H877=3,$G877-2*ROUND($G877/12,0),IF($H877=4,$G877,IF(OR($H877=5,$H877=7),ROUND($G877*10/11,0),0)))))</f>
        <v/>
      </c>
      <c r="L877" s="364" t="str">
        <f>IF($G877="","",IF($H877=1,ROUND($G877/23,0),IF($H877=3,ROUND($G877/12,0),IF($H877=5,$G877-ROUND($G877*10/11,0),IF($H877=8,$G877,0)))))</f>
        <v/>
      </c>
      <c r="M877" s="364" t="str">
        <f>IF($G877="","",IF($H877=1,ROUND($G877/23,0),IF($H877=3,ROUND($G877/12,0),IF($H877=6,$G877,IF($H877=7,$G877-ROUND($G877*10/11,0),0)))))</f>
        <v/>
      </c>
      <c r="N877" s="364" t="str">
        <f>IF($G877="","",K877+L877+M877)</f>
        <v/>
      </c>
      <c r="O877" s="365" t="str">
        <f>IF($G877="","",IFERROR(VLOOKUP($D877&amp;"|"&amp;$E877,科目表!$A$5:$B$200,2,FALSE),"※未登録"))</f>
        <v/>
      </c>
      <c r="P877" s="359" t="str">
        <f>IF(OR($G877="",$C877=""),"",IF($B877="決算整理",13,MOD(MONTH($C877)-4,12)+1))</f>
        <v/>
      </c>
      <c r="Q877" s="366" t="str">
        <f>IF($G877="","",TRIM(IF(J877+K877+L877+M877&lt;&gt;$G877,"按分不一致 ","")&amp;IF(O877="※未登録","科目未登録 ","")&amp;IF(OR($H877="",ISERROR(MATCH($H877,{1,2,3,4,5,6,7,8},0))),"経費区分? ","")&amp;IF($I877="","状態未設定 ","")&amp;IF(AND(OR($I877="確認済",$I877="未確認"),$B877="月例",OR($C877="",$C877&lt;DATE(年度+2018,4,1),$C877&gt;DATE(年度+2019,3,31))),"年度外の日付 ","")&amp;IF(AND(OR($I877="確認済",$I877="未確認"),O877="対象外"),"対象外の科目 ","")))</f>
        <v/>
      </c>
      <c r="R877" s="366" t="n"/>
    </row>
    <row r="878">
      <c r="A878" s="359" t="n"/>
      <c r="B878" s="360" t="n"/>
      <c r="C878" s="361" t="n"/>
      <c r="D878" s="362" t="n"/>
      <c r="E878" s="362" t="n"/>
      <c r="F878" s="362" t="n"/>
      <c r="G878" s="363" t="n"/>
      <c r="H878" s="360" t="n"/>
      <c r="I878" s="360" t="n"/>
      <c r="J878" s="364" t="str">
        <f>IF($G878="","",IF($H878=1,$G878-ROUND($G878*10/23,0)-2*ROUND($G878/23,0),IF($H878=2,$G878,0)))</f>
        <v/>
      </c>
      <c r="K878" s="364" t="str">
        <f>IF($G878="","",IF($H878=1,ROUND($G878*10/23,0),IF($H878=3,$G878-2*ROUND($G878/12,0),IF($H878=4,$G878,IF(OR($H878=5,$H878=7),ROUND($G878*10/11,0),0)))))</f>
        <v/>
      </c>
      <c r="L878" s="364" t="str">
        <f>IF($G878="","",IF($H878=1,ROUND($G878/23,0),IF($H878=3,ROUND($G878/12,0),IF($H878=5,$G878-ROUND($G878*10/11,0),IF($H878=8,$G878,0)))))</f>
        <v/>
      </c>
      <c r="M878" s="364" t="str">
        <f>IF($G878="","",IF($H878=1,ROUND($G878/23,0),IF($H878=3,ROUND($G878/12,0),IF($H878=6,$G878,IF($H878=7,$G878-ROUND($G878*10/11,0),0)))))</f>
        <v/>
      </c>
      <c r="N878" s="364" t="str">
        <f>IF($G878="","",K878+L878+M878)</f>
        <v/>
      </c>
      <c r="O878" s="365" t="str">
        <f>IF($G878="","",IFERROR(VLOOKUP($D878&amp;"|"&amp;$E878,科目表!$A$5:$B$200,2,FALSE),"※未登録"))</f>
        <v/>
      </c>
      <c r="P878" s="359" t="str">
        <f>IF(OR($G878="",$C878=""),"",IF($B878="決算整理",13,MOD(MONTH($C878)-4,12)+1))</f>
        <v/>
      </c>
      <c r="Q878" s="366" t="str">
        <f>IF($G878="","",TRIM(IF(J878+K878+L878+M878&lt;&gt;$G878,"按分不一致 ","")&amp;IF(O878="※未登録","科目未登録 ","")&amp;IF(OR($H878="",ISERROR(MATCH($H878,{1,2,3,4,5,6,7,8},0))),"経費区分? ","")&amp;IF($I878="","状態未設定 ","")&amp;IF(AND(OR($I878="確認済",$I878="未確認"),$B878="月例",OR($C878="",$C878&lt;DATE(年度+2018,4,1),$C878&gt;DATE(年度+2019,3,31))),"年度外の日付 ","")&amp;IF(AND(OR($I878="確認済",$I878="未確認"),O878="対象外"),"対象外の科目 ","")))</f>
        <v/>
      </c>
      <c r="R878" s="366" t="n"/>
    </row>
    <row r="879">
      <c r="A879" s="359" t="n"/>
      <c r="B879" s="360" t="n"/>
      <c r="C879" s="361" t="n"/>
      <c r="D879" s="362" t="n"/>
      <c r="E879" s="362" t="n"/>
      <c r="F879" s="362" t="n"/>
      <c r="G879" s="363" t="n"/>
      <c r="H879" s="360" t="n"/>
      <c r="I879" s="360" t="n"/>
      <c r="J879" s="364" t="str">
        <f>IF($G879="","",IF($H879=1,$G879-ROUND($G879*10/23,0)-2*ROUND($G879/23,0),IF($H879=2,$G879,0)))</f>
        <v/>
      </c>
      <c r="K879" s="364" t="str">
        <f>IF($G879="","",IF($H879=1,ROUND($G879*10/23,0),IF($H879=3,$G879-2*ROUND($G879/12,0),IF($H879=4,$G879,IF(OR($H879=5,$H879=7),ROUND($G879*10/11,0),0)))))</f>
        <v/>
      </c>
      <c r="L879" s="364" t="str">
        <f>IF($G879="","",IF($H879=1,ROUND($G879/23,0),IF($H879=3,ROUND($G879/12,0),IF($H879=5,$G879-ROUND($G879*10/11,0),IF($H879=8,$G879,0)))))</f>
        <v/>
      </c>
      <c r="M879" s="364" t="str">
        <f>IF($G879="","",IF($H879=1,ROUND($G879/23,0),IF($H879=3,ROUND($G879/12,0),IF($H879=6,$G879,IF($H879=7,$G879-ROUND($G879*10/11,0),0)))))</f>
        <v/>
      </c>
      <c r="N879" s="364" t="str">
        <f>IF($G879="","",K879+L879+M879)</f>
        <v/>
      </c>
      <c r="O879" s="365" t="str">
        <f>IF($G879="","",IFERROR(VLOOKUP($D879&amp;"|"&amp;$E879,科目表!$A$5:$B$200,2,FALSE),"※未登録"))</f>
        <v/>
      </c>
      <c r="P879" s="359" t="str">
        <f>IF(OR($G879="",$C879=""),"",IF($B879="決算整理",13,MOD(MONTH($C879)-4,12)+1))</f>
        <v/>
      </c>
      <c r="Q879" s="366" t="str">
        <f>IF($G879="","",TRIM(IF(J879+K879+L879+M879&lt;&gt;$G879,"按分不一致 ","")&amp;IF(O879="※未登録","科目未登録 ","")&amp;IF(OR($H879="",ISERROR(MATCH($H879,{1,2,3,4,5,6,7,8},0))),"経費区分? ","")&amp;IF($I879="","状態未設定 ","")&amp;IF(AND(OR($I879="確認済",$I879="未確認"),$B879="月例",OR($C879="",$C879&lt;DATE(年度+2018,4,1),$C879&gt;DATE(年度+2019,3,31))),"年度外の日付 ","")&amp;IF(AND(OR($I879="確認済",$I879="未確認"),O879="対象外"),"対象外の科目 ","")))</f>
        <v/>
      </c>
      <c r="R879" s="366" t="n"/>
    </row>
    <row r="880">
      <c r="A880" s="359" t="n"/>
      <c r="B880" s="360" t="n"/>
      <c r="C880" s="361" t="n"/>
      <c r="D880" s="362" t="n"/>
      <c r="E880" s="362" t="n"/>
      <c r="F880" s="362" t="n"/>
      <c r="G880" s="363" t="n"/>
      <c r="H880" s="360" t="n"/>
      <c r="I880" s="360" t="n"/>
      <c r="J880" s="364" t="str">
        <f>IF($G880="","",IF($H880=1,$G880-ROUND($G880*10/23,0)-2*ROUND($G880/23,0),IF($H880=2,$G880,0)))</f>
        <v/>
      </c>
      <c r="K880" s="364" t="str">
        <f>IF($G880="","",IF($H880=1,ROUND($G880*10/23,0),IF($H880=3,$G880-2*ROUND($G880/12,0),IF($H880=4,$G880,IF(OR($H880=5,$H880=7),ROUND($G880*10/11,0),0)))))</f>
        <v/>
      </c>
      <c r="L880" s="364" t="str">
        <f>IF($G880="","",IF($H880=1,ROUND($G880/23,0),IF($H880=3,ROUND($G880/12,0),IF($H880=5,$G880-ROUND($G880*10/11,0),IF($H880=8,$G880,0)))))</f>
        <v/>
      </c>
      <c r="M880" s="364" t="str">
        <f>IF($G880="","",IF($H880=1,ROUND($G880/23,0),IF($H880=3,ROUND($G880/12,0),IF($H880=6,$G880,IF($H880=7,$G880-ROUND($G880*10/11,0),0)))))</f>
        <v/>
      </c>
      <c r="N880" s="364" t="str">
        <f>IF($G880="","",K880+L880+M880)</f>
        <v/>
      </c>
      <c r="O880" s="365" t="str">
        <f>IF($G880="","",IFERROR(VLOOKUP($D880&amp;"|"&amp;$E880,科目表!$A$5:$B$200,2,FALSE),"※未登録"))</f>
        <v/>
      </c>
      <c r="P880" s="359" t="str">
        <f>IF(OR($G880="",$C880=""),"",IF($B880="決算整理",13,MOD(MONTH($C880)-4,12)+1))</f>
        <v/>
      </c>
      <c r="Q880" s="366" t="str">
        <f>IF($G880="","",TRIM(IF(J880+K880+L880+M880&lt;&gt;$G880,"按分不一致 ","")&amp;IF(O880="※未登録","科目未登録 ","")&amp;IF(OR($H880="",ISERROR(MATCH($H880,{1,2,3,4,5,6,7,8},0))),"経費区分? ","")&amp;IF($I880="","状態未設定 ","")&amp;IF(AND(OR($I880="確認済",$I880="未確認"),$B880="月例",OR($C880="",$C880&lt;DATE(年度+2018,4,1),$C880&gt;DATE(年度+2019,3,31))),"年度外の日付 ","")&amp;IF(AND(OR($I880="確認済",$I880="未確認"),O880="対象外"),"対象外の科目 ","")))</f>
        <v/>
      </c>
      <c r="R880" s="366" t="n"/>
    </row>
    <row r="881">
      <c r="A881" s="359" t="n"/>
      <c r="B881" s="360" t="n"/>
      <c r="C881" s="361" t="n"/>
      <c r="D881" s="362" t="n"/>
      <c r="E881" s="362" t="n"/>
      <c r="F881" s="362" t="n"/>
      <c r="G881" s="363" t="n"/>
      <c r="H881" s="360" t="n"/>
      <c r="I881" s="360" t="n"/>
      <c r="J881" s="364" t="str">
        <f>IF($G881="","",IF($H881=1,$G881-ROUND($G881*10/23,0)-2*ROUND($G881/23,0),IF($H881=2,$G881,0)))</f>
        <v/>
      </c>
      <c r="K881" s="364" t="str">
        <f>IF($G881="","",IF($H881=1,ROUND($G881*10/23,0),IF($H881=3,$G881-2*ROUND($G881/12,0),IF($H881=4,$G881,IF(OR($H881=5,$H881=7),ROUND($G881*10/11,0),0)))))</f>
        <v/>
      </c>
      <c r="L881" s="364" t="str">
        <f>IF($G881="","",IF($H881=1,ROUND($G881/23,0),IF($H881=3,ROUND($G881/12,0),IF($H881=5,$G881-ROUND($G881*10/11,0),IF($H881=8,$G881,0)))))</f>
        <v/>
      </c>
      <c r="M881" s="364" t="str">
        <f>IF($G881="","",IF($H881=1,ROUND($G881/23,0),IF($H881=3,ROUND($G881/12,0),IF($H881=6,$G881,IF($H881=7,$G881-ROUND($G881*10/11,0),0)))))</f>
        <v/>
      </c>
      <c r="N881" s="364" t="str">
        <f>IF($G881="","",K881+L881+M881)</f>
        <v/>
      </c>
      <c r="O881" s="365" t="str">
        <f>IF($G881="","",IFERROR(VLOOKUP($D881&amp;"|"&amp;$E881,科目表!$A$5:$B$200,2,FALSE),"※未登録"))</f>
        <v/>
      </c>
      <c r="P881" s="359" t="str">
        <f>IF(OR($G881="",$C881=""),"",IF($B881="決算整理",13,MOD(MONTH($C881)-4,12)+1))</f>
        <v/>
      </c>
      <c r="Q881" s="366" t="str">
        <f>IF($G881="","",TRIM(IF(J881+K881+L881+M881&lt;&gt;$G881,"按分不一致 ","")&amp;IF(O881="※未登録","科目未登録 ","")&amp;IF(OR($H881="",ISERROR(MATCH($H881,{1,2,3,4,5,6,7,8},0))),"経費区分? ","")&amp;IF($I881="","状態未設定 ","")&amp;IF(AND(OR($I881="確認済",$I881="未確認"),$B881="月例",OR($C881="",$C881&lt;DATE(年度+2018,4,1),$C881&gt;DATE(年度+2019,3,31))),"年度外の日付 ","")&amp;IF(AND(OR($I881="確認済",$I881="未確認"),O881="対象外"),"対象外の科目 ","")))</f>
        <v/>
      </c>
      <c r="R881" s="366" t="n"/>
    </row>
    <row r="882">
      <c r="A882" s="359" t="n"/>
      <c r="B882" s="360" t="n"/>
      <c r="C882" s="361" t="n"/>
      <c r="D882" s="362" t="n"/>
      <c r="E882" s="362" t="n"/>
      <c r="F882" s="362" t="n"/>
      <c r="G882" s="363" t="n"/>
      <c r="H882" s="360" t="n"/>
      <c r="I882" s="360" t="n"/>
      <c r="J882" s="364" t="str">
        <f>IF($G882="","",IF($H882=1,$G882-ROUND($G882*10/23,0)-2*ROUND($G882/23,0),IF($H882=2,$G882,0)))</f>
        <v/>
      </c>
      <c r="K882" s="364" t="str">
        <f>IF($G882="","",IF($H882=1,ROUND($G882*10/23,0),IF($H882=3,$G882-2*ROUND($G882/12,0),IF($H882=4,$G882,IF(OR($H882=5,$H882=7),ROUND($G882*10/11,0),0)))))</f>
        <v/>
      </c>
      <c r="L882" s="364" t="str">
        <f>IF($G882="","",IF($H882=1,ROUND($G882/23,0),IF($H882=3,ROUND($G882/12,0),IF($H882=5,$G882-ROUND($G882*10/11,0),IF($H882=8,$G882,0)))))</f>
        <v/>
      </c>
      <c r="M882" s="364" t="str">
        <f>IF($G882="","",IF($H882=1,ROUND($G882/23,0),IF($H882=3,ROUND($G882/12,0),IF($H882=6,$G882,IF($H882=7,$G882-ROUND($G882*10/11,0),0)))))</f>
        <v/>
      </c>
      <c r="N882" s="364" t="str">
        <f>IF($G882="","",K882+L882+M882)</f>
        <v/>
      </c>
      <c r="O882" s="365" t="str">
        <f>IF($G882="","",IFERROR(VLOOKUP($D882&amp;"|"&amp;$E882,科目表!$A$5:$B$200,2,FALSE),"※未登録"))</f>
        <v/>
      </c>
      <c r="P882" s="359" t="str">
        <f>IF(OR($G882="",$C882=""),"",IF($B882="決算整理",13,MOD(MONTH($C882)-4,12)+1))</f>
        <v/>
      </c>
      <c r="Q882" s="366" t="str">
        <f>IF($G882="","",TRIM(IF(J882+K882+L882+M882&lt;&gt;$G882,"按分不一致 ","")&amp;IF(O882="※未登録","科目未登録 ","")&amp;IF(OR($H882="",ISERROR(MATCH($H882,{1,2,3,4,5,6,7,8},0))),"経費区分? ","")&amp;IF($I882="","状態未設定 ","")&amp;IF(AND(OR($I882="確認済",$I882="未確認"),$B882="月例",OR($C882="",$C882&lt;DATE(年度+2018,4,1),$C882&gt;DATE(年度+2019,3,31))),"年度外の日付 ","")&amp;IF(AND(OR($I882="確認済",$I882="未確認"),O882="対象外"),"対象外の科目 ","")))</f>
        <v/>
      </c>
      <c r="R882" s="366" t="n"/>
    </row>
    <row r="883">
      <c r="A883" s="359" t="n"/>
      <c r="B883" s="360" t="n"/>
      <c r="C883" s="361" t="n"/>
      <c r="D883" s="362" t="n"/>
      <c r="E883" s="362" t="n"/>
      <c r="F883" s="362" t="n"/>
      <c r="G883" s="363" t="n"/>
      <c r="H883" s="360" t="n"/>
      <c r="I883" s="360" t="n"/>
      <c r="J883" s="364" t="str">
        <f>IF($G883="","",IF($H883=1,$G883-ROUND($G883*10/23,0)-2*ROUND($G883/23,0),IF($H883=2,$G883,0)))</f>
        <v/>
      </c>
      <c r="K883" s="364" t="str">
        <f>IF($G883="","",IF($H883=1,ROUND($G883*10/23,0),IF($H883=3,$G883-2*ROUND($G883/12,0),IF($H883=4,$G883,IF(OR($H883=5,$H883=7),ROUND($G883*10/11,0),0)))))</f>
        <v/>
      </c>
      <c r="L883" s="364" t="str">
        <f>IF($G883="","",IF($H883=1,ROUND($G883/23,0),IF($H883=3,ROUND($G883/12,0),IF($H883=5,$G883-ROUND($G883*10/11,0),IF($H883=8,$G883,0)))))</f>
        <v/>
      </c>
      <c r="M883" s="364" t="str">
        <f>IF($G883="","",IF($H883=1,ROUND($G883/23,0),IF($H883=3,ROUND($G883/12,0),IF($H883=6,$G883,IF($H883=7,$G883-ROUND($G883*10/11,0),0)))))</f>
        <v/>
      </c>
      <c r="N883" s="364" t="str">
        <f>IF($G883="","",K883+L883+M883)</f>
        <v/>
      </c>
      <c r="O883" s="365" t="str">
        <f>IF($G883="","",IFERROR(VLOOKUP($D883&amp;"|"&amp;$E883,科目表!$A$5:$B$200,2,FALSE),"※未登録"))</f>
        <v/>
      </c>
      <c r="P883" s="359" t="str">
        <f>IF(OR($G883="",$C883=""),"",IF($B883="決算整理",13,MOD(MONTH($C883)-4,12)+1))</f>
        <v/>
      </c>
      <c r="Q883" s="366" t="str">
        <f>IF($G883="","",TRIM(IF(J883+K883+L883+M883&lt;&gt;$G883,"按分不一致 ","")&amp;IF(O883="※未登録","科目未登録 ","")&amp;IF(OR($H883="",ISERROR(MATCH($H883,{1,2,3,4,5,6,7,8},0))),"経費区分? ","")&amp;IF($I883="","状態未設定 ","")&amp;IF(AND(OR($I883="確認済",$I883="未確認"),$B883="月例",OR($C883="",$C883&lt;DATE(年度+2018,4,1),$C883&gt;DATE(年度+2019,3,31))),"年度外の日付 ","")&amp;IF(AND(OR($I883="確認済",$I883="未確認"),O883="対象外"),"対象外の科目 ","")))</f>
        <v/>
      </c>
      <c r="R883" s="366" t="n"/>
    </row>
    <row r="884">
      <c r="A884" s="359" t="n"/>
      <c r="B884" s="360" t="n"/>
      <c r="C884" s="361" t="n"/>
      <c r="D884" s="362" t="n"/>
      <c r="E884" s="362" t="n"/>
      <c r="F884" s="362" t="n"/>
      <c r="G884" s="363" t="n"/>
      <c r="H884" s="360" t="n"/>
      <c r="I884" s="360" t="n"/>
      <c r="J884" s="364" t="str">
        <f>IF($G884="","",IF($H884=1,$G884-ROUND($G884*10/23,0)-2*ROUND($G884/23,0),IF($H884=2,$G884,0)))</f>
        <v/>
      </c>
      <c r="K884" s="364" t="str">
        <f>IF($G884="","",IF($H884=1,ROUND($G884*10/23,0),IF($H884=3,$G884-2*ROUND($G884/12,0),IF($H884=4,$G884,IF(OR($H884=5,$H884=7),ROUND($G884*10/11,0),0)))))</f>
        <v/>
      </c>
      <c r="L884" s="364" t="str">
        <f>IF($G884="","",IF($H884=1,ROUND($G884/23,0),IF($H884=3,ROUND($G884/12,0),IF($H884=5,$G884-ROUND($G884*10/11,0),IF($H884=8,$G884,0)))))</f>
        <v/>
      </c>
      <c r="M884" s="364" t="str">
        <f>IF($G884="","",IF($H884=1,ROUND($G884/23,0),IF($H884=3,ROUND($G884/12,0),IF($H884=6,$G884,IF($H884=7,$G884-ROUND($G884*10/11,0),0)))))</f>
        <v/>
      </c>
      <c r="N884" s="364" t="str">
        <f>IF($G884="","",K884+L884+M884)</f>
        <v/>
      </c>
      <c r="O884" s="365" t="str">
        <f>IF($G884="","",IFERROR(VLOOKUP($D884&amp;"|"&amp;$E884,科目表!$A$5:$B$200,2,FALSE),"※未登録"))</f>
        <v/>
      </c>
      <c r="P884" s="359" t="str">
        <f>IF(OR($G884="",$C884=""),"",IF($B884="決算整理",13,MOD(MONTH($C884)-4,12)+1))</f>
        <v/>
      </c>
      <c r="Q884" s="366" t="str">
        <f>IF($G884="","",TRIM(IF(J884+K884+L884+M884&lt;&gt;$G884,"按分不一致 ","")&amp;IF(O884="※未登録","科目未登録 ","")&amp;IF(OR($H884="",ISERROR(MATCH($H884,{1,2,3,4,5,6,7,8},0))),"経費区分? ","")&amp;IF($I884="","状態未設定 ","")&amp;IF(AND(OR($I884="確認済",$I884="未確認"),$B884="月例",OR($C884="",$C884&lt;DATE(年度+2018,4,1),$C884&gt;DATE(年度+2019,3,31))),"年度外の日付 ","")&amp;IF(AND(OR($I884="確認済",$I884="未確認"),O884="対象外"),"対象外の科目 ","")))</f>
        <v/>
      </c>
      <c r="R884" s="366" t="n"/>
    </row>
    <row r="885">
      <c r="A885" s="359" t="n"/>
      <c r="B885" s="360" t="n"/>
      <c r="C885" s="361" t="n"/>
      <c r="D885" s="362" t="n"/>
      <c r="E885" s="362" t="n"/>
      <c r="F885" s="362" t="n"/>
      <c r="G885" s="363" t="n"/>
      <c r="H885" s="360" t="n"/>
      <c r="I885" s="360" t="n"/>
      <c r="J885" s="364" t="str">
        <f>IF($G885="","",IF($H885=1,$G885-ROUND($G885*10/23,0)-2*ROUND($G885/23,0),IF($H885=2,$G885,0)))</f>
        <v/>
      </c>
      <c r="K885" s="364" t="str">
        <f>IF($G885="","",IF($H885=1,ROUND($G885*10/23,0),IF($H885=3,$G885-2*ROUND($G885/12,0),IF($H885=4,$G885,IF(OR($H885=5,$H885=7),ROUND($G885*10/11,0),0)))))</f>
        <v/>
      </c>
      <c r="L885" s="364" t="str">
        <f>IF($G885="","",IF($H885=1,ROUND($G885/23,0),IF($H885=3,ROUND($G885/12,0),IF($H885=5,$G885-ROUND($G885*10/11,0),IF($H885=8,$G885,0)))))</f>
        <v/>
      </c>
      <c r="M885" s="364" t="str">
        <f>IF($G885="","",IF($H885=1,ROUND($G885/23,0),IF($H885=3,ROUND($G885/12,0),IF($H885=6,$G885,IF($H885=7,$G885-ROUND($G885*10/11,0),0)))))</f>
        <v/>
      </c>
      <c r="N885" s="364" t="str">
        <f>IF($G885="","",K885+L885+M885)</f>
        <v/>
      </c>
      <c r="O885" s="365" t="str">
        <f>IF($G885="","",IFERROR(VLOOKUP($D885&amp;"|"&amp;$E885,科目表!$A$5:$B$200,2,FALSE),"※未登録"))</f>
        <v/>
      </c>
      <c r="P885" s="359" t="str">
        <f>IF(OR($G885="",$C885=""),"",IF($B885="決算整理",13,MOD(MONTH($C885)-4,12)+1))</f>
        <v/>
      </c>
      <c r="Q885" s="366" t="str">
        <f>IF($G885="","",TRIM(IF(J885+K885+L885+M885&lt;&gt;$G885,"按分不一致 ","")&amp;IF(O885="※未登録","科目未登録 ","")&amp;IF(OR($H885="",ISERROR(MATCH($H885,{1,2,3,4,5,6,7,8},0))),"経費区分? ","")&amp;IF($I885="","状態未設定 ","")&amp;IF(AND(OR($I885="確認済",$I885="未確認"),$B885="月例",OR($C885="",$C885&lt;DATE(年度+2018,4,1),$C885&gt;DATE(年度+2019,3,31))),"年度外の日付 ","")&amp;IF(AND(OR($I885="確認済",$I885="未確認"),O885="対象外"),"対象外の科目 ","")))</f>
        <v/>
      </c>
      <c r="R885" s="366" t="n"/>
    </row>
    <row r="886">
      <c r="A886" s="359" t="n"/>
      <c r="B886" s="360" t="n"/>
      <c r="C886" s="361" t="n"/>
      <c r="D886" s="362" t="n"/>
      <c r="E886" s="362" t="n"/>
      <c r="F886" s="362" t="n"/>
      <c r="G886" s="363" t="n"/>
      <c r="H886" s="360" t="n"/>
      <c r="I886" s="360" t="n"/>
      <c r="J886" s="364" t="str">
        <f>IF($G886="","",IF($H886=1,$G886-ROUND($G886*10/23,0)-2*ROUND($G886/23,0),IF($H886=2,$G886,0)))</f>
        <v/>
      </c>
      <c r="K886" s="364" t="str">
        <f>IF($G886="","",IF($H886=1,ROUND($G886*10/23,0),IF($H886=3,$G886-2*ROUND($G886/12,0),IF($H886=4,$G886,IF(OR($H886=5,$H886=7),ROUND($G886*10/11,0),0)))))</f>
        <v/>
      </c>
      <c r="L886" s="364" t="str">
        <f>IF($G886="","",IF($H886=1,ROUND($G886/23,0),IF($H886=3,ROUND($G886/12,0),IF($H886=5,$G886-ROUND($G886*10/11,0),IF($H886=8,$G886,0)))))</f>
        <v/>
      </c>
      <c r="M886" s="364" t="str">
        <f>IF($G886="","",IF($H886=1,ROUND($G886/23,0),IF($H886=3,ROUND($G886/12,0),IF($H886=6,$G886,IF($H886=7,$G886-ROUND($G886*10/11,0),0)))))</f>
        <v/>
      </c>
      <c r="N886" s="364" t="str">
        <f>IF($G886="","",K886+L886+M886)</f>
        <v/>
      </c>
      <c r="O886" s="365" t="str">
        <f>IF($G886="","",IFERROR(VLOOKUP($D886&amp;"|"&amp;$E886,科目表!$A$5:$B$200,2,FALSE),"※未登録"))</f>
        <v/>
      </c>
      <c r="P886" s="359" t="str">
        <f>IF(OR($G886="",$C886=""),"",IF($B886="決算整理",13,MOD(MONTH($C886)-4,12)+1))</f>
        <v/>
      </c>
      <c r="Q886" s="366" t="str">
        <f>IF($G886="","",TRIM(IF(J886+K886+L886+M886&lt;&gt;$G886,"按分不一致 ","")&amp;IF(O886="※未登録","科目未登録 ","")&amp;IF(OR($H886="",ISERROR(MATCH($H886,{1,2,3,4,5,6,7,8},0))),"経費区分? ","")&amp;IF($I886="","状態未設定 ","")&amp;IF(AND(OR($I886="確認済",$I886="未確認"),$B886="月例",OR($C886="",$C886&lt;DATE(年度+2018,4,1),$C886&gt;DATE(年度+2019,3,31))),"年度外の日付 ","")&amp;IF(AND(OR($I886="確認済",$I886="未確認"),O886="対象外"),"対象外の科目 ","")))</f>
        <v/>
      </c>
      <c r="R886" s="366" t="n"/>
    </row>
    <row r="887">
      <c r="A887" s="359" t="n"/>
      <c r="B887" s="360" t="n"/>
      <c r="C887" s="361" t="n"/>
      <c r="D887" s="362" t="n"/>
      <c r="E887" s="362" t="n"/>
      <c r="F887" s="362" t="n"/>
      <c r="G887" s="363" t="n"/>
      <c r="H887" s="360" t="n"/>
      <c r="I887" s="360" t="n"/>
      <c r="J887" s="364" t="str">
        <f>IF($G887="","",IF($H887=1,$G887-ROUND($G887*10/23,0)-2*ROUND($G887/23,0),IF($H887=2,$G887,0)))</f>
        <v/>
      </c>
      <c r="K887" s="364" t="str">
        <f>IF($G887="","",IF($H887=1,ROUND($G887*10/23,0),IF($H887=3,$G887-2*ROUND($G887/12,0),IF($H887=4,$G887,IF(OR($H887=5,$H887=7),ROUND($G887*10/11,0),0)))))</f>
        <v/>
      </c>
      <c r="L887" s="364" t="str">
        <f>IF($G887="","",IF($H887=1,ROUND($G887/23,0),IF($H887=3,ROUND($G887/12,0),IF($H887=5,$G887-ROUND($G887*10/11,0),IF($H887=8,$G887,0)))))</f>
        <v/>
      </c>
      <c r="M887" s="364" t="str">
        <f>IF($G887="","",IF($H887=1,ROUND($G887/23,0),IF($H887=3,ROUND($G887/12,0),IF($H887=6,$G887,IF($H887=7,$G887-ROUND($G887*10/11,0),0)))))</f>
        <v/>
      </c>
      <c r="N887" s="364" t="str">
        <f>IF($G887="","",K887+L887+M887)</f>
        <v/>
      </c>
      <c r="O887" s="365" t="str">
        <f>IF($G887="","",IFERROR(VLOOKUP($D887&amp;"|"&amp;$E887,科目表!$A$5:$B$200,2,FALSE),"※未登録"))</f>
        <v/>
      </c>
      <c r="P887" s="359" t="str">
        <f>IF(OR($G887="",$C887=""),"",IF($B887="決算整理",13,MOD(MONTH($C887)-4,12)+1))</f>
        <v/>
      </c>
      <c r="Q887" s="366" t="str">
        <f>IF($G887="","",TRIM(IF(J887+K887+L887+M887&lt;&gt;$G887,"按分不一致 ","")&amp;IF(O887="※未登録","科目未登録 ","")&amp;IF(OR($H887="",ISERROR(MATCH($H887,{1,2,3,4,5,6,7,8},0))),"経費区分? ","")&amp;IF($I887="","状態未設定 ","")&amp;IF(AND(OR($I887="確認済",$I887="未確認"),$B887="月例",OR($C887="",$C887&lt;DATE(年度+2018,4,1),$C887&gt;DATE(年度+2019,3,31))),"年度外の日付 ","")&amp;IF(AND(OR($I887="確認済",$I887="未確認"),O887="対象外"),"対象外の科目 ","")))</f>
        <v/>
      </c>
      <c r="R887" s="366" t="n"/>
    </row>
    <row r="888">
      <c r="A888" s="359" t="n"/>
      <c r="B888" s="360" t="n"/>
      <c r="C888" s="361" t="n"/>
      <c r="D888" s="362" t="n"/>
      <c r="E888" s="362" t="n"/>
      <c r="F888" s="362" t="n"/>
      <c r="G888" s="363" t="n"/>
      <c r="H888" s="360" t="n"/>
      <c r="I888" s="360" t="n"/>
      <c r="J888" s="364" t="str">
        <f>IF($G888="","",IF($H888=1,$G888-ROUND($G888*10/23,0)-2*ROUND($G888/23,0),IF($H888=2,$G888,0)))</f>
        <v/>
      </c>
      <c r="K888" s="364" t="str">
        <f>IF($G888="","",IF($H888=1,ROUND($G888*10/23,0),IF($H888=3,$G888-2*ROUND($G888/12,0),IF($H888=4,$G888,IF(OR($H888=5,$H888=7),ROUND($G888*10/11,0),0)))))</f>
        <v/>
      </c>
      <c r="L888" s="364" t="str">
        <f>IF($G888="","",IF($H888=1,ROUND($G888/23,0),IF($H888=3,ROUND($G888/12,0),IF($H888=5,$G888-ROUND($G888*10/11,0),IF($H888=8,$G888,0)))))</f>
        <v/>
      </c>
      <c r="M888" s="364" t="str">
        <f>IF($G888="","",IF($H888=1,ROUND($G888/23,0),IF($H888=3,ROUND($G888/12,0),IF($H888=6,$G888,IF($H888=7,$G888-ROUND($G888*10/11,0),0)))))</f>
        <v/>
      </c>
      <c r="N888" s="364" t="str">
        <f>IF($G888="","",K888+L888+M888)</f>
        <v/>
      </c>
      <c r="O888" s="365" t="str">
        <f>IF($G888="","",IFERROR(VLOOKUP($D888&amp;"|"&amp;$E888,科目表!$A$5:$B$200,2,FALSE),"※未登録"))</f>
        <v/>
      </c>
      <c r="P888" s="359" t="str">
        <f>IF(OR($G888="",$C888=""),"",IF($B888="決算整理",13,MOD(MONTH($C888)-4,12)+1))</f>
        <v/>
      </c>
      <c r="Q888" s="366" t="str">
        <f>IF($G888="","",TRIM(IF(J888+K888+L888+M888&lt;&gt;$G888,"按分不一致 ","")&amp;IF(O888="※未登録","科目未登録 ","")&amp;IF(OR($H888="",ISERROR(MATCH($H888,{1,2,3,4,5,6,7,8},0))),"経費区分? ","")&amp;IF($I888="","状態未設定 ","")&amp;IF(AND(OR($I888="確認済",$I888="未確認"),$B888="月例",OR($C888="",$C888&lt;DATE(年度+2018,4,1),$C888&gt;DATE(年度+2019,3,31))),"年度外の日付 ","")&amp;IF(AND(OR($I888="確認済",$I888="未確認"),O888="対象外"),"対象外の科目 ","")))</f>
        <v/>
      </c>
      <c r="R888" s="366" t="n"/>
    </row>
    <row r="889">
      <c r="A889" s="359" t="n"/>
      <c r="B889" s="360" t="n"/>
      <c r="C889" s="361" t="n"/>
      <c r="D889" s="362" t="n"/>
      <c r="E889" s="362" t="n"/>
      <c r="F889" s="362" t="n"/>
      <c r="G889" s="363" t="n"/>
      <c r="H889" s="360" t="n"/>
      <c r="I889" s="360" t="n"/>
      <c r="J889" s="364" t="str">
        <f>IF($G889="","",IF($H889=1,$G889-ROUND($G889*10/23,0)-2*ROUND($G889/23,0),IF($H889=2,$G889,0)))</f>
        <v/>
      </c>
      <c r="K889" s="364" t="str">
        <f>IF($G889="","",IF($H889=1,ROUND($G889*10/23,0),IF($H889=3,$G889-2*ROUND($G889/12,0),IF($H889=4,$G889,IF(OR($H889=5,$H889=7),ROUND($G889*10/11,0),0)))))</f>
        <v/>
      </c>
      <c r="L889" s="364" t="str">
        <f>IF($G889="","",IF($H889=1,ROUND($G889/23,0),IF($H889=3,ROUND($G889/12,0),IF($H889=5,$G889-ROUND($G889*10/11,0),IF($H889=8,$G889,0)))))</f>
        <v/>
      </c>
      <c r="M889" s="364" t="str">
        <f>IF($G889="","",IF($H889=1,ROUND($G889/23,0),IF($H889=3,ROUND($G889/12,0),IF($H889=6,$G889,IF($H889=7,$G889-ROUND($G889*10/11,0),0)))))</f>
        <v/>
      </c>
      <c r="N889" s="364" t="str">
        <f>IF($G889="","",K889+L889+M889)</f>
        <v/>
      </c>
      <c r="O889" s="365" t="str">
        <f>IF($G889="","",IFERROR(VLOOKUP($D889&amp;"|"&amp;$E889,科目表!$A$5:$B$200,2,FALSE),"※未登録"))</f>
        <v/>
      </c>
      <c r="P889" s="359" t="str">
        <f>IF(OR($G889="",$C889=""),"",IF($B889="決算整理",13,MOD(MONTH($C889)-4,12)+1))</f>
        <v/>
      </c>
      <c r="Q889" s="366" t="str">
        <f>IF($G889="","",TRIM(IF(J889+K889+L889+M889&lt;&gt;$G889,"按分不一致 ","")&amp;IF(O889="※未登録","科目未登録 ","")&amp;IF(OR($H889="",ISERROR(MATCH($H889,{1,2,3,4,5,6,7,8},0))),"経費区分? ","")&amp;IF($I889="","状態未設定 ","")&amp;IF(AND(OR($I889="確認済",$I889="未確認"),$B889="月例",OR($C889="",$C889&lt;DATE(年度+2018,4,1),$C889&gt;DATE(年度+2019,3,31))),"年度外の日付 ","")&amp;IF(AND(OR($I889="確認済",$I889="未確認"),O889="対象外"),"対象外の科目 ","")))</f>
        <v/>
      </c>
      <c r="R889" s="366" t="n"/>
    </row>
    <row r="890">
      <c r="A890" s="359" t="n"/>
      <c r="B890" s="360" t="n"/>
      <c r="C890" s="361" t="n"/>
      <c r="D890" s="362" t="n"/>
      <c r="E890" s="362" t="n"/>
      <c r="F890" s="362" t="n"/>
      <c r="G890" s="363" t="n"/>
      <c r="H890" s="360" t="n"/>
      <c r="I890" s="360" t="n"/>
      <c r="J890" s="364" t="str">
        <f>IF($G890="","",IF($H890=1,$G890-ROUND($G890*10/23,0)-2*ROUND($G890/23,0),IF($H890=2,$G890,0)))</f>
        <v/>
      </c>
      <c r="K890" s="364" t="str">
        <f>IF($G890="","",IF($H890=1,ROUND($G890*10/23,0),IF($H890=3,$G890-2*ROUND($G890/12,0),IF($H890=4,$G890,IF(OR($H890=5,$H890=7),ROUND($G890*10/11,0),0)))))</f>
        <v/>
      </c>
      <c r="L890" s="364" t="str">
        <f>IF($G890="","",IF($H890=1,ROUND($G890/23,0),IF($H890=3,ROUND($G890/12,0),IF($H890=5,$G890-ROUND($G890*10/11,0),IF($H890=8,$G890,0)))))</f>
        <v/>
      </c>
      <c r="M890" s="364" t="str">
        <f>IF($G890="","",IF($H890=1,ROUND($G890/23,0),IF($H890=3,ROUND($G890/12,0),IF($H890=6,$G890,IF($H890=7,$G890-ROUND($G890*10/11,0),0)))))</f>
        <v/>
      </c>
      <c r="N890" s="364" t="str">
        <f>IF($G890="","",K890+L890+M890)</f>
        <v/>
      </c>
      <c r="O890" s="365" t="str">
        <f>IF($G890="","",IFERROR(VLOOKUP($D890&amp;"|"&amp;$E890,科目表!$A$5:$B$200,2,FALSE),"※未登録"))</f>
        <v/>
      </c>
      <c r="P890" s="359" t="str">
        <f>IF(OR($G890="",$C890=""),"",IF($B890="決算整理",13,MOD(MONTH($C890)-4,12)+1))</f>
        <v/>
      </c>
      <c r="Q890" s="366" t="str">
        <f>IF($G890="","",TRIM(IF(J890+K890+L890+M890&lt;&gt;$G890,"按分不一致 ","")&amp;IF(O890="※未登録","科目未登録 ","")&amp;IF(OR($H890="",ISERROR(MATCH($H890,{1,2,3,4,5,6,7,8},0))),"経費区分? ","")&amp;IF($I890="","状態未設定 ","")&amp;IF(AND(OR($I890="確認済",$I890="未確認"),$B890="月例",OR($C890="",$C890&lt;DATE(年度+2018,4,1),$C890&gt;DATE(年度+2019,3,31))),"年度外の日付 ","")&amp;IF(AND(OR($I890="確認済",$I890="未確認"),O890="対象外"),"対象外の科目 ","")))</f>
        <v/>
      </c>
      <c r="R890" s="366" t="n"/>
    </row>
    <row r="891">
      <c r="A891" s="359" t="n"/>
      <c r="B891" s="360" t="n"/>
      <c r="C891" s="361" t="n"/>
      <c r="D891" s="362" t="n"/>
      <c r="E891" s="362" t="n"/>
      <c r="F891" s="362" t="n"/>
      <c r="G891" s="363" t="n"/>
      <c r="H891" s="360" t="n"/>
      <c r="I891" s="360" t="n"/>
      <c r="J891" s="364" t="str">
        <f>IF($G891="","",IF($H891=1,$G891-ROUND($G891*10/23,0)-2*ROUND($G891/23,0),IF($H891=2,$G891,0)))</f>
        <v/>
      </c>
      <c r="K891" s="364" t="str">
        <f>IF($G891="","",IF($H891=1,ROUND($G891*10/23,0),IF($H891=3,$G891-2*ROUND($G891/12,0),IF($H891=4,$G891,IF(OR($H891=5,$H891=7),ROUND($G891*10/11,0),0)))))</f>
        <v/>
      </c>
      <c r="L891" s="364" t="str">
        <f>IF($G891="","",IF($H891=1,ROUND($G891/23,0),IF($H891=3,ROUND($G891/12,0),IF($H891=5,$G891-ROUND($G891*10/11,0),IF($H891=8,$G891,0)))))</f>
        <v/>
      </c>
      <c r="M891" s="364" t="str">
        <f>IF($G891="","",IF($H891=1,ROUND($G891/23,0),IF($H891=3,ROUND($G891/12,0),IF($H891=6,$G891,IF($H891=7,$G891-ROUND($G891*10/11,0),0)))))</f>
        <v/>
      </c>
      <c r="N891" s="364" t="str">
        <f>IF($G891="","",K891+L891+M891)</f>
        <v/>
      </c>
      <c r="O891" s="365" t="str">
        <f>IF($G891="","",IFERROR(VLOOKUP($D891&amp;"|"&amp;$E891,科目表!$A$5:$B$200,2,FALSE),"※未登録"))</f>
        <v/>
      </c>
      <c r="P891" s="359" t="str">
        <f>IF(OR($G891="",$C891=""),"",IF($B891="決算整理",13,MOD(MONTH($C891)-4,12)+1))</f>
        <v/>
      </c>
      <c r="Q891" s="366" t="str">
        <f>IF($G891="","",TRIM(IF(J891+K891+L891+M891&lt;&gt;$G891,"按分不一致 ","")&amp;IF(O891="※未登録","科目未登録 ","")&amp;IF(OR($H891="",ISERROR(MATCH($H891,{1,2,3,4,5,6,7,8},0))),"経費区分? ","")&amp;IF($I891="","状態未設定 ","")&amp;IF(AND(OR($I891="確認済",$I891="未確認"),$B891="月例",OR($C891="",$C891&lt;DATE(年度+2018,4,1),$C891&gt;DATE(年度+2019,3,31))),"年度外の日付 ","")&amp;IF(AND(OR($I891="確認済",$I891="未確認"),O891="対象外"),"対象外の科目 ","")))</f>
        <v/>
      </c>
      <c r="R891" s="366" t="n"/>
    </row>
    <row r="892">
      <c r="A892" s="359" t="n"/>
      <c r="B892" s="360" t="n"/>
      <c r="C892" s="361" t="n"/>
      <c r="D892" s="362" t="n"/>
      <c r="E892" s="362" t="n"/>
      <c r="F892" s="362" t="n"/>
      <c r="G892" s="363" t="n"/>
      <c r="H892" s="360" t="n"/>
      <c r="I892" s="360" t="n"/>
      <c r="J892" s="364" t="str">
        <f>IF($G892="","",IF($H892=1,$G892-ROUND($G892*10/23,0)-2*ROUND($G892/23,0),IF($H892=2,$G892,0)))</f>
        <v/>
      </c>
      <c r="K892" s="364" t="str">
        <f>IF($G892="","",IF($H892=1,ROUND($G892*10/23,0),IF($H892=3,$G892-2*ROUND($G892/12,0),IF($H892=4,$G892,IF(OR($H892=5,$H892=7),ROUND($G892*10/11,0),0)))))</f>
        <v/>
      </c>
      <c r="L892" s="364" t="str">
        <f>IF($G892="","",IF($H892=1,ROUND($G892/23,0),IF($H892=3,ROUND($G892/12,0),IF($H892=5,$G892-ROUND($G892*10/11,0),IF($H892=8,$G892,0)))))</f>
        <v/>
      </c>
      <c r="M892" s="364" t="str">
        <f>IF($G892="","",IF($H892=1,ROUND($G892/23,0),IF($H892=3,ROUND($G892/12,0),IF($H892=6,$G892,IF($H892=7,$G892-ROUND($G892*10/11,0),0)))))</f>
        <v/>
      </c>
      <c r="N892" s="364" t="str">
        <f>IF($G892="","",K892+L892+M892)</f>
        <v/>
      </c>
      <c r="O892" s="365" t="str">
        <f>IF($G892="","",IFERROR(VLOOKUP($D892&amp;"|"&amp;$E892,科目表!$A$5:$B$200,2,FALSE),"※未登録"))</f>
        <v/>
      </c>
      <c r="P892" s="359" t="str">
        <f>IF(OR($G892="",$C892=""),"",IF($B892="決算整理",13,MOD(MONTH($C892)-4,12)+1))</f>
        <v/>
      </c>
      <c r="Q892" s="366" t="str">
        <f>IF($G892="","",TRIM(IF(J892+K892+L892+M892&lt;&gt;$G892,"按分不一致 ","")&amp;IF(O892="※未登録","科目未登録 ","")&amp;IF(OR($H892="",ISERROR(MATCH($H892,{1,2,3,4,5,6,7,8},0))),"経費区分? ","")&amp;IF($I892="","状態未設定 ","")&amp;IF(AND(OR($I892="確認済",$I892="未確認"),$B892="月例",OR($C892="",$C892&lt;DATE(年度+2018,4,1),$C892&gt;DATE(年度+2019,3,31))),"年度外の日付 ","")&amp;IF(AND(OR($I892="確認済",$I892="未確認"),O892="対象外"),"対象外の科目 ","")))</f>
        <v/>
      </c>
      <c r="R892" s="366" t="n"/>
    </row>
    <row r="893">
      <c r="A893" s="359" t="n"/>
      <c r="B893" s="360" t="n"/>
      <c r="C893" s="361" t="n"/>
      <c r="D893" s="362" t="n"/>
      <c r="E893" s="362" t="n"/>
      <c r="F893" s="362" t="n"/>
      <c r="G893" s="363" t="n"/>
      <c r="H893" s="360" t="n"/>
      <c r="I893" s="360" t="n"/>
      <c r="J893" s="364" t="str">
        <f>IF($G893="","",IF($H893=1,$G893-ROUND($G893*10/23,0)-2*ROUND($G893/23,0),IF($H893=2,$G893,0)))</f>
        <v/>
      </c>
      <c r="K893" s="364" t="str">
        <f>IF($G893="","",IF($H893=1,ROUND($G893*10/23,0),IF($H893=3,$G893-2*ROUND($G893/12,0),IF($H893=4,$G893,IF(OR($H893=5,$H893=7),ROUND($G893*10/11,0),0)))))</f>
        <v/>
      </c>
      <c r="L893" s="364" t="str">
        <f>IF($G893="","",IF($H893=1,ROUND($G893/23,0),IF($H893=3,ROUND($G893/12,0),IF($H893=5,$G893-ROUND($G893*10/11,0),IF($H893=8,$G893,0)))))</f>
        <v/>
      </c>
      <c r="M893" s="364" t="str">
        <f>IF($G893="","",IF($H893=1,ROUND($G893/23,0),IF($H893=3,ROUND($G893/12,0),IF($H893=6,$G893,IF($H893=7,$G893-ROUND($G893*10/11,0),0)))))</f>
        <v/>
      </c>
      <c r="N893" s="364" t="str">
        <f>IF($G893="","",K893+L893+M893)</f>
        <v/>
      </c>
      <c r="O893" s="365" t="str">
        <f>IF($G893="","",IFERROR(VLOOKUP($D893&amp;"|"&amp;$E893,科目表!$A$5:$B$200,2,FALSE),"※未登録"))</f>
        <v/>
      </c>
      <c r="P893" s="359" t="str">
        <f>IF(OR($G893="",$C893=""),"",IF($B893="決算整理",13,MOD(MONTH($C893)-4,12)+1))</f>
        <v/>
      </c>
      <c r="Q893" s="366" t="str">
        <f>IF($G893="","",TRIM(IF(J893+K893+L893+M893&lt;&gt;$G893,"按分不一致 ","")&amp;IF(O893="※未登録","科目未登録 ","")&amp;IF(OR($H893="",ISERROR(MATCH($H893,{1,2,3,4,5,6,7,8},0))),"経費区分? ","")&amp;IF($I893="","状態未設定 ","")&amp;IF(AND(OR($I893="確認済",$I893="未確認"),$B893="月例",OR($C893="",$C893&lt;DATE(年度+2018,4,1),$C893&gt;DATE(年度+2019,3,31))),"年度外の日付 ","")&amp;IF(AND(OR($I893="確認済",$I893="未確認"),O893="対象外"),"対象外の科目 ","")))</f>
        <v/>
      </c>
      <c r="R893" s="366" t="n"/>
    </row>
    <row r="894">
      <c r="A894" s="359" t="n"/>
      <c r="B894" s="360" t="n"/>
      <c r="C894" s="361" t="n"/>
      <c r="D894" s="362" t="n"/>
      <c r="E894" s="362" t="n"/>
      <c r="F894" s="362" t="n"/>
      <c r="G894" s="363" t="n"/>
      <c r="H894" s="360" t="n"/>
      <c r="I894" s="360" t="n"/>
      <c r="J894" s="364" t="str">
        <f>IF($G894="","",IF($H894=1,$G894-ROUND($G894*10/23,0)-2*ROUND($G894/23,0),IF($H894=2,$G894,0)))</f>
        <v/>
      </c>
      <c r="K894" s="364" t="str">
        <f>IF($G894="","",IF($H894=1,ROUND($G894*10/23,0),IF($H894=3,$G894-2*ROUND($G894/12,0),IF($H894=4,$G894,IF(OR($H894=5,$H894=7),ROUND($G894*10/11,0),0)))))</f>
        <v/>
      </c>
      <c r="L894" s="364" t="str">
        <f>IF($G894="","",IF($H894=1,ROUND($G894/23,0),IF($H894=3,ROUND($G894/12,0),IF($H894=5,$G894-ROUND($G894*10/11,0),IF($H894=8,$G894,0)))))</f>
        <v/>
      </c>
      <c r="M894" s="364" t="str">
        <f>IF($G894="","",IF($H894=1,ROUND($G894/23,0),IF($H894=3,ROUND($G894/12,0),IF($H894=6,$G894,IF($H894=7,$G894-ROUND($G894*10/11,0),0)))))</f>
        <v/>
      </c>
      <c r="N894" s="364" t="str">
        <f>IF($G894="","",K894+L894+M894)</f>
        <v/>
      </c>
      <c r="O894" s="365" t="str">
        <f>IF($G894="","",IFERROR(VLOOKUP($D894&amp;"|"&amp;$E894,科目表!$A$5:$B$200,2,FALSE),"※未登録"))</f>
        <v/>
      </c>
      <c r="P894" s="359" t="str">
        <f>IF(OR($G894="",$C894=""),"",IF($B894="決算整理",13,MOD(MONTH($C894)-4,12)+1))</f>
        <v/>
      </c>
      <c r="Q894" s="366" t="str">
        <f>IF($G894="","",TRIM(IF(J894+K894+L894+M894&lt;&gt;$G894,"按分不一致 ","")&amp;IF(O894="※未登録","科目未登録 ","")&amp;IF(OR($H894="",ISERROR(MATCH($H894,{1,2,3,4,5,6,7,8},0))),"経費区分? ","")&amp;IF($I894="","状態未設定 ","")&amp;IF(AND(OR($I894="確認済",$I894="未確認"),$B894="月例",OR($C894="",$C894&lt;DATE(年度+2018,4,1),$C894&gt;DATE(年度+2019,3,31))),"年度外の日付 ","")&amp;IF(AND(OR($I894="確認済",$I894="未確認"),O894="対象外"),"対象外の科目 ","")))</f>
        <v/>
      </c>
      <c r="R894" s="366" t="n"/>
    </row>
    <row r="895">
      <c r="A895" s="359" t="n"/>
      <c r="B895" s="360" t="n"/>
      <c r="C895" s="361" t="n"/>
      <c r="D895" s="362" t="n"/>
      <c r="E895" s="362" t="n"/>
      <c r="F895" s="362" t="n"/>
      <c r="G895" s="363" t="n"/>
      <c r="H895" s="360" t="n"/>
      <c r="I895" s="360" t="n"/>
      <c r="J895" s="364" t="str">
        <f>IF($G895="","",IF($H895=1,$G895-ROUND($G895*10/23,0)-2*ROUND($G895/23,0),IF($H895=2,$G895,0)))</f>
        <v/>
      </c>
      <c r="K895" s="364" t="str">
        <f>IF($G895="","",IF($H895=1,ROUND($G895*10/23,0),IF($H895=3,$G895-2*ROUND($G895/12,0),IF($H895=4,$G895,IF(OR($H895=5,$H895=7),ROUND($G895*10/11,0),0)))))</f>
        <v/>
      </c>
      <c r="L895" s="364" t="str">
        <f>IF($G895="","",IF($H895=1,ROUND($G895/23,0),IF($H895=3,ROUND($G895/12,0),IF($H895=5,$G895-ROUND($G895*10/11,0),IF($H895=8,$G895,0)))))</f>
        <v/>
      </c>
      <c r="M895" s="364" t="str">
        <f>IF($G895="","",IF($H895=1,ROUND($G895/23,0),IF($H895=3,ROUND($G895/12,0),IF($H895=6,$G895,IF($H895=7,$G895-ROUND($G895*10/11,0),0)))))</f>
        <v/>
      </c>
      <c r="N895" s="364" t="str">
        <f>IF($G895="","",K895+L895+M895)</f>
        <v/>
      </c>
      <c r="O895" s="365" t="str">
        <f>IF($G895="","",IFERROR(VLOOKUP($D895&amp;"|"&amp;$E895,科目表!$A$5:$B$200,2,FALSE),"※未登録"))</f>
        <v/>
      </c>
      <c r="P895" s="359" t="str">
        <f>IF(OR($G895="",$C895=""),"",IF($B895="決算整理",13,MOD(MONTH($C895)-4,12)+1))</f>
        <v/>
      </c>
      <c r="Q895" s="366" t="str">
        <f>IF($G895="","",TRIM(IF(J895+K895+L895+M895&lt;&gt;$G895,"按分不一致 ","")&amp;IF(O895="※未登録","科目未登録 ","")&amp;IF(OR($H895="",ISERROR(MATCH($H895,{1,2,3,4,5,6,7,8},0))),"経費区分? ","")&amp;IF($I895="","状態未設定 ","")&amp;IF(AND(OR($I895="確認済",$I895="未確認"),$B895="月例",OR($C895="",$C895&lt;DATE(年度+2018,4,1),$C895&gt;DATE(年度+2019,3,31))),"年度外の日付 ","")&amp;IF(AND(OR($I895="確認済",$I895="未確認"),O895="対象外"),"対象外の科目 ","")))</f>
        <v/>
      </c>
      <c r="R895" s="366" t="n"/>
    </row>
    <row r="896">
      <c r="A896" s="359" t="n"/>
      <c r="B896" s="360" t="n"/>
      <c r="C896" s="361" t="n"/>
      <c r="D896" s="362" t="n"/>
      <c r="E896" s="362" t="n"/>
      <c r="F896" s="362" t="n"/>
      <c r="G896" s="363" t="n"/>
      <c r="H896" s="360" t="n"/>
      <c r="I896" s="360" t="n"/>
      <c r="J896" s="364" t="str">
        <f>IF($G896="","",IF($H896=1,$G896-ROUND($G896*10/23,0)-2*ROUND($G896/23,0),IF($H896=2,$G896,0)))</f>
        <v/>
      </c>
      <c r="K896" s="364" t="str">
        <f>IF($G896="","",IF($H896=1,ROUND($G896*10/23,0),IF($H896=3,$G896-2*ROUND($G896/12,0),IF($H896=4,$G896,IF(OR($H896=5,$H896=7),ROUND($G896*10/11,0),0)))))</f>
        <v/>
      </c>
      <c r="L896" s="364" t="str">
        <f>IF($G896="","",IF($H896=1,ROUND($G896/23,0),IF($H896=3,ROUND($G896/12,0),IF($H896=5,$G896-ROUND($G896*10/11,0),IF($H896=8,$G896,0)))))</f>
        <v/>
      </c>
      <c r="M896" s="364" t="str">
        <f>IF($G896="","",IF($H896=1,ROUND($G896/23,0),IF($H896=3,ROUND($G896/12,0),IF($H896=6,$G896,IF($H896=7,$G896-ROUND($G896*10/11,0),0)))))</f>
        <v/>
      </c>
      <c r="N896" s="364" t="str">
        <f>IF($G896="","",K896+L896+M896)</f>
        <v/>
      </c>
      <c r="O896" s="365" t="str">
        <f>IF($G896="","",IFERROR(VLOOKUP($D896&amp;"|"&amp;$E896,科目表!$A$5:$B$200,2,FALSE),"※未登録"))</f>
        <v/>
      </c>
      <c r="P896" s="359" t="str">
        <f>IF(OR($G896="",$C896=""),"",IF($B896="決算整理",13,MOD(MONTH($C896)-4,12)+1))</f>
        <v/>
      </c>
      <c r="Q896" s="366" t="str">
        <f>IF($G896="","",TRIM(IF(J896+K896+L896+M896&lt;&gt;$G896,"按分不一致 ","")&amp;IF(O896="※未登録","科目未登録 ","")&amp;IF(OR($H896="",ISERROR(MATCH($H896,{1,2,3,4,5,6,7,8},0))),"経費区分? ","")&amp;IF($I896="","状態未設定 ","")&amp;IF(AND(OR($I896="確認済",$I896="未確認"),$B896="月例",OR($C896="",$C896&lt;DATE(年度+2018,4,1),$C896&gt;DATE(年度+2019,3,31))),"年度外の日付 ","")&amp;IF(AND(OR($I896="確認済",$I896="未確認"),O896="対象外"),"対象外の科目 ","")))</f>
        <v/>
      </c>
      <c r="R896" s="366" t="n"/>
    </row>
    <row r="897">
      <c r="A897" s="359" t="n"/>
      <c r="B897" s="360" t="n"/>
      <c r="C897" s="361" t="n"/>
      <c r="D897" s="362" t="n"/>
      <c r="E897" s="362" t="n"/>
      <c r="F897" s="362" t="n"/>
      <c r="G897" s="363" t="n"/>
      <c r="H897" s="360" t="n"/>
      <c r="I897" s="360" t="n"/>
      <c r="J897" s="364" t="str">
        <f>IF($G897="","",IF($H897=1,$G897-ROUND($G897*10/23,0)-2*ROUND($G897/23,0),IF($H897=2,$G897,0)))</f>
        <v/>
      </c>
      <c r="K897" s="364" t="str">
        <f>IF($G897="","",IF($H897=1,ROUND($G897*10/23,0),IF($H897=3,$G897-2*ROUND($G897/12,0),IF($H897=4,$G897,IF(OR($H897=5,$H897=7),ROUND($G897*10/11,0),0)))))</f>
        <v/>
      </c>
      <c r="L897" s="364" t="str">
        <f>IF($G897="","",IF($H897=1,ROUND($G897/23,0),IF($H897=3,ROUND($G897/12,0),IF($H897=5,$G897-ROUND($G897*10/11,0),IF($H897=8,$G897,0)))))</f>
        <v/>
      </c>
      <c r="M897" s="364" t="str">
        <f>IF($G897="","",IF($H897=1,ROUND($G897/23,0),IF($H897=3,ROUND($G897/12,0),IF($H897=6,$G897,IF($H897=7,$G897-ROUND($G897*10/11,0),0)))))</f>
        <v/>
      </c>
      <c r="N897" s="364" t="str">
        <f>IF($G897="","",K897+L897+M897)</f>
        <v/>
      </c>
      <c r="O897" s="365" t="str">
        <f>IF($G897="","",IFERROR(VLOOKUP($D897&amp;"|"&amp;$E897,科目表!$A$5:$B$200,2,FALSE),"※未登録"))</f>
        <v/>
      </c>
      <c r="P897" s="359" t="str">
        <f>IF(OR($G897="",$C897=""),"",IF($B897="決算整理",13,MOD(MONTH($C897)-4,12)+1))</f>
        <v/>
      </c>
      <c r="Q897" s="366" t="str">
        <f>IF($G897="","",TRIM(IF(J897+K897+L897+M897&lt;&gt;$G897,"按分不一致 ","")&amp;IF(O897="※未登録","科目未登録 ","")&amp;IF(OR($H897="",ISERROR(MATCH($H897,{1,2,3,4,5,6,7,8},0))),"経費区分? ","")&amp;IF($I897="","状態未設定 ","")&amp;IF(AND(OR($I897="確認済",$I897="未確認"),$B897="月例",OR($C897="",$C897&lt;DATE(年度+2018,4,1),$C897&gt;DATE(年度+2019,3,31))),"年度外の日付 ","")&amp;IF(AND(OR($I897="確認済",$I897="未確認"),O897="対象外"),"対象外の科目 ","")))</f>
        <v/>
      </c>
      <c r="R897" s="366" t="n"/>
    </row>
    <row r="898">
      <c r="A898" s="359" t="n"/>
      <c r="B898" s="360" t="n"/>
      <c r="C898" s="361" t="n"/>
      <c r="D898" s="362" t="n"/>
      <c r="E898" s="362" t="n"/>
      <c r="F898" s="362" t="n"/>
      <c r="G898" s="363" t="n"/>
      <c r="H898" s="360" t="n"/>
      <c r="I898" s="360" t="n"/>
      <c r="J898" s="364" t="str">
        <f>IF($G898="","",IF($H898=1,$G898-ROUND($G898*10/23,0)-2*ROUND($G898/23,0),IF($H898=2,$G898,0)))</f>
        <v/>
      </c>
      <c r="K898" s="364" t="str">
        <f>IF($G898="","",IF($H898=1,ROUND($G898*10/23,0),IF($H898=3,$G898-2*ROUND($G898/12,0),IF($H898=4,$G898,IF(OR($H898=5,$H898=7),ROUND($G898*10/11,0),0)))))</f>
        <v/>
      </c>
      <c r="L898" s="364" t="str">
        <f>IF($G898="","",IF($H898=1,ROUND($G898/23,0),IF($H898=3,ROUND($G898/12,0),IF($H898=5,$G898-ROUND($G898*10/11,0),IF($H898=8,$G898,0)))))</f>
        <v/>
      </c>
      <c r="M898" s="364" t="str">
        <f>IF($G898="","",IF($H898=1,ROUND($G898/23,0),IF($H898=3,ROUND($G898/12,0),IF($H898=6,$G898,IF($H898=7,$G898-ROUND($G898*10/11,0),0)))))</f>
        <v/>
      </c>
      <c r="N898" s="364" t="str">
        <f>IF($G898="","",K898+L898+M898)</f>
        <v/>
      </c>
      <c r="O898" s="365" t="str">
        <f>IF($G898="","",IFERROR(VLOOKUP($D898&amp;"|"&amp;$E898,科目表!$A$5:$B$200,2,FALSE),"※未登録"))</f>
        <v/>
      </c>
      <c r="P898" s="359" t="str">
        <f>IF(OR($G898="",$C898=""),"",IF($B898="決算整理",13,MOD(MONTH($C898)-4,12)+1))</f>
        <v/>
      </c>
      <c r="Q898" s="366" t="str">
        <f>IF($G898="","",TRIM(IF(J898+K898+L898+M898&lt;&gt;$G898,"按分不一致 ","")&amp;IF(O898="※未登録","科目未登録 ","")&amp;IF(OR($H898="",ISERROR(MATCH($H898,{1,2,3,4,5,6,7,8},0))),"経費区分? ","")&amp;IF($I898="","状態未設定 ","")&amp;IF(AND(OR($I898="確認済",$I898="未確認"),$B898="月例",OR($C898="",$C898&lt;DATE(年度+2018,4,1),$C898&gt;DATE(年度+2019,3,31))),"年度外の日付 ","")&amp;IF(AND(OR($I898="確認済",$I898="未確認"),O898="対象外"),"対象外の科目 ","")))</f>
        <v/>
      </c>
      <c r="R898" s="366" t="n"/>
    </row>
    <row r="899">
      <c r="A899" s="359" t="n"/>
      <c r="B899" s="360" t="n"/>
      <c r="C899" s="361" t="n"/>
      <c r="D899" s="362" t="n"/>
      <c r="E899" s="362" t="n"/>
      <c r="F899" s="362" t="n"/>
      <c r="G899" s="363" t="n"/>
      <c r="H899" s="360" t="n"/>
      <c r="I899" s="360" t="n"/>
      <c r="J899" s="364" t="str">
        <f>IF($G899="","",IF($H899=1,$G899-ROUND($G899*10/23,0)-2*ROUND($G899/23,0),IF($H899=2,$G899,0)))</f>
        <v/>
      </c>
      <c r="K899" s="364" t="str">
        <f>IF($G899="","",IF($H899=1,ROUND($G899*10/23,0),IF($H899=3,$G899-2*ROUND($G899/12,0),IF($H899=4,$G899,IF(OR($H899=5,$H899=7),ROUND($G899*10/11,0),0)))))</f>
        <v/>
      </c>
      <c r="L899" s="364" t="str">
        <f>IF($G899="","",IF($H899=1,ROUND($G899/23,0),IF($H899=3,ROUND($G899/12,0),IF($H899=5,$G899-ROUND($G899*10/11,0),IF($H899=8,$G899,0)))))</f>
        <v/>
      </c>
      <c r="M899" s="364" t="str">
        <f>IF($G899="","",IF($H899=1,ROUND($G899/23,0),IF($H899=3,ROUND($G899/12,0),IF($H899=6,$G899,IF($H899=7,$G899-ROUND($G899*10/11,0),0)))))</f>
        <v/>
      </c>
      <c r="N899" s="364" t="str">
        <f>IF($G899="","",K899+L899+M899)</f>
        <v/>
      </c>
      <c r="O899" s="365" t="str">
        <f>IF($G899="","",IFERROR(VLOOKUP($D899&amp;"|"&amp;$E899,科目表!$A$5:$B$200,2,FALSE),"※未登録"))</f>
        <v/>
      </c>
      <c r="P899" s="359" t="str">
        <f>IF(OR($G899="",$C899=""),"",IF($B899="決算整理",13,MOD(MONTH($C899)-4,12)+1))</f>
        <v/>
      </c>
      <c r="Q899" s="366" t="str">
        <f>IF($G899="","",TRIM(IF(J899+K899+L899+M899&lt;&gt;$G899,"按分不一致 ","")&amp;IF(O899="※未登録","科目未登録 ","")&amp;IF(OR($H899="",ISERROR(MATCH($H899,{1,2,3,4,5,6,7,8},0))),"経費区分? ","")&amp;IF($I899="","状態未設定 ","")&amp;IF(AND(OR($I899="確認済",$I899="未確認"),$B899="月例",OR($C899="",$C899&lt;DATE(年度+2018,4,1),$C899&gt;DATE(年度+2019,3,31))),"年度外の日付 ","")&amp;IF(AND(OR($I899="確認済",$I899="未確認"),O899="対象外"),"対象外の科目 ","")))</f>
        <v/>
      </c>
      <c r="R899" s="366" t="n"/>
    </row>
    <row r="900">
      <c r="A900" s="359" t="n"/>
      <c r="B900" s="360" t="n"/>
      <c r="C900" s="361" t="n"/>
      <c r="D900" s="362" t="n"/>
      <c r="E900" s="362" t="n"/>
      <c r="F900" s="362" t="n"/>
      <c r="G900" s="363" t="n"/>
      <c r="H900" s="360" t="n"/>
      <c r="I900" s="360" t="n"/>
      <c r="J900" s="364" t="str">
        <f>IF($G900="","",IF($H900=1,$G900-ROUND($G900*10/23,0)-2*ROUND($G900/23,0),IF($H900=2,$G900,0)))</f>
        <v/>
      </c>
      <c r="K900" s="364" t="str">
        <f>IF($G900="","",IF($H900=1,ROUND($G900*10/23,0),IF($H900=3,$G900-2*ROUND($G900/12,0),IF($H900=4,$G900,IF(OR($H900=5,$H900=7),ROUND($G900*10/11,0),0)))))</f>
        <v/>
      </c>
      <c r="L900" s="364" t="str">
        <f>IF($G900="","",IF($H900=1,ROUND($G900/23,0),IF($H900=3,ROUND($G900/12,0),IF($H900=5,$G900-ROUND($G900*10/11,0),IF($H900=8,$G900,0)))))</f>
        <v/>
      </c>
      <c r="M900" s="364" t="str">
        <f>IF($G900="","",IF($H900=1,ROUND($G900/23,0),IF($H900=3,ROUND($G900/12,0),IF($H900=6,$G900,IF($H900=7,$G900-ROUND($G900*10/11,0),0)))))</f>
        <v/>
      </c>
      <c r="N900" s="364" t="str">
        <f>IF($G900="","",K900+L900+M900)</f>
        <v/>
      </c>
      <c r="O900" s="365" t="str">
        <f>IF($G900="","",IFERROR(VLOOKUP($D900&amp;"|"&amp;$E900,科目表!$A$5:$B$200,2,FALSE),"※未登録"))</f>
        <v/>
      </c>
      <c r="P900" s="359" t="str">
        <f>IF(OR($G900="",$C900=""),"",IF($B900="決算整理",13,MOD(MONTH($C900)-4,12)+1))</f>
        <v/>
      </c>
      <c r="Q900" s="366" t="str">
        <f>IF($G900="","",TRIM(IF(J900+K900+L900+M900&lt;&gt;$G900,"按分不一致 ","")&amp;IF(O900="※未登録","科目未登録 ","")&amp;IF(OR($H900="",ISERROR(MATCH($H900,{1,2,3,4,5,6,7,8},0))),"経費区分? ","")&amp;IF($I900="","状態未設定 ","")&amp;IF(AND(OR($I900="確認済",$I900="未確認"),$B900="月例",OR($C900="",$C900&lt;DATE(年度+2018,4,1),$C900&gt;DATE(年度+2019,3,31))),"年度外の日付 ","")&amp;IF(AND(OR($I900="確認済",$I900="未確認"),O900="対象外"),"対象外の科目 ","")))</f>
        <v/>
      </c>
      <c r="R900" s="366" t="n"/>
    </row>
    <row r="901">
      <c r="A901" s="359" t="n"/>
      <c r="B901" s="360" t="n"/>
      <c r="C901" s="361" t="n"/>
      <c r="D901" s="362" t="n"/>
      <c r="E901" s="362" t="n"/>
      <c r="F901" s="362" t="n"/>
      <c r="G901" s="363" t="n"/>
      <c r="H901" s="360" t="n"/>
      <c r="I901" s="360" t="n"/>
      <c r="J901" s="364" t="str">
        <f>IF($G901="","",IF($H901=1,$G901-ROUND($G901*10/23,0)-2*ROUND($G901/23,0),IF($H901=2,$G901,0)))</f>
        <v/>
      </c>
      <c r="K901" s="364" t="str">
        <f>IF($G901="","",IF($H901=1,ROUND($G901*10/23,0),IF($H901=3,$G901-2*ROUND($G901/12,0),IF($H901=4,$G901,IF(OR($H901=5,$H901=7),ROUND($G901*10/11,0),0)))))</f>
        <v/>
      </c>
      <c r="L901" s="364" t="str">
        <f>IF($G901="","",IF($H901=1,ROUND($G901/23,0),IF($H901=3,ROUND($G901/12,0),IF($H901=5,$G901-ROUND($G901*10/11,0),IF($H901=8,$G901,0)))))</f>
        <v/>
      </c>
      <c r="M901" s="364" t="str">
        <f>IF($G901="","",IF($H901=1,ROUND($G901/23,0),IF($H901=3,ROUND($G901/12,0),IF($H901=6,$G901,IF($H901=7,$G901-ROUND($G901*10/11,0),0)))))</f>
        <v/>
      </c>
      <c r="N901" s="364" t="str">
        <f>IF($G901="","",K901+L901+M901)</f>
        <v/>
      </c>
      <c r="O901" s="365" t="str">
        <f>IF($G901="","",IFERROR(VLOOKUP($D901&amp;"|"&amp;$E901,科目表!$A$5:$B$200,2,FALSE),"※未登録"))</f>
        <v/>
      </c>
      <c r="P901" s="359" t="str">
        <f>IF(OR($G901="",$C901=""),"",IF($B901="決算整理",13,MOD(MONTH($C901)-4,12)+1))</f>
        <v/>
      </c>
      <c r="Q901" s="366" t="str">
        <f>IF($G901="","",TRIM(IF(J901+K901+L901+M901&lt;&gt;$G901,"按分不一致 ","")&amp;IF(O901="※未登録","科目未登録 ","")&amp;IF(OR($H901="",ISERROR(MATCH($H901,{1,2,3,4,5,6,7,8},0))),"経費区分? ","")&amp;IF($I901="","状態未設定 ","")&amp;IF(AND(OR($I901="確認済",$I901="未確認"),$B901="月例",OR($C901="",$C901&lt;DATE(年度+2018,4,1),$C901&gt;DATE(年度+2019,3,31))),"年度外の日付 ","")&amp;IF(AND(OR($I901="確認済",$I901="未確認"),O901="対象外"),"対象外の科目 ","")))</f>
        <v/>
      </c>
      <c r="R901" s="366" t="n"/>
    </row>
    <row r="902">
      <c r="A902" s="359" t="n"/>
      <c r="B902" s="360" t="n"/>
      <c r="C902" s="361" t="n"/>
      <c r="D902" s="362" t="n"/>
      <c r="E902" s="362" t="n"/>
      <c r="F902" s="362" t="n"/>
      <c r="G902" s="363" t="n"/>
      <c r="H902" s="360" t="n"/>
      <c r="I902" s="360" t="n"/>
      <c r="J902" s="364" t="str">
        <f>IF($G902="","",IF($H902=1,$G902-ROUND($G902*10/23,0)-2*ROUND($G902/23,0),IF($H902=2,$G902,0)))</f>
        <v/>
      </c>
      <c r="K902" s="364" t="str">
        <f>IF($G902="","",IF($H902=1,ROUND($G902*10/23,0),IF($H902=3,$G902-2*ROUND($G902/12,0),IF($H902=4,$G902,IF(OR($H902=5,$H902=7),ROUND($G902*10/11,0),0)))))</f>
        <v/>
      </c>
      <c r="L902" s="364" t="str">
        <f>IF($G902="","",IF($H902=1,ROUND($G902/23,0),IF($H902=3,ROUND($G902/12,0),IF($H902=5,$G902-ROUND($G902*10/11,0),IF($H902=8,$G902,0)))))</f>
        <v/>
      </c>
      <c r="M902" s="364" t="str">
        <f>IF($G902="","",IF($H902=1,ROUND($G902/23,0),IF($H902=3,ROUND($G902/12,0),IF($H902=6,$G902,IF($H902=7,$G902-ROUND($G902*10/11,0),0)))))</f>
        <v/>
      </c>
      <c r="N902" s="364" t="str">
        <f>IF($G902="","",K902+L902+M902)</f>
        <v/>
      </c>
      <c r="O902" s="365" t="str">
        <f>IF($G902="","",IFERROR(VLOOKUP($D902&amp;"|"&amp;$E902,科目表!$A$5:$B$200,2,FALSE),"※未登録"))</f>
        <v/>
      </c>
      <c r="P902" s="359" t="str">
        <f>IF(OR($G902="",$C902=""),"",IF($B902="決算整理",13,MOD(MONTH($C902)-4,12)+1))</f>
        <v/>
      </c>
      <c r="Q902" s="366" t="str">
        <f>IF($G902="","",TRIM(IF(J902+K902+L902+M902&lt;&gt;$G902,"按分不一致 ","")&amp;IF(O902="※未登録","科目未登録 ","")&amp;IF(OR($H902="",ISERROR(MATCH($H902,{1,2,3,4,5,6,7,8},0))),"経費区分? ","")&amp;IF($I902="","状態未設定 ","")&amp;IF(AND(OR($I902="確認済",$I902="未確認"),$B902="月例",OR($C902="",$C902&lt;DATE(年度+2018,4,1),$C902&gt;DATE(年度+2019,3,31))),"年度外の日付 ","")&amp;IF(AND(OR($I902="確認済",$I902="未確認"),O902="対象外"),"対象外の科目 ","")))</f>
        <v/>
      </c>
      <c r="R902" s="366" t="n"/>
    </row>
    <row r="903">
      <c r="A903" s="359" t="n"/>
      <c r="B903" s="360" t="n"/>
      <c r="C903" s="361" t="n"/>
      <c r="D903" s="362" t="n"/>
      <c r="E903" s="362" t="n"/>
      <c r="F903" s="362" t="n"/>
      <c r="G903" s="363" t="n"/>
      <c r="H903" s="360" t="n"/>
      <c r="I903" s="360" t="n"/>
      <c r="J903" s="364" t="str">
        <f>IF($G903="","",IF($H903=1,$G903-ROUND($G903*10/23,0)-2*ROUND($G903/23,0),IF($H903=2,$G903,0)))</f>
        <v/>
      </c>
      <c r="K903" s="364" t="str">
        <f>IF($G903="","",IF($H903=1,ROUND($G903*10/23,0),IF($H903=3,$G903-2*ROUND($G903/12,0),IF($H903=4,$G903,IF(OR($H903=5,$H903=7),ROUND($G903*10/11,0),0)))))</f>
        <v/>
      </c>
      <c r="L903" s="364" t="str">
        <f>IF($G903="","",IF($H903=1,ROUND($G903/23,0),IF($H903=3,ROUND($G903/12,0),IF($H903=5,$G903-ROUND($G903*10/11,0),IF($H903=8,$G903,0)))))</f>
        <v/>
      </c>
      <c r="M903" s="364" t="str">
        <f>IF($G903="","",IF($H903=1,ROUND($G903/23,0),IF($H903=3,ROUND($G903/12,0),IF($H903=6,$G903,IF($H903=7,$G903-ROUND($G903*10/11,0),0)))))</f>
        <v/>
      </c>
      <c r="N903" s="364" t="str">
        <f>IF($G903="","",K903+L903+M903)</f>
        <v/>
      </c>
      <c r="O903" s="365" t="str">
        <f>IF($G903="","",IFERROR(VLOOKUP($D903&amp;"|"&amp;$E903,科目表!$A$5:$B$200,2,FALSE),"※未登録"))</f>
        <v/>
      </c>
      <c r="P903" s="359" t="str">
        <f>IF(OR($G903="",$C903=""),"",IF($B903="決算整理",13,MOD(MONTH($C903)-4,12)+1))</f>
        <v/>
      </c>
      <c r="Q903" s="366" t="str">
        <f>IF($G903="","",TRIM(IF(J903+K903+L903+M903&lt;&gt;$G903,"按分不一致 ","")&amp;IF(O903="※未登録","科目未登録 ","")&amp;IF(OR($H903="",ISERROR(MATCH($H903,{1,2,3,4,5,6,7,8},0))),"経費区分? ","")&amp;IF($I903="","状態未設定 ","")&amp;IF(AND(OR($I903="確認済",$I903="未確認"),$B903="月例",OR($C903="",$C903&lt;DATE(年度+2018,4,1),$C903&gt;DATE(年度+2019,3,31))),"年度外の日付 ","")&amp;IF(AND(OR($I903="確認済",$I903="未確認"),O903="対象外"),"対象外の科目 ","")))</f>
        <v/>
      </c>
      <c r="R903" s="366" t="n"/>
    </row>
    <row r="904">
      <c r="A904" s="359" t="n"/>
      <c r="B904" s="360" t="n"/>
      <c r="C904" s="361" t="n"/>
      <c r="D904" s="362" t="n"/>
      <c r="E904" s="362" t="n"/>
      <c r="F904" s="362" t="n"/>
      <c r="G904" s="363" t="n"/>
      <c r="H904" s="360" t="n"/>
      <c r="I904" s="360" t="n"/>
      <c r="J904" s="364" t="str">
        <f>IF($G904="","",IF($H904=1,$G904-ROUND($G904*10/23,0)-2*ROUND($G904/23,0),IF($H904=2,$G904,0)))</f>
        <v/>
      </c>
      <c r="K904" s="364" t="str">
        <f>IF($G904="","",IF($H904=1,ROUND($G904*10/23,0),IF($H904=3,$G904-2*ROUND($G904/12,0),IF($H904=4,$G904,IF(OR($H904=5,$H904=7),ROUND($G904*10/11,0),0)))))</f>
        <v/>
      </c>
      <c r="L904" s="364" t="str">
        <f>IF($G904="","",IF($H904=1,ROUND($G904/23,0),IF($H904=3,ROUND($G904/12,0),IF($H904=5,$G904-ROUND($G904*10/11,0),IF($H904=8,$G904,0)))))</f>
        <v/>
      </c>
      <c r="M904" s="364" t="str">
        <f>IF($G904="","",IF($H904=1,ROUND($G904/23,0),IF($H904=3,ROUND($G904/12,0),IF($H904=6,$G904,IF($H904=7,$G904-ROUND($G904*10/11,0),0)))))</f>
        <v/>
      </c>
      <c r="N904" s="364" t="str">
        <f>IF($G904="","",K904+L904+M904)</f>
        <v/>
      </c>
      <c r="O904" s="365" t="str">
        <f>IF($G904="","",IFERROR(VLOOKUP($D904&amp;"|"&amp;$E904,科目表!$A$5:$B$200,2,FALSE),"※未登録"))</f>
        <v/>
      </c>
      <c r="P904" s="359" t="str">
        <f>IF(OR($G904="",$C904=""),"",IF($B904="決算整理",13,MOD(MONTH($C904)-4,12)+1))</f>
        <v/>
      </c>
      <c r="Q904" s="366" t="str">
        <f>IF($G904="","",TRIM(IF(J904+K904+L904+M904&lt;&gt;$G904,"按分不一致 ","")&amp;IF(O904="※未登録","科目未登録 ","")&amp;IF(OR($H904="",ISERROR(MATCH($H904,{1,2,3,4,5,6,7,8},0))),"経費区分? ","")&amp;IF($I904="","状態未設定 ","")&amp;IF(AND(OR($I904="確認済",$I904="未確認"),$B904="月例",OR($C904="",$C904&lt;DATE(年度+2018,4,1),$C904&gt;DATE(年度+2019,3,31))),"年度外の日付 ","")&amp;IF(AND(OR($I904="確認済",$I904="未確認"),O904="対象外"),"対象外の科目 ","")))</f>
        <v/>
      </c>
      <c r="R904" s="366" t="n"/>
    </row>
    <row r="905">
      <c r="A905" s="359" t="n"/>
      <c r="B905" s="360" t="n"/>
      <c r="C905" s="361" t="n"/>
      <c r="D905" s="362" t="n"/>
      <c r="E905" s="362" t="n"/>
      <c r="F905" s="362" t="n"/>
      <c r="G905" s="363" t="n"/>
      <c r="H905" s="360" t="n"/>
      <c r="I905" s="360" t="n"/>
      <c r="J905" s="364" t="str">
        <f>IF($G905="","",IF($H905=1,$G905-ROUND($G905*10/23,0)-2*ROUND($G905/23,0),IF($H905=2,$G905,0)))</f>
        <v/>
      </c>
      <c r="K905" s="364" t="str">
        <f>IF($G905="","",IF($H905=1,ROUND($G905*10/23,0),IF($H905=3,$G905-2*ROUND($G905/12,0),IF($H905=4,$G905,IF(OR($H905=5,$H905=7),ROUND($G905*10/11,0),0)))))</f>
        <v/>
      </c>
      <c r="L905" s="364" t="str">
        <f>IF($G905="","",IF($H905=1,ROUND($G905/23,0),IF($H905=3,ROUND($G905/12,0),IF($H905=5,$G905-ROUND($G905*10/11,0),IF($H905=8,$G905,0)))))</f>
        <v/>
      </c>
      <c r="M905" s="364" t="str">
        <f>IF($G905="","",IF($H905=1,ROUND($G905/23,0),IF($H905=3,ROUND($G905/12,0),IF($H905=6,$G905,IF($H905=7,$G905-ROUND($G905*10/11,0),0)))))</f>
        <v/>
      </c>
      <c r="N905" s="364" t="str">
        <f>IF($G905="","",K905+L905+M905)</f>
        <v/>
      </c>
      <c r="O905" s="365" t="str">
        <f>IF($G905="","",IFERROR(VLOOKUP($D905&amp;"|"&amp;$E905,科目表!$A$5:$B$200,2,FALSE),"※未登録"))</f>
        <v/>
      </c>
      <c r="P905" s="359" t="str">
        <f>IF(OR($G905="",$C905=""),"",IF($B905="決算整理",13,MOD(MONTH($C905)-4,12)+1))</f>
        <v/>
      </c>
      <c r="Q905" s="366" t="str">
        <f>IF($G905="","",TRIM(IF(J905+K905+L905+M905&lt;&gt;$G905,"按分不一致 ","")&amp;IF(O905="※未登録","科目未登録 ","")&amp;IF(OR($H905="",ISERROR(MATCH($H905,{1,2,3,4,5,6,7,8},0))),"経費区分? ","")&amp;IF($I905="","状態未設定 ","")&amp;IF(AND(OR($I905="確認済",$I905="未確認"),$B905="月例",OR($C905="",$C905&lt;DATE(年度+2018,4,1),$C905&gt;DATE(年度+2019,3,31))),"年度外の日付 ","")&amp;IF(AND(OR($I905="確認済",$I905="未確認"),O905="対象外"),"対象外の科目 ","")))</f>
        <v/>
      </c>
      <c r="R905" s="366" t="n"/>
    </row>
    <row r="906">
      <c r="A906" s="359" t="n"/>
      <c r="B906" s="360" t="n"/>
      <c r="C906" s="361" t="n"/>
      <c r="D906" s="362" t="n"/>
      <c r="E906" s="362" t="n"/>
      <c r="F906" s="362" t="n"/>
      <c r="G906" s="363" t="n"/>
      <c r="H906" s="360" t="n"/>
      <c r="I906" s="360" t="n"/>
      <c r="J906" s="364" t="str">
        <f>IF($G906="","",IF($H906=1,$G906-ROUND($G906*10/23,0)-2*ROUND($G906/23,0),IF($H906=2,$G906,0)))</f>
        <v/>
      </c>
      <c r="K906" s="364" t="str">
        <f>IF($G906="","",IF($H906=1,ROUND($G906*10/23,0),IF($H906=3,$G906-2*ROUND($G906/12,0),IF($H906=4,$G906,IF(OR($H906=5,$H906=7),ROUND($G906*10/11,0),0)))))</f>
        <v/>
      </c>
      <c r="L906" s="364" t="str">
        <f>IF($G906="","",IF($H906=1,ROUND($G906/23,0),IF($H906=3,ROUND($G906/12,0),IF($H906=5,$G906-ROUND($G906*10/11,0),IF($H906=8,$G906,0)))))</f>
        <v/>
      </c>
      <c r="M906" s="364" t="str">
        <f>IF($G906="","",IF($H906=1,ROUND($G906/23,0),IF($H906=3,ROUND($G906/12,0),IF($H906=6,$G906,IF($H906=7,$G906-ROUND($G906*10/11,0),0)))))</f>
        <v/>
      </c>
      <c r="N906" s="364" t="str">
        <f>IF($G906="","",K906+L906+M906)</f>
        <v/>
      </c>
      <c r="O906" s="365" t="str">
        <f>IF($G906="","",IFERROR(VLOOKUP($D906&amp;"|"&amp;$E906,科目表!$A$5:$B$200,2,FALSE),"※未登録"))</f>
        <v/>
      </c>
      <c r="P906" s="359" t="str">
        <f>IF(OR($G906="",$C906=""),"",IF($B906="決算整理",13,MOD(MONTH($C906)-4,12)+1))</f>
        <v/>
      </c>
      <c r="Q906" s="366" t="str">
        <f>IF($G906="","",TRIM(IF(J906+K906+L906+M906&lt;&gt;$G906,"按分不一致 ","")&amp;IF(O906="※未登録","科目未登録 ","")&amp;IF(OR($H906="",ISERROR(MATCH($H906,{1,2,3,4,5,6,7,8},0))),"経費区分? ","")&amp;IF($I906="","状態未設定 ","")&amp;IF(AND(OR($I906="確認済",$I906="未確認"),$B906="月例",OR($C906="",$C906&lt;DATE(年度+2018,4,1),$C906&gt;DATE(年度+2019,3,31))),"年度外の日付 ","")&amp;IF(AND(OR($I906="確認済",$I906="未確認"),O906="対象外"),"対象外の科目 ","")))</f>
        <v/>
      </c>
      <c r="R906" s="366" t="n"/>
    </row>
    <row r="907">
      <c r="A907" s="359" t="n"/>
      <c r="B907" s="360" t="n"/>
      <c r="C907" s="361" t="n"/>
      <c r="D907" s="362" t="n"/>
      <c r="E907" s="362" t="n"/>
      <c r="F907" s="362" t="n"/>
      <c r="G907" s="363" t="n"/>
      <c r="H907" s="360" t="n"/>
      <c r="I907" s="360" t="n"/>
      <c r="J907" s="364" t="str">
        <f>IF($G907="","",IF($H907=1,$G907-ROUND($G907*10/23,0)-2*ROUND($G907/23,0),IF($H907=2,$G907,0)))</f>
        <v/>
      </c>
      <c r="K907" s="364" t="str">
        <f>IF($G907="","",IF($H907=1,ROUND($G907*10/23,0),IF($H907=3,$G907-2*ROUND($G907/12,0),IF($H907=4,$G907,IF(OR($H907=5,$H907=7),ROUND($G907*10/11,0),0)))))</f>
        <v/>
      </c>
      <c r="L907" s="364" t="str">
        <f>IF($G907="","",IF($H907=1,ROUND($G907/23,0),IF($H907=3,ROUND($G907/12,0),IF($H907=5,$G907-ROUND($G907*10/11,0),IF($H907=8,$G907,0)))))</f>
        <v/>
      </c>
      <c r="M907" s="364" t="str">
        <f>IF($G907="","",IF($H907=1,ROUND($G907/23,0),IF($H907=3,ROUND($G907/12,0),IF($H907=6,$G907,IF($H907=7,$G907-ROUND($G907*10/11,0),0)))))</f>
        <v/>
      </c>
      <c r="N907" s="364" t="str">
        <f>IF($G907="","",K907+L907+M907)</f>
        <v/>
      </c>
      <c r="O907" s="365" t="str">
        <f>IF($G907="","",IFERROR(VLOOKUP($D907&amp;"|"&amp;$E907,科目表!$A$5:$B$200,2,FALSE),"※未登録"))</f>
        <v/>
      </c>
      <c r="P907" s="359" t="str">
        <f>IF(OR($G907="",$C907=""),"",IF($B907="決算整理",13,MOD(MONTH($C907)-4,12)+1))</f>
        <v/>
      </c>
      <c r="Q907" s="366" t="str">
        <f>IF($G907="","",TRIM(IF(J907+K907+L907+M907&lt;&gt;$G907,"按分不一致 ","")&amp;IF(O907="※未登録","科目未登録 ","")&amp;IF(OR($H907="",ISERROR(MATCH($H907,{1,2,3,4,5,6,7,8},0))),"経費区分? ","")&amp;IF($I907="","状態未設定 ","")&amp;IF(AND(OR($I907="確認済",$I907="未確認"),$B907="月例",OR($C907="",$C907&lt;DATE(年度+2018,4,1),$C907&gt;DATE(年度+2019,3,31))),"年度外の日付 ","")&amp;IF(AND(OR($I907="確認済",$I907="未確認"),O907="対象外"),"対象外の科目 ","")))</f>
        <v/>
      </c>
      <c r="R907" s="366" t="n"/>
    </row>
    <row r="908">
      <c r="A908" s="359" t="n"/>
      <c r="B908" s="360" t="n"/>
      <c r="C908" s="361" t="n"/>
      <c r="D908" s="362" t="n"/>
      <c r="E908" s="362" t="n"/>
      <c r="F908" s="362" t="n"/>
      <c r="G908" s="363" t="n"/>
      <c r="H908" s="360" t="n"/>
      <c r="I908" s="360" t="n"/>
      <c r="J908" s="364" t="str">
        <f>IF($G908="","",IF($H908=1,$G908-ROUND($G908*10/23,0)-2*ROUND($G908/23,0),IF($H908=2,$G908,0)))</f>
        <v/>
      </c>
      <c r="K908" s="364" t="str">
        <f>IF($G908="","",IF($H908=1,ROUND($G908*10/23,0),IF($H908=3,$G908-2*ROUND($G908/12,0),IF($H908=4,$G908,IF(OR($H908=5,$H908=7),ROUND($G908*10/11,0),0)))))</f>
        <v/>
      </c>
      <c r="L908" s="364" t="str">
        <f>IF($G908="","",IF($H908=1,ROUND($G908/23,0),IF($H908=3,ROUND($G908/12,0),IF($H908=5,$G908-ROUND($G908*10/11,0),IF($H908=8,$G908,0)))))</f>
        <v/>
      </c>
      <c r="M908" s="364" t="str">
        <f>IF($G908="","",IF($H908=1,ROUND($G908/23,0),IF($H908=3,ROUND($G908/12,0),IF($H908=6,$G908,IF($H908=7,$G908-ROUND($G908*10/11,0),0)))))</f>
        <v/>
      </c>
      <c r="N908" s="364" t="str">
        <f>IF($G908="","",K908+L908+M908)</f>
        <v/>
      </c>
      <c r="O908" s="365" t="str">
        <f>IF($G908="","",IFERROR(VLOOKUP($D908&amp;"|"&amp;$E908,科目表!$A$5:$B$200,2,FALSE),"※未登録"))</f>
        <v/>
      </c>
      <c r="P908" s="359" t="str">
        <f>IF(OR($G908="",$C908=""),"",IF($B908="決算整理",13,MOD(MONTH($C908)-4,12)+1))</f>
        <v/>
      </c>
      <c r="Q908" s="366" t="str">
        <f>IF($G908="","",TRIM(IF(J908+K908+L908+M908&lt;&gt;$G908,"按分不一致 ","")&amp;IF(O908="※未登録","科目未登録 ","")&amp;IF(OR($H908="",ISERROR(MATCH($H908,{1,2,3,4,5,6,7,8},0))),"経費区分? ","")&amp;IF($I908="","状態未設定 ","")&amp;IF(AND(OR($I908="確認済",$I908="未確認"),$B908="月例",OR($C908="",$C908&lt;DATE(年度+2018,4,1),$C908&gt;DATE(年度+2019,3,31))),"年度外の日付 ","")&amp;IF(AND(OR($I908="確認済",$I908="未確認"),O908="対象外"),"対象外の科目 ","")))</f>
        <v/>
      </c>
      <c r="R908" s="366" t="n"/>
    </row>
    <row r="909">
      <c r="A909" s="359" t="n"/>
      <c r="B909" s="360" t="n"/>
      <c r="C909" s="361" t="n"/>
      <c r="D909" s="362" t="n"/>
      <c r="E909" s="362" t="n"/>
      <c r="F909" s="362" t="n"/>
      <c r="G909" s="363" t="n"/>
      <c r="H909" s="360" t="n"/>
      <c r="I909" s="360" t="n"/>
      <c r="J909" s="364" t="str">
        <f>IF($G909="","",IF($H909=1,$G909-ROUND($G909*10/23,0)-2*ROUND($G909/23,0),IF($H909=2,$G909,0)))</f>
        <v/>
      </c>
      <c r="K909" s="364" t="str">
        <f>IF($G909="","",IF($H909=1,ROUND($G909*10/23,0),IF($H909=3,$G909-2*ROUND($G909/12,0),IF($H909=4,$G909,IF(OR($H909=5,$H909=7),ROUND($G909*10/11,0),0)))))</f>
        <v/>
      </c>
      <c r="L909" s="364" t="str">
        <f>IF($G909="","",IF($H909=1,ROUND($G909/23,0),IF($H909=3,ROUND($G909/12,0),IF($H909=5,$G909-ROUND($G909*10/11,0),IF($H909=8,$G909,0)))))</f>
        <v/>
      </c>
      <c r="M909" s="364" t="str">
        <f>IF($G909="","",IF($H909=1,ROUND($G909/23,0),IF($H909=3,ROUND($G909/12,0),IF($H909=6,$G909,IF($H909=7,$G909-ROUND($G909*10/11,0),0)))))</f>
        <v/>
      </c>
      <c r="N909" s="364" t="str">
        <f>IF($G909="","",K909+L909+M909)</f>
        <v/>
      </c>
      <c r="O909" s="365" t="str">
        <f>IF($G909="","",IFERROR(VLOOKUP($D909&amp;"|"&amp;$E909,科目表!$A$5:$B$200,2,FALSE),"※未登録"))</f>
        <v/>
      </c>
      <c r="P909" s="359" t="str">
        <f>IF(OR($G909="",$C909=""),"",IF($B909="決算整理",13,MOD(MONTH($C909)-4,12)+1))</f>
        <v/>
      </c>
      <c r="Q909" s="366" t="str">
        <f>IF($G909="","",TRIM(IF(J909+K909+L909+M909&lt;&gt;$G909,"按分不一致 ","")&amp;IF(O909="※未登録","科目未登録 ","")&amp;IF(OR($H909="",ISERROR(MATCH($H909,{1,2,3,4,5,6,7,8},0))),"経費区分? ","")&amp;IF($I909="","状態未設定 ","")&amp;IF(AND(OR($I909="確認済",$I909="未確認"),$B909="月例",OR($C909="",$C909&lt;DATE(年度+2018,4,1),$C909&gt;DATE(年度+2019,3,31))),"年度外の日付 ","")&amp;IF(AND(OR($I909="確認済",$I909="未確認"),O909="対象外"),"対象外の科目 ","")))</f>
        <v/>
      </c>
      <c r="R909" s="366" t="n"/>
    </row>
    <row r="910">
      <c r="A910" s="359" t="n"/>
      <c r="B910" s="360" t="n"/>
      <c r="C910" s="361" t="n"/>
      <c r="D910" s="362" t="n"/>
      <c r="E910" s="362" t="n"/>
      <c r="F910" s="362" t="n"/>
      <c r="G910" s="363" t="n"/>
      <c r="H910" s="360" t="n"/>
      <c r="I910" s="360" t="n"/>
      <c r="J910" s="364" t="str">
        <f>IF($G910="","",IF($H910=1,$G910-ROUND($G910*10/23,0)-2*ROUND($G910/23,0),IF($H910=2,$G910,0)))</f>
        <v/>
      </c>
      <c r="K910" s="364" t="str">
        <f>IF($G910="","",IF($H910=1,ROUND($G910*10/23,0),IF($H910=3,$G910-2*ROUND($G910/12,0),IF($H910=4,$G910,IF(OR($H910=5,$H910=7),ROUND($G910*10/11,0),0)))))</f>
        <v/>
      </c>
      <c r="L910" s="364" t="str">
        <f>IF($G910="","",IF($H910=1,ROUND($G910/23,0),IF($H910=3,ROUND($G910/12,0),IF($H910=5,$G910-ROUND($G910*10/11,0),IF($H910=8,$G910,0)))))</f>
        <v/>
      </c>
      <c r="M910" s="364" t="str">
        <f>IF($G910="","",IF($H910=1,ROUND($G910/23,0),IF($H910=3,ROUND($G910/12,0),IF($H910=6,$G910,IF($H910=7,$G910-ROUND($G910*10/11,0),0)))))</f>
        <v/>
      </c>
      <c r="N910" s="364" t="str">
        <f>IF($G910="","",K910+L910+M910)</f>
        <v/>
      </c>
      <c r="O910" s="365" t="str">
        <f>IF($G910="","",IFERROR(VLOOKUP($D910&amp;"|"&amp;$E910,科目表!$A$5:$B$200,2,FALSE),"※未登録"))</f>
        <v/>
      </c>
      <c r="P910" s="359" t="str">
        <f>IF(OR($G910="",$C910=""),"",IF($B910="決算整理",13,MOD(MONTH($C910)-4,12)+1))</f>
        <v/>
      </c>
      <c r="Q910" s="366" t="str">
        <f>IF($G910="","",TRIM(IF(J910+K910+L910+M910&lt;&gt;$G910,"按分不一致 ","")&amp;IF(O910="※未登録","科目未登録 ","")&amp;IF(OR($H910="",ISERROR(MATCH($H910,{1,2,3,4,5,6,7,8},0))),"経費区分? ","")&amp;IF($I910="","状態未設定 ","")&amp;IF(AND(OR($I910="確認済",$I910="未確認"),$B910="月例",OR($C910="",$C910&lt;DATE(年度+2018,4,1),$C910&gt;DATE(年度+2019,3,31))),"年度外の日付 ","")&amp;IF(AND(OR($I910="確認済",$I910="未確認"),O910="対象外"),"対象外の科目 ","")))</f>
        <v/>
      </c>
      <c r="R910" s="366" t="n"/>
    </row>
    <row r="911">
      <c r="A911" s="359" t="n"/>
      <c r="B911" s="360" t="n"/>
      <c r="C911" s="361" t="n"/>
      <c r="D911" s="362" t="n"/>
      <c r="E911" s="362" t="n"/>
      <c r="F911" s="362" t="n"/>
      <c r="G911" s="363" t="n"/>
      <c r="H911" s="360" t="n"/>
      <c r="I911" s="360" t="n"/>
      <c r="J911" s="364" t="str">
        <f>IF($G911="","",IF($H911=1,$G911-ROUND($G911*10/23,0)-2*ROUND($G911/23,0),IF($H911=2,$G911,0)))</f>
        <v/>
      </c>
      <c r="K911" s="364" t="str">
        <f>IF($G911="","",IF($H911=1,ROUND($G911*10/23,0),IF($H911=3,$G911-2*ROUND($G911/12,0),IF($H911=4,$G911,IF(OR($H911=5,$H911=7),ROUND($G911*10/11,0),0)))))</f>
        <v/>
      </c>
      <c r="L911" s="364" t="str">
        <f>IF($G911="","",IF($H911=1,ROUND($G911/23,0),IF($H911=3,ROUND($G911/12,0),IF($H911=5,$G911-ROUND($G911*10/11,0),IF($H911=8,$G911,0)))))</f>
        <v/>
      </c>
      <c r="M911" s="364" t="str">
        <f>IF($G911="","",IF($H911=1,ROUND($G911/23,0),IF($H911=3,ROUND($G911/12,0),IF($H911=6,$G911,IF($H911=7,$G911-ROUND($G911*10/11,0),0)))))</f>
        <v/>
      </c>
      <c r="N911" s="364" t="str">
        <f>IF($G911="","",K911+L911+M911)</f>
        <v/>
      </c>
      <c r="O911" s="365" t="str">
        <f>IF($G911="","",IFERROR(VLOOKUP($D911&amp;"|"&amp;$E911,科目表!$A$5:$B$200,2,FALSE),"※未登録"))</f>
        <v/>
      </c>
      <c r="P911" s="359" t="str">
        <f>IF(OR($G911="",$C911=""),"",IF($B911="決算整理",13,MOD(MONTH($C911)-4,12)+1))</f>
        <v/>
      </c>
      <c r="Q911" s="366" t="str">
        <f>IF($G911="","",TRIM(IF(J911+K911+L911+M911&lt;&gt;$G911,"按分不一致 ","")&amp;IF(O911="※未登録","科目未登録 ","")&amp;IF(OR($H911="",ISERROR(MATCH($H911,{1,2,3,4,5,6,7,8},0))),"経費区分? ","")&amp;IF($I911="","状態未設定 ","")&amp;IF(AND(OR($I911="確認済",$I911="未確認"),$B911="月例",OR($C911="",$C911&lt;DATE(年度+2018,4,1),$C911&gt;DATE(年度+2019,3,31))),"年度外の日付 ","")&amp;IF(AND(OR($I911="確認済",$I911="未確認"),O911="対象外"),"対象外の科目 ","")))</f>
        <v/>
      </c>
      <c r="R911" s="366" t="n"/>
    </row>
    <row r="912">
      <c r="A912" s="359" t="n"/>
      <c r="B912" s="360" t="n"/>
      <c r="C912" s="361" t="n"/>
      <c r="D912" s="362" t="n"/>
      <c r="E912" s="362" t="n"/>
      <c r="F912" s="362" t="n"/>
      <c r="G912" s="363" t="n"/>
      <c r="H912" s="360" t="n"/>
      <c r="I912" s="360" t="n"/>
      <c r="J912" s="364" t="str">
        <f>IF($G912="","",IF($H912=1,$G912-ROUND($G912*10/23,0)-2*ROUND($G912/23,0),IF($H912=2,$G912,0)))</f>
        <v/>
      </c>
      <c r="K912" s="364" t="str">
        <f>IF($G912="","",IF($H912=1,ROUND($G912*10/23,0),IF($H912=3,$G912-2*ROUND($G912/12,0),IF($H912=4,$G912,IF(OR($H912=5,$H912=7),ROUND($G912*10/11,0),0)))))</f>
        <v/>
      </c>
      <c r="L912" s="364" t="str">
        <f>IF($G912="","",IF($H912=1,ROUND($G912/23,0),IF($H912=3,ROUND($G912/12,0),IF($H912=5,$G912-ROUND($G912*10/11,0),IF($H912=8,$G912,0)))))</f>
        <v/>
      </c>
      <c r="M912" s="364" t="str">
        <f>IF($G912="","",IF($H912=1,ROUND($G912/23,0),IF($H912=3,ROUND($G912/12,0),IF($H912=6,$G912,IF($H912=7,$G912-ROUND($G912*10/11,0),0)))))</f>
        <v/>
      </c>
      <c r="N912" s="364" t="str">
        <f>IF($G912="","",K912+L912+M912)</f>
        <v/>
      </c>
      <c r="O912" s="365" t="str">
        <f>IF($G912="","",IFERROR(VLOOKUP($D912&amp;"|"&amp;$E912,科目表!$A$5:$B$200,2,FALSE),"※未登録"))</f>
        <v/>
      </c>
      <c r="P912" s="359" t="str">
        <f>IF(OR($G912="",$C912=""),"",IF($B912="決算整理",13,MOD(MONTH($C912)-4,12)+1))</f>
        <v/>
      </c>
      <c r="Q912" s="366" t="str">
        <f>IF($G912="","",TRIM(IF(J912+K912+L912+M912&lt;&gt;$G912,"按分不一致 ","")&amp;IF(O912="※未登録","科目未登録 ","")&amp;IF(OR($H912="",ISERROR(MATCH($H912,{1,2,3,4,5,6,7,8},0))),"経費区分? ","")&amp;IF($I912="","状態未設定 ","")&amp;IF(AND(OR($I912="確認済",$I912="未確認"),$B912="月例",OR($C912="",$C912&lt;DATE(年度+2018,4,1),$C912&gt;DATE(年度+2019,3,31))),"年度外の日付 ","")&amp;IF(AND(OR($I912="確認済",$I912="未確認"),O912="対象外"),"対象外の科目 ","")))</f>
        <v/>
      </c>
      <c r="R912" s="366" t="n"/>
    </row>
    <row r="913">
      <c r="A913" s="359" t="n"/>
      <c r="B913" s="360" t="n"/>
      <c r="C913" s="361" t="n"/>
      <c r="D913" s="362" t="n"/>
      <c r="E913" s="362" t="n"/>
      <c r="F913" s="362" t="n"/>
      <c r="G913" s="363" t="n"/>
      <c r="H913" s="360" t="n"/>
      <c r="I913" s="360" t="n"/>
      <c r="J913" s="364" t="str">
        <f>IF($G913="","",IF($H913=1,$G913-ROUND($G913*10/23,0)-2*ROUND($G913/23,0),IF($H913=2,$G913,0)))</f>
        <v/>
      </c>
      <c r="K913" s="364" t="str">
        <f>IF($G913="","",IF($H913=1,ROUND($G913*10/23,0),IF($H913=3,$G913-2*ROUND($G913/12,0),IF($H913=4,$G913,IF(OR($H913=5,$H913=7),ROUND($G913*10/11,0),0)))))</f>
        <v/>
      </c>
      <c r="L913" s="364" t="str">
        <f>IF($G913="","",IF($H913=1,ROUND($G913/23,0),IF($H913=3,ROUND($G913/12,0),IF($H913=5,$G913-ROUND($G913*10/11,0),IF($H913=8,$G913,0)))))</f>
        <v/>
      </c>
      <c r="M913" s="364" t="str">
        <f>IF($G913="","",IF($H913=1,ROUND($G913/23,0),IF($H913=3,ROUND($G913/12,0),IF($H913=6,$G913,IF($H913=7,$G913-ROUND($G913*10/11,0),0)))))</f>
        <v/>
      </c>
      <c r="N913" s="364" t="str">
        <f>IF($G913="","",K913+L913+M913)</f>
        <v/>
      </c>
      <c r="O913" s="365" t="str">
        <f>IF($G913="","",IFERROR(VLOOKUP($D913&amp;"|"&amp;$E913,科目表!$A$5:$B$200,2,FALSE),"※未登録"))</f>
        <v/>
      </c>
      <c r="P913" s="359" t="str">
        <f>IF(OR($G913="",$C913=""),"",IF($B913="決算整理",13,MOD(MONTH($C913)-4,12)+1))</f>
        <v/>
      </c>
      <c r="Q913" s="366" t="str">
        <f>IF($G913="","",TRIM(IF(J913+K913+L913+M913&lt;&gt;$G913,"按分不一致 ","")&amp;IF(O913="※未登録","科目未登録 ","")&amp;IF(OR($H913="",ISERROR(MATCH($H913,{1,2,3,4,5,6,7,8},0))),"経費区分? ","")&amp;IF($I913="","状態未設定 ","")&amp;IF(AND(OR($I913="確認済",$I913="未確認"),$B913="月例",OR($C913="",$C913&lt;DATE(年度+2018,4,1),$C913&gt;DATE(年度+2019,3,31))),"年度外の日付 ","")&amp;IF(AND(OR($I913="確認済",$I913="未確認"),O913="対象外"),"対象外の科目 ","")))</f>
        <v/>
      </c>
      <c r="R913" s="366" t="n"/>
    </row>
    <row r="914">
      <c r="A914" s="359" t="n"/>
      <c r="B914" s="360" t="n"/>
      <c r="C914" s="361" t="n"/>
      <c r="D914" s="362" t="n"/>
      <c r="E914" s="362" t="n"/>
      <c r="F914" s="362" t="n"/>
      <c r="G914" s="363" t="n"/>
      <c r="H914" s="360" t="n"/>
      <c r="I914" s="360" t="n"/>
      <c r="J914" s="364" t="str">
        <f>IF($G914="","",IF($H914=1,$G914-ROUND($G914*10/23,0)-2*ROUND($G914/23,0),IF($H914=2,$G914,0)))</f>
        <v/>
      </c>
      <c r="K914" s="364" t="str">
        <f>IF($G914="","",IF($H914=1,ROUND($G914*10/23,0),IF($H914=3,$G914-2*ROUND($G914/12,0),IF($H914=4,$G914,IF(OR($H914=5,$H914=7),ROUND($G914*10/11,0),0)))))</f>
        <v/>
      </c>
      <c r="L914" s="364" t="str">
        <f>IF($G914="","",IF($H914=1,ROUND($G914/23,0),IF($H914=3,ROUND($G914/12,0),IF($H914=5,$G914-ROUND($G914*10/11,0),IF($H914=8,$G914,0)))))</f>
        <v/>
      </c>
      <c r="M914" s="364" t="str">
        <f>IF($G914="","",IF($H914=1,ROUND($G914/23,0),IF($H914=3,ROUND($G914/12,0),IF($H914=6,$G914,IF($H914=7,$G914-ROUND($G914*10/11,0),0)))))</f>
        <v/>
      </c>
      <c r="N914" s="364" t="str">
        <f>IF($G914="","",K914+L914+M914)</f>
        <v/>
      </c>
      <c r="O914" s="365" t="str">
        <f>IF($G914="","",IFERROR(VLOOKUP($D914&amp;"|"&amp;$E914,科目表!$A$5:$B$200,2,FALSE),"※未登録"))</f>
        <v/>
      </c>
      <c r="P914" s="359" t="str">
        <f>IF(OR($G914="",$C914=""),"",IF($B914="決算整理",13,MOD(MONTH($C914)-4,12)+1))</f>
        <v/>
      </c>
      <c r="Q914" s="366" t="str">
        <f>IF($G914="","",TRIM(IF(J914+K914+L914+M914&lt;&gt;$G914,"按分不一致 ","")&amp;IF(O914="※未登録","科目未登録 ","")&amp;IF(OR($H914="",ISERROR(MATCH($H914,{1,2,3,4,5,6,7,8},0))),"経費区分? ","")&amp;IF($I914="","状態未設定 ","")&amp;IF(AND(OR($I914="確認済",$I914="未確認"),$B914="月例",OR($C914="",$C914&lt;DATE(年度+2018,4,1),$C914&gt;DATE(年度+2019,3,31))),"年度外の日付 ","")&amp;IF(AND(OR($I914="確認済",$I914="未確認"),O914="対象外"),"対象外の科目 ","")))</f>
        <v/>
      </c>
      <c r="R914" s="366" t="n"/>
    </row>
    <row r="915">
      <c r="A915" s="359" t="n"/>
      <c r="B915" s="360" t="n"/>
      <c r="C915" s="361" t="n"/>
      <c r="D915" s="362" t="n"/>
      <c r="E915" s="362" t="n"/>
      <c r="F915" s="362" t="n"/>
      <c r="G915" s="363" t="n"/>
      <c r="H915" s="360" t="n"/>
      <c r="I915" s="360" t="n"/>
      <c r="J915" s="364" t="str">
        <f>IF($G915="","",IF($H915=1,$G915-ROUND($G915*10/23,0)-2*ROUND($G915/23,0),IF($H915=2,$G915,0)))</f>
        <v/>
      </c>
      <c r="K915" s="364" t="str">
        <f>IF($G915="","",IF($H915=1,ROUND($G915*10/23,0),IF($H915=3,$G915-2*ROUND($G915/12,0),IF($H915=4,$G915,IF(OR($H915=5,$H915=7),ROUND($G915*10/11,0),0)))))</f>
        <v/>
      </c>
      <c r="L915" s="364" t="str">
        <f>IF($G915="","",IF($H915=1,ROUND($G915/23,0),IF($H915=3,ROUND($G915/12,0),IF($H915=5,$G915-ROUND($G915*10/11,0),IF($H915=8,$G915,0)))))</f>
        <v/>
      </c>
      <c r="M915" s="364" t="str">
        <f>IF($G915="","",IF($H915=1,ROUND($G915/23,0),IF($H915=3,ROUND($G915/12,0),IF($H915=6,$G915,IF($H915=7,$G915-ROUND($G915*10/11,0),0)))))</f>
        <v/>
      </c>
      <c r="N915" s="364" t="str">
        <f>IF($G915="","",K915+L915+M915)</f>
        <v/>
      </c>
      <c r="O915" s="365" t="str">
        <f>IF($G915="","",IFERROR(VLOOKUP($D915&amp;"|"&amp;$E915,科目表!$A$5:$B$200,2,FALSE),"※未登録"))</f>
        <v/>
      </c>
      <c r="P915" s="359" t="str">
        <f>IF(OR($G915="",$C915=""),"",IF($B915="決算整理",13,MOD(MONTH($C915)-4,12)+1))</f>
        <v/>
      </c>
      <c r="Q915" s="366" t="str">
        <f>IF($G915="","",TRIM(IF(J915+K915+L915+M915&lt;&gt;$G915,"按分不一致 ","")&amp;IF(O915="※未登録","科目未登録 ","")&amp;IF(OR($H915="",ISERROR(MATCH($H915,{1,2,3,4,5,6,7,8},0))),"経費区分? ","")&amp;IF($I915="","状態未設定 ","")&amp;IF(AND(OR($I915="確認済",$I915="未確認"),$B915="月例",OR($C915="",$C915&lt;DATE(年度+2018,4,1),$C915&gt;DATE(年度+2019,3,31))),"年度外の日付 ","")&amp;IF(AND(OR($I915="確認済",$I915="未確認"),O915="対象外"),"対象外の科目 ","")))</f>
        <v/>
      </c>
      <c r="R915" s="366" t="n"/>
    </row>
    <row r="916">
      <c r="A916" s="359" t="n"/>
      <c r="B916" s="360" t="n"/>
      <c r="C916" s="361" t="n"/>
      <c r="D916" s="362" t="n"/>
      <c r="E916" s="362" t="n"/>
      <c r="F916" s="362" t="n"/>
      <c r="G916" s="363" t="n"/>
      <c r="H916" s="360" t="n"/>
      <c r="I916" s="360" t="n"/>
      <c r="J916" s="364" t="str">
        <f>IF($G916="","",IF($H916=1,$G916-ROUND($G916*10/23,0)-2*ROUND($G916/23,0),IF($H916=2,$G916,0)))</f>
        <v/>
      </c>
      <c r="K916" s="364" t="str">
        <f>IF($G916="","",IF($H916=1,ROUND($G916*10/23,0),IF($H916=3,$G916-2*ROUND($G916/12,0),IF($H916=4,$G916,IF(OR($H916=5,$H916=7),ROUND($G916*10/11,0),0)))))</f>
        <v/>
      </c>
      <c r="L916" s="364" t="str">
        <f>IF($G916="","",IF($H916=1,ROUND($G916/23,0),IF($H916=3,ROUND($G916/12,0),IF($H916=5,$G916-ROUND($G916*10/11,0),IF($H916=8,$G916,0)))))</f>
        <v/>
      </c>
      <c r="M916" s="364" t="str">
        <f>IF($G916="","",IF($H916=1,ROUND($G916/23,0),IF($H916=3,ROUND($G916/12,0),IF($H916=6,$G916,IF($H916=7,$G916-ROUND($G916*10/11,0),0)))))</f>
        <v/>
      </c>
      <c r="N916" s="364" t="str">
        <f>IF($G916="","",K916+L916+M916)</f>
        <v/>
      </c>
      <c r="O916" s="365" t="str">
        <f>IF($G916="","",IFERROR(VLOOKUP($D916&amp;"|"&amp;$E916,科目表!$A$5:$B$200,2,FALSE),"※未登録"))</f>
        <v/>
      </c>
      <c r="P916" s="359" t="str">
        <f>IF(OR($G916="",$C916=""),"",IF($B916="決算整理",13,MOD(MONTH($C916)-4,12)+1))</f>
        <v/>
      </c>
      <c r="Q916" s="366" t="str">
        <f>IF($G916="","",TRIM(IF(J916+K916+L916+M916&lt;&gt;$G916,"按分不一致 ","")&amp;IF(O916="※未登録","科目未登録 ","")&amp;IF(OR($H916="",ISERROR(MATCH($H916,{1,2,3,4,5,6,7,8},0))),"経費区分? ","")&amp;IF($I916="","状態未設定 ","")&amp;IF(AND(OR($I916="確認済",$I916="未確認"),$B916="月例",OR($C916="",$C916&lt;DATE(年度+2018,4,1),$C916&gt;DATE(年度+2019,3,31))),"年度外の日付 ","")&amp;IF(AND(OR($I916="確認済",$I916="未確認"),O916="対象外"),"対象外の科目 ","")))</f>
        <v/>
      </c>
      <c r="R916" s="366" t="n"/>
    </row>
    <row r="917">
      <c r="A917" s="359" t="n"/>
      <c r="B917" s="360" t="n"/>
      <c r="C917" s="361" t="n"/>
      <c r="D917" s="362" t="n"/>
      <c r="E917" s="362" t="n"/>
      <c r="F917" s="362" t="n"/>
      <c r="G917" s="363" t="n"/>
      <c r="H917" s="360" t="n"/>
      <c r="I917" s="360" t="n"/>
      <c r="J917" s="364" t="str">
        <f>IF($G917="","",IF($H917=1,$G917-ROUND($G917*10/23,0)-2*ROUND($G917/23,0),IF($H917=2,$G917,0)))</f>
        <v/>
      </c>
      <c r="K917" s="364" t="str">
        <f>IF($G917="","",IF($H917=1,ROUND($G917*10/23,0),IF($H917=3,$G917-2*ROUND($G917/12,0),IF($H917=4,$G917,IF(OR($H917=5,$H917=7),ROUND($G917*10/11,0),0)))))</f>
        <v/>
      </c>
      <c r="L917" s="364" t="str">
        <f>IF($G917="","",IF($H917=1,ROUND($G917/23,0),IF($H917=3,ROUND($G917/12,0),IF($H917=5,$G917-ROUND($G917*10/11,0),IF($H917=8,$G917,0)))))</f>
        <v/>
      </c>
      <c r="M917" s="364" t="str">
        <f>IF($G917="","",IF($H917=1,ROUND($G917/23,0),IF($H917=3,ROUND($G917/12,0),IF($H917=6,$G917,IF($H917=7,$G917-ROUND($G917*10/11,0),0)))))</f>
        <v/>
      </c>
      <c r="N917" s="364" t="str">
        <f>IF($G917="","",K917+L917+M917)</f>
        <v/>
      </c>
      <c r="O917" s="365" t="str">
        <f>IF($G917="","",IFERROR(VLOOKUP($D917&amp;"|"&amp;$E917,科目表!$A$5:$B$200,2,FALSE),"※未登録"))</f>
        <v/>
      </c>
      <c r="P917" s="359" t="str">
        <f>IF(OR($G917="",$C917=""),"",IF($B917="決算整理",13,MOD(MONTH($C917)-4,12)+1))</f>
        <v/>
      </c>
      <c r="Q917" s="366" t="str">
        <f>IF($G917="","",TRIM(IF(J917+K917+L917+M917&lt;&gt;$G917,"按分不一致 ","")&amp;IF(O917="※未登録","科目未登録 ","")&amp;IF(OR($H917="",ISERROR(MATCH($H917,{1,2,3,4,5,6,7,8},0))),"経費区分? ","")&amp;IF($I917="","状態未設定 ","")&amp;IF(AND(OR($I917="確認済",$I917="未確認"),$B917="月例",OR($C917="",$C917&lt;DATE(年度+2018,4,1),$C917&gt;DATE(年度+2019,3,31))),"年度外の日付 ","")&amp;IF(AND(OR($I917="確認済",$I917="未確認"),O917="対象外"),"対象外の科目 ","")))</f>
        <v/>
      </c>
      <c r="R917" s="366" t="n"/>
    </row>
    <row r="918">
      <c r="A918" s="359" t="n"/>
      <c r="B918" s="360" t="n"/>
      <c r="C918" s="361" t="n"/>
      <c r="D918" s="362" t="n"/>
      <c r="E918" s="362" t="n"/>
      <c r="F918" s="362" t="n"/>
      <c r="G918" s="363" t="n"/>
      <c r="H918" s="360" t="n"/>
      <c r="I918" s="360" t="n"/>
      <c r="J918" s="364" t="str">
        <f>IF($G918="","",IF($H918=1,$G918-ROUND($G918*10/23,0)-2*ROUND($G918/23,0),IF($H918=2,$G918,0)))</f>
        <v/>
      </c>
      <c r="K918" s="364" t="str">
        <f>IF($G918="","",IF($H918=1,ROUND($G918*10/23,0),IF($H918=3,$G918-2*ROUND($G918/12,0),IF($H918=4,$G918,IF(OR($H918=5,$H918=7),ROUND($G918*10/11,0),0)))))</f>
        <v/>
      </c>
      <c r="L918" s="364" t="str">
        <f>IF($G918="","",IF($H918=1,ROUND($G918/23,0),IF($H918=3,ROUND($G918/12,0),IF($H918=5,$G918-ROUND($G918*10/11,0),IF($H918=8,$G918,0)))))</f>
        <v/>
      </c>
      <c r="M918" s="364" t="str">
        <f>IF($G918="","",IF($H918=1,ROUND($G918/23,0),IF($H918=3,ROUND($G918/12,0),IF($H918=6,$G918,IF($H918=7,$G918-ROUND($G918*10/11,0),0)))))</f>
        <v/>
      </c>
      <c r="N918" s="364" t="str">
        <f>IF($G918="","",K918+L918+M918)</f>
        <v/>
      </c>
      <c r="O918" s="365" t="str">
        <f>IF($G918="","",IFERROR(VLOOKUP($D918&amp;"|"&amp;$E918,科目表!$A$5:$B$200,2,FALSE),"※未登録"))</f>
        <v/>
      </c>
      <c r="P918" s="359" t="str">
        <f>IF(OR($G918="",$C918=""),"",IF($B918="決算整理",13,MOD(MONTH($C918)-4,12)+1))</f>
        <v/>
      </c>
      <c r="Q918" s="366" t="str">
        <f>IF($G918="","",TRIM(IF(J918+K918+L918+M918&lt;&gt;$G918,"按分不一致 ","")&amp;IF(O918="※未登録","科目未登録 ","")&amp;IF(OR($H918="",ISERROR(MATCH($H918,{1,2,3,4,5,6,7,8},0))),"経費区分? ","")&amp;IF($I918="","状態未設定 ","")&amp;IF(AND(OR($I918="確認済",$I918="未確認"),$B918="月例",OR($C918="",$C918&lt;DATE(年度+2018,4,1),$C918&gt;DATE(年度+2019,3,31))),"年度外の日付 ","")&amp;IF(AND(OR($I918="確認済",$I918="未確認"),O918="対象外"),"対象外の科目 ","")))</f>
        <v/>
      </c>
      <c r="R918" s="366" t="n"/>
    </row>
    <row r="919">
      <c r="A919" s="359" t="n"/>
      <c r="B919" s="360" t="n"/>
      <c r="C919" s="361" t="n"/>
      <c r="D919" s="362" t="n"/>
      <c r="E919" s="362" t="n"/>
      <c r="F919" s="362" t="n"/>
      <c r="G919" s="363" t="n"/>
      <c r="H919" s="360" t="n"/>
      <c r="I919" s="360" t="n"/>
      <c r="J919" s="364" t="str">
        <f>IF($G919="","",IF($H919=1,$G919-ROUND($G919*10/23,0)-2*ROUND($G919/23,0),IF($H919=2,$G919,0)))</f>
        <v/>
      </c>
      <c r="K919" s="364" t="str">
        <f>IF($G919="","",IF($H919=1,ROUND($G919*10/23,0),IF($H919=3,$G919-2*ROUND($G919/12,0),IF($H919=4,$G919,IF(OR($H919=5,$H919=7),ROUND($G919*10/11,0),0)))))</f>
        <v/>
      </c>
      <c r="L919" s="364" t="str">
        <f>IF($G919="","",IF($H919=1,ROUND($G919/23,0),IF($H919=3,ROUND($G919/12,0),IF($H919=5,$G919-ROUND($G919*10/11,0),IF($H919=8,$G919,0)))))</f>
        <v/>
      </c>
      <c r="M919" s="364" t="str">
        <f>IF($G919="","",IF($H919=1,ROUND($G919/23,0),IF($H919=3,ROUND($G919/12,0),IF($H919=6,$G919,IF($H919=7,$G919-ROUND($G919*10/11,0),0)))))</f>
        <v/>
      </c>
      <c r="N919" s="364" t="str">
        <f>IF($G919="","",K919+L919+M919)</f>
        <v/>
      </c>
      <c r="O919" s="365" t="str">
        <f>IF($G919="","",IFERROR(VLOOKUP($D919&amp;"|"&amp;$E919,科目表!$A$5:$B$200,2,FALSE),"※未登録"))</f>
        <v/>
      </c>
      <c r="P919" s="359" t="str">
        <f>IF(OR($G919="",$C919=""),"",IF($B919="決算整理",13,MOD(MONTH($C919)-4,12)+1))</f>
        <v/>
      </c>
      <c r="Q919" s="366" t="str">
        <f>IF($G919="","",TRIM(IF(J919+K919+L919+M919&lt;&gt;$G919,"按分不一致 ","")&amp;IF(O919="※未登録","科目未登録 ","")&amp;IF(OR($H919="",ISERROR(MATCH($H919,{1,2,3,4,5,6,7,8},0))),"経費区分? ","")&amp;IF($I919="","状態未設定 ","")&amp;IF(AND(OR($I919="確認済",$I919="未確認"),$B919="月例",OR($C919="",$C919&lt;DATE(年度+2018,4,1),$C919&gt;DATE(年度+2019,3,31))),"年度外の日付 ","")&amp;IF(AND(OR($I919="確認済",$I919="未確認"),O919="対象外"),"対象外の科目 ","")))</f>
        <v/>
      </c>
      <c r="R919" s="366" t="n"/>
    </row>
    <row r="920">
      <c r="A920" s="359" t="n"/>
      <c r="B920" s="360" t="n"/>
      <c r="C920" s="361" t="n"/>
      <c r="D920" s="362" t="n"/>
      <c r="E920" s="362" t="n"/>
      <c r="F920" s="362" t="n"/>
      <c r="G920" s="363" t="n"/>
      <c r="H920" s="360" t="n"/>
      <c r="I920" s="360" t="n"/>
      <c r="J920" s="364" t="str">
        <f>IF($G920="","",IF($H920=1,$G920-ROUND($G920*10/23,0)-2*ROUND($G920/23,0),IF($H920=2,$G920,0)))</f>
        <v/>
      </c>
      <c r="K920" s="364" t="str">
        <f>IF($G920="","",IF($H920=1,ROUND($G920*10/23,0),IF($H920=3,$G920-2*ROUND($G920/12,0),IF($H920=4,$G920,IF(OR($H920=5,$H920=7),ROUND($G920*10/11,0),0)))))</f>
        <v/>
      </c>
      <c r="L920" s="364" t="str">
        <f>IF($G920="","",IF($H920=1,ROUND($G920/23,0),IF($H920=3,ROUND($G920/12,0),IF($H920=5,$G920-ROUND($G920*10/11,0),IF($H920=8,$G920,0)))))</f>
        <v/>
      </c>
      <c r="M920" s="364" t="str">
        <f>IF($G920="","",IF($H920=1,ROUND($G920/23,0),IF($H920=3,ROUND($G920/12,0),IF($H920=6,$G920,IF($H920=7,$G920-ROUND($G920*10/11,0),0)))))</f>
        <v/>
      </c>
      <c r="N920" s="364" t="str">
        <f>IF($G920="","",K920+L920+M920)</f>
        <v/>
      </c>
      <c r="O920" s="365" t="str">
        <f>IF($G920="","",IFERROR(VLOOKUP($D920&amp;"|"&amp;$E920,科目表!$A$5:$B$200,2,FALSE),"※未登録"))</f>
        <v/>
      </c>
      <c r="P920" s="359" t="str">
        <f>IF(OR($G920="",$C920=""),"",IF($B920="決算整理",13,MOD(MONTH($C920)-4,12)+1))</f>
        <v/>
      </c>
      <c r="Q920" s="366" t="str">
        <f>IF($G920="","",TRIM(IF(J920+K920+L920+M920&lt;&gt;$G920,"按分不一致 ","")&amp;IF(O920="※未登録","科目未登録 ","")&amp;IF(OR($H920="",ISERROR(MATCH($H920,{1,2,3,4,5,6,7,8},0))),"経費区分? ","")&amp;IF($I920="","状態未設定 ","")&amp;IF(AND(OR($I920="確認済",$I920="未確認"),$B920="月例",OR($C920="",$C920&lt;DATE(年度+2018,4,1),$C920&gt;DATE(年度+2019,3,31))),"年度外の日付 ","")&amp;IF(AND(OR($I920="確認済",$I920="未確認"),O920="対象外"),"対象外の科目 ","")))</f>
        <v/>
      </c>
      <c r="R920" s="366" t="n"/>
    </row>
    <row r="921">
      <c r="A921" s="359" t="n"/>
      <c r="B921" s="360" t="n"/>
      <c r="C921" s="361" t="n"/>
      <c r="D921" s="362" t="n"/>
      <c r="E921" s="362" t="n"/>
      <c r="F921" s="362" t="n"/>
      <c r="G921" s="363" t="n"/>
      <c r="H921" s="360" t="n"/>
      <c r="I921" s="360" t="n"/>
      <c r="J921" s="364" t="str">
        <f>IF($G921="","",IF($H921=1,$G921-ROUND($G921*10/23,0)-2*ROUND($G921/23,0),IF($H921=2,$G921,0)))</f>
        <v/>
      </c>
      <c r="K921" s="364" t="str">
        <f>IF($G921="","",IF($H921=1,ROUND($G921*10/23,0),IF($H921=3,$G921-2*ROUND($G921/12,0),IF($H921=4,$G921,IF(OR($H921=5,$H921=7),ROUND($G921*10/11,0),0)))))</f>
        <v/>
      </c>
      <c r="L921" s="364" t="str">
        <f>IF($G921="","",IF($H921=1,ROUND($G921/23,0),IF($H921=3,ROUND($G921/12,0),IF($H921=5,$G921-ROUND($G921*10/11,0),IF($H921=8,$G921,0)))))</f>
        <v/>
      </c>
      <c r="M921" s="364" t="str">
        <f>IF($G921="","",IF($H921=1,ROUND($G921/23,0),IF($H921=3,ROUND($G921/12,0),IF($H921=6,$G921,IF($H921=7,$G921-ROUND($G921*10/11,0),0)))))</f>
        <v/>
      </c>
      <c r="N921" s="364" t="str">
        <f>IF($G921="","",K921+L921+M921)</f>
        <v/>
      </c>
      <c r="O921" s="365" t="str">
        <f>IF($G921="","",IFERROR(VLOOKUP($D921&amp;"|"&amp;$E921,科目表!$A$5:$B$200,2,FALSE),"※未登録"))</f>
        <v/>
      </c>
      <c r="P921" s="359" t="str">
        <f>IF(OR($G921="",$C921=""),"",IF($B921="決算整理",13,MOD(MONTH($C921)-4,12)+1))</f>
        <v/>
      </c>
      <c r="Q921" s="366" t="str">
        <f>IF($G921="","",TRIM(IF(J921+K921+L921+M921&lt;&gt;$G921,"按分不一致 ","")&amp;IF(O921="※未登録","科目未登録 ","")&amp;IF(OR($H921="",ISERROR(MATCH($H921,{1,2,3,4,5,6,7,8},0))),"経費区分? ","")&amp;IF($I921="","状態未設定 ","")&amp;IF(AND(OR($I921="確認済",$I921="未確認"),$B921="月例",OR($C921="",$C921&lt;DATE(年度+2018,4,1),$C921&gt;DATE(年度+2019,3,31))),"年度外の日付 ","")&amp;IF(AND(OR($I921="確認済",$I921="未確認"),O921="対象外"),"対象外の科目 ","")))</f>
        <v/>
      </c>
      <c r="R921" s="366" t="n"/>
    </row>
    <row r="922">
      <c r="A922" s="359" t="n"/>
      <c r="B922" s="360" t="n"/>
      <c r="C922" s="361" t="n"/>
      <c r="D922" s="362" t="n"/>
      <c r="E922" s="362" t="n"/>
      <c r="F922" s="362" t="n"/>
      <c r="G922" s="363" t="n"/>
      <c r="H922" s="360" t="n"/>
      <c r="I922" s="360" t="n"/>
      <c r="J922" s="364" t="str">
        <f>IF($G922="","",IF($H922=1,$G922-ROUND($G922*10/23,0)-2*ROUND($G922/23,0),IF($H922=2,$G922,0)))</f>
        <v/>
      </c>
      <c r="K922" s="364" t="str">
        <f>IF($G922="","",IF($H922=1,ROUND($G922*10/23,0),IF($H922=3,$G922-2*ROUND($G922/12,0),IF($H922=4,$G922,IF(OR($H922=5,$H922=7),ROUND($G922*10/11,0),0)))))</f>
        <v/>
      </c>
      <c r="L922" s="364" t="str">
        <f>IF($G922="","",IF($H922=1,ROUND($G922/23,0),IF($H922=3,ROUND($G922/12,0),IF($H922=5,$G922-ROUND($G922*10/11,0),IF($H922=8,$G922,0)))))</f>
        <v/>
      </c>
      <c r="M922" s="364" t="str">
        <f>IF($G922="","",IF($H922=1,ROUND($G922/23,0),IF($H922=3,ROUND($G922/12,0),IF($H922=6,$G922,IF($H922=7,$G922-ROUND($G922*10/11,0),0)))))</f>
        <v/>
      </c>
      <c r="N922" s="364" t="str">
        <f>IF($G922="","",K922+L922+M922)</f>
        <v/>
      </c>
      <c r="O922" s="365" t="str">
        <f>IF($G922="","",IFERROR(VLOOKUP($D922&amp;"|"&amp;$E922,科目表!$A$5:$B$200,2,FALSE),"※未登録"))</f>
        <v/>
      </c>
      <c r="P922" s="359" t="str">
        <f>IF(OR($G922="",$C922=""),"",IF($B922="決算整理",13,MOD(MONTH($C922)-4,12)+1))</f>
        <v/>
      </c>
      <c r="Q922" s="366" t="str">
        <f>IF($G922="","",TRIM(IF(J922+K922+L922+M922&lt;&gt;$G922,"按分不一致 ","")&amp;IF(O922="※未登録","科目未登録 ","")&amp;IF(OR($H922="",ISERROR(MATCH($H922,{1,2,3,4,5,6,7,8},0))),"経費区分? ","")&amp;IF($I922="","状態未設定 ","")&amp;IF(AND(OR($I922="確認済",$I922="未確認"),$B922="月例",OR($C922="",$C922&lt;DATE(年度+2018,4,1),$C922&gt;DATE(年度+2019,3,31))),"年度外の日付 ","")&amp;IF(AND(OR($I922="確認済",$I922="未確認"),O922="対象外"),"対象外の科目 ","")))</f>
        <v/>
      </c>
      <c r="R922" s="366" t="n"/>
    </row>
    <row r="923">
      <c r="A923" s="359" t="n"/>
      <c r="B923" s="360" t="n"/>
      <c r="C923" s="361" t="n"/>
      <c r="D923" s="362" t="n"/>
      <c r="E923" s="362" t="n"/>
      <c r="F923" s="362" t="n"/>
      <c r="G923" s="363" t="n"/>
      <c r="H923" s="360" t="n"/>
      <c r="I923" s="360" t="n"/>
      <c r="J923" s="364" t="str">
        <f>IF($G923="","",IF($H923=1,$G923-ROUND($G923*10/23,0)-2*ROUND($G923/23,0),IF($H923=2,$G923,0)))</f>
        <v/>
      </c>
      <c r="K923" s="364" t="str">
        <f>IF($G923="","",IF($H923=1,ROUND($G923*10/23,0),IF($H923=3,$G923-2*ROUND($G923/12,0),IF($H923=4,$G923,IF(OR($H923=5,$H923=7),ROUND($G923*10/11,0),0)))))</f>
        <v/>
      </c>
      <c r="L923" s="364" t="str">
        <f>IF($G923="","",IF($H923=1,ROUND($G923/23,0),IF($H923=3,ROUND($G923/12,0),IF($H923=5,$G923-ROUND($G923*10/11,0),IF($H923=8,$G923,0)))))</f>
        <v/>
      </c>
      <c r="M923" s="364" t="str">
        <f>IF($G923="","",IF($H923=1,ROUND($G923/23,0),IF($H923=3,ROUND($G923/12,0),IF($H923=6,$G923,IF($H923=7,$G923-ROUND($G923*10/11,0),0)))))</f>
        <v/>
      </c>
      <c r="N923" s="364" t="str">
        <f>IF($G923="","",K923+L923+M923)</f>
        <v/>
      </c>
      <c r="O923" s="365" t="str">
        <f>IF($G923="","",IFERROR(VLOOKUP($D923&amp;"|"&amp;$E923,科目表!$A$5:$B$200,2,FALSE),"※未登録"))</f>
        <v/>
      </c>
      <c r="P923" s="359" t="str">
        <f>IF(OR($G923="",$C923=""),"",IF($B923="決算整理",13,MOD(MONTH($C923)-4,12)+1))</f>
        <v/>
      </c>
      <c r="Q923" s="366" t="str">
        <f>IF($G923="","",TRIM(IF(J923+K923+L923+M923&lt;&gt;$G923,"按分不一致 ","")&amp;IF(O923="※未登録","科目未登録 ","")&amp;IF(OR($H923="",ISERROR(MATCH($H923,{1,2,3,4,5,6,7,8},0))),"経費区分? ","")&amp;IF($I923="","状態未設定 ","")&amp;IF(AND(OR($I923="確認済",$I923="未確認"),$B923="月例",OR($C923="",$C923&lt;DATE(年度+2018,4,1),$C923&gt;DATE(年度+2019,3,31))),"年度外の日付 ","")&amp;IF(AND(OR($I923="確認済",$I923="未確認"),O923="対象外"),"対象外の科目 ","")))</f>
        <v/>
      </c>
      <c r="R923" s="366" t="n"/>
    </row>
    <row r="924">
      <c r="A924" s="359" t="n"/>
      <c r="B924" s="360" t="n"/>
      <c r="C924" s="361" t="n"/>
      <c r="D924" s="362" t="n"/>
      <c r="E924" s="362" t="n"/>
      <c r="F924" s="362" t="n"/>
      <c r="G924" s="363" t="n"/>
      <c r="H924" s="360" t="n"/>
      <c r="I924" s="360" t="n"/>
      <c r="J924" s="364" t="str">
        <f>IF($G924="","",IF($H924=1,$G924-ROUND($G924*10/23,0)-2*ROUND($G924/23,0),IF($H924=2,$G924,0)))</f>
        <v/>
      </c>
      <c r="K924" s="364" t="str">
        <f>IF($G924="","",IF($H924=1,ROUND($G924*10/23,0),IF($H924=3,$G924-2*ROUND($G924/12,0),IF($H924=4,$G924,IF(OR($H924=5,$H924=7),ROUND($G924*10/11,0),0)))))</f>
        <v/>
      </c>
      <c r="L924" s="364" t="str">
        <f>IF($G924="","",IF($H924=1,ROUND($G924/23,0),IF($H924=3,ROUND($G924/12,0),IF($H924=5,$G924-ROUND($G924*10/11,0),IF($H924=8,$G924,0)))))</f>
        <v/>
      </c>
      <c r="M924" s="364" t="str">
        <f>IF($G924="","",IF($H924=1,ROUND($G924/23,0),IF($H924=3,ROUND($G924/12,0),IF($H924=6,$G924,IF($H924=7,$G924-ROUND($G924*10/11,0),0)))))</f>
        <v/>
      </c>
      <c r="N924" s="364" t="str">
        <f>IF($G924="","",K924+L924+M924)</f>
        <v/>
      </c>
      <c r="O924" s="365" t="str">
        <f>IF($G924="","",IFERROR(VLOOKUP($D924&amp;"|"&amp;$E924,科目表!$A$5:$B$200,2,FALSE),"※未登録"))</f>
        <v/>
      </c>
      <c r="P924" s="359" t="str">
        <f>IF(OR($G924="",$C924=""),"",IF($B924="決算整理",13,MOD(MONTH($C924)-4,12)+1))</f>
        <v/>
      </c>
      <c r="Q924" s="366" t="str">
        <f>IF($G924="","",TRIM(IF(J924+K924+L924+M924&lt;&gt;$G924,"按分不一致 ","")&amp;IF(O924="※未登録","科目未登録 ","")&amp;IF(OR($H924="",ISERROR(MATCH($H924,{1,2,3,4,5,6,7,8},0))),"経費区分? ","")&amp;IF($I924="","状態未設定 ","")&amp;IF(AND(OR($I924="確認済",$I924="未確認"),$B924="月例",OR($C924="",$C924&lt;DATE(年度+2018,4,1),$C924&gt;DATE(年度+2019,3,31))),"年度外の日付 ","")&amp;IF(AND(OR($I924="確認済",$I924="未確認"),O924="対象外"),"対象外の科目 ","")))</f>
        <v/>
      </c>
      <c r="R924" s="366" t="n"/>
    </row>
    <row r="925">
      <c r="A925" s="359" t="n"/>
      <c r="B925" s="360" t="n"/>
      <c r="C925" s="361" t="n"/>
      <c r="D925" s="362" t="n"/>
      <c r="E925" s="362" t="n"/>
      <c r="F925" s="362" t="n"/>
      <c r="G925" s="363" t="n"/>
      <c r="H925" s="360" t="n"/>
      <c r="I925" s="360" t="n"/>
      <c r="J925" s="364" t="str">
        <f>IF($G925="","",IF($H925=1,$G925-ROUND($G925*10/23,0)-2*ROUND($G925/23,0),IF($H925=2,$G925,0)))</f>
        <v/>
      </c>
      <c r="K925" s="364" t="str">
        <f>IF($G925="","",IF($H925=1,ROUND($G925*10/23,0),IF($H925=3,$G925-2*ROUND($G925/12,0),IF($H925=4,$G925,IF(OR($H925=5,$H925=7),ROUND($G925*10/11,0),0)))))</f>
        <v/>
      </c>
      <c r="L925" s="364" t="str">
        <f>IF($G925="","",IF($H925=1,ROUND($G925/23,0),IF($H925=3,ROUND($G925/12,0),IF($H925=5,$G925-ROUND($G925*10/11,0),IF($H925=8,$G925,0)))))</f>
        <v/>
      </c>
      <c r="M925" s="364" t="str">
        <f>IF($G925="","",IF($H925=1,ROUND($G925/23,0),IF($H925=3,ROUND($G925/12,0),IF($H925=6,$G925,IF($H925=7,$G925-ROUND($G925*10/11,0),0)))))</f>
        <v/>
      </c>
      <c r="N925" s="364" t="str">
        <f>IF($G925="","",K925+L925+M925)</f>
        <v/>
      </c>
      <c r="O925" s="365" t="str">
        <f>IF($G925="","",IFERROR(VLOOKUP($D925&amp;"|"&amp;$E925,科目表!$A$5:$B$200,2,FALSE),"※未登録"))</f>
        <v/>
      </c>
      <c r="P925" s="359" t="str">
        <f>IF(OR($G925="",$C925=""),"",IF($B925="決算整理",13,MOD(MONTH($C925)-4,12)+1))</f>
        <v/>
      </c>
      <c r="Q925" s="366" t="str">
        <f>IF($G925="","",TRIM(IF(J925+K925+L925+M925&lt;&gt;$G925,"按分不一致 ","")&amp;IF(O925="※未登録","科目未登録 ","")&amp;IF(OR($H925="",ISERROR(MATCH($H925,{1,2,3,4,5,6,7,8},0))),"経費区分? ","")&amp;IF($I925="","状態未設定 ","")&amp;IF(AND(OR($I925="確認済",$I925="未確認"),$B925="月例",OR($C925="",$C925&lt;DATE(年度+2018,4,1),$C925&gt;DATE(年度+2019,3,31))),"年度外の日付 ","")&amp;IF(AND(OR($I925="確認済",$I925="未確認"),O925="対象外"),"対象外の科目 ","")))</f>
        <v/>
      </c>
      <c r="R925" s="366" t="n"/>
    </row>
    <row r="926">
      <c r="A926" s="359" t="n"/>
      <c r="B926" s="360" t="n"/>
      <c r="C926" s="361" t="n"/>
      <c r="D926" s="362" t="n"/>
      <c r="E926" s="362" t="n"/>
      <c r="F926" s="362" t="n"/>
      <c r="G926" s="363" t="n"/>
      <c r="H926" s="360" t="n"/>
      <c r="I926" s="360" t="n"/>
      <c r="J926" s="364" t="str">
        <f>IF($G926="","",IF($H926=1,$G926-ROUND($G926*10/23,0)-2*ROUND($G926/23,0),IF($H926=2,$G926,0)))</f>
        <v/>
      </c>
      <c r="K926" s="364" t="str">
        <f>IF($G926="","",IF($H926=1,ROUND($G926*10/23,0),IF($H926=3,$G926-2*ROUND($G926/12,0),IF($H926=4,$G926,IF(OR($H926=5,$H926=7),ROUND($G926*10/11,0),0)))))</f>
        <v/>
      </c>
      <c r="L926" s="364" t="str">
        <f>IF($G926="","",IF($H926=1,ROUND($G926/23,0),IF($H926=3,ROUND($G926/12,0),IF($H926=5,$G926-ROUND($G926*10/11,0),IF($H926=8,$G926,0)))))</f>
        <v/>
      </c>
      <c r="M926" s="364" t="str">
        <f>IF($G926="","",IF($H926=1,ROUND($G926/23,0),IF($H926=3,ROUND($G926/12,0),IF($H926=6,$G926,IF($H926=7,$G926-ROUND($G926*10/11,0),0)))))</f>
        <v/>
      </c>
      <c r="N926" s="364" t="str">
        <f>IF($G926="","",K926+L926+M926)</f>
        <v/>
      </c>
      <c r="O926" s="365" t="str">
        <f>IF($G926="","",IFERROR(VLOOKUP($D926&amp;"|"&amp;$E926,科目表!$A$5:$B$200,2,FALSE),"※未登録"))</f>
        <v/>
      </c>
      <c r="P926" s="359" t="str">
        <f>IF(OR($G926="",$C926=""),"",IF($B926="決算整理",13,MOD(MONTH($C926)-4,12)+1))</f>
        <v/>
      </c>
      <c r="Q926" s="366" t="str">
        <f>IF($G926="","",TRIM(IF(J926+K926+L926+M926&lt;&gt;$G926,"按分不一致 ","")&amp;IF(O926="※未登録","科目未登録 ","")&amp;IF(OR($H926="",ISERROR(MATCH($H926,{1,2,3,4,5,6,7,8},0))),"経費区分? ","")&amp;IF($I926="","状態未設定 ","")&amp;IF(AND(OR($I926="確認済",$I926="未確認"),$B926="月例",OR($C926="",$C926&lt;DATE(年度+2018,4,1),$C926&gt;DATE(年度+2019,3,31))),"年度外の日付 ","")&amp;IF(AND(OR($I926="確認済",$I926="未確認"),O926="対象外"),"対象外の科目 ","")))</f>
        <v/>
      </c>
      <c r="R926" s="366" t="n"/>
    </row>
    <row r="927">
      <c r="A927" s="359" t="n"/>
      <c r="B927" s="360" t="n"/>
      <c r="C927" s="361" t="n"/>
      <c r="D927" s="362" t="n"/>
      <c r="E927" s="362" t="n"/>
      <c r="F927" s="362" t="n"/>
      <c r="G927" s="363" t="n"/>
      <c r="H927" s="360" t="n"/>
      <c r="I927" s="360" t="n"/>
      <c r="J927" s="364" t="str">
        <f>IF($G927="","",IF($H927=1,$G927-ROUND($G927*10/23,0)-2*ROUND($G927/23,0),IF($H927=2,$G927,0)))</f>
        <v/>
      </c>
      <c r="K927" s="364" t="str">
        <f>IF($G927="","",IF($H927=1,ROUND($G927*10/23,0),IF($H927=3,$G927-2*ROUND($G927/12,0),IF($H927=4,$G927,IF(OR($H927=5,$H927=7),ROUND($G927*10/11,0),0)))))</f>
        <v/>
      </c>
      <c r="L927" s="364" t="str">
        <f>IF($G927="","",IF($H927=1,ROUND($G927/23,0),IF($H927=3,ROUND($G927/12,0),IF($H927=5,$G927-ROUND($G927*10/11,0),IF($H927=8,$G927,0)))))</f>
        <v/>
      </c>
      <c r="M927" s="364" t="str">
        <f>IF($G927="","",IF($H927=1,ROUND($G927/23,0),IF($H927=3,ROUND($G927/12,0),IF($H927=6,$G927,IF($H927=7,$G927-ROUND($G927*10/11,0),0)))))</f>
        <v/>
      </c>
      <c r="N927" s="364" t="str">
        <f>IF($G927="","",K927+L927+M927)</f>
        <v/>
      </c>
      <c r="O927" s="365" t="str">
        <f>IF($G927="","",IFERROR(VLOOKUP($D927&amp;"|"&amp;$E927,科目表!$A$5:$B$200,2,FALSE),"※未登録"))</f>
        <v/>
      </c>
      <c r="P927" s="359" t="str">
        <f>IF(OR($G927="",$C927=""),"",IF($B927="決算整理",13,MOD(MONTH($C927)-4,12)+1))</f>
        <v/>
      </c>
      <c r="Q927" s="366" t="str">
        <f>IF($G927="","",TRIM(IF(J927+K927+L927+M927&lt;&gt;$G927,"按分不一致 ","")&amp;IF(O927="※未登録","科目未登録 ","")&amp;IF(OR($H927="",ISERROR(MATCH($H927,{1,2,3,4,5,6,7,8},0))),"経費区分? ","")&amp;IF($I927="","状態未設定 ","")&amp;IF(AND(OR($I927="確認済",$I927="未確認"),$B927="月例",OR($C927="",$C927&lt;DATE(年度+2018,4,1),$C927&gt;DATE(年度+2019,3,31))),"年度外の日付 ","")&amp;IF(AND(OR($I927="確認済",$I927="未確認"),O927="対象外"),"対象外の科目 ","")))</f>
        <v/>
      </c>
      <c r="R927" s="366" t="n"/>
    </row>
    <row r="928">
      <c r="A928" s="359" t="n"/>
      <c r="B928" s="360" t="n"/>
      <c r="C928" s="361" t="n"/>
      <c r="D928" s="362" t="n"/>
      <c r="E928" s="362" t="n"/>
      <c r="F928" s="362" t="n"/>
      <c r="G928" s="363" t="n"/>
      <c r="H928" s="360" t="n"/>
      <c r="I928" s="360" t="n"/>
      <c r="J928" s="364" t="str">
        <f>IF($G928="","",IF($H928=1,$G928-ROUND($G928*10/23,0)-2*ROUND($G928/23,0),IF($H928=2,$G928,0)))</f>
        <v/>
      </c>
      <c r="K928" s="364" t="str">
        <f>IF($G928="","",IF($H928=1,ROUND($G928*10/23,0),IF($H928=3,$G928-2*ROUND($G928/12,0),IF($H928=4,$G928,IF(OR($H928=5,$H928=7),ROUND($G928*10/11,0),0)))))</f>
        <v/>
      </c>
      <c r="L928" s="364" t="str">
        <f>IF($G928="","",IF($H928=1,ROUND($G928/23,0),IF($H928=3,ROUND($G928/12,0),IF($H928=5,$G928-ROUND($G928*10/11,0),IF($H928=8,$G928,0)))))</f>
        <v/>
      </c>
      <c r="M928" s="364" t="str">
        <f>IF($G928="","",IF($H928=1,ROUND($G928/23,0),IF($H928=3,ROUND($G928/12,0),IF($H928=6,$G928,IF($H928=7,$G928-ROUND($G928*10/11,0),0)))))</f>
        <v/>
      </c>
      <c r="N928" s="364" t="str">
        <f>IF($G928="","",K928+L928+M928)</f>
        <v/>
      </c>
      <c r="O928" s="365" t="str">
        <f>IF($G928="","",IFERROR(VLOOKUP($D928&amp;"|"&amp;$E928,科目表!$A$5:$B$200,2,FALSE),"※未登録"))</f>
        <v/>
      </c>
      <c r="P928" s="359" t="str">
        <f>IF(OR($G928="",$C928=""),"",IF($B928="決算整理",13,MOD(MONTH($C928)-4,12)+1))</f>
        <v/>
      </c>
      <c r="Q928" s="366" t="str">
        <f>IF($G928="","",TRIM(IF(J928+K928+L928+M928&lt;&gt;$G928,"按分不一致 ","")&amp;IF(O928="※未登録","科目未登録 ","")&amp;IF(OR($H928="",ISERROR(MATCH($H928,{1,2,3,4,5,6,7,8},0))),"経費区分? ","")&amp;IF($I928="","状態未設定 ","")&amp;IF(AND(OR($I928="確認済",$I928="未確認"),$B928="月例",OR($C928="",$C928&lt;DATE(年度+2018,4,1),$C928&gt;DATE(年度+2019,3,31))),"年度外の日付 ","")&amp;IF(AND(OR($I928="確認済",$I928="未確認"),O928="対象外"),"対象外の科目 ","")))</f>
        <v/>
      </c>
      <c r="R928" s="366" t="n"/>
    </row>
    <row r="929">
      <c r="A929" s="359" t="n"/>
      <c r="B929" s="360" t="n"/>
      <c r="C929" s="361" t="n"/>
      <c r="D929" s="362" t="n"/>
      <c r="E929" s="362" t="n"/>
      <c r="F929" s="362" t="n"/>
      <c r="G929" s="363" t="n"/>
      <c r="H929" s="360" t="n"/>
      <c r="I929" s="360" t="n"/>
      <c r="J929" s="364" t="str">
        <f>IF($G929="","",IF($H929=1,$G929-ROUND($G929*10/23,0)-2*ROUND($G929/23,0),IF($H929=2,$G929,0)))</f>
        <v/>
      </c>
      <c r="K929" s="364" t="str">
        <f>IF($G929="","",IF($H929=1,ROUND($G929*10/23,0),IF($H929=3,$G929-2*ROUND($G929/12,0),IF($H929=4,$G929,IF(OR($H929=5,$H929=7),ROUND($G929*10/11,0),0)))))</f>
        <v/>
      </c>
      <c r="L929" s="364" t="str">
        <f>IF($G929="","",IF($H929=1,ROUND($G929/23,0),IF($H929=3,ROUND($G929/12,0),IF($H929=5,$G929-ROUND($G929*10/11,0),IF($H929=8,$G929,0)))))</f>
        <v/>
      </c>
      <c r="M929" s="364" t="str">
        <f>IF($G929="","",IF($H929=1,ROUND($G929/23,0),IF($H929=3,ROUND($G929/12,0),IF($H929=6,$G929,IF($H929=7,$G929-ROUND($G929*10/11,0),0)))))</f>
        <v/>
      </c>
      <c r="N929" s="364" t="str">
        <f>IF($G929="","",K929+L929+M929)</f>
        <v/>
      </c>
      <c r="O929" s="365" t="str">
        <f>IF($G929="","",IFERROR(VLOOKUP($D929&amp;"|"&amp;$E929,科目表!$A$5:$B$200,2,FALSE),"※未登録"))</f>
        <v/>
      </c>
      <c r="P929" s="359" t="str">
        <f>IF(OR($G929="",$C929=""),"",IF($B929="決算整理",13,MOD(MONTH($C929)-4,12)+1))</f>
        <v/>
      </c>
      <c r="Q929" s="366" t="str">
        <f>IF($G929="","",TRIM(IF(J929+K929+L929+M929&lt;&gt;$G929,"按分不一致 ","")&amp;IF(O929="※未登録","科目未登録 ","")&amp;IF(OR($H929="",ISERROR(MATCH($H929,{1,2,3,4,5,6,7,8},0))),"経費区分? ","")&amp;IF($I929="","状態未設定 ","")&amp;IF(AND(OR($I929="確認済",$I929="未確認"),$B929="月例",OR($C929="",$C929&lt;DATE(年度+2018,4,1),$C929&gt;DATE(年度+2019,3,31))),"年度外の日付 ","")&amp;IF(AND(OR($I929="確認済",$I929="未確認"),O929="対象外"),"対象外の科目 ","")))</f>
        <v/>
      </c>
      <c r="R929" s="366" t="n"/>
    </row>
    <row r="930">
      <c r="A930" s="359" t="n"/>
      <c r="B930" s="360" t="n"/>
      <c r="C930" s="361" t="n"/>
      <c r="D930" s="362" t="n"/>
      <c r="E930" s="362" t="n"/>
      <c r="F930" s="362" t="n"/>
      <c r="G930" s="363" t="n"/>
      <c r="H930" s="360" t="n"/>
      <c r="I930" s="360" t="n"/>
      <c r="J930" s="364" t="str">
        <f>IF($G930="","",IF($H930=1,$G930-ROUND($G930*10/23,0)-2*ROUND($G930/23,0),IF($H930=2,$G930,0)))</f>
        <v/>
      </c>
      <c r="K930" s="364" t="str">
        <f>IF($G930="","",IF($H930=1,ROUND($G930*10/23,0),IF($H930=3,$G930-2*ROUND($G930/12,0),IF($H930=4,$G930,IF(OR($H930=5,$H930=7),ROUND($G930*10/11,0),0)))))</f>
        <v/>
      </c>
      <c r="L930" s="364" t="str">
        <f>IF($G930="","",IF($H930=1,ROUND($G930/23,0),IF($H930=3,ROUND($G930/12,0),IF($H930=5,$G930-ROUND($G930*10/11,0),IF($H930=8,$G930,0)))))</f>
        <v/>
      </c>
      <c r="M930" s="364" t="str">
        <f>IF($G930="","",IF($H930=1,ROUND($G930/23,0),IF($H930=3,ROUND($G930/12,0),IF($H930=6,$G930,IF($H930=7,$G930-ROUND($G930*10/11,0),0)))))</f>
        <v/>
      </c>
      <c r="N930" s="364" t="str">
        <f>IF($G930="","",K930+L930+M930)</f>
        <v/>
      </c>
      <c r="O930" s="365" t="str">
        <f>IF($G930="","",IFERROR(VLOOKUP($D930&amp;"|"&amp;$E930,科目表!$A$5:$B$200,2,FALSE),"※未登録"))</f>
        <v/>
      </c>
      <c r="P930" s="359" t="str">
        <f>IF(OR($G930="",$C930=""),"",IF($B930="決算整理",13,MOD(MONTH($C930)-4,12)+1))</f>
        <v/>
      </c>
      <c r="Q930" s="366" t="str">
        <f>IF($G930="","",TRIM(IF(J930+K930+L930+M930&lt;&gt;$G930,"按分不一致 ","")&amp;IF(O930="※未登録","科目未登録 ","")&amp;IF(OR($H930="",ISERROR(MATCH($H930,{1,2,3,4,5,6,7,8},0))),"経費区分? ","")&amp;IF($I930="","状態未設定 ","")&amp;IF(AND(OR($I930="確認済",$I930="未確認"),$B930="月例",OR($C930="",$C930&lt;DATE(年度+2018,4,1),$C930&gt;DATE(年度+2019,3,31))),"年度外の日付 ","")&amp;IF(AND(OR($I930="確認済",$I930="未確認"),O930="対象外"),"対象外の科目 ","")))</f>
        <v/>
      </c>
      <c r="R930" s="366" t="n"/>
    </row>
    <row r="931">
      <c r="A931" s="359" t="n"/>
      <c r="B931" s="360" t="n"/>
      <c r="C931" s="361" t="n"/>
      <c r="D931" s="362" t="n"/>
      <c r="E931" s="362" t="n"/>
      <c r="F931" s="362" t="n"/>
      <c r="G931" s="363" t="n"/>
      <c r="H931" s="360" t="n"/>
      <c r="I931" s="360" t="n"/>
      <c r="J931" s="364" t="str">
        <f>IF($G931="","",IF($H931=1,$G931-ROUND($G931*10/23,0)-2*ROUND($G931/23,0),IF($H931=2,$G931,0)))</f>
        <v/>
      </c>
      <c r="K931" s="364" t="str">
        <f>IF($G931="","",IF($H931=1,ROUND($G931*10/23,0),IF($H931=3,$G931-2*ROUND($G931/12,0),IF($H931=4,$G931,IF(OR($H931=5,$H931=7),ROUND($G931*10/11,0),0)))))</f>
        <v/>
      </c>
      <c r="L931" s="364" t="str">
        <f>IF($G931="","",IF($H931=1,ROUND($G931/23,0),IF($H931=3,ROUND($G931/12,0),IF($H931=5,$G931-ROUND($G931*10/11,0),IF($H931=8,$G931,0)))))</f>
        <v/>
      </c>
      <c r="M931" s="364" t="str">
        <f>IF($G931="","",IF($H931=1,ROUND($G931/23,0),IF($H931=3,ROUND($G931/12,0),IF($H931=6,$G931,IF($H931=7,$G931-ROUND($G931*10/11,0),0)))))</f>
        <v/>
      </c>
      <c r="N931" s="364" t="str">
        <f>IF($G931="","",K931+L931+M931)</f>
        <v/>
      </c>
      <c r="O931" s="365" t="str">
        <f>IF($G931="","",IFERROR(VLOOKUP($D931&amp;"|"&amp;$E931,科目表!$A$5:$B$200,2,FALSE),"※未登録"))</f>
        <v/>
      </c>
      <c r="P931" s="359" t="str">
        <f>IF(OR($G931="",$C931=""),"",IF($B931="決算整理",13,MOD(MONTH($C931)-4,12)+1))</f>
        <v/>
      </c>
      <c r="Q931" s="366" t="str">
        <f>IF($G931="","",TRIM(IF(J931+K931+L931+M931&lt;&gt;$G931,"按分不一致 ","")&amp;IF(O931="※未登録","科目未登録 ","")&amp;IF(OR($H931="",ISERROR(MATCH($H931,{1,2,3,4,5,6,7,8},0))),"経費区分? ","")&amp;IF($I931="","状態未設定 ","")&amp;IF(AND(OR($I931="確認済",$I931="未確認"),$B931="月例",OR($C931="",$C931&lt;DATE(年度+2018,4,1),$C931&gt;DATE(年度+2019,3,31))),"年度外の日付 ","")&amp;IF(AND(OR($I931="確認済",$I931="未確認"),O931="対象外"),"対象外の科目 ","")))</f>
        <v/>
      </c>
      <c r="R931" s="366" t="n"/>
    </row>
    <row r="932">
      <c r="A932" s="359" t="n"/>
      <c r="B932" s="360" t="n"/>
      <c r="C932" s="361" t="n"/>
      <c r="D932" s="362" t="n"/>
      <c r="E932" s="362" t="n"/>
      <c r="F932" s="362" t="n"/>
      <c r="G932" s="363" t="n"/>
      <c r="H932" s="360" t="n"/>
      <c r="I932" s="360" t="n"/>
      <c r="J932" s="364" t="str">
        <f>IF($G932="","",IF($H932=1,$G932-ROUND($G932*10/23,0)-2*ROUND($G932/23,0),IF($H932=2,$G932,0)))</f>
        <v/>
      </c>
      <c r="K932" s="364" t="str">
        <f>IF($G932="","",IF($H932=1,ROUND($G932*10/23,0),IF($H932=3,$G932-2*ROUND($G932/12,0),IF($H932=4,$G932,IF(OR($H932=5,$H932=7),ROUND($G932*10/11,0),0)))))</f>
        <v/>
      </c>
      <c r="L932" s="364" t="str">
        <f>IF($G932="","",IF($H932=1,ROUND($G932/23,0),IF($H932=3,ROUND($G932/12,0),IF($H932=5,$G932-ROUND($G932*10/11,0),IF($H932=8,$G932,0)))))</f>
        <v/>
      </c>
      <c r="M932" s="364" t="str">
        <f>IF($G932="","",IF($H932=1,ROUND($G932/23,0),IF($H932=3,ROUND($G932/12,0),IF($H932=6,$G932,IF($H932=7,$G932-ROUND($G932*10/11,0),0)))))</f>
        <v/>
      </c>
      <c r="N932" s="364" t="str">
        <f>IF($G932="","",K932+L932+M932)</f>
        <v/>
      </c>
      <c r="O932" s="365" t="str">
        <f>IF($G932="","",IFERROR(VLOOKUP($D932&amp;"|"&amp;$E932,科目表!$A$5:$B$200,2,FALSE),"※未登録"))</f>
        <v/>
      </c>
      <c r="P932" s="359" t="str">
        <f>IF(OR($G932="",$C932=""),"",IF($B932="決算整理",13,MOD(MONTH($C932)-4,12)+1))</f>
        <v/>
      </c>
      <c r="Q932" s="366" t="str">
        <f>IF($G932="","",TRIM(IF(J932+K932+L932+M932&lt;&gt;$G932,"按分不一致 ","")&amp;IF(O932="※未登録","科目未登録 ","")&amp;IF(OR($H932="",ISERROR(MATCH($H932,{1,2,3,4,5,6,7,8},0))),"経費区分? ","")&amp;IF($I932="","状態未設定 ","")&amp;IF(AND(OR($I932="確認済",$I932="未確認"),$B932="月例",OR($C932="",$C932&lt;DATE(年度+2018,4,1),$C932&gt;DATE(年度+2019,3,31))),"年度外の日付 ","")&amp;IF(AND(OR($I932="確認済",$I932="未確認"),O932="対象外"),"対象外の科目 ","")))</f>
        <v/>
      </c>
      <c r="R932" s="366" t="n"/>
    </row>
    <row r="933">
      <c r="A933" s="359" t="n"/>
      <c r="B933" s="360" t="n"/>
      <c r="C933" s="361" t="n"/>
      <c r="D933" s="362" t="n"/>
      <c r="E933" s="362" t="n"/>
      <c r="F933" s="362" t="n"/>
      <c r="G933" s="363" t="n"/>
      <c r="H933" s="360" t="n"/>
      <c r="I933" s="360" t="n"/>
      <c r="J933" s="364" t="str">
        <f>IF($G933="","",IF($H933=1,$G933-ROUND($G933*10/23,0)-2*ROUND($G933/23,0),IF($H933=2,$G933,0)))</f>
        <v/>
      </c>
      <c r="K933" s="364" t="str">
        <f>IF($G933="","",IF($H933=1,ROUND($G933*10/23,0),IF($H933=3,$G933-2*ROUND($G933/12,0),IF($H933=4,$G933,IF(OR($H933=5,$H933=7),ROUND($G933*10/11,0),0)))))</f>
        <v/>
      </c>
      <c r="L933" s="364" t="str">
        <f>IF($G933="","",IF($H933=1,ROUND($G933/23,0),IF($H933=3,ROUND($G933/12,0),IF($H933=5,$G933-ROUND($G933*10/11,0),IF($H933=8,$G933,0)))))</f>
        <v/>
      </c>
      <c r="M933" s="364" t="str">
        <f>IF($G933="","",IF($H933=1,ROUND($G933/23,0),IF($H933=3,ROUND($G933/12,0),IF($H933=6,$G933,IF($H933=7,$G933-ROUND($G933*10/11,0),0)))))</f>
        <v/>
      </c>
      <c r="N933" s="364" t="str">
        <f>IF($G933="","",K933+L933+M933)</f>
        <v/>
      </c>
      <c r="O933" s="365" t="str">
        <f>IF($G933="","",IFERROR(VLOOKUP($D933&amp;"|"&amp;$E933,科目表!$A$5:$B$200,2,FALSE),"※未登録"))</f>
        <v/>
      </c>
      <c r="P933" s="359" t="str">
        <f>IF(OR($G933="",$C933=""),"",IF($B933="決算整理",13,MOD(MONTH($C933)-4,12)+1))</f>
        <v/>
      </c>
      <c r="Q933" s="366" t="str">
        <f>IF($G933="","",TRIM(IF(J933+K933+L933+M933&lt;&gt;$G933,"按分不一致 ","")&amp;IF(O933="※未登録","科目未登録 ","")&amp;IF(OR($H933="",ISERROR(MATCH($H933,{1,2,3,4,5,6,7,8},0))),"経費区分? ","")&amp;IF($I933="","状態未設定 ","")&amp;IF(AND(OR($I933="確認済",$I933="未確認"),$B933="月例",OR($C933="",$C933&lt;DATE(年度+2018,4,1),$C933&gt;DATE(年度+2019,3,31))),"年度外の日付 ","")&amp;IF(AND(OR($I933="確認済",$I933="未確認"),O933="対象外"),"対象外の科目 ","")))</f>
        <v/>
      </c>
      <c r="R933" s="366" t="n"/>
    </row>
    <row r="934">
      <c r="A934" s="359" t="n"/>
      <c r="B934" s="360" t="n"/>
      <c r="C934" s="361" t="n"/>
      <c r="D934" s="362" t="n"/>
      <c r="E934" s="362" t="n"/>
      <c r="F934" s="362" t="n"/>
      <c r="G934" s="363" t="n"/>
      <c r="H934" s="360" t="n"/>
      <c r="I934" s="360" t="n"/>
      <c r="J934" s="364" t="str">
        <f>IF($G934="","",IF($H934=1,$G934-ROUND($G934*10/23,0)-2*ROUND($G934/23,0),IF($H934=2,$G934,0)))</f>
        <v/>
      </c>
      <c r="K934" s="364" t="str">
        <f>IF($G934="","",IF($H934=1,ROUND($G934*10/23,0),IF($H934=3,$G934-2*ROUND($G934/12,0),IF($H934=4,$G934,IF(OR($H934=5,$H934=7),ROUND($G934*10/11,0),0)))))</f>
        <v/>
      </c>
      <c r="L934" s="364" t="str">
        <f>IF($G934="","",IF($H934=1,ROUND($G934/23,0),IF($H934=3,ROUND($G934/12,0),IF($H934=5,$G934-ROUND($G934*10/11,0),IF($H934=8,$G934,0)))))</f>
        <v/>
      </c>
      <c r="M934" s="364" t="str">
        <f>IF($G934="","",IF($H934=1,ROUND($G934/23,0),IF($H934=3,ROUND($G934/12,0),IF($H934=6,$G934,IF($H934=7,$G934-ROUND($G934*10/11,0),0)))))</f>
        <v/>
      </c>
      <c r="N934" s="364" t="str">
        <f>IF($G934="","",K934+L934+M934)</f>
        <v/>
      </c>
      <c r="O934" s="365" t="str">
        <f>IF($G934="","",IFERROR(VLOOKUP($D934&amp;"|"&amp;$E934,科目表!$A$5:$B$200,2,FALSE),"※未登録"))</f>
        <v/>
      </c>
      <c r="P934" s="359" t="str">
        <f>IF(OR($G934="",$C934=""),"",IF($B934="決算整理",13,MOD(MONTH($C934)-4,12)+1))</f>
        <v/>
      </c>
      <c r="Q934" s="366" t="str">
        <f>IF($G934="","",TRIM(IF(J934+K934+L934+M934&lt;&gt;$G934,"按分不一致 ","")&amp;IF(O934="※未登録","科目未登録 ","")&amp;IF(OR($H934="",ISERROR(MATCH($H934,{1,2,3,4,5,6,7,8},0))),"経費区分? ","")&amp;IF($I934="","状態未設定 ","")&amp;IF(AND(OR($I934="確認済",$I934="未確認"),$B934="月例",OR($C934="",$C934&lt;DATE(年度+2018,4,1),$C934&gt;DATE(年度+2019,3,31))),"年度外の日付 ","")&amp;IF(AND(OR($I934="確認済",$I934="未確認"),O934="対象外"),"対象外の科目 ","")))</f>
        <v/>
      </c>
      <c r="R934" s="366" t="n"/>
    </row>
    <row r="935">
      <c r="A935" s="359" t="n"/>
      <c r="B935" s="360" t="n"/>
      <c r="C935" s="361" t="n"/>
      <c r="D935" s="362" t="n"/>
      <c r="E935" s="362" t="n"/>
      <c r="F935" s="362" t="n"/>
      <c r="G935" s="363" t="n"/>
      <c r="H935" s="360" t="n"/>
      <c r="I935" s="360" t="n"/>
      <c r="J935" s="364" t="str">
        <f>IF($G935="","",IF($H935=1,$G935-ROUND($G935*10/23,0)-2*ROUND($G935/23,0),IF($H935=2,$G935,0)))</f>
        <v/>
      </c>
      <c r="K935" s="364" t="str">
        <f>IF($G935="","",IF($H935=1,ROUND($G935*10/23,0),IF($H935=3,$G935-2*ROUND($G935/12,0),IF($H935=4,$G935,IF(OR($H935=5,$H935=7),ROUND($G935*10/11,0),0)))))</f>
        <v/>
      </c>
      <c r="L935" s="364" t="str">
        <f>IF($G935="","",IF($H935=1,ROUND($G935/23,0),IF($H935=3,ROUND($G935/12,0),IF($H935=5,$G935-ROUND($G935*10/11,0),IF($H935=8,$G935,0)))))</f>
        <v/>
      </c>
      <c r="M935" s="364" t="str">
        <f>IF($G935="","",IF($H935=1,ROUND($G935/23,0),IF($H935=3,ROUND($G935/12,0),IF($H935=6,$G935,IF($H935=7,$G935-ROUND($G935*10/11,0),0)))))</f>
        <v/>
      </c>
      <c r="N935" s="364" t="str">
        <f>IF($G935="","",K935+L935+M935)</f>
        <v/>
      </c>
      <c r="O935" s="365" t="str">
        <f>IF($G935="","",IFERROR(VLOOKUP($D935&amp;"|"&amp;$E935,科目表!$A$5:$B$200,2,FALSE),"※未登録"))</f>
        <v/>
      </c>
      <c r="P935" s="359" t="str">
        <f>IF(OR($G935="",$C935=""),"",IF($B935="決算整理",13,MOD(MONTH($C935)-4,12)+1))</f>
        <v/>
      </c>
      <c r="Q935" s="366" t="str">
        <f>IF($G935="","",TRIM(IF(J935+K935+L935+M935&lt;&gt;$G935,"按分不一致 ","")&amp;IF(O935="※未登録","科目未登録 ","")&amp;IF(OR($H935="",ISERROR(MATCH($H935,{1,2,3,4,5,6,7,8},0))),"経費区分? ","")&amp;IF($I935="","状態未設定 ","")&amp;IF(AND(OR($I935="確認済",$I935="未確認"),$B935="月例",OR($C935="",$C935&lt;DATE(年度+2018,4,1),$C935&gt;DATE(年度+2019,3,31))),"年度外の日付 ","")&amp;IF(AND(OR($I935="確認済",$I935="未確認"),O935="対象外"),"対象外の科目 ","")))</f>
        <v/>
      </c>
      <c r="R935" s="366" t="n"/>
    </row>
    <row r="936">
      <c r="A936" s="359" t="n"/>
      <c r="B936" s="360" t="n"/>
      <c r="C936" s="361" t="n"/>
      <c r="D936" s="362" t="n"/>
      <c r="E936" s="362" t="n"/>
      <c r="F936" s="362" t="n"/>
      <c r="G936" s="363" t="n"/>
      <c r="H936" s="360" t="n"/>
      <c r="I936" s="360" t="n"/>
      <c r="J936" s="364" t="str">
        <f>IF($G936="","",IF($H936=1,$G936-ROUND($G936*10/23,0)-2*ROUND($G936/23,0),IF($H936=2,$G936,0)))</f>
        <v/>
      </c>
      <c r="K936" s="364" t="str">
        <f>IF($G936="","",IF($H936=1,ROUND($G936*10/23,0),IF($H936=3,$G936-2*ROUND($G936/12,0),IF($H936=4,$G936,IF(OR($H936=5,$H936=7),ROUND($G936*10/11,0),0)))))</f>
        <v/>
      </c>
      <c r="L936" s="364" t="str">
        <f>IF($G936="","",IF($H936=1,ROUND($G936/23,0),IF($H936=3,ROUND($G936/12,0),IF($H936=5,$G936-ROUND($G936*10/11,0),IF($H936=8,$G936,0)))))</f>
        <v/>
      </c>
      <c r="M936" s="364" t="str">
        <f>IF($G936="","",IF($H936=1,ROUND($G936/23,0),IF($H936=3,ROUND($G936/12,0),IF($H936=6,$G936,IF($H936=7,$G936-ROUND($G936*10/11,0),0)))))</f>
        <v/>
      </c>
      <c r="N936" s="364" t="str">
        <f>IF($G936="","",K936+L936+M936)</f>
        <v/>
      </c>
      <c r="O936" s="365" t="str">
        <f>IF($G936="","",IFERROR(VLOOKUP($D936&amp;"|"&amp;$E936,科目表!$A$5:$B$200,2,FALSE),"※未登録"))</f>
        <v/>
      </c>
      <c r="P936" s="359" t="str">
        <f>IF(OR($G936="",$C936=""),"",IF($B936="決算整理",13,MOD(MONTH($C936)-4,12)+1))</f>
        <v/>
      </c>
      <c r="Q936" s="366" t="str">
        <f>IF($G936="","",TRIM(IF(J936+K936+L936+M936&lt;&gt;$G936,"按分不一致 ","")&amp;IF(O936="※未登録","科目未登録 ","")&amp;IF(OR($H936="",ISERROR(MATCH($H936,{1,2,3,4,5,6,7,8},0))),"経費区分? ","")&amp;IF($I936="","状態未設定 ","")&amp;IF(AND(OR($I936="確認済",$I936="未確認"),$B936="月例",OR($C936="",$C936&lt;DATE(年度+2018,4,1),$C936&gt;DATE(年度+2019,3,31))),"年度外の日付 ","")&amp;IF(AND(OR($I936="確認済",$I936="未確認"),O936="対象外"),"対象外の科目 ","")))</f>
        <v/>
      </c>
      <c r="R936" s="366" t="n"/>
    </row>
    <row r="937">
      <c r="A937" s="359" t="n"/>
      <c r="B937" s="360" t="n"/>
      <c r="C937" s="361" t="n"/>
      <c r="D937" s="362" t="n"/>
      <c r="E937" s="362" t="n"/>
      <c r="F937" s="362" t="n"/>
      <c r="G937" s="363" t="n"/>
      <c r="H937" s="360" t="n"/>
      <c r="I937" s="360" t="n"/>
      <c r="J937" s="364" t="str">
        <f>IF($G937="","",IF($H937=1,$G937-ROUND($G937*10/23,0)-2*ROUND($G937/23,0),IF($H937=2,$G937,0)))</f>
        <v/>
      </c>
      <c r="K937" s="364" t="str">
        <f>IF($G937="","",IF($H937=1,ROUND($G937*10/23,0),IF($H937=3,$G937-2*ROUND($G937/12,0),IF($H937=4,$G937,IF(OR($H937=5,$H937=7),ROUND($G937*10/11,0),0)))))</f>
        <v/>
      </c>
      <c r="L937" s="364" t="str">
        <f>IF($G937="","",IF($H937=1,ROUND($G937/23,0),IF($H937=3,ROUND($G937/12,0),IF($H937=5,$G937-ROUND($G937*10/11,0),IF($H937=8,$G937,0)))))</f>
        <v/>
      </c>
      <c r="M937" s="364" t="str">
        <f>IF($G937="","",IF($H937=1,ROUND($G937/23,0),IF($H937=3,ROUND($G937/12,0),IF($H937=6,$G937,IF($H937=7,$G937-ROUND($G937*10/11,0),0)))))</f>
        <v/>
      </c>
      <c r="N937" s="364" t="str">
        <f>IF($G937="","",K937+L937+M937)</f>
        <v/>
      </c>
      <c r="O937" s="365" t="str">
        <f>IF($G937="","",IFERROR(VLOOKUP($D937&amp;"|"&amp;$E937,科目表!$A$5:$B$200,2,FALSE),"※未登録"))</f>
        <v/>
      </c>
      <c r="P937" s="359" t="str">
        <f>IF(OR($G937="",$C937=""),"",IF($B937="決算整理",13,MOD(MONTH($C937)-4,12)+1))</f>
        <v/>
      </c>
      <c r="Q937" s="366" t="str">
        <f>IF($G937="","",TRIM(IF(J937+K937+L937+M937&lt;&gt;$G937,"按分不一致 ","")&amp;IF(O937="※未登録","科目未登録 ","")&amp;IF(OR($H937="",ISERROR(MATCH($H937,{1,2,3,4,5,6,7,8},0))),"経費区分? ","")&amp;IF($I937="","状態未設定 ","")&amp;IF(AND(OR($I937="確認済",$I937="未確認"),$B937="月例",OR($C937="",$C937&lt;DATE(年度+2018,4,1),$C937&gt;DATE(年度+2019,3,31))),"年度外の日付 ","")&amp;IF(AND(OR($I937="確認済",$I937="未確認"),O937="対象外"),"対象外の科目 ","")))</f>
        <v/>
      </c>
      <c r="R937" s="366" t="n"/>
    </row>
    <row r="938">
      <c r="A938" s="359" t="n"/>
      <c r="B938" s="360" t="n"/>
      <c r="C938" s="361" t="n"/>
      <c r="D938" s="362" t="n"/>
      <c r="E938" s="362" t="n"/>
      <c r="F938" s="362" t="n"/>
      <c r="G938" s="363" t="n"/>
      <c r="H938" s="360" t="n"/>
      <c r="I938" s="360" t="n"/>
      <c r="J938" s="364" t="str">
        <f>IF($G938="","",IF($H938=1,$G938-ROUND($G938*10/23,0)-2*ROUND($G938/23,0),IF($H938=2,$G938,0)))</f>
        <v/>
      </c>
      <c r="K938" s="364" t="str">
        <f>IF($G938="","",IF($H938=1,ROUND($G938*10/23,0),IF($H938=3,$G938-2*ROUND($G938/12,0),IF($H938=4,$G938,IF(OR($H938=5,$H938=7),ROUND($G938*10/11,0),0)))))</f>
        <v/>
      </c>
      <c r="L938" s="364" t="str">
        <f>IF($G938="","",IF($H938=1,ROUND($G938/23,0),IF($H938=3,ROUND($G938/12,0),IF($H938=5,$G938-ROUND($G938*10/11,0),IF($H938=8,$G938,0)))))</f>
        <v/>
      </c>
      <c r="M938" s="364" t="str">
        <f>IF($G938="","",IF($H938=1,ROUND($G938/23,0),IF($H938=3,ROUND($G938/12,0),IF($H938=6,$G938,IF($H938=7,$G938-ROUND($G938*10/11,0),0)))))</f>
        <v/>
      </c>
      <c r="N938" s="364" t="str">
        <f>IF($G938="","",K938+L938+M938)</f>
        <v/>
      </c>
      <c r="O938" s="365" t="str">
        <f>IF($G938="","",IFERROR(VLOOKUP($D938&amp;"|"&amp;$E938,科目表!$A$5:$B$200,2,FALSE),"※未登録"))</f>
        <v/>
      </c>
      <c r="P938" s="359" t="str">
        <f>IF(OR($G938="",$C938=""),"",IF($B938="決算整理",13,MOD(MONTH($C938)-4,12)+1))</f>
        <v/>
      </c>
      <c r="Q938" s="366" t="str">
        <f>IF($G938="","",TRIM(IF(J938+K938+L938+M938&lt;&gt;$G938,"按分不一致 ","")&amp;IF(O938="※未登録","科目未登録 ","")&amp;IF(OR($H938="",ISERROR(MATCH($H938,{1,2,3,4,5,6,7,8},0))),"経費区分? ","")&amp;IF($I938="","状態未設定 ","")&amp;IF(AND(OR($I938="確認済",$I938="未確認"),$B938="月例",OR($C938="",$C938&lt;DATE(年度+2018,4,1),$C938&gt;DATE(年度+2019,3,31))),"年度外の日付 ","")&amp;IF(AND(OR($I938="確認済",$I938="未確認"),O938="対象外"),"対象外の科目 ","")))</f>
        <v/>
      </c>
      <c r="R938" s="366" t="n"/>
    </row>
    <row r="939">
      <c r="A939" s="359" t="n"/>
      <c r="B939" s="360" t="n"/>
      <c r="C939" s="361" t="n"/>
      <c r="D939" s="362" t="n"/>
      <c r="E939" s="362" t="n"/>
      <c r="F939" s="362" t="n"/>
      <c r="G939" s="363" t="n"/>
      <c r="H939" s="360" t="n"/>
      <c r="I939" s="360" t="n"/>
      <c r="J939" s="364" t="str">
        <f>IF($G939="","",IF($H939=1,$G939-ROUND($G939*10/23,0)-2*ROUND($G939/23,0),IF($H939=2,$G939,0)))</f>
        <v/>
      </c>
      <c r="K939" s="364" t="str">
        <f>IF($G939="","",IF($H939=1,ROUND($G939*10/23,0),IF($H939=3,$G939-2*ROUND($G939/12,0),IF($H939=4,$G939,IF(OR($H939=5,$H939=7),ROUND($G939*10/11,0),0)))))</f>
        <v/>
      </c>
      <c r="L939" s="364" t="str">
        <f>IF($G939="","",IF($H939=1,ROUND($G939/23,0),IF($H939=3,ROUND($G939/12,0),IF($H939=5,$G939-ROUND($G939*10/11,0),IF($H939=8,$G939,0)))))</f>
        <v/>
      </c>
      <c r="M939" s="364" t="str">
        <f>IF($G939="","",IF($H939=1,ROUND($G939/23,0),IF($H939=3,ROUND($G939/12,0),IF($H939=6,$G939,IF($H939=7,$G939-ROUND($G939*10/11,0),0)))))</f>
        <v/>
      </c>
      <c r="N939" s="364" t="str">
        <f>IF($G939="","",K939+L939+M939)</f>
        <v/>
      </c>
      <c r="O939" s="365" t="str">
        <f>IF($G939="","",IFERROR(VLOOKUP($D939&amp;"|"&amp;$E939,科目表!$A$5:$B$200,2,FALSE),"※未登録"))</f>
        <v/>
      </c>
      <c r="P939" s="359" t="str">
        <f>IF(OR($G939="",$C939=""),"",IF($B939="決算整理",13,MOD(MONTH($C939)-4,12)+1))</f>
        <v/>
      </c>
      <c r="Q939" s="366" t="str">
        <f>IF($G939="","",TRIM(IF(J939+K939+L939+M939&lt;&gt;$G939,"按分不一致 ","")&amp;IF(O939="※未登録","科目未登録 ","")&amp;IF(OR($H939="",ISERROR(MATCH($H939,{1,2,3,4,5,6,7,8},0))),"経費区分? ","")&amp;IF($I939="","状態未設定 ","")&amp;IF(AND(OR($I939="確認済",$I939="未確認"),$B939="月例",OR($C939="",$C939&lt;DATE(年度+2018,4,1),$C939&gt;DATE(年度+2019,3,31))),"年度外の日付 ","")&amp;IF(AND(OR($I939="確認済",$I939="未確認"),O939="対象外"),"対象外の科目 ","")))</f>
        <v/>
      </c>
      <c r="R939" s="366" t="n"/>
    </row>
    <row r="940">
      <c r="A940" s="359" t="n"/>
      <c r="B940" s="360" t="n"/>
      <c r="C940" s="361" t="n"/>
      <c r="D940" s="362" t="n"/>
      <c r="E940" s="362" t="n"/>
      <c r="F940" s="362" t="n"/>
      <c r="G940" s="363" t="n"/>
      <c r="H940" s="360" t="n"/>
      <c r="I940" s="360" t="n"/>
      <c r="J940" s="364" t="str">
        <f>IF($G940="","",IF($H940=1,$G940-ROUND($G940*10/23,0)-2*ROUND($G940/23,0),IF($H940=2,$G940,0)))</f>
        <v/>
      </c>
      <c r="K940" s="364" t="str">
        <f>IF($G940="","",IF($H940=1,ROUND($G940*10/23,0),IF($H940=3,$G940-2*ROUND($G940/12,0),IF($H940=4,$G940,IF(OR($H940=5,$H940=7),ROUND($G940*10/11,0),0)))))</f>
        <v/>
      </c>
      <c r="L940" s="364" t="str">
        <f>IF($G940="","",IF($H940=1,ROUND($G940/23,0),IF($H940=3,ROUND($G940/12,0),IF($H940=5,$G940-ROUND($G940*10/11,0),IF($H940=8,$G940,0)))))</f>
        <v/>
      </c>
      <c r="M940" s="364" t="str">
        <f>IF($G940="","",IF($H940=1,ROUND($G940/23,0),IF($H940=3,ROUND($G940/12,0),IF($H940=6,$G940,IF($H940=7,$G940-ROUND($G940*10/11,0),0)))))</f>
        <v/>
      </c>
      <c r="N940" s="364" t="str">
        <f>IF($G940="","",K940+L940+M940)</f>
        <v/>
      </c>
      <c r="O940" s="365" t="str">
        <f>IF($G940="","",IFERROR(VLOOKUP($D940&amp;"|"&amp;$E940,科目表!$A$5:$B$200,2,FALSE),"※未登録"))</f>
        <v/>
      </c>
      <c r="P940" s="359" t="str">
        <f>IF(OR($G940="",$C940=""),"",IF($B940="決算整理",13,MOD(MONTH($C940)-4,12)+1))</f>
        <v/>
      </c>
      <c r="Q940" s="366" t="str">
        <f>IF($G940="","",TRIM(IF(J940+K940+L940+M940&lt;&gt;$G940,"按分不一致 ","")&amp;IF(O940="※未登録","科目未登録 ","")&amp;IF(OR($H940="",ISERROR(MATCH($H940,{1,2,3,4,5,6,7,8},0))),"経費区分? ","")&amp;IF($I940="","状態未設定 ","")&amp;IF(AND(OR($I940="確認済",$I940="未確認"),$B940="月例",OR($C940="",$C940&lt;DATE(年度+2018,4,1),$C940&gt;DATE(年度+2019,3,31))),"年度外の日付 ","")&amp;IF(AND(OR($I940="確認済",$I940="未確認"),O940="対象外"),"対象外の科目 ","")))</f>
        <v/>
      </c>
      <c r="R940" s="366" t="n"/>
    </row>
    <row r="941">
      <c r="A941" s="359" t="n"/>
      <c r="B941" s="360" t="n"/>
      <c r="C941" s="361" t="n"/>
      <c r="D941" s="362" t="n"/>
      <c r="E941" s="362" t="n"/>
      <c r="F941" s="362" t="n"/>
      <c r="G941" s="363" t="n"/>
      <c r="H941" s="360" t="n"/>
      <c r="I941" s="360" t="n"/>
      <c r="J941" s="364" t="str">
        <f>IF($G941="","",IF($H941=1,$G941-ROUND($G941*10/23,0)-2*ROUND($G941/23,0),IF($H941=2,$G941,0)))</f>
        <v/>
      </c>
      <c r="K941" s="364" t="str">
        <f>IF($G941="","",IF($H941=1,ROUND($G941*10/23,0),IF($H941=3,$G941-2*ROUND($G941/12,0),IF($H941=4,$G941,IF(OR($H941=5,$H941=7),ROUND($G941*10/11,0),0)))))</f>
        <v/>
      </c>
      <c r="L941" s="364" t="str">
        <f>IF($G941="","",IF($H941=1,ROUND($G941/23,0),IF($H941=3,ROUND($G941/12,0),IF($H941=5,$G941-ROUND($G941*10/11,0),IF($H941=8,$G941,0)))))</f>
        <v/>
      </c>
      <c r="M941" s="364" t="str">
        <f>IF($G941="","",IF($H941=1,ROUND($G941/23,0),IF($H941=3,ROUND($G941/12,0),IF($H941=6,$G941,IF($H941=7,$G941-ROUND($G941*10/11,0),0)))))</f>
        <v/>
      </c>
      <c r="N941" s="364" t="str">
        <f>IF($G941="","",K941+L941+M941)</f>
        <v/>
      </c>
      <c r="O941" s="365" t="str">
        <f>IF($G941="","",IFERROR(VLOOKUP($D941&amp;"|"&amp;$E941,科目表!$A$5:$B$200,2,FALSE),"※未登録"))</f>
        <v/>
      </c>
      <c r="P941" s="359" t="str">
        <f>IF(OR($G941="",$C941=""),"",IF($B941="決算整理",13,MOD(MONTH($C941)-4,12)+1))</f>
        <v/>
      </c>
      <c r="Q941" s="366" t="str">
        <f>IF($G941="","",TRIM(IF(J941+K941+L941+M941&lt;&gt;$G941,"按分不一致 ","")&amp;IF(O941="※未登録","科目未登録 ","")&amp;IF(OR($H941="",ISERROR(MATCH($H941,{1,2,3,4,5,6,7,8},0))),"経費区分? ","")&amp;IF($I941="","状態未設定 ","")&amp;IF(AND(OR($I941="確認済",$I941="未確認"),$B941="月例",OR($C941="",$C941&lt;DATE(年度+2018,4,1),$C941&gt;DATE(年度+2019,3,31))),"年度外の日付 ","")&amp;IF(AND(OR($I941="確認済",$I941="未確認"),O941="対象外"),"対象外の科目 ","")))</f>
        <v/>
      </c>
      <c r="R941" s="366" t="n"/>
    </row>
    <row r="942">
      <c r="A942" s="359" t="n"/>
      <c r="B942" s="360" t="n"/>
      <c r="C942" s="361" t="n"/>
      <c r="D942" s="362" t="n"/>
      <c r="E942" s="362" t="n"/>
      <c r="F942" s="362" t="n"/>
      <c r="G942" s="363" t="n"/>
      <c r="H942" s="360" t="n"/>
      <c r="I942" s="360" t="n"/>
      <c r="J942" s="364" t="str">
        <f>IF($G942="","",IF($H942=1,$G942-ROUND($G942*10/23,0)-2*ROUND($G942/23,0),IF($H942=2,$G942,0)))</f>
        <v/>
      </c>
      <c r="K942" s="364" t="str">
        <f>IF($G942="","",IF($H942=1,ROUND($G942*10/23,0),IF($H942=3,$G942-2*ROUND($G942/12,0),IF($H942=4,$G942,IF(OR($H942=5,$H942=7),ROUND($G942*10/11,0),0)))))</f>
        <v/>
      </c>
      <c r="L942" s="364" t="str">
        <f>IF($G942="","",IF($H942=1,ROUND($G942/23,0),IF($H942=3,ROUND($G942/12,0),IF($H942=5,$G942-ROUND($G942*10/11,0),IF($H942=8,$G942,0)))))</f>
        <v/>
      </c>
      <c r="M942" s="364" t="str">
        <f>IF($G942="","",IF($H942=1,ROUND($G942/23,0),IF($H942=3,ROUND($G942/12,0),IF($H942=6,$G942,IF($H942=7,$G942-ROUND($G942*10/11,0),0)))))</f>
        <v/>
      </c>
      <c r="N942" s="364" t="str">
        <f>IF($G942="","",K942+L942+M942)</f>
        <v/>
      </c>
      <c r="O942" s="365" t="str">
        <f>IF($G942="","",IFERROR(VLOOKUP($D942&amp;"|"&amp;$E942,科目表!$A$5:$B$200,2,FALSE),"※未登録"))</f>
        <v/>
      </c>
      <c r="P942" s="359" t="str">
        <f>IF(OR($G942="",$C942=""),"",IF($B942="決算整理",13,MOD(MONTH($C942)-4,12)+1))</f>
        <v/>
      </c>
      <c r="Q942" s="366" t="str">
        <f>IF($G942="","",TRIM(IF(J942+K942+L942+M942&lt;&gt;$G942,"按分不一致 ","")&amp;IF(O942="※未登録","科目未登録 ","")&amp;IF(OR($H942="",ISERROR(MATCH($H942,{1,2,3,4,5,6,7,8},0))),"経費区分? ","")&amp;IF($I942="","状態未設定 ","")&amp;IF(AND(OR($I942="確認済",$I942="未確認"),$B942="月例",OR($C942="",$C942&lt;DATE(年度+2018,4,1),$C942&gt;DATE(年度+2019,3,31))),"年度外の日付 ","")&amp;IF(AND(OR($I942="確認済",$I942="未確認"),O942="対象外"),"対象外の科目 ","")))</f>
        <v/>
      </c>
      <c r="R942" s="366" t="n"/>
    </row>
    <row r="943">
      <c r="A943" s="359" t="n"/>
      <c r="B943" s="360" t="n"/>
      <c r="C943" s="361" t="n"/>
      <c r="D943" s="362" t="n"/>
      <c r="E943" s="362" t="n"/>
      <c r="F943" s="362" t="n"/>
      <c r="G943" s="363" t="n"/>
      <c r="H943" s="360" t="n"/>
      <c r="I943" s="360" t="n"/>
      <c r="J943" s="364" t="str">
        <f>IF($G943="","",IF($H943=1,$G943-ROUND($G943*10/23,0)-2*ROUND($G943/23,0),IF($H943=2,$G943,0)))</f>
        <v/>
      </c>
      <c r="K943" s="364" t="str">
        <f>IF($G943="","",IF($H943=1,ROUND($G943*10/23,0),IF($H943=3,$G943-2*ROUND($G943/12,0),IF($H943=4,$G943,IF(OR($H943=5,$H943=7),ROUND($G943*10/11,0),0)))))</f>
        <v/>
      </c>
      <c r="L943" s="364" t="str">
        <f>IF($G943="","",IF($H943=1,ROUND($G943/23,0),IF($H943=3,ROUND($G943/12,0),IF($H943=5,$G943-ROUND($G943*10/11,0),IF($H943=8,$G943,0)))))</f>
        <v/>
      </c>
      <c r="M943" s="364" t="str">
        <f>IF($G943="","",IF($H943=1,ROUND($G943/23,0),IF($H943=3,ROUND($G943/12,0),IF($H943=6,$G943,IF($H943=7,$G943-ROUND($G943*10/11,0),0)))))</f>
        <v/>
      </c>
      <c r="N943" s="364" t="str">
        <f>IF($G943="","",K943+L943+M943)</f>
        <v/>
      </c>
      <c r="O943" s="365" t="str">
        <f>IF($G943="","",IFERROR(VLOOKUP($D943&amp;"|"&amp;$E943,科目表!$A$5:$B$200,2,FALSE),"※未登録"))</f>
        <v/>
      </c>
      <c r="P943" s="359" t="str">
        <f>IF(OR($G943="",$C943=""),"",IF($B943="決算整理",13,MOD(MONTH($C943)-4,12)+1))</f>
        <v/>
      </c>
      <c r="Q943" s="366" t="str">
        <f>IF($G943="","",TRIM(IF(J943+K943+L943+M943&lt;&gt;$G943,"按分不一致 ","")&amp;IF(O943="※未登録","科目未登録 ","")&amp;IF(OR($H943="",ISERROR(MATCH($H943,{1,2,3,4,5,6,7,8},0))),"経費区分? ","")&amp;IF($I943="","状態未設定 ","")&amp;IF(AND(OR($I943="確認済",$I943="未確認"),$B943="月例",OR($C943="",$C943&lt;DATE(年度+2018,4,1),$C943&gt;DATE(年度+2019,3,31))),"年度外の日付 ","")&amp;IF(AND(OR($I943="確認済",$I943="未確認"),O943="対象外"),"対象外の科目 ","")))</f>
        <v/>
      </c>
      <c r="R943" s="366" t="n"/>
    </row>
    <row r="944">
      <c r="A944" s="359" t="n"/>
      <c r="B944" s="360" t="n"/>
      <c r="C944" s="361" t="n"/>
      <c r="D944" s="362" t="n"/>
      <c r="E944" s="362" t="n"/>
      <c r="F944" s="362" t="n"/>
      <c r="G944" s="363" t="n"/>
      <c r="H944" s="360" t="n"/>
      <c r="I944" s="360" t="n"/>
      <c r="J944" s="364" t="str">
        <f>IF($G944="","",IF($H944=1,$G944-ROUND($G944*10/23,0)-2*ROUND($G944/23,0),IF($H944=2,$G944,0)))</f>
        <v/>
      </c>
      <c r="K944" s="364" t="str">
        <f>IF($G944="","",IF($H944=1,ROUND($G944*10/23,0),IF($H944=3,$G944-2*ROUND($G944/12,0),IF($H944=4,$G944,IF(OR($H944=5,$H944=7),ROUND($G944*10/11,0),0)))))</f>
        <v/>
      </c>
      <c r="L944" s="364" t="str">
        <f>IF($G944="","",IF($H944=1,ROUND($G944/23,0),IF($H944=3,ROUND($G944/12,0),IF($H944=5,$G944-ROUND($G944*10/11,0),IF($H944=8,$G944,0)))))</f>
        <v/>
      </c>
      <c r="M944" s="364" t="str">
        <f>IF($G944="","",IF($H944=1,ROUND($G944/23,0),IF($H944=3,ROUND($G944/12,0),IF($H944=6,$G944,IF($H944=7,$G944-ROUND($G944*10/11,0),0)))))</f>
        <v/>
      </c>
      <c r="N944" s="364" t="str">
        <f>IF($G944="","",K944+L944+M944)</f>
        <v/>
      </c>
      <c r="O944" s="365" t="str">
        <f>IF($G944="","",IFERROR(VLOOKUP($D944&amp;"|"&amp;$E944,科目表!$A$5:$B$200,2,FALSE),"※未登録"))</f>
        <v/>
      </c>
      <c r="P944" s="359" t="str">
        <f>IF(OR($G944="",$C944=""),"",IF($B944="決算整理",13,MOD(MONTH($C944)-4,12)+1))</f>
        <v/>
      </c>
      <c r="Q944" s="366" t="str">
        <f>IF($G944="","",TRIM(IF(J944+K944+L944+M944&lt;&gt;$G944,"按分不一致 ","")&amp;IF(O944="※未登録","科目未登録 ","")&amp;IF(OR($H944="",ISERROR(MATCH($H944,{1,2,3,4,5,6,7,8},0))),"経費区分? ","")&amp;IF($I944="","状態未設定 ","")&amp;IF(AND(OR($I944="確認済",$I944="未確認"),$B944="月例",OR($C944="",$C944&lt;DATE(年度+2018,4,1),$C944&gt;DATE(年度+2019,3,31))),"年度外の日付 ","")&amp;IF(AND(OR($I944="確認済",$I944="未確認"),O944="対象外"),"対象外の科目 ","")))</f>
        <v/>
      </c>
      <c r="R944" s="366" t="n"/>
    </row>
    <row r="945">
      <c r="A945" s="359" t="n"/>
      <c r="B945" s="360" t="n"/>
      <c r="C945" s="361" t="n"/>
      <c r="D945" s="362" t="n"/>
      <c r="E945" s="362" t="n"/>
      <c r="F945" s="362" t="n"/>
      <c r="G945" s="363" t="n"/>
      <c r="H945" s="360" t="n"/>
      <c r="I945" s="360" t="n"/>
      <c r="J945" s="364" t="str">
        <f>IF($G945="","",IF($H945=1,$G945-ROUND($G945*10/23,0)-2*ROUND($G945/23,0),IF($H945=2,$G945,0)))</f>
        <v/>
      </c>
      <c r="K945" s="364" t="str">
        <f>IF($G945="","",IF($H945=1,ROUND($G945*10/23,0),IF($H945=3,$G945-2*ROUND($G945/12,0),IF($H945=4,$G945,IF(OR($H945=5,$H945=7),ROUND($G945*10/11,0),0)))))</f>
        <v/>
      </c>
      <c r="L945" s="364" t="str">
        <f>IF($G945="","",IF($H945=1,ROUND($G945/23,0),IF($H945=3,ROUND($G945/12,0),IF($H945=5,$G945-ROUND($G945*10/11,0),IF($H945=8,$G945,0)))))</f>
        <v/>
      </c>
      <c r="M945" s="364" t="str">
        <f>IF($G945="","",IF($H945=1,ROUND($G945/23,0),IF($H945=3,ROUND($G945/12,0),IF($H945=6,$G945,IF($H945=7,$G945-ROUND($G945*10/11,0),0)))))</f>
        <v/>
      </c>
      <c r="N945" s="364" t="str">
        <f>IF($G945="","",K945+L945+M945)</f>
        <v/>
      </c>
      <c r="O945" s="365" t="str">
        <f>IF($G945="","",IFERROR(VLOOKUP($D945&amp;"|"&amp;$E945,科目表!$A$5:$B$200,2,FALSE),"※未登録"))</f>
        <v/>
      </c>
      <c r="P945" s="359" t="str">
        <f>IF(OR($G945="",$C945=""),"",IF($B945="決算整理",13,MOD(MONTH($C945)-4,12)+1))</f>
        <v/>
      </c>
      <c r="Q945" s="366" t="str">
        <f>IF($G945="","",TRIM(IF(J945+K945+L945+M945&lt;&gt;$G945,"按分不一致 ","")&amp;IF(O945="※未登録","科目未登録 ","")&amp;IF(OR($H945="",ISERROR(MATCH($H945,{1,2,3,4,5,6,7,8},0))),"経費区分? ","")&amp;IF($I945="","状態未設定 ","")&amp;IF(AND(OR($I945="確認済",$I945="未確認"),$B945="月例",OR($C945="",$C945&lt;DATE(年度+2018,4,1),$C945&gt;DATE(年度+2019,3,31))),"年度外の日付 ","")&amp;IF(AND(OR($I945="確認済",$I945="未確認"),O945="対象外"),"対象外の科目 ","")))</f>
        <v/>
      </c>
      <c r="R945" s="366" t="n"/>
    </row>
    <row r="946">
      <c r="A946" s="359" t="n"/>
      <c r="B946" s="360" t="n"/>
      <c r="C946" s="361" t="n"/>
      <c r="D946" s="362" t="n"/>
      <c r="E946" s="362" t="n"/>
      <c r="F946" s="362" t="n"/>
      <c r="G946" s="363" t="n"/>
      <c r="H946" s="360" t="n"/>
      <c r="I946" s="360" t="n"/>
      <c r="J946" s="364" t="str">
        <f>IF($G946="","",IF($H946=1,$G946-ROUND($G946*10/23,0)-2*ROUND($G946/23,0),IF($H946=2,$G946,0)))</f>
        <v/>
      </c>
      <c r="K946" s="364" t="str">
        <f>IF($G946="","",IF($H946=1,ROUND($G946*10/23,0),IF($H946=3,$G946-2*ROUND($G946/12,0),IF($H946=4,$G946,IF(OR($H946=5,$H946=7),ROUND($G946*10/11,0),0)))))</f>
        <v/>
      </c>
      <c r="L946" s="364" t="str">
        <f>IF($G946="","",IF($H946=1,ROUND($G946/23,0),IF($H946=3,ROUND($G946/12,0),IF($H946=5,$G946-ROUND($G946*10/11,0),IF($H946=8,$G946,0)))))</f>
        <v/>
      </c>
      <c r="M946" s="364" t="str">
        <f>IF($G946="","",IF($H946=1,ROUND($G946/23,0),IF($H946=3,ROUND($G946/12,0),IF($H946=6,$G946,IF($H946=7,$G946-ROUND($G946*10/11,0),0)))))</f>
        <v/>
      </c>
      <c r="N946" s="364" t="str">
        <f>IF($G946="","",K946+L946+M946)</f>
        <v/>
      </c>
      <c r="O946" s="365" t="str">
        <f>IF($G946="","",IFERROR(VLOOKUP($D946&amp;"|"&amp;$E946,科目表!$A$5:$B$200,2,FALSE),"※未登録"))</f>
        <v/>
      </c>
      <c r="P946" s="359" t="str">
        <f>IF(OR($G946="",$C946=""),"",IF($B946="決算整理",13,MOD(MONTH($C946)-4,12)+1))</f>
        <v/>
      </c>
      <c r="Q946" s="366" t="str">
        <f>IF($G946="","",TRIM(IF(J946+K946+L946+M946&lt;&gt;$G946,"按分不一致 ","")&amp;IF(O946="※未登録","科目未登録 ","")&amp;IF(OR($H946="",ISERROR(MATCH($H946,{1,2,3,4,5,6,7,8},0))),"経費区分? ","")&amp;IF($I946="","状態未設定 ","")&amp;IF(AND(OR($I946="確認済",$I946="未確認"),$B946="月例",OR($C946="",$C946&lt;DATE(年度+2018,4,1),$C946&gt;DATE(年度+2019,3,31))),"年度外の日付 ","")&amp;IF(AND(OR($I946="確認済",$I946="未確認"),O946="対象外"),"対象外の科目 ","")))</f>
        <v/>
      </c>
      <c r="R946" s="366" t="n"/>
    </row>
    <row r="947">
      <c r="A947" s="359" t="n"/>
      <c r="B947" s="360" t="n"/>
      <c r="C947" s="361" t="n"/>
      <c r="D947" s="362" t="n"/>
      <c r="E947" s="362" t="n"/>
      <c r="F947" s="362" t="n"/>
      <c r="G947" s="363" t="n"/>
      <c r="H947" s="360" t="n"/>
      <c r="I947" s="360" t="n"/>
      <c r="J947" s="364" t="str">
        <f>IF($G947="","",IF($H947=1,$G947-ROUND($G947*10/23,0)-2*ROUND($G947/23,0),IF($H947=2,$G947,0)))</f>
        <v/>
      </c>
      <c r="K947" s="364" t="str">
        <f>IF($G947="","",IF($H947=1,ROUND($G947*10/23,0),IF($H947=3,$G947-2*ROUND($G947/12,0),IF($H947=4,$G947,IF(OR($H947=5,$H947=7),ROUND($G947*10/11,0),0)))))</f>
        <v/>
      </c>
      <c r="L947" s="364" t="str">
        <f>IF($G947="","",IF($H947=1,ROUND($G947/23,0),IF($H947=3,ROUND($G947/12,0),IF($H947=5,$G947-ROUND($G947*10/11,0),IF($H947=8,$G947,0)))))</f>
        <v/>
      </c>
      <c r="M947" s="364" t="str">
        <f>IF($G947="","",IF($H947=1,ROUND($G947/23,0),IF($H947=3,ROUND($G947/12,0),IF($H947=6,$G947,IF($H947=7,$G947-ROUND($G947*10/11,0),0)))))</f>
        <v/>
      </c>
      <c r="N947" s="364" t="str">
        <f>IF($G947="","",K947+L947+M947)</f>
        <v/>
      </c>
      <c r="O947" s="365" t="str">
        <f>IF($G947="","",IFERROR(VLOOKUP($D947&amp;"|"&amp;$E947,科目表!$A$5:$B$200,2,FALSE),"※未登録"))</f>
        <v/>
      </c>
      <c r="P947" s="359" t="str">
        <f>IF(OR($G947="",$C947=""),"",IF($B947="決算整理",13,MOD(MONTH($C947)-4,12)+1))</f>
        <v/>
      </c>
      <c r="Q947" s="366" t="str">
        <f>IF($G947="","",TRIM(IF(J947+K947+L947+M947&lt;&gt;$G947,"按分不一致 ","")&amp;IF(O947="※未登録","科目未登録 ","")&amp;IF(OR($H947="",ISERROR(MATCH($H947,{1,2,3,4,5,6,7,8},0))),"経費区分? ","")&amp;IF($I947="","状態未設定 ","")&amp;IF(AND(OR($I947="確認済",$I947="未確認"),$B947="月例",OR($C947="",$C947&lt;DATE(年度+2018,4,1),$C947&gt;DATE(年度+2019,3,31))),"年度外の日付 ","")&amp;IF(AND(OR($I947="確認済",$I947="未確認"),O947="対象外"),"対象外の科目 ","")))</f>
        <v/>
      </c>
      <c r="R947" s="366" t="n"/>
    </row>
    <row r="948">
      <c r="A948" s="359" t="n"/>
      <c r="B948" s="360" t="n"/>
      <c r="C948" s="361" t="n"/>
      <c r="D948" s="362" t="n"/>
      <c r="E948" s="362" t="n"/>
      <c r="F948" s="362" t="n"/>
      <c r="G948" s="363" t="n"/>
      <c r="H948" s="360" t="n"/>
      <c r="I948" s="360" t="n"/>
      <c r="J948" s="364" t="str">
        <f>IF($G948="","",IF($H948=1,$G948-ROUND($G948*10/23,0)-2*ROUND($G948/23,0),IF($H948=2,$G948,0)))</f>
        <v/>
      </c>
      <c r="K948" s="364" t="str">
        <f>IF($G948="","",IF($H948=1,ROUND($G948*10/23,0),IF($H948=3,$G948-2*ROUND($G948/12,0),IF($H948=4,$G948,IF(OR($H948=5,$H948=7),ROUND($G948*10/11,0),0)))))</f>
        <v/>
      </c>
      <c r="L948" s="364" t="str">
        <f>IF($G948="","",IF($H948=1,ROUND($G948/23,0),IF($H948=3,ROUND($G948/12,0),IF($H948=5,$G948-ROUND($G948*10/11,0),IF($H948=8,$G948,0)))))</f>
        <v/>
      </c>
      <c r="M948" s="364" t="str">
        <f>IF($G948="","",IF($H948=1,ROUND($G948/23,0),IF($H948=3,ROUND($G948/12,0),IF($H948=6,$G948,IF($H948=7,$G948-ROUND($G948*10/11,0),0)))))</f>
        <v/>
      </c>
      <c r="N948" s="364" t="str">
        <f>IF($G948="","",K948+L948+M948)</f>
        <v/>
      </c>
      <c r="O948" s="365" t="str">
        <f>IF($G948="","",IFERROR(VLOOKUP($D948&amp;"|"&amp;$E948,科目表!$A$5:$B$200,2,FALSE),"※未登録"))</f>
        <v/>
      </c>
      <c r="P948" s="359" t="str">
        <f>IF(OR($G948="",$C948=""),"",IF($B948="決算整理",13,MOD(MONTH($C948)-4,12)+1))</f>
        <v/>
      </c>
      <c r="Q948" s="366" t="str">
        <f>IF($G948="","",TRIM(IF(J948+K948+L948+M948&lt;&gt;$G948,"按分不一致 ","")&amp;IF(O948="※未登録","科目未登録 ","")&amp;IF(OR($H948="",ISERROR(MATCH($H948,{1,2,3,4,5,6,7,8},0))),"経費区分? ","")&amp;IF($I948="","状態未設定 ","")&amp;IF(AND(OR($I948="確認済",$I948="未確認"),$B948="月例",OR($C948="",$C948&lt;DATE(年度+2018,4,1),$C948&gt;DATE(年度+2019,3,31))),"年度外の日付 ","")&amp;IF(AND(OR($I948="確認済",$I948="未確認"),O948="対象外"),"対象外の科目 ","")))</f>
        <v/>
      </c>
      <c r="R948" s="366" t="n"/>
    </row>
    <row r="949">
      <c r="A949" s="359" t="n"/>
      <c r="B949" s="360" t="n"/>
      <c r="C949" s="361" t="n"/>
      <c r="D949" s="362" t="n"/>
      <c r="E949" s="362" t="n"/>
      <c r="F949" s="362" t="n"/>
      <c r="G949" s="363" t="n"/>
      <c r="H949" s="360" t="n"/>
      <c r="I949" s="360" t="n"/>
      <c r="J949" s="364" t="str">
        <f>IF($G949="","",IF($H949=1,$G949-ROUND($G949*10/23,0)-2*ROUND($G949/23,0),IF($H949=2,$G949,0)))</f>
        <v/>
      </c>
      <c r="K949" s="364" t="str">
        <f>IF($G949="","",IF($H949=1,ROUND($G949*10/23,0),IF($H949=3,$G949-2*ROUND($G949/12,0),IF($H949=4,$G949,IF(OR($H949=5,$H949=7),ROUND($G949*10/11,0),0)))))</f>
        <v/>
      </c>
      <c r="L949" s="364" t="str">
        <f>IF($G949="","",IF($H949=1,ROUND($G949/23,0),IF($H949=3,ROUND($G949/12,0),IF($H949=5,$G949-ROUND($G949*10/11,0),IF($H949=8,$G949,0)))))</f>
        <v/>
      </c>
      <c r="M949" s="364" t="str">
        <f>IF($G949="","",IF($H949=1,ROUND($G949/23,0),IF($H949=3,ROUND($G949/12,0),IF($H949=6,$G949,IF($H949=7,$G949-ROUND($G949*10/11,0),0)))))</f>
        <v/>
      </c>
      <c r="N949" s="364" t="str">
        <f>IF($G949="","",K949+L949+M949)</f>
        <v/>
      </c>
      <c r="O949" s="365" t="str">
        <f>IF($G949="","",IFERROR(VLOOKUP($D949&amp;"|"&amp;$E949,科目表!$A$5:$B$200,2,FALSE),"※未登録"))</f>
        <v/>
      </c>
      <c r="P949" s="359" t="str">
        <f>IF(OR($G949="",$C949=""),"",IF($B949="決算整理",13,MOD(MONTH($C949)-4,12)+1))</f>
        <v/>
      </c>
      <c r="Q949" s="366" t="str">
        <f>IF($G949="","",TRIM(IF(J949+K949+L949+M949&lt;&gt;$G949,"按分不一致 ","")&amp;IF(O949="※未登録","科目未登録 ","")&amp;IF(OR($H949="",ISERROR(MATCH($H949,{1,2,3,4,5,6,7,8},0))),"経費区分? ","")&amp;IF($I949="","状態未設定 ","")&amp;IF(AND(OR($I949="確認済",$I949="未確認"),$B949="月例",OR($C949="",$C949&lt;DATE(年度+2018,4,1),$C949&gt;DATE(年度+2019,3,31))),"年度外の日付 ","")&amp;IF(AND(OR($I949="確認済",$I949="未確認"),O949="対象外"),"対象外の科目 ","")))</f>
        <v/>
      </c>
      <c r="R949" s="366" t="n"/>
    </row>
    <row r="950">
      <c r="A950" s="359" t="n"/>
      <c r="B950" s="360" t="n"/>
      <c r="C950" s="361" t="n"/>
      <c r="D950" s="362" t="n"/>
      <c r="E950" s="362" t="n"/>
      <c r="F950" s="362" t="n"/>
      <c r="G950" s="363" t="n"/>
      <c r="H950" s="360" t="n"/>
      <c r="I950" s="360" t="n"/>
      <c r="J950" s="364" t="str">
        <f>IF($G950="","",IF($H950=1,$G950-ROUND($G950*10/23,0)-2*ROUND($G950/23,0),IF($H950=2,$G950,0)))</f>
        <v/>
      </c>
      <c r="K950" s="364" t="str">
        <f>IF($G950="","",IF($H950=1,ROUND($G950*10/23,0),IF($H950=3,$G950-2*ROUND($G950/12,0),IF($H950=4,$G950,IF(OR($H950=5,$H950=7),ROUND($G950*10/11,0),0)))))</f>
        <v/>
      </c>
      <c r="L950" s="364" t="str">
        <f>IF($G950="","",IF($H950=1,ROUND($G950/23,0),IF($H950=3,ROUND($G950/12,0),IF($H950=5,$G950-ROUND($G950*10/11,0),IF($H950=8,$G950,0)))))</f>
        <v/>
      </c>
      <c r="M950" s="364" t="str">
        <f>IF($G950="","",IF($H950=1,ROUND($G950/23,0),IF($H950=3,ROUND($G950/12,0),IF($H950=6,$G950,IF($H950=7,$G950-ROUND($G950*10/11,0),0)))))</f>
        <v/>
      </c>
      <c r="N950" s="364" t="str">
        <f>IF($G950="","",K950+L950+M950)</f>
        <v/>
      </c>
      <c r="O950" s="365" t="str">
        <f>IF($G950="","",IFERROR(VLOOKUP($D950&amp;"|"&amp;$E950,科目表!$A$5:$B$200,2,FALSE),"※未登録"))</f>
        <v/>
      </c>
      <c r="P950" s="359" t="str">
        <f>IF(OR($G950="",$C950=""),"",IF($B950="決算整理",13,MOD(MONTH($C950)-4,12)+1))</f>
        <v/>
      </c>
      <c r="Q950" s="366" t="str">
        <f>IF($G950="","",TRIM(IF(J950+K950+L950+M950&lt;&gt;$G950,"按分不一致 ","")&amp;IF(O950="※未登録","科目未登録 ","")&amp;IF(OR($H950="",ISERROR(MATCH($H950,{1,2,3,4,5,6,7,8},0))),"経費区分? ","")&amp;IF($I950="","状態未設定 ","")&amp;IF(AND(OR($I950="確認済",$I950="未確認"),$B950="月例",OR($C950="",$C950&lt;DATE(年度+2018,4,1),$C950&gt;DATE(年度+2019,3,31))),"年度外の日付 ","")&amp;IF(AND(OR($I950="確認済",$I950="未確認"),O950="対象外"),"対象外の科目 ","")))</f>
        <v/>
      </c>
      <c r="R950" s="366" t="n"/>
    </row>
    <row r="951">
      <c r="A951" s="359" t="n"/>
      <c r="B951" s="360" t="n"/>
      <c r="C951" s="361" t="n"/>
      <c r="D951" s="362" t="n"/>
      <c r="E951" s="362" t="n"/>
      <c r="F951" s="362" t="n"/>
      <c r="G951" s="363" t="n"/>
      <c r="H951" s="360" t="n"/>
      <c r="I951" s="360" t="n"/>
      <c r="J951" s="364" t="str">
        <f>IF($G951="","",IF($H951=1,$G951-ROUND($G951*10/23,0)-2*ROUND($G951/23,0),IF($H951=2,$G951,0)))</f>
        <v/>
      </c>
      <c r="K951" s="364" t="str">
        <f>IF($G951="","",IF($H951=1,ROUND($G951*10/23,0),IF($H951=3,$G951-2*ROUND($G951/12,0),IF($H951=4,$G951,IF(OR($H951=5,$H951=7),ROUND($G951*10/11,0),0)))))</f>
        <v/>
      </c>
      <c r="L951" s="364" t="str">
        <f>IF($G951="","",IF($H951=1,ROUND($G951/23,0),IF($H951=3,ROUND($G951/12,0),IF($H951=5,$G951-ROUND($G951*10/11,0),IF($H951=8,$G951,0)))))</f>
        <v/>
      </c>
      <c r="M951" s="364" t="str">
        <f>IF($G951="","",IF($H951=1,ROUND($G951/23,0),IF($H951=3,ROUND($G951/12,0),IF($H951=6,$G951,IF($H951=7,$G951-ROUND($G951*10/11,0),0)))))</f>
        <v/>
      </c>
      <c r="N951" s="364" t="str">
        <f>IF($G951="","",K951+L951+M951)</f>
        <v/>
      </c>
      <c r="O951" s="365" t="str">
        <f>IF($G951="","",IFERROR(VLOOKUP($D951&amp;"|"&amp;$E951,科目表!$A$5:$B$200,2,FALSE),"※未登録"))</f>
        <v/>
      </c>
      <c r="P951" s="359" t="str">
        <f>IF(OR($G951="",$C951=""),"",IF($B951="決算整理",13,MOD(MONTH($C951)-4,12)+1))</f>
        <v/>
      </c>
      <c r="Q951" s="366" t="str">
        <f>IF($G951="","",TRIM(IF(J951+K951+L951+M951&lt;&gt;$G951,"按分不一致 ","")&amp;IF(O951="※未登録","科目未登録 ","")&amp;IF(OR($H951="",ISERROR(MATCH($H951,{1,2,3,4,5,6,7,8},0))),"経費区分? ","")&amp;IF($I951="","状態未設定 ","")&amp;IF(AND(OR($I951="確認済",$I951="未確認"),$B951="月例",OR($C951="",$C951&lt;DATE(年度+2018,4,1),$C951&gt;DATE(年度+2019,3,31))),"年度外の日付 ","")&amp;IF(AND(OR($I951="確認済",$I951="未確認"),O951="対象外"),"対象外の科目 ","")))</f>
        <v/>
      </c>
      <c r="R951" s="366" t="n"/>
    </row>
    <row r="952">
      <c r="A952" s="359" t="n"/>
      <c r="B952" s="360" t="n"/>
      <c r="C952" s="361" t="n"/>
      <c r="D952" s="362" t="n"/>
      <c r="E952" s="362" t="n"/>
      <c r="F952" s="362" t="n"/>
      <c r="G952" s="363" t="n"/>
      <c r="H952" s="360" t="n"/>
      <c r="I952" s="360" t="n"/>
      <c r="J952" s="364" t="str">
        <f>IF($G952="","",IF($H952=1,$G952-ROUND($G952*10/23,0)-2*ROUND($G952/23,0),IF($H952=2,$G952,0)))</f>
        <v/>
      </c>
      <c r="K952" s="364" t="str">
        <f>IF($G952="","",IF($H952=1,ROUND($G952*10/23,0),IF($H952=3,$G952-2*ROUND($G952/12,0),IF($H952=4,$G952,IF(OR($H952=5,$H952=7),ROUND($G952*10/11,0),0)))))</f>
        <v/>
      </c>
      <c r="L952" s="364" t="str">
        <f>IF($G952="","",IF($H952=1,ROUND($G952/23,0),IF($H952=3,ROUND($G952/12,0),IF($H952=5,$G952-ROUND($G952*10/11,0),IF($H952=8,$G952,0)))))</f>
        <v/>
      </c>
      <c r="M952" s="364" t="str">
        <f>IF($G952="","",IF($H952=1,ROUND($G952/23,0),IF($H952=3,ROUND($G952/12,0),IF($H952=6,$G952,IF($H952=7,$G952-ROUND($G952*10/11,0),0)))))</f>
        <v/>
      </c>
      <c r="N952" s="364" t="str">
        <f>IF($G952="","",K952+L952+M952)</f>
        <v/>
      </c>
      <c r="O952" s="365" t="str">
        <f>IF($G952="","",IFERROR(VLOOKUP($D952&amp;"|"&amp;$E952,科目表!$A$5:$B$200,2,FALSE),"※未登録"))</f>
        <v/>
      </c>
      <c r="P952" s="359" t="str">
        <f>IF(OR($G952="",$C952=""),"",IF($B952="決算整理",13,MOD(MONTH($C952)-4,12)+1))</f>
        <v/>
      </c>
      <c r="Q952" s="366" t="str">
        <f>IF($G952="","",TRIM(IF(J952+K952+L952+M952&lt;&gt;$G952,"按分不一致 ","")&amp;IF(O952="※未登録","科目未登録 ","")&amp;IF(OR($H952="",ISERROR(MATCH($H952,{1,2,3,4,5,6,7,8},0))),"経費区分? ","")&amp;IF($I952="","状態未設定 ","")&amp;IF(AND(OR($I952="確認済",$I952="未確認"),$B952="月例",OR($C952="",$C952&lt;DATE(年度+2018,4,1),$C952&gt;DATE(年度+2019,3,31))),"年度外の日付 ","")&amp;IF(AND(OR($I952="確認済",$I952="未確認"),O952="対象外"),"対象外の科目 ","")))</f>
        <v/>
      </c>
      <c r="R952" s="366" t="n"/>
    </row>
    <row r="953">
      <c r="A953" s="359" t="n"/>
      <c r="B953" s="360" t="n"/>
      <c r="C953" s="361" t="n"/>
      <c r="D953" s="362" t="n"/>
      <c r="E953" s="362" t="n"/>
      <c r="F953" s="362" t="n"/>
      <c r="G953" s="363" t="n"/>
      <c r="H953" s="360" t="n"/>
      <c r="I953" s="360" t="n"/>
      <c r="J953" s="364" t="str">
        <f>IF($G953="","",IF($H953=1,$G953-ROUND($G953*10/23,0)-2*ROUND($G953/23,0),IF($H953=2,$G953,0)))</f>
        <v/>
      </c>
      <c r="K953" s="364" t="str">
        <f>IF($G953="","",IF($H953=1,ROUND($G953*10/23,0),IF($H953=3,$G953-2*ROUND($G953/12,0),IF($H953=4,$G953,IF(OR($H953=5,$H953=7),ROUND($G953*10/11,0),0)))))</f>
        <v/>
      </c>
      <c r="L953" s="364" t="str">
        <f>IF($G953="","",IF($H953=1,ROUND($G953/23,0),IF($H953=3,ROUND($G953/12,0),IF($H953=5,$G953-ROUND($G953*10/11,0),IF($H953=8,$G953,0)))))</f>
        <v/>
      </c>
      <c r="M953" s="364" t="str">
        <f>IF($G953="","",IF($H953=1,ROUND($G953/23,0),IF($H953=3,ROUND($G953/12,0),IF($H953=6,$G953,IF($H953=7,$G953-ROUND($G953*10/11,0),0)))))</f>
        <v/>
      </c>
      <c r="N953" s="364" t="str">
        <f>IF($G953="","",K953+L953+M953)</f>
        <v/>
      </c>
      <c r="O953" s="365" t="str">
        <f>IF($G953="","",IFERROR(VLOOKUP($D953&amp;"|"&amp;$E953,科目表!$A$5:$B$200,2,FALSE),"※未登録"))</f>
        <v/>
      </c>
      <c r="P953" s="359" t="str">
        <f>IF(OR($G953="",$C953=""),"",IF($B953="決算整理",13,MOD(MONTH($C953)-4,12)+1))</f>
        <v/>
      </c>
      <c r="Q953" s="366" t="str">
        <f>IF($G953="","",TRIM(IF(J953+K953+L953+M953&lt;&gt;$G953,"按分不一致 ","")&amp;IF(O953="※未登録","科目未登録 ","")&amp;IF(OR($H953="",ISERROR(MATCH($H953,{1,2,3,4,5,6,7,8},0))),"経費区分? ","")&amp;IF($I953="","状態未設定 ","")&amp;IF(AND(OR($I953="確認済",$I953="未確認"),$B953="月例",OR($C953="",$C953&lt;DATE(年度+2018,4,1),$C953&gt;DATE(年度+2019,3,31))),"年度外の日付 ","")&amp;IF(AND(OR($I953="確認済",$I953="未確認"),O953="対象外"),"対象外の科目 ","")))</f>
        <v/>
      </c>
      <c r="R953" s="366" t="n"/>
    </row>
    <row r="954">
      <c r="A954" s="359" t="n"/>
      <c r="B954" s="360" t="n"/>
      <c r="C954" s="361" t="n"/>
      <c r="D954" s="362" t="n"/>
      <c r="E954" s="362" t="n"/>
      <c r="F954" s="362" t="n"/>
      <c r="G954" s="363" t="n"/>
      <c r="H954" s="360" t="n"/>
      <c r="I954" s="360" t="n"/>
      <c r="J954" s="364" t="str">
        <f>IF($G954="","",IF($H954=1,$G954-ROUND($G954*10/23,0)-2*ROUND($G954/23,0),IF($H954=2,$G954,0)))</f>
        <v/>
      </c>
      <c r="K954" s="364" t="str">
        <f>IF($G954="","",IF($H954=1,ROUND($G954*10/23,0),IF($H954=3,$G954-2*ROUND($G954/12,0),IF($H954=4,$G954,IF(OR($H954=5,$H954=7),ROUND($G954*10/11,0),0)))))</f>
        <v/>
      </c>
      <c r="L954" s="364" t="str">
        <f>IF($G954="","",IF($H954=1,ROUND($G954/23,0),IF($H954=3,ROUND($G954/12,0),IF($H954=5,$G954-ROUND($G954*10/11,0),IF($H954=8,$G954,0)))))</f>
        <v/>
      </c>
      <c r="M954" s="364" t="str">
        <f>IF($G954="","",IF($H954=1,ROUND($G954/23,0),IF($H954=3,ROUND($G954/12,0),IF($H954=6,$G954,IF($H954=7,$G954-ROUND($G954*10/11,0),0)))))</f>
        <v/>
      </c>
      <c r="N954" s="364" t="str">
        <f>IF($G954="","",K954+L954+M954)</f>
        <v/>
      </c>
      <c r="O954" s="365" t="str">
        <f>IF($G954="","",IFERROR(VLOOKUP($D954&amp;"|"&amp;$E954,科目表!$A$5:$B$200,2,FALSE),"※未登録"))</f>
        <v/>
      </c>
      <c r="P954" s="359" t="str">
        <f>IF(OR($G954="",$C954=""),"",IF($B954="決算整理",13,MOD(MONTH($C954)-4,12)+1))</f>
        <v/>
      </c>
      <c r="Q954" s="366" t="str">
        <f>IF($G954="","",TRIM(IF(J954+K954+L954+M954&lt;&gt;$G954,"按分不一致 ","")&amp;IF(O954="※未登録","科目未登録 ","")&amp;IF(OR($H954="",ISERROR(MATCH($H954,{1,2,3,4,5,6,7,8},0))),"経費区分? ","")&amp;IF($I954="","状態未設定 ","")&amp;IF(AND(OR($I954="確認済",$I954="未確認"),$B954="月例",OR($C954="",$C954&lt;DATE(年度+2018,4,1),$C954&gt;DATE(年度+2019,3,31))),"年度外の日付 ","")&amp;IF(AND(OR($I954="確認済",$I954="未確認"),O954="対象外"),"対象外の科目 ","")))</f>
        <v/>
      </c>
      <c r="R954" s="366" t="n"/>
    </row>
    <row r="955">
      <c r="A955" s="359" t="n"/>
      <c r="B955" s="360" t="n"/>
      <c r="C955" s="361" t="n"/>
      <c r="D955" s="362" t="n"/>
      <c r="E955" s="362" t="n"/>
      <c r="F955" s="362" t="n"/>
      <c r="G955" s="363" t="n"/>
      <c r="H955" s="360" t="n"/>
      <c r="I955" s="360" t="n"/>
      <c r="J955" s="364" t="str">
        <f>IF($G955="","",IF($H955=1,$G955-ROUND($G955*10/23,0)-2*ROUND($G955/23,0),IF($H955=2,$G955,0)))</f>
        <v/>
      </c>
      <c r="K955" s="364" t="str">
        <f>IF($G955="","",IF($H955=1,ROUND($G955*10/23,0),IF($H955=3,$G955-2*ROUND($G955/12,0),IF($H955=4,$G955,IF(OR($H955=5,$H955=7),ROUND($G955*10/11,0),0)))))</f>
        <v/>
      </c>
      <c r="L955" s="364" t="str">
        <f>IF($G955="","",IF($H955=1,ROUND($G955/23,0),IF($H955=3,ROUND($G955/12,0),IF($H955=5,$G955-ROUND($G955*10/11,0),IF($H955=8,$G955,0)))))</f>
        <v/>
      </c>
      <c r="M955" s="364" t="str">
        <f>IF($G955="","",IF($H955=1,ROUND($G955/23,0),IF($H955=3,ROUND($G955/12,0),IF($H955=6,$G955,IF($H955=7,$G955-ROUND($G955*10/11,0),0)))))</f>
        <v/>
      </c>
      <c r="N955" s="364" t="str">
        <f>IF($G955="","",K955+L955+M955)</f>
        <v/>
      </c>
      <c r="O955" s="365" t="str">
        <f>IF($G955="","",IFERROR(VLOOKUP($D955&amp;"|"&amp;$E955,科目表!$A$5:$B$200,2,FALSE),"※未登録"))</f>
        <v/>
      </c>
      <c r="P955" s="359" t="str">
        <f>IF(OR($G955="",$C955=""),"",IF($B955="決算整理",13,MOD(MONTH($C955)-4,12)+1))</f>
        <v/>
      </c>
      <c r="Q955" s="366" t="str">
        <f>IF($G955="","",TRIM(IF(J955+K955+L955+M955&lt;&gt;$G955,"按分不一致 ","")&amp;IF(O955="※未登録","科目未登録 ","")&amp;IF(OR($H955="",ISERROR(MATCH($H955,{1,2,3,4,5,6,7,8},0))),"経費区分? ","")&amp;IF($I955="","状態未設定 ","")&amp;IF(AND(OR($I955="確認済",$I955="未確認"),$B955="月例",OR($C955="",$C955&lt;DATE(年度+2018,4,1),$C955&gt;DATE(年度+2019,3,31))),"年度外の日付 ","")&amp;IF(AND(OR($I955="確認済",$I955="未確認"),O955="対象外"),"対象外の科目 ","")))</f>
        <v/>
      </c>
      <c r="R955" s="366" t="n"/>
    </row>
    <row r="956">
      <c r="A956" s="359" t="n"/>
      <c r="B956" s="360" t="n"/>
      <c r="C956" s="361" t="n"/>
      <c r="D956" s="362" t="n"/>
      <c r="E956" s="362" t="n"/>
      <c r="F956" s="362" t="n"/>
      <c r="G956" s="363" t="n"/>
      <c r="H956" s="360" t="n"/>
      <c r="I956" s="360" t="n"/>
      <c r="J956" s="364" t="str">
        <f>IF($G956="","",IF($H956=1,$G956-ROUND($G956*10/23,0)-2*ROUND($G956/23,0),IF($H956=2,$G956,0)))</f>
        <v/>
      </c>
      <c r="K956" s="364" t="str">
        <f>IF($G956="","",IF($H956=1,ROUND($G956*10/23,0),IF($H956=3,$G956-2*ROUND($G956/12,0),IF($H956=4,$G956,IF(OR($H956=5,$H956=7),ROUND($G956*10/11,0),0)))))</f>
        <v/>
      </c>
      <c r="L956" s="364" t="str">
        <f>IF($G956="","",IF($H956=1,ROUND($G956/23,0),IF($H956=3,ROUND($G956/12,0),IF($H956=5,$G956-ROUND($G956*10/11,0),IF($H956=8,$G956,0)))))</f>
        <v/>
      </c>
      <c r="M956" s="364" t="str">
        <f>IF($G956="","",IF($H956=1,ROUND($G956/23,0),IF($H956=3,ROUND($G956/12,0),IF($H956=6,$G956,IF($H956=7,$G956-ROUND($G956*10/11,0),0)))))</f>
        <v/>
      </c>
      <c r="N956" s="364" t="str">
        <f>IF($G956="","",K956+L956+M956)</f>
        <v/>
      </c>
      <c r="O956" s="365" t="str">
        <f>IF($G956="","",IFERROR(VLOOKUP($D956&amp;"|"&amp;$E956,科目表!$A$5:$B$200,2,FALSE),"※未登録"))</f>
        <v/>
      </c>
      <c r="P956" s="359" t="str">
        <f>IF(OR($G956="",$C956=""),"",IF($B956="決算整理",13,MOD(MONTH($C956)-4,12)+1))</f>
        <v/>
      </c>
      <c r="Q956" s="366" t="str">
        <f>IF($G956="","",TRIM(IF(J956+K956+L956+M956&lt;&gt;$G956,"按分不一致 ","")&amp;IF(O956="※未登録","科目未登録 ","")&amp;IF(OR($H956="",ISERROR(MATCH($H956,{1,2,3,4,5,6,7,8},0))),"経費区分? ","")&amp;IF($I956="","状態未設定 ","")&amp;IF(AND(OR($I956="確認済",$I956="未確認"),$B956="月例",OR($C956="",$C956&lt;DATE(年度+2018,4,1),$C956&gt;DATE(年度+2019,3,31))),"年度外の日付 ","")&amp;IF(AND(OR($I956="確認済",$I956="未確認"),O956="対象外"),"対象外の科目 ","")))</f>
        <v/>
      </c>
      <c r="R956" s="366" t="n"/>
    </row>
    <row r="957">
      <c r="A957" s="359" t="n"/>
      <c r="B957" s="360" t="n"/>
      <c r="C957" s="361" t="n"/>
      <c r="D957" s="362" t="n"/>
      <c r="E957" s="362" t="n"/>
      <c r="F957" s="362" t="n"/>
      <c r="G957" s="363" t="n"/>
      <c r="H957" s="360" t="n"/>
      <c r="I957" s="360" t="n"/>
      <c r="J957" s="364" t="str">
        <f>IF($G957="","",IF($H957=1,$G957-ROUND($G957*10/23,0)-2*ROUND($G957/23,0),IF($H957=2,$G957,0)))</f>
        <v/>
      </c>
      <c r="K957" s="364" t="str">
        <f>IF($G957="","",IF($H957=1,ROUND($G957*10/23,0),IF($H957=3,$G957-2*ROUND($G957/12,0),IF($H957=4,$G957,IF(OR($H957=5,$H957=7),ROUND($G957*10/11,0),0)))))</f>
        <v/>
      </c>
      <c r="L957" s="364" t="str">
        <f>IF($G957="","",IF($H957=1,ROUND($G957/23,0),IF($H957=3,ROUND($G957/12,0),IF($H957=5,$G957-ROUND($G957*10/11,0),IF($H957=8,$G957,0)))))</f>
        <v/>
      </c>
      <c r="M957" s="364" t="str">
        <f>IF($G957="","",IF($H957=1,ROUND($G957/23,0),IF($H957=3,ROUND($G957/12,0),IF($H957=6,$G957,IF($H957=7,$G957-ROUND($G957*10/11,0),0)))))</f>
        <v/>
      </c>
      <c r="N957" s="364" t="str">
        <f>IF($G957="","",K957+L957+M957)</f>
        <v/>
      </c>
      <c r="O957" s="365" t="str">
        <f>IF($G957="","",IFERROR(VLOOKUP($D957&amp;"|"&amp;$E957,科目表!$A$5:$B$200,2,FALSE),"※未登録"))</f>
        <v/>
      </c>
      <c r="P957" s="359" t="str">
        <f>IF(OR($G957="",$C957=""),"",IF($B957="決算整理",13,MOD(MONTH($C957)-4,12)+1))</f>
        <v/>
      </c>
      <c r="Q957" s="366" t="str">
        <f>IF($G957="","",TRIM(IF(J957+K957+L957+M957&lt;&gt;$G957,"按分不一致 ","")&amp;IF(O957="※未登録","科目未登録 ","")&amp;IF(OR($H957="",ISERROR(MATCH($H957,{1,2,3,4,5,6,7,8},0))),"経費区分? ","")&amp;IF($I957="","状態未設定 ","")&amp;IF(AND(OR($I957="確認済",$I957="未確認"),$B957="月例",OR($C957="",$C957&lt;DATE(年度+2018,4,1),$C957&gt;DATE(年度+2019,3,31))),"年度外の日付 ","")&amp;IF(AND(OR($I957="確認済",$I957="未確認"),O957="対象外"),"対象外の科目 ","")))</f>
        <v/>
      </c>
      <c r="R957" s="366" t="n"/>
    </row>
    <row r="958">
      <c r="A958" s="359" t="n"/>
      <c r="B958" s="360" t="n"/>
      <c r="C958" s="361" t="n"/>
      <c r="D958" s="362" t="n"/>
      <c r="E958" s="362" t="n"/>
      <c r="F958" s="362" t="n"/>
      <c r="G958" s="363" t="n"/>
      <c r="H958" s="360" t="n"/>
      <c r="I958" s="360" t="n"/>
      <c r="J958" s="364" t="str">
        <f>IF($G958="","",IF($H958=1,$G958-ROUND($G958*10/23,0)-2*ROUND($G958/23,0),IF($H958=2,$G958,0)))</f>
        <v/>
      </c>
      <c r="K958" s="364" t="str">
        <f>IF($G958="","",IF($H958=1,ROUND($G958*10/23,0),IF($H958=3,$G958-2*ROUND($G958/12,0),IF($H958=4,$G958,IF(OR($H958=5,$H958=7),ROUND($G958*10/11,0),0)))))</f>
        <v/>
      </c>
      <c r="L958" s="364" t="str">
        <f>IF($G958="","",IF($H958=1,ROUND($G958/23,0),IF($H958=3,ROUND($G958/12,0),IF($H958=5,$G958-ROUND($G958*10/11,0),IF($H958=8,$G958,0)))))</f>
        <v/>
      </c>
      <c r="M958" s="364" t="str">
        <f>IF($G958="","",IF($H958=1,ROUND($G958/23,0),IF($H958=3,ROUND($G958/12,0),IF($H958=6,$G958,IF($H958=7,$G958-ROUND($G958*10/11,0),0)))))</f>
        <v/>
      </c>
      <c r="N958" s="364" t="str">
        <f>IF($G958="","",K958+L958+M958)</f>
        <v/>
      </c>
      <c r="O958" s="365" t="str">
        <f>IF($G958="","",IFERROR(VLOOKUP($D958&amp;"|"&amp;$E958,科目表!$A$5:$B$200,2,FALSE),"※未登録"))</f>
        <v/>
      </c>
      <c r="P958" s="359" t="str">
        <f>IF(OR($G958="",$C958=""),"",IF($B958="決算整理",13,MOD(MONTH($C958)-4,12)+1))</f>
        <v/>
      </c>
      <c r="Q958" s="366" t="str">
        <f>IF($G958="","",TRIM(IF(J958+K958+L958+M958&lt;&gt;$G958,"按分不一致 ","")&amp;IF(O958="※未登録","科目未登録 ","")&amp;IF(OR($H958="",ISERROR(MATCH($H958,{1,2,3,4,5,6,7,8},0))),"経費区分? ","")&amp;IF($I958="","状態未設定 ","")&amp;IF(AND(OR($I958="確認済",$I958="未確認"),$B958="月例",OR($C958="",$C958&lt;DATE(年度+2018,4,1),$C958&gt;DATE(年度+2019,3,31))),"年度外の日付 ","")&amp;IF(AND(OR($I958="確認済",$I958="未確認"),O958="対象外"),"対象外の科目 ","")))</f>
        <v/>
      </c>
      <c r="R958" s="366" t="n"/>
    </row>
    <row r="959">
      <c r="A959" s="359" t="n"/>
      <c r="B959" s="360" t="n"/>
      <c r="C959" s="361" t="n"/>
      <c r="D959" s="362" t="n"/>
      <c r="E959" s="362" t="n"/>
      <c r="F959" s="362" t="n"/>
      <c r="G959" s="363" t="n"/>
      <c r="H959" s="360" t="n"/>
      <c r="I959" s="360" t="n"/>
      <c r="J959" s="364" t="str">
        <f>IF($G959="","",IF($H959=1,$G959-ROUND($G959*10/23,0)-2*ROUND($G959/23,0),IF($H959=2,$G959,0)))</f>
        <v/>
      </c>
      <c r="K959" s="364" t="str">
        <f>IF($G959="","",IF($H959=1,ROUND($G959*10/23,0),IF($H959=3,$G959-2*ROUND($G959/12,0),IF($H959=4,$G959,IF(OR($H959=5,$H959=7),ROUND($G959*10/11,0),0)))))</f>
        <v/>
      </c>
      <c r="L959" s="364" t="str">
        <f>IF($G959="","",IF($H959=1,ROUND($G959/23,0),IF($H959=3,ROUND($G959/12,0),IF($H959=5,$G959-ROUND($G959*10/11,0),IF($H959=8,$G959,0)))))</f>
        <v/>
      </c>
      <c r="M959" s="364" t="str">
        <f>IF($G959="","",IF($H959=1,ROUND($G959/23,0),IF($H959=3,ROUND($G959/12,0),IF($H959=6,$G959,IF($H959=7,$G959-ROUND($G959*10/11,0),0)))))</f>
        <v/>
      </c>
      <c r="N959" s="364" t="str">
        <f>IF($G959="","",K959+L959+M959)</f>
        <v/>
      </c>
      <c r="O959" s="365" t="str">
        <f>IF($G959="","",IFERROR(VLOOKUP($D959&amp;"|"&amp;$E959,科目表!$A$5:$B$200,2,FALSE),"※未登録"))</f>
        <v/>
      </c>
      <c r="P959" s="359" t="str">
        <f>IF(OR($G959="",$C959=""),"",IF($B959="決算整理",13,MOD(MONTH($C959)-4,12)+1))</f>
        <v/>
      </c>
      <c r="Q959" s="366" t="str">
        <f>IF($G959="","",TRIM(IF(J959+K959+L959+M959&lt;&gt;$G959,"按分不一致 ","")&amp;IF(O959="※未登録","科目未登録 ","")&amp;IF(OR($H959="",ISERROR(MATCH($H959,{1,2,3,4,5,6,7,8},0))),"経費区分? ","")&amp;IF($I959="","状態未設定 ","")&amp;IF(AND(OR($I959="確認済",$I959="未確認"),$B959="月例",OR($C959="",$C959&lt;DATE(年度+2018,4,1),$C959&gt;DATE(年度+2019,3,31))),"年度外の日付 ","")&amp;IF(AND(OR($I959="確認済",$I959="未確認"),O959="対象外"),"対象外の科目 ","")))</f>
        <v/>
      </c>
      <c r="R959" s="366" t="n"/>
    </row>
    <row r="960">
      <c r="A960" s="359" t="n"/>
      <c r="B960" s="360" t="n"/>
      <c r="C960" s="361" t="n"/>
      <c r="D960" s="362" t="n"/>
      <c r="E960" s="362" t="n"/>
      <c r="F960" s="362" t="n"/>
      <c r="G960" s="363" t="n"/>
      <c r="H960" s="360" t="n"/>
      <c r="I960" s="360" t="n"/>
      <c r="J960" s="364" t="str">
        <f>IF($G960="","",IF($H960=1,$G960-ROUND($G960*10/23,0)-2*ROUND($G960/23,0),IF($H960=2,$G960,0)))</f>
        <v/>
      </c>
      <c r="K960" s="364" t="str">
        <f>IF($G960="","",IF($H960=1,ROUND($G960*10/23,0),IF($H960=3,$G960-2*ROUND($G960/12,0),IF($H960=4,$G960,IF(OR($H960=5,$H960=7),ROUND($G960*10/11,0),0)))))</f>
        <v/>
      </c>
      <c r="L960" s="364" t="str">
        <f>IF($G960="","",IF($H960=1,ROUND($G960/23,0),IF($H960=3,ROUND($G960/12,0),IF($H960=5,$G960-ROUND($G960*10/11,0),IF($H960=8,$G960,0)))))</f>
        <v/>
      </c>
      <c r="M960" s="364" t="str">
        <f>IF($G960="","",IF($H960=1,ROUND($G960/23,0),IF($H960=3,ROUND($G960/12,0),IF($H960=6,$G960,IF($H960=7,$G960-ROUND($G960*10/11,0),0)))))</f>
        <v/>
      </c>
      <c r="N960" s="364" t="str">
        <f>IF($G960="","",K960+L960+M960)</f>
        <v/>
      </c>
      <c r="O960" s="365" t="str">
        <f>IF($G960="","",IFERROR(VLOOKUP($D960&amp;"|"&amp;$E960,科目表!$A$5:$B$200,2,FALSE),"※未登録"))</f>
        <v/>
      </c>
      <c r="P960" s="359" t="str">
        <f>IF(OR($G960="",$C960=""),"",IF($B960="決算整理",13,MOD(MONTH($C960)-4,12)+1))</f>
        <v/>
      </c>
      <c r="Q960" s="366" t="str">
        <f>IF($G960="","",TRIM(IF(J960+K960+L960+M960&lt;&gt;$G960,"按分不一致 ","")&amp;IF(O960="※未登録","科目未登録 ","")&amp;IF(OR($H960="",ISERROR(MATCH($H960,{1,2,3,4,5,6,7,8},0))),"経費区分? ","")&amp;IF($I960="","状態未設定 ","")&amp;IF(AND(OR($I960="確認済",$I960="未確認"),$B960="月例",OR($C960="",$C960&lt;DATE(年度+2018,4,1),$C960&gt;DATE(年度+2019,3,31))),"年度外の日付 ","")&amp;IF(AND(OR($I960="確認済",$I960="未確認"),O960="対象外"),"対象外の科目 ","")))</f>
        <v/>
      </c>
      <c r="R960" s="366" t="n"/>
    </row>
    <row r="961">
      <c r="A961" s="359" t="n"/>
      <c r="B961" s="360" t="n"/>
      <c r="C961" s="361" t="n"/>
      <c r="D961" s="362" t="n"/>
      <c r="E961" s="362" t="n"/>
      <c r="F961" s="362" t="n"/>
      <c r="G961" s="363" t="n"/>
      <c r="H961" s="360" t="n"/>
      <c r="I961" s="360" t="n"/>
      <c r="J961" s="364" t="str">
        <f>IF($G961="","",IF($H961=1,$G961-ROUND($G961*10/23,0)-2*ROUND($G961/23,0),IF($H961=2,$G961,0)))</f>
        <v/>
      </c>
      <c r="K961" s="364" t="str">
        <f>IF($G961="","",IF($H961=1,ROUND($G961*10/23,0),IF($H961=3,$G961-2*ROUND($G961/12,0),IF($H961=4,$G961,IF(OR($H961=5,$H961=7),ROUND($G961*10/11,0),0)))))</f>
        <v/>
      </c>
      <c r="L961" s="364" t="str">
        <f>IF($G961="","",IF($H961=1,ROUND($G961/23,0),IF($H961=3,ROUND($G961/12,0),IF($H961=5,$G961-ROUND($G961*10/11,0),IF($H961=8,$G961,0)))))</f>
        <v/>
      </c>
      <c r="M961" s="364" t="str">
        <f>IF($G961="","",IF($H961=1,ROUND($G961/23,0),IF($H961=3,ROUND($G961/12,0),IF($H961=6,$G961,IF($H961=7,$G961-ROUND($G961*10/11,0),0)))))</f>
        <v/>
      </c>
      <c r="N961" s="364" t="str">
        <f>IF($G961="","",K961+L961+M961)</f>
        <v/>
      </c>
      <c r="O961" s="365" t="str">
        <f>IF($G961="","",IFERROR(VLOOKUP($D961&amp;"|"&amp;$E961,科目表!$A$5:$B$200,2,FALSE),"※未登録"))</f>
        <v/>
      </c>
      <c r="P961" s="359" t="str">
        <f>IF(OR($G961="",$C961=""),"",IF($B961="決算整理",13,MOD(MONTH($C961)-4,12)+1))</f>
        <v/>
      </c>
      <c r="Q961" s="366" t="str">
        <f>IF($G961="","",TRIM(IF(J961+K961+L961+M961&lt;&gt;$G961,"按分不一致 ","")&amp;IF(O961="※未登録","科目未登録 ","")&amp;IF(OR($H961="",ISERROR(MATCH($H961,{1,2,3,4,5,6,7,8},0))),"経費区分? ","")&amp;IF($I961="","状態未設定 ","")&amp;IF(AND(OR($I961="確認済",$I961="未確認"),$B961="月例",OR($C961="",$C961&lt;DATE(年度+2018,4,1),$C961&gt;DATE(年度+2019,3,31))),"年度外の日付 ","")&amp;IF(AND(OR($I961="確認済",$I961="未確認"),O961="対象外"),"対象外の科目 ","")))</f>
        <v/>
      </c>
      <c r="R961" s="366" t="n"/>
    </row>
    <row r="962">
      <c r="A962" s="359" t="n"/>
      <c r="B962" s="360" t="n"/>
      <c r="C962" s="361" t="n"/>
      <c r="D962" s="362" t="n"/>
      <c r="E962" s="362" t="n"/>
      <c r="F962" s="362" t="n"/>
      <c r="G962" s="363" t="n"/>
      <c r="H962" s="360" t="n"/>
      <c r="I962" s="360" t="n"/>
      <c r="J962" s="364" t="str">
        <f>IF($G962="","",IF($H962=1,$G962-ROUND($G962*10/23,0)-2*ROUND($G962/23,0),IF($H962=2,$G962,0)))</f>
        <v/>
      </c>
      <c r="K962" s="364" t="str">
        <f>IF($G962="","",IF($H962=1,ROUND($G962*10/23,0),IF($H962=3,$G962-2*ROUND($G962/12,0),IF($H962=4,$G962,IF(OR($H962=5,$H962=7),ROUND($G962*10/11,0),0)))))</f>
        <v/>
      </c>
      <c r="L962" s="364" t="str">
        <f>IF($G962="","",IF($H962=1,ROUND($G962/23,0),IF($H962=3,ROUND($G962/12,0),IF($H962=5,$G962-ROUND($G962*10/11,0),IF($H962=8,$G962,0)))))</f>
        <v/>
      </c>
      <c r="M962" s="364" t="str">
        <f>IF($G962="","",IF($H962=1,ROUND($G962/23,0),IF($H962=3,ROUND($G962/12,0),IF($H962=6,$G962,IF($H962=7,$G962-ROUND($G962*10/11,0),0)))))</f>
        <v/>
      </c>
      <c r="N962" s="364" t="str">
        <f>IF($G962="","",K962+L962+M962)</f>
        <v/>
      </c>
      <c r="O962" s="365" t="str">
        <f>IF($G962="","",IFERROR(VLOOKUP($D962&amp;"|"&amp;$E962,科目表!$A$5:$B$200,2,FALSE),"※未登録"))</f>
        <v/>
      </c>
      <c r="P962" s="359" t="str">
        <f>IF(OR($G962="",$C962=""),"",IF($B962="決算整理",13,MOD(MONTH($C962)-4,12)+1))</f>
        <v/>
      </c>
      <c r="Q962" s="366" t="str">
        <f>IF($G962="","",TRIM(IF(J962+K962+L962+M962&lt;&gt;$G962,"按分不一致 ","")&amp;IF(O962="※未登録","科目未登録 ","")&amp;IF(OR($H962="",ISERROR(MATCH($H962,{1,2,3,4,5,6,7,8},0))),"経費区分? ","")&amp;IF($I962="","状態未設定 ","")&amp;IF(AND(OR($I962="確認済",$I962="未確認"),$B962="月例",OR($C962="",$C962&lt;DATE(年度+2018,4,1),$C962&gt;DATE(年度+2019,3,31))),"年度外の日付 ","")&amp;IF(AND(OR($I962="確認済",$I962="未確認"),O962="対象外"),"対象外の科目 ","")))</f>
        <v/>
      </c>
      <c r="R962" s="366" t="n"/>
    </row>
    <row r="963">
      <c r="A963" s="359" t="n"/>
      <c r="B963" s="360" t="n"/>
      <c r="C963" s="361" t="n"/>
      <c r="D963" s="362" t="n"/>
      <c r="E963" s="362" t="n"/>
      <c r="F963" s="362" t="n"/>
      <c r="G963" s="363" t="n"/>
      <c r="H963" s="360" t="n"/>
      <c r="I963" s="360" t="n"/>
      <c r="J963" s="364" t="str">
        <f>IF($G963="","",IF($H963=1,$G963-ROUND($G963*10/23,0)-2*ROUND($G963/23,0),IF($H963=2,$G963,0)))</f>
        <v/>
      </c>
      <c r="K963" s="364" t="str">
        <f>IF($G963="","",IF($H963=1,ROUND($G963*10/23,0),IF($H963=3,$G963-2*ROUND($G963/12,0),IF($H963=4,$G963,IF(OR($H963=5,$H963=7),ROUND($G963*10/11,0),0)))))</f>
        <v/>
      </c>
      <c r="L963" s="364" t="str">
        <f>IF($G963="","",IF($H963=1,ROUND($G963/23,0),IF($H963=3,ROUND($G963/12,0),IF($H963=5,$G963-ROUND($G963*10/11,0),IF($H963=8,$G963,0)))))</f>
        <v/>
      </c>
      <c r="M963" s="364" t="str">
        <f>IF($G963="","",IF($H963=1,ROUND($G963/23,0),IF($H963=3,ROUND($G963/12,0),IF($H963=6,$G963,IF($H963=7,$G963-ROUND($G963*10/11,0),0)))))</f>
        <v/>
      </c>
      <c r="N963" s="364" t="str">
        <f>IF($G963="","",K963+L963+M963)</f>
        <v/>
      </c>
      <c r="O963" s="365" t="str">
        <f>IF($G963="","",IFERROR(VLOOKUP($D963&amp;"|"&amp;$E963,科目表!$A$5:$B$200,2,FALSE),"※未登録"))</f>
        <v/>
      </c>
      <c r="P963" s="359" t="str">
        <f>IF(OR($G963="",$C963=""),"",IF($B963="決算整理",13,MOD(MONTH($C963)-4,12)+1))</f>
        <v/>
      </c>
      <c r="Q963" s="366" t="str">
        <f>IF($G963="","",TRIM(IF(J963+K963+L963+M963&lt;&gt;$G963,"按分不一致 ","")&amp;IF(O963="※未登録","科目未登録 ","")&amp;IF(OR($H963="",ISERROR(MATCH($H963,{1,2,3,4,5,6,7,8},0))),"経費区分? ","")&amp;IF($I963="","状態未設定 ","")&amp;IF(AND(OR($I963="確認済",$I963="未確認"),$B963="月例",OR($C963="",$C963&lt;DATE(年度+2018,4,1),$C963&gt;DATE(年度+2019,3,31))),"年度外の日付 ","")&amp;IF(AND(OR($I963="確認済",$I963="未確認"),O963="対象外"),"対象外の科目 ","")))</f>
        <v/>
      </c>
      <c r="R963" s="366" t="n"/>
    </row>
    <row r="964">
      <c r="A964" s="359" t="n"/>
      <c r="B964" s="360" t="n"/>
      <c r="C964" s="361" t="n"/>
      <c r="D964" s="362" t="n"/>
      <c r="E964" s="362" t="n"/>
      <c r="F964" s="362" t="n"/>
      <c r="G964" s="363" t="n"/>
      <c r="H964" s="360" t="n"/>
      <c r="I964" s="360" t="n"/>
      <c r="J964" s="364" t="str">
        <f>IF($G964="","",IF($H964=1,$G964-ROUND($G964*10/23,0)-2*ROUND($G964/23,0),IF($H964=2,$G964,0)))</f>
        <v/>
      </c>
      <c r="K964" s="364" t="str">
        <f>IF($G964="","",IF($H964=1,ROUND($G964*10/23,0),IF($H964=3,$G964-2*ROUND($G964/12,0),IF($H964=4,$G964,IF(OR($H964=5,$H964=7),ROUND($G964*10/11,0),0)))))</f>
        <v/>
      </c>
      <c r="L964" s="364" t="str">
        <f>IF($G964="","",IF($H964=1,ROUND($G964/23,0),IF($H964=3,ROUND($G964/12,0),IF($H964=5,$G964-ROUND($G964*10/11,0),IF($H964=8,$G964,0)))))</f>
        <v/>
      </c>
      <c r="M964" s="364" t="str">
        <f>IF($G964="","",IF($H964=1,ROUND($G964/23,0),IF($H964=3,ROUND($G964/12,0),IF($H964=6,$G964,IF($H964=7,$G964-ROUND($G964*10/11,0),0)))))</f>
        <v/>
      </c>
      <c r="N964" s="364" t="str">
        <f>IF($G964="","",K964+L964+M964)</f>
        <v/>
      </c>
      <c r="O964" s="365" t="str">
        <f>IF($G964="","",IFERROR(VLOOKUP($D964&amp;"|"&amp;$E964,科目表!$A$5:$B$200,2,FALSE),"※未登録"))</f>
        <v/>
      </c>
      <c r="P964" s="359" t="str">
        <f>IF(OR($G964="",$C964=""),"",IF($B964="決算整理",13,MOD(MONTH($C964)-4,12)+1))</f>
        <v/>
      </c>
      <c r="Q964" s="366" t="str">
        <f>IF($G964="","",TRIM(IF(J964+K964+L964+M964&lt;&gt;$G964,"按分不一致 ","")&amp;IF(O964="※未登録","科目未登録 ","")&amp;IF(OR($H964="",ISERROR(MATCH($H964,{1,2,3,4,5,6,7,8},0))),"経費区分? ","")&amp;IF($I964="","状態未設定 ","")&amp;IF(AND(OR($I964="確認済",$I964="未確認"),$B964="月例",OR($C964="",$C964&lt;DATE(年度+2018,4,1),$C964&gt;DATE(年度+2019,3,31))),"年度外の日付 ","")&amp;IF(AND(OR($I964="確認済",$I964="未確認"),O964="対象外"),"対象外の科目 ","")))</f>
        <v/>
      </c>
      <c r="R964" s="366" t="n"/>
    </row>
    <row r="965">
      <c r="A965" s="359" t="n"/>
      <c r="B965" s="360" t="n"/>
      <c r="C965" s="361" t="n"/>
      <c r="D965" s="362" t="n"/>
      <c r="E965" s="362" t="n"/>
      <c r="F965" s="362" t="n"/>
      <c r="G965" s="363" t="n"/>
      <c r="H965" s="360" t="n"/>
      <c r="I965" s="360" t="n"/>
      <c r="J965" s="364" t="str">
        <f>IF($G965="","",IF($H965=1,$G965-ROUND($G965*10/23,0)-2*ROUND($G965/23,0),IF($H965=2,$G965,0)))</f>
        <v/>
      </c>
      <c r="K965" s="364" t="str">
        <f>IF($G965="","",IF($H965=1,ROUND($G965*10/23,0),IF($H965=3,$G965-2*ROUND($G965/12,0),IF($H965=4,$G965,IF(OR($H965=5,$H965=7),ROUND($G965*10/11,0),0)))))</f>
        <v/>
      </c>
      <c r="L965" s="364" t="str">
        <f>IF($G965="","",IF($H965=1,ROUND($G965/23,0),IF($H965=3,ROUND($G965/12,0),IF($H965=5,$G965-ROUND($G965*10/11,0),IF($H965=8,$G965,0)))))</f>
        <v/>
      </c>
      <c r="M965" s="364" t="str">
        <f>IF($G965="","",IF($H965=1,ROUND($G965/23,0),IF($H965=3,ROUND($G965/12,0),IF($H965=6,$G965,IF($H965=7,$G965-ROUND($G965*10/11,0),0)))))</f>
        <v/>
      </c>
      <c r="N965" s="364" t="str">
        <f>IF($G965="","",K965+L965+M965)</f>
        <v/>
      </c>
      <c r="O965" s="365" t="str">
        <f>IF($G965="","",IFERROR(VLOOKUP($D965&amp;"|"&amp;$E965,科目表!$A$5:$B$200,2,FALSE),"※未登録"))</f>
        <v/>
      </c>
      <c r="P965" s="359" t="str">
        <f>IF(OR($G965="",$C965=""),"",IF($B965="決算整理",13,MOD(MONTH($C965)-4,12)+1))</f>
        <v/>
      </c>
      <c r="Q965" s="366" t="str">
        <f>IF($G965="","",TRIM(IF(J965+K965+L965+M965&lt;&gt;$G965,"按分不一致 ","")&amp;IF(O965="※未登録","科目未登録 ","")&amp;IF(OR($H965="",ISERROR(MATCH($H965,{1,2,3,4,5,6,7,8},0))),"経費区分? ","")&amp;IF($I965="","状態未設定 ","")&amp;IF(AND(OR($I965="確認済",$I965="未確認"),$B965="月例",OR($C965="",$C965&lt;DATE(年度+2018,4,1),$C965&gt;DATE(年度+2019,3,31))),"年度外の日付 ","")&amp;IF(AND(OR($I965="確認済",$I965="未確認"),O965="対象外"),"対象外の科目 ","")))</f>
        <v/>
      </c>
      <c r="R965" s="366" t="n"/>
    </row>
    <row r="966">
      <c r="A966" s="359" t="n"/>
      <c r="B966" s="360" t="n"/>
      <c r="C966" s="361" t="n"/>
      <c r="D966" s="362" t="n"/>
      <c r="E966" s="362" t="n"/>
      <c r="F966" s="362" t="n"/>
      <c r="G966" s="363" t="n"/>
      <c r="H966" s="360" t="n"/>
      <c r="I966" s="360" t="n"/>
      <c r="J966" s="364" t="str">
        <f>IF($G966="","",IF($H966=1,$G966-ROUND($G966*10/23,0)-2*ROUND($G966/23,0),IF($H966=2,$G966,0)))</f>
        <v/>
      </c>
      <c r="K966" s="364" t="str">
        <f>IF($G966="","",IF($H966=1,ROUND($G966*10/23,0),IF($H966=3,$G966-2*ROUND($G966/12,0),IF($H966=4,$G966,IF(OR($H966=5,$H966=7),ROUND($G966*10/11,0),0)))))</f>
        <v/>
      </c>
      <c r="L966" s="364" t="str">
        <f>IF($G966="","",IF($H966=1,ROUND($G966/23,0),IF($H966=3,ROUND($G966/12,0),IF($H966=5,$G966-ROUND($G966*10/11,0),IF($H966=8,$G966,0)))))</f>
        <v/>
      </c>
      <c r="M966" s="364" t="str">
        <f>IF($G966="","",IF($H966=1,ROUND($G966/23,0),IF($H966=3,ROUND($G966/12,0),IF($H966=6,$G966,IF($H966=7,$G966-ROUND($G966*10/11,0),0)))))</f>
        <v/>
      </c>
      <c r="N966" s="364" t="str">
        <f>IF($G966="","",K966+L966+M966)</f>
        <v/>
      </c>
      <c r="O966" s="365" t="str">
        <f>IF($G966="","",IFERROR(VLOOKUP($D966&amp;"|"&amp;$E966,科目表!$A$5:$B$200,2,FALSE),"※未登録"))</f>
        <v/>
      </c>
      <c r="P966" s="359" t="str">
        <f>IF(OR($G966="",$C966=""),"",IF($B966="決算整理",13,MOD(MONTH($C966)-4,12)+1))</f>
        <v/>
      </c>
      <c r="Q966" s="366" t="str">
        <f>IF($G966="","",TRIM(IF(J966+K966+L966+M966&lt;&gt;$G966,"按分不一致 ","")&amp;IF(O966="※未登録","科目未登録 ","")&amp;IF(OR($H966="",ISERROR(MATCH($H966,{1,2,3,4,5,6,7,8},0))),"経費区分? ","")&amp;IF($I966="","状態未設定 ","")&amp;IF(AND(OR($I966="確認済",$I966="未確認"),$B966="月例",OR($C966="",$C966&lt;DATE(年度+2018,4,1),$C966&gt;DATE(年度+2019,3,31))),"年度外の日付 ","")&amp;IF(AND(OR($I966="確認済",$I966="未確認"),O966="対象外"),"対象外の科目 ","")))</f>
        <v/>
      </c>
      <c r="R966" s="366" t="n"/>
    </row>
    <row r="967">
      <c r="A967" s="359" t="n"/>
      <c r="B967" s="360" t="n"/>
      <c r="C967" s="361" t="n"/>
      <c r="D967" s="362" t="n"/>
      <c r="E967" s="362" t="n"/>
      <c r="F967" s="362" t="n"/>
      <c r="G967" s="363" t="n"/>
      <c r="H967" s="360" t="n"/>
      <c r="I967" s="360" t="n"/>
      <c r="J967" s="364" t="str">
        <f>IF($G967="","",IF($H967=1,$G967-ROUND($G967*10/23,0)-2*ROUND($G967/23,0),IF($H967=2,$G967,0)))</f>
        <v/>
      </c>
      <c r="K967" s="364" t="str">
        <f>IF($G967="","",IF($H967=1,ROUND($G967*10/23,0),IF($H967=3,$G967-2*ROUND($G967/12,0),IF($H967=4,$G967,IF(OR($H967=5,$H967=7),ROUND($G967*10/11,0),0)))))</f>
        <v/>
      </c>
      <c r="L967" s="364" t="str">
        <f>IF($G967="","",IF($H967=1,ROUND($G967/23,0),IF($H967=3,ROUND($G967/12,0),IF($H967=5,$G967-ROUND($G967*10/11,0),IF($H967=8,$G967,0)))))</f>
        <v/>
      </c>
      <c r="M967" s="364" t="str">
        <f>IF($G967="","",IF($H967=1,ROUND($G967/23,0),IF($H967=3,ROUND($G967/12,0),IF($H967=6,$G967,IF($H967=7,$G967-ROUND($G967*10/11,0),0)))))</f>
        <v/>
      </c>
      <c r="N967" s="364" t="str">
        <f>IF($G967="","",K967+L967+M967)</f>
        <v/>
      </c>
      <c r="O967" s="365" t="str">
        <f>IF($G967="","",IFERROR(VLOOKUP($D967&amp;"|"&amp;$E967,科目表!$A$5:$B$200,2,FALSE),"※未登録"))</f>
        <v/>
      </c>
      <c r="P967" s="359" t="str">
        <f>IF(OR($G967="",$C967=""),"",IF($B967="決算整理",13,MOD(MONTH($C967)-4,12)+1))</f>
        <v/>
      </c>
      <c r="Q967" s="366" t="str">
        <f>IF($G967="","",TRIM(IF(J967+K967+L967+M967&lt;&gt;$G967,"按分不一致 ","")&amp;IF(O967="※未登録","科目未登録 ","")&amp;IF(OR($H967="",ISERROR(MATCH($H967,{1,2,3,4,5,6,7,8},0))),"経費区分? ","")&amp;IF($I967="","状態未設定 ","")&amp;IF(AND(OR($I967="確認済",$I967="未確認"),$B967="月例",OR($C967="",$C967&lt;DATE(年度+2018,4,1),$C967&gt;DATE(年度+2019,3,31))),"年度外の日付 ","")&amp;IF(AND(OR($I967="確認済",$I967="未確認"),O967="対象外"),"対象外の科目 ","")))</f>
        <v/>
      </c>
      <c r="R967" s="366" t="n"/>
    </row>
    <row r="968">
      <c r="A968" s="359" t="n"/>
      <c r="B968" s="360" t="n"/>
      <c r="C968" s="361" t="n"/>
      <c r="D968" s="362" t="n"/>
      <c r="E968" s="362" t="n"/>
      <c r="F968" s="362" t="n"/>
      <c r="G968" s="363" t="n"/>
      <c r="H968" s="360" t="n"/>
      <c r="I968" s="360" t="n"/>
      <c r="J968" s="364" t="str">
        <f>IF($G968="","",IF($H968=1,$G968-ROUND($G968*10/23,0)-2*ROUND($G968/23,0),IF($H968=2,$G968,0)))</f>
        <v/>
      </c>
      <c r="K968" s="364" t="str">
        <f>IF($G968="","",IF($H968=1,ROUND($G968*10/23,0),IF($H968=3,$G968-2*ROUND($G968/12,0),IF($H968=4,$G968,IF(OR($H968=5,$H968=7),ROUND($G968*10/11,0),0)))))</f>
        <v/>
      </c>
      <c r="L968" s="364" t="str">
        <f>IF($G968="","",IF($H968=1,ROUND($G968/23,0),IF($H968=3,ROUND($G968/12,0),IF($H968=5,$G968-ROUND($G968*10/11,0),IF($H968=8,$G968,0)))))</f>
        <v/>
      </c>
      <c r="M968" s="364" t="str">
        <f>IF($G968="","",IF($H968=1,ROUND($G968/23,0),IF($H968=3,ROUND($G968/12,0),IF($H968=6,$G968,IF($H968=7,$G968-ROUND($G968*10/11,0),0)))))</f>
        <v/>
      </c>
      <c r="N968" s="364" t="str">
        <f>IF($G968="","",K968+L968+M968)</f>
        <v/>
      </c>
      <c r="O968" s="365" t="str">
        <f>IF($G968="","",IFERROR(VLOOKUP($D968&amp;"|"&amp;$E968,科目表!$A$5:$B$200,2,FALSE),"※未登録"))</f>
        <v/>
      </c>
      <c r="P968" s="359" t="str">
        <f>IF(OR($G968="",$C968=""),"",IF($B968="決算整理",13,MOD(MONTH($C968)-4,12)+1))</f>
        <v/>
      </c>
      <c r="Q968" s="366" t="str">
        <f>IF($G968="","",TRIM(IF(J968+K968+L968+M968&lt;&gt;$G968,"按分不一致 ","")&amp;IF(O968="※未登録","科目未登録 ","")&amp;IF(OR($H968="",ISERROR(MATCH($H968,{1,2,3,4,5,6,7,8},0))),"経費区分? ","")&amp;IF($I968="","状態未設定 ","")&amp;IF(AND(OR($I968="確認済",$I968="未確認"),$B968="月例",OR($C968="",$C968&lt;DATE(年度+2018,4,1),$C968&gt;DATE(年度+2019,3,31))),"年度外の日付 ","")&amp;IF(AND(OR($I968="確認済",$I968="未確認"),O968="対象外"),"対象外の科目 ","")))</f>
        <v/>
      </c>
      <c r="R968" s="366" t="n"/>
    </row>
    <row r="969">
      <c r="A969" s="359" t="n"/>
      <c r="B969" s="360" t="n"/>
      <c r="C969" s="361" t="n"/>
      <c r="D969" s="362" t="n"/>
      <c r="E969" s="362" t="n"/>
      <c r="F969" s="362" t="n"/>
      <c r="G969" s="363" t="n"/>
      <c r="H969" s="360" t="n"/>
      <c r="I969" s="360" t="n"/>
      <c r="J969" s="364" t="str">
        <f>IF($G969="","",IF($H969=1,$G969-ROUND($G969*10/23,0)-2*ROUND($G969/23,0),IF($H969=2,$G969,0)))</f>
        <v/>
      </c>
      <c r="K969" s="364" t="str">
        <f>IF($G969="","",IF($H969=1,ROUND($G969*10/23,0),IF($H969=3,$G969-2*ROUND($G969/12,0),IF($H969=4,$G969,IF(OR($H969=5,$H969=7),ROUND($G969*10/11,0),0)))))</f>
        <v/>
      </c>
      <c r="L969" s="364" t="str">
        <f>IF($G969="","",IF($H969=1,ROUND($G969/23,0),IF($H969=3,ROUND($G969/12,0),IF($H969=5,$G969-ROUND($G969*10/11,0),IF($H969=8,$G969,0)))))</f>
        <v/>
      </c>
      <c r="M969" s="364" t="str">
        <f>IF($G969="","",IF($H969=1,ROUND($G969/23,0),IF($H969=3,ROUND($G969/12,0),IF($H969=6,$G969,IF($H969=7,$G969-ROUND($G969*10/11,0),0)))))</f>
        <v/>
      </c>
      <c r="N969" s="364" t="str">
        <f>IF($G969="","",K969+L969+M969)</f>
        <v/>
      </c>
      <c r="O969" s="365" t="str">
        <f>IF($G969="","",IFERROR(VLOOKUP($D969&amp;"|"&amp;$E969,科目表!$A$5:$B$200,2,FALSE),"※未登録"))</f>
        <v/>
      </c>
      <c r="P969" s="359" t="str">
        <f>IF(OR($G969="",$C969=""),"",IF($B969="決算整理",13,MOD(MONTH($C969)-4,12)+1))</f>
        <v/>
      </c>
      <c r="Q969" s="366" t="str">
        <f>IF($G969="","",TRIM(IF(J969+K969+L969+M969&lt;&gt;$G969,"按分不一致 ","")&amp;IF(O969="※未登録","科目未登録 ","")&amp;IF(OR($H969="",ISERROR(MATCH($H969,{1,2,3,4,5,6,7,8},0))),"経費区分? ","")&amp;IF($I969="","状態未設定 ","")&amp;IF(AND(OR($I969="確認済",$I969="未確認"),$B969="月例",OR($C969="",$C969&lt;DATE(年度+2018,4,1),$C969&gt;DATE(年度+2019,3,31))),"年度外の日付 ","")&amp;IF(AND(OR($I969="確認済",$I969="未確認"),O969="対象外"),"対象外の科目 ","")))</f>
        <v/>
      </c>
      <c r="R969" s="366" t="n"/>
    </row>
    <row r="970">
      <c r="A970" s="359" t="n"/>
      <c r="B970" s="360" t="n"/>
      <c r="C970" s="361" t="n"/>
      <c r="D970" s="362" t="n"/>
      <c r="E970" s="362" t="n"/>
      <c r="F970" s="362" t="n"/>
      <c r="G970" s="363" t="n"/>
      <c r="H970" s="360" t="n"/>
      <c r="I970" s="360" t="n"/>
      <c r="J970" s="364" t="str">
        <f>IF($G970="","",IF($H970=1,$G970-ROUND($G970*10/23,0)-2*ROUND($G970/23,0),IF($H970=2,$G970,0)))</f>
        <v/>
      </c>
      <c r="K970" s="364" t="str">
        <f>IF($G970="","",IF($H970=1,ROUND($G970*10/23,0),IF($H970=3,$G970-2*ROUND($G970/12,0),IF($H970=4,$G970,IF(OR($H970=5,$H970=7),ROUND($G970*10/11,0),0)))))</f>
        <v/>
      </c>
      <c r="L970" s="364" t="str">
        <f>IF($G970="","",IF($H970=1,ROUND($G970/23,0),IF($H970=3,ROUND($G970/12,0),IF($H970=5,$G970-ROUND($G970*10/11,0),IF($H970=8,$G970,0)))))</f>
        <v/>
      </c>
      <c r="M970" s="364" t="str">
        <f>IF($G970="","",IF($H970=1,ROUND($G970/23,0),IF($H970=3,ROUND($G970/12,0),IF($H970=6,$G970,IF($H970=7,$G970-ROUND($G970*10/11,0),0)))))</f>
        <v/>
      </c>
      <c r="N970" s="364" t="str">
        <f>IF($G970="","",K970+L970+M970)</f>
        <v/>
      </c>
      <c r="O970" s="365" t="str">
        <f>IF($G970="","",IFERROR(VLOOKUP($D970&amp;"|"&amp;$E970,科目表!$A$5:$B$200,2,FALSE),"※未登録"))</f>
        <v/>
      </c>
      <c r="P970" s="359" t="str">
        <f>IF(OR($G970="",$C970=""),"",IF($B970="決算整理",13,MOD(MONTH($C970)-4,12)+1))</f>
        <v/>
      </c>
      <c r="Q970" s="366" t="str">
        <f>IF($G970="","",TRIM(IF(J970+K970+L970+M970&lt;&gt;$G970,"按分不一致 ","")&amp;IF(O970="※未登録","科目未登録 ","")&amp;IF(OR($H970="",ISERROR(MATCH($H970,{1,2,3,4,5,6,7,8},0))),"経費区分? ","")&amp;IF($I970="","状態未設定 ","")&amp;IF(AND(OR($I970="確認済",$I970="未確認"),$B970="月例",OR($C970="",$C970&lt;DATE(年度+2018,4,1),$C970&gt;DATE(年度+2019,3,31))),"年度外の日付 ","")&amp;IF(AND(OR($I970="確認済",$I970="未確認"),O970="対象外"),"対象外の科目 ","")))</f>
        <v/>
      </c>
      <c r="R970" s="366" t="n"/>
    </row>
    <row r="971">
      <c r="A971" s="359" t="n"/>
      <c r="B971" s="360" t="n"/>
      <c r="C971" s="361" t="n"/>
      <c r="D971" s="362" t="n"/>
      <c r="E971" s="362" t="n"/>
      <c r="F971" s="362" t="n"/>
      <c r="G971" s="363" t="n"/>
      <c r="H971" s="360" t="n"/>
      <c r="I971" s="360" t="n"/>
      <c r="J971" s="364" t="str">
        <f>IF($G971="","",IF($H971=1,$G971-ROUND($G971*10/23,0)-2*ROUND($G971/23,0),IF($H971=2,$G971,0)))</f>
        <v/>
      </c>
      <c r="K971" s="364" t="str">
        <f>IF($G971="","",IF($H971=1,ROUND($G971*10/23,0),IF($H971=3,$G971-2*ROUND($G971/12,0),IF($H971=4,$G971,IF(OR($H971=5,$H971=7),ROUND($G971*10/11,0),0)))))</f>
        <v/>
      </c>
      <c r="L971" s="364" t="str">
        <f>IF($G971="","",IF($H971=1,ROUND($G971/23,0),IF($H971=3,ROUND($G971/12,0),IF($H971=5,$G971-ROUND($G971*10/11,0),IF($H971=8,$G971,0)))))</f>
        <v/>
      </c>
      <c r="M971" s="364" t="str">
        <f>IF($G971="","",IF($H971=1,ROUND($G971/23,0),IF($H971=3,ROUND($G971/12,0),IF($H971=6,$G971,IF($H971=7,$G971-ROUND($G971*10/11,0),0)))))</f>
        <v/>
      </c>
      <c r="N971" s="364" t="str">
        <f>IF($G971="","",K971+L971+M971)</f>
        <v/>
      </c>
      <c r="O971" s="365" t="str">
        <f>IF($G971="","",IFERROR(VLOOKUP($D971&amp;"|"&amp;$E971,科目表!$A$5:$B$200,2,FALSE),"※未登録"))</f>
        <v/>
      </c>
      <c r="P971" s="359" t="str">
        <f>IF(OR($G971="",$C971=""),"",IF($B971="決算整理",13,MOD(MONTH($C971)-4,12)+1))</f>
        <v/>
      </c>
      <c r="Q971" s="366" t="str">
        <f>IF($G971="","",TRIM(IF(J971+K971+L971+M971&lt;&gt;$G971,"按分不一致 ","")&amp;IF(O971="※未登録","科目未登録 ","")&amp;IF(OR($H971="",ISERROR(MATCH($H971,{1,2,3,4,5,6,7,8},0))),"経費区分? ","")&amp;IF($I971="","状態未設定 ","")&amp;IF(AND(OR($I971="確認済",$I971="未確認"),$B971="月例",OR($C971="",$C971&lt;DATE(年度+2018,4,1),$C971&gt;DATE(年度+2019,3,31))),"年度外の日付 ","")&amp;IF(AND(OR($I971="確認済",$I971="未確認"),O971="対象外"),"対象外の科目 ","")))</f>
        <v/>
      </c>
      <c r="R971" s="366" t="n"/>
    </row>
    <row r="972">
      <c r="A972" s="359" t="n"/>
      <c r="B972" s="360" t="n"/>
      <c r="C972" s="361" t="n"/>
      <c r="D972" s="362" t="n"/>
      <c r="E972" s="362" t="n"/>
      <c r="F972" s="362" t="n"/>
      <c r="G972" s="363" t="n"/>
      <c r="H972" s="360" t="n"/>
      <c r="I972" s="360" t="n"/>
      <c r="J972" s="364" t="str">
        <f>IF($G972="","",IF($H972=1,$G972-ROUND($G972*10/23,0)-2*ROUND($G972/23,0),IF($H972=2,$G972,0)))</f>
        <v/>
      </c>
      <c r="K972" s="364" t="str">
        <f>IF($G972="","",IF($H972=1,ROUND($G972*10/23,0),IF($H972=3,$G972-2*ROUND($G972/12,0),IF($H972=4,$G972,IF(OR($H972=5,$H972=7),ROUND($G972*10/11,0),0)))))</f>
        <v/>
      </c>
      <c r="L972" s="364" t="str">
        <f>IF($G972="","",IF($H972=1,ROUND($G972/23,0),IF($H972=3,ROUND($G972/12,0),IF($H972=5,$G972-ROUND($G972*10/11,0),IF($H972=8,$G972,0)))))</f>
        <v/>
      </c>
      <c r="M972" s="364" t="str">
        <f>IF($G972="","",IF($H972=1,ROUND($G972/23,0),IF($H972=3,ROUND($G972/12,0),IF($H972=6,$G972,IF($H972=7,$G972-ROUND($G972*10/11,0),0)))))</f>
        <v/>
      </c>
      <c r="N972" s="364" t="str">
        <f>IF($G972="","",K972+L972+M972)</f>
        <v/>
      </c>
      <c r="O972" s="365" t="str">
        <f>IF($G972="","",IFERROR(VLOOKUP($D972&amp;"|"&amp;$E972,科目表!$A$5:$B$200,2,FALSE),"※未登録"))</f>
        <v/>
      </c>
      <c r="P972" s="359" t="str">
        <f>IF(OR($G972="",$C972=""),"",IF($B972="決算整理",13,MOD(MONTH($C972)-4,12)+1))</f>
        <v/>
      </c>
      <c r="Q972" s="366" t="str">
        <f>IF($G972="","",TRIM(IF(J972+K972+L972+M972&lt;&gt;$G972,"按分不一致 ","")&amp;IF(O972="※未登録","科目未登録 ","")&amp;IF(OR($H972="",ISERROR(MATCH($H972,{1,2,3,4,5,6,7,8},0))),"経費区分? ","")&amp;IF($I972="","状態未設定 ","")&amp;IF(AND(OR($I972="確認済",$I972="未確認"),$B972="月例",OR($C972="",$C972&lt;DATE(年度+2018,4,1),$C972&gt;DATE(年度+2019,3,31))),"年度外の日付 ","")&amp;IF(AND(OR($I972="確認済",$I972="未確認"),O972="対象外"),"対象外の科目 ","")))</f>
        <v/>
      </c>
      <c r="R972" s="366" t="n"/>
    </row>
    <row r="973">
      <c r="A973" s="359" t="n"/>
      <c r="B973" s="360" t="n"/>
      <c r="C973" s="361" t="n"/>
      <c r="D973" s="362" t="n"/>
      <c r="E973" s="362" t="n"/>
      <c r="F973" s="362" t="n"/>
      <c r="G973" s="363" t="n"/>
      <c r="H973" s="360" t="n"/>
      <c r="I973" s="360" t="n"/>
      <c r="J973" s="364" t="str">
        <f>IF($G973="","",IF($H973=1,$G973-ROUND($G973*10/23,0)-2*ROUND($G973/23,0),IF($H973=2,$G973,0)))</f>
        <v/>
      </c>
      <c r="K973" s="364" t="str">
        <f>IF($G973="","",IF($H973=1,ROUND($G973*10/23,0),IF($H973=3,$G973-2*ROUND($G973/12,0),IF($H973=4,$G973,IF(OR($H973=5,$H973=7),ROUND($G973*10/11,0),0)))))</f>
        <v/>
      </c>
      <c r="L973" s="364" t="str">
        <f>IF($G973="","",IF($H973=1,ROUND($G973/23,0),IF($H973=3,ROUND($G973/12,0),IF($H973=5,$G973-ROUND($G973*10/11,0),IF($H973=8,$G973,0)))))</f>
        <v/>
      </c>
      <c r="M973" s="364" t="str">
        <f>IF($G973="","",IF($H973=1,ROUND($G973/23,0),IF($H973=3,ROUND($G973/12,0),IF($H973=6,$G973,IF($H973=7,$G973-ROUND($G973*10/11,0),0)))))</f>
        <v/>
      </c>
      <c r="N973" s="364" t="str">
        <f>IF($G973="","",K973+L973+M973)</f>
        <v/>
      </c>
      <c r="O973" s="365" t="str">
        <f>IF($G973="","",IFERROR(VLOOKUP($D973&amp;"|"&amp;$E973,科目表!$A$5:$B$200,2,FALSE),"※未登録"))</f>
        <v/>
      </c>
      <c r="P973" s="359" t="str">
        <f>IF(OR($G973="",$C973=""),"",IF($B973="決算整理",13,MOD(MONTH($C973)-4,12)+1))</f>
        <v/>
      </c>
      <c r="Q973" s="366" t="str">
        <f>IF($G973="","",TRIM(IF(J973+K973+L973+M973&lt;&gt;$G973,"按分不一致 ","")&amp;IF(O973="※未登録","科目未登録 ","")&amp;IF(OR($H973="",ISERROR(MATCH($H973,{1,2,3,4,5,6,7,8},0))),"経費区分? ","")&amp;IF($I973="","状態未設定 ","")&amp;IF(AND(OR($I973="確認済",$I973="未確認"),$B973="月例",OR($C973="",$C973&lt;DATE(年度+2018,4,1),$C973&gt;DATE(年度+2019,3,31))),"年度外の日付 ","")&amp;IF(AND(OR($I973="確認済",$I973="未確認"),O973="対象外"),"対象外の科目 ","")))</f>
        <v/>
      </c>
      <c r="R973" s="366" t="n"/>
    </row>
    <row r="974">
      <c r="A974" s="359" t="n"/>
      <c r="B974" s="360" t="n"/>
      <c r="C974" s="361" t="n"/>
      <c r="D974" s="362" t="n"/>
      <c r="E974" s="362" t="n"/>
      <c r="F974" s="362" t="n"/>
      <c r="G974" s="363" t="n"/>
      <c r="H974" s="360" t="n"/>
      <c r="I974" s="360" t="n"/>
      <c r="J974" s="364" t="str">
        <f>IF($G974="","",IF($H974=1,$G974-ROUND($G974*10/23,0)-2*ROUND($G974/23,0),IF($H974=2,$G974,0)))</f>
        <v/>
      </c>
      <c r="K974" s="364" t="str">
        <f>IF($G974="","",IF($H974=1,ROUND($G974*10/23,0),IF($H974=3,$G974-2*ROUND($G974/12,0),IF($H974=4,$G974,IF(OR($H974=5,$H974=7),ROUND($G974*10/11,0),0)))))</f>
        <v/>
      </c>
      <c r="L974" s="364" t="str">
        <f>IF($G974="","",IF($H974=1,ROUND($G974/23,0),IF($H974=3,ROUND($G974/12,0),IF($H974=5,$G974-ROUND($G974*10/11,0),IF($H974=8,$G974,0)))))</f>
        <v/>
      </c>
      <c r="M974" s="364" t="str">
        <f>IF($G974="","",IF($H974=1,ROUND($G974/23,0),IF($H974=3,ROUND($G974/12,0),IF($H974=6,$G974,IF($H974=7,$G974-ROUND($G974*10/11,0),0)))))</f>
        <v/>
      </c>
      <c r="N974" s="364" t="str">
        <f>IF($G974="","",K974+L974+M974)</f>
        <v/>
      </c>
      <c r="O974" s="365" t="str">
        <f>IF($G974="","",IFERROR(VLOOKUP($D974&amp;"|"&amp;$E974,科目表!$A$5:$B$200,2,FALSE),"※未登録"))</f>
        <v/>
      </c>
      <c r="P974" s="359" t="str">
        <f>IF(OR($G974="",$C974=""),"",IF($B974="決算整理",13,MOD(MONTH($C974)-4,12)+1))</f>
        <v/>
      </c>
      <c r="Q974" s="366" t="str">
        <f>IF($G974="","",TRIM(IF(J974+K974+L974+M974&lt;&gt;$G974,"按分不一致 ","")&amp;IF(O974="※未登録","科目未登録 ","")&amp;IF(OR($H974="",ISERROR(MATCH($H974,{1,2,3,4,5,6,7,8},0))),"経費区分? ","")&amp;IF($I974="","状態未設定 ","")&amp;IF(AND(OR($I974="確認済",$I974="未確認"),$B974="月例",OR($C974="",$C974&lt;DATE(年度+2018,4,1),$C974&gt;DATE(年度+2019,3,31))),"年度外の日付 ","")&amp;IF(AND(OR($I974="確認済",$I974="未確認"),O974="対象外"),"対象外の科目 ","")))</f>
        <v/>
      </c>
      <c r="R974" s="366" t="n"/>
    </row>
    <row r="975">
      <c r="A975" s="359" t="n"/>
      <c r="B975" s="360" t="n"/>
      <c r="C975" s="361" t="n"/>
      <c r="D975" s="362" t="n"/>
      <c r="E975" s="362" t="n"/>
      <c r="F975" s="362" t="n"/>
      <c r="G975" s="363" t="n"/>
      <c r="H975" s="360" t="n"/>
      <c r="I975" s="360" t="n"/>
      <c r="J975" s="364" t="str">
        <f>IF($G975="","",IF($H975=1,$G975-ROUND($G975*10/23,0)-2*ROUND($G975/23,0),IF($H975=2,$G975,0)))</f>
        <v/>
      </c>
      <c r="K975" s="364" t="str">
        <f>IF($G975="","",IF($H975=1,ROUND($G975*10/23,0),IF($H975=3,$G975-2*ROUND($G975/12,0),IF($H975=4,$G975,IF(OR($H975=5,$H975=7),ROUND($G975*10/11,0),0)))))</f>
        <v/>
      </c>
      <c r="L975" s="364" t="str">
        <f>IF($G975="","",IF($H975=1,ROUND($G975/23,0),IF($H975=3,ROUND($G975/12,0),IF($H975=5,$G975-ROUND($G975*10/11,0),IF($H975=8,$G975,0)))))</f>
        <v/>
      </c>
      <c r="M975" s="364" t="str">
        <f>IF($G975="","",IF($H975=1,ROUND($G975/23,0),IF($H975=3,ROUND($G975/12,0),IF($H975=6,$G975,IF($H975=7,$G975-ROUND($G975*10/11,0),0)))))</f>
        <v/>
      </c>
      <c r="N975" s="364" t="str">
        <f>IF($G975="","",K975+L975+M975)</f>
        <v/>
      </c>
      <c r="O975" s="365" t="str">
        <f>IF($G975="","",IFERROR(VLOOKUP($D975&amp;"|"&amp;$E975,科目表!$A$5:$B$200,2,FALSE),"※未登録"))</f>
        <v/>
      </c>
      <c r="P975" s="359" t="str">
        <f>IF(OR($G975="",$C975=""),"",IF($B975="決算整理",13,MOD(MONTH($C975)-4,12)+1))</f>
        <v/>
      </c>
      <c r="Q975" s="366" t="str">
        <f>IF($G975="","",TRIM(IF(J975+K975+L975+M975&lt;&gt;$G975,"按分不一致 ","")&amp;IF(O975="※未登録","科目未登録 ","")&amp;IF(OR($H975="",ISERROR(MATCH($H975,{1,2,3,4,5,6,7,8},0))),"経費区分? ","")&amp;IF($I975="","状態未設定 ","")&amp;IF(AND(OR($I975="確認済",$I975="未確認"),$B975="月例",OR($C975="",$C975&lt;DATE(年度+2018,4,1),$C975&gt;DATE(年度+2019,3,31))),"年度外の日付 ","")&amp;IF(AND(OR($I975="確認済",$I975="未確認"),O975="対象外"),"対象外の科目 ","")))</f>
        <v/>
      </c>
      <c r="R975" s="366" t="n"/>
    </row>
    <row r="976">
      <c r="A976" s="359" t="n"/>
      <c r="B976" s="360" t="n"/>
      <c r="C976" s="361" t="n"/>
      <c r="D976" s="362" t="n"/>
      <c r="E976" s="362" t="n"/>
      <c r="F976" s="362" t="n"/>
      <c r="G976" s="363" t="n"/>
      <c r="H976" s="360" t="n"/>
      <c r="I976" s="360" t="n"/>
      <c r="J976" s="364" t="str">
        <f>IF($G976="","",IF($H976=1,$G976-ROUND($G976*10/23,0)-2*ROUND($G976/23,0),IF($H976=2,$G976,0)))</f>
        <v/>
      </c>
      <c r="K976" s="364" t="str">
        <f>IF($G976="","",IF($H976=1,ROUND($G976*10/23,0),IF($H976=3,$G976-2*ROUND($G976/12,0),IF($H976=4,$G976,IF(OR($H976=5,$H976=7),ROUND($G976*10/11,0),0)))))</f>
        <v/>
      </c>
      <c r="L976" s="364" t="str">
        <f>IF($G976="","",IF($H976=1,ROUND($G976/23,0),IF($H976=3,ROUND($G976/12,0),IF($H976=5,$G976-ROUND($G976*10/11,0),IF($H976=8,$G976,0)))))</f>
        <v/>
      </c>
      <c r="M976" s="364" t="str">
        <f>IF($G976="","",IF($H976=1,ROUND($G976/23,0),IF($H976=3,ROUND($G976/12,0),IF($H976=6,$G976,IF($H976=7,$G976-ROUND($G976*10/11,0),0)))))</f>
        <v/>
      </c>
      <c r="N976" s="364" t="str">
        <f>IF($G976="","",K976+L976+M976)</f>
        <v/>
      </c>
      <c r="O976" s="365" t="str">
        <f>IF($G976="","",IFERROR(VLOOKUP($D976&amp;"|"&amp;$E976,科目表!$A$5:$B$200,2,FALSE),"※未登録"))</f>
        <v/>
      </c>
      <c r="P976" s="359" t="str">
        <f>IF(OR($G976="",$C976=""),"",IF($B976="決算整理",13,MOD(MONTH($C976)-4,12)+1))</f>
        <v/>
      </c>
      <c r="Q976" s="366" t="str">
        <f>IF($G976="","",TRIM(IF(J976+K976+L976+M976&lt;&gt;$G976,"按分不一致 ","")&amp;IF(O976="※未登録","科目未登録 ","")&amp;IF(OR($H976="",ISERROR(MATCH($H976,{1,2,3,4,5,6,7,8},0))),"経費区分? ","")&amp;IF($I976="","状態未設定 ","")&amp;IF(AND(OR($I976="確認済",$I976="未確認"),$B976="月例",OR($C976="",$C976&lt;DATE(年度+2018,4,1),$C976&gt;DATE(年度+2019,3,31))),"年度外の日付 ","")&amp;IF(AND(OR($I976="確認済",$I976="未確認"),O976="対象外"),"対象外の科目 ","")))</f>
        <v/>
      </c>
      <c r="R976" s="366" t="n"/>
    </row>
    <row r="977">
      <c r="A977" s="359" t="n"/>
      <c r="B977" s="360" t="n"/>
      <c r="C977" s="361" t="n"/>
      <c r="D977" s="362" t="n"/>
      <c r="E977" s="362" t="n"/>
      <c r="F977" s="362" t="n"/>
      <c r="G977" s="363" t="n"/>
      <c r="H977" s="360" t="n"/>
      <c r="I977" s="360" t="n"/>
      <c r="J977" s="364" t="str">
        <f>IF($G977="","",IF($H977=1,$G977-ROUND($G977*10/23,0)-2*ROUND($G977/23,0),IF($H977=2,$G977,0)))</f>
        <v/>
      </c>
      <c r="K977" s="364" t="str">
        <f>IF($G977="","",IF($H977=1,ROUND($G977*10/23,0),IF($H977=3,$G977-2*ROUND($G977/12,0),IF($H977=4,$G977,IF(OR($H977=5,$H977=7),ROUND($G977*10/11,0),0)))))</f>
        <v/>
      </c>
      <c r="L977" s="364" t="str">
        <f>IF($G977="","",IF($H977=1,ROUND($G977/23,0),IF($H977=3,ROUND($G977/12,0),IF($H977=5,$G977-ROUND($G977*10/11,0),IF($H977=8,$G977,0)))))</f>
        <v/>
      </c>
      <c r="M977" s="364" t="str">
        <f>IF($G977="","",IF($H977=1,ROUND($G977/23,0),IF($H977=3,ROUND($G977/12,0),IF($H977=6,$G977,IF($H977=7,$G977-ROUND($G977*10/11,0),0)))))</f>
        <v/>
      </c>
      <c r="N977" s="364" t="str">
        <f>IF($G977="","",K977+L977+M977)</f>
        <v/>
      </c>
      <c r="O977" s="365" t="str">
        <f>IF($G977="","",IFERROR(VLOOKUP($D977&amp;"|"&amp;$E977,科目表!$A$5:$B$200,2,FALSE),"※未登録"))</f>
        <v/>
      </c>
      <c r="P977" s="359" t="str">
        <f>IF(OR($G977="",$C977=""),"",IF($B977="決算整理",13,MOD(MONTH($C977)-4,12)+1))</f>
        <v/>
      </c>
      <c r="Q977" s="366" t="str">
        <f>IF($G977="","",TRIM(IF(J977+K977+L977+M977&lt;&gt;$G977,"按分不一致 ","")&amp;IF(O977="※未登録","科目未登録 ","")&amp;IF(OR($H977="",ISERROR(MATCH($H977,{1,2,3,4,5,6,7,8},0))),"経費区分? ","")&amp;IF($I977="","状態未設定 ","")&amp;IF(AND(OR($I977="確認済",$I977="未確認"),$B977="月例",OR($C977="",$C977&lt;DATE(年度+2018,4,1),$C977&gt;DATE(年度+2019,3,31))),"年度外の日付 ","")&amp;IF(AND(OR($I977="確認済",$I977="未確認"),O977="対象外"),"対象外の科目 ","")))</f>
        <v/>
      </c>
      <c r="R977" s="366" t="n"/>
    </row>
    <row r="978">
      <c r="A978" s="359" t="n"/>
      <c r="B978" s="360" t="n"/>
      <c r="C978" s="361" t="n"/>
      <c r="D978" s="362" t="n"/>
      <c r="E978" s="362" t="n"/>
      <c r="F978" s="362" t="n"/>
      <c r="G978" s="363" t="n"/>
      <c r="H978" s="360" t="n"/>
      <c r="I978" s="360" t="n"/>
      <c r="J978" s="364" t="str">
        <f>IF($G978="","",IF($H978=1,$G978-ROUND($G978*10/23,0)-2*ROUND($G978/23,0),IF($H978=2,$G978,0)))</f>
        <v/>
      </c>
      <c r="K978" s="364" t="str">
        <f>IF($G978="","",IF($H978=1,ROUND($G978*10/23,0),IF($H978=3,$G978-2*ROUND($G978/12,0),IF($H978=4,$G978,IF(OR($H978=5,$H978=7),ROUND($G978*10/11,0),0)))))</f>
        <v/>
      </c>
      <c r="L978" s="364" t="str">
        <f>IF($G978="","",IF($H978=1,ROUND($G978/23,0),IF($H978=3,ROUND($G978/12,0),IF($H978=5,$G978-ROUND($G978*10/11,0),IF($H978=8,$G978,0)))))</f>
        <v/>
      </c>
      <c r="M978" s="364" t="str">
        <f>IF($G978="","",IF($H978=1,ROUND($G978/23,0),IF($H978=3,ROUND($G978/12,0),IF($H978=6,$G978,IF($H978=7,$G978-ROUND($G978*10/11,0),0)))))</f>
        <v/>
      </c>
      <c r="N978" s="364" t="str">
        <f>IF($G978="","",K978+L978+M978)</f>
        <v/>
      </c>
      <c r="O978" s="365" t="str">
        <f>IF($G978="","",IFERROR(VLOOKUP($D978&amp;"|"&amp;$E978,科目表!$A$5:$B$200,2,FALSE),"※未登録"))</f>
        <v/>
      </c>
      <c r="P978" s="359" t="str">
        <f>IF(OR($G978="",$C978=""),"",IF($B978="決算整理",13,MOD(MONTH($C978)-4,12)+1))</f>
        <v/>
      </c>
      <c r="Q978" s="366" t="str">
        <f>IF($G978="","",TRIM(IF(J978+K978+L978+M978&lt;&gt;$G978,"按分不一致 ","")&amp;IF(O978="※未登録","科目未登録 ","")&amp;IF(OR($H978="",ISERROR(MATCH($H978,{1,2,3,4,5,6,7,8},0))),"経費区分? ","")&amp;IF($I978="","状態未設定 ","")&amp;IF(AND(OR($I978="確認済",$I978="未確認"),$B978="月例",OR($C978="",$C978&lt;DATE(年度+2018,4,1),$C978&gt;DATE(年度+2019,3,31))),"年度外の日付 ","")&amp;IF(AND(OR($I978="確認済",$I978="未確認"),O978="対象外"),"対象外の科目 ","")))</f>
        <v/>
      </c>
      <c r="R978" s="366" t="n"/>
    </row>
    <row r="979">
      <c r="A979" s="359" t="n"/>
      <c r="B979" s="360" t="n"/>
      <c r="C979" s="361" t="n"/>
      <c r="D979" s="362" t="n"/>
      <c r="E979" s="362" t="n"/>
      <c r="F979" s="362" t="n"/>
      <c r="G979" s="363" t="n"/>
      <c r="H979" s="360" t="n"/>
      <c r="I979" s="360" t="n"/>
      <c r="J979" s="364" t="str">
        <f>IF($G979="","",IF($H979=1,$G979-ROUND($G979*10/23,0)-2*ROUND($G979/23,0),IF($H979=2,$G979,0)))</f>
        <v/>
      </c>
      <c r="K979" s="364" t="str">
        <f>IF($G979="","",IF($H979=1,ROUND($G979*10/23,0),IF($H979=3,$G979-2*ROUND($G979/12,0),IF($H979=4,$G979,IF(OR($H979=5,$H979=7),ROUND($G979*10/11,0),0)))))</f>
        <v/>
      </c>
      <c r="L979" s="364" t="str">
        <f>IF($G979="","",IF($H979=1,ROUND($G979/23,0),IF($H979=3,ROUND($G979/12,0),IF($H979=5,$G979-ROUND($G979*10/11,0),IF($H979=8,$G979,0)))))</f>
        <v/>
      </c>
      <c r="M979" s="364" t="str">
        <f>IF($G979="","",IF($H979=1,ROUND($G979/23,0),IF($H979=3,ROUND($G979/12,0),IF($H979=6,$G979,IF($H979=7,$G979-ROUND($G979*10/11,0),0)))))</f>
        <v/>
      </c>
      <c r="N979" s="364" t="str">
        <f>IF($G979="","",K979+L979+M979)</f>
        <v/>
      </c>
      <c r="O979" s="365" t="str">
        <f>IF($G979="","",IFERROR(VLOOKUP($D979&amp;"|"&amp;$E979,科目表!$A$5:$B$200,2,FALSE),"※未登録"))</f>
        <v/>
      </c>
      <c r="P979" s="359" t="str">
        <f>IF(OR($G979="",$C979=""),"",IF($B979="決算整理",13,MOD(MONTH($C979)-4,12)+1))</f>
        <v/>
      </c>
      <c r="Q979" s="366" t="str">
        <f>IF($G979="","",TRIM(IF(J979+K979+L979+M979&lt;&gt;$G979,"按分不一致 ","")&amp;IF(O979="※未登録","科目未登録 ","")&amp;IF(OR($H979="",ISERROR(MATCH($H979,{1,2,3,4,5,6,7,8},0))),"経費区分? ","")&amp;IF($I979="","状態未設定 ","")&amp;IF(AND(OR($I979="確認済",$I979="未確認"),$B979="月例",OR($C979="",$C979&lt;DATE(年度+2018,4,1),$C979&gt;DATE(年度+2019,3,31))),"年度外の日付 ","")&amp;IF(AND(OR($I979="確認済",$I979="未確認"),O979="対象外"),"対象外の科目 ","")))</f>
        <v/>
      </c>
      <c r="R979" s="366" t="n"/>
    </row>
    <row r="980">
      <c r="A980" s="359" t="n"/>
      <c r="B980" s="360" t="n"/>
      <c r="C980" s="361" t="n"/>
      <c r="D980" s="362" t="n"/>
      <c r="E980" s="362" t="n"/>
      <c r="F980" s="362" t="n"/>
      <c r="G980" s="363" t="n"/>
      <c r="H980" s="360" t="n"/>
      <c r="I980" s="360" t="n"/>
      <c r="J980" s="364" t="str">
        <f>IF($G980="","",IF($H980=1,$G980-ROUND($G980*10/23,0)-2*ROUND($G980/23,0),IF($H980=2,$G980,0)))</f>
        <v/>
      </c>
      <c r="K980" s="364" t="str">
        <f>IF($G980="","",IF($H980=1,ROUND($G980*10/23,0),IF($H980=3,$G980-2*ROUND($G980/12,0),IF($H980=4,$G980,IF(OR($H980=5,$H980=7),ROUND($G980*10/11,0),0)))))</f>
        <v/>
      </c>
      <c r="L980" s="364" t="str">
        <f>IF($G980="","",IF($H980=1,ROUND($G980/23,0),IF($H980=3,ROUND($G980/12,0),IF($H980=5,$G980-ROUND($G980*10/11,0),IF($H980=8,$G980,0)))))</f>
        <v/>
      </c>
      <c r="M980" s="364" t="str">
        <f>IF($G980="","",IF($H980=1,ROUND($G980/23,0),IF($H980=3,ROUND($G980/12,0),IF($H980=6,$G980,IF($H980=7,$G980-ROUND($G980*10/11,0),0)))))</f>
        <v/>
      </c>
      <c r="N980" s="364" t="str">
        <f>IF($G980="","",K980+L980+M980)</f>
        <v/>
      </c>
      <c r="O980" s="365" t="str">
        <f>IF($G980="","",IFERROR(VLOOKUP($D980&amp;"|"&amp;$E980,科目表!$A$5:$B$200,2,FALSE),"※未登録"))</f>
        <v/>
      </c>
      <c r="P980" s="359" t="str">
        <f>IF(OR($G980="",$C980=""),"",IF($B980="決算整理",13,MOD(MONTH($C980)-4,12)+1))</f>
        <v/>
      </c>
      <c r="Q980" s="366" t="str">
        <f>IF($G980="","",TRIM(IF(J980+K980+L980+M980&lt;&gt;$G980,"按分不一致 ","")&amp;IF(O980="※未登録","科目未登録 ","")&amp;IF(OR($H980="",ISERROR(MATCH($H980,{1,2,3,4,5,6,7,8},0))),"経費区分? ","")&amp;IF($I980="","状態未設定 ","")&amp;IF(AND(OR($I980="確認済",$I980="未確認"),$B980="月例",OR($C980="",$C980&lt;DATE(年度+2018,4,1),$C980&gt;DATE(年度+2019,3,31))),"年度外の日付 ","")&amp;IF(AND(OR($I980="確認済",$I980="未確認"),O980="対象外"),"対象外の科目 ","")))</f>
        <v/>
      </c>
      <c r="R980" s="366" t="n"/>
    </row>
    <row r="981">
      <c r="A981" s="359" t="n"/>
      <c r="B981" s="360" t="n"/>
      <c r="C981" s="361" t="n"/>
      <c r="D981" s="362" t="n"/>
      <c r="E981" s="362" t="n"/>
      <c r="F981" s="362" t="n"/>
      <c r="G981" s="363" t="n"/>
      <c r="H981" s="360" t="n"/>
      <c r="I981" s="360" t="n"/>
      <c r="J981" s="364" t="str">
        <f>IF($G981="","",IF($H981=1,$G981-ROUND($G981*10/23,0)-2*ROUND($G981/23,0),IF($H981=2,$G981,0)))</f>
        <v/>
      </c>
      <c r="K981" s="364" t="str">
        <f>IF($G981="","",IF($H981=1,ROUND($G981*10/23,0),IF($H981=3,$G981-2*ROUND($G981/12,0),IF($H981=4,$G981,IF(OR($H981=5,$H981=7),ROUND($G981*10/11,0),0)))))</f>
        <v/>
      </c>
      <c r="L981" s="364" t="str">
        <f>IF($G981="","",IF($H981=1,ROUND($G981/23,0),IF($H981=3,ROUND($G981/12,0),IF($H981=5,$G981-ROUND($G981*10/11,0),IF($H981=8,$G981,0)))))</f>
        <v/>
      </c>
      <c r="M981" s="364" t="str">
        <f>IF($G981="","",IF($H981=1,ROUND($G981/23,0),IF($H981=3,ROUND($G981/12,0),IF($H981=6,$G981,IF($H981=7,$G981-ROUND($G981*10/11,0),0)))))</f>
        <v/>
      </c>
      <c r="N981" s="364" t="str">
        <f>IF($G981="","",K981+L981+M981)</f>
        <v/>
      </c>
      <c r="O981" s="365" t="str">
        <f>IF($G981="","",IFERROR(VLOOKUP($D981&amp;"|"&amp;$E981,科目表!$A$5:$B$200,2,FALSE),"※未登録"))</f>
        <v/>
      </c>
      <c r="P981" s="359" t="str">
        <f>IF(OR($G981="",$C981=""),"",IF($B981="決算整理",13,MOD(MONTH($C981)-4,12)+1))</f>
        <v/>
      </c>
      <c r="Q981" s="366" t="str">
        <f>IF($G981="","",TRIM(IF(J981+K981+L981+M981&lt;&gt;$G981,"按分不一致 ","")&amp;IF(O981="※未登録","科目未登録 ","")&amp;IF(OR($H981="",ISERROR(MATCH($H981,{1,2,3,4,5,6,7,8},0))),"経費区分? ","")&amp;IF($I981="","状態未設定 ","")&amp;IF(AND(OR($I981="確認済",$I981="未確認"),$B981="月例",OR($C981="",$C981&lt;DATE(年度+2018,4,1),$C981&gt;DATE(年度+2019,3,31))),"年度外の日付 ","")&amp;IF(AND(OR($I981="確認済",$I981="未確認"),O981="対象外"),"対象外の科目 ","")))</f>
        <v/>
      </c>
      <c r="R981" s="366" t="n"/>
    </row>
    <row r="982">
      <c r="A982" s="359" t="n"/>
      <c r="B982" s="360" t="n"/>
      <c r="C982" s="361" t="n"/>
      <c r="D982" s="362" t="n"/>
      <c r="E982" s="362" t="n"/>
      <c r="F982" s="362" t="n"/>
      <c r="G982" s="363" t="n"/>
      <c r="H982" s="360" t="n"/>
      <c r="I982" s="360" t="n"/>
      <c r="J982" s="364" t="str">
        <f>IF($G982="","",IF($H982=1,$G982-ROUND($G982*10/23,0)-2*ROUND($G982/23,0),IF($H982=2,$G982,0)))</f>
        <v/>
      </c>
      <c r="K982" s="364" t="str">
        <f>IF($G982="","",IF($H982=1,ROUND($G982*10/23,0),IF($H982=3,$G982-2*ROUND($G982/12,0),IF($H982=4,$G982,IF(OR($H982=5,$H982=7),ROUND($G982*10/11,0),0)))))</f>
        <v/>
      </c>
      <c r="L982" s="364" t="str">
        <f>IF($G982="","",IF($H982=1,ROUND($G982/23,0),IF($H982=3,ROUND($G982/12,0),IF($H982=5,$G982-ROUND($G982*10/11,0),IF($H982=8,$G982,0)))))</f>
        <v/>
      </c>
      <c r="M982" s="364" t="str">
        <f>IF($G982="","",IF($H982=1,ROUND($G982/23,0),IF($H982=3,ROUND($G982/12,0),IF($H982=6,$G982,IF($H982=7,$G982-ROUND($G982*10/11,0),0)))))</f>
        <v/>
      </c>
      <c r="N982" s="364" t="str">
        <f>IF($G982="","",K982+L982+M982)</f>
        <v/>
      </c>
      <c r="O982" s="365" t="str">
        <f>IF($G982="","",IFERROR(VLOOKUP($D982&amp;"|"&amp;$E982,科目表!$A$5:$B$200,2,FALSE),"※未登録"))</f>
        <v/>
      </c>
      <c r="P982" s="359" t="str">
        <f>IF(OR($G982="",$C982=""),"",IF($B982="決算整理",13,MOD(MONTH($C982)-4,12)+1))</f>
        <v/>
      </c>
      <c r="Q982" s="366" t="str">
        <f>IF($G982="","",TRIM(IF(J982+K982+L982+M982&lt;&gt;$G982,"按分不一致 ","")&amp;IF(O982="※未登録","科目未登録 ","")&amp;IF(OR($H982="",ISERROR(MATCH($H982,{1,2,3,4,5,6,7,8},0))),"経費区分? ","")&amp;IF($I982="","状態未設定 ","")&amp;IF(AND(OR($I982="確認済",$I982="未確認"),$B982="月例",OR($C982="",$C982&lt;DATE(年度+2018,4,1),$C982&gt;DATE(年度+2019,3,31))),"年度外の日付 ","")&amp;IF(AND(OR($I982="確認済",$I982="未確認"),O982="対象外"),"対象外の科目 ","")))</f>
        <v/>
      </c>
      <c r="R982" s="366" t="n"/>
    </row>
    <row r="983">
      <c r="A983" s="359" t="n"/>
      <c r="B983" s="360" t="n"/>
      <c r="C983" s="361" t="n"/>
      <c r="D983" s="362" t="n"/>
      <c r="E983" s="362" t="n"/>
      <c r="F983" s="362" t="n"/>
      <c r="G983" s="363" t="n"/>
      <c r="H983" s="360" t="n"/>
      <c r="I983" s="360" t="n"/>
      <c r="J983" s="364" t="str">
        <f>IF($G983="","",IF($H983=1,$G983-ROUND($G983*10/23,0)-2*ROUND($G983/23,0),IF($H983=2,$G983,0)))</f>
        <v/>
      </c>
      <c r="K983" s="364" t="str">
        <f>IF($G983="","",IF($H983=1,ROUND($G983*10/23,0),IF($H983=3,$G983-2*ROUND($G983/12,0),IF($H983=4,$G983,IF(OR($H983=5,$H983=7),ROUND($G983*10/11,0),0)))))</f>
        <v/>
      </c>
      <c r="L983" s="364" t="str">
        <f>IF($G983="","",IF($H983=1,ROUND($G983/23,0),IF($H983=3,ROUND($G983/12,0),IF($H983=5,$G983-ROUND($G983*10/11,0),IF($H983=8,$G983,0)))))</f>
        <v/>
      </c>
      <c r="M983" s="364" t="str">
        <f>IF($G983="","",IF($H983=1,ROUND($G983/23,0),IF($H983=3,ROUND($G983/12,0),IF($H983=6,$G983,IF($H983=7,$G983-ROUND($G983*10/11,0),0)))))</f>
        <v/>
      </c>
      <c r="N983" s="364" t="str">
        <f>IF($G983="","",K983+L983+M983)</f>
        <v/>
      </c>
      <c r="O983" s="365" t="str">
        <f>IF($G983="","",IFERROR(VLOOKUP($D983&amp;"|"&amp;$E983,科目表!$A$5:$B$200,2,FALSE),"※未登録"))</f>
        <v/>
      </c>
      <c r="P983" s="359" t="str">
        <f>IF(OR($G983="",$C983=""),"",IF($B983="決算整理",13,MOD(MONTH($C983)-4,12)+1))</f>
        <v/>
      </c>
      <c r="Q983" s="366" t="str">
        <f>IF($G983="","",TRIM(IF(J983+K983+L983+M983&lt;&gt;$G983,"按分不一致 ","")&amp;IF(O983="※未登録","科目未登録 ","")&amp;IF(OR($H983="",ISERROR(MATCH($H983,{1,2,3,4,5,6,7,8},0))),"経費区分? ","")&amp;IF($I983="","状態未設定 ","")&amp;IF(AND(OR($I983="確認済",$I983="未確認"),$B983="月例",OR($C983="",$C983&lt;DATE(年度+2018,4,1),$C983&gt;DATE(年度+2019,3,31))),"年度外の日付 ","")&amp;IF(AND(OR($I983="確認済",$I983="未確認"),O983="対象外"),"対象外の科目 ","")))</f>
        <v/>
      </c>
      <c r="R983" s="366" t="n"/>
    </row>
    <row r="984">
      <c r="A984" s="359" t="n"/>
      <c r="B984" s="360" t="n"/>
      <c r="C984" s="361" t="n"/>
      <c r="D984" s="362" t="n"/>
      <c r="E984" s="362" t="n"/>
      <c r="F984" s="362" t="n"/>
      <c r="G984" s="363" t="n"/>
      <c r="H984" s="360" t="n"/>
      <c r="I984" s="360" t="n"/>
      <c r="J984" s="364" t="str">
        <f>IF($G984="","",IF($H984=1,$G984-ROUND($G984*10/23,0)-2*ROUND($G984/23,0),IF($H984=2,$G984,0)))</f>
        <v/>
      </c>
      <c r="K984" s="364" t="str">
        <f>IF($G984="","",IF($H984=1,ROUND($G984*10/23,0),IF($H984=3,$G984-2*ROUND($G984/12,0),IF($H984=4,$G984,IF(OR($H984=5,$H984=7),ROUND($G984*10/11,0),0)))))</f>
        <v/>
      </c>
      <c r="L984" s="364" t="str">
        <f>IF($G984="","",IF($H984=1,ROUND($G984/23,0),IF($H984=3,ROUND($G984/12,0),IF($H984=5,$G984-ROUND($G984*10/11,0),IF($H984=8,$G984,0)))))</f>
        <v/>
      </c>
      <c r="M984" s="364" t="str">
        <f>IF($G984="","",IF($H984=1,ROUND($G984/23,0),IF($H984=3,ROUND($G984/12,0),IF($H984=6,$G984,IF($H984=7,$G984-ROUND($G984*10/11,0),0)))))</f>
        <v/>
      </c>
      <c r="N984" s="364" t="str">
        <f>IF($G984="","",K984+L984+M984)</f>
        <v/>
      </c>
      <c r="O984" s="365" t="str">
        <f>IF($G984="","",IFERROR(VLOOKUP($D984&amp;"|"&amp;$E984,科目表!$A$5:$B$200,2,FALSE),"※未登録"))</f>
        <v/>
      </c>
      <c r="P984" s="359" t="str">
        <f>IF(OR($G984="",$C984=""),"",IF($B984="決算整理",13,MOD(MONTH($C984)-4,12)+1))</f>
        <v/>
      </c>
      <c r="Q984" s="366" t="str">
        <f>IF($G984="","",TRIM(IF(J984+K984+L984+M984&lt;&gt;$G984,"按分不一致 ","")&amp;IF(O984="※未登録","科目未登録 ","")&amp;IF(OR($H984="",ISERROR(MATCH($H984,{1,2,3,4,5,6,7,8},0))),"経費区分? ","")&amp;IF($I984="","状態未設定 ","")&amp;IF(AND(OR($I984="確認済",$I984="未確認"),$B984="月例",OR($C984="",$C984&lt;DATE(年度+2018,4,1),$C984&gt;DATE(年度+2019,3,31))),"年度外の日付 ","")&amp;IF(AND(OR($I984="確認済",$I984="未確認"),O984="対象外"),"対象外の科目 ","")))</f>
        <v/>
      </c>
      <c r="R984" s="366" t="n"/>
    </row>
    <row r="985">
      <c r="A985" s="359" t="n"/>
      <c r="B985" s="360" t="n"/>
      <c r="C985" s="361" t="n"/>
      <c r="D985" s="362" t="n"/>
      <c r="E985" s="362" t="n"/>
      <c r="F985" s="362" t="n"/>
      <c r="G985" s="363" t="n"/>
      <c r="H985" s="360" t="n"/>
      <c r="I985" s="360" t="n"/>
      <c r="J985" s="364" t="str">
        <f>IF($G985="","",IF($H985=1,$G985-ROUND($G985*10/23,0)-2*ROUND($G985/23,0),IF($H985=2,$G985,0)))</f>
        <v/>
      </c>
      <c r="K985" s="364" t="str">
        <f>IF($G985="","",IF($H985=1,ROUND($G985*10/23,0),IF($H985=3,$G985-2*ROUND($G985/12,0),IF($H985=4,$G985,IF(OR($H985=5,$H985=7),ROUND($G985*10/11,0),0)))))</f>
        <v/>
      </c>
      <c r="L985" s="364" t="str">
        <f>IF($G985="","",IF($H985=1,ROUND($G985/23,0),IF($H985=3,ROUND($G985/12,0),IF($H985=5,$G985-ROUND($G985*10/11,0),IF($H985=8,$G985,0)))))</f>
        <v/>
      </c>
      <c r="M985" s="364" t="str">
        <f>IF($G985="","",IF($H985=1,ROUND($G985/23,0),IF($H985=3,ROUND($G985/12,0),IF($H985=6,$G985,IF($H985=7,$G985-ROUND($G985*10/11,0),0)))))</f>
        <v/>
      </c>
      <c r="N985" s="364" t="str">
        <f>IF($G985="","",K985+L985+M985)</f>
        <v/>
      </c>
      <c r="O985" s="365" t="str">
        <f>IF($G985="","",IFERROR(VLOOKUP($D985&amp;"|"&amp;$E985,科目表!$A$5:$B$200,2,FALSE),"※未登録"))</f>
        <v/>
      </c>
      <c r="P985" s="359" t="str">
        <f>IF(OR($G985="",$C985=""),"",IF($B985="決算整理",13,MOD(MONTH($C985)-4,12)+1))</f>
        <v/>
      </c>
      <c r="Q985" s="366" t="str">
        <f>IF($G985="","",TRIM(IF(J985+K985+L985+M985&lt;&gt;$G985,"按分不一致 ","")&amp;IF(O985="※未登録","科目未登録 ","")&amp;IF(OR($H985="",ISERROR(MATCH($H985,{1,2,3,4,5,6,7,8},0))),"経費区分? ","")&amp;IF($I985="","状態未設定 ","")&amp;IF(AND(OR($I985="確認済",$I985="未確認"),$B985="月例",OR($C985="",$C985&lt;DATE(年度+2018,4,1),$C985&gt;DATE(年度+2019,3,31))),"年度外の日付 ","")&amp;IF(AND(OR($I985="確認済",$I985="未確認"),O985="対象外"),"対象外の科目 ","")))</f>
        <v/>
      </c>
      <c r="R985" s="366" t="n"/>
    </row>
    <row r="986">
      <c r="A986" s="359" t="n"/>
      <c r="B986" s="360" t="n"/>
      <c r="C986" s="361" t="n"/>
      <c r="D986" s="362" t="n"/>
      <c r="E986" s="362" t="n"/>
      <c r="F986" s="362" t="n"/>
      <c r="G986" s="363" t="n"/>
      <c r="H986" s="360" t="n"/>
      <c r="I986" s="360" t="n"/>
      <c r="J986" s="364" t="str">
        <f>IF($G986="","",IF($H986=1,$G986-ROUND($G986*10/23,0)-2*ROUND($G986/23,0),IF($H986=2,$G986,0)))</f>
        <v/>
      </c>
      <c r="K986" s="364" t="str">
        <f>IF($G986="","",IF($H986=1,ROUND($G986*10/23,0),IF($H986=3,$G986-2*ROUND($G986/12,0),IF($H986=4,$G986,IF(OR($H986=5,$H986=7),ROUND($G986*10/11,0),0)))))</f>
        <v/>
      </c>
      <c r="L986" s="364" t="str">
        <f>IF($G986="","",IF($H986=1,ROUND($G986/23,0),IF($H986=3,ROUND($G986/12,0),IF($H986=5,$G986-ROUND($G986*10/11,0),IF($H986=8,$G986,0)))))</f>
        <v/>
      </c>
      <c r="M986" s="364" t="str">
        <f>IF($G986="","",IF($H986=1,ROUND($G986/23,0),IF($H986=3,ROUND($G986/12,0),IF($H986=6,$G986,IF($H986=7,$G986-ROUND($G986*10/11,0),0)))))</f>
        <v/>
      </c>
      <c r="N986" s="364" t="str">
        <f>IF($G986="","",K986+L986+M986)</f>
        <v/>
      </c>
      <c r="O986" s="365" t="str">
        <f>IF($G986="","",IFERROR(VLOOKUP($D986&amp;"|"&amp;$E986,科目表!$A$5:$B$200,2,FALSE),"※未登録"))</f>
        <v/>
      </c>
      <c r="P986" s="359" t="str">
        <f>IF(OR($G986="",$C986=""),"",IF($B986="決算整理",13,MOD(MONTH($C986)-4,12)+1))</f>
        <v/>
      </c>
      <c r="Q986" s="366" t="str">
        <f>IF($G986="","",TRIM(IF(J986+K986+L986+M986&lt;&gt;$G986,"按分不一致 ","")&amp;IF(O986="※未登録","科目未登録 ","")&amp;IF(OR($H986="",ISERROR(MATCH($H986,{1,2,3,4,5,6,7,8},0))),"経費区分? ","")&amp;IF($I986="","状態未設定 ","")&amp;IF(AND(OR($I986="確認済",$I986="未確認"),$B986="月例",OR($C986="",$C986&lt;DATE(年度+2018,4,1),$C986&gt;DATE(年度+2019,3,31))),"年度外の日付 ","")&amp;IF(AND(OR($I986="確認済",$I986="未確認"),O986="対象外"),"対象外の科目 ","")))</f>
        <v/>
      </c>
      <c r="R986" s="366" t="n"/>
    </row>
    <row r="987">
      <c r="A987" s="359" t="n"/>
      <c r="B987" s="360" t="n"/>
      <c r="C987" s="361" t="n"/>
      <c r="D987" s="362" t="n"/>
      <c r="E987" s="362" t="n"/>
      <c r="F987" s="362" t="n"/>
      <c r="G987" s="363" t="n"/>
      <c r="H987" s="360" t="n"/>
      <c r="I987" s="360" t="n"/>
      <c r="J987" s="364" t="str">
        <f>IF($G987="","",IF($H987=1,$G987-ROUND($G987*10/23,0)-2*ROUND($G987/23,0),IF($H987=2,$G987,0)))</f>
        <v/>
      </c>
      <c r="K987" s="364" t="str">
        <f>IF($G987="","",IF($H987=1,ROUND($G987*10/23,0),IF($H987=3,$G987-2*ROUND($G987/12,0),IF($H987=4,$G987,IF(OR($H987=5,$H987=7),ROUND($G987*10/11,0),0)))))</f>
        <v/>
      </c>
      <c r="L987" s="364" t="str">
        <f>IF($G987="","",IF($H987=1,ROUND($G987/23,0),IF($H987=3,ROUND($G987/12,0),IF($H987=5,$G987-ROUND($G987*10/11,0),IF($H987=8,$G987,0)))))</f>
        <v/>
      </c>
      <c r="M987" s="364" t="str">
        <f>IF($G987="","",IF($H987=1,ROUND($G987/23,0),IF($H987=3,ROUND($G987/12,0),IF($H987=6,$G987,IF($H987=7,$G987-ROUND($G987*10/11,0),0)))))</f>
        <v/>
      </c>
      <c r="N987" s="364" t="str">
        <f>IF($G987="","",K987+L987+M987)</f>
        <v/>
      </c>
      <c r="O987" s="365" t="str">
        <f>IF($G987="","",IFERROR(VLOOKUP($D987&amp;"|"&amp;$E987,科目表!$A$5:$B$200,2,FALSE),"※未登録"))</f>
        <v/>
      </c>
      <c r="P987" s="359" t="str">
        <f>IF(OR($G987="",$C987=""),"",IF($B987="決算整理",13,MOD(MONTH($C987)-4,12)+1))</f>
        <v/>
      </c>
      <c r="Q987" s="366" t="str">
        <f>IF($G987="","",TRIM(IF(J987+K987+L987+M987&lt;&gt;$G987,"按分不一致 ","")&amp;IF(O987="※未登録","科目未登録 ","")&amp;IF(OR($H987="",ISERROR(MATCH($H987,{1,2,3,4,5,6,7,8},0))),"経費区分? ","")&amp;IF($I987="","状態未設定 ","")&amp;IF(AND(OR($I987="確認済",$I987="未確認"),$B987="月例",OR($C987="",$C987&lt;DATE(年度+2018,4,1),$C987&gt;DATE(年度+2019,3,31))),"年度外の日付 ","")&amp;IF(AND(OR($I987="確認済",$I987="未確認"),O987="対象外"),"対象外の科目 ","")))</f>
        <v/>
      </c>
      <c r="R987" s="366" t="n"/>
    </row>
    <row r="988">
      <c r="A988" s="359" t="n"/>
      <c r="B988" s="360" t="n"/>
      <c r="C988" s="361" t="n"/>
      <c r="D988" s="362" t="n"/>
      <c r="E988" s="362" t="n"/>
      <c r="F988" s="362" t="n"/>
      <c r="G988" s="363" t="n"/>
      <c r="H988" s="360" t="n"/>
      <c r="I988" s="360" t="n"/>
      <c r="J988" s="364" t="str">
        <f>IF($G988="","",IF($H988=1,$G988-ROUND($G988*10/23,0)-2*ROUND($G988/23,0),IF($H988=2,$G988,0)))</f>
        <v/>
      </c>
      <c r="K988" s="364" t="str">
        <f>IF($G988="","",IF($H988=1,ROUND($G988*10/23,0),IF($H988=3,$G988-2*ROUND($G988/12,0),IF($H988=4,$G988,IF(OR($H988=5,$H988=7),ROUND($G988*10/11,0),0)))))</f>
        <v/>
      </c>
      <c r="L988" s="364" t="str">
        <f>IF($G988="","",IF($H988=1,ROUND($G988/23,0),IF($H988=3,ROUND($G988/12,0),IF($H988=5,$G988-ROUND($G988*10/11,0),IF($H988=8,$G988,0)))))</f>
        <v/>
      </c>
      <c r="M988" s="364" t="str">
        <f>IF($G988="","",IF($H988=1,ROUND($G988/23,0),IF($H988=3,ROUND($G988/12,0),IF($H988=6,$G988,IF($H988=7,$G988-ROUND($G988*10/11,0),0)))))</f>
        <v/>
      </c>
      <c r="N988" s="364" t="str">
        <f>IF($G988="","",K988+L988+M988)</f>
        <v/>
      </c>
      <c r="O988" s="365" t="str">
        <f>IF($G988="","",IFERROR(VLOOKUP($D988&amp;"|"&amp;$E988,科目表!$A$5:$B$200,2,FALSE),"※未登録"))</f>
        <v/>
      </c>
      <c r="P988" s="359" t="str">
        <f>IF(OR($G988="",$C988=""),"",IF($B988="決算整理",13,MOD(MONTH($C988)-4,12)+1))</f>
        <v/>
      </c>
      <c r="Q988" s="366" t="str">
        <f>IF($G988="","",TRIM(IF(J988+K988+L988+M988&lt;&gt;$G988,"按分不一致 ","")&amp;IF(O988="※未登録","科目未登録 ","")&amp;IF(OR($H988="",ISERROR(MATCH($H988,{1,2,3,4,5,6,7,8},0))),"経費区分? ","")&amp;IF($I988="","状態未設定 ","")&amp;IF(AND(OR($I988="確認済",$I988="未確認"),$B988="月例",OR($C988="",$C988&lt;DATE(年度+2018,4,1),$C988&gt;DATE(年度+2019,3,31))),"年度外の日付 ","")&amp;IF(AND(OR($I988="確認済",$I988="未確認"),O988="対象外"),"対象外の科目 ","")))</f>
        <v/>
      </c>
      <c r="R988" s="366" t="n"/>
    </row>
    <row r="989">
      <c r="A989" s="359" t="n"/>
      <c r="B989" s="360" t="n"/>
      <c r="C989" s="361" t="n"/>
      <c r="D989" s="362" t="n"/>
      <c r="E989" s="362" t="n"/>
      <c r="F989" s="362" t="n"/>
      <c r="G989" s="363" t="n"/>
      <c r="H989" s="360" t="n"/>
      <c r="I989" s="360" t="n"/>
      <c r="J989" s="364" t="str">
        <f>IF($G989="","",IF($H989=1,$G989-ROUND($G989*10/23,0)-2*ROUND($G989/23,0),IF($H989=2,$G989,0)))</f>
        <v/>
      </c>
      <c r="K989" s="364" t="str">
        <f>IF($G989="","",IF($H989=1,ROUND($G989*10/23,0),IF($H989=3,$G989-2*ROUND($G989/12,0),IF($H989=4,$G989,IF(OR($H989=5,$H989=7),ROUND($G989*10/11,0),0)))))</f>
        <v/>
      </c>
      <c r="L989" s="364" t="str">
        <f>IF($G989="","",IF($H989=1,ROUND($G989/23,0),IF($H989=3,ROUND($G989/12,0),IF($H989=5,$G989-ROUND($G989*10/11,0),IF($H989=8,$G989,0)))))</f>
        <v/>
      </c>
      <c r="M989" s="364" t="str">
        <f>IF($G989="","",IF($H989=1,ROUND($G989/23,0),IF($H989=3,ROUND($G989/12,0),IF($H989=6,$G989,IF($H989=7,$G989-ROUND($G989*10/11,0),0)))))</f>
        <v/>
      </c>
      <c r="N989" s="364" t="str">
        <f>IF($G989="","",K989+L989+M989)</f>
        <v/>
      </c>
      <c r="O989" s="365" t="str">
        <f>IF($G989="","",IFERROR(VLOOKUP($D989&amp;"|"&amp;$E989,科目表!$A$5:$B$200,2,FALSE),"※未登録"))</f>
        <v/>
      </c>
      <c r="P989" s="359" t="str">
        <f>IF(OR($G989="",$C989=""),"",IF($B989="決算整理",13,MOD(MONTH($C989)-4,12)+1))</f>
        <v/>
      </c>
      <c r="Q989" s="366" t="str">
        <f>IF($G989="","",TRIM(IF(J989+K989+L989+M989&lt;&gt;$G989,"按分不一致 ","")&amp;IF(O989="※未登録","科目未登録 ","")&amp;IF(OR($H989="",ISERROR(MATCH($H989,{1,2,3,4,5,6,7,8},0))),"経費区分? ","")&amp;IF($I989="","状態未設定 ","")&amp;IF(AND(OR($I989="確認済",$I989="未確認"),$B989="月例",OR($C989="",$C989&lt;DATE(年度+2018,4,1),$C989&gt;DATE(年度+2019,3,31))),"年度外の日付 ","")&amp;IF(AND(OR($I989="確認済",$I989="未確認"),O989="対象外"),"対象外の科目 ","")))</f>
        <v/>
      </c>
      <c r="R989" s="366" t="n"/>
    </row>
    <row r="990">
      <c r="A990" s="359" t="n"/>
      <c r="B990" s="360" t="n"/>
      <c r="C990" s="361" t="n"/>
      <c r="D990" s="362" t="n"/>
      <c r="E990" s="362" t="n"/>
      <c r="F990" s="362" t="n"/>
      <c r="G990" s="363" t="n"/>
      <c r="H990" s="360" t="n"/>
      <c r="I990" s="360" t="n"/>
      <c r="J990" s="364" t="str">
        <f>IF($G990="","",IF($H990=1,$G990-ROUND($G990*10/23,0)-2*ROUND($G990/23,0),IF($H990=2,$G990,0)))</f>
        <v/>
      </c>
      <c r="K990" s="364" t="str">
        <f>IF($G990="","",IF($H990=1,ROUND($G990*10/23,0),IF($H990=3,$G990-2*ROUND($G990/12,0),IF($H990=4,$G990,IF(OR($H990=5,$H990=7),ROUND($G990*10/11,0),0)))))</f>
        <v/>
      </c>
      <c r="L990" s="364" t="str">
        <f>IF($G990="","",IF($H990=1,ROUND($G990/23,0),IF($H990=3,ROUND($G990/12,0),IF($H990=5,$G990-ROUND($G990*10/11,0),IF($H990=8,$G990,0)))))</f>
        <v/>
      </c>
      <c r="M990" s="364" t="str">
        <f>IF($G990="","",IF($H990=1,ROUND($G990/23,0),IF($H990=3,ROUND($G990/12,0),IF($H990=6,$G990,IF($H990=7,$G990-ROUND($G990*10/11,0),0)))))</f>
        <v/>
      </c>
      <c r="N990" s="364" t="str">
        <f>IF($G990="","",K990+L990+M990)</f>
        <v/>
      </c>
      <c r="O990" s="365" t="str">
        <f>IF($G990="","",IFERROR(VLOOKUP($D990&amp;"|"&amp;$E990,科目表!$A$5:$B$200,2,FALSE),"※未登録"))</f>
        <v/>
      </c>
      <c r="P990" s="359" t="str">
        <f>IF(OR($G990="",$C990=""),"",IF($B990="決算整理",13,MOD(MONTH($C990)-4,12)+1))</f>
        <v/>
      </c>
      <c r="Q990" s="366" t="str">
        <f>IF($G990="","",TRIM(IF(J990+K990+L990+M990&lt;&gt;$G990,"按分不一致 ","")&amp;IF(O990="※未登録","科目未登録 ","")&amp;IF(OR($H990="",ISERROR(MATCH($H990,{1,2,3,4,5,6,7,8},0))),"経費区分? ","")&amp;IF($I990="","状態未設定 ","")&amp;IF(AND(OR($I990="確認済",$I990="未確認"),$B990="月例",OR($C990="",$C990&lt;DATE(年度+2018,4,1),$C990&gt;DATE(年度+2019,3,31))),"年度外の日付 ","")&amp;IF(AND(OR($I990="確認済",$I990="未確認"),O990="対象外"),"対象外の科目 ","")))</f>
        <v/>
      </c>
      <c r="R990" s="366" t="n"/>
    </row>
    <row r="991">
      <c r="A991" s="359" t="n"/>
      <c r="B991" s="360" t="n"/>
      <c r="C991" s="361" t="n"/>
      <c r="D991" s="362" t="n"/>
      <c r="E991" s="362" t="n"/>
      <c r="F991" s="362" t="n"/>
      <c r="G991" s="363" t="n"/>
      <c r="H991" s="360" t="n"/>
      <c r="I991" s="360" t="n"/>
      <c r="J991" s="364" t="str">
        <f>IF($G991="","",IF($H991=1,$G991-ROUND($G991*10/23,0)-2*ROUND($G991/23,0),IF($H991=2,$G991,0)))</f>
        <v/>
      </c>
      <c r="K991" s="364" t="str">
        <f>IF($G991="","",IF($H991=1,ROUND($G991*10/23,0),IF($H991=3,$G991-2*ROUND($G991/12,0),IF($H991=4,$G991,IF(OR($H991=5,$H991=7),ROUND($G991*10/11,0),0)))))</f>
        <v/>
      </c>
      <c r="L991" s="364" t="str">
        <f>IF($G991="","",IF($H991=1,ROUND($G991/23,0),IF($H991=3,ROUND($G991/12,0),IF($H991=5,$G991-ROUND($G991*10/11,0),IF($H991=8,$G991,0)))))</f>
        <v/>
      </c>
      <c r="M991" s="364" t="str">
        <f>IF($G991="","",IF($H991=1,ROUND($G991/23,0),IF($H991=3,ROUND($G991/12,0),IF($H991=6,$G991,IF($H991=7,$G991-ROUND($G991*10/11,0),0)))))</f>
        <v/>
      </c>
      <c r="N991" s="364" t="str">
        <f>IF($G991="","",K991+L991+M991)</f>
        <v/>
      </c>
      <c r="O991" s="365" t="str">
        <f>IF($G991="","",IFERROR(VLOOKUP($D991&amp;"|"&amp;$E991,科目表!$A$5:$B$200,2,FALSE),"※未登録"))</f>
        <v/>
      </c>
      <c r="P991" s="359" t="str">
        <f>IF(OR($G991="",$C991=""),"",IF($B991="決算整理",13,MOD(MONTH($C991)-4,12)+1))</f>
        <v/>
      </c>
      <c r="Q991" s="366" t="str">
        <f>IF($G991="","",TRIM(IF(J991+K991+L991+M991&lt;&gt;$G991,"按分不一致 ","")&amp;IF(O991="※未登録","科目未登録 ","")&amp;IF(OR($H991="",ISERROR(MATCH($H991,{1,2,3,4,5,6,7,8},0))),"経費区分? ","")&amp;IF($I991="","状態未設定 ","")&amp;IF(AND(OR($I991="確認済",$I991="未確認"),$B991="月例",OR($C991="",$C991&lt;DATE(年度+2018,4,1),$C991&gt;DATE(年度+2019,3,31))),"年度外の日付 ","")&amp;IF(AND(OR($I991="確認済",$I991="未確認"),O991="対象外"),"対象外の科目 ","")))</f>
        <v/>
      </c>
      <c r="R991" s="366" t="n"/>
    </row>
    <row r="992">
      <c r="A992" s="359" t="n"/>
      <c r="B992" s="360" t="n"/>
      <c r="C992" s="361" t="n"/>
      <c r="D992" s="362" t="n"/>
      <c r="E992" s="362" t="n"/>
      <c r="F992" s="362" t="n"/>
      <c r="G992" s="363" t="n"/>
      <c r="H992" s="360" t="n"/>
      <c r="I992" s="360" t="n"/>
      <c r="J992" s="364" t="str">
        <f>IF($G992="","",IF($H992=1,$G992-ROUND($G992*10/23,0)-2*ROUND($G992/23,0),IF($H992=2,$G992,0)))</f>
        <v/>
      </c>
      <c r="K992" s="364" t="str">
        <f>IF($G992="","",IF($H992=1,ROUND($G992*10/23,0),IF($H992=3,$G992-2*ROUND($G992/12,0),IF($H992=4,$G992,IF(OR($H992=5,$H992=7),ROUND($G992*10/11,0),0)))))</f>
        <v/>
      </c>
      <c r="L992" s="364" t="str">
        <f>IF($G992="","",IF($H992=1,ROUND($G992/23,0),IF($H992=3,ROUND($G992/12,0),IF($H992=5,$G992-ROUND($G992*10/11,0),IF($H992=8,$G992,0)))))</f>
        <v/>
      </c>
      <c r="M992" s="364" t="str">
        <f>IF($G992="","",IF($H992=1,ROUND($G992/23,0),IF($H992=3,ROUND($G992/12,0),IF($H992=6,$G992,IF($H992=7,$G992-ROUND($G992*10/11,0),0)))))</f>
        <v/>
      </c>
      <c r="N992" s="364" t="str">
        <f>IF($G992="","",K992+L992+M992)</f>
        <v/>
      </c>
      <c r="O992" s="365" t="str">
        <f>IF($G992="","",IFERROR(VLOOKUP($D992&amp;"|"&amp;$E992,科目表!$A$5:$B$200,2,FALSE),"※未登録"))</f>
        <v/>
      </c>
      <c r="P992" s="359" t="str">
        <f>IF(OR($G992="",$C992=""),"",IF($B992="決算整理",13,MOD(MONTH($C992)-4,12)+1))</f>
        <v/>
      </c>
      <c r="Q992" s="366" t="str">
        <f>IF($G992="","",TRIM(IF(J992+K992+L992+M992&lt;&gt;$G992,"按分不一致 ","")&amp;IF(O992="※未登録","科目未登録 ","")&amp;IF(OR($H992="",ISERROR(MATCH($H992,{1,2,3,4,5,6,7,8},0))),"経費区分? ","")&amp;IF($I992="","状態未設定 ","")&amp;IF(AND(OR($I992="確認済",$I992="未確認"),$B992="月例",OR($C992="",$C992&lt;DATE(年度+2018,4,1),$C992&gt;DATE(年度+2019,3,31))),"年度外の日付 ","")&amp;IF(AND(OR($I992="確認済",$I992="未確認"),O992="対象外"),"対象外の科目 ","")))</f>
        <v/>
      </c>
      <c r="R992" s="366" t="n"/>
    </row>
    <row r="993">
      <c r="A993" s="359" t="n"/>
      <c r="B993" s="360" t="n"/>
      <c r="C993" s="361" t="n"/>
      <c r="D993" s="362" t="n"/>
      <c r="E993" s="362" t="n"/>
      <c r="F993" s="362" t="n"/>
      <c r="G993" s="363" t="n"/>
      <c r="H993" s="360" t="n"/>
      <c r="I993" s="360" t="n"/>
      <c r="J993" s="364" t="str">
        <f>IF($G993="","",IF($H993=1,$G993-ROUND($G993*10/23,0)-2*ROUND($G993/23,0),IF($H993=2,$G993,0)))</f>
        <v/>
      </c>
      <c r="K993" s="364" t="str">
        <f>IF($G993="","",IF($H993=1,ROUND($G993*10/23,0),IF($H993=3,$G993-2*ROUND($G993/12,0),IF($H993=4,$G993,IF(OR($H993=5,$H993=7),ROUND($G993*10/11,0),0)))))</f>
        <v/>
      </c>
      <c r="L993" s="364" t="str">
        <f>IF($G993="","",IF($H993=1,ROUND($G993/23,0),IF($H993=3,ROUND($G993/12,0),IF($H993=5,$G993-ROUND($G993*10/11,0),IF($H993=8,$G993,0)))))</f>
        <v/>
      </c>
      <c r="M993" s="364" t="str">
        <f>IF($G993="","",IF($H993=1,ROUND($G993/23,0),IF($H993=3,ROUND($G993/12,0),IF($H993=6,$G993,IF($H993=7,$G993-ROUND($G993*10/11,0),0)))))</f>
        <v/>
      </c>
      <c r="N993" s="364" t="str">
        <f>IF($G993="","",K993+L993+M993)</f>
        <v/>
      </c>
      <c r="O993" s="365" t="str">
        <f>IF($G993="","",IFERROR(VLOOKUP($D993&amp;"|"&amp;$E993,科目表!$A$5:$B$200,2,FALSE),"※未登録"))</f>
        <v/>
      </c>
      <c r="P993" s="359" t="str">
        <f>IF(OR($G993="",$C993=""),"",IF($B993="決算整理",13,MOD(MONTH($C993)-4,12)+1))</f>
        <v/>
      </c>
      <c r="Q993" s="366" t="str">
        <f>IF($G993="","",TRIM(IF(J993+K993+L993+M993&lt;&gt;$G993,"按分不一致 ","")&amp;IF(O993="※未登録","科目未登録 ","")&amp;IF(OR($H993="",ISERROR(MATCH($H993,{1,2,3,4,5,6,7,8},0))),"経費区分? ","")&amp;IF($I993="","状態未設定 ","")&amp;IF(AND(OR($I993="確認済",$I993="未確認"),$B993="月例",OR($C993="",$C993&lt;DATE(年度+2018,4,1),$C993&gt;DATE(年度+2019,3,31))),"年度外の日付 ","")&amp;IF(AND(OR($I993="確認済",$I993="未確認"),O993="対象外"),"対象外の科目 ","")))</f>
        <v/>
      </c>
      <c r="R993" s="366" t="n"/>
    </row>
    <row r="994">
      <c r="A994" s="359" t="n"/>
      <c r="B994" s="360" t="n"/>
      <c r="C994" s="361" t="n"/>
      <c r="D994" s="362" t="n"/>
      <c r="E994" s="362" t="n"/>
      <c r="F994" s="362" t="n"/>
      <c r="G994" s="363" t="n"/>
      <c r="H994" s="360" t="n"/>
      <c r="I994" s="360" t="n"/>
      <c r="J994" s="364" t="str">
        <f>IF($G994="","",IF($H994=1,$G994-ROUND($G994*10/23,0)-2*ROUND($G994/23,0),IF($H994=2,$G994,0)))</f>
        <v/>
      </c>
      <c r="K994" s="364" t="str">
        <f>IF($G994="","",IF($H994=1,ROUND($G994*10/23,0),IF($H994=3,$G994-2*ROUND($G994/12,0),IF($H994=4,$G994,IF(OR($H994=5,$H994=7),ROUND($G994*10/11,0),0)))))</f>
        <v/>
      </c>
      <c r="L994" s="364" t="str">
        <f>IF($G994="","",IF($H994=1,ROUND($G994/23,0),IF($H994=3,ROUND($G994/12,0),IF($H994=5,$G994-ROUND($G994*10/11,0),IF($H994=8,$G994,0)))))</f>
        <v/>
      </c>
      <c r="M994" s="364" t="str">
        <f>IF($G994="","",IF($H994=1,ROUND($G994/23,0),IF($H994=3,ROUND($G994/12,0),IF($H994=6,$G994,IF($H994=7,$G994-ROUND($G994*10/11,0),0)))))</f>
        <v/>
      </c>
      <c r="N994" s="364" t="str">
        <f>IF($G994="","",K994+L994+M994)</f>
        <v/>
      </c>
      <c r="O994" s="365" t="str">
        <f>IF($G994="","",IFERROR(VLOOKUP($D994&amp;"|"&amp;$E994,科目表!$A$5:$B$200,2,FALSE),"※未登録"))</f>
        <v/>
      </c>
      <c r="P994" s="359" t="str">
        <f>IF(OR($G994="",$C994=""),"",IF($B994="決算整理",13,MOD(MONTH($C994)-4,12)+1))</f>
        <v/>
      </c>
      <c r="Q994" s="366" t="str">
        <f>IF($G994="","",TRIM(IF(J994+K994+L994+M994&lt;&gt;$G994,"按分不一致 ","")&amp;IF(O994="※未登録","科目未登録 ","")&amp;IF(OR($H994="",ISERROR(MATCH($H994,{1,2,3,4,5,6,7,8},0))),"経費区分? ","")&amp;IF($I994="","状態未設定 ","")&amp;IF(AND(OR($I994="確認済",$I994="未確認"),$B994="月例",OR($C994="",$C994&lt;DATE(年度+2018,4,1),$C994&gt;DATE(年度+2019,3,31))),"年度外の日付 ","")&amp;IF(AND(OR($I994="確認済",$I994="未確認"),O994="対象外"),"対象外の科目 ","")))</f>
        <v/>
      </c>
      <c r="R994" s="366" t="n"/>
    </row>
    <row r="995">
      <c r="A995" s="359" t="n"/>
      <c r="B995" s="360" t="n"/>
      <c r="C995" s="361" t="n"/>
      <c r="D995" s="362" t="n"/>
      <c r="E995" s="362" t="n"/>
      <c r="F995" s="362" t="n"/>
      <c r="G995" s="363" t="n"/>
      <c r="H995" s="360" t="n"/>
      <c r="I995" s="360" t="n"/>
      <c r="J995" s="364" t="str">
        <f>IF($G995="","",IF($H995=1,$G995-ROUND($G995*10/23,0)-2*ROUND($G995/23,0),IF($H995=2,$G995,0)))</f>
        <v/>
      </c>
      <c r="K995" s="364" t="str">
        <f>IF($G995="","",IF($H995=1,ROUND($G995*10/23,0),IF($H995=3,$G995-2*ROUND($G995/12,0),IF($H995=4,$G995,IF(OR($H995=5,$H995=7),ROUND($G995*10/11,0),0)))))</f>
        <v/>
      </c>
      <c r="L995" s="364" t="str">
        <f>IF($G995="","",IF($H995=1,ROUND($G995/23,0),IF($H995=3,ROUND($G995/12,0),IF($H995=5,$G995-ROUND($G995*10/11,0),IF($H995=8,$G995,0)))))</f>
        <v/>
      </c>
      <c r="M995" s="364" t="str">
        <f>IF($G995="","",IF($H995=1,ROUND($G995/23,0),IF($H995=3,ROUND($G995/12,0),IF($H995=6,$G995,IF($H995=7,$G995-ROUND($G995*10/11,0),0)))))</f>
        <v/>
      </c>
      <c r="N995" s="364" t="str">
        <f>IF($G995="","",K995+L995+M995)</f>
        <v/>
      </c>
      <c r="O995" s="365" t="str">
        <f>IF($G995="","",IFERROR(VLOOKUP($D995&amp;"|"&amp;$E995,科目表!$A$5:$B$200,2,FALSE),"※未登録"))</f>
        <v/>
      </c>
      <c r="P995" s="359" t="str">
        <f>IF(OR($G995="",$C995=""),"",IF($B995="決算整理",13,MOD(MONTH($C995)-4,12)+1))</f>
        <v/>
      </c>
      <c r="Q995" s="366" t="str">
        <f>IF($G995="","",TRIM(IF(J995+K995+L995+M995&lt;&gt;$G995,"按分不一致 ","")&amp;IF(O995="※未登録","科目未登録 ","")&amp;IF(OR($H995="",ISERROR(MATCH($H995,{1,2,3,4,5,6,7,8},0))),"経費区分? ","")&amp;IF($I995="","状態未設定 ","")&amp;IF(AND(OR($I995="確認済",$I995="未確認"),$B995="月例",OR($C995="",$C995&lt;DATE(年度+2018,4,1),$C995&gt;DATE(年度+2019,3,31))),"年度外の日付 ","")&amp;IF(AND(OR($I995="確認済",$I995="未確認"),O995="対象外"),"対象外の科目 ","")))</f>
        <v/>
      </c>
      <c r="R995" s="366" t="n"/>
    </row>
    <row r="996">
      <c r="A996" s="359" t="n"/>
      <c r="B996" s="360" t="n"/>
      <c r="C996" s="361" t="n"/>
      <c r="D996" s="362" t="n"/>
      <c r="E996" s="362" t="n"/>
      <c r="F996" s="362" t="n"/>
      <c r="G996" s="363" t="n"/>
      <c r="H996" s="360" t="n"/>
      <c r="I996" s="360" t="n"/>
      <c r="J996" s="364" t="str">
        <f>IF($G996="","",IF($H996=1,$G996-ROUND($G996*10/23,0)-2*ROUND($G996/23,0),IF($H996=2,$G996,0)))</f>
        <v/>
      </c>
      <c r="K996" s="364" t="str">
        <f>IF($G996="","",IF($H996=1,ROUND($G996*10/23,0),IF($H996=3,$G996-2*ROUND($G996/12,0),IF($H996=4,$G996,IF(OR($H996=5,$H996=7),ROUND($G996*10/11,0),0)))))</f>
        <v/>
      </c>
      <c r="L996" s="364" t="str">
        <f>IF($G996="","",IF($H996=1,ROUND($G996/23,0),IF($H996=3,ROUND($G996/12,0),IF($H996=5,$G996-ROUND($G996*10/11,0),IF($H996=8,$G996,0)))))</f>
        <v/>
      </c>
      <c r="M996" s="364" t="str">
        <f>IF($G996="","",IF($H996=1,ROUND($G996/23,0),IF($H996=3,ROUND($G996/12,0),IF($H996=6,$G996,IF($H996=7,$G996-ROUND($G996*10/11,0),0)))))</f>
        <v/>
      </c>
      <c r="N996" s="364" t="str">
        <f>IF($G996="","",K996+L996+M996)</f>
        <v/>
      </c>
      <c r="O996" s="365" t="str">
        <f>IF($G996="","",IFERROR(VLOOKUP($D996&amp;"|"&amp;$E996,科目表!$A$5:$B$200,2,FALSE),"※未登録"))</f>
        <v/>
      </c>
      <c r="P996" s="359" t="str">
        <f>IF(OR($G996="",$C996=""),"",IF($B996="決算整理",13,MOD(MONTH($C996)-4,12)+1))</f>
        <v/>
      </c>
      <c r="Q996" s="366" t="str">
        <f>IF($G996="","",TRIM(IF(J996+K996+L996+M996&lt;&gt;$G996,"按分不一致 ","")&amp;IF(O996="※未登録","科目未登録 ","")&amp;IF(OR($H996="",ISERROR(MATCH($H996,{1,2,3,4,5,6,7,8},0))),"経費区分? ","")&amp;IF($I996="","状態未設定 ","")&amp;IF(AND(OR($I996="確認済",$I996="未確認"),$B996="月例",OR($C996="",$C996&lt;DATE(年度+2018,4,1),$C996&gt;DATE(年度+2019,3,31))),"年度外の日付 ","")&amp;IF(AND(OR($I996="確認済",$I996="未確認"),O996="対象外"),"対象外の科目 ","")))</f>
        <v/>
      </c>
      <c r="R996" s="366" t="n"/>
    </row>
    <row r="997">
      <c r="A997" s="359" t="n"/>
      <c r="B997" s="360" t="n"/>
      <c r="C997" s="361" t="n"/>
      <c r="D997" s="362" t="n"/>
      <c r="E997" s="362" t="n"/>
      <c r="F997" s="362" t="n"/>
      <c r="G997" s="363" t="n"/>
      <c r="H997" s="360" t="n"/>
      <c r="I997" s="360" t="n"/>
      <c r="J997" s="364" t="str">
        <f>IF($G997="","",IF($H997=1,$G997-ROUND($G997*10/23,0)-2*ROUND($G997/23,0),IF($H997=2,$G997,0)))</f>
        <v/>
      </c>
      <c r="K997" s="364" t="str">
        <f>IF($G997="","",IF($H997=1,ROUND($G997*10/23,0),IF($H997=3,$G997-2*ROUND($G997/12,0),IF($H997=4,$G997,IF(OR($H997=5,$H997=7),ROUND($G997*10/11,0),0)))))</f>
        <v/>
      </c>
      <c r="L997" s="364" t="str">
        <f>IF($G997="","",IF($H997=1,ROUND($G997/23,0),IF($H997=3,ROUND($G997/12,0),IF($H997=5,$G997-ROUND($G997*10/11,0),IF($H997=8,$G997,0)))))</f>
        <v/>
      </c>
      <c r="M997" s="364" t="str">
        <f>IF($G997="","",IF($H997=1,ROUND($G997/23,0),IF($H997=3,ROUND($G997/12,0),IF($H997=6,$G997,IF($H997=7,$G997-ROUND($G997*10/11,0),0)))))</f>
        <v/>
      </c>
      <c r="N997" s="364" t="str">
        <f>IF($G997="","",K997+L997+M997)</f>
        <v/>
      </c>
      <c r="O997" s="365" t="str">
        <f>IF($G997="","",IFERROR(VLOOKUP($D997&amp;"|"&amp;$E997,科目表!$A$5:$B$200,2,FALSE),"※未登録"))</f>
        <v/>
      </c>
      <c r="P997" s="359" t="str">
        <f>IF(OR($G997="",$C997=""),"",IF($B997="決算整理",13,MOD(MONTH($C997)-4,12)+1))</f>
        <v/>
      </c>
      <c r="Q997" s="366" t="str">
        <f>IF($G997="","",TRIM(IF(J997+K997+L997+M997&lt;&gt;$G997,"按分不一致 ","")&amp;IF(O997="※未登録","科目未登録 ","")&amp;IF(OR($H997="",ISERROR(MATCH($H997,{1,2,3,4,5,6,7,8},0))),"経費区分? ","")&amp;IF($I997="","状態未設定 ","")&amp;IF(AND(OR($I997="確認済",$I997="未確認"),$B997="月例",OR($C997="",$C997&lt;DATE(年度+2018,4,1),$C997&gt;DATE(年度+2019,3,31))),"年度外の日付 ","")&amp;IF(AND(OR($I997="確認済",$I997="未確認"),O997="対象外"),"対象外の科目 ","")))</f>
        <v/>
      </c>
      <c r="R997" s="366" t="n"/>
    </row>
    <row r="998">
      <c r="A998" s="359" t="n"/>
      <c r="B998" s="360" t="n"/>
      <c r="C998" s="361" t="n"/>
      <c r="D998" s="362" t="n"/>
      <c r="E998" s="362" t="n"/>
      <c r="F998" s="362" t="n"/>
      <c r="G998" s="363" t="n"/>
      <c r="H998" s="360" t="n"/>
      <c r="I998" s="360" t="n"/>
      <c r="J998" s="364" t="str">
        <f>IF($G998="","",IF($H998=1,$G998-ROUND($G998*10/23,0)-2*ROUND($G998/23,0),IF($H998=2,$G998,0)))</f>
        <v/>
      </c>
      <c r="K998" s="364" t="str">
        <f>IF($G998="","",IF($H998=1,ROUND($G998*10/23,0),IF($H998=3,$G998-2*ROUND($G998/12,0),IF($H998=4,$G998,IF(OR($H998=5,$H998=7),ROUND($G998*10/11,0),0)))))</f>
        <v/>
      </c>
      <c r="L998" s="364" t="str">
        <f>IF($G998="","",IF($H998=1,ROUND($G998/23,0),IF($H998=3,ROUND($G998/12,0),IF($H998=5,$G998-ROUND($G998*10/11,0),IF($H998=8,$G998,0)))))</f>
        <v/>
      </c>
      <c r="M998" s="364" t="str">
        <f>IF($G998="","",IF($H998=1,ROUND($G998/23,0),IF($H998=3,ROUND($G998/12,0),IF($H998=6,$G998,IF($H998=7,$G998-ROUND($G998*10/11,0),0)))))</f>
        <v/>
      </c>
      <c r="N998" s="364" t="str">
        <f>IF($G998="","",K998+L998+M998)</f>
        <v/>
      </c>
      <c r="O998" s="365" t="str">
        <f>IF($G998="","",IFERROR(VLOOKUP($D998&amp;"|"&amp;$E998,科目表!$A$5:$B$200,2,FALSE),"※未登録"))</f>
        <v/>
      </c>
      <c r="P998" s="359" t="str">
        <f>IF(OR($G998="",$C998=""),"",IF($B998="決算整理",13,MOD(MONTH($C998)-4,12)+1))</f>
        <v/>
      </c>
      <c r="Q998" s="366" t="str">
        <f>IF($G998="","",TRIM(IF(J998+K998+L998+M998&lt;&gt;$G998,"按分不一致 ","")&amp;IF(O998="※未登録","科目未登録 ","")&amp;IF(OR($H998="",ISERROR(MATCH($H998,{1,2,3,4,5,6,7,8},0))),"経費区分? ","")&amp;IF($I998="","状態未設定 ","")&amp;IF(AND(OR($I998="確認済",$I998="未確認"),$B998="月例",OR($C998="",$C998&lt;DATE(年度+2018,4,1),$C998&gt;DATE(年度+2019,3,31))),"年度外の日付 ","")&amp;IF(AND(OR($I998="確認済",$I998="未確認"),O998="対象外"),"対象外の科目 ","")))</f>
        <v/>
      </c>
      <c r="R998" s="366" t="n"/>
    </row>
    <row r="999">
      <c r="A999" s="359" t="n"/>
      <c r="B999" s="360" t="n"/>
      <c r="C999" s="361" t="n"/>
      <c r="D999" s="362" t="n"/>
      <c r="E999" s="362" t="n"/>
      <c r="F999" s="362" t="n"/>
      <c r="G999" s="363" t="n"/>
      <c r="H999" s="360" t="n"/>
      <c r="I999" s="360" t="n"/>
      <c r="J999" s="364" t="str">
        <f>IF($G999="","",IF($H999=1,$G999-ROUND($G999*10/23,0)-2*ROUND($G999/23,0),IF($H999=2,$G999,0)))</f>
        <v/>
      </c>
      <c r="K999" s="364" t="str">
        <f>IF($G999="","",IF($H999=1,ROUND($G999*10/23,0),IF($H999=3,$G999-2*ROUND($G999/12,0),IF($H999=4,$G999,IF(OR($H999=5,$H999=7),ROUND($G999*10/11,0),0)))))</f>
        <v/>
      </c>
      <c r="L999" s="364" t="str">
        <f>IF($G999="","",IF($H999=1,ROUND($G999/23,0),IF($H999=3,ROUND($G999/12,0),IF($H999=5,$G999-ROUND($G999*10/11,0),IF($H999=8,$G999,0)))))</f>
        <v/>
      </c>
      <c r="M999" s="364" t="str">
        <f>IF($G999="","",IF($H999=1,ROUND($G999/23,0),IF($H999=3,ROUND($G999/12,0),IF($H999=6,$G999,IF($H999=7,$G999-ROUND($G999*10/11,0),0)))))</f>
        <v/>
      </c>
      <c r="N999" s="364" t="str">
        <f>IF($G999="","",K999+L999+M999)</f>
        <v/>
      </c>
      <c r="O999" s="365" t="str">
        <f>IF($G999="","",IFERROR(VLOOKUP($D999&amp;"|"&amp;$E999,科目表!$A$5:$B$200,2,FALSE),"※未登録"))</f>
        <v/>
      </c>
      <c r="P999" s="359" t="str">
        <f>IF(OR($G999="",$C999=""),"",IF($B999="決算整理",13,MOD(MONTH($C999)-4,12)+1))</f>
        <v/>
      </c>
      <c r="Q999" s="366" t="str">
        <f>IF($G999="","",TRIM(IF(J999+K999+L999+M999&lt;&gt;$G999,"按分不一致 ","")&amp;IF(O999="※未登録","科目未登録 ","")&amp;IF(OR($H999="",ISERROR(MATCH($H999,{1,2,3,4,5,6,7,8},0))),"経費区分? ","")&amp;IF($I999="","状態未設定 ","")&amp;IF(AND(OR($I999="確認済",$I999="未確認"),$B999="月例",OR($C999="",$C999&lt;DATE(年度+2018,4,1),$C999&gt;DATE(年度+2019,3,31))),"年度外の日付 ","")&amp;IF(AND(OR($I999="確認済",$I999="未確認"),O999="対象外"),"対象外の科目 ","")))</f>
        <v/>
      </c>
      <c r="R999" s="366" t="n"/>
    </row>
    <row r="1000">
      <c r="A1000" s="359" t="n"/>
      <c r="B1000" s="360" t="n"/>
      <c r="C1000" s="361" t="n"/>
      <c r="D1000" s="362" t="n"/>
      <c r="E1000" s="362" t="n"/>
      <c r="F1000" s="362" t="n"/>
      <c r="G1000" s="363" t="n"/>
      <c r="H1000" s="360" t="n"/>
      <c r="I1000" s="360" t="n"/>
      <c r="J1000" s="364" t="str">
        <f>IF($G1000="","",IF($H1000=1,$G1000-ROUND($G1000*10/23,0)-2*ROUND($G1000/23,0),IF($H1000=2,$G1000,0)))</f>
        <v/>
      </c>
      <c r="K1000" s="364" t="str">
        <f>IF($G1000="","",IF($H1000=1,ROUND($G1000*10/23,0),IF($H1000=3,$G1000-2*ROUND($G1000/12,0),IF($H1000=4,$G1000,IF(OR($H1000=5,$H1000=7),ROUND($G1000*10/11,0),0)))))</f>
        <v/>
      </c>
      <c r="L1000" s="364" t="str">
        <f>IF($G1000="","",IF($H1000=1,ROUND($G1000/23,0),IF($H1000=3,ROUND($G1000/12,0),IF($H1000=5,$G1000-ROUND($G1000*10/11,0),IF($H1000=8,$G1000,0)))))</f>
        <v/>
      </c>
      <c r="M1000" s="364" t="str">
        <f>IF($G1000="","",IF($H1000=1,ROUND($G1000/23,0),IF($H1000=3,ROUND($G1000/12,0),IF($H1000=6,$G1000,IF($H1000=7,$G1000-ROUND($G1000*10/11,0),0)))))</f>
        <v/>
      </c>
      <c r="N1000" s="364" t="str">
        <f>IF($G1000="","",K1000+L1000+M1000)</f>
        <v/>
      </c>
      <c r="O1000" s="365" t="str">
        <f>IF($G1000="","",IFERROR(VLOOKUP($D1000&amp;"|"&amp;$E1000,科目表!$A$5:$B$200,2,FALSE),"※未登録"))</f>
        <v/>
      </c>
      <c r="P1000" s="359" t="str">
        <f>IF(OR($G1000="",$C1000=""),"",IF($B1000="決算整理",13,MOD(MONTH($C1000)-4,12)+1))</f>
        <v/>
      </c>
      <c r="Q1000" s="366" t="str">
        <f>IF($G1000="","",TRIM(IF(J1000+K1000+L1000+M1000&lt;&gt;$G1000,"按分不一致 ","")&amp;IF(O1000="※未登録","科目未登録 ","")&amp;IF(OR($H1000="",ISERROR(MATCH($H1000,{1,2,3,4,5,6,7,8},0))),"経費区分? ","")&amp;IF($I1000="","状態未設定 ","")&amp;IF(AND(OR($I1000="確認済",$I1000="未確認"),$B1000="月例",OR($C1000="",$C1000&lt;DATE(年度+2018,4,1),$C1000&gt;DATE(年度+2019,3,31))),"年度外の日付 ","")&amp;IF(AND(OR($I1000="確認済",$I1000="未確認"),O1000="対象外"),"対象外の科目 ","")))</f>
        <v/>
      </c>
      <c r="R1000" s="366" t="n"/>
    </row>
    <row r="1001">
      <c r="A1001" s="359" t="n"/>
      <c r="B1001" s="360" t="n"/>
      <c r="C1001" s="361" t="n"/>
      <c r="D1001" s="362" t="n"/>
      <c r="E1001" s="362" t="n"/>
      <c r="F1001" s="362" t="n"/>
      <c r="G1001" s="363" t="n"/>
      <c r="H1001" s="360" t="n"/>
      <c r="I1001" s="360" t="n"/>
      <c r="J1001" s="364" t="str">
        <f>IF($G1001="","",IF($H1001=1,$G1001-ROUND($G1001*10/23,0)-2*ROUND($G1001/23,0),IF($H1001=2,$G1001,0)))</f>
        <v/>
      </c>
      <c r="K1001" s="364" t="str">
        <f>IF($G1001="","",IF($H1001=1,ROUND($G1001*10/23,0),IF($H1001=3,$G1001-2*ROUND($G1001/12,0),IF($H1001=4,$G1001,IF(OR($H1001=5,$H1001=7),ROUND($G1001*10/11,0),0)))))</f>
        <v/>
      </c>
      <c r="L1001" s="364" t="str">
        <f>IF($G1001="","",IF($H1001=1,ROUND($G1001/23,0),IF($H1001=3,ROUND($G1001/12,0),IF($H1001=5,$G1001-ROUND($G1001*10/11,0),IF($H1001=8,$G1001,0)))))</f>
        <v/>
      </c>
      <c r="M1001" s="364" t="str">
        <f>IF($G1001="","",IF($H1001=1,ROUND($G1001/23,0),IF($H1001=3,ROUND($G1001/12,0),IF($H1001=6,$G1001,IF($H1001=7,$G1001-ROUND($G1001*10/11,0),0)))))</f>
        <v/>
      </c>
      <c r="N1001" s="364" t="str">
        <f>IF($G1001="","",K1001+L1001+M1001)</f>
        <v/>
      </c>
      <c r="O1001" s="365" t="str">
        <f>IF($G1001="","",IFERROR(VLOOKUP($D1001&amp;"|"&amp;$E1001,科目表!$A$5:$B$200,2,FALSE),"※未登録"))</f>
        <v/>
      </c>
      <c r="P1001" s="359" t="str">
        <f>IF(OR($G1001="",$C1001=""),"",IF($B1001="決算整理",13,MOD(MONTH($C1001)-4,12)+1))</f>
        <v/>
      </c>
      <c r="Q1001" s="366" t="str">
        <f>IF($G1001="","",TRIM(IF(J1001+K1001+L1001+M1001&lt;&gt;$G1001,"按分不一致 ","")&amp;IF(O1001="※未登録","科目未登録 ","")&amp;IF(OR($H1001="",ISERROR(MATCH($H1001,{1,2,3,4,5,6,7,8},0))),"経費区分? ","")&amp;IF($I1001="","状態未設定 ","")&amp;IF(AND(OR($I1001="確認済",$I1001="未確認"),$B1001="月例",OR($C1001="",$C1001&lt;DATE(年度+2018,4,1),$C1001&gt;DATE(年度+2019,3,31))),"年度外の日付 ","")&amp;IF(AND(OR($I1001="確認済",$I1001="未確認"),O1001="対象外"),"対象外の科目 ","")))</f>
        <v/>
      </c>
      <c r="R1001" s="366" t="n"/>
    </row>
    <row r="1002">
      <c r="A1002" s="359" t="n"/>
      <c r="B1002" s="360" t="n"/>
      <c r="C1002" s="361" t="n"/>
      <c r="D1002" s="362" t="n"/>
      <c r="E1002" s="362" t="n"/>
      <c r="F1002" s="362" t="n"/>
      <c r="G1002" s="363" t="n"/>
      <c r="H1002" s="360" t="n"/>
      <c r="I1002" s="360" t="n"/>
      <c r="J1002" s="364" t="str">
        <f>IF($G1002="","",IF($H1002=1,$G1002-ROUND($G1002*10/23,0)-2*ROUND($G1002/23,0),IF($H1002=2,$G1002,0)))</f>
        <v/>
      </c>
      <c r="K1002" s="364" t="str">
        <f>IF($G1002="","",IF($H1002=1,ROUND($G1002*10/23,0),IF($H1002=3,$G1002-2*ROUND($G1002/12,0),IF($H1002=4,$G1002,IF(OR($H1002=5,$H1002=7),ROUND($G1002*10/11,0),0)))))</f>
        <v/>
      </c>
      <c r="L1002" s="364" t="str">
        <f>IF($G1002="","",IF($H1002=1,ROUND($G1002/23,0),IF($H1002=3,ROUND($G1002/12,0),IF($H1002=5,$G1002-ROUND($G1002*10/11,0),IF($H1002=8,$G1002,0)))))</f>
        <v/>
      </c>
      <c r="M1002" s="364" t="str">
        <f>IF($G1002="","",IF($H1002=1,ROUND($G1002/23,0),IF($H1002=3,ROUND($G1002/12,0),IF($H1002=6,$G1002,IF($H1002=7,$G1002-ROUND($G1002*10/11,0),0)))))</f>
        <v/>
      </c>
      <c r="N1002" s="364" t="str">
        <f>IF($G1002="","",K1002+L1002+M1002)</f>
        <v/>
      </c>
      <c r="O1002" s="365" t="str">
        <f>IF($G1002="","",IFERROR(VLOOKUP($D1002&amp;"|"&amp;$E1002,科目表!$A$5:$B$200,2,FALSE),"※未登録"))</f>
        <v/>
      </c>
      <c r="P1002" s="359" t="str">
        <f>IF(OR($G1002="",$C1002=""),"",IF($B1002="決算整理",13,MOD(MONTH($C1002)-4,12)+1))</f>
        <v/>
      </c>
      <c r="Q1002" s="366" t="str">
        <f>IF($G1002="","",TRIM(IF(J1002+K1002+L1002+M1002&lt;&gt;$G1002,"按分不一致 ","")&amp;IF(O1002="※未登録","科目未登録 ","")&amp;IF(OR($H1002="",ISERROR(MATCH($H1002,{1,2,3,4,5,6,7,8},0))),"経費区分? ","")&amp;IF($I1002="","状態未設定 ","")&amp;IF(AND(OR($I1002="確認済",$I1002="未確認"),$B1002="月例",OR($C1002="",$C1002&lt;DATE(年度+2018,4,1),$C1002&gt;DATE(年度+2019,3,31))),"年度外の日付 ","")&amp;IF(AND(OR($I1002="確認済",$I1002="未確認"),O1002="対象外"),"対象外の科目 ","")))</f>
        <v/>
      </c>
      <c r="R1002" s="366" t="n"/>
    </row>
    <row r="1003">
      <c r="A1003" s="359" t="n"/>
      <c r="B1003" s="360" t="n"/>
      <c r="C1003" s="361" t="n"/>
      <c r="D1003" s="362" t="n"/>
      <c r="E1003" s="362" t="n"/>
      <c r="F1003" s="362" t="n"/>
      <c r="G1003" s="363" t="n"/>
      <c r="H1003" s="360" t="n"/>
      <c r="I1003" s="360" t="n"/>
      <c r="J1003" s="364" t="str">
        <f>IF($G1003="","",IF($H1003=1,$G1003-ROUND($G1003*10/23,0)-2*ROUND($G1003/23,0),IF($H1003=2,$G1003,0)))</f>
        <v/>
      </c>
      <c r="K1003" s="364" t="str">
        <f>IF($G1003="","",IF($H1003=1,ROUND($G1003*10/23,0),IF($H1003=3,$G1003-2*ROUND($G1003/12,0),IF($H1003=4,$G1003,IF(OR($H1003=5,$H1003=7),ROUND($G1003*10/11,0),0)))))</f>
        <v/>
      </c>
      <c r="L1003" s="364" t="str">
        <f>IF($G1003="","",IF($H1003=1,ROUND($G1003/23,0),IF($H1003=3,ROUND($G1003/12,0),IF($H1003=5,$G1003-ROUND($G1003*10/11,0),IF($H1003=8,$G1003,0)))))</f>
        <v/>
      </c>
      <c r="M1003" s="364" t="str">
        <f>IF($G1003="","",IF($H1003=1,ROUND($G1003/23,0),IF($H1003=3,ROUND($G1003/12,0),IF($H1003=6,$G1003,IF($H1003=7,$G1003-ROUND($G1003*10/11,0),0)))))</f>
        <v/>
      </c>
      <c r="N1003" s="364" t="str">
        <f>IF($G1003="","",K1003+L1003+M1003)</f>
        <v/>
      </c>
      <c r="O1003" s="365" t="str">
        <f>IF($G1003="","",IFERROR(VLOOKUP($D1003&amp;"|"&amp;$E1003,科目表!$A$5:$B$200,2,FALSE),"※未登録"))</f>
        <v/>
      </c>
      <c r="P1003" s="359" t="str">
        <f>IF(OR($G1003="",$C1003=""),"",IF($B1003="決算整理",13,MOD(MONTH($C1003)-4,12)+1))</f>
        <v/>
      </c>
      <c r="Q1003" s="366" t="str">
        <f>IF($G1003="","",TRIM(IF(J1003+K1003+L1003+M1003&lt;&gt;$G1003,"按分不一致 ","")&amp;IF(O1003="※未登録","科目未登録 ","")&amp;IF(OR($H1003="",ISERROR(MATCH($H1003,{1,2,3,4,5,6,7,8},0))),"経費区分? ","")&amp;IF($I1003="","状態未設定 ","")&amp;IF(AND(OR($I1003="確認済",$I1003="未確認"),$B1003="月例",OR($C1003="",$C1003&lt;DATE(年度+2018,4,1),$C1003&gt;DATE(年度+2019,3,31))),"年度外の日付 ","")&amp;IF(AND(OR($I1003="確認済",$I1003="未確認"),O1003="対象外"),"対象外の科目 ","")))</f>
        <v/>
      </c>
      <c r="R1003" s="366" t="n"/>
    </row>
    <row r="1004">
      <c r="A1004" s="359" t="n"/>
      <c r="B1004" s="360" t="n"/>
      <c r="C1004" s="361" t="n"/>
      <c r="D1004" s="362" t="n"/>
      <c r="E1004" s="362" t="n"/>
      <c r="F1004" s="362" t="n"/>
      <c r="G1004" s="363" t="n"/>
      <c r="H1004" s="360" t="n"/>
      <c r="I1004" s="360" t="n"/>
      <c r="J1004" s="364" t="str">
        <f>IF($G1004="","",IF($H1004=1,$G1004-ROUND($G1004*10/23,0)-2*ROUND($G1004/23,0),IF($H1004=2,$G1004,0)))</f>
        <v/>
      </c>
      <c r="K1004" s="364" t="str">
        <f>IF($G1004="","",IF($H1004=1,ROUND($G1004*10/23,0),IF($H1004=3,$G1004-2*ROUND($G1004/12,0),IF($H1004=4,$G1004,IF(OR($H1004=5,$H1004=7),ROUND($G1004*10/11,0),0)))))</f>
        <v/>
      </c>
      <c r="L1004" s="364" t="str">
        <f>IF($G1004="","",IF($H1004=1,ROUND($G1004/23,0),IF($H1004=3,ROUND($G1004/12,0),IF($H1004=5,$G1004-ROUND($G1004*10/11,0),IF($H1004=8,$G1004,0)))))</f>
        <v/>
      </c>
      <c r="M1004" s="364" t="str">
        <f>IF($G1004="","",IF($H1004=1,ROUND($G1004/23,0),IF($H1004=3,ROUND($G1004/12,0),IF($H1004=6,$G1004,IF($H1004=7,$G1004-ROUND($G1004*10/11,0),0)))))</f>
        <v/>
      </c>
      <c r="N1004" s="364" t="str">
        <f>IF($G1004="","",K1004+L1004+M1004)</f>
        <v/>
      </c>
      <c r="O1004" s="365" t="str">
        <f>IF($G1004="","",IFERROR(VLOOKUP($D1004&amp;"|"&amp;$E1004,科目表!$A$5:$B$200,2,FALSE),"※未登録"))</f>
        <v/>
      </c>
      <c r="P1004" s="359" t="str">
        <f>IF(OR($G1004="",$C1004=""),"",IF($B1004="決算整理",13,MOD(MONTH($C1004)-4,12)+1))</f>
        <v/>
      </c>
      <c r="Q1004" s="366" t="str">
        <f>IF($G1004="","",TRIM(IF(J1004+K1004+L1004+M1004&lt;&gt;$G1004,"按分不一致 ","")&amp;IF(O1004="※未登録","科目未登録 ","")&amp;IF(OR($H1004="",ISERROR(MATCH($H1004,{1,2,3,4,5,6,7,8},0))),"経費区分? ","")&amp;IF($I1004="","状態未設定 ","")&amp;IF(AND(OR($I1004="確認済",$I1004="未確認"),$B1004="月例",OR($C1004="",$C1004&lt;DATE(年度+2018,4,1),$C1004&gt;DATE(年度+2019,3,31))),"年度外の日付 ","")&amp;IF(AND(OR($I1004="確認済",$I1004="未確認"),O1004="対象外"),"対象外の科目 ","")))</f>
        <v/>
      </c>
      <c r="R1004" s="366" t="n"/>
    </row>
    <row r="1005">
      <c r="A1005" s="359" t="n"/>
      <c r="B1005" s="360" t="n"/>
      <c r="C1005" s="361" t="n"/>
      <c r="D1005" s="362" t="n"/>
      <c r="E1005" s="362" t="n"/>
      <c r="F1005" s="362" t="n"/>
      <c r="G1005" s="363" t="n"/>
      <c r="H1005" s="360" t="n"/>
      <c r="I1005" s="360" t="n"/>
      <c r="J1005" s="364" t="str">
        <f>IF($G1005="","",IF($H1005=1,$G1005-ROUND($G1005*10/23,0)-2*ROUND($G1005/23,0),IF($H1005=2,$G1005,0)))</f>
        <v/>
      </c>
      <c r="K1005" s="364" t="str">
        <f>IF($G1005="","",IF($H1005=1,ROUND($G1005*10/23,0),IF($H1005=3,$G1005-2*ROUND($G1005/12,0),IF($H1005=4,$G1005,IF(OR($H1005=5,$H1005=7),ROUND($G1005*10/11,0),0)))))</f>
        <v/>
      </c>
      <c r="L1005" s="364" t="str">
        <f>IF($G1005="","",IF($H1005=1,ROUND($G1005/23,0),IF($H1005=3,ROUND($G1005/12,0),IF($H1005=5,$G1005-ROUND($G1005*10/11,0),IF($H1005=8,$G1005,0)))))</f>
        <v/>
      </c>
      <c r="M1005" s="364" t="str">
        <f>IF($G1005="","",IF($H1005=1,ROUND($G1005/23,0),IF($H1005=3,ROUND($G1005/12,0),IF($H1005=6,$G1005,IF($H1005=7,$G1005-ROUND($G1005*10/11,0),0)))))</f>
        <v/>
      </c>
      <c r="N1005" s="364" t="str">
        <f>IF($G1005="","",K1005+L1005+M1005)</f>
        <v/>
      </c>
      <c r="O1005" s="365" t="str">
        <f>IF($G1005="","",IFERROR(VLOOKUP($D1005&amp;"|"&amp;$E1005,科目表!$A$5:$B$200,2,FALSE),"※未登録"))</f>
        <v/>
      </c>
      <c r="P1005" s="359" t="str">
        <f>IF(OR($G1005="",$C1005=""),"",IF($B1005="決算整理",13,MOD(MONTH($C1005)-4,12)+1))</f>
        <v/>
      </c>
      <c r="Q1005" s="366" t="str">
        <f>IF($G1005="","",TRIM(IF(J1005+K1005+L1005+M1005&lt;&gt;$G1005,"按分不一致 ","")&amp;IF(O1005="※未登録","科目未登録 ","")&amp;IF(OR($H1005="",ISERROR(MATCH($H1005,{1,2,3,4,5,6,7,8},0))),"経費区分? ","")&amp;IF($I1005="","状態未設定 ","")&amp;IF(AND(OR($I1005="確認済",$I1005="未確認"),$B1005="月例",OR($C1005="",$C1005&lt;DATE(年度+2018,4,1),$C1005&gt;DATE(年度+2019,3,31))),"年度外の日付 ","")&amp;IF(AND(OR($I1005="確認済",$I1005="未確認"),O1005="対象外"),"対象外の科目 ","")))</f>
        <v/>
      </c>
      <c r="R1005" s="366" t="n"/>
    </row>
    <row r="1006">
      <c r="A1006" s="359" t="n"/>
      <c r="B1006" s="360" t="n"/>
      <c r="C1006" s="361" t="n"/>
      <c r="D1006" s="362" t="n"/>
      <c r="E1006" s="362" t="n"/>
      <c r="F1006" s="362" t="n"/>
      <c r="G1006" s="363" t="n"/>
      <c r="H1006" s="360" t="n"/>
      <c r="I1006" s="360" t="n"/>
      <c r="J1006" s="364" t="str">
        <f>IF($G1006="","",IF($H1006=1,$G1006-ROUND($G1006*10/23,0)-2*ROUND($G1006/23,0),IF($H1006=2,$G1006,0)))</f>
        <v/>
      </c>
      <c r="K1006" s="364" t="str">
        <f>IF($G1006="","",IF($H1006=1,ROUND($G1006*10/23,0),IF($H1006=3,$G1006-2*ROUND($G1006/12,0),IF($H1006=4,$G1006,IF(OR($H1006=5,$H1006=7),ROUND($G1006*10/11,0),0)))))</f>
        <v/>
      </c>
      <c r="L1006" s="364" t="str">
        <f>IF($G1006="","",IF($H1006=1,ROUND($G1006/23,0),IF($H1006=3,ROUND($G1006/12,0),IF($H1006=5,$G1006-ROUND($G1006*10/11,0),IF($H1006=8,$G1006,0)))))</f>
        <v/>
      </c>
      <c r="M1006" s="364" t="str">
        <f>IF($G1006="","",IF($H1006=1,ROUND($G1006/23,0),IF($H1006=3,ROUND($G1006/12,0),IF($H1006=6,$G1006,IF($H1006=7,$G1006-ROUND($G1006*10/11,0),0)))))</f>
        <v/>
      </c>
      <c r="N1006" s="364" t="str">
        <f>IF($G1006="","",K1006+L1006+M1006)</f>
        <v/>
      </c>
      <c r="O1006" s="365" t="str">
        <f>IF($G1006="","",IFERROR(VLOOKUP($D1006&amp;"|"&amp;$E1006,科目表!$A$5:$B$200,2,FALSE),"※未登録"))</f>
        <v/>
      </c>
      <c r="P1006" s="359" t="str">
        <f>IF(OR($G1006="",$C1006=""),"",IF($B1006="決算整理",13,MOD(MONTH($C1006)-4,12)+1))</f>
        <v/>
      </c>
      <c r="Q1006" s="366" t="str">
        <f>IF($G1006="","",TRIM(IF(J1006+K1006+L1006+M1006&lt;&gt;$G1006,"按分不一致 ","")&amp;IF(O1006="※未登録","科目未登録 ","")&amp;IF(OR($H1006="",ISERROR(MATCH($H1006,{1,2,3,4,5,6,7,8},0))),"経費区分? ","")&amp;IF($I1006="","状態未設定 ","")&amp;IF(AND(OR($I1006="確認済",$I1006="未確認"),$B1006="月例",OR($C1006="",$C1006&lt;DATE(年度+2018,4,1),$C1006&gt;DATE(年度+2019,3,31))),"年度外の日付 ","")&amp;IF(AND(OR($I1006="確認済",$I1006="未確認"),O1006="対象外"),"対象外の科目 ","")))</f>
        <v/>
      </c>
      <c r="R1006" s="366" t="n"/>
    </row>
    <row r="1007">
      <c r="A1007" s="359" t="n"/>
      <c r="B1007" s="360" t="n"/>
      <c r="C1007" s="361" t="n"/>
      <c r="D1007" s="362" t="n"/>
      <c r="E1007" s="362" t="n"/>
      <c r="F1007" s="362" t="n"/>
      <c r="G1007" s="363" t="n"/>
      <c r="H1007" s="360" t="n"/>
      <c r="I1007" s="360" t="n"/>
      <c r="J1007" s="364" t="str">
        <f>IF($G1007="","",IF($H1007=1,$G1007-ROUND($G1007*10/23,0)-2*ROUND($G1007/23,0),IF($H1007=2,$G1007,0)))</f>
        <v/>
      </c>
      <c r="K1007" s="364" t="str">
        <f>IF($G1007="","",IF($H1007=1,ROUND($G1007*10/23,0),IF($H1007=3,$G1007-2*ROUND($G1007/12,0),IF($H1007=4,$G1007,IF(OR($H1007=5,$H1007=7),ROUND($G1007*10/11,0),0)))))</f>
        <v/>
      </c>
      <c r="L1007" s="364" t="str">
        <f>IF($G1007="","",IF($H1007=1,ROUND($G1007/23,0),IF($H1007=3,ROUND($G1007/12,0),IF($H1007=5,$G1007-ROUND($G1007*10/11,0),IF($H1007=8,$G1007,0)))))</f>
        <v/>
      </c>
      <c r="M1007" s="364" t="str">
        <f>IF($G1007="","",IF($H1007=1,ROUND($G1007/23,0),IF($H1007=3,ROUND($G1007/12,0),IF($H1007=6,$G1007,IF($H1007=7,$G1007-ROUND($G1007*10/11,0),0)))))</f>
        <v/>
      </c>
      <c r="N1007" s="364" t="str">
        <f>IF($G1007="","",K1007+L1007+M1007)</f>
        <v/>
      </c>
      <c r="O1007" s="365" t="str">
        <f>IF($G1007="","",IFERROR(VLOOKUP($D1007&amp;"|"&amp;$E1007,科目表!$A$5:$B$200,2,FALSE),"※未登録"))</f>
        <v/>
      </c>
      <c r="P1007" s="359" t="str">
        <f>IF(OR($G1007="",$C1007=""),"",IF($B1007="決算整理",13,MOD(MONTH($C1007)-4,12)+1))</f>
        <v/>
      </c>
      <c r="Q1007" s="366" t="str">
        <f>IF($G1007="","",TRIM(IF(J1007+K1007+L1007+M1007&lt;&gt;$G1007,"按分不一致 ","")&amp;IF(O1007="※未登録","科目未登録 ","")&amp;IF(OR($H1007="",ISERROR(MATCH($H1007,{1,2,3,4,5,6,7,8},0))),"経費区分? ","")&amp;IF($I1007="","状態未設定 ","")&amp;IF(AND(OR($I1007="確認済",$I1007="未確認"),$B1007="月例",OR($C1007="",$C1007&lt;DATE(年度+2018,4,1),$C1007&gt;DATE(年度+2019,3,31))),"年度外の日付 ","")&amp;IF(AND(OR($I1007="確認済",$I1007="未確認"),O1007="対象外"),"対象外の科目 ","")))</f>
        <v/>
      </c>
      <c r="R1007" s="366" t="n"/>
    </row>
    <row r="1008">
      <c r="A1008" s="359" t="n"/>
      <c r="B1008" s="360" t="n"/>
      <c r="C1008" s="361" t="n"/>
      <c r="D1008" s="362" t="n"/>
      <c r="E1008" s="362" t="n"/>
      <c r="F1008" s="362" t="n"/>
      <c r="G1008" s="363" t="n"/>
      <c r="H1008" s="360" t="n"/>
      <c r="I1008" s="360" t="n"/>
      <c r="J1008" s="364" t="str">
        <f>IF($G1008="","",IF($H1008=1,$G1008-ROUND($G1008*10/23,0)-2*ROUND($G1008/23,0),IF($H1008=2,$G1008,0)))</f>
        <v/>
      </c>
      <c r="K1008" s="364" t="str">
        <f>IF($G1008="","",IF($H1008=1,ROUND($G1008*10/23,0),IF($H1008=3,$G1008-2*ROUND($G1008/12,0),IF($H1008=4,$G1008,IF(OR($H1008=5,$H1008=7),ROUND($G1008*10/11,0),0)))))</f>
        <v/>
      </c>
      <c r="L1008" s="364" t="str">
        <f>IF($G1008="","",IF($H1008=1,ROUND($G1008/23,0),IF($H1008=3,ROUND($G1008/12,0),IF($H1008=5,$G1008-ROUND($G1008*10/11,0),IF($H1008=8,$G1008,0)))))</f>
        <v/>
      </c>
      <c r="M1008" s="364" t="str">
        <f>IF($G1008="","",IF($H1008=1,ROUND($G1008/23,0),IF($H1008=3,ROUND($G1008/12,0),IF($H1008=6,$G1008,IF($H1008=7,$G1008-ROUND($G1008*10/11,0),0)))))</f>
        <v/>
      </c>
      <c r="N1008" s="364" t="str">
        <f>IF($G1008="","",K1008+L1008+M1008)</f>
        <v/>
      </c>
      <c r="O1008" s="365" t="str">
        <f>IF($G1008="","",IFERROR(VLOOKUP($D1008&amp;"|"&amp;$E1008,科目表!$A$5:$B$200,2,FALSE),"※未登録"))</f>
        <v/>
      </c>
      <c r="P1008" s="359" t="str">
        <f>IF(OR($G1008="",$C1008=""),"",IF($B1008="決算整理",13,MOD(MONTH($C1008)-4,12)+1))</f>
        <v/>
      </c>
      <c r="Q1008" s="366" t="str">
        <f>IF($G1008="","",TRIM(IF(J1008+K1008+L1008+M1008&lt;&gt;$G1008,"按分不一致 ","")&amp;IF(O1008="※未登録","科目未登録 ","")&amp;IF(OR($H1008="",ISERROR(MATCH($H1008,{1,2,3,4,5,6,7,8},0))),"経費区分? ","")&amp;IF($I1008="","状態未設定 ","")&amp;IF(AND(OR($I1008="確認済",$I1008="未確認"),$B1008="月例",OR($C1008="",$C1008&lt;DATE(年度+2018,4,1),$C1008&gt;DATE(年度+2019,3,31))),"年度外の日付 ","")&amp;IF(AND(OR($I1008="確認済",$I1008="未確認"),O1008="対象外"),"対象外の科目 ","")))</f>
        <v/>
      </c>
      <c r="R1008" s="366" t="n"/>
    </row>
    <row r="1009">
      <c r="A1009" s="359" t="n"/>
      <c r="B1009" s="360" t="n"/>
      <c r="C1009" s="361" t="n"/>
      <c r="D1009" s="362" t="n"/>
      <c r="E1009" s="362" t="n"/>
      <c r="F1009" s="362" t="n"/>
      <c r="G1009" s="363" t="n"/>
      <c r="H1009" s="360" t="n"/>
      <c r="I1009" s="360" t="n"/>
      <c r="J1009" s="364" t="str">
        <f>IF($G1009="","",IF($H1009=1,$G1009-ROUND($G1009*10/23,0)-2*ROUND($G1009/23,0),IF($H1009=2,$G1009,0)))</f>
        <v/>
      </c>
      <c r="K1009" s="364" t="str">
        <f>IF($G1009="","",IF($H1009=1,ROUND($G1009*10/23,0),IF($H1009=3,$G1009-2*ROUND($G1009/12,0),IF($H1009=4,$G1009,IF(OR($H1009=5,$H1009=7),ROUND($G1009*10/11,0),0)))))</f>
        <v/>
      </c>
      <c r="L1009" s="364" t="str">
        <f>IF($G1009="","",IF($H1009=1,ROUND($G1009/23,0),IF($H1009=3,ROUND($G1009/12,0),IF($H1009=5,$G1009-ROUND($G1009*10/11,0),IF($H1009=8,$G1009,0)))))</f>
        <v/>
      </c>
      <c r="M1009" s="364" t="str">
        <f>IF($G1009="","",IF($H1009=1,ROUND($G1009/23,0),IF($H1009=3,ROUND($G1009/12,0),IF($H1009=6,$G1009,IF($H1009=7,$G1009-ROUND($G1009*10/11,0),0)))))</f>
        <v/>
      </c>
      <c r="N1009" s="364" t="str">
        <f>IF($G1009="","",K1009+L1009+M1009)</f>
        <v/>
      </c>
      <c r="O1009" s="365" t="str">
        <f>IF($G1009="","",IFERROR(VLOOKUP($D1009&amp;"|"&amp;$E1009,科目表!$A$5:$B$200,2,FALSE),"※未登録"))</f>
        <v/>
      </c>
      <c r="P1009" s="359" t="str">
        <f>IF(OR($G1009="",$C1009=""),"",IF($B1009="決算整理",13,MOD(MONTH($C1009)-4,12)+1))</f>
        <v/>
      </c>
      <c r="Q1009" s="366" t="str">
        <f>IF($G1009="","",TRIM(IF(J1009+K1009+L1009+M1009&lt;&gt;$G1009,"按分不一致 ","")&amp;IF(O1009="※未登録","科目未登録 ","")&amp;IF(OR($H1009="",ISERROR(MATCH($H1009,{1,2,3,4,5,6,7,8},0))),"経費区分? ","")&amp;IF($I1009="","状態未設定 ","")&amp;IF(AND(OR($I1009="確認済",$I1009="未確認"),$B1009="月例",OR($C1009="",$C1009&lt;DATE(年度+2018,4,1),$C1009&gt;DATE(年度+2019,3,31))),"年度外の日付 ","")&amp;IF(AND(OR($I1009="確認済",$I1009="未確認"),O1009="対象外"),"対象外の科目 ","")))</f>
        <v/>
      </c>
      <c r="R1009" s="366" t="n"/>
    </row>
    <row r="1010">
      <c r="A1010" s="359" t="n"/>
      <c r="B1010" s="360" t="n"/>
      <c r="C1010" s="361" t="n"/>
      <c r="D1010" s="362" t="n"/>
      <c r="E1010" s="362" t="n"/>
      <c r="F1010" s="362" t="n"/>
      <c r="G1010" s="363" t="n"/>
      <c r="H1010" s="360" t="n"/>
      <c r="I1010" s="360" t="n"/>
      <c r="J1010" s="364" t="str">
        <f>IF($G1010="","",IF($H1010=1,$G1010-ROUND($G1010*10/23,0)-2*ROUND($G1010/23,0),IF($H1010=2,$G1010,0)))</f>
        <v/>
      </c>
      <c r="K1010" s="364" t="str">
        <f>IF($G1010="","",IF($H1010=1,ROUND($G1010*10/23,0),IF($H1010=3,$G1010-2*ROUND($G1010/12,0),IF($H1010=4,$G1010,IF(OR($H1010=5,$H1010=7),ROUND($G1010*10/11,0),0)))))</f>
        <v/>
      </c>
      <c r="L1010" s="364" t="str">
        <f>IF($G1010="","",IF($H1010=1,ROUND($G1010/23,0),IF($H1010=3,ROUND($G1010/12,0),IF($H1010=5,$G1010-ROUND($G1010*10/11,0),IF($H1010=8,$G1010,0)))))</f>
        <v/>
      </c>
      <c r="M1010" s="364" t="str">
        <f>IF($G1010="","",IF($H1010=1,ROUND($G1010/23,0),IF($H1010=3,ROUND($G1010/12,0),IF($H1010=6,$G1010,IF($H1010=7,$G1010-ROUND($G1010*10/11,0),0)))))</f>
        <v/>
      </c>
      <c r="N1010" s="364" t="str">
        <f>IF($G1010="","",K1010+L1010+M1010)</f>
        <v/>
      </c>
      <c r="O1010" s="365" t="str">
        <f>IF($G1010="","",IFERROR(VLOOKUP($D1010&amp;"|"&amp;$E1010,科目表!$A$5:$B$200,2,FALSE),"※未登録"))</f>
        <v/>
      </c>
      <c r="P1010" s="359" t="str">
        <f>IF(OR($G1010="",$C1010=""),"",IF($B1010="決算整理",13,MOD(MONTH($C1010)-4,12)+1))</f>
        <v/>
      </c>
      <c r="Q1010" s="366" t="str">
        <f>IF($G1010="","",TRIM(IF(J1010+K1010+L1010+M1010&lt;&gt;$G1010,"按分不一致 ","")&amp;IF(O1010="※未登録","科目未登録 ","")&amp;IF(OR($H1010="",ISERROR(MATCH($H1010,{1,2,3,4,5,6,7,8},0))),"経費区分? ","")&amp;IF($I1010="","状態未設定 ","")&amp;IF(AND(OR($I1010="確認済",$I1010="未確認"),$B1010="月例",OR($C1010="",$C1010&lt;DATE(年度+2018,4,1),$C1010&gt;DATE(年度+2019,3,31))),"年度外の日付 ","")&amp;IF(AND(OR($I1010="確認済",$I1010="未確認"),O1010="対象外"),"対象外の科目 ","")))</f>
        <v/>
      </c>
      <c r="R1010" s="366" t="n"/>
    </row>
    <row r="1011">
      <c r="A1011" s="359" t="n"/>
      <c r="B1011" s="360" t="n"/>
      <c r="C1011" s="361" t="n"/>
      <c r="D1011" s="362" t="n"/>
      <c r="E1011" s="362" t="n"/>
      <c r="F1011" s="362" t="n"/>
      <c r="G1011" s="363" t="n"/>
      <c r="H1011" s="360" t="n"/>
      <c r="I1011" s="360" t="n"/>
      <c r="J1011" s="364" t="str">
        <f>IF($G1011="","",IF($H1011=1,$G1011-ROUND($G1011*10/23,0)-2*ROUND($G1011/23,0),IF($H1011=2,$G1011,0)))</f>
        <v/>
      </c>
      <c r="K1011" s="364" t="str">
        <f>IF($G1011="","",IF($H1011=1,ROUND($G1011*10/23,0),IF($H1011=3,$G1011-2*ROUND($G1011/12,0),IF($H1011=4,$G1011,IF(OR($H1011=5,$H1011=7),ROUND($G1011*10/11,0),0)))))</f>
        <v/>
      </c>
      <c r="L1011" s="364" t="str">
        <f>IF($G1011="","",IF($H1011=1,ROUND($G1011/23,0),IF($H1011=3,ROUND($G1011/12,0),IF($H1011=5,$G1011-ROUND($G1011*10/11,0),IF($H1011=8,$G1011,0)))))</f>
        <v/>
      </c>
      <c r="M1011" s="364" t="str">
        <f>IF($G1011="","",IF($H1011=1,ROUND($G1011/23,0),IF($H1011=3,ROUND($G1011/12,0),IF($H1011=6,$G1011,IF($H1011=7,$G1011-ROUND($G1011*10/11,0),0)))))</f>
        <v/>
      </c>
      <c r="N1011" s="364" t="str">
        <f>IF($G1011="","",K1011+L1011+M1011)</f>
        <v/>
      </c>
      <c r="O1011" s="365" t="str">
        <f>IF($G1011="","",IFERROR(VLOOKUP($D1011&amp;"|"&amp;$E1011,科目表!$A$5:$B$200,2,FALSE),"※未登録"))</f>
        <v/>
      </c>
      <c r="P1011" s="359" t="str">
        <f>IF(OR($G1011="",$C1011=""),"",IF($B1011="決算整理",13,MOD(MONTH($C1011)-4,12)+1))</f>
        <v/>
      </c>
      <c r="Q1011" s="366" t="str">
        <f>IF($G1011="","",TRIM(IF(J1011+K1011+L1011+M1011&lt;&gt;$G1011,"按分不一致 ","")&amp;IF(O1011="※未登録","科目未登録 ","")&amp;IF(OR($H1011="",ISERROR(MATCH($H1011,{1,2,3,4,5,6,7,8},0))),"経費区分? ","")&amp;IF($I1011="","状態未設定 ","")&amp;IF(AND(OR($I1011="確認済",$I1011="未確認"),$B1011="月例",OR($C1011="",$C1011&lt;DATE(年度+2018,4,1),$C1011&gt;DATE(年度+2019,3,31))),"年度外の日付 ","")&amp;IF(AND(OR($I1011="確認済",$I1011="未確認"),O1011="対象外"),"対象外の科目 ","")))</f>
        <v/>
      </c>
      <c r="R1011" s="366" t="n"/>
    </row>
    <row r="1012">
      <c r="A1012" s="359" t="n"/>
      <c r="B1012" s="360" t="n"/>
      <c r="C1012" s="361" t="n"/>
      <c r="D1012" s="362" t="n"/>
      <c r="E1012" s="362" t="n"/>
      <c r="F1012" s="362" t="n"/>
      <c r="G1012" s="363" t="n"/>
      <c r="H1012" s="360" t="n"/>
      <c r="I1012" s="360" t="n"/>
      <c r="J1012" s="364" t="str">
        <f>IF($G1012="","",IF($H1012=1,$G1012-ROUND($G1012*10/23,0)-2*ROUND($G1012/23,0),IF($H1012=2,$G1012,0)))</f>
        <v/>
      </c>
      <c r="K1012" s="364" t="str">
        <f>IF($G1012="","",IF($H1012=1,ROUND($G1012*10/23,0),IF($H1012=3,$G1012-2*ROUND($G1012/12,0),IF($H1012=4,$G1012,IF(OR($H1012=5,$H1012=7),ROUND($G1012*10/11,0),0)))))</f>
        <v/>
      </c>
      <c r="L1012" s="364" t="str">
        <f>IF($G1012="","",IF($H1012=1,ROUND($G1012/23,0),IF($H1012=3,ROUND($G1012/12,0),IF($H1012=5,$G1012-ROUND($G1012*10/11,0),IF($H1012=8,$G1012,0)))))</f>
        <v/>
      </c>
      <c r="M1012" s="364" t="str">
        <f>IF($G1012="","",IF($H1012=1,ROUND($G1012/23,0),IF($H1012=3,ROUND($G1012/12,0),IF($H1012=6,$G1012,IF($H1012=7,$G1012-ROUND($G1012*10/11,0),0)))))</f>
        <v/>
      </c>
      <c r="N1012" s="364" t="str">
        <f>IF($G1012="","",K1012+L1012+M1012)</f>
        <v/>
      </c>
      <c r="O1012" s="365" t="str">
        <f>IF($G1012="","",IFERROR(VLOOKUP($D1012&amp;"|"&amp;$E1012,科目表!$A$5:$B$200,2,FALSE),"※未登録"))</f>
        <v/>
      </c>
      <c r="P1012" s="359" t="str">
        <f>IF(OR($G1012="",$C1012=""),"",IF($B1012="決算整理",13,MOD(MONTH($C1012)-4,12)+1))</f>
        <v/>
      </c>
      <c r="Q1012" s="366" t="str">
        <f>IF($G1012="","",TRIM(IF(J1012+K1012+L1012+M1012&lt;&gt;$G1012,"按分不一致 ","")&amp;IF(O1012="※未登録","科目未登録 ","")&amp;IF(OR($H1012="",ISERROR(MATCH($H1012,{1,2,3,4,5,6,7,8},0))),"経費区分? ","")&amp;IF($I1012="","状態未設定 ","")&amp;IF(AND(OR($I1012="確認済",$I1012="未確認"),$B1012="月例",OR($C1012="",$C1012&lt;DATE(年度+2018,4,1),$C1012&gt;DATE(年度+2019,3,31))),"年度外の日付 ","")&amp;IF(AND(OR($I1012="確認済",$I1012="未確認"),O1012="対象外"),"対象外の科目 ","")))</f>
        <v/>
      </c>
      <c r="R1012" s="366" t="n"/>
    </row>
    <row r="1013">
      <c r="A1013" s="359" t="n"/>
      <c r="B1013" s="360" t="n"/>
      <c r="C1013" s="361" t="n"/>
      <c r="D1013" s="362" t="n"/>
      <c r="E1013" s="362" t="n"/>
      <c r="F1013" s="362" t="n"/>
      <c r="G1013" s="363" t="n"/>
      <c r="H1013" s="360" t="n"/>
      <c r="I1013" s="360" t="n"/>
      <c r="J1013" s="364" t="str">
        <f>IF($G1013="","",IF($H1013=1,$G1013-ROUND($G1013*10/23,0)-2*ROUND($G1013/23,0),IF($H1013=2,$G1013,0)))</f>
        <v/>
      </c>
      <c r="K1013" s="364" t="str">
        <f>IF($G1013="","",IF($H1013=1,ROUND($G1013*10/23,0),IF($H1013=3,$G1013-2*ROUND($G1013/12,0),IF($H1013=4,$G1013,IF(OR($H1013=5,$H1013=7),ROUND($G1013*10/11,0),0)))))</f>
        <v/>
      </c>
      <c r="L1013" s="364" t="str">
        <f>IF($G1013="","",IF($H1013=1,ROUND($G1013/23,0),IF($H1013=3,ROUND($G1013/12,0),IF($H1013=5,$G1013-ROUND($G1013*10/11,0),IF($H1013=8,$G1013,0)))))</f>
        <v/>
      </c>
      <c r="M1013" s="364" t="str">
        <f>IF($G1013="","",IF($H1013=1,ROUND($G1013/23,0),IF($H1013=3,ROUND($G1013/12,0),IF($H1013=6,$G1013,IF($H1013=7,$G1013-ROUND($G1013*10/11,0),0)))))</f>
        <v/>
      </c>
      <c r="N1013" s="364" t="str">
        <f>IF($G1013="","",K1013+L1013+M1013)</f>
        <v/>
      </c>
      <c r="O1013" s="365" t="str">
        <f>IF($G1013="","",IFERROR(VLOOKUP($D1013&amp;"|"&amp;$E1013,科目表!$A$5:$B$200,2,FALSE),"※未登録"))</f>
        <v/>
      </c>
      <c r="P1013" s="359" t="str">
        <f>IF(OR($G1013="",$C1013=""),"",IF($B1013="決算整理",13,MOD(MONTH($C1013)-4,12)+1))</f>
        <v/>
      </c>
      <c r="Q1013" s="366" t="str">
        <f>IF($G1013="","",TRIM(IF(J1013+K1013+L1013+M1013&lt;&gt;$G1013,"按分不一致 ","")&amp;IF(O1013="※未登録","科目未登録 ","")&amp;IF(OR($H1013="",ISERROR(MATCH($H1013,{1,2,3,4,5,6,7,8},0))),"経費区分? ","")&amp;IF($I1013="","状態未設定 ","")&amp;IF(AND(OR($I1013="確認済",$I1013="未確認"),$B1013="月例",OR($C1013="",$C1013&lt;DATE(年度+2018,4,1),$C1013&gt;DATE(年度+2019,3,31))),"年度外の日付 ","")&amp;IF(AND(OR($I1013="確認済",$I1013="未確認"),O1013="対象外"),"対象外の科目 ","")))</f>
        <v/>
      </c>
      <c r="R1013" s="366" t="n"/>
    </row>
    <row r="1014">
      <c r="A1014" s="359" t="n"/>
      <c r="B1014" s="360" t="n"/>
      <c r="C1014" s="361" t="n"/>
      <c r="D1014" s="362" t="n"/>
      <c r="E1014" s="362" t="n"/>
      <c r="F1014" s="362" t="n"/>
      <c r="G1014" s="363" t="n"/>
      <c r="H1014" s="360" t="n"/>
      <c r="I1014" s="360" t="n"/>
      <c r="J1014" s="364" t="str">
        <f>IF($G1014="","",IF($H1014=1,$G1014-ROUND($G1014*10/23,0)-2*ROUND($G1014/23,0),IF($H1014=2,$G1014,0)))</f>
        <v/>
      </c>
      <c r="K1014" s="364" t="str">
        <f>IF($G1014="","",IF($H1014=1,ROUND($G1014*10/23,0),IF($H1014=3,$G1014-2*ROUND($G1014/12,0),IF($H1014=4,$G1014,IF(OR($H1014=5,$H1014=7),ROUND($G1014*10/11,0),0)))))</f>
        <v/>
      </c>
      <c r="L1014" s="364" t="str">
        <f>IF($G1014="","",IF($H1014=1,ROUND($G1014/23,0),IF($H1014=3,ROUND($G1014/12,0),IF($H1014=5,$G1014-ROUND($G1014*10/11,0),IF($H1014=8,$G1014,0)))))</f>
        <v/>
      </c>
      <c r="M1014" s="364" t="str">
        <f>IF($G1014="","",IF($H1014=1,ROUND($G1014/23,0),IF($H1014=3,ROUND($G1014/12,0),IF($H1014=6,$G1014,IF($H1014=7,$G1014-ROUND($G1014*10/11,0),0)))))</f>
        <v/>
      </c>
      <c r="N1014" s="364" t="str">
        <f>IF($G1014="","",K1014+L1014+M1014)</f>
        <v/>
      </c>
      <c r="O1014" s="365" t="str">
        <f>IF($G1014="","",IFERROR(VLOOKUP($D1014&amp;"|"&amp;$E1014,科目表!$A$5:$B$200,2,FALSE),"※未登録"))</f>
        <v/>
      </c>
      <c r="P1014" s="359" t="str">
        <f>IF(OR($G1014="",$C1014=""),"",IF($B1014="決算整理",13,MOD(MONTH($C1014)-4,12)+1))</f>
        <v/>
      </c>
      <c r="Q1014" s="366" t="str">
        <f>IF($G1014="","",TRIM(IF(J1014+K1014+L1014+M1014&lt;&gt;$G1014,"按分不一致 ","")&amp;IF(O1014="※未登録","科目未登録 ","")&amp;IF(OR($H1014="",ISERROR(MATCH($H1014,{1,2,3,4,5,6,7,8},0))),"経費区分? ","")&amp;IF($I1014="","状態未設定 ","")&amp;IF(AND(OR($I1014="確認済",$I1014="未確認"),$B1014="月例",OR($C1014="",$C1014&lt;DATE(年度+2018,4,1),$C1014&gt;DATE(年度+2019,3,31))),"年度外の日付 ","")&amp;IF(AND(OR($I1014="確認済",$I1014="未確認"),O1014="対象外"),"対象外の科目 ","")))</f>
        <v/>
      </c>
      <c r="R1014" s="366" t="n"/>
    </row>
    <row r="1015">
      <c r="A1015" s="359" t="n"/>
      <c r="B1015" s="360" t="n"/>
      <c r="C1015" s="361" t="n"/>
      <c r="D1015" s="362" t="n"/>
      <c r="E1015" s="362" t="n"/>
      <c r="F1015" s="362" t="n"/>
      <c r="G1015" s="363" t="n"/>
      <c r="H1015" s="360" t="n"/>
      <c r="I1015" s="360" t="n"/>
      <c r="J1015" s="364" t="str">
        <f>IF($G1015="","",IF($H1015=1,$G1015-ROUND($G1015*10/23,0)-2*ROUND($G1015/23,0),IF($H1015=2,$G1015,0)))</f>
        <v/>
      </c>
      <c r="K1015" s="364" t="str">
        <f>IF($G1015="","",IF($H1015=1,ROUND($G1015*10/23,0),IF($H1015=3,$G1015-2*ROUND($G1015/12,0),IF($H1015=4,$G1015,IF(OR($H1015=5,$H1015=7),ROUND($G1015*10/11,0),0)))))</f>
        <v/>
      </c>
      <c r="L1015" s="364" t="str">
        <f>IF($G1015="","",IF($H1015=1,ROUND($G1015/23,0),IF($H1015=3,ROUND($G1015/12,0),IF($H1015=5,$G1015-ROUND($G1015*10/11,0),IF($H1015=8,$G1015,0)))))</f>
        <v/>
      </c>
      <c r="M1015" s="364" t="str">
        <f>IF($G1015="","",IF($H1015=1,ROUND($G1015/23,0),IF($H1015=3,ROUND($G1015/12,0),IF($H1015=6,$G1015,IF($H1015=7,$G1015-ROUND($G1015*10/11,0),0)))))</f>
        <v/>
      </c>
      <c r="N1015" s="364" t="str">
        <f>IF($G1015="","",K1015+L1015+M1015)</f>
        <v/>
      </c>
      <c r="O1015" s="365" t="str">
        <f>IF($G1015="","",IFERROR(VLOOKUP($D1015&amp;"|"&amp;$E1015,科目表!$A$5:$B$200,2,FALSE),"※未登録"))</f>
        <v/>
      </c>
      <c r="P1015" s="359" t="str">
        <f>IF(OR($G1015="",$C1015=""),"",IF($B1015="決算整理",13,MOD(MONTH($C1015)-4,12)+1))</f>
        <v/>
      </c>
      <c r="Q1015" s="366" t="str">
        <f>IF($G1015="","",TRIM(IF(J1015+K1015+L1015+M1015&lt;&gt;$G1015,"按分不一致 ","")&amp;IF(O1015="※未登録","科目未登録 ","")&amp;IF(OR($H1015="",ISERROR(MATCH($H1015,{1,2,3,4,5,6,7,8},0))),"経費区分? ","")&amp;IF($I1015="","状態未設定 ","")&amp;IF(AND(OR($I1015="確認済",$I1015="未確認"),$B1015="月例",OR($C1015="",$C1015&lt;DATE(年度+2018,4,1),$C1015&gt;DATE(年度+2019,3,31))),"年度外の日付 ","")&amp;IF(AND(OR($I1015="確認済",$I1015="未確認"),O1015="対象外"),"対象外の科目 ","")))</f>
        <v/>
      </c>
      <c r="R1015" s="366" t="n"/>
    </row>
    <row r="1016">
      <c r="A1016" s="359" t="n"/>
      <c r="B1016" s="360" t="n"/>
      <c r="C1016" s="361" t="n"/>
      <c r="D1016" s="362" t="n"/>
      <c r="E1016" s="362" t="n"/>
      <c r="F1016" s="362" t="n"/>
      <c r="G1016" s="363" t="n"/>
      <c r="H1016" s="360" t="n"/>
      <c r="I1016" s="360" t="n"/>
      <c r="J1016" s="364" t="str">
        <f>IF($G1016="","",IF($H1016=1,$G1016-ROUND($G1016*10/23,0)-2*ROUND($G1016/23,0),IF($H1016=2,$G1016,0)))</f>
        <v/>
      </c>
      <c r="K1016" s="364" t="str">
        <f>IF($G1016="","",IF($H1016=1,ROUND($G1016*10/23,0),IF($H1016=3,$G1016-2*ROUND($G1016/12,0),IF($H1016=4,$G1016,IF(OR($H1016=5,$H1016=7),ROUND($G1016*10/11,0),0)))))</f>
        <v/>
      </c>
      <c r="L1016" s="364" t="str">
        <f>IF($G1016="","",IF($H1016=1,ROUND($G1016/23,0),IF($H1016=3,ROUND($G1016/12,0),IF($H1016=5,$G1016-ROUND($G1016*10/11,0),IF($H1016=8,$G1016,0)))))</f>
        <v/>
      </c>
      <c r="M1016" s="364" t="str">
        <f>IF($G1016="","",IF($H1016=1,ROUND($G1016/23,0),IF($H1016=3,ROUND($G1016/12,0),IF($H1016=6,$G1016,IF($H1016=7,$G1016-ROUND($G1016*10/11,0),0)))))</f>
        <v/>
      </c>
      <c r="N1016" s="364" t="str">
        <f>IF($G1016="","",K1016+L1016+M1016)</f>
        <v/>
      </c>
      <c r="O1016" s="365" t="str">
        <f>IF($G1016="","",IFERROR(VLOOKUP($D1016&amp;"|"&amp;$E1016,科目表!$A$5:$B$200,2,FALSE),"※未登録"))</f>
        <v/>
      </c>
      <c r="P1016" s="359" t="str">
        <f>IF(OR($G1016="",$C1016=""),"",IF($B1016="決算整理",13,MOD(MONTH($C1016)-4,12)+1))</f>
        <v/>
      </c>
      <c r="Q1016" s="366" t="str">
        <f>IF($G1016="","",TRIM(IF(J1016+K1016+L1016+M1016&lt;&gt;$G1016,"按分不一致 ","")&amp;IF(O1016="※未登録","科目未登録 ","")&amp;IF(OR($H1016="",ISERROR(MATCH($H1016,{1,2,3,4,5,6,7,8},0))),"経費区分? ","")&amp;IF($I1016="","状態未設定 ","")&amp;IF(AND(OR($I1016="確認済",$I1016="未確認"),$B1016="月例",OR($C1016="",$C1016&lt;DATE(年度+2018,4,1),$C1016&gt;DATE(年度+2019,3,31))),"年度外の日付 ","")&amp;IF(AND(OR($I1016="確認済",$I1016="未確認"),O1016="対象外"),"対象外の科目 ","")))</f>
        <v/>
      </c>
      <c r="R1016" s="366" t="n"/>
    </row>
    <row r="1017">
      <c r="A1017" s="359" t="n"/>
      <c r="B1017" s="360" t="n"/>
      <c r="C1017" s="361" t="n"/>
      <c r="D1017" s="362" t="n"/>
      <c r="E1017" s="362" t="n"/>
      <c r="F1017" s="362" t="n"/>
      <c r="G1017" s="363" t="n"/>
      <c r="H1017" s="360" t="n"/>
      <c r="I1017" s="360" t="n"/>
      <c r="J1017" s="364" t="str">
        <f>IF($G1017="","",IF($H1017=1,$G1017-ROUND($G1017*10/23,0)-2*ROUND($G1017/23,0),IF($H1017=2,$G1017,0)))</f>
        <v/>
      </c>
      <c r="K1017" s="364" t="str">
        <f>IF($G1017="","",IF($H1017=1,ROUND($G1017*10/23,0),IF($H1017=3,$G1017-2*ROUND($G1017/12,0),IF($H1017=4,$G1017,IF(OR($H1017=5,$H1017=7),ROUND($G1017*10/11,0),0)))))</f>
        <v/>
      </c>
      <c r="L1017" s="364" t="str">
        <f>IF($G1017="","",IF($H1017=1,ROUND($G1017/23,0),IF($H1017=3,ROUND($G1017/12,0),IF($H1017=5,$G1017-ROUND($G1017*10/11,0),IF($H1017=8,$G1017,0)))))</f>
        <v/>
      </c>
      <c r="M1017" s="364" t="str">
        <f>IF($G1017="","",IF($H1017=1,ROUND($G1017/23,0),IF($H1017=3,ROUND($G1017/12,0),IF($H1017=6,$G1017,IF($H1017=7,$G1017-ROUND($G1017*10/11,0),0)))))</f>
        <v/>
      </c>
      <c r="N1017" s="364" t="str">
        <f>IF($G1017="","",K1017+L1017+M1017)</f>
        <v/>
      </c>
      <c r="O1017" s="365" t="str">
        <f>IF($G1017="","",IFERROR(VLOOKUP($D1017&amp;"|"&amp;$E1017,科目表!$A$5:$B$200,2,FALSE),"※未登録"))</f>
        <v/>
      </c>
      <c r="P1017" s="359" t="str">
        <f>IF(OR($G1017="",$C1017=""),"",IF($B1017="決算整理",13,MOD(MONTH($C1017)-4,12)+1))</f>
        <v/>
      </c>
      <c r="Q1017" s="366" t="str">
        <f>IF($G1017="","",TRIM(IF(J1017+K1017+L1017+M1017&lt;&gt;$G1017,"按分不一致 ","")&amp;IF(O1017="※未登録","科目未登録 ","")&amp;IF(OR($H1017="",ISERROR(MATCH($H1017,{1,2,3,4,5,6,7,8},0))),"経費区分? ","")&amp;IF($I1017="","状態未設定 ","")&amp;IF(AND(OR($I1017="確認済",$I1017="未確認"),$B1017="月例",OR($C1017="",$C1017&lt;DATE(年度+2018,4,1),$C1017&gt;DATE(年度+2019,3,31))),"年度外の日付 ","")&amp;IF(AND(OR($I1017="確認済",$I1017="未確認"),O1017="対象外"),"対象外の科目 ","")))</f>
        <v/>
      </c>
      <c r="R1017" s="366" t="n"/>
    </row>
    <row r="1018">
      <c r="A1018" s="359" t="n"/>
      <c r="B1018" s="360" t="n"/>
      <c r="C1018" s="361" t="n"/>
      <c r="D1018" s="362" t="n"/>
      <c r="E1018" s="362" t="n"/>
      <c r="F1018" s="362" t="n"/>
      <c r="G1018" s="363" t="n"/>
      <c r="H1018" s="360" t="n"/>
      <c r="I1018" s="360" t="n"/>
      <c r="J1018" s="364" t="str">
        <f>IF($G1018="","",IF($H1018=1,$G1018-ROUND($G1018*10/23,0)-2*ROUND($G1018/23,0),IF($H1018=2,$G1018,0)))</f>
        <v/>
      </c>
      <c r="K1018" s="364" t="str">
        <f>IF($G1018="","",IF($H1018=1,ROUND($G1018*10/23,0),IF($H1018=3,$G1018-2*ROUND($G1018/12,0),IF($H1018=4,$G1018,IF(OR($H1018=5,$H1018=7),ROUND($G1018*10/11,0),0)))))</f>
        <v/>
      </c>
      <c r="L1018" s="364" t="str">
        <f>IF($G1018="","",IF($H1018=1,ROUND($G1018/23,0),IF($H1018=3,ROUND($G1018/12,0),IF($H1018=5,$G1018-ROUND($G1018*10/11,0),IF($H1018=8,$G1018,0)))))</f>
        <v/>
      </c>
      <c r="M1018" s="364" t="str">
        <f>IF($G1018="","",IF($H1018=1,ROUND($G1018/23,0),IF($H1018=3,ROUND($G1018/12,0),IF($H1018=6,$G1018,IF($H1018=7,$G1018-ROUND($G1018*10/11,0),0)))))</f>
        <v/>
      </c>
      <c r="N1018" s="364" t="str">
        <f>IF($G1018="","",K1018+L1018+M1018)</f>
        <v/>
      </c>
      <c r="O1018" s="365" t="str">
        <f>IF($G1018="","",IFERROR(VLOOKUP($D1018&amp;"|"&amp;$E1018,科目表!$A$5:$B$200,2,FALSE),"※未登録"))</f>
        <v/>
      </c>
      <c r="P1018" s="359" t="str">
        <f>IF(OR($G1018="",$C1018=""),"",IF($B1018="決算整理",13,MOD(MONTH($C1018)-4,12)+1))</f>
        <v/>
      </c>
      <c r="Q1018" s="366" t="str">
        <f>IF($G1018="","",TRIM(IF(J1018+K1018+L1018+M1018&lt;&gt;$G1018,"按分不一致 ","")&amp;IF(O1018="※未登録","科目未登録 ","")&amp;IF(OR($H1018="",ISERROR(MATCH($H1018,{1,2,3,4,5,6,7,8},0))),"経費区分? ","")&amp;IF($I1018="","状態未設定 ","")&amp;IF(AND(OR($I1018="確認済",$I1018="未確認"),$B1018="月例",OR($C1018="",$C1018&lt;DATE(年度+2018,4,1),$C1018&gt;DATE(年度+2019,3,31))),"年度外の日付 ","")&amp;IF(AND(OR($I1018="確認済",$I1018="未確認"),O1018="対象外"),"対象外の科目 ","")))</f>
        <v/>
      </c>
      <c r="R1018" s="366" t="n"/>
    </row>
    <row r="1019">
      <c r="A1019" s="359" t="n"/>
      <c r="B1019" s="360" t="n"/>
      <c r="C1019" s="361" t="n"/>
      <c r="D1019" s="362" t="n"/>
      <c r="E1019" s="362" t="n"/>
      <c r="F1019" s="362" t="n"/>
      <c r="G1019" s="363" t="n"/>
      <c r="H1019" s="360" t="n"/>
      <c r="I1019" s="360" t="n"/>
      <c r="J1019" s="364" t="str">
        <f>IF($G1019="","",IF($H1019=1,$G1019-ROUND($G1019*10/23,0)-2*ROUND($G1019/23,0),IF($H1019=2,$G1019,0)))</f>
        <v/>
      </c>
      <c r="K1019" s="364" t="str">
        <f>IF($G1019="","",IF($H1019=1,ROUND($G1019*10/23,0),IF($H1019=3,$G1019-2*ROUND($G1019/12,0),IF($H1019=4,$G1019,IF(OR($H1019=5,$H1019=7),ROUND($G1019*10/11,0),0)))))</f>
        <v/>
      </c>
      <c r="L1019" s="364" t="str">
        <f>IF($G1019="","",IF($H1019=1,ROUND($G1019/23,0),IF($H1019=3,ROUND($G1019/12,0),IF($H1019=5,$G1019-ROUND($G1019*10/11,0),IF($H1019=8,$G1019,0)))))</f>
        <v/>
      </c>
      <c r="M1019" s="364" t="str">
        <f>IF($G1019="","",IF($H1019=1,ROUND($G1019/23,0),IF($H1019=3,ROUND($G1019/12,0),IF($H1019=6,$G1019,IF($H1019=7,$G1019-ROUND($G1019*10/11,0),0)))))</f>
        <v/>
      </c>
      <c r="N1019" s="364" t="str">
        <f>IF($G1019="","",K1019+L1019+M1019)</f>
        <v/>
      </c>
      <c r="O1019" s="365" t="str">
        <f>IF($G1019="","",IFERROR(VLOOKUP($D1019&amp;"|"&amp;$E1019,科目表!$A$5:$B$200,2,FALSE),"※未登録"))</f>
        <v/>
      </c>
      <c r="P1019" s="359" t="str">
        <f>IF(OR($G1019="",$C1019=""),"",IF($B1019="決算整理",13,MOD(MONTH($C1019)-4,12)+1))</f>
        <v/>
      </c>
      <c r="Q1019" s="366" t="str">
        <f>IF($G1019="","",TRIM(IF(J1019+K1019+L1019+M1019&lt;&gt;$G1019,"按分不一致 ","")&amp;IF(O1019="※未登録","科目未登録 ","")&amp;IF(OR($H1019="",ISERROR(MATCH($H1019,{1,2,3,4,5,6,7,8},0))),"経費区分? ","")&amp;IF($I1019="","状態未設定 ","")&amp;IF(AND(OR($I1019="確認済",$I1019="未確認"),$B1019="月例",OR($C1019="",$C1019&lt;DATE(年度+2018,4,1),$C1019&gt;DATE(年度+2019,3,31))),"年度外の日付 ","")&amp;IF(AND(OR($I1019="確認済",$I1019="未確認"),O1019="対象外"),"対象外の科目 ","")))</f>
        <v/>
      </c>
      <c r="R1019" s="366" t="n"/>
    </row>
    <row r="1020">
      <c r="A1020" s="359" t="n"/>
      <c r="B1020" s="360" t="n"/>
      <c r="C1020" s="361" t="n"/>
      <c r="D1020" s="362" t="n"/>
      <c r="E1020" s="362" t="n"/>
      <c r="F1020" s="362" t="n"/>
      <c r="G1020" s="363" t="n"/>
      <c r="H1020" s="360" t="n"/>
      <c r="I1020" s="360" t="n"/>
      <c r="J1020" s="364" t="str">
        <f>IF($G1020="","",IF($H1020=1,$G1020-ROUND($G1020*10/23,0)-2*ROUND($G1020/23,0),IF($H1020=2,$G1020,0)))</f>
        <v/>
      </c>
      <c r="K1020" s="364" t="str">
        <f>IF($G1020="","",IF($H1020=1,ROUND($G1020*10/23,0),IF($H1020=3,$G1020-2*ROUND($G1020/12,0),IF($H1020=4,$G1020,IF(OR($H1020=5,$H1020=7),ROUND($G1020*10/11,0),0)))))</f>
        <v/>
      </c>
      <c r="L1020" s="364" t="str">
        <f>IF($G1020="","",IF($H1020=1,ROUND($G1020/23,0),IF($H1020=3,ROUND($G1020/12,0),IF($H1020=5,$G1020-ROUND($G1020*10/11,0),IF($H1020=8,$G1020,0)))))</f>
        <v/>
      </c>
      <c r="M1020" s="364" t="str">
        <f>IF($G1020="","",IF($H1020=1,ROUND($G1020/23,0),IF($H1020=3,ROUND($G1020/12,0),IF($H1020=6,$G1020,IF($H1020=7,$G1020-ROUND($G1020*10/11,0),0)))))</f>
        <v/>
      </c>
      <c r="N1020" s="364" t="str">
        <f>IF($G1020="","",K1020+L1020+M1020)</f>
        <v/>
      </c>
      <c r="O1020" s="365" t="str">
        <f>IF($G1020="","",IFERROR(VLOOKUP($D1020&amp;"|"&amp;$E1020,科目表!$A$5:$B$200,2,FALSE),"※未登録"))</f>
        <v/>
      </c>
      <c r="P1020" s="359" t="str">
        <f>IF(OR($G1020="",$C1020=""),"",IF($B1020="決算整理",13,MOD(MONTH($C1020)-4,12)+1))</f>
        <v/>
      </c>
      <c r="Q1020" s="366" t="str">
        <f>IF($G1020="","",TRIM(IF(J1020+K1020+L1020+M1020&lt;&gt;$G1020,"按分不一致 ","")&amp;IF(O1020="※未登録","科目未登録 ","")&amp;IF(OR($H1020="",ISERROR(MATCH($H1020,{1,2,3,4,5,6,7,8},0))),"経費区分? ","")&amp;IF($I1020="","状態未設定 ","")&amp;IF(AND(OR($I1020="確認済",$I1020="未確認"),$B1020="月例",OR($C1020="",$C1020&lt;DATE(年度+2018,4,1),$C1020&gt;DATE(年度+2019,3,31))),"年度外の日付 ","")&amp;IF(AND(OR($I1020="確認済",$I1020="未確認"),O1020="対象外"),"対象外の科目 ","")))</f>
        <v/>
      </c>
      <c r="R1020" s="366" t="n"/>
    </row>
    <row r="1021">
      <c r="A1021" s="359" t="n"/>
      <c r="B1021" s="360" t="n"/>
      <c r="C1021" s="361" t="n"/>
      <c r="D1021" s="362" t="n"/>
      <c r="E1021" s="362" t="n"/>
      <c r="F1021" s="362" t="n"/>
      <c r="G1021" s="363" t="n"/>
      <c r="H1021" s="360" t="n"/>
      <c r="I1021" s="360" t="n"/>
      <c r="J1021" s="364" t="str">
        <f>IF($G1021="","",IF($H1021=1,$G1021-ROUND($G1021*10/23,0)-2*ROUND($G1021/23,0),IF($H1021=2,$G1021,0)))</f>
        <v/>
      </c>
      <c r="K1021" s="364" t="str">
        <f>IF($G1021="","",IF($H1021=1,ROUND($G1021*10/23,0),IF($H1021=3,$G1021-2*ROUND($G1021/12,0),IF($H1021=4,$G1021,IF(OR($H1021=5,$H1021=7),ROUND($G1021*10/11,0),0)))))</f>
        <v/>
      </c>
      <c r="L1021" s="364" t="str">
        <f>IF($G1021="","",IF($H1021=1,ROUND($G1021/23,0),IF($H1021=3,ROUND($G1021/12,0),IF($H1021=5,$G1021-ROUND($G1021*10/11,0),IF($H1021=8,$G1021,0)))))</f>
        <v/>
      </c>
      <c r="M1021" s="364" t="str">
        <f>IF($G1021="","",IF($H1021=1,ROUND($G1021/23,0),IF($H1021=3,ROUND($G1021/12,0),IF($H1021=6,$G1021,IF($H1021=7,$G1021-ROUND($G1021*10/11,0),0)))))</f>
        <v/>
      </c>
      <c r="N1021" s="364" t="str">
        <f>IF($G1021="","",K1021+L1021+M1021)</f>
        <v/>
      </c>
      <c r="O1021" s="365" t="str">
        <f>IF($G1021="","",IFERROR(VLOOKUP($D1021&amp;"|"&amp;$E1021,科目表!$A$5:$B$200,2,FALSE),"※未登録"))</f>
        <v/>
      </c>
      <c r="P1021" s="359" t="str">
        <f>IF(OR($G1021="",$C1021=""),"",IF($B1021="決算整理",13,MOD(MONTH($C1021)-4,12)+1))</f>
        <v/>
      </c>
      <c r="Q1021" s="366" t="str">
        <f>IF($G1021="","",TRIM(IF(J1021+K1021+L1021+M1021&lt;&gt;$G1021,"按分不一致 ","")&amp;IF(O1021="※未登録","科目未登録 ","")&amp;IF(OR($H1021="",ISERROR(MATCH($H1021,{1,2,3,4,5,6,7,8},0))),"経費区分? ","")&amp;IF($I1021="","状態未設定 ","")&amp;IF(AND(OR($I1021="確認済",$I1021="未確認"),$B1021="月例",OR($C1021="",$C1021&lt;DATE(年度+2018,4,1),$C1021&gt;DATE(年度+2019,3,31))),"年度外の日付 ","")&amp;IF(AND(OR($I1021="確認済",$I1021="未確認"),O1021="対象外"),"対象外の科目 ","")))</f>
        <v/>
      </c>
      <c r="R1021" s="366" t="n"/>
    </row>
    <row r="1022">
      <c r="A1022" s="359" t="n"/>
      <c r="B1022" s="360" t="n"/>
      <c r="C1022" s="361" t="n"/>
      <c r="D1022" s="362" t="n"/>
      <c r="E1022" s="362" t="n"/>
      <c r="F1022" s="362" t="n"/>
      <c r="G1022" s="363" t="n"/>
      <c r="H1022" s="360" t="n"/>
      <c r="I1022" s="360" t="n"/>
      <c r="J1022" s="364" t="str">
        <f>IF($G1022="","",IF($H1022=1,$G1022-ROUND($G1022*10/23,0)-2*ROUND($G1022/23,0),IF($H1022=2,$G1022,0)))</f>
        <v/>
      </c>
      <c r="K1022" s="364" t="str">
        <f>IF($G1022="","",IF($H1022=1,ROUND($G1022*10/23,0),IF($H1022=3,$G1022-2*ROUND($G1022/12,0),IF($H1022=4,$G1022,IF(OR($H1022=5,$H1022=7),ROUND($G1022*10/11,0),0)))))</f>
        <v/>
      </c>
      <c r="L1022" s="364" t="str">
        <f>IF($G1022="","",IF($H1022=1,ROUND($G1022/23,0),IF($H1022=3,ROUND($G1022/12,0),IF($H1022=5,$G1022-ROUND($G1022*10/11,0),IF($H1022=8,$G1022,0)))))</f>
        <v/>
      </c>
      <c r="M1022" s="364" t="str">
        <f>IF($G1022="","",IF($H1022=1,ROUND($G1022/23,0),IF($H1022=3,ROUND($G1022/12,0),IF($H1022=6,$G1022,IF($H1022=7,$G1022-ROUND($G1022*10/11,0),0)))))</f>
        <v/>
      </c>
      <c r="N1022" s="364" t="str">
        <f>IF($G1022="","",K1022+L1022+M1022)</f>
        <v/>
      </c>
      <c r="O1022" s="365" t="str">
        <f>IF($G1022="","",IFERROR(VLOOKUP($D1022&amp;"|"&amp;$E1022,科目表!$A$5:$B$200,2,FALSE),"※未登録"))</f>
        <v/>
      </c>
      <c r="P1022" s="359" t="str">
        <f>IF(OR($G1022="",$C1022=""),"",IF($B1022="決算整理",13,MOD(MONTH($C1022)-4,12)+1))</f>
        <v/>
      </c>
      <c r="Q1022" s="366" t="str">
        <f>IF($G1022="","",TRIM(IF(J1022+K1022+L1022+M1022&lt;&gt;$G1022,"按分不一致 ","")&amp;IF(O1022="※未登録","科目未登録 ","")&amp;IF(OR($H1022="",ISERROR(MATCH($H1022,{1,2,3,4,5,6,7,8},0))),"経費区分? ","")&amp;IF($I1022="","状態未設定 ","")&amp;IF(AND(OR($I1022="確認済",$I1022="未確認"),$B1022="月例",OR($C1022="",$C1022&lt;DATE(年度+2018,4,1),$C1022&gt;DATE(年度+2019,3,31))),"年度外の日付 ","")&amp;IF(AND(OR($I1022="確認済",$I1022="未確認"),O1022="対象外"),"対象外の科目 ","")))</f>
        <v/>
      </c>
      <c r="R1022" s="366" t="n"/>
    </row>
    <row r="1023">
      <c r="A1023" s="359" t="n"/>
      <c r="B1023" s="360" t="n"/>
      <c r="C1023" s="361" t="n"/>
      <c r="D1023" s="362" t="n"/>
      <c r="E1023" s="362" t="n"/>
      <c r="F1023" s="362" t="n"/>
      <c r="G1023" s="363" t="n"/>
      <c r="H1023" s="360" t="n"/>
      <c r="I1023" s="360" t="n"/>
      <c r="J1023" s="364" t="str">
        <f>IF($G1023="","",IF($H1023=1,$G1023-ROUND($G1023*10/23,0)-2*ROUND($G1023/23,0),IF($H1023=2,$G1023,0)))</f>
        <v/>
      </c>
      <c r="K1023" s="364" t="str">
        <f>IF($G1023="","",IF($H1023=1,ROUND($G1023*10/23,0),IF($H1023=3,$G1023-2*ROUND($G1023/12,0),IF($H1023=4,$G1023,IF(OR($H1023=5,$H1023=7),ROUND($G1023*10/11,0),0)))))</f>
        <v/>
      </c>
      <c r="L1023" s="364" t="str">
        <f>IF($G1023="","",IF($H1023=1,ROUND($G1023/23,0),IF($H1023=3,ROUND($G1023/12,0),IF($H1023=5,$G1023-ROUND($G1023*10/11,0),IF($H1023=8,$G1023,0)))))</f>
        <v/>
      </c>
      <c r="M1023" s="364" t="str">
        <f>IF($G1023="","",IF($H1023=1,ROUND($G1023/23,0),IF($H1023=3,ROUND($G1023/12,0),IF($H1023=6,$G1023,IF($H1023=7,$G1023-ROUND($G1023*10/11,0),0)))))</f>
        <v/>
      </c>
      <c r="N1023" s="364" t="str">
        <f>IF($G1023="","",K1023+L1023+M1023)</f>
        <v/>
      </c>
      <c r="O1023" s="365" t="str">
        <f>IF($G1023="","",IFERROR(VLOOKUP($D1023&amp;"|"&amp;$E1023,科目表!$A$5:$B$200,2,FALSE),"※未登録"))</f>
        <v/>
      </c>
      <c r="P1023" s="359" t="str">
        <f>IF(OR($G1023="",$C1023=""),"",IF($B1023="決算整理",13,MOD(MONTH($C1023)-4,12)+1))</f>
        <v/>
      </c>
      <c r="Q1023" s="366" t="str">
        <f>IF($G1023="","",TRIM(IF(J1023+K1023+L1023+M1023&lt;&gt;$G1023,"按分不一致 ","")&amp;IF(O1023="※未登録","科目未登録 ","")&amp;IF(OR($H1023="",ISERROR(MATCH($H1023,{1,2,3,4,5,6,7,8},0))),"経費区分? ","")&amp;IF($I1023="","状態未設定 ","")&amp;IF(AND(OR($I1023="確認済",$I1023="未確認"),$B1023="月例",OR($C1023="",$C1023&lt;DATE(年度+2018,4,1),$C1023&gt;DATE(年度+2019,3,31))),"年度外の日付 ","")&amp;IF(AND(OR($I1023="確認済",$I1023="未確認"),O1023="対象外"),"対象外の科目 ","")))</f>
        <v/>
      </c>
      <c r="R1023" s="366" t="n"/>
    </row>
    <row r="1024">
      <c r="A1024" s="359" t="n"/>
      <c r="B1024" s="360" t="n"/>
      <c r="C1024" s="361" t="n"/>
      <c r="D1024" s="362" t="n"/>
      <c r="E1024" s="362" t="n"/>
      <c r="F1024" s="362" t="n"/>
      <c r="G1024" s="363" t="n"/>
      <c r="H1024" s="360" t="n"/>
      <c r="I1024" s="360" t="n"/>
      <c r="J1024" s="364" t="str">
        <f>IF($G1024="","",IF($H1024=1,$G1024-ROUND($G1024*10/23,0)-2*ROUND($G1024/23,0),IF($H1024=2,$G1024,0)))</f>
        <v/>
      </c>
      <c r="K1024" s="364" t="str">
        <f>IF($G1024="","",IF($H1024=1,ROUND($G1024*10/23,0),IF($H1024=3,$G1024-2*ROUND($G1024/12,0),IF($H1024=4,$G1024,IF(OR($H1024=5,$H1024=7),ROUND($G1024*10/11,0),0)))))</f>
        <v/>
      </c>
      <c r="L1024" s="364" t="str">
        <f>IF($G1024="","",IF($H1024=1,ROUND($G1024/23,0),IF($H1024=3,ROUND($G1024/12,0),IF($H1024=5,$G1024-ROUND($G1024*10/11,0),IF($H1024=8,$G1024,0)))))</f>
        <v/>
      </c>
      <c r="M1024" s="364" t="str">
        <f>IF($G1024="","",IF($H1024=1,ROUND($G1024/23,0),IF($H1024=3,ROUND($G1024/12,0),IF($H1024=6,$G1024,IF($H1024=7,$G1024-ROUND($G1024*10/11,0),0)))))</f>
        <v/>
      </c>
      <c r="N1024" s="364" t="str">
        <f>IF($G1024="","",K1024+L1024+M1024)</f>
        <v/>
      </c>
      <c r="O1024" s="365" t="str">
        <f>IF($G1024="","",IFERROR(VLOOKUP($D1024&amp;"|"&amp;$E1024,科目表!$A$5:$B$200,2,FALSE),"※未登録"))</f>
        <v/>
      </c>
      <c r="P1024" s="359" t="str">
        <f>IF(OR($G1024="",$C1024=""),"",IF($B1024="決算整理",13,MOD(MONTH($C1024)-4,12)+1))</f>
        <v/>
      </c>
      <c r="Q1024" s="366" t="str">
        <f>IF($G1024="","",TRIM(IF(J1024+K1024+L1024+M1024&lt;&gt;$G1024,"按分不一致 ","")&amp;IF(O1024="※未登録","科目未登録 ","")&amp;IF(OR($H1024="",ISERROR(MATCH($H1024,{1,2,3,4,5,6,7,8},0))),"経費区分? ","")&amp;IF($I1024="","状態未設定 ","")&amp;IF(AND(OR($I1024="確認済",$I1024="未確認"),$B1024="月例",OR($C1024="",$C1024&lt;DATE(年度+2018,4,1),$C1024&gt;DATE(年度+2019,3,31))),"年度外の日付 ","")&amp;IF(AND(OR($I1024="確認済",$I1024="未確認"),O1024="対象外"),"対象外の科目 ","")))</f>
        <v/>
      </c>
      <c r="R1024" s="366" t="n"/>
    </row>
    <row r="1025">
      <c r="A1025" s="359" t="n"/>
      <c r="B1025" s="360" t="n"/>
      <c r="C1025" s="361" t="n"/>
      <c r="D1025" s="362" t="n"/>
      <c r="E1025" s="362" t="n"/>
      <c r="F1025" s="362" t="n"/>
      <c r="G1025" s="363" t="n"/>
      <c r="H1025" s="360" t="n"/>
      <c r="I1025" s="360" t="n"/>
      <c r="J1025" s="364" t="str">
        <f>IF($G1025="","",IF($H1025=1,$G1025-ROUND($G1025*10/23,0)-2*ROUND($G1025/23,0),IF($H1025=2,$G1025,0)))</f>
        <v/>
      </c>
      <c r="K1025" s="364" t="str">
        <f>IF($G1025="","",IF($H1025=1,ROUND($G1025*10/23,0),IF($H1025=3,$G1025-2*ROUND($G1025/12,0),IF($H1025=4,$G1025,IF(OR($H1025=5,$H1025=7),ROUND($G1025*10/11,0),0)))))</f>
        <v/>
      </c>
      <c r="L1025" s="364" t="str">
        <f>IF($G1025="","",IF($H1025=1,ROUND($G1025/23,0),IF($H1025=3,ROUND($G1025/12,0),IF($H1025=5,$G1025-ROUND($G1025*10/11,0),IF($H1025=8,$G1025,0)))))</f>
        <v/>
      </c>
      <c r="M1025" s="364" t="str">
        <f>IF($G1025="","",IF($H1025=1,ROUND($G1025/23,0),IF($H1025=3,ROUND($G1025/12,0),IF($H1025=6,$G1025,IF($H1025=7,$G1025-ROUND($G1025*10/11,0),0)))))</f>
        <v/>
      </c>
      <c r="N1025" s="364" t="str">
        <f>IF($G1025="","",K1025+L1025+M1025)</f>
        <v/>
      </c>
      <c r="O1025" s="365" t="str">
        <f>IF($G1025="","",IFERROR(VLOOKUP($D1025&amp;"|"&amp;$E1025,科目表!$A$5:$B$200,2,FALSE),"※未登録"))</f>
        <v/>
      </c>
      <c r="P1025" s="359" t="str">
        <f>IF(OR($G1025="",$C1025=""),"",IF($B1025="決算整理",13,MOD(MONTH($C1025)-4,12)+1))</f>
        <v/>
      </c>
      <c r="Q1025" s="366" t="str">
        <f>IF($G1025="","",TRIM(IF(J1025+K1025+L1025+M1025&lt;&gt;$G1025,"按分不一致 ","")&amp;IF(O1025="※未登録","科目未登録 ","")&amp;IF(OR($H1025="",ISERROR(MATCH($H1025,{1,2,3,4,5,6,7,8},0))),"経費区分? ","")&amp;IF($I1025="","状態未設定 ","")&amp;IF(AND(OR($I1025="確認済",$I1025="未確認"),$B1025="月例",OR($C1025="",$C1025&lt;DATE(年度+2018,4,1),$C1025&gt;DATE(年度+2019,3,31))),"年度外の日付 ","")&amp;IF(AND(OR($I1025="確認済",$I1025="未確認"),O1025="対象外"),"対象外の科目 ","")))</f>
        <v/>
      </c>
      <c r="R1025" s="366" t="n"/>
    </row>
    <row r="1026">
      <c r="A1026" s="359" t="n"/>
      <c r="B1026" s="360" t="n"/>
      <c r="C1026" s="361" t="n"/>
      <c r="D1026" s="362" t="n"/>
      <c r="E1026" s="362" t="n"/>
      <c r="F1026" s="362" t="n"/>
      <c r="G1026" s="363" t="n"/>
      <c r="H1026" s="360" t="n"/>
      <c r="I1026" s="360" t="n"/>
      <c r="J1026" s="364" t="str">
        <f>IF($G1026="","",IF($H1026=1,$G1026-ROUND($G1026*10/23,0)-2*ROUND($G1026/23,0),IF($H1026=2,$G1026,0)))</f>
        <v/>
      </c>
      <c r="K1026" s="364" t="str">
        <f>IF($G1026="","",IF($H1026=1,ROUND($G1026*10/23,0),IF($H1026=3,$G1026-2*ROUND($G1026/12,0),IF($H1026=4,$G1026,IF(OR($H1026=5,$H1026=7),ROUND($G1026*10/11,0),0)))))</f>
        <v/>
      </c>
      <c r="L1026" s="364" t="str">
        <f>IF($G1026="","",IF($H1026=1,ROUND($G1026/23,0),IF($H1026=3,ROUND($G1026/12,0),IF($H1026=5,$G1026-ROUND($G1026*10/11,0),IF($H1026=8,$G1026,0)))))</f>
        <v/>
      </c>
      <c r="M1026" s="364" t="str">
        <f>IF($G1026="","",IF($H1026=1,ROUND($G1026/23,0),IF($H1026=3,ROUND($G1026/12,0),IF($H1026=6,$G1026,IF($H1026=7,$G1026-ROUND($G1026*10/11,0),0)))))</f>
        <v/>
      </c>
      <c r="N1026" s="364" t="str">
        <f>IF($G1026="","",K1026+L1026+M1026)</f>
        <v/>
      </c>
      <c r="O1026" s="365" t="str">
        <f>IF($G1026="","",IFERROR(VLOOKUP($D1026&amp;"|"&amp;$E1026,科目表!$A$5:$B$200,2,FALSE),"※未登録"))</f>
        <v/>
      </c>
      <c r="P1026" s="359" t="str">
        <f>IF(OR($G1026="",$C1026=""),"",IF($B1026="決算整理",13,MOD(MONTH($C1026)-4,12)+1))</f>
        <v/>
      </c>
      <c r="Q1026" s="366" t="str">
        <f>IF($G1026="","",TRIM(IF(J1026+K1026+L1026+M1026&lt;&gt;$G1026,"按分不一致 ","")&amp;IF(O1026="※未登録","科目未登録 ","")&amp;IF(OR($H1026="",ISERROR(MATCH($H1026,{1,2,3,4,5,6,7,8},0))),"経費区分? ","")&amp;IF($I1026="","状態未設定 ","")&amp;IF(AND(OR($I1026="確認済",$I1026="未確認"),$B1026="月例",OR($C1026="",$C1026&lt;DATE(年度+2018,4,1),$C1026&gt;DATE(年度+2019,3,31))),"年度外の日付 ","")&amp;IF(AND(OR($I1026="確認済",$I1026="未確認"),O1026="対象外"),"対象外の科目 ","")))</f>
        <v/>
      </c>
      <c r="R1026" s="366" t="n"/>
    </row>
    <row r="1027">
      <c r="A1027" s="359" t="n"/>
      <c r="B1027" s="360" t="n"/>
      <c r="C1027" s="361" t="n"/>
      <c r="D1027" s="362" t="n"/>
      <c r="E1027" s="362" t="n"/>
      <c r="F1027" s="362" t="n"/>
      <c r="G1027" s="363" t="n"/>
      <c r="H1027" s="360" t="n"/>
      <c r="I1027" s="360" t="n"/>
      <c r="J1027" s="364" t="str">
        <f>IF($G1027="","",IF($H1027=1,$G1027-ROUND($G1027*10/23,0)-2*ROUND($G1027/23,0),IF($H1027=2,$G1027,0)))</f>
        <v/>
      </c>
      <c r="K1027" s="364" t="str">
        <f>IF($G1027="","",IF($H1027=1,ROUND($G1027*10/23,0),IF($H1027=3,$G1027-2*ROUND($G1027/12,0),IF($H1027=4,$G1027,IF(OR($H1027=5,$H1027=7),ROUND($G1027*10/11,0),0)))))</f>
        <v/>
      </c>
      <c r="L1027" s="364" t="str">
        <f>IF($G1027="","",IF($H1027=1,ROUND($G1027/23,0),IF($H1027=3,ROUND($G1027/12,0),IF($H1027=5,$G1027-ROUND($G1027*10/11,0),IF($H1027=8,$G1027,0)))))</f>
        <v/>
      </c>
      <c r="M1027" s="364" t="str">
        <f>IF($G1027="","",IF($H1027=1,ROUND($G1027/23,0),IF($H1027=3,ROUND($G1027/12,0),IF($H1027=6,$G1027,IF($H1027=7,$G1027-ROUND($G1027*10/11,0),0)))))</f>
        <v/>
      </c>
      <c r="N1027" s="364" t="str">
        <f>IF($G1027="","",K1027+L1027+M1027)</f>
        <v/>
      </c>
      <c r="O1027" s="365" t="str">
        <f>IF($G1027="","",IFERROR(VLOOKUP($D1027&amp;"|"&amp;$E1027,科目表!$A$5:$B$200,2,FALSE),"※未登録"))</f>
        <v/>
      </c>
      <c r="P1027" s="359" t="str">
        <f>IF(OR($G1027="",$C1027=""),"",IF($B1027="決算整理",13,MOD(MONTH($C1027)-4,12)+1))</f>
        <v/>
      </c>
      <c r="Q1027" s="366" t="str">
        <f>IF($G1027="","",TRIM(IF(J1027+K1027+L1027+M1027&lt;&gt;$G1027,"按分不一致 ","")&amp;IF(O1027="※未登録","科目未登録 ","")&amp;IF(OR($H1027="",ISERROR(MATCH($H1027,{1,2,3,4,5,6,7,8},0))),"経費区分? ","")&amp;IF($I1027="","状態未設定 ","")&amp;IF(AND(OR($I1027="確認済",$I1027="未確認"),$B1027="月例",OR($C1027="",$C1027&lt;DATE(年度+2018,4,1),$C1027&gt;DATE(年度+2019,3,31))),"年度外の日付 ","")&amp;IF(AND(OR($I1027="確認済",$I1027="未確認"),O1027="対象外"),"対象外の科目 ","")))</f>
        <v/>
      </c>
      <c r="R1027" s="366" t="n"/>
    </row>
    <row r="1028">
      <c r="A1028" s="359" t="n"/>
      <c r="B1028" s="360" t="n"/>
      <c r="C1028" s="361" t="n"/>
      <c r="D1028" s="362" t="n"/>
      <c r="E1028" s="362" t="n"/>
      <c r="F1028" s="362" t="n"/>
      <c r="G1028" s="363" t="n"/>
      <c r="H1028" s="360" t="n"/>
      <c r="I1028" s="360" t="n"/>
      <c r="J1028" s="364" t="str">
        <f>IF($G1028="","",IF($H1028=1,$G1028-ROUND($G1028*10/23,0)-2*ROUND($G1028/23,0),IF($H1028=2,$G1028,0)))</f>
        <v/>
      </c>
      <c r="K1028" s="364" t="str">
        <f>IF($G1028="","",IF($H1028=1,ROUND($G1028*10/23,0),IF($H1028=3,$G1028-2*ROUND($G1028/12,0),IF($H1028=4,$G1028,IF(OR($H1028=5,$H1028=7),ROUND($G1028*10/11,0),0)))))</f>
        <v/>
      </c>
      <c r="L1028" s="364" t="str">
        <f>IF($G1028="","",IF($H1028=1,ROUND($G1028/23,0),IF($H1028=3,ROUND($G1028/12,0),IF($H1028=5,$G1028-ROUND($G1028*10/11,0),IF($H1028=8,$G1028,0)))))</f>
        <v/>
      </c>
      <c r="M1028" s="364" t="str">
        <f>IF($G1028="","",IF($H1028=1,ROUND($G1028/23,0),IF($H1028=3,ROUND($G1028/12,0),IF($H1028=6,$G1028,IF($H1028=7,$G1028-ROUND($G1028*10/11,0),0)))))</f>
        <v/>
      </c>
      <c r="N1028" s="364" t="str">
        <f>IF($G1028="","",K1028+L1028+M1028)</f>
        <v/>
      </c>
      <c r="O1028" s="365" t="str">
        <f>IF($G1028="","",IFERROR(VLOOKUP($D1028&amp;"|"&amp;$E1028,科目表!$A$5:$B$200,2,FALSE),"※未登録"))</f>
        <v/>
      </c>
      <c r="P1028" s="359" t="str">
        <f>IF(OR($G1028="",$C1028=""),"",IF($B1028="決算整理",13,MOD(MONTH($C1028)-4,12)+1))</f>
        <v/>
      </c>
      <c r="Q1028" s="366" t="str">
        <f>IF($G1028="","",TRIM(IF(J1028+K1028+L1028+M1028&lt;&gt;$G1028,"按分不一致 ","")&amp;IF(O1028="※未登録","科目未登録 ","")&amp;IF(OR($H1028="",ISERROR(MATCH($H1028,{1,2,3,4,5,6,7,8},0))),"経費区分? ","")&amp;IF($I1028="","状態未設定 ","")&amp;IF(AND(OR($I1028="確認済",$I1028="未確認"),$B1028="月例",OR($C1028="",$C1028&lt;DATE(年度+2018,4,1),$C1028&gt;DATE(年度+2019,3,31))),"年度外の日付 ","")&amp;IF(AND(OR($I1028="確認済",$I1028="未確認"),O1028="対象外"),"対象外の科目 ","")))</f>
        <v/>
      </c>
      <c r="R1028" s="366" t="n"/>
    </row>
    <row r="1029">
      <c r="A1029" s="359" t="n"/>
      <c r="B1029" s="360" t="n"/>
      <c r="C1029" s="361" t="n"/>
      <c r="D1029" s="362" t="n"/>
      <c r="E1029" s="362" t="n"/>
      <c r="F1029" s="362" t="n"/>
      <c r="G1029" s="363" t="n"/>
      <c r="H1029" s="360" t="n"/>
      <c r="I1029" s="360" t="n"/>
      <c r="J1029" s="364" t="str">
        <f>IF($G1029="","",IF($H1029=1,$G1029-ROUND($G1029*10/23,0)-2*ROUND($G1029/23,0),IF($H1029=2,$G1029,0)))</f>
        <v/>
      </c>
      <c r="K1029" s="364" t="str">
        <f>IF($G1029="","",IF($H1029=1,ROUND($G1029*10/23,0),IF($H1029=3,$G1029-2*ROUND($G1029/12,0),IF($H1029=4,$G1029,IF(OR($H1029=5,$H1029=7),ROUND($G1029*10/11,0),0)))))</f>
        <v/>
      </c>
      <c r="L1029" s="364" t="str">
        <f>IF($G1029="","",IF($H1029=1,ROUND($G1029/23,0),IF($H1029=3,ROUND($G1029/12,0),IF($H1029=5,$G1029-ROUND($G1029*10/11,0),IF($H1029=8,$G1029,0)))))</f>
        <v/>
      </c>
      <c r="M1029" s="364" t="str">
        <f>IF($G1029="","",IF($H1029=1,ROUND($G1029/23,0),IF($H1029=3,ROUND($G1029/12,0),IF($H1029=6,$G1029,IF($H1029=7,$G1029-ROUND($G1029*10/11,0),0)))))</f>
        <v/>
      </c>
      <c r="N1029" s="364" t="str">
        <f>IF($G1029="","",K1029+L1029+M1029)</f>
        <v/>
      </c>
      <c r="O1029" s="365" t="str">
        <f>IF($G1029="","",IFERROR(VLOOKUP($D1029&amp;"|"&amp;$E1029,科目表!$A$5:$B$200,2,FALSE),"※未登録"))</f>
        <v/>
      </c>
      <c r="P1029" s="359" t="str">
        <f>IF(OR($G1029="",$C1029=""),"",IF($B1029="決算整理",13,MOD(MONTH($C1029)-4,12)+1))</f>
        <v/>
      </c>
      <c r="Q1029" s="366" t="str">
        <f>IF($G1029="","",TRIM(IF(J1029+K1029+L1029+M1029&lt;&gt;$G1029,"按分不一致 ","")&amp;IF(O1029="※未登録","科目未登録 ","")&amp;IF(OR($H1029="",ISERROR(MATCH($H1029,{1,2,3,4,5,6,7,8},0))),"経費区分? ","")&amp;IF($I1029="","状態未設定 ","")&amp;IF(AND(OR($I1029="確認済",$I1029="未確認"),$B1029="月例",OR($C1029="",$C1029&lt;DATE(年度+2018,4,1),$C1029&gt;DATE(年度+2019,3,31))),"年度外の日付 ","")&amp;IF(AND(OR($I1029="確認済",$I1029="未確認"),O1029="対象外"),"対象外の科目 ","")))</f>
        <v/>
      </c>
      <c r="R1029" s="366" t="n"/>
    </row>
    <row r="1030">
      <c r="A1030" s="359" t="n"/>
      <c r="B1030" s="360" t="n"/>
      <c r="C1030" s="361" t="n"/>
      <c r="D1030" s="362" t="n"/>
      <c r="E1030" s="362" t="n"/>
      <c r="F1030" s="362" t="n"/>
      <c r="G1030" s="363" t="n"/>
      <c r="H1030" s="360" t="n"/>
      <c r="I1030" s="360" t="n"/>
      <c r="J1030" s="364" t="str">
        <f>IF($G1030="","",IF($H1030=1,$G1030-ROUND($G1030*10/23,0)-2*ROUND($G1030/23,0),IF($H1030=2,$G1030,0)))</f>
        <v/>
      </c>
      <c r="K1030" s="364" t="str">
        <f>IF($G1030="","",IF($H1030=1,ROUND($G1030*10/23,0),IF($H1030=3,$G1030-2*ROUND($G1030/12,0),IF($H1030=4,$G1030,IF(OR($H1030=5,$H1030=7),ROUND($G1030*10/11,0),0)))))</f>
        <v/>
      </c>
      <c r="L1030" s="364" t="str">
        <f>IF($G1030="","",IF($H1030=1,ROUND($G1030/23,0),IF($H1030=3,ROUND($G1030/12,0),IF($H1030=5,$G1030-ROUND($G1030*10/11,0),IF($H1030=8,$G1030,0)))))</f>
        <v/>
      </c>
      <c r="M1030" s="364" t="str">
        <f>IF($G1030="","",IF($H1030=1,ROUND($G1030/23,0),IF($H1030=3,ROUND($G1030/12,0),IF($H1030=6,$G1030,IF($H1030=7,$G1030-ROUND($G1030*10/11,0),0)))))</f>
        <v/>
      </c>
      <c r="N1030" s="364" t="str">
        <f>IF($G1030="","",K1030+L1030+M1030)</f>
        <v/>
      </c>
      <c r="O1030" s="365" t="str">
        <f>IF($G1030="","",IFERROR(VLOOKUP($D1030&amp;"|"&amp;$E1030,科目表!$A$5:$B$200,2,FALSE),"※未登録"))</f>
        <v/>
      </c>
      <c r="P1030" s="359" t="str">
        <f>IF(OR($G1030="",$C1030=""),"",IF($B1030="決算整理",13,MOD(MONTH($C1030)-4,12)+1))</f>
        <v/>
      </c>
      <c r="Q1030" s="366" t="str">
        <f>IF($G1030="","",TRIM(IF(J1030+K1030+L1030+M1030&lt;&gt;$G1030,"按分不一致 ","")&amp;IF(O1030="※未登録","科目未登録 ","")&amp;IF(OR($H1030="",ISERROR(MATCH($H1030,{1,2,3,4,5,6,7,8},0))),"経費区分? ","")&amp;IF($I1030="","状態未設定 ","")&amp;IF(AND(OR($I1030="確認済",$I1030="未確認"),$B1030="月例",OR($C1030="",$C1030&lt;DATE(年度+2018,4,1),$C1030&gt;DATE(年度+2019,3,31))),"年度外の日付 ","")&amp;IF(AND(OR($I1030="確認済",$I1030="未確認"),O1030="対象外"),"対象外の科目 ","")))</f>
        <v/>
      </c>
      <c r="R1030" s="366" t="n"/>
    </row>
    <row r="1031">
      <c r="A1031" s="359" t="n"/>
      <c r="B1031" s="360" t="n"/>
      <c r="C1031" s="361" t="n"/>
      <c r="D1031" s="362" t="n"/>
      <c r="E1031" s="362" t="n"/>
      <c r="F1031" s="362" t="n"/>
      <c r="G1031" s="363" t="n"/>
      <c r="H1031" s="360" t="n"/>
      <c r="I1031" s="360" t="n"/>
      <c r="J1031" s="364" t="str">
        <f>IF($G1031="","",IF($H1031=1,$G1031-ROUND($G1031*10/23,0)-2*ROUND($G1031/23,0),IF($H1031=2,$G1031,0)))</f>
        <v/>
      </c>
      <c r="K1031" s="364" t="str">
        <f>IF($G1031="","",IF($H1031=1,ROUND($G1031*10/23,0),IF($H1031=3,$G1031-2*ROUND($G1031/12,0),IF($H1031=4,$G1031,IF(OR($H1031=5,$H1031=7),ROUND($G1031*10/11,0),0)))))</f>
        <v/>
      </c>
      <c r="L1031" s="364" t="str">
        <f>IF($G1031="","",IF($H1031=1,ROUND($G1031/23,0),IF($H1031=3,ROUND($G1031/12,0),IF($H1031=5,$G1031-ROUND($G1031*10/11,0),IF($H1031=8,$G1031,0)))))</f>
        <v/>
      </c>
      <c r="M1031" s="364" t="str">
        <f>IF($G1031="","",IF($H1031=1,ROUND($G1031/23,0),IF($H1031=3,ROUND($G1031/12,0),IF($H1031=6,$G1031,IF($H1031=7,$G1031-ROUND($G1031*10/11,0),0)))))</f>
        <v/>
      </c>
      <c r="N1031" s="364" t="str">
        <f>IF($G1031="","",K1031+L1031+M1031)</f>
        <v/>
      </c>
      <c r="O1031" s="365" t="str">
        <f>IF($G1031="","",IFERROR(VLOOKUP($D1031&amp;"|"&amp;$E1031,科目表!$A$5:$B$200,2,FALSE),"※未登録"))</f>
        <v/>
      </c>
      <c r="P1031" s="359" t="str">
        <f>IF(OR($G1031="",$C1031=""),"",IF($B1031="決算整理",13,MOD(MONTH($C1031)-4,12)+1))</f>
        <v/>
      </c>
      <c r="Q1031" s="366" t="str">
        <f>IF($G1031="","",TRIM(IF(J1031+K1031+L1031+M1031&lt;&gt;$G1031,"按分不一致 ","")&amp;IF(O1031="※未登録","科目未登録 ","")&amp;IF(OR($H1031="",ISERROR(MATCH($H1031,{1,2,3,4,5,6,7,8},0))),"経費区分? ","")&amp;IF($I1031="","状態未設定 ","")&amp;IF(AND(OR($I1031="確認済",$I1031="未確認"),$B1031="月例",OR($C1031="",$C1031&lt;DATE(年度+2018,4,1),$C1031&gt;DATE(年度+2019,3,31))),"年度外の日付 ","")&amp;IF(AND(OR($I1031="確認済",$I1031="未確認"),O1031="対象外"),"対象外の科目 ","")))</f>
        <v/>
      </c>
      <c r="R1031" s="366" t="n"/>
    </row>
    <row r="1032">
      <c r="A1032" s="359" t="n"/>
      <c r="B1032" s="360" t="n"/>
      <c r="C1032" s="361" t="n"/>
      <c r="D1032" s="362" t="n"/>
      <c r="E1032" s="362" t="n"/>
      <c r="F1032" s="362" t="n"/>
      <c r="G1032" s="363" t="n"/>
      <c r="H1032" s="360" t="n"/>
      <c r="I1032" s="360" t="n"/>
      <c r="J1032" s="364" t="str">
        <f>IF($G1032="","",IF($H1032=1,$G1032-ROUND($G1032*10/23,0)-2*ROUND($G1032/23,0),IF($H1032=2,$G1032,0)))</f>
        <v/>
      </c>
      <c r="K1032" s="364" t="str">
        <f>IF($G1032="","",IF($H1032=1,ROUND($G1032*10/23,0),IF($H1032=3,$G1032-2*ROUND($G1032/12,0),IF($H1032=4,$G1032,IF(OR($H1032=5,$H1032=7),ROUND($G1032*10/11,0),0)))))</f>
        <v/>
      </c>
      <c r="L1032" s="364" t="str">
        <f>IF($G1032="","",IF($H1032=1,ROUND($G1032/23,0),IF($H1032=3,ROUND($G1032/12,0),IF($H1032=5,$G1032-ROUND($G1032*10/11,0),IF($H1032=8,$G1032,0)))))</f>
        <v/>
      </c>
      <c r="M1032" s="364" t="str">
        <f>IF($G1032="","",IF($H1032=1,ROUND($G1032/23,0),IF($H1032=3,ROUND($G1032/12,0),IF($H1032=6,$G1032,IF($H1032=7,$G1032-ROUND($G1032*10/11,0),0)))))</f>
        <v/>
      </c>
      <c r="N1032" s="364" t="str">
        <f>IF($G1032="","",K1032+L1032+M1032)</f>
        <v/>
      </c>
      <c r="O1032" s="365" t="str">
        <f>IF($G1032="","",IFERROR(VLOOKUP($D1032&amp;"|"&amp;$E1032,科目表!$A$5:$B$200,2,FALSE),"※未登録"))</f>
        <v/>
      </c>
      <c r="P1032" s="359" t="str">
        <f>IF(OR($G1032="",$C1032=""),"",IF($B1032="決算整理",13,MOD(MONTH($C1032)-4,12)+1))</f>
        <v/>
      </c>
      <c r="Q1032" s="366" t="str">
        <f>IF($G1032="","",TRIM(IF(J1032+K1032+L1032+M1032&lt;&gt;$G1032,"按分不一致 ","")&amp;IF(O1032="※未登録","科目未登録 ","")&amp;IF(OR($H1032="",ISERROR(MATCH($H1032,{1,2,3,4,5,6,7,8},0))),"経費区分? ","")&amp;IF($I1032="","状態未設定 ","")&amp;IF(AND(OR($I1032="確認済",$I1032="未確認"),$B1032="月例",OR($C1032="",$C1032&lt;DATE(年度+2018,4,1),$C1032&gt;DATE(年度+2019,3,31))),"年度外の日付 ","")&amp;IF(AND(OR($I1032="確認済",$I1032="未確認"),O1032="対象外"),"対象外の科目 ","")))</f>
        <v/>
      </c>
      <c r="R1032" s="366" t="n"/>
    </row>
    <row r="1033">
      <c r="A1033" s="359" t="n"/>
      <c r="B1033" s="360" t="n"/>
      <c r="C1033" s="361" t="n"/>
      <c r="D1033" s="362" t="n"/>
      <c r="E1033" s="362" t="n"/>
      <c r="F1033" s="362" t="n"/>
      <c r="G1033" s="363" t="n"/>
      <c r="H1033" s="360" t="n"/>
      <c r="I1033" s="360" t="n"/>
      <c r="J1033" s="364" t="str">
        <f>IF($G1033="","",IF($H1033=1,$G1033-ROUND($G1033*10/23,0)-2*ROUND($G1033/23,0),IF($H1033=2,$G1033,0)))</f>
        <v/>
      </c>
      <c r="K1033" s="364" t="str">
        <f>IF($G1033="","",IF($H1033=1,ROUND($G1033*10/23,0),IF($H1033=3,$G1033-2*ROUND($G1033/12,0),IF($H1033=4,$G1033,IF(OR($H1033=5,$H1033=7),ROUND($G1033*10/11,0),0)))))</f>
        <v/>
      </c>
      <c r="L1033" s="364" t="str">
        <f>IF($G1033="","",IF($H1033=1,ROUND($G1033/23,0),IF($H1033=3,ROUND($G1033/12,0),IF($H1033=5,$G1033-ROUND($G1033*10/11,0),IF($H1033=8,$G1033,0)))))</f>
        <v/>
      </c>
      <c r="M1033" s="364" t="str">
        <f>IF($G1033="","",IF($H1033=1,ROUND($G1033/23,0),IF($H1033=3,ROUND($G1033/12,0),IF($H1033=6,$G1033,IF($H1033=7,$G1033-ROUND($G1033*10/11,0),0)))))</f>
        <v/>
      </c>
      <c r="N1033" s="364" t="str">
        <f>IF($G1033="","",K1033+L1033+M1033)</f>
        <v/>
      </c>
      <c r="O1033" s="365" t="str">
        <f>IF($G1033="","",IFERROR(VLOOKUP($D1033&amp;"|"&amp;$E1033,科目表!$A$5:$B$200,2,FALSE),"※未登録"))</f>
        <v/>
      </c>
      <c r="P1033" s="359" t="str">
        <f>IF(OR($G1033="",$C1033=""),"",IF($B1033="決算整理",13,MOD(MONTH($C1033)-4,12)+1))</f>
        <v/>
      </c>
      <c r="Q1033" s="366" t="str">
        <f>IF($G1033="","",TRIM(IF(J1033+K1033+L1033+M1033&lt;&gt;$G1033,"按分不一致 ","")&amp;IF(O1033="※未登録","科目未登録 ","")&amp;IF(OR($H1033="",ISERROR(MATCH($H1033,{1,2,3,4,5,6,7,8},0))),"経費区分? ","")&amp;IF($I1033="","状態未設定 ","")&amp;IF(AND(OR($I1033="確認済",$I1033="未確認"),$B1033="月例",OR($C1033="",$C1033&lt;DATE(年度+2018,4,1),$C1033&gt;DATE(年度+2019,3,31))),"年度外の日付 ","")&amp;IF(AND(OR($I1033="確認済",$I1033="未確認"),O1033="対象外"),"対象外の科目 ","")))</f>
        <v/>
      </c>
      <c r="R1033" s="366" t="n"/>
    </row>
    <row r="1034">
      <c r="A1034" s="359" t="n"/>
      <c r="B1034" s="360" t="n"/>
      <c r="C1034" s="361" t="n"/>
      <c r="D1034" s="362" t="n"/>
      <c r="E1034" s="362" t="n"/>
      <c r="F1034" s="362" t="n"/>
      <c r="G1034" s="363" t="n"/>
      <c r="H1034" s="360" t="n"/>
      <c r="I1034" s="360" t="n"/>
      <c r="J1034" s="364" t="str">
        <f>IF($G1034="","",IF($H1034=1,$G1034-ROUND($G1034*10/23,0)-2*ROUND($G1034/23,0),IF($H1034=2,$G1034,0)))</f>
        <v/>
      </c>
      <c r="K1034" s="364" t="str">
        <f>IF($G1034="","",IF($H1034=1,ROUND($G1034*10/23,0),IF($H1034=3,$G1034-2*ROUND($G1034/12,0),IF($H1034=4,$G1034,IF(OR($H1034=5,$H1034=7),ROUND($G1034*10/11,0),0)))))</f>
        <v/>
      </c>
      <c r="L1034" s="364" t="str">
        <f>IF($G1034="","",IF($H1034=1,ROUND($G1034/23,0),IF($H1034=3,ROUND($G1034/12,0),IF($H1034=5,$G1034-ROUND($G1034*10/11,0),IF($H1034=8,$G1034,0)))))</f>
        <v/>
      </c>
      <c r="M1034" s="364" t="str">
        <f>IF($G1034="","",IF($H1034=1,ROUND($G1034/23,0),IF($H1034=3,ROUND($G1034/12,0),IF($H1034=6,$G1034,IF($H1034=7,$G1034-ROUND($G1034*10/11,0),0)))))</f>
        <v/>
      </c>
      <c r="N1034" s="364" t="str">
        <f>IF($G1034="","",K1034+L1034+M1034)</f>
        <v/>
      </c>
      <c r="O1034" s="365" t="str">
        <f>IF($G1034="","",IFERROR(VLOOKUP($D1034&amp;"|"&amp;$E1034,科目表!$A$5:$B$200,2,FALSE),"※未登録"))</f>
        <v/>
      </c>
      <c r="P1034" s="359" t="str">
        <f>IF(OR($G1034="",$C1034=""),"",IF($B1034="決算整理",13,MOD(MONTH($C1034)-4,12)+1))</f>
        <v/>
      </c>
      <c r="Q1034" s="366" t="str">
        <f>IF($G1034="","",TRIM(IF(J1034+K1034+L1034+M1034&lt;&gt;$G1034,"按分不一致 ","")&amp;IF(O1034="※未登録","科目未登録 ","")&amp;IF(OR($H1034="",ISERROR(MATCH($H1034,{1,2,3,4,5,6,7,8},0))),"経費区分? ","")&amp;IF($I1034="","状態未設定 ","")&amp;IF(AND(OR($I1034="確認済",$I1034="未確認"),$B1034="月例",OR($C1034="",$C1034&lt;DATE(年度+2018,4,1),$C1034&gt;DATE(年度+2019,3,31))),"年度外の日付 ","")&amp;IF(AND(OR($I1034="確認済",$I1034="未確認"),O1034="対象外"),"対象外の科目 ","")))</f>
        <v/>
      </c>
      <c r="R1034" s="366" t="n"/>
    </row>
    <row r="1035">
      <c r="A1035" s="359" t="n"/>
      <c r="B1035" s="360" t="n"/>
      <c r="C1035" s="361" t="n"/>
      <c r="D1035" s="362" t="n"/>
      <c r="E1035" s="362" t="n"/>
      <c r="F1035" s="362" t="n"/>
      <c r="G1035" s="363" t="n"/>
      <c r="H1035" s="360" t="n"/>
      <c r="I1035" s="360" t="n"/>
      <c r="J1035" s="364" t="str">
        <f>IF($G1035="","",IF($H1035=1,$G1035-ROUND($G1035*10/23,0)-2*ROUND($G1035/23,0),IF($H1035=2,$G1035,0)))</f>
        <v/>
      </c>
      <c r="K1035" s="364" t="str">
        <f>IF($G1035="","",IF($H1035=1,ROUND($G1035*10/23,0),IF($H1035=3,$G1035-2*ROUND($G1035/12,0),IF($H1035=4,$G1035,IF(OR($H1035=5,$H1035=7),ROUND($G1035*10/11,0),0)))))</f>
        <v/>
      </c>
      <c r="L1035" s="364" t="str">
        <f>IF($G1035="","",IF($H1035=1,ROUND($G1035/23,0),IF($H1035=3,ROUND($G1035/12,0),IF($H1035=5,$G1035-ROUND($G1035*10/11,0),IF($H1035=8,$G1035,0)))))</f>
        <v/>
      </c>
      <c r="M1035" s="364" t="str">
        <f>IF($G1035="","",IF($H1035=1,ROUND($G1035/23,0),IF($H1035=3,ROUND($G1035/12,0),IF($H1035=6,$G1035,IF($H1035=7,$G1035-ROUND($G1035*10/11,0),0)))))</f>
        <v/>
      </c>
      <c r="N1035" s="364" t="str">
        <f>IF($G1035="","",K1035+L1035+M1035)</f>
        <v/>
      </c>
      <c r="O1035" s="365" t="str">
        <f>IF($G1035="","",IFERROR(VLOOKUP($D1035&amp;"|"&amp;$E1035,科目表!$A$5:$B$200,2,FALSE),"※未登録"))</f>
        <v/>
      </c>
      <c r="P1035" s="359" t="str">
        <f>IF(OR($G1035="",$C1035=""),"",IF($B1035="決算整理",13,MOD(MONTH($C1035)-4,12)+1))</f>
        <v/>
      </c>
      <c r="Q1035" s="366" t="str">
        <f>IF($G1035="","",TRIM(IF(J1035+K1035+L1035+M1035&lt;&gt;$G1035,"按分不一致 ","")&amp;IF(O1035="※未登録","科目未登録 ","")&amp;IF(OR($H1035="",ISERROR(MATCH($H1035,{1,2,3,4,5,6,7,8},0))),"経費区分? ","")&amp;IF($I1035="","状態未設定 ","")&amp;IF(AND(OR($I1035="確認済",$I1035="未確認"),$B1035="月例",OR($C1035="",$C1035&lt;DATE(年度+2018,4,1),$C1035&gt;DATE(年度+2019,3,31))),"年度外の日付 ","")&amp;IF(AND(OR($I1035="確認済",$I1035="未確認"),O1035="対象外"),"対象外の科目 ","")))</f>
        <v/>
      </c>
      <c r="R1035" s="366" t="n"/>
    </row>
    <row r="1036">
      <c r="A1036" s="359" t="n"/>
      <c r="B1036" s="360" t="n"/>
      <c r="C1036" s="361" t="n"/>
      <c r="D1036" s="362" t="n"/>
      <c r="E1036" s="362" t="n"/>
      <c r="F1036" s="362" t="n"/>
      <c r="G1036" s="363" t="n"/>
      <c r="H1036" s="360" t="n"/>
      <c r="I1036" s="360" t="n"/>
      <c r="J1036" s="364" t="str">
        <f>IF($G1036="","",IF($H1036=1,$G1036-ROUND($G1036*10/23,0)-2*ROUND($G1036/23,0),IF($H1036=2,$G1036,0)))</f>
        <v/>
      </c>
      <c r="K1036" s="364" t="str">
        <f>IF($G1036="","",IF($H1036=1,ROUND($G1036*10/23,0),IF($H1036=3,$G1036-2*ROUND($G1036/12,0),IF($H1036=4,$G1036,IF(OR($H1036=5,$H1036=7),ROUND($G1036*10/11,0),0)))))</f>
        <v/>
      </c>
      <c r="L1036" s="364" t="str">
        <f>IF($G1036="","",IF($H1036=1,ROUND($G1036/23,0),IF($H1036=3,ROUND($G1036/12,0),IF($H1036=5,$G1036-ROUND($G1036*10/11,0),IF($H1036=8,$G1036,0)))))</f>
        <v/>
      </c>
      <c r="M1036" s="364" t="str">
        <f>IF($G1036="","",IF($H1036=1,ROUND($G1036/23,0),IF($H1036=3,ROUND($G1036/12,0),IF($H1036=6,$G1036,IF($H1036=7,$G1036-ROUND($G1036*10/11,0),0)))))</f>
        <v/>
      </c>
      <c r="N1036" s="364" t="str">
        <f>IF($G1036="","",K1036+L1036+M1036)</f>
        <v/>
      </c>
      <c r="O1036" s="365" t="str">
        <f>IF($G1036="","",IFERROR(VLOOKUP($D1036&amp;"|"&amp;$E1036,科目表!$A$5:$B$200,2,FALSE),"※未登録"))</f>
        <v/>
      </c>
      <c r="P1036" s="359" t="str">
        <f>IF(OR($G1036="",$C1036=""),"",IF($B1036="決算整理",13,MOD(MONTH($C1036)-4,12)+1))</f>
        <v/>
      </c>
      <c r="Q1036" s="366" t="str">
        <f>IF($G1036="","",TRIM(IF(J1036+K1036+L1036+M1036&lt;&gt;$G1036,"按分不一致 ","")&amp;IF(O1036="※未登録","科目未登録 ","")&amp;IF(OR($H1036="",ISERROR(MATCH($H1036,{1,2,3,4,5,6,7,8},0))),"経費区分? ","")&amp;IF($I1036="","状態未設定 ","")&amp;IF(AND(OR($I1036="確認済",$I1036="未確認"),$B1036="月例",OR($C1036="",$C1036&lt;DATE(年度+2018,4,1),$C1036&gt;DATE(年度+2019,3,31))),"年度外の日付 ","")&amp;IF(AND(OR($I1036="確認済",$I1036="未確認"),O1036="対象外"),"対象外の科目 ","")))</f>
        <v/>
      </c>
      <c r="R1036" s="366" t="n"/>
    </row>
    <row r="1037">
      <c r="A1037" s="359" t="n"/>
      <c r="B1037" s="360" t="n"/>
      <c r="C1037" s="361" t="n"/>
      <c r="D1037" s="362" t="n"/>
      <c r="E1037" s="362" t="n"/>
      <c r="F1037" s="362" t="n"/>
      <c r="G1037" s="363" t="n"/>
      <c r="H1037" s="360" t="n"/>
      <c r="I1037" s="360" t="n"/>
      <c r="J1037" s="364" t="str">
        <f>IF($G1037="","",IF($H1037=1,$G1037-ROUND($G1037*10/23,0)-2*ROUND($G1037/23,0),IF($H1037=2,$G1037,0)))</f>
        <v/>
      </c>
      <c r="K1037" s="364" t="str">
        <f>IF($G1037="","",IF($H1037=1,ROUND($G1037*10/23,0),IF($H1037=3,$G1037-2*ROUND($G1037/12,0),IF($H1037=4,$G1037,IF(OR($H1037=5,$H1037=7),ROUND($G1037*10/11,0),0)))))</f>
        <v/>
      </c>
      <c r="L1037" s="364" t="str">
        <f>IF($G1037="","",IF($H1037=1,ROUND($G1037/23,0),IF($H1037=3,ROUND($G1037/12,0),IF($H1037=5,$G1037-ROUND($G1037*10/11,0),IF($H1037=8,$G1037,0)))))</f>
        <v/>
      </c>
      <c r="M1037" s="364" t="str">
        <f>IF($G1037="","",IF($H1037=1,ROUND($G1037/23,0),IF($H1037=3,ROUND($G1037/12,0),IF($H1037=6,$G1037,IF($H1037=7,$G1037-ROUND($G1037*10/11,0),0)))))</f>
        <v/>
      </c>
      <c r="N1037" s="364" t="str">
        <f>IF($G1037="","",K1037+L1037+M1037)</f>
        <v/>
      </c>
      <c r="O1037" s="365" t="str">
        <f>IF($G1037="","",IFERROR(VLOOKUP($D1037&amp;"|"&amp;$E1037,科目表!$A$5:$B$200,2,FALSE),"※未登録"))</f>
        <v/>
      </c>
      <c r="P1037" s="359" t="str">
        <f>IF(OR($G1037="",$C1037=""),"",IF($B1037="決算整理",13,MOD(MONTH($C1037)-4,12)+1))</f>
        <v/>
      </c>
      <c r="Q1037" s="366" t="str">
        <f>IF($G1037="","",TRIM(IF(J1037+K1037+L1037+M1037&lt;&gt;$G1037,"按分不一致 ","")&amp;IF(O1037="※未登録","科目未登録 ","")&amp;IF(OR($H1037="",ISERROR(MATCH($H1037,{1,2,3,4,5,6,7,8},0))),"経費区分? ","")&amp;IF($I1037="","状態未設定 ","")&amp;IF(AND(OR($I1037="確認済",$I1037="未確認"),$B1037="月例",OR($C1037="",$C1037&lt;DATE(年度+2018,4,1),$C1037&gt;DATE(年度+2019,3,31))),"年度外の日付 ","")&amp;IF(AND(OR($I1037="確認済",$I1037="未確認"),O1037="対象外"),"対象外の科目 ","")))</f>
        <v/>
      </c>
      <c r="R1037" s="366" t="n"/>
    </row>
    <row r="1038">
      <c r="A1038" s="359" t="n"/>
      <c r="B1038" s="360" t="n"/>
      <c r="C1038" s="361" t="n"/>
      <c r="D1038" s="362" t="n"/>
      <c r="E1038" s="362" t="n"/>
      <c r="F1038" s="362" t="n"/>
      <c r="G1038" s="363" t="n"/>
      <c r="H1038" s="360" t="n"/>
      <c r="I1038" s="360" t="n"/>
      <c r="J1038" s="364" t="str">
        <f>IF($G1038="","",IF($H1038=1,$G1038-ROUND($G1038*10/23,0)-2*ROUND($G1038/23,0),IF($H1038=2,$G1038,0)))</f>
        <v/>
      </c>
      <c r="K1038" s="364" t="str">
        <f>IF($G1038="","",IF($H1038=1,ROUND($G1038*10/23,0),IF($H1038=3,$G1038-2*ROUND($G1038/12,0),IF($H1038=4,$G1038,IF(OR($H1038=5,$H1038=7),ROUND($G1038*10/11,0),0)))))</f>
        <v/>
      </c>
      <c r="L1038" s="364" t="str">
        <f>IF($G1038="","",IF($H1038=1,ROUND($G1038/23,0),IF($H1038=3,ROUND($G1038/12,0),IF($H1038=5,$G1038-ROUND($G1038*10/11,0),IF($H1038=8,$G1038,0)))))</f>
        <v/>
      </c>
      <c r="M1038" s="364" t="str">
        <f>IF($G1038="","",IF($H1038=1,ROUND($G1038/23,0),IF($H1038=3,ROUND($G1038/12,0),IF($H1038=6,$G1038,IF($H1038=7,$G1038-ROUND($G1038*10/11,0),0)))))</f>
        <v/>
      </c>
      <c r="N1038" s="364" t="str">
        <f>IF($G1038="","",K1038+L1038+M1038)</f>
        <v/>
      </c>
      <c r="O1038" s="365" t="str">
        <f>IF($G1038="","",IFERROR(VLOOKUP($D1038&amp;"|"&amp;$E1038,科目表!$A$5:$B$200,2,FALSE),"※未登録"))</f>
        <v/>
      </c>
      <c r="P1038" s="359" t="str">
        <f>IF(OR($G1038="",$C1038=""),"",IF($B1038="決算整理",13,MOD(MONTH($C1038)-4,12)+1))</f>
        <v/>
      </c>
      <c r="Q1038" s="366" t="str">
        <f>IF($G1038="","",TRIM(IF(J1038+K1038+L1038+M1038&lt;&gt;$G1038,"按分不一致 ","")&amp;IF(O1038="※未登録","科目未登録 ","")&amp;IF(OR($H1038="",ISERROR(MATCH($H1038,{1,2,3,4,5,6,7,8},0))),"経費区分? ","")&amp;IF($I1038="","状態未設定 ","")&amp;IF(AND(OR($I1038="確認済",$I1038="未確認"),$B1038="月例",OR($C1038="",$C1038&lt;DATE(年度+2018,4,1),$C1038&gt;DATE(年度+2019,3,31))),"年度外の日付 ","")&amp;IF(AND(OR($I1038="確認済",$I1038="未確認"),O1038="対象外"),"対象外の科目 ","")))</f>
        <v/>
      </c>
      <c r="R1038" s="366" t="n"/>
    </row>
    <row r="1039">
      <c r="A1039" s="359" t="n"/>
      <c r="B1039" s="360" t="n"/>
      <c r="C1039" s="361" t="n"/>
      <c r="D1039" s="362" t="n"/>
      <c r="E1039" s="362" t="n"/>
      <c r="F1039" s="362" t="n"/>
      <c r="G1039" s="363" t="n"/>
      <c r="H1039" s="360" t="n"/>
      <c r="I1039" s="360" t="n"/>
      <c r="J1039" s="364" t="str">
        <f>IF($G1039="","",IF($H1039=1,$G1039-ROUND($G1039*10/23,0)-2*ROUND($G1039/23,0),IF($H1039=2,$G1039,0)))</f>
        <v/>
      </c>
      <c r="K1039" s="364" t="str">
        <f>IF($G1039="","",IF($H1039=1,ROUND($G1039*10/23,0),IF($H1039=3,$G1039-2*ROUND($G1039/12,0),IF($H1039=4,$G1039,IF(OR($H1039=5,$H1039=7),ROUND($G1039*10/11,0),0)))))</f>
        <v/>
      </c>
      <c r="L1039" s="364" t="str">
        <f>IF($G1039="","",IF($H1039=1,ROUND($G1039/23,0),IF($H1039=3,ROUND($G1039/12,0),IF($H1039=5,$G1039-ROUND($G1039*10/11,0),IF($H1039=8,$G1039,0)))))</f>
        <v/>
      </c>
      <c r="M1039" s="364" t="str">
        <f>IF($G1039="","",IF($H1039=1,ROUND($G1039/23,0),IF($H1039=3,ROUND($G1039/12,0),IF($H1039=6,$G1039,IF($H1039=7,$G1039-ROUND($G1039*10/11,0),0)))))</f>
        <v/>
      </c>
      <c r="N1039" s="364" t="str">
        <f>IF($G1039="","",K1039+L1039+M1039)</f>
        <v/>
      </c>
      <c r="O1039" s="365" t="str">
        <f>IF($G1039="","",IFERROR(VLOOKUP($D1039&amp;"|"&amp;$E1039,科目表!$A$5:$B$200,2,FALSE),"※未登録"))</f>
        <v/>
      </c>
      <c r="P1039" s="359" t="str">
        <f>IF(OR($G1039="",$C1039=""),"",IF($B1039="決算整理",13,MOD(MONTH($C1039)-4,12)+1))</f>
        <v/>
      </c>
      <c r="Q1039" s="366" t="str">
        <f>IF($G1039="","",TRIM(IF(J1039+K1039+L1039+M1039&lt;&gt;$G1039,"按分不一致 ","")&amp;IF(O1039="※未登録","科目未登録 ","")&amp;IF(OR($H1039="",ISERROR(MATCH($H1039,{1,2,3,4,5,6,7,8},0))),"経費区分? ","")&amp;IF($I1039="","状態未設定 ","")&amp;IF(AND(OR($I1039="確認済",$I1039="未確認"),$B1039="月例",OR($C1039="",$C1039&lt;DATE(年度+2018,4,1),$C1039&gt;DATE(年度+2019,3,31))),"年度外の日付 ","")&amp;IF(AND(OR($I1039="確認済",$I1039="未確認"),O1039="対象外"),"対象外の科目 ","")))</f>
        <v/>
      </c>
      <c r="R1039" s="366" t="n"/>
    </row>
    <row r="1040">
      <c r="A1040" s="359" t="n"/>
      <c r="B1040" s="360" t="n"/>
      <c r="C1040" s="361" t="n"/>
      <c r="D1040" s="362" t="n"/>
      <c r="E1040" s="362" t="n"/>
      <c r="F1040" s="362" t="n"/>
      <c r="G1040" s="363" t="n"/>
      <c r="H1040" s="360" t="n"/>
      <c r="I1040" s="360" t="n"/>
      <c r="J1040" s="364" t="str">
        <f>IF($G1040="","",IF($H1040=1,$G1040-ROUND($G1040*10/23,0)-2*ROUND($G1040/23,0),IF($H1040=2,$G1040,0)))</f>
        <v/>
      </c>
      <c r="K1040" s="364" t="str">
        <f>IF($G1040="","",IF($H1040=1,ROUND($G1040*10/23,0),IF($H1040=3,$G1040-2*ROUND($G1040/12,0),IF($H1040=4,$G1040,IF(OR($H1040=5,$H1040=7),ROUND($G1040*10/11,0),0)))))</f>
        <v/>
      </c>
      <c r="L1040" s="364" t="str">
        <f>IF($G1040="","",IF($H1040=1,ROUND($G1040/23,0),IF($H1040=3,ROUND($G1040/12,0),IF($H1040=5,$G1040-ROUND($G1040*10/11,0),IF($H1040=8,$G1040,0)))))</f>
        <v/>
      </c>
      <c r="M1040" s="364" t="str">
        <f>IF($G1040="","",IF($H1040=1,ROUND($G1040/23,0),IF($H1040=3,ROUND($G1040/12,0),IF($H1040=6,$G1040,IF($H1040=7,$G1040-ROUND($G1040*10/11,0),0)))))</f>
        <v/>
      </c>
      <c r="N1040" s="364" t="str">
        <f>IF($G1040="","",K1040+L1040+M1040)</f>
        <v/>
      </c>
      <c r="O1040" s="365" t="str">
        <f>IF($G1040="","",IFERROR(VLOOKUP($D1040&amp;"|"&amp;$E1040,科目表!$A$5:$B$200,2,FALSE),"※未登録"))</f>
        <v/>
      </c>
      <c r="P1040" s="359" t="str">
        <f>IF(OR($G1040="",$C1040=""),"",IF($B1040="決算整理",13,MOD(MONTH($C1040)-4,12)+1))</f>
        <v/>
      </c>
      <c r="Q1040" s="366" t="str">
        <f>IF($G1040="","",TRIM(IF(J1040+K1040+L1040+M1040&lt;&gt;$G1040,"按分不一致 ","")&amp;IF(O1040="※未登録","科目未登録 ","")&amp;IF(OR($H1040="",ISERROR(MATCH($H1040,{1,2,3,4,5,6,7,8},0))),"経費区分? ","")&amp;IF($I1040="","状態未設定 ","")&amp;IF(AND(OR($I1040="確認済",$I1040="未確認"),$B1040="月例",OR($C1040="",$C1040&lt;DATE(年度+2018,4,1),$C1040&gt;DATE(年度+2019,3,31))),"年度外の日付 ","")&amp;IF(AND(OR($I1040="確認済",$I1040="未確認"),O1040="対象外"),"対象外の科目 ","")))</f>
        <v/>
      </c>
      <c r="R1040" s="366" t="n"/>
    </row>
    <row r="1041">
      <c r="A1041" s="359" t="n"/>
      <c r="B1041" s="360" t="n"/>
      <c r="C1041" s="361" t="n"/>
      <c r="D1041" s="362" t="n"/>
      <c r="E1041" s="362" t="n"/>
      <c r="F1041" s="362" t="n"/>
      <c r="G1041" s="363" t="n"/>
      <c r="H1041" s="360" t="n"/>
      <c r="I1041" s="360" t="n"/>
      <c r="J1041" s="364" t="str">
        <f>IF($G1041="","",IF($H1041=1,$G1041-ROUND($G1041*10/23,0)-2*ROUND($G1041/23,0),IF($H1041=2,$G1041,0)))</f>
        <v/>
      </c>
      <c r="K1041" s="364" t="str">
        <f>IF($G1041="","",IF($H1041=1,ROUND($G1041*10/23,0),IF($H1041=3,$G1041-2*ROUND($G1041/12,0),IF($H1041=4,$G1041,IF(OR($H1041=5,$H1041=7),ROUND($G1041*10/11,0),0)))))</f>
        <v/>
      </c>
      <c r="L1041" s="364" t="str">
        <f>IF($G1041="","",IF($H1041=1,ROUND($G1041/23,0),IF($H1041=3,ROUND($G1041/12,0),IF($H1041=5,$G1041-ROUND($G1041*10/11,0),IF($H1041=8,$G1041,0)))))</f>
        <v/>
      </c>
      <c r="M1041" s="364" t="str">
        <f>IF($G1041="","",IF($H1041=1,ROUND($G1041/23,0),IF($H1041=3,ROUND($G1041/12,0),IF($H1041=6,$G1041,IF($H1041=7,$G1041-ROUND($G1041*10/11,0),0)))))</f>
        <v/>
      </c>
      <c r="N1041" s="364" t="str">
        <f>IF($G1041="","",K1041+L1041+M1041)</f>
        <v/>
      </c>
      <c r="O1041" s="365" t="str">
        <f>IF($G1041="","",IFERROR(VLOOKUP($D1041&amp;"|"&amp;$E1041,科目表!$A$5:$B$200,2,FALSE),"※未登録"))</f>
        <v/>
      </c>
      <c r="P1041" s="359" t="str">
        <f>IF(OR($G1041="",$C1041=""),"",IF($B1041="決算整理",13,MOD(MONTH($C1041)-4,12)+1))</f>
        <v/>
      </c>
      <c r="Q1041" s="366" t="str">
        <f>IF($G1041="","",TRIM(IF(J1041+K1041+L1041+M1041&lt;&gt;$G1041,"按分不一致 ","")&amp;IF(O1041="※未登録","科目未登録 ","")&amp;IF(OR($H1041="",ISERROR(MATCH($H1041,{1,2,3,4,5,6,7,8},0))),"経費区分? ","")&amp;IF($I1041="","状態未設定 ","")&amp;IF(AND(OR($I1041="確認済",$I1041="未確認"),$B1041="月例",OR($C1041="",$C1041&lt;DATE(年度+2018,4,1),$C1041&gt;DATE(年度+2019,3,31))),"年度外の日付 ","")&amp;IF(AND(OR($I1041="確認済",$I1041="未確認"),O1041="対象外"),"対象外の科目 ","")))</f>
        <v/>
      </c>
      <c r="R1041" s="366" t="n"/>
    </row>
    <row r="1042">
      <c r="A1042" s="359" t="n"/>
      <c r="B1042" s="360" t="n"/>
      <c r="C1042" s="361" t="n"/>
      <c r="D1042" s="362" t="n"/>
      <c r="E1042" s="362" t="n"/>
      <c r="F1042" s="362" t="n"/>
      <c r="G1042" s="363" t="n"/>
      <c r="H1042" s="360" t="n"/>
      <c r="I1042" s="360" t="n"/>
      <c r="J1042" s="364" t="str">
        <f>IF($G1042="","",IF($H1042=1,$G1042-ROUND($G1042*10/23,0)-2*ROUND($G1042/23,0),IF($H1042=2,$G1042,0)))</f>
        <v/>
      </c>
      <c r="K1042" s="364" t="str">
        <f>IF($G1042="","",IF($H1042=1,ROUND($G1042*10/23,0),IF($H1042=3,$G1042-2*ROUND($G1042/12,0),IF($H1042=4,$G1042,IF(OR($H1042=5,$H1042=7),ROUND($G1042*10/11,0),0)))))</f>
        <v/>
      </c>
      <c r="L1042" s="364" t="str">
        <f>IF($G1042="","",IF($H1042=1,ROUND($G1042/23,0),IF($H1042=3,ROUND($G1042/12,0),IF($H1042=5,$G1042-ROUND($G1042*10/11,0),IF($H1042=8,$G1042,0)))))</f>
        <v/>
      </c>
      <c r="M1042" s="364" t="str">
        <f>IF($G1042="","",IF($H1042=1,ROUND($G1042/23,0),IF($H1042=3,ROUND($G1042/12,0),IF($H1042=6,$G1042,IF($H1042=7,$G1042-ROUND($G1042*10/11,0),0)))))</f>
        <v/>
      </c>
      <c r="N1042" s="364" t="str">
        <f>IF($G1042="","",K1042+L1042+M1042)</f>
        <v/>
      </c>
      <c r="O1042" s="365" t="str">
        <f>IF($G1042="","",IFERROR(VLOOKUP($D1042&amp;"|"&amp;$E1042,科目表!$A$5:$B$200,2,FALSE),"※未登録"))</f>
        <v/>
      </c>
      <c r="P1042" s="359" t="str">
        <f>IF(OR($G1042="",$C1042=""),"",IF($B1042="決算整理",13,MOD(MONTH($C1042)-4,12)+1))</f>
        <v/>
      </c>
      <c r="Q1042" s="366" t="str">
        <f>IF($G1042="","",TRIM(IF(J1042+K1042+L1042+M1042&lt;&gt;$G1042,"按分不一致 ","")&amp;IF(O1042="※未登録","科目未登録 ","")&amp;IF(OR($H1042="",ISERROR(MATCH($H1042,{1,2,3,4,5,6,7,8},0))),"経費区分? ","")&amp;IF($I1042="","状態未設定 ","")&amp;IF(AND(OR($I1042="確認済",$I1042="未確認"),$B1042="月例",OR($C1042="",$C1042&lt;DATE(年度+2018,4,1),$C1042&gt;DATE(年度+2019,3,31))),"年度外の日付 ","")&amp;IF(AND(OR($I1042="確認済",$I1042="未確認"),O1042="対象外"),"対象外の科目 ","")))</f>
        <v/>
      </c>
      <c r="R1042" s="366" t="n"/>
    </row>
    <row r="1043">
      <c r="A1043" s="359" t="n"/>
      <c r="B1043" s="360" t="n"/>
      <c r="C1043" s="361" t="n"/>
      <c r="D1043" s="362" t="n"/>
      <c r="E1043" s="362" t="n"/>
      <c r="F1043" s="362" t="n"/>
      <c r="G1043" s="363" t="n"/>
      <c r="H1043" s="360" t="n"/>
      <c r="I1043" s="360" t="n"/>
      <c r="J1043" s="364" t="str">
        <f>IF($G1043="","",IF($H1043=1,$G1043-ROUND($G1043*10/23,0)-2*ROUND($G1043/23,0),IF($H1043=2,$G1043,0)))</f>
        <v/>
      </c>
      <c r="K1043" s="364" t="str">
        <f>IF($G1043="","",IF($H1043=1,ROUND($G1043*10/23,0),IF($H1043=3,$G1043-2*ROUND($G1043/12,0),IF($H1043=4,$G1043,IF(OR($H1043=5,$H1043=7),ROUND($G1043*10/11,0),0)))))</f>
        <v/>
      </c>
      <c r="L1043" s="364" t="str">
        <f>IF($G1043="","",IF($H1043=1,ROUND($G1043/23,0),IF($H1043=3,ROUND($G1043/12,0),IF($H1043=5,$G1043-ROUND($G1043*10/11,0),IF($H1043=8,$G1043,0)))))</f>
        <v/>
      </c>
      <c r="M1043" s="364" t="str">
        <f>IF($G1043="","",IF($H1043=1,ROUND($G1043/23,0),IF($H1043=3,ROUND($G1043/12,0),IF($H1043=6,$G1043,IF($H1043=7,$G1043-ROUND($G1043*10/11,0),0)))))</f>
        <v/>
      </c>
      <c r="N1043" s="364" t="str">
        <f>IF($G1043="","",K1043+L1043+M1043)</f>
        <v/>
      </c>
      <c r="O1043" s="365" t="str">
        <f>IF($G1043="","",IFERROR(VLOOKUP($D1043&amp;"|"&amp;$E1043,科目表!$A$5:$B$200,2,FALSE),"※未登録"))</f>
        <v/>
      </c>
      <c r="P1043" s="359" t="str">
        <f>IF(OR($G1043="",$C1043=""),"",IF($B1043="決算整理",13,MOD(MONTH($C1043)-4,12)+1))</f>
        <v/>
      </c>
      <c r="Q1043" s="366" t="str">
        <f>IF($G1043="","",TRIM(IF(J1043+K1043+L1043+M1043&lt;&gt;$G1043,"按分不一致 ","")&amp;IF(O1043="※未登録","科目未登録 ","")&amp;IF(OR($H1043="",ISERROR(MATCH($H1043,{1,2,3,4,5,6,7,8},0))),"経費区分? ","")&amp;IF($I1043="","状態未設定 ","")&amp;IF(AND(OR($I1043="確認済",$I1043="未確認"),$B1043="月例",OR($C1043="",$C1043&lt;DATE(年度+2018,4,1),$C1043&gt;DATE(年度+2019,3,31))),"年度外の日付 ","")&amp;IF(AND(OR($I1043="確認済",$I1043="未確認"),O1043="対象外"),"対象外の科目 ","")))</f>
        <v/>
      </c>
      <c r="R1043" s="366" t="n"/>
    </row>
    <row r="1044">
      <c r="A1044" s="359" t="n"/>
      <c r="B1044" s="360" t="n"/>
      <c r="C1044" s="361" t="n"/>
      <c r="D1044" s="362" t="n"/>
      <c r="E1044" s="362" t="n"/>
      <c r="F1044" s="362" t="n"/>
      <c r="G1044" s="363" t="n"/>
      <c r="H1044" s="360" t="n"/>
      <c r="I1044" s="360" t="n"/>
      <c r="J1044" s="364" t="str">
        <f>IF($G1044="","",IF($H1044=1,$G1044-ROUND($G1044*10/23,0)-2*ROUND($G1044/23,0),IF($H1044=2,$G1044,0)))</f>
        <v/>
      </c>
      <c r="K1044" s="364" t="str">
        <f>IF($G1044="","",IF($H1044=1,ROUND($G1044*10/23,0),IF($H1044=3,$G1044-2*ROUND($G1044/12,0),IF($H1044=4,$G1044,IF(OR($H1044=5,$H1044=7),ROUND($G1044*10/11,0),0)))))</f>
        <v/>
      </c>
      <c r="L1044" s="364" t="str">
        <f>IF($G1044="","",IF($H1044=1,ROUND($G1044/23,0),IF($H1044=3,ROUND($G1044/12,0),IF($H1044=5,$G1044-ROUND($G1044*10/11,0),IF($H1044=8,$G1044,0)))))</f>
        <v/>
      </c>
      <c r="M1044" s="364" t="str">
        <f>IF($G1044="","",IF($H1044=1,ROUND($G1044/23,0),IF($H1044=3,ROUND($G1044/12,0),IF($H1044=6,$G1044,IF($H1044=7,$G1044-ROUND($G1044*10/11,0),0)))))</f>
        <v/>
      </c>
      <c r="N1044" s="364" t="str">
        <f>IF($G1044="","",K1044+L1044+M1044)</f>
        <v/>
      </c>
      <c r="O1044" s="365" t="str">
        <f>IF($G1044="","",IFERROR(VLOOKUP($D1044&amp;"|"&amp;$E1044,科目表!$A$5:$B$200,2,FALSE),"※未登録"))</f>
        <v/>
      </c>
      <c r="P1044" s="359" t="str">
        <f>IF(OR($G1044="",$C1044=""),"",IF($B1044="決算整理",13,MOD(MONTH($C1044)-4,12)+1))</f>
        <v/>
      </c>
      <c r="Q1044" s="366" t="str">
        <f>IF($G1044="","",TRIM(IF(J1044+K1044+L1044+M1044&lt;&gt;$G1044,"按分不一致 ","")&amp;IF(O1044="※未登録","科目未登録 ","")&amp;IF(OR($H1044="",ISERROR(MATCH($H1044,{1,2,3,4,5,6,7,8},0))),"経費区分? ","")&amp;IF($I1044="","状態未設定 ","")&amp;IF(AND(OR($I1044="確認済",$I1044="未確認"),$B1044="月例",OR($C1044="",$C1044&lt;DATE(年度+2018,4,1),$C1044&gt;DATE(年度+2019,3,31))),"年度外の日付 ","")&amp;IF(AND(OR($I1044="確認済",$I1044="未確認"),O1044="対象外"),"対象外の科目 ","")))</f>
        <v/>
      </c>
      <c r="R1044" s="366" t="n"/>
    </row>
    <row r="1045">
      <c r="A1045" s="359" t="n"/>
      <c r="B1045" s="360" t="n"/>
      <c r="C1045" s="361" t="n"/>
      <c r="D1045" s="362" t="n"/>
      <c r="E1045" s="362" t="n"/>
      <c r="F1045" s="362" t="n"/>
      <c r="G1045" s="363" t="n"/>
      <c r="H1045" s="360" t="n"/>
      <c r="I1045" s="360" t="n"/>
      <c r="J1045" s="364" t="str">
        <f>IF($G1045="","",IF($H1045=1,$G1045-ROUND($G1045*10/23,0)-2*ROUND($G1045/23,0),IF($H1045=2,$G1045,0)))</f>
        <v/>
      </c>
      <c r="K1045" s="364" t="str">
        <f>IF($G1045="","",IF($H1045=1,ROUND($G1045*10/23,0),IF($H1045=3,$G1045-2*ROUND($G1045/12,0),IF($H1045=4,$G1045,IF(OR($H1045=5,$H1045=7),ROUND($G1045*10/11,0),0)))))</f>
        <v/>
      </c>
      <c r="L1045" s="364" t="str">
        <f>IF($G1045="","",IF($H1045=1,ROUND($G1045/23,0),IF($H1045=3,ROUND($G1045/12,0),IF($H1045=5,$G1045-ROUND($G1045*10/11,0),IF($H1045=8,$G1045,0)))))</f>
        <v/>
      </c>
      <c r="M1045" s="364" t="str">
        <f>IF($G1045="","",IF($H1045=1,ROUND($G1045/23,0),IF($H1045=3,ROUND($G1045/12,0),IF($H1045=6,$G1045,IF($H1045=7,$G1045-ROUND($G1045*10/11,0),0)))))</f>
        <v/>
      </c>
      <c r="N1045" s="364" t="str">
        <f>IF($G1045="","",K1045+L1045+M1045)</f>
        <v/>
      </c>
      <c r="O1045" s="365" t="str">
        <f>IF($G1045="","",IFERROR(VLOOKUP($D1045&amp;"|"&amp;$E1045,科目表!$A$5:$B$200,2,FALSE),"※未登録"))</f>
        <v/>
      </c>
      <c r="P1045" s="359" t="str">
        <f>IF(OR($G1045="",$C1045=""),"",IF($B1045="決算整理",13,MOD(MONTH($C1045)-4,12)+1))</f>
        <v/>
      </c>
      <c r="Q1045" s="366" t="str">
        <f>IF($G1045="","",TRIM(IF(J1045+K1045+L1045+M1045&lt;&gt;$G1045,"按分不一致 ","")&amp;IF(O1045="※未登録","科目未登録 ","")&amp;IF(OR($H1045="",ISERROR(MATCH($H1045,{1,2,3,4,5,6,7,8},0))),"経費区分? ","")&amp;IF($I1045="","状態未設定 ","")&amp;IF(AND(OR($I1045="確認済",$I1045="未確認"),$B1045="月例",OR($C1045="",$C1045&lt;DATE(年度+2018,4,1),$C1045&gt;DATE(年度+2019,3,31))),"年度外の日付 ","")&amp;IF(AND(OR($I1045="確認済",$I1045="未確認"),O1045="対象外"),"対象外の科目 ","")))</f>
        <v/>
      </c>
      <c r="R1045" s="366" t="n"/>
    </row>
    <row r="1046">
      <c r="A1046" s="359" t="n"/>
      <c r="B1046" s="360" t="n"/>
      <c r="C1046" s="361" t="n"/>
      <c r="D1046" s="362" t="n"/>
      <c r="E1046" s="362" t="n"/>
      <c r="F1046" s="362" t="n"/>
      <c r="G1046" s="363" t="n"/>
      <c r="H1046" s="360" t="n"/>
      <c r="I1046" s="360" t="n"/>
      <c r="J1046" s="364" t="str">
        <f>IF($G1046="","",IF($H1046=1,$G1046-ROUND($G1046*10/23,0)-2*ROUND($G1046/23,0),IF($H1046=2,$G1046,0)))</f>
        <v/>
      </c>
      <c r="K1046" s="364" t="str">
        <f>IF($G1046="","",IF($H1046=1,ROUND($G1046*10/23,0),IF($H1046=3,$G1046-2*ROUND($G1046/12,0),IF($H1046=4,$G1046,IF(OR($H1046=5,$H1046=7),ROUND($G1046*10/11,0),0)))))</f>
        <v/>
      </c>
      <c r="L1046" s="364" t="str">
        <f>IF($G1046="","",IF($H1046=1,ROUND($G1046/23,0),IF($H1046=3,ROUND($G1046/12,0),IF($H1046=5,$G1046-ROUND($G1046*10/11,0),IF($H1046=8,$G1046,0)))))</f>
        <v/>
      </c>
      <c r="M1046" s="364" t="str">
        <f>IF($G1046="","",IF($H1046=1,ROUND($G1046/23,0),IF($H1046=3,ROUND($G1046/12,0),IF($H1046=6,$G1046,IF($H1046=7,$G1046-ROUND($G1046*10/11,0),0)))))</f>
        <v/>
      </c>
      <c r="N1046" s="364" t="str">
        <f>IF($G1046="","",K1046+L1046+M1046)</f>
        <v/>
      </c>
      <c r="O1046" s="365" t="str">
        <f>IF($G1046="","",IFERROR(VLOOKUP($D1046&amp;"|"&amp;$E1046,科目表!$A$5:$B$200,2,FALSE),"※未登録"))</f>
        <v/>
      </c>
      <c r="P1046" s="359" t="str">
        <f>IF(OR($G1046="",$C1046=""),"",IF($B1046="決算整理",13,MOD(MONTH($C1046)-4,12)+1))</f>
        <v/>
      </c>
      <c r="Q1046" s="366" t="str">
        <f>IF($G1046="","",TRIM(IF(J1046+K1046+L1046+M1046&lt;&gt;$G1046,"按分不一致 ","")&amp;IF(O1046="※未登録","科目未登録 ","")&amp;IF(OR($H1046="",ISERROR(MATCH($H1046,{1,2,3,4,5,6,7,8},0))),"経費区分? ","")&amp;IF($I1046="","状態未設定 ","")&amp;IF(AND(OR($I1046="確認済",$I1046="未確認"),$B1046="月例",OR($C1046="",$C1046&lt;DATE(年度+2018,4,1),$C1046&gt;DATE(年度+2019,3,31))),"年度外の日付 ","")&amp;IF(AND(OR($I1046="確認済",$I1046="未確認"),O1046="対象外"),"対象外の科目 ","")))</f>
        <v/>
      </c>
      <c r="R1046" s="366" t="n"/>
    </row>
    <row r="1047">
      <c r="A1047" s="359" t="n"/>
      <c r="B1047" s="360" t="n"/>
      <c r="C1047" s="361" t="n"/>
      <c r="D1047" s="362" t="n"/>
      <c r="E1047" s="362" t="n"/>
      <c r="F1047" s="362" t="n"/>
      <c r="G1047" s="363" t="n"/>
      <c r="H1047" s="360" t="n"/>
      <c r="I1047" s="360" t="n"/>
      <c r="J1047" s="364" t="str">
        <f>IF($G1047="","",IF($H1047=1,$G1047-ROUND($G1047*10/23,0)-2*ROUND($G1047/23,0),IF($H1047=2,$G1047,0)))</f>
        <v/>
      </c>
      <c r="K1047" s="364" t="str">
        <f>IF($G1047="","",IF($H1047=1,ROUND($G1047*10/23,0),IF($H1047=3,$G1047-2*ROUND($G1047/12,0),IF($H1047=4,$G1047,IF(OR($H1047=5,$H1047=7),ROUND($G1047*10/11,0),0)))))</f>
        <v/>
      </c>
      <c r="L1047" s="364" t="str">
        <f>IF($G1047="","",IF($H1047=1,ROUND($G1047/23,0),IF($H1047=3,ROUND($G1047/12,0),IF($H1047=5,$G1047-ROUND($G1047*10/11,0),IF($H1047=8,$G1047,0)))))</f>
        <v/>
      </c>
      <c r="M1047" s="364" t="str">
        <f>IF($G1047="","",IF($H1047=1,ROUND($G1047/23,0),IF($H1047=3,ROUND($G1047/12,0),IF($H1047=6,$G1047,IF($H1047=7,$G1047-ROUND($G1047*10/11,0),0)))))</f>
        <v/>
      </c>
      <c r="N1047" s="364" t="str">
        <f>IF($G1047="","",K1047+L1047+M1047)</f>
        <v/>
      </c>
      <c r="O1047" s="365" t="str">
        <f>IF($G1047="","",IFERROR(VLOOKUP($D1047&amp;"|"&amp;$E1047,科目表!$A$5:$B$200,2,FALSE),"※未登録"))</f>
        <v/>
      </c>
      <c r="P1047" s="359" t="str">
        <f>IF(OR($G1047="",$C1047=""),"",IF($B1047="決算整理",13,MOD(MONTH($C1047)-4,12)+1))</f>
        <v/>
      </c>
      <c r="Q1047" s="366" t="str">
        <f>IF($G1047="","",TRIM(IF(J1047+K1047+L1047+M1047&lt;&gt;$G1047,"按分不一致 ","")&amp;IF(O1047="※未登録","科目未登録 ","")&amp;IF(OR($H1047="",ISERROR(MATCH($H1047,{1,2,3,4,5,6,7,8},0))),"経費区分? ","")&amp;IF($I1047="","状態未設定 ","")&amp;IF(AND(OR($I1047="確認済",$I1047="未確認"),$B1047="月例",OR($C1047="",$C1047&lt;DATE(年度+2018,4,1),$C1047&gt;DATE(年度+2019,3,31))),"年度外の日付 ","")&amp;IF(AND(OR($I1047="確認済",$I1047="未確認"),O1047="対象外"),"対象外の科目 ","")))</f>
        <v/>
      </c>
      <c r="R1047" s="366" t="n"/>
    </row>
    <row r="1048">
      <c r="A1048" s="359" t="n"/>
      <c r="B1048" s="360" t="n"/>
      <c r="C1048" s="361" t="n"/>
      <c r="D1048" s="362" t="n"/>
      <c r="E1048" s="362" t="n"/>
      <c r="F1048" s="362" t="n"/>
      <c r="G1048" s="363" t="n"/>
      <c r="H1048" s="360" t="n"/>
      <c r="I1048" s="360" t="n"/>
      <c r="J1048" s="364" t="str">
        <f>IF($G1048="","",IF($H1048=1,$G1048-ROUND($G1048*10/23,0)-2*ROUND($G1048/23,0),IF($H1048=2,$G1048,0)))</f>
        <v/>
      </c>
      <c r="K1048" s="364" t="str">
        <f>IF($G1048="","",IF($H1048=1,ROUND($G1048*10/23,0),IF($H1048=3,$G1048-2*ROUND($G1048/12,0),IF($H1048=4,$G1048,IF(OR($H1048=5,$H1048=7),ROUND($G1048*10/11,0),0)))))</f>
        <v/>
      </c>
      <c r="L1048" s="364" t="str">
        <f>IF($G1048="","",IF($H1048=1,ROUND($G1048/23,0),IF($H1048=3,ROUND($G1048/12,0),IF($H1048=5,$G1048-ROUND($G1048*10/11,0),IF($H1048=8,$G1048,0)))))</f>
        <v/>
      </c>
      <c r="M1048" s="364" t="str">
        <f>IF($G1048="","",IF($H1048=1,ROUND($G1048/23,0),IF($H1048=3,ROUND($G1048/12,0),IF($H1048=6,$G1048,IF($H1048=7,$G1048-ROUND($G1048*10/11,0),0)))))</f>
        <v/>
      </c>
      <c r="N1048" s="364" t="str">
        <f>IF($G1048="","",K1048+L1048+M1048)</f>
        <v/>
      </c>
      <c r="O1048" s="365" t="str">
        <f>IF($G1048="","",IFERROR(VLOOKUP($D1048&amp;"|"&amp;$E1048,科目表!$A$5:$B$200,2,FALSE),"※未登録"))</f>
        <v/>
      </c>
      <c r="P1048" s="359" t="str">
        <f>IF(OR($G1048="",$C1048=""),"",IF($B1048="決算整理",13,MOD(MONTH($C1048)-4,12)+1))</f>
        <v/>
      </c>
      <c r="Q1048" s="366" t="str">
        <f>IF($G1048="","",TRIM(IF(J1048+K1048+L1048+M1048&lt;&gt;$G1048,"按分不一致 ","")&amp;IF(O1048="※未登録","科目未登録 ","")&amp;IF(OR($H1048="",ISERROR(MATCH($H1048,{1,2,3,4,5,6,7,8},0))),"経費区分? ","")&amp;IF($I1048="","状態未設定 ","")&amp;IF(AND(OR($I1048="確認済",$I1048="未確認"),$B1048="月例",OR($C1048="",$C1048&lt;DATE(年度+2018,4,1),$C1048&gt;DATE(年度+2019,3,31))),"年度外の日付 ","")&amp;IF(AND(OR($I1048="確認済",$I1048="未確認"),O1048="対象外"),"対象外の科目 ","")))</f>
        <v/>
      </c>
      <c r="R1048" s="366" t="n"/>
    </row>
    <row r="1049">
      <c r="A1049" s="359" t="n"/>
      <c r="B1049" s="360" t="n"/>
      <c r="C1049" s="361" t="n"/>
      <c r="D1049" s="362" t="n"/>
      <c r="E1049" s="362" t="n"/>
      <c r="F1049" s="362" t="n"/>
      <c r="G1049" s="363" t="n"/>
      <c r="H1049" s="360" t="n"/>
      <c r="I1049" s="360" t="n"/>
      <c r="J1049" s="364" t="str">
        <f>IF($G1049="","",IF($H1049=1,$G1049-ROUND($G1049*10/23,0)-2*ROUND($G1049/23,0),IF($H1049=2,$G1049,0)))</f>
        <v/>
      </c>
      <c r="K1049" s="364" t="str">
        <f>IF($G1049="","",IF($H1049=1,ROUND($G1049*10/23,0),IF($H1049=3,$G1049-2*ROUND($G1049/12,0),IF($H1049=4,$G1049,IF(OR($H1049=5,$H1049=7),ROUND($G1049*10/11,0),0)))))</f>
        <v/>
      </c>
      <c r="L1049" s="364" t="str">
        <f>IF($G1049="","",IF($H1049=1,ROUND($G1049/23,0),IF($H1049=3,ROUND($G1049/12,0),IF($H1049=5,$G1049-ROUND($G1049*10/11,0),IF($H1049=8,$G1049,0)))))</f>
        <v/>
      </c>
      <c r="M1049" s="364" t="str">
        <f>IF($G1049="","",IF($H1049=1,ROUND($G1049/23,0),IF($H1049=3,ROUND($G1049/12,0),IF($H1049=6,$G1049,IF($H1049=7,$G1049-ROUND($G1049*10/11,0),0)))))</f>
        <v/>
      </c>
      <c r="N1049" s="364" t="str">
        <f>IF($G1049="","",K1049+L1049+M1049)</f>
        <v/>
      </c>
      <c r="O1049" s="365" t="str">
        <f>IF($G1049="","",IFERROR(VLOOKUP($D1049&amp;"|"&amp;$E1049,科目表!$A$5:$B$200,2,FALSE),"※未登録"))</f>
        <v/>
      </c>
      <c r="P1049" s="359" t="str">
        <f>IF(OR($G1049="",$C1049=""),"",IF($B1049="決算整理",13,MOD(MONTH($C1049)-4,12)+1))</f>
        <v/>
      </c>
      <c r="Q1049" s="366" t="str">
        <f>IF($G1049="","",TRIM(IF(J1049+K1049+L1049+M1049&lt;&gt;$G1049,"按分不一致 ","")&amp;IF(O1049="※未登録","科目未登録 ","")&amp;IF(OR($H1049="",ISERROR(MATCH($H1049,{1,2,3,4,5,6,7,8},0))),"経費区分? ","")&amp;IF($I1049="","状態未設定 ","")&amp;IF(AND(OR($I1049="確認済",$I1049="未確認"),$B1049="月例",OR($C1049="",$C1049&lt;DATE(年度+2018,4,1),$C1049&gt;DATE(年度+2019,3,31))),"年度外の日付 ","")&amp;IF(AND(OR($I1049="確認済",$I1049="未確認"),O1049="対象外"),"対象外の科目 ","")))</f>
        <v/>
      </c>
      <c r="R1049" s="366" t="n"/>
    </row>
    <row r="1050">
      <c r="A1050" s="359" t="n"/>
      <c r="B1050" s="360" t="n"/>
      <c r="C1050" s="361" t="n"/>
      <c r="D1050" s="362" t="n"/>
      <c r="E1050" s="362" t="n"/>
      <c r="F1050" s="362" t="n"/>
      <c r="G1050" s="363" t="n"/>
      <c r="H1050" s="360" t="n"/>
      <c r="I1050" s="360" t="n"/>
      <c r="J1050" s="364" t="str">
        <f>IF($G1050="","",IF($H1050=1,$G1050-ROUND($G1050*10/23,0)-2*ROUND($G1050/23,0),IF($H1050=2,$G1050,0)))</f>
        <v/>
      </c>
      <c r="K1050" s="364" t="str">
        <f>IF($G1050="","",IF($H1050=1,ROUND($G1050*10/23,0),IF($H1050=3,$G1050-2*ROUND($G1050/12,0),IF($H1050=4,$G1050,IF(OR($H1050=5,$H1050=7),ROUND($G1050*10/11,0),0)))))</f>
        <v/>
      </c>
      <c r="L1050" s="364" t="str">
        <f>IF($G1050="","",IF($H1050=1,ROUND($G1050/23,0),IF($H1050=3,ROUND($G1050/12,0),IF($H1050=5,$G1050-ROUND($G1050*10/11,0),IF($H1050=8,$G1050,0)))))</f>
        <v/>
      </c>
      <c r="M1050" s="364" t="str">
        <f>IF($G1050="","",IF($H1050=1,ROUND($G1050/23,0),IF($H1050=3,ROUND($G1050/12,0),IF($H1050=6,$G1050,IF($H1050=7,$G1050-ROUND($G1050*10/11,0),0)))))</f>
        <v/>
      </c>
      <c r="N1050" s="364" t="str">
        <f>IF($G1050="","",K1050+L1050+M1050)</f>
        <v/>
      </c>
      <c r="O1050" s="365" t="str">
        <f>IF($G1050="","",IFERROR(VLOOKUP($D1050&amp;"|"&amp;$E1050,科目表!$A$5:$B$200,2,FALSE),"※未登録"))</f>
        <v/>
      </c>
      <c r="P1050" s="359" t="str">
        <f>IF(OR($G1050="",$C1050=""),"",IF($B1050="決算整理",13,MOD(MONTH($C1050)-4,12)+1))</f>
        <v/>
      </c>
      <c r="Q1050" s="366" t="str">
        <f>IF($G1050="","",TRIM(IF(J1050+K1050+L1050+M1050&lt;&gt;$G1050,"按分不一致 ","")&amp;IF(O1050="※未登録","科目未登録 ","")&amp;IF(OR($H1050="",ISERROR(MATCH($H1050,{1,2,3,4,5,6,7,8},0))),"経費区分? ","")&amp;IF($I1050="","状態未設定 ","")&amp;IF(AND(OR($I1050="確認済",$I1050="未確認"),$B1050="月例",OR($C1050="",$C1050&lt;DATE(年度+2018,4,1),$C1050&gt;DATE(年度+2019,3,31))),"年度外の日付 ","")&amp;IF(AND(OR($I1050="確認済",$I1050="未確認"),O1050="対象外"),"対象外の科目 ","")))</f>
        <v/>
      </c>
      <c r="R1050" s="366" t="n"/>
    </row>
    <row r="1051">
      <c r="A1051" s="359" t="n"/>
      <c r="B1051" s="360" t="n"/>
      <c r="C1051" s="361" t="n"/>
      <c r="D1051" s="362" t="n"/>
      <c r="E1051" s="362" t="n"/>
      <c r="F1051" s="362" t="n"/>
      <c r="G1051" s="363" t="n"/>
      <c r="H1051" s="360" t="n"/>
      <c r="I1051" s="360" t="n"/>
      <c r="J1051" s="364" t="str">
        <f>IF($G1051="","",IF($H1051=1,$G1051-ROUND($G1051*10/23,0)-2*ROUND($G1051/23,0),IF($H1051=2,$G1051,0)))</f>
        <v/>
      </c>
      <c r="K1051" s="364" t="str">
        <f>IF($G1051="","",IF($H1051=1,ROUND($G1051*10/23,0),IF($H1051=3,$G1051-2*ROUND($G1051/12,0),IF($H1051=4,$G1051,IF(OR($H1051=5,$H1051=7),ROUND($G1051*10/11,0),0)))))</f>
        <v/>
      </c>
      <c r="L1051" s="364" t="str">
        <f>IF($G1051="","",IF($H1051=1,ROUND($G1051/23,0),IF($H1051=3,ROUND($G1051/12,0),IF($H1051=5,$G1051-ROUND($G1051*10/11,0),IF($H1051=8,$G1051,0)))))</f>
        <v/>
      </c>
      <c r="M1051" s="364" t="str">
        <f>IF($G1051="","",IF($H1051=1,ROUND($G1051/23,0),IF($H1051=3,ROUND($G1051/12,0),IF($H1051=6,$G1051,IF($H1051=7,$G1051-ROUND($G1051*10/11,0),0)))))</f>
        <v/>
      </c>
      <c r="N1051" s="364" t="str">
        <f>IF($G1051="","",K1051+L1051+M1051)</f>
        <v/>
      </c>
      <c r="O1051" s="365" t="str">
        <f>IF($G1051="","",IFERROR(VLOOKUP($D1051&amp;"|"&amp;$E1051,科目表!$A$5:$B$200,2,FALSE),"※未登録"))</f>
        <v/>
      </c>
      <c r="P1051" s="359" t="str">
        <f>IF(OR($G1051="",$C1051=""),"",IF($B1051="決算整理",13,MOD(MONTH($C1051)-4,12)+1))</f>
        <v/>
      </c>
      <c r="Q1051" s="366" t="str">
        <f>IF($G1051="","",TRIM(IF(J1051+K1051+L1051+M1051&lt;&gt;$G1051,"按分不一致 ","")&amp;IF(O1051="※未登録","科目未登録 ","")&amp;IF(OR($H1051="",ISERROR(MATCH($H1051,{1,2,3,4,5,6,7,8},0))),"経費区分? ","")&amp;IF($I1051="","状態未設定 ","")&amp;IF(AND(OR($I1051="確認済",$I1051="未確認"),$B1051="月例",OR($C1051="",$C1051&lt;DATE(年度+2018,4,1),$C1051&gt;DATE(年度+2019,3,31))),"年度外の日付 ","")&amp;IF(AND(OR($I1051="確認済",$I1051="未確認"),O1051="対象外"),"対象外の科目 ","")))</f>
        <v/>
      </c>
      <c r="R1051" s="366" t="n"/>
    </row>
    <row r="1052">
      <c r="A1052" s="359" t="n"/>
      <c r="B1052" s="360" t="n"/>
      <c r="C1052" s="361" t="n"/>
      <c r="D1052" s="362" t="n"/>
      <c r="E1052" s="362" t="n"/>
      <c r="F1052" s="362" t="n"/>
      <c r="G1052" s="363" t="n"/>
      <c r="H1052" s="360" t="n"/>
      <c r="I1052" s="360" t="n"/>
      <c r="J1052" s="364" t="str">
        <f>IF($G1052="","",IF($H1052=1,$G1052-ROUND($G1052*10/23,0)-2*ROUND($G1052/23,0),IF($H1052=2,$G1052,0)))</f>
        <v/>
      </c>
      <c r="K1052" s="364" t="str">
        <f>IF($G1052="","",IF($H1052=1,ROUND($G1052*10/23,0),IF($H1052=3,$G1052-2*ROUND($G1052/12,0),IF($H1052=4,$G1052,IF(OR($H1052=5,$H1052=7),ROUND($G1052*10/11,0),0)))))</f>
        <v/>
      </c>
      <c r="L1052" s="364" t="str">
        <f>IF($G1052="","",IF($H1052=1,ROUND($G1052/23,0),IF($H1052=3,ROUND($G1052/12,0),IF($H1052=5,$G1052-ROUND($G1052*10/11,0),IF($H1052=8,$G1052,0)))))</f>
        <v/>
      </c>
      <c r="M1052" s="364" t="str">
        <f>IF($G1052="","",IF($H1052=1,ROUND($G1052/23,0),IF($H1052=3,ROUND($G1052/12,0),IF($H1052=6,$G1052,IF($H1052=7,$G1052-ROUND($G1052*10/11,0),0)))))</f>
        <v/>
      </c>
      <c r="N1052" s="364" t="str">
        <f>IF($G1052="","",K1052+L1052+M1052)</f>
        <v/>
      </c>
      <c r="O1052" s="365" t="str">
        <f>IF($G1052="","",IFERROR(VLOOKUP($D1052&amp;"|"&amp;$E1052,科目表!$A$5:$B$200,2,FALSE),"※未登録"))</f>
        <v/>
      </c>
      <c r="P1052" s="359" t="str">
        <f>IF(OR($G1052="",$C1052=""),"",IF($B1052="決算整理",13,MOD(MONTH($C1052)-4,12)+1))</f>
        <v/>
      </c>
      <c r="Q1052" s="366" t="str">
        <f>IF($G1052="","",TRIM(IF(J1052+K1052+L1052+M1052&lt;&gt;$G1052,"按分不一致 ","")&amp;IF(O1052="※未登録","科目未登録 ","")&amp;IF(OR($H1052="",ISERROR(MATCH($H1052,{1,2,3,4,5,6,7,8},0))),"経費区分? ","")&amp;IF($I1052="","状態未設定 ","")&amp;IF(AND(OR($I1052="確認済",$I1052="未確認"),$B1052="月例",OR($C1052="",$C1052&lt;DATE(年度+2018,4,1),$C1052&gt;DATE(年度+2019,3,31))),"年度外の日付 ","")&amp;IF(AND(OR($I1052="確認済",$I1052="未確認"),O1052="対象外"),"対象外の科目 ","")))</f>
        <v/>
      </c>
      <c r="R1052" s="366" t="n"/>
    </row>
    <row r="1053">
      <c r="A1053" s="359" t="n"/>
      <c r="B1053" s="360" t="n"/>
      <c r="C1053" s="361" t="n"/>
      <c r="D1053" s="362" t="n"/>
      <c r="E1053" s="362" t="n"/>
      <c r="F1053" s="362" t="n"/>
      <c r="G1053" s="363" t="n"/>
      <c r="H1053" s="360" t="n"/>
      <c r="I1053" s="360" t="n"/>
      <c r="J1053" s="364" t="str">
        <f>IF($G1053="","",IF($H1053=1,$G1053-ROUND($G1053*10/23,0)-2*ROUND($G1053/23,0),IF($H1053=2,$G1053,0)))</f>
        <v/>
      </c>
      <c r="K1053" s="364" t="str">
        <f>IF($G1053="","",IF($H1053=1,ROUND($G1053*10/23,0),IF($H1053=3,$G1053-2*ROUND($G1053/12,0),IF($H1053=4,$G1053,IF(OR($H1053=5,$H1053=7),ROUND($G1053*10/11,0),0)))))</f>
        <v/>
      </c>
      <c r="L1053" s="364" t="str">
        <f>IF($G1053="","",IF($H1053=1,ROUND($G1053/23,0),IF($H1053=3,ROUND($G1053/12,0),IF($H1053=5,$G1053-ROUND($G1053*10/11,0),IF($H1053=8,$G1053,0)))))</f>
        <v/>
      </c>
      <c r="M1053" s="364" t="str">
        <f>IF($G1053="","",IF($H1053=1,ROUND($G1053/23,0),IF($H1053=3,ROUND($G1053/12,0),IF($H1053=6,$G1053,IF($H1053=7,$G1053-ROUND($G1053*10/11,0),0)))))</f>
        <v/>
      </c>
      <c r="N1053" s="364" t="str">
        <f>IF($G1053="","",K1053+L1053+M1053)</f>
        <v/>
      </c>
      <c r="O1053" s="365" t="str">
        <f>IF($G1053="","",IFERROR(VLOOKUP($D1053&amp;"|"&amp;$E1053,科目表!$A$5:$B$200,2,FALSE),"※未登録"))</f>
        <v/>
      </c>
      <c r="P1053" s="359" t="str">
        <f>IF(OR($G1053="",$C1053=""),"",IF($B1053="決算整理",13,MOD(MONTH($C1053)-4,12)+1))</f>
        <v/>
      </c>
      <c r="Q1053" s="366" t="str">
        <f>IF($G1053="","",TRIM(IF(J1053+K1053+L1053+M1053&lt;&gt;$G1053,"按分不一致 ","")&amp;IF(O1053="※未登録","科目未登録 ","")&amp;IF(OR($H1053="",ISERROR(MATCH($H1053,{1,2,3,4,5,6,7,8},0))),"経費区分? ","")&amp;IF($I1053="","状態未設定 ","")&amp;IF(AND(OR($I1053="確認済",$I1053="未確認"),$B1053="月例",OR($C1053="",$C1053&lt;DATE(年度+2018,4,1),$C1053&gt;DATE(年度+2019,3,31))),"年度外の日付 ","")&amp;IF(AND(OR($I1053="確認済",$I1053="未確認"),O1053="対象外"),"対象外の科目 ","")))</f>
        <v/>
      </c>
      <c r="R1053" s="366" t="n"/>
    </row>
    <row r="1054">
      <c r="A1054" s="359" t="n"/>
      <c r="B1054" s="360" t="n"/>
      <c r="C1054" s="361" t="n"/>
      <c r="D1054" s="362" t="n"/>
      <c r="E1054" s="362" t="n"/>
      <c r="F1054" s="362" t="n"/>
      <c r="G1054" s="363" t="n"/>
      <c r="H1054" s="360" t="n"/>
      <c r="I1054" s="360" t="n"/>
      <c r="J1054" s="364" t="str">
        <f>IF($G1054="","",IF($H1054=1,$G1054-ROUND($G1054*10/23,0)-2*ROUND($G1054/23,0),IF($H1054=2,$G1054,0)))</f>
        <v/>
      </c>
      <c r="K1054" s="364" t="str">
        <f>IF($G1054="","",IF($H1054=1,ROUND($G1054*10/23,0),IF($H1054=3,$G1054-2*ROUND($G1054/12,0),IF($H1054=4,$G1054,IF(OR($H1054=5,$H1054=7),ROUND($G1054*10/11,0),0)))))</f>
        <v/>
      </c>
      <c r="L1054" s="364" t="str">
        <f>IF($G1054="","",IF($H1054=1,ROUND($G1054/23,0),IF($H1054=3,ROUND($G1054/12,0),IF($H1054=5,$G1054-ROUND($G1054*10/11,0),IF($H1054=8,$G1054,0)))))</f>
        <v/>
      </c>
      <c r="M1054" s="364" t="str">
        <f>IF($G1054="","",IF($H1054=1,ROUND($G1054/23,0),IF($H1054=3,ROUND($G1054/12,0),IF($H1054=6,$G1054,IF($H1054=7,$G1054-ROUND($G1054*10/11,0),0)))))</f>
        <v/>
      </c>
      <c r="N1054" s="364" t="str">
        <f>IF($G1054="","",K1054+L1054+M1054)</f>
        <v/>
      </c>
      <c r="O1054" s="365" t="str">
        <f>IF($G1054="","",IFERROR(VLOOKUP($D1054&amp;"|"&amp;$E1054,科目表!$A$5:$B$200,2,FALSE),"※未登録"))</f>
        <v/>
      </c>
      <c r="P1054" s="359" t="str">
        <f>IF(OR($G1054="",$C1054=""),"",IF($B1054="決算整理",13,MOD(MONTH($C1054)-4,12)+1))</f>
        <v/>
      </c>
      <c r="Q1054" s="366" t="str">
        <f>IF($G1054="","",TRIM(IF(J1054+K1054+L1054+M1054&lt;&gt;$G1054,"按分不一致 ","")&amp;IF(O1054="※未登録","科目未登録 ","")&amp;IF(OR($H1054="",ISERROR(MATCH($H1054,{1,2,3,4,5,6,7,8},0))),"経費区分? ","")&amp;IF($I1054="","状態未設定 ","")&amp;IF(AND(OR($I1054="確認済",$I1054="未確認"),$B1054="月例",OR($C1054="",$C1054&lt;DATE(年度+2018,4,1),$C1054&gt;DATE(年度+2019,3,31))),"年度外の日付 ","")&amp;IF(AND(OR($I1054="確認済",$I1054="未確認"),O1054="対象外"),"対象外の科目 ","")))</f>
        <v/>
      </c>
      <c r="R1054" s="366" t="n"/>
    </row>
    <row r="1055">
      <c r="A1055" s="359" t="n"/>
      <c r="B1055" s="360" t="n"/>
      <c r="C1055" s="361" t="n"/>
      <c r="D1055" s="362" t="n"/>
      <c r="E1055" s="362" t="n"/>
      <c r="F1055" s="362" t="n"/>
      <c r="G1055" s="363" t="n"/>
      <c r="H1055" s="360" t="n"/>
      <c r="I1055" s="360" t="n"/>
      <c r="J1055" s="364" t="str">
        <f>IF($G1055="","",IF($H1055=1,$G1055-ROUND($G1055*10/23,0)-2*ROUND($G1055/23,0),IF($H1055=2,$G1055,0)))</f>
        <v/>
      </c>
      <c r="K1055" s="364" t="str">
        <f>IF($G1055="","",IF($H1055=1,ROUND($G1055*10/23,0),IF($H1055=3,$G1055-2*ROUND($G1055/12,0),IF($H1055=4,$G1055,IF(OR($H1055=5,$H1055=7),ROUND($G1055*10/11,0),0)))))</f>
        <v/>
      </c>
      <c r="L1055" s="364" t="str">
        <f>IF($G1055="","",IF($H1055=1,ROUND($G1055/23,0),IF($H1055=3,ROUND($G1055/12,0),IF($H1055=5,$G1055-ROUND($G1055*10/11,0),IF($H1055=8,$G1055,0)))))</f>
        <v/>
      </c>
      <c r="M1055" s="364" t="str">
        <f>IF($G1055="","",IF($H1055=1,ROUND($G1055/23,0),IF($H1055=3,ROUND($G1055/12,0),IF($H1055=6,$G1055,IF($H1055=7,$G1055-ROUND($G1055*10/11,0),0)))))</f>
        <v/>
      </c>
      <c r="N1055" s="364" t="str">
        <f>IF($G1055="","",K1055+L1055+M1055)</f>
        <v/>
      </c>
      <c r="O1055" s="365" t="str">
        <f>IF($G1055="","",IFERROR(VLOOKUP($D1055&amp;"|"&amp;$E1055,科目表!$A$5:$B$200,2,FALSE),"※未登録"))</f>
        <v/>
      </c>
      <c r="P1055" s="359" t="str">
        <f>IF(OR($G1055="",$C1055=""),"",IF($B1055="決算整理",13,MOD(MONTH($C1055)-4,12)+1))</f>
        <v/>
      </c>
      <c r="Q1055" s="366" t="str">
        <f>IF($G1055="","",TRIM(IF(J1055+K1055+L1055+M1055&lt;&gt;$G1055,"按分不一致 ","")&amp;IF(O1055="※未登録","科目未登録 ","")&amp;IF(OR($H1055="",ISERROR(MATCH($H1055,{1,2,3,4,5,6,7,8},0))),"経費区分? ","")&amp;IF($I1055="","状態未設定 ","")&amp;IF(AND(OR($I1055="確認済",$I1055="未確認"),$B1055="月例",OR($C1055="",$C1055&lt;DATE(年度+2018,4,1),$C1055&gt;DATE(年度+2019,3,31))),"年度外の日付 ","")&amp;IF(AND(OR($I1055="確認済",$I1055="未確認"),O1055="対象外"),"対象外の科目 ","")))</f>
        <v/>
      </c>
      <c r="R1055" s="366" t="n"/>
    </row>
    <row r="1056">
      <c r="A1056" s="359" t="n"/>
      <c r="B1056" s="360" t="n"/>
      <c r="C1056" s="361" t="n"/>
      <c r="D1056" s="362" t="n"/>
      <c r="E1056" s="362" t="n"/>
      <c r="F1056" s="362" t="n"/>
      <c r="G1056" s="363" t="n"/>
      <c r="H1056" s="360" t="n"/>
      <c r="I1056" s="360" t="n"/>
      <c r="J1056" s="364" t="str">
        <f>IF($G1056="","",IF($H1056=1,$G1056-ROUND($G1056*10/23,0)-2*ROUND($G1056/23,0),IF($H1056=2,$G1056,0)))</f>
        <v/>
      </c>
      <c r="K1056" s="364" t="str">
        <f>IF($G1056="","",IF($H1056=1,ROUND($G1056*10/23,0),IF($H1056=3,$G1056-2*ROUND($G1056/12,0),IF($H1056=4,$G1056,IF(OR($H1056=5,$H1056=7),ROUND($G1056*10/11,0),0)))))</f>
        <v/>
      </c>
      <c r="L1056" s="364" t="str">
        <f>IF($G1056="","",IF($H1056=1,ROUND($G1056/23,0),IF($H1056=3,ROUND($G1056/12,0),IF($H1056=5,$G1056-ROUND($G1056*10/11,0),IF($H1056=8,$G1056,0)))))</f>
        <v/>
      </c>
      <c r="M1056" s="364" t="str">
        <f>IF($G1056="","",IF($H1056=1,ROUND($G1056/23,0),IF($H1056=3,ROUND($G1056/12,0),IF($H1056=6,$G1056,IF($H1056=7,$G1056-ROUND($G1056*10/11,0),0)))))</f>
        <v/>
      </c>
      <c r="N1056" s="364" t="str">
        <f>IF($G1056="","",K1056+L1056+M1056)</f>
        <v/>
      </c>
      <c r="O1056" s="365" t="str">
        <f>IF($G1056="","",IFERROR(VLOOKUP($D1056&amp;"|"&amp;$E1056,科目表!$A$5:$B$200,2,FALSE),"※未登録"))</f>
        <v/>
      </c>
      <c r="P1056" s="359" t="str">
        <f>IF(OR($G1056="",$C1056=""),"",IF($B1056="決算整理",13,MOD(MONTH($C1056)-4,12)+1))</f>
        <v/>
      </c>
      <c r="Q1056" s="366" t="str">
        <f>IF($G1056="","",TRIM(IF(J1056+K1056+L1056+M1056&lt;&gt;$G1056,"按分不一致 ","")&amp;IF(O1056="※未登録","科目未登録 ","")&amp;IF(OR($H1056="",ISERROR(MATCH($H1056,{1,2,3,4,5,6,7,8},0))),"経費区分? ","")&amp;IF($I1056="","状態未設定 ","")&amp;IF(AND(OR($I1056="確認済",$I1056="未確認"),$B1056="月例",OR($C1056="",$C1056&lt;DATE(年度+2018,4,1),$C1056&gt;DATE(年度+2019,3,31))),"年度外の日付 ","")&amp;IF(AND(OR($I1056="確認済",$I1056="未確認"),O1056="対象外"),"対象外の科目 ","")))</f>
        <v/>
      </c>
      <c r="R1056" s="366" t="n"/>
    </row>
    <row r="1057">
      <c r="A1057" s="359" t="n"/>
      <c r="B1057" s="360" t="n"/>
      <c r="C1057" s="361" t="n"/>
      <c r="D1057" s="362" t="n"/>
      <c r="E1057" s="362" t="n"/>
      <c r="F1057" s="362" t="n"/>
      <c r="G1057" s="363" t="n"/>
      <c r="H1057" s="360" t="n"/>
      <c r="I1057" s="360" t="n"/>
      <c r="J1057" s="364" t="str">
        <f>IF($G1057="","",IF($H1057=1,$G1057-ROUND($G1057*10/23,0)-2*ROUND($G1057/23,0),IF($H1057=2,$G1057,0)))</f>
        <v/>
      </c>
      <c r="K1057" s="364" t="str">
        <f>IF($G1057="","",IF($H1057=1,ROUND($G1057*10/23,0),IF($H1057=3,$G1057-2*ROUND($G1057/12,0),IF($H1057=4,$G1057,IF(OR($H1057=5,$H1057=7),ROUND($G1057*10/11,0),0)))))</f>
        <v/>
      </c>
      <c r="L1057" s="364" t="str">
        <f>IF($G1057="","",IF($H1057=1,ROUND($G1057/23,0),IF($H1057=3,ROUND($G1057/12,0),IF($H1057=5,$G1057-ROUND($G1057*10/11,0),IF($H1057=8,$G1057,0)))))</f>
        <v/>
      </c>
      <c r="M1057" s="364" t="str">
        <f>IF($G1057="","",IF($H1057=1,ROUND($G1057/23,0),IF($H1057=3,ROUND($G1057/12,0),IF($H1057=6,$G1057,IF($H1057=7,$G1057-ROUND($G1057*10/11,0),0)))))</f>
        <v/>
      </c>
      <c r="N1057" s="364" t="str">
        <f>IF($G1057="","",K1057+L1057+M1057)</f>
        <v/>
      </c>
      <c r="O1057" s="365" t="str">
        <f>IF($G1057="","",IFERROR(VLOOKUP($D1057&amp;"|"&amp;$E1057,科目表!$A$5:$B$200,2,FALSE),"※未登録"))</f>
        <v/>
      </c>
      <c r="P1057" s="359" t="str">
        <f>IF(OR($G1057="",$C1057=""),"",IF($B1057="決算整理",13,MOD(MONTH($C1057)-4,12)+1))</f>
        <v/>
      </c>
      <c r="Q1057" s="366" t="str">
        <f>IF($G1057="","",TRIM(IF(J1057+K1057+L1057+M1057&lt;&gt;$G1057,"按分不一致 ","")&amp;IF(O1057="※未登録","科目未登録 ","")&amp;IF(OR($H1057="",ISERROR(MATCH($H1057,{1,2,3,4,5,6,7,8},0))),"経費区分? ","")&amp;IF($I1057="","状態未設定 ","")&amp;IF(AND(OR($I1057="確認済",$I1057="未確認"),$B1057="月例",OR($C1057="",$C1057&lt;DATE(年度+2018,4,1),$C1057&gt;DATE(年度+2019,3,31))),"年度外の日付 ","")&amp;IF(AND(OR($I1057="確認済",$I1057="未確認"),O1057="対象外"),"対象外の科目 ","")))</f>
        <v/>
      </c>
      <c r="R1057" s="366" t="n"/>
    </row>
    <row r="1058">
      <c r="A1058" s="359" t="n"/>
      <c r="B1058" s="360" t="n"/>
      <c r="C1058" s="361" t="n"/>
      <c r="D1058" s="362" t="n"/>
      <c r="E1058" s="362" t="n"/>
      <c r="F1058" s="362" t="n"/>
      <c r="G1058" s="363" t="n"/>
      <c r="H1058" s="360" t="n"/>
      <c r="I1058" s="360" t="n"/>
      <c r="J1058" s="364" t="str">
        <f>IF($G1058="","",IF($H1058=1,$G1058-ROUND($G1058*10/23,0)-2*ROUND($G1058/23,0),IF($H1058=2,$G1058,0)))</f>
        <v/>
      </c>
      <c r="K1058" s="364" t="str">
        <f>IF($G1058="","",IF($H1058=1,ROUND($G1058*10/23,0),IF($H1058=3,$G1058-2*ROUND($G1058/12,0),IF($H1058=4,$G1058,IF(OR($H1058=5,$H1058=7),ROUND($G1058*10/11,0),0)))))</f>
        <v/>
      </c>
      <c r="L1058" s="364" t="str">
        <f>IF($G1058="","",IF($H1058=1,ROUND($G1058/23,0),IF($H1058=3,ROUND($G1058/12,0),IF($H1058=5,$G1058-ROUND($G1058*10/11,0),IF($H1058=8,$G1058,0)))))</f>
        <v/>
      </c>
      <c r="M1058" s="364" t="str">
        <f>IF($G1058="","",IF($H1058=1,ROUND($G1058/23,0),IF($H1058=3,ROUND($G1058/12,0),IF($H1058=6,$G1058,IF($H1058=7,$G1058-ROUND($G1058*10/11,0),0)))))</f>
        <v/>
      </c>
      <c r="N1058" s="364" t="str">
        <f>IF($G1058="","",K1058+L1058+M1058)</f>
        <v/>
      </c>
      <c r="O1058" s="365" t="str">
        <f>IF($G1058="","",IFERROR(VLOOKUP($D1058&amp;"|"&amp;$E1058,科目表!$A$5:$B$200,2,FALSE),"※未登録"))</f>
        <v/>
      </c>
      <c r="P1058" s="359" t="str">
        <f>IF(OR($G1058="",$C1058=""),"",IF($B1058="決算整理",13,MOD(MONTH($C1058)-4,12)+1))</f>
        <v/>
      </c>
      <c r="Q1058" s="366" t="str">
        <f>IF($G1058="","",TRIM(IF(J1058+K1058+L1058+M1058&lt;&gt;$G1058,"按分不一致 ","")&amp;IF(O1058="※未登録","科目未登録 ","")&amp;IF(OR($H1058="",ISERROR(MATCH($H1058,{1,2,3,4,5,6,7,8},0))),"経費区分? ","")&amp;IF($I1058="","状態未設定 ","")&amp;IF(AND(OR($I1058="確認済",$I1058="未確認"),$B1058="月例",OR($C1058="",$C1058&lt;DATE(年度+2018,4,1),$C1058&gt;DATE(年度+2019,3,31))),"年度外の日付 ","")&amp;IF(AND(OR($I1058="確認済",$I1058="未確認"),O1058="対象外"),"対象外の科目 ","")))</f>
        <v/>
      </c>
      <c r="R1058" s="366" t="n"/>
    </row>
    <row r="1059">
      <c r="A1059" s="359" t="n"/>
      <c r="B1059" s="360" t="n"/>
      <c r="C1059" s="361" t="n"/>
      <c r="D1059" s="362" t="n"/>
      <c r="E1059" s="362" t="n"/>
      <c r="F1059" s="362" t="n"/>
      <c r="G1059" s="363" t="n"/>
      <c r="H1059" s="360" t="n"/>
      <c r="I1059" s="360" t="n"/>
      <c r="J1059" s="364" t="str">
        <f>IF($G1059="","",IF($H1059=1,$G1059-ROUND($G1059*10/23,0)-2*ROUND($G1059/23,0),IF($H1059=2,$G1059,0)))</f>
        <v/>
      </c>
      <c r="K1059" s="364" t="str">
        <f>IF($G1059="","",IF($H1059=1,ROUND($G1059*10/23,0),IF($H1059=3,$G1059-2*ROUND($G1059/12,0),IF($H1059=4,$G1059,IF(OR($H1059=5,$H1059=7),ROUND($G1059*10/11,0),0)))))</f>
        <v/>
      </c>
      <c r="L1059" s="364" t="str">
        <f>IF($G1059="","",IF($H1059=1,ROUND($G1059/23,0),IF($H1059=3,ROUND($G1059/12,0),IF($H1059=5,$G1059-ROUND($G1059*10/11,0),IF($H1059=8,$G1059,0)))))</f>
        <v/>
      </c>
      <c r="M1059" s="364" t="str">
        <f>IF($G1059="","",IF($H1059=1,ROUND($G1059/23,0),IF($H1059=3,ROUND($G1059/12,0),IF($H1059=6,$G1059,IF($H1059=7,$G1059-ROUND($G1059*10/11,0),0)))))</f>
        <v/>
      </c>
      <c r="N1059" s="364" t="str">
        <f>IF($G1059="","",K1059+L1059+M1059)</f>
        <v/>
      </c>
      <c r="O1059" s="365" t="str">
        <f>IF($G1059="","",IFERROR(VLOOKUP($D1059&amp;"|"&amp;$E1059,科目表!$A$5:$B$200,2,FALSE),"※未登録"))</f>
        <v/>
      </c>
      <c r="P1059" s="359" t="str">
        <f>IF(OR($G1059="",$C1059=""),"",IF($B1059="決算整理",13,MOD(MONTH($C1059)-4,12)+1))</f>
        <v/>
      </c>
      <c r="Q1059" s="366" t="str">
        <f>IF($G1059="","",TRIM(IF(J1059+K1059+L1059+M1059&lt;&gt;$G1059,"按分不一致 ","")&amp;IF(O1059="※未登録","科目未登録 ","")&amp;IF(OR($H1059="",ISERROR(MATCH($H1059,{1,2,3,4,5,6,7,8},0))),"経費区分? ","")&amp;IF($I1059="","状態未設定 ","")&amp;IF(AND(OR($I1059="確認済",$I1059="未確認"),$B1059="月例",OR($C1059="",$C1059&lt;DATE(年度+2018,4,1),$C1059&gt;DATE(年度+2019,3,31))),"年度外の日付 ","")&amp;IF(AND(OR($I1059="確認済",$I1059="未確認"),O1059="対象外"),"対象外の科目 ","")))</f>
        <v/>
      </c>
      <c r="R1059" s="366" t="n"/>
    </row>
    <row r="1060">
      <c r="A1060" s="359" t="n"/>
      <c r="B1060" s="360" t="n"/>
      <c r="C1060" s="361" t="n"/>
      <c r="D1060" s="362" t="n"/>
      <c r="E1060" s="362" t="n"/>
      <c r="F1060" s="362" t="n"/>
      <c r="G1060" s="363" t="n"/>
      <c r="H1060" s="360" t="n"/>
      <c r="I1060" s="360" t="n"/>
      <c r="J1060" s="364" t="str">
        <f>IF($G1060="","",IF($H1060=1,$G1060-ROUND($G1060*10/23,0)-2*ROUND($G1060/23,0),IF($H1060=2,$G1060,0)))</f>
        <v/>
      </c>
      <c r="K1060" s="364" t="str">
        <f>IF($G1060="","",IF($H1060=1,ROUND($G1060*10/23,0),IF($H1060=3,$G1060-2*ROUND($G1060/12,0),IF($H1060=4,$G1060,IF(OR($H1060=5,$H1060=7),ROUND($G1060*10/11,0),0)))))</f>
        <v/>
      </c>
      <c r="L1060" s="364" t="str">
        <f>IF($G1060="","",IF($H1060=1,ROUND($G1060/23,0),IF($H1060=3,ROUND($G1060/12,0),IF($H1060=5,$G1060-ROUND($G1060*10/11,0),IF($H1060=8,$G1060,0)))))</f>
        <v/>
      </c>
      <c r="M1060" s="364" t="str">
        <f>IF($G1060="","",IF($H1060=1,ROUND($G1060/23,0),IF($H1060=3,ROUND($G1060/12,0),IF($H1060=6,$G1060,IF($H1060=7,$G1060-ROUND($G1060*10/11,0),0)))))</f>
        <v/>
      </c>
      <c r="N1060" s="364" t="str">
        <f>IF($G1060="","",K1060+L1060+M1060)</f>
        <v/>
      </c>
      <c r="O1060" s="365" t="str">
        <f>IF($G1060="","",IFERROR(VLOOKUP($D1060&amp;"|"&amp;$E1060,科目表!$A$5:$B$200,2,FALSE),"※未登録"))</f>
        <v/>
      </c>
      <c r="P1060" s="359" t="str">
        <f>IF(OR($G1060="",$C1060=""),"",IF($B1060="決算整理",13,MOD(MONTH($C1060)-4,12)+1))</f>
        <v/>
      </c>
      <c r="Q1060" s="366" t="str">
        <f>IF($G1060="","",TRIM(IF(J1060+K1060+L1060+M1060&lt;&gt;$G1060,"按分不一致 ","")&amp;IF(O1060="※未登録","科目未登録 ","")&amp;IF(OR($H1060="",ISERROR(MATCH($H1060,{1,2,3,4,5,6,7,8},0))),"経費区分? ","")&amp;IF($I1060="","状態未設定 ","")&amp;IF(AND(OR($I1060="確認済",$I1060="未確認"),$B1060="月例",OR($C1060="",$C1060&lt;DATE(年度+2018,4,1),$C1060&gt;DATE(年度+2019,3,31))),"年度外の日付 ","")&amp;IF(AND(OR($I1060="確認済",$I1060="未確認"),O1060="対象外"),"対象外の科目 ","")))</f>
        <v/>
      </c>
      <c r="R1060" s="366" t="n"/>
    </row>
    <row r="1061">
      <c r="A1061" s="359" t="n"/>
      <c r="B1061" s="360" t="n"/>
      <c r="C1061" s="361" t="n"/>
      <c r="D1061" s="362" t="n"/>
      <c r="E1061" s="362" t="n"/>
      <c r="F1061" s="362" t="n"/>
      <c r="G1061" s="363" t="n"/>
      <c r="H1061" s="360" t="n"/>
      <c r="I1061" s="360" t="n"/>
      <c r="J1061" s="364" t="str">
        <f>IF($G1061="","",IF($H1061=1,$G1061-ROUND($G1061*10/23,0)-2*ROUND($G1061/23,0),IF($H1061=2,$G1061,0)))</f>
        <v/>
      </c>
      <c r="K1061" s="364" t="str">
        <f>IF($G1061="","",IF($H1061=1,ROUND($G1061*10/23,0),IF($H1061=3,$G1061-2*ROUND($G1061/12,0),IF($H1061=4,$G1061,IF(OR($H1061=5,$H1061=7),ROUND($G1061*10/11,0),0)))))</f>
        <v/>
      </c>
      <c r="L1061" s="364" t="str">
        <f>IF($G1061="","",IF($H1061=1,ROUND($G1061/23,0),IF($H1061=3,ROUND($G1061/12,0),IF($H1061=5,$G1061-ROUND($G1061*10/11,0),IF($H1061=8,$G1061,0)))))</f>
        <v/>
      </c>
      <c r="M1061" s="364" t="str">
        <f>IF($G1061="","",IF($H1061=1,ROUND($G1061/23,0),IF($H1061=3,ROUND($G1061/12,0),IF($H1061=6,$G1061,IF($H1061=7,$G1061-ROUND($G1061*10/11,0),0)))))</f>
        <v/>
      </c>
      <c r="N1061" s="364" t="str">
        <f>IF($G1061="","",K1061+L1061+M1061)</f>
        <v/>
      </c>
      <c r="O1061" s="365" t="str">
        <f>IF($G1061="","",IFERROR(VLOOKUP($D1061&amp;"|"&amp;$E1061,科目表!$A$5:$B$200,2,FALSE),"※未登録"))</f>
        <v/>
      </c>
      <c r="P1061" s="359" t="str">
        <f>IF(OR($G1061="",$C1061=""),"",IF($B1061="決算整理",13,MOD(MONTH($C1061)-4,12)+1))</f>
        <v/>
      </c>
      <c r="Q1061" s="366" t="str">
        <f>IF($G1061="","",TRIM(IF(J1061+K1061+L1061+M1061&lt;&gt;$G1061,"按分不一致 ","")&amp;IF(O1061="※未登録","科目未登録 ","")&amp;IF(OR($H1061="",ISERROR(MATCH($H1061,{1,2,3,4,5,6,7,8},0))),"経費区分? ","")&amp;IF($I1061="","状態未設定 ","")&amp;IF(AND(OR($I1061="確認済",$I1061="未確認"),$B1061="月例",OR($C1061="",$C1061&lt;DATE(年度+2018,4,1),$C1061&gt;DATE(年度+2019,3,31))),"年度外の日付 ","")&amp;IF(AND(OR($I1061="確認済",$I1061="未確認"),O1061="対象外"),"対象外の科目 ","")))</f>
        <v/>
      </c>
      <c r="R1061" s="366" t="n"/>
    </row>
    <row r="1062">
      <c r="A1062" s="359" t="n"/>
      <c r="B1062" s="360" t="n"/>
      <c r="C1062" s="361" t="n"/>
      <c r="D1062" s="362" t="n"/>
      <c r="E1062" s="362" t="n"/>
      <c r="F1062" s="362" t="n"/>
      <c r="G1062" s="363" t="n"/>
      <c r="H1062" s="360" t="n"/>
      <c r="I1062" s="360" t="n"/>
      <c r="J1062" s="364" t="str">
        <f>IF($G1062="","",IF($H1062=1,$G1062-ROUND($G1062*10/23,0)-2*ROUND($G1062/23,0),IF($H1062=2,$G1062,0)))</f>
        <v/>
      </c>
      <c r="K1062" s="364" t="str">
        <f>IF($G1062="","",IF($H1062=1,ROUND($G1062*10/23,0),IF($H1062=3,$G1062-2*ROUND($G1062/12,0),IF($H1062=4,$G1062,IF(OR($H1062=5,$H1062=7),ROUND($G1062*10/11,0),0)))))</f>
        <v/>
      </c>
      <c r="L1062" s="364" t="str">
        <f>IF($G1062="","",IF($H1062=1,ROUND($G1062/23,0),IF($H1062=3,ROUND($G1062/12,0),IF($H1062=5,$G1062-ROUND($G1062*10/11,0),IF($H1062=8,$G1062,0)))))</f>
        <v/>
      </c>
      <c r="M1062" s="364" t="str">
        <f>IF($G1062="","",IF($H1062=1,ROUND($G1062/23,0),IF($H1062=3,ROUND($G1062/12,0),IF($H1062=6,$G1062,IF($H1062=7,$G1062-ROUND($G1062*10/11,0),0)))))</f>
        <v/>
      </c>
      <c r="N1062" s="364" t="str">
        <f>IF($G1062="","",K1062+L1062+M1062)</f>
        <v/>
      </c>
      <c r="O1062" s="365" t="str">
        <f>IF($G1062="","",IFERROR(VLOOKUP($D1062&amp;"|"&amp;$E1062,科目表!$A$5:$B$200,2,FALSE),"※未登録"))</f>
        <v/>
      </c>
      <c r="P1062" s="359" t="str">
        <f>IF(OR($G1062="",$C1062=""),"",IF($B1062="決算整理",13,MOD(MONTH($C1062)-4,12)+1))</f>
        <v/>
      </c>
      <c r="Q1062" s="366" t="str">
        <f>IF($G1062="","",TRIM(IF(J1062+K1062+L1062+M1062&lt;&gt;$G1062,"按分不一致 ","")&amp;IF(O1062="※未登録","科目未登録 ","")&amp;IF(OR($H1062="",ISERROR(MATCH($H1062,{1,2,3,4,5,6,7,8},0))),"経費区分? ","")&amp;IF($I1062="","状態未設定 ","")&amp;IF(AND(OR($I1062="確認済",$I1062="未確認"),$B1062="月例",OR($C1062="",$C1062&lt;DATE(年度+2018,4,1),$C1062&gt;DATE(年度+2019,3,31))),"年度外の日付 ","")&amp;IF(AND(OR($I1062="確認済",$I1062="未確認"),O1062="対象外"),"対象外の科目 ","")))</f>
        <v/>
      </c>
      <c r="R1062" s="366" t="n"/>
    </row>
    <row r="1063">
      <c r="A1063" s="359" t="n"/>
      <c r="B1063" s="360" t="n"/>
      <c r="C1063" s="361" t="n"/>
      <c r="D1063" s="362" t="n"/>
      <c r="E1063" s="362" t="n"/>
      <c r="F1063" s="362" t="n"/>
      <c r="G1063" s="363" t="n"/>
      <c r="H1063" s="360" t="n"/>
      <c r="I1063" s="360" t="n"/>
      <c r="J1063" s="364" t="str">
        <f>IF($G1063="","",IF($H1063=1,$G1063-ROUND($G1063*10/23,0)-2*ROUND($G1063/23,0),IF($H1063=2,$G1063,0)))</f>
        <v/>
      </c>
      <c r="K1063" s="364" t="str">
        <f>IF($G1063="","",IF($H1063=1,ROUND($G1063*10/23,0),IF($H1063=3,$G1063-2*ROUND($G1063/12,0),IF($H1063=4,$G1063,IF(OR($H1063=5,$H1063=7),ROUND($G1063*10/11,0),0)))))</f>
        <v/>
      </c>
      <c r="L1063" s="364" t="str">
        <f>IF($G1063="","",IF($H1063=1,ROUND($G1063/23,0),IF($H1063=3,ROUND($G1063/12,0),IF($H1063=5,$G1063-ROUND($G1063*10/11,0),IF($H1063=8,$G1063,0)))))</f>
        <v/>
      </c>
      <c r="M1063" s="364" t="str">
        <f>IF($G1063="","",IF($H1063=1,ROUND($G1063/23,0),IF($H1063=3,ROUND($G1063/12,0),IF($H1063=6,$G1063,IF($H1063=7,$G1063-ROUND($G1063*10/11,0),0)))))</f>
        <v/>
      </c>
      <c r="N1063" s="364" t="str">
        <f>IF($G1063="","",K1063+L1063+M1063)</f>
        <v/>
      </c>
      <c r="O1063" s="365" t="str">
        <f>IF($G1063="","",IFERROR(VLOOKUP($D1063&amp;"|"&amp;$E1063,科目表!$A$5:$B$200,2,FALSE),"※未登録"))</f>
        <v/>
      </c>
      <c r="P1063" s="359" t="str">
        <f>IF(OR($G1063="",$C1063=""),"",IF($B1063="決算整理",13,MOD(MONTH($C1063)-4,12)+1))</f>
        <v/>
      </c>
      <c r="Q1063" s="366" t="str">
        <f>IF($G1063="","",TRIM(IF(J1063+K1063+L1063+M1063&lt;&gt;$G1063,"按分不一致 ","")&amp;IF(O1063="※未登録","科目未登録 ","")&amp;IF(OR($H1063="",ISERROR(MATCH($H1063,{1,2,3,4,5,6,7,8},0))),"経費区分? ","")&amp;IF($I1063="","状態未設定 ","")&amp;IF(AND(OR($I1063="確認済",$I1063="未確認"),$B1063="月例",OR($C1063="",$C1063&lt;DATE(年度+2018,4,1),$C1063&gt;DATE(年度+2019,3,31))),"年度外の日付 ","")&amp;IF(AND(OR($I1063="確認済",$I1063="未確認"),O1063="対象外"),"対象外の科目 ","")))</f>
        <v/>
      </c>
      <c r="R1063" s="366" t="n"/>
    </row>
    <row r="1064">
      <c r="A1064" s="359" t="n"/>
      <c r="B1064" s="360" t="n"/>
      <c r="C1064" s="361" t="n"/>
      <c r="D1064" s="362" t="n"/>
      <c r="E1064" s="362" t="n"/>
      <c r="F1064" s="362" t="n"/>
      <c r="G1064" s="363" t="n"/>
      <c r="H1064" s="360" t="n"/>
      <c r="I1064" s="360" t="n"/>
      <c r="J1064" s="364" t="str">
        <f>IF($G1064="","",IF($H1064=1,$G1064-ROUND($G1064*10/23,0)-2*ROUND($G1064/23,0),IF($H1064=2,$G1064,0)))</f>
        <v/>
      </c>
      <c r="K1064" s="364" t="str">
        <f>IF($G1064="","",IF($H1064=1,ROUND($G1064*10/23,0),IF($H1064=3,$G1064-2*ROUND($G1064/12,0),IF($H1064=4,$G1064,IF(OR($H1064=5,$H1064=7),ROUND($G1064*10/11,0),0)))))</f>
        <v/>
      </c>
      <c r="L1064" s="364" t="str">
        <f>IF($G1064="","",IF($H1064=1,ROUND($G1064/23,0),IF($H1064=3,ROUND($G1064/12,0),IF($H1064=5,$G1064-ROUND($G1064*10/11,0),IF($H1064=8,$G1064,0)))))</f>
        <v/>
      </c>
      <c r="M1064" s="364" t="str">
        <f>IF($G1064="","",IF($H1064=1,ROUND($G1064/23,0),IF($H1064=3,ROUND($G1064/12,0),IF($H1064=6,$G1064,IF($H1064=7,$G1064-ROUND($G1064*10/11,0),0)))))</f>
        <v/>
      </c>
      <c r="N1064" s="364" t="str">
        <f>IF($G1064="","",K1064+L1064+M1064)</f>
        <v/>
      </c>
      <c r="O1064" s="365" t="str">
        <f>IF($G1064="","",IFERROR(VLOOKUP($D1064&amp;"|"&amp;$E1064,科目表!$A$5:$B$200,2,FALSE),"※未登録"))</f>
        <v/>
      </c>
      <c r="P1064" s="359" t="str">
        <f>IF(OR($G1064="",$C1064=""),"",IF($B1064="決算整理",13,MOD(MONTH($C1064)-4,12)+1))</f>
        <v/>
      </c>
      <c r="Q1064" s="366" t="str">
        <f>IF($G1064="","",TRIM(IF(J1064+K1064+L1064+M1064&lt;&gt;$G1064,"按分不一致 ","")&amp;IF(O1064="※未登録","科目未登録 ","")&amp;IF(OR($H1064="",ISERROR(MATCH($H1064,{1,2,3,4,5,6,7,8},0))),"経費区分? ","")&amp;IF($I1064="","状態未設定 ","")&amp;IF(AND(OR($I1064="確認済",$I1064="未確認"),$B1064="月例",OR($C1064="",$C1064&lt;DATE(年度+2018,4,1),$C1064&gt;DATE(年度+2019,3,31))),"年度外の日付 ","")&amp;IF(AND(OR($I1064="確認済",$I1064="未確認"),O1064="対象外"),"対象外の科目 ","")))</f>
        <v/>
      </c>
      <c r="R1064" s="366" t="n"/>
    </row>
    <row r="1065">
      <c r="A1065" s="359" t="n"/>
      <c r="B1065" s="360" t="n"/>
      <c r="C1065" s="361" t="n"/>
      <c r="D1065" s="362" t="n"/>
      <c r="E1065" s="362" t="n"/>
      <c r="F1065" s="362" t="n"/>
      <c r="G1065" s="363" t="n"/>
      <c r="H1065" s="360" t="n"/>
      <c r="I1065" s="360" t="n"/>
      <c r="J1065" s="364" t="str">
        <f>IF($G1065="","",IF($H1065=1,$G1065-ROUND($G1065*10/23,0)-2*ROUND($G1065/23,0),IF($H1065=2,$G1065,0)))</f>
        <v/>
      </c>
      <c r="K1065" s="364" t="str">
        <f>IF($G1065="","",IF($H1065=1,ROUND($G1065*10/23,0),IF($H1065=3,$G1065-2*ROUND($G1065/12,0),IF($H1065=4,$G1065,IF(OR($H1065=5,$H1065=7),ROUND($G1065*10/11,0),0)))))</f>
        <v/>
      </c>
      <c r="L1065" s="364" t="str">
        <f>IF($G1065="","",IF($H1065=1,ROUND($G1065/23,0),IF($H1065=3,ROUND($G1065/12,0),IF($H1065=5,$G1065-ROUND($G1065*10/11,0),IF($H1065=8,$G1065,0)))))</f>
        <v/>
      </c>
      <c r="M1065" s="364" t="str">
        <f>IF($G1065="","",IF($H1065=1,ROUND($G1065/23,0),IF($H1065=3,ROUND($G1065/12,0),IF($H1065=6,$G1065,IF($H1065=7,$G1065-ROUND($G1065*10/11,0),0)))))</f>
        <v/>
      </c>
      <c r="N1065" s="364" t="str">
        <f>IF($G1065="","",K1065+L1065+M1065)</f>
        <v/>
      </c>
      <c r="O1065" s="365" t="str">
        <f>IF($G1065="","",IFERROR(VLOOKUP($D1065&amp;"|"&amp;$E1065,科目表!$A$5:$B$200,2,FALSE),"※未登録"))</f>
        <v/>
      </c>
      <c r="P1065" s="359" t="str">
        <f>IF(OR($G1065="",$C1065=""),"",IF($B1065="決算整理",13,MOD(MONTH($C1065)-4,12)+1))</f>
        <v/>
      </c>
      <c r="Q1065" s="366" t="str">
        <f>IF($G1065="","",TRIM(IF(J1065+K1065+L1065+M1065&lt;&gt;$G1065,"按分不一致 ","")&amp;IF(O1065="※未登録","科目未登録 ","")&amp;IF(OR($H1065="",ISERROR(MATCH($H1065,{1,2,3,4,5,6,7,8},0))),"経費区分? ","")&amp;IF($I1065="","状態未設定 ","")&amp;IF(AND(OR($I1065="確認済",$I1065="未確認"),$B1065="月例",OR($C1065="",$C1065&lt;DATE(年度+2018,4,1),$C1065&gt;DATE(年度+2019,3,31))),"年度外の日付 ","")&amp;IF(AND(OR($I1065="確認済",$I1065="未確認"),O1065="対象外"),"対象外の科目 ","")))</f>
        <v/>
      </c>
      <c r="R1065" s="366" t="n"/>
    </row>
    <row r="1066">
      <c r="A1066" s="359" t="n"/>
      <c r="B1066" s="360" t="n"/>
      <c r="C1066" s="361" t="n"/>
      <c r="D1066" s="362" t="n"/>
      <c r="E1066" s="362" t="n"/>
      <c r="F1066" s="362" t="n"/>
      <c r="G1066" s="363" t="n"/>
      <c r="H1066" s="360" t="n"/>
      <c r="I1066" s="360" t="n"/>
      <c r="J1066" s="364" t="str">
        <f>IF($G1066="","",IF($H1066=1,$G1066-ROUND($G1066*10/23,0)-2*ROUND($G1066/23,0),IF($H1066=2,$G1066,0)))</f>
        <v/>
      </c>
      <c r="K1066" s="364" t="str">
        <f>IF($G1066="","",IF($H1066=1,ROUND($G1066*10/23,0),IF($H1066=3,$G1066-2*ROUND($G1066/12,0),IF($H1066=4,$G1066,IF(OR($H1066=5,$H1066=7),ROUND($G1066*10/11,0),0)))))</f>
        <v/>
      </c>
      <c r="L1066" s="364" t="str">
        <f>IF($G1066="","",IF($H1066=1,ROUND($G1066/23,0),IF($H1066=3,ROUND($G1066/12,0),IF($H1066=5,$G1066-ROUND($G1066*10/11,0),IF($H1066=8,$G1066,0)))))</f>
        <v/>
      </c>
      <c r="M1066" s="364" t="str">
        <f>IF($G1066="","",IF($H1066=1,ROUND($G1066/23,0),IF($H1066=3,ROUND($G1066/12,0),IF($H1066=6,$G1066,IF($H1066=7,$G1066-ROUND($G1066*10/11,0),0)))))</f>
        <v/>
      </c>
      <c r="N1066" s="364" t="str">
        <f>IF($G1066="","",K1066+L1066+M1066)</f>
        <v/>
      </c>
      <c r="O1066" s="365" t="str">
        <f>IF($G1066="","",IFERROR(VLOOKUP($D1066&amp;"|"&amp;$E1066,科目表!$A$5:$B$200,2,FALSE),"※未登録"))</f>
        <v/>
      </c>
      <c r="P1066" s="359" t="str">
        <f>IF(OR($G1066="",$C1066=""),"",IF($B1066="決算整理",13,MOD(MONTH($C1066)-4,12)+1))</f>
        <v/>
      </c>
      <c r="Q1066" s="366" t="str">
        <f>IF($G1066="","",TRIM(IF(J1066+K1066+L1066+M1066&lt;&gt;$G1066,"按分不一致 ","")&amp;IF(O1066="※未登録","科目未登録 ","")&amp;IF(OR($H1066="",ISERROR(MATCH($H1066,{1,2,3,4,5,6,7,8},0))),"経費区分? ","")&amp;IF($I1066="","状態未設定 ","")&amp;IF(AND(OR($I1066="確認済",$I1066="未確認"),$B1066="月例",OR($C1066="",$C1066&lt;DATE(年度+2018,4,1),$C1066&gt;DATE(年度+2019,3,31))),"年度外の日付 ","")&amp;IF(AND(OR($I1066="確認済",$I1066="未確認"),O1066="対象外"),"対象外の科目 ","")))</f>
        <v/>
      </c>
      <c r="R1066" s="366" t="n"/>
    </row>
    <row r="1067">
      <c r="A1067" s="359" t="n"/>
      <c r="B1067" s="360" t="n"/>
      <c r="C1067" s="361" t="n"/>
      <c r="D1067" s="362" t="n"/>
      <c r="E1067" s="362" t="n"/>
      <c r="F1067" s="362" t="n"/>
      <c r="G1067" s="363" t="n"/>
      <c r="H1067" s="360" t="n"/>
      <c r="I1067" s="360" t="n"/>
      <c r="J1067" s="364" t="str">
        <f>IF($G1067="","",IF($H1067=1,$G1067-ROUND($G1067*10/23,0)-2*ROUND($G1067/23,0),IF($H1067=2,$G1067,0)))</f>
        <v/>
      </c>
      <c r="K1067" s="364" t="str">
        <f>IF($G1067="","",IF($H1067=1,ROUND($G1067*10/23,0),IF($H1067=3,$G1067-2*ROUND($G1067/12,0),IF($H1067=4,$G1067,IF(OR($H1067=5,$H1067=7),ROUND($G1067*10/11,0),0)))))</f>
        <v/>
      </c>
      <c r="L1067" s="364" t="str">
        <f>IF($G1067="","",IF($H1067=1,ROUND($G1067/23,0),IF($H1067=3,ROUND($G1067/12,0),IF($H1067=5,$G1067-ROUND($G1067*10/11,0),IF($H1067=8,$G1067,0)))))</f>
        <v/>
      </c>
      <c r="M1067" s="364" t="str">
        <f>IF($G1067="","",IF($H1067=1,ROUND($G1067/23,0),IF($H1067=3,ROUND($G1067/12,0),IF($H1067=6,$G1067,IF($H1067=7,$G1067-ROUND($G1067*10/11,0),0)))))</f>
        <v/>
      </c>
      <c r="N1067" s="364" t="str">
        <f>IF($G1067="","",K1067+L1067+M1067)</f>
        <v/>
      </c>
      <c r="O1067" s="365" t="str">
        <f>IF($G1067="","",IFERROR(VLOOKUP($D1067&amp;"|"&amp;$E1067,科目表!$A$5:$B$200,2,FALSE),"※未登録"))</f>
        <v/>
      </c>
      <c r="P1067" s="359" t="str">
        <f>IF(OR($G1067="",$C1067=""),"",IF($B1067="決算整理",13,MOD(MONTH($C1067)-4,12)+1))</f>
        <v/>
      </c>
      <c r="Q1067" s="366" t="str">
        <f>IF($G1067="","",TRIM(IF(J1067+K1067+L1067+M1067&lt;&gt;$G1067,"按分不一致 ","")&amp;IF(O1067="※未登録","科目未登録 ","")&amp;IF(OR($H1067="",ISERROR(MATCH($H1067,{1,2,3,4,5,6,7,8},0))),"経費区分? ","")&amp;IF($I1067="","状態未設定 ","")&amp;IF(AND(OR($I1067="確認済",$I1067="未確認"),$B1067="月例",OR($C1067="",$C1067&lt;DATE(年度+2018,4,1),$C1067&gt;DATE(年度+2019,3,31))),"年度外の日付 ","")&amp;IF(AND(OR($I1067="確認済",$I1067="未確認"),O1067="対象外"),"対象外の科目 ","")))</f>
        <v/>
      </c>
      <c r="R1067" s="366" t="n"/>
    </row>
    <row r="1068">
      <c r="A1068" s="359" t="n"/>
      <c r="B1068" s="360" t="n"/>
      <c r="C1068" s="361" t="n"/>
      <c r="D1068" s="362" t="n"/>
      <c r="E1068" s="362" t="n"/>
      <c r="F1068" s="362" t="n"/>
      <c r="G1068" s="363" t="n"/>
      <c r="H1068" s="360" t="n"/>
      <c r="I1068" s="360" t="n"/>
      <c r="J1068" s="364" t="str">
        <f>IF($G1068="","",IF($H1068=1,$G1068-ROUND($G1068*10/23,0)-2*ROUND($G1068/23,0),IF($H1068=2,$G1068,0)))</f>
        <v/>
      </c>
      <c r="K1068" s="364" t="str">
        <f>IF($G1068="","",IF($H1068=1,ROUND($G1068*10/23,0),IF($H1068=3,$G1068-2*ROUND($G1068/12,0),IF($H1068=4,$G1068,IF(OR($H1068=5,$H1068=7),ROUND($G1068*10/11,0),0)))))</f>
        <v/>
      </c>
      <c r="L1068" s="364" t="str">
        <f>IF($G1068="","",IF($H1068=1,ROUND($G1068/23,0),IF($H1068=3,ROUND($G1068/12,0),IF($H1068=5,$G1068-ROUND($G1068*10/11,0),IF($H1068=8,$G1068,0)))))</f>
        <v/>
      </c>
      <c r="M1068" s="364" t="str">
        <f>IF($G1068="","",IF($H1068=1,ROUND($G1068/23,0),IF($H1068=3,ROUND($G1068/12,0),IF($H1068=6,$G1068,IF($H1068=7,$G1068-ROUND($G1068*10/11,0),0)))))</f>
        <v/>
      </c>
      <c r="N1068" s="364" t="str">
        <f>IF($G1068="","",K1068+L1068+M1068)</f>
        <v/>
      </c>
      <c r="O1068" s="365" t="str">
        <f>IF($G1068="","",IFERROR(VLOOKUP($D1068&amp;"|"&amp;$E1068,科目表!$A$5:$B$200,2,FALSE),"※未登録"))</f>
        <v/>
      </c>
      <c r="P1068" s="359" t="str">
        <f>IF(OR($G1068="",$C1068=""),"",IF($B1068="決算整理",13,MOD(MONTH($C1068)-4,12)+1))</f>
        <v/>
      </c>
      <c r="Q1068" s="366" t="str">
        <f>IF($G1068="","",TRIM(IF(J1068+K1068+L1068+M1068&lt;&gt;$G1068,"按分不一致 ","")&amp;IF(O1068="※未登録","科目未登録 ","")&amp;IF(OR($H1068="",ISERROR(MATCH($H1068,{1,2,3,4,5,6,7,8},0))),"経費区分? ","")&amp;IF($I1068="","状態未設定 ","")&amp;IF(AND(OR($I1068="確認済",$I1068="未確認"),$B1068="月例",OR($C1068="",$C1068&lt;DATE(年度+2018,4,1),$C1068&gt;DATE(年度+2019,3,31))),"年度外の日付 ","")&amp;IF(AND(OR($I1068="確認済",$I1068="未確認"),O1068="対象外"),"対象外の科目 ","")))</f>
        <v/>
      </c>
      <c r="R1068" s="366" t="n"/>
    </row>
    <row r="1069">
      <c r="A1069" s="359" t="n"/>
      <c r="B1069" s="360" t="n"/>
      <c r="C1069" s="361" t="n"/>
      <c r="D1069" s="362" t="n"/>
      <c r="E1069" s="362" t="n"/>
      <c r="F1069" s="362" t="n"/>
      <c r="G1069" s="363" t="n"/>
      <c r="H1069" s="360" t="n"/>
      <c r="I1069" s="360" t="n"/>
      <c r="J1069" s="364" t="str">
        <f>IF($G1069="","",IF($H1069=1,$G1069-ROUND($G1069*10/23,0)-2*ROUND($G1069/23,0),IF($H1069=2,$G1069,0)))</f>
        <v/>
      </c>
      <c r="K1069" s="364" t="str">
        <f>IF($G1069="","",IF($H1069=1,ROUND($G1069*10/23,0),IF($H1069=3,$G1069-2*ROUND($G1069/12,0),IF($H1069=4,$G1069,IF(OR($H1069=5,$H1069=7),ROUND($G1069*10/11,0),0)))))</f>
        <v/>
      </c>
      <c r="L1069" s="364" t="str">
        <f>IF($G1069="","",IF($H1069=1,ROUND($G1069/23,0),IF($H1069=3,ROUND($G1069/12,0),IF($H1069=5,$G1069-ROUND($G1069*10/11,0),IF($H1069=8,$G1069,0)))))</f>
        <v/>
      </c>
      <c r="M1069" s="364" t="str">
        <f>IF($G1069="","",IF($H1069=1,ROUND($G1069/23,0),IF($H1069=3,ROUND($G1069/12,0),IF($H1069=6,$G1069,IF($H1069=7,$G1069-ROUND($G1069*10/11,0),0)))))</f>
        <v/>
      </c>
      <c r="N1069" s="364" t="str">
        <f>IF($G1069="","",K1069+L1069+M1069)</f>
        <v/>
      </c>
      <c r="O1069" s="365" t="str">
        <f>IF($G1069="","",IFERROR(VLOOKUP($D1069&amp;"|"&amp;$E1069,科目表!$A$5:$B$200,2,FALSE),"※未登録"))</f>
        <v/>
      </c>
      <c r="P1069" s="359" t="str">
        <f>IF(OR($G1069="",$C1069=""),"",IF($B1069="決算整理",13,MOD(MONTH($C1069)-4,12)+1))</f>
        <v/>
      </c>
      <c r="Q1069" s="366" t="str">
        <f>IF($G1069="","",TRIM(IF(J1069+K1069+L1069+M1069&lt;&gt;$G1069,"按分不一致 ","")&amp;IF(O1069="※未登録","科目未登録 ","")&amp;IF(OR($H1069="",ISERROR(MATCH($H1069,{1,2,3,4,5,6,7,8},0))),"経費区分? ","")&amp;IF($I1069="","状態未設定 ","")&amp;IF(AND(OR($I1069="確認済",$I1069="未確認"),$B1069="月例",OR($C1069="",$C1069&lt;DATE(年度+2018,4,1),$C1069&gt;DATE(年度+2019,3,31))),"年度外の日付 ","")&amp;IF(AND(OR($I1069="確認済",$I1069="未確認"),O1069="対象外"),"対象外の科目 ","")))</f>
        <v/>
      </c>
      <c r="R1069" s="366" t="n"/>
    </row>
    <row r="1070">
      <c r="A1070" s="359" t="n"/>
      <c r="B1070" s="360" t="n"/>
      <c r="C1070" s="361" t="n"/>
      <c r="D1070" s="362" t="n"/>
      <c r="E1070" s="362" t="n"/>
      <c r="F1070" s="362" t="n"/>
      <c r="G1070" s="363" t="n"/>
      <c r="H1070" s="360" t="n"/>
      <c r="I1070" s="360" t="n"/>
      <c r="J1070" s="364" t="str">
        <f>IF($G1070="","",IF($H1070=1,$G1070-ROUND($G1070*10/23,0)-2*ROUND($G1070/23,0),IF($H1070=2,$G1070,0)))</f>
        <v/>
      </c>
      <c r="K1070" s="364" t="str">
        <f>IF($G1070="","",IF($H1070=1,ROUND($G1070*10/23,0),IF($H1070=3,$G1070-2*ROUND($G1070/12,0),IF($H1070=4,$G1070,IF(OR($H1070=5,$H1070=7),ROUND($G1070*10/11,0),0)))))</f>
        <v/>
      </c>
      <c r="L1070" s="364" t="str">
        <f>IF($G1070="","",IF($H1070=1,ROUND($G1070/23,0),IF($H1070=3,ROUND($G1070/12,0),IF($H1070=5,$G1070-ROUND($G1070*10/11,0),IF($H1070=8,$G1070,0)))))</f>
        <v/>
      </c>
      <c r="M1070" s="364" t="str">
        <f>IF($G1070="","",IF($H1070=1,ROUND($G1070/23,0),IF($H1070=3,ROUND($G1070/12,0),IF($H1070=6,$G1070,IF($H1070=7,$G1070-ROUND($G1070*10/11,0),0)))))</f>
        <v/>
      </c>
      <c r="N1070" s="364" t="str">
        <f>IF($G1070="","",K1070+L1070+M1070)</f>
        <v/>
      </c>
      <c r="O1070" s="365" t="str">
        <f>IF($G1070="","",IFERROR(VLOOKUP($D1070&amp;"|"&amp;$E1070,科目表!$A$5:$B$200,2,FALSE),"※未登録"))</f>
        <v/>
      </c>
      <c r="P1070" s="359" t="str">
        <f>IF(OR($G1070="",$C1070=""),"",IF($B1070="決算整理",13,MOD(MONTH($C1070)-4,12)+1))</f>
        <v/>
      </c>
      <c r="Q1070" s="366" t="str">
        <f>IF($G1070="","",TRIM(IF(J1070+K1070+L1070+M1070&lt;&gt;$G1070,"按分不一致 ","")&amp;IF(O1070="※未登録","科目未登録 ","")&amp;IF(OR($H1070="",ISERROR(MATCH($H1070,{1,2,3,4,5,6,7,8},0))),"経費区分? ","")&amp;IF($I1070="","状態未設定 ","")&amp;IF(AND(OR($I1070="確認済",$I1070="未確認"),$B1070="月例",OR($C1070="",$C1070&lt;DATE(年度+2018,4,1),$C1070&gt;DATE(年度+2019,3,31))),"年度外の日付 ","")&amp;IF(AND(OR($I1070="確認済",$I1070="未確認"),O1070="対象外"),"対象外の科目 ","")))</f>
        <v/>
      </c>
      <c r="R1070" s="366" t="n"/>
    </row>
    <row r="1071">
      <c r="A1071" s="359" t="n"/>
      <c r="B1071" s="360" t="n"/>
      <c r="C1071" s="361" t="n"/>
      <c r="D1071" s="362" t="n"/>
      <c r="E1071" s="362" t="n"/>
      <c r="F1071" s="362" t="n"/>
      <c r="G1071" s="363" t="n"/>
      <c r="H1071" s="360" t="n"/>
      <c r="I1071" s="360" t="n"/>
      <c r="J1071" s="364" t="str">
        <f>IF($G1071="","",IF($H1071=1,$G1071-ROUND($G1071*10/23,0)-2*ROUND($G1071/23,0),IF($H1071=2,$G1071,0)))</f>
        <v/>
      </c>
      <c r="K1071" s="364" t="str">
        <f>IF($G1071="","",IF($H1071=1,ROUND($G1071*10/23,0),IF($H1071=3,$G1071-2*ROUND($G1071/12,0),IF($H1071=4,$G1071,IF(OR($H1071=5,$H1071=7),ROUND($G1071*10/11,0),0)))))</f>
        <v/>
      </c>
      <c r="L1071" s="364" t="str">
        <f>IF($G1071="","",IF($H1071=1,ROUND($G1071/23,0),IF($H1071=3,ROUND($G1071/12,0),IF($H1071=5,$G1071-ROUND($G1071*10/11,0),IF($H1071=8,$G1071,0)))))</f>
        <v/>
      </c>
      <c r="M1071" s="364" t="str">
        <f>IF($G1071="","",IF($H1071=1,ROUND($G1071/23,0),IF($H1071=3,ROUND($G1071/12,0),IF($H1071=6,$G1071,IF($H1071=7,$G1071-ROUND($G1071*10/11,0),0)))))</f>
        <v/>
      </c>
      <c r="N1071" s="364" t="str">
        <f>IF($G1071="","",K1071+L1071+M1071)</f>
        <v/>
      </c>
      <c r="O1071" s="365" t="str">
        <f>IF($G1071="","",IFERROR(VLOOKUP($D1071&amp;"|"&amp;$E1071,科目表!$A$5:$B$200,2,FALSE),"※未登録"))</f>
        <v/>
      </c>
      <c r="P1071" s="359" t="str">
        <f>IF(OR($G1071="",$C1071=""),"",IF($B1071="決算整理",13,MOD(MONTH($C1071)-4,12)+1))</f>
        <v/>
      </c>
      <c r="Q1071" s="366" t="str">
        <f>IF($G1071="","",TRIM(IF(J1071+K1071+L1071+M1071&lt;&gt;$G1071,"按分不一致 ","")&amp;IF(O1071="※未登録","科目未登録 ","")&amp;IF(OR($H1071="",ISERROR(MATCH($H1071,{1,2,3,4,5,6,7,8},0))),"経費区分? ","")&amp;IF($I1071="","状態未設定 ","")&amp;IF(AND(OR($I1071="確認済",$I1071="未確認"),$B1071="月例",OR($C1071="",$C1071&lt;DATE(年度+2018,4,1),$C1071&gt;DATE(年度+2019,3,31))),"年度外の日付 ","")&amp;IF(AND(OR($I1071="確認済",$I1071="未確認"),O1071="対象外"),"対象外の科目 ","")))</f>
        <v/>
      </c>
      <c r="R1071" s="366" t="n"/>
    </row>
    <row r="1072">
      <c r="A1072" s="359" t="n"/>
      <c r="B1072" s="360" t="n"/>
      <c r="C1072" s="361" t="n"/>
      <c r="D1072" s="362" t="n"/>
      <c r="E1072" s="362" t="n"/>
      <c r="F1072" s="362" t="n"/>
      <c r="G1072" s="363" t="n"/>
      <c r="H1072" s="360" t="n"/>
      <c r="I1072" s="360" t="n"/>
      <c r="J1072" s="364" t="str">
        <f>IF($G1072="","",IF($H1072=1,$G1072-ROUND($G1072*10/23,0)-2*ROUND($G1072/23,0),IF($H1072=2,$G1072,0)))</f>
        <v/>
      </c>
      <c r="K1072" s="364" t="str">
        <f>IF($G1072="","",IF($H1072=1,ROUND($G1072*10/23,0),IF($H1072=3,$G1072-2*ROUND($G1072/12,0),IF($H1072=4,$G1072,IF(OR($H1072=5,$H1072=7),ROUND($G1072*10/11,0),0)))))</f>
        <v/>
      </c>
      <c r="L1072" s="364" t="str">
        <f>IF($G1072="","",IF($H1072=1,ROUND($G1072/23,0),IF($H1072=3,ROUND($G1072/12,0),IF($H1072=5,$G1072-ROUND($G1072*10/11,0),IF($H1072=8,$G1072,0)))))</f>
        <v/>
      </c>
      <c r="M1072" s="364" t="str">
        <f>IF($G1072="","",IF($H1072=1,ROUND($G1072/23,0),IF($H1072=3,ROUND($G1072/12,0),IF($H1072=6,$G1072,IF($H1072=7,$G1072-ROUND($G1072*10/11,0),0)))))</f>
        <v/>
      </c>
      <c r="N1072" s="364" t="str">
        <f>IF($G1072="","",K1072+L1072+M1072)</f>
        <v/>
      </c>
      <c r="O1072" s="365" t="str">
        <f>IF($G1072="","",IFERROR(VLOOKUP($D1072&amp;"|"&amp;$E1072,科目表!$A$5:$B$200,2,FALSE),"※未登録"))</f>
        <v/>
      </c>
      <c r="P1072" s="359" t="str">
        <f>IF(OR($G1072="",$C1072=""),"",IF($B1072="決算整理",13,MOD(MONTH($C1072)-4,12)+1))</f>
        <v/>
      </c>
      <c r="Q1072" s="366" t="str">
        <f>IF($G1072="","",TRIM(IF(J1072+K1072+L1072+M1072&lt;&gt;$G1072,"按分不一致 ","")&amp;IF(O1072="※未登録","科目未登録 ","")&amp;IF(OR($H1072="",ISERROR(MATCH($H1072,{1,2,3,4,5,6,7,8},0))),"経費区分? ","")&amp;IF($I1072="","状態未設定 ","")&amp;IF(AND(OR($I1072="確認済",$I1072="未確認"),$B1072="月例",OR($C1072="",$C1072&lt;DATE(年度+2018,4,1),$C1072&gt;DATE(年度+2019,3,31))),"年度外の日付 ","")&amp;IF(AND(OR($I1072="確認済",$I1072="未確認"),O1072="対象外"),"対象外の科目 ","")))</f>
        <v/>
      </c>
      <c r="R1072" s="366" t="n"/>
    </row>
    <row r="1073">
      <c r="A1073" s="359" t="n"/>
      <c r="B1073" s="360" t="n"/>
      <c r="C1073" s="361" t="n"/>
      <c r="D1073" s="362" t="n"/>
      <c r="E1073" s="362" t="n"/>
      <c r="F1073" s="362" t="n"/>
      <c r="G1073" s="363" t="n"/>
      <c r="H1073" s="360" t="n"/>
      <c r="I1073" s="360" t="n"/>
      <c r="J1073" s="364" t="str">
        <f>IF($G1073="","",IF($H1073=1,$G1073-ROUND($G1073*10/23,0)-2*ROUND($G1073/23,0),IF($H1073=2,$G1073,0)))</f>
        <v/>
      </c>
      <c r="K1073" s="364" t="str">
        <f>IF($G1073="","",IF($H1073=1,ROUND($G1073*10/23,0),IF($H1073=3,$G1073-2*ROUND($G1073/12,0),IF($H1073=4,$G1073,IF(OR($H1073=5,$H1073=7),ROUND($G1073*10/11,0),0)))))</f>
        <v/>
      </c>
      <c r="L1073" s="364" t="str">
        <f>IF($G1073="","",IF($H1073=1,ROUND($G1073/23,0),IF($H1073=3,ROUND($G1073/12,0),IF($H1073=5,$G1073-ROUND($G1073*10/11,0),IF($H1073=8,$G1073,0)))))</f>
        <v/>
      </c>
      <c r="M1073" s="364" t="str">
        <f>IF($G1073="","",IF($H1073=1,ROUND($G1073/23,0),IF($H1073=3,ROUND($G1073/12,0),IF($H1073=6,$G1073,IF($H1073=7,$G1073-ROUND($G1073*10/11,0),0)))))</f>
        <v/>
      </c>
      <c r="N1073" s="364" t="str">
        <f>IF($G1073="","",K1073+L1073+M1073)</f>
        <v/>
      </c>
      <c r="O1073" s="365" t="str">
        <f>IF($G1073="","",IFERROR(VLOOKUP($D1073&amp;"|"&amp;$E1073,科目表!$A$5:$B$200,2,FALSE),"※未登録"))</f>
        <v/>
      </c>
      <c r="P1073" s="359" t="str">
        <f>IF(OR($G1073="",$C1073=""),"",IF($B1073="決算整理",13,MOD(MONTH($C1073)-4,12)+1))</f>
        <v/>
      </c>
      <c r="Q1073" s="366" t="str">
        <f>IF($G1073="","",TRIM(IF(J1073+K1073+L1073+M1073&lt;&gt;$G1073,"按分不一致 ","")&amp;IF(O1073="※未登録","科目未登録 ","")&amp;IF(OR($H1073="",ISERROR(MATCH($H1073,{1,2,3,4,5,6,7,8},0))),"経費区分? ","")&amp;IF($I1073="","状態未設定 ","")&amp;IF(AND(OR($I1073="確認済",$I1073="未確認"),$B1073="月例",OR($C1073="",$C1073&lt;DATE(年度+2018,4,1),$C1073&gt;DATE(年度+2019,3,31))),"年度外の日付 ","")&amp;IF(AND(OR($I1073="確認済",$I1073="未確認"),O1073="対象外"),"対象外の科目 ","")))</f>
        <v/>
      </c>
      <c r="R1073" s="366" t="n"/>
    </row>
    <row r="1074">
      <c r="A1074" s="359" t="n"/>
      <c r="B1074" s="360" t="n"/>
      <c r="C1074" s="361" t="n"/>
      <c r="D1074" s="362" t="n"/>
      <c r="E1074" s="362" t="n"/>
      <c r="F1074" s="362" t="n"/>
      <c r="G1074" s="363" t="n"/>
      <c r="H1074" s="360" t="n"/>
      <c r="I1074" s="360" t="n"/>
      <c r="J1074" s="364" t="str">
        <f>IF($G1074="","",IF($H1074=1,$G1074-ROUND($G1074*10/23,0)-2*ROUND($G1074/23,0),IF($H1074=2,$G1074,0)))</f>
        <v/>
      </c>
      <c r="K1074" s="364" t="str">
        <f>IF($G1074="","",IF($H1074=1,ROUND($G1074*10/23,0),IF($H1074=3,$G1074-2*ROUND($G1074/12,0),IF($H1074=4,$G1074,IF(OR($H1074=5,$H1074=7),ROUND($G1074*10/11,0),0)))))</f>
        <v/>
      </c>
      <c r="L1074" s="364" t="str">
        <f>IF($G1074="","",IF($H1074=1,ROUND($G1074/23,0),IF($H1074=3,ROUND($G1074/12,0),IF($H1074=5,$G1074-ROUND($G1074*10/11,0),IF($H1074=8,$G1074,0)))))</f>
        <v/>
      </c>
      <c r="M1074" s="364" t="str">
        <f>IF($G1074="","",IF($H1074=1,ROUND($G1074/23,0),IF($H1074=3,ROUND($G1074/12,0),IF($H1074=6,$G1074,IF($H1074=7,$G1074-ROUND($G1074*10/11,0),0)))))</f>
        <v/>
      </c>
      <c r="N1074" s="364" t="str">
        <f>IF($G1074="","",K1074+L1074+M1074)</f>
        <v/>
      </c>
      <c r="O1074" s="365" t="str">
        <f>IF($G1074="","",IFERROR(VLOOKUP($D1074&amp;"|"&amp;$E1074,科目表!$A$5:$B$200,2,FALSE),"※未登録"))</f>
        <v/>
      </c>
      <c r="P1074" s="359" t="str">
        <f>IF(OR($G1074="",$C1074=""),"",IF($B1074="決算整理",13,MOD(MONTH($C1074)-4,12)+1))</f>
        <v/>
      </c>
      <c r="Q1074" s="366" t="str">
        <f>IF($G1074="","",TRIM(IF(J1074+K1074+L1074+M1074&lt;&gt;$G1074,"按分不一致 ","")&amp;IF(O1074="※未登録","科目未登録 ","")&amp;IF(OR($H1074="",ISERROR(MATCH($H1074,{1,2,3,4,5,6,7,8},0))),"経費区分? ","")&amp;IF($I1074="","状態未設定 ","")&amp;IF(AND(OR($I1074="確認済",$I1074="未確認"),$B1074="月例",OR($C1074="",$C1074&lt;DATE(年度+2018,4,1),$C1074&gt;DATE(年度+2019,3,31))),"年度外の日付 ","")&amp;IF(AND(OR($I1074="確認済",$I1074="未確認"),O1074="対象外"),"対象外の科目 ","")))</f>
        <v/>
      </c>
      <c r="R1074" s="366" t="n"/>
    </row>
    <row r="1075">
      <c r="A1075" s="359" t="n"/>
      <c r="B1075" s="360" t="n"/>
      <c r="C1075" s="361" t="n"/>
      <c r="D1075" s="362" t="n"/>
      <c r="E1075" s="362" t="n"/>
      <c r="F1075" s="362" t="n"/>
      <c r="G1075" s="363" t="n"/>
      <c r="H1075" s="360" t="n"/>
      <c r="I1075" s="360" t="n"/>
      <c r="J1075" s="364" t="str">
        <f>IF($G1075="","",IF($H1075=1,$G1075-ROUND($G1075*10/23,0)-2*ROUND($G1075/23,0),IF($H1075=2,$G1075,0)))</f>
        <v/>
      </c>
      <c r="K1075" s="364" t="str">
        <f>IF($G1075="","",IF($H1075=1,ROUND($G1075*10/23,0),IF($H1075=3,$G1075-2*ROUND($G1075/12,0),IF($H1075=4,$G1075,IF(OR($H1075=5,$H1075=7),ROUND($G1075*10/11,0),0)))))</f>
        <v/>
      </c>
      <c r="L1075" s="364" t="str">
        <f>IF($G1075="","",IF($H1075=1,ROUND($G1075/23,0),IF($H1075=3,ROUND($G1075/12,0),IF($H1075=5,$G1075-ROUND($G1075*10/11,0),IF($H1075=8,$G1075,0)))))</f>
        <v/>
      </c>
      <c r="M1075" s="364" t="str">
        <f>IF($G1075="","",IF($H1075=1,ROUND($G1075/23,0),IF($H1075=3,ROUND($G1075/12,0),IF($H1075=6,$G1075,IF($H1075=7,$G1075-ROUND($G1075*10/11,0),0)))))</f>
        <v/>
      </c>
      <c r="N1075" s="364" t="str">
        <f>IF($G1075="","",K1075+L1075+M1075)</f>
        <v/>
      </c>
      <c r="O1075" s="365" t="str">
        <f>IF($G1075="","",IFERROR(VLOOKUP($D1075&amp;"|"&amp;$E1075,科目表!$A$5:$B$200,2,FALSE),"※未登録"))</f>
        <v/>
      </c>
      <c r="P1075" s="359" t="str">
        <f>IF(OR($G1075="",$C1075=""),"",IF($B1075="決算整理",13,MOD(MONTH($C1075)-4,12)+1))</f>
        <v/>
      </c>
      <c r="Q1075" s="366" t="str">
        <f>IF($G1075="","",TRIM(IF(J1075+K1075+L1075+M1075&lt;&gt;$G1075,"按分不一致 ","")&amp;IF(O1075="※未登録","科目未登録 ","")&amp;IF(OR($H1075="",ISERROR(MATCH($H1075,{1,2,3,4,5,6,7,8},0))),"経費区分? ","")&amp;IF($I1075="","状態未設定 ","")&amp;IF(AND(OR($I1075="確認済",$I1075="未確認"),$B1075="月例",OR($C1075="",$C1075&lt;DATE(年度+2018,4,1),$C1075&gt;DATE(年度+2019,3,31))),"年度外の日付 ","")&amp;IF(AND(OR($I1075="確認済",$I1075="未確認"),O1075="対象外"),"対象外の科目 ","")))</f>
        <v/>
      </c>
      <c r="R1075" s="366" t="n"/>
    </row>
    <row r="1076">
      <c r="A1076" s="359" t="n"/>
      <c r="B1076" s="360" t="n"/>
      <c r="C1076" s="361" t="n"/>
      <c r="D1076" s="362" t="n"/>
      <c r="E1076" s="362" t="n"/>
      <c r="F1076" s="362" t="n"/>
      <c r="G1076" s="363" t="n"/>
      <c r="H1076" s="360" t="n"/>
      <c r="I1076" s="360" t="n"/>
      <c r="J1076" s="364" t="str">
        <f>IF($G1076="","",IF($H1076=1,$G1076-ROUND($G1076*10/23,0)-2*ROUND($G1076/23,0),IF($H1076=2,$G1076,0)))</f>
        <v/>
      </c>
      <c r="K1076" s="364" t="str">
        <f>IF($G1076="","",IF($H1076=1,ROUND($G1076*10/23,0),IF($H1076=3,$G1076-2*ROUND($G1076/12,0),IF($H1076=4,$G1076,IF(OR($H1076=5,$H1076=7),ROUND($G1076*10/11,0),0)))))</f>
        <v/>
      </c>
      <c r="L1076" s="364" t="str">
        <f>IF($G1076="","",IF($H1076=1,ROUND($G1076/23,0),IF($H1076=3,ROUND($G1076/12,0),IF($H1076=5,$G1076-ROUND($G1076*10/11,0),IF($H1076=8,$G1076,0)))))</f>
        <v/>
      </c>
      <c r="M1076" s="364" t="str">
        <f>IF($G1076="","",IF($H1076=1,ROUND($G1076/23,0),IF($H1076=3,ROUND($G1076/12,0),IF($H1076=6,$G1076,IF($H1076=7,$G1076-ROUND($G1076*10/11,0),0)))))</f>
        <v/>
      </c>
      <c r="N1076" s="364" t="str">
        <f>IF($G1076="","",K1076+L1076+M1076)</f>
        <v/>
      </c>
      <c r="O1076" s="365" t="str">
        <f>IF($G1076="","",IFERROR(VLOOKUP($D1076&amp;"|"&amp;$E1076,科目表!$A$5:$B$200,2,FALSE),"※未登録"))</f>
        <v/>
      </c>
      <c r="P1076" s="359" t="str">
        <f>IF(OR($G1076="",$C1076=""),"",IF($B1076="決算整理",13,MOD(MONTH($C1076)-4,12)+1))</f>
        <v/>
      </c>
      <c r="Q1076" s="366" t="str">
        <f>IF($G1076="","",TRIM(IF(J1076+K1076+L1076+M1076&lt;&gt;$G1076,"按分不一致 ","")&amp;IF(O1076="※未登録","科目未登録 ","")&amp;IF(OR($H1076="",ISERROR(MATCH($H1076,{1,2,3,4,5,6,7,8},0))),"経費区分? ","")&amp;IF($I1076="","状態未設定 ","")&amp;IF(AND(OR($I1076="確認済",$I1076="未確認"),$B1076="月例",OR($C1076="",$C1076&lt;DATE(年度+2018,4,1),$C1076&gt;DATE(年度+2019,3,31))),"年度外の日付 ","")&amp;IF(AND(OR($I1076="確認済",$I1076="未確認"),O1076="対象外"),"対象外の科目 ","")))</f>
        <v/>
      </c>
      <c r="R1076" s="366" t="n"/>
    </row>
    <row r="1077">
      <c r="A1077" s="359" t="n"/>
      <c r="B1077" s="360" t="n"/>
      <c r="C1077" s="361" t="n"/>
      <c r="D1077" s="362" t="n"/>
      <c r="E1077" s="362" t="n"/>
      <c r="F1077" s="362" t="n"/>
      <c r="G1077" s="363" t="n"/>
      <c r="H1077" s="360" t="n"/>
      <c r="I1077" s="360" t="n"/>
      <c r="J1077" s="364" t="str">
        <f>IF($G1077="","",IF($H1077=1,$G1077-ROUND($G1077*10/23,0)-2*ROUND($G1077/23,0),IF($H1077=2,$G1077,0)))</f>
        <v/>
      </c>
      <c r="K1077" s="364" t="str">
        <f>IF($G1077="","",IF($H1077=1,ROUND($G1077*10/23,0),IF($H1077=3,$G1077-2*ROUND($G1077/12,0),IF($H1077=4,$G1077,IF(OR($H1077=5,$H1077=7),ROUND($G1077*10/11,0),0)))))</f>
        <v/>
      </c>
      <c r="L1077" s="364" t="str">
        <f>IF($G1077="","",IF($H1077=1,ROUND($G1077/23,0),IF($H1077=3,ROUND($G1077/12,0),IF($H1077=5,$G1077-ROUND($G1077*10/11,0),IF($H1077=8,$G1077,0)))))</f>
        <v/>
      </c>
      <c r="M1077" s="364" t="str">
        <f>IF($G1077="","",IF($H1077=1,ROUND($G1077/23,0),IF($H1077=3,ROUND($G1077/12,0),IF($H1077=6,$G1077,IF($H1077=7,$G1077-ROUND($G1077*10/11,0),0)))))</f>
        <v/>
      </c>
      <c r="N1077" s="364" t="str">
        <f>IF($G1077="","",K1077+L1077+M1077)</f>
        <v/>
      </c>
      <c r="O1077" s="365" t="str">
        <f>IF($G1077="","",IFERROR(VLOOKUP($D1077&amp;"|"&amp;$E1077,科目表!$A$5:$B$200,2,FALSE),"※未登録"))</f>
        <v/>
      </c>
      <c r="P1077" s="359" t="str">
        <f>IF(OR($G1077="",$C1077=""),"",IF($B1077="決算整理",13,MOD(MONTH($C1077)-4,12)+1))</f>
        <v/>
      </c>
      <c r="Q1077" s="366" t="str">
        <f>IF($G1077="","",TRIM(IF(J1077+K1077+L1077+M1077&lt;&gt;$G1077,"按分不一致 ","")&amp;IF(O1077="※未登録","科目未登録 ","")&amp;IF(OR($H1077="",ISERROR(MATCH($H1077,{1,2,3,4,5,6,7,8},0))),"経費区分? ","")&amp;IF($I1077="","状態未設定 ","")&amp;IF(AND(OR($I1077="確認済",$I1077="未確認"),$B1077="月例",OR($C1077="",$C1077&lt;DATE(年度+2018,4,1),$C1077&gt;DATE(年度+2019,3,31))),"年度外の日付 ","")&amp;IF(AND(OR($I1077="確認済",$I1077="未確認"),O1077="対象外"),"対象外の科目 ","")))</f>
        <v/>
      </c>
      <c r="R1077" s="366" t="n"/>
    </row>
    <row r="1078">
      <c r="A1078" s="359" t="n"/>
      <c r="B1078" s="360" t="n"/>
      <c r="C1078" s="361" t="n"/>
      <c r="D1078" s="362" t="n"/>
      <c r="E1078" s="362" t="n"/>
      <c r="F1078" s="362" t="n"/>
      <c r="G1078" s="363" t="n"/>
      <c r="H1078" s="360" t="n"/>
      <c r="I1078" s="360" t="n"/>
      <c r="J1078" s="364" t="str">
        <f>IF($G1078="","",IF($H1078=1,$G1078-ROUND($G1078*10/23,0)-2*ROUND($G1078/23,0),IF($H1078=2,$G1078,0)))</f>
        <v/>
      </c>
      <c r="K1078" s="364" t="str">
        <f>IF($G1078="","",IF($H1078=1,ROUND($G1078*10/23,0),IF($H1078=3,$G1078-2*ROUND($G1078/12,0),IF($H1078=4,$G1078,IF(OR($H1078=5,$H1078=7),ROUND($G1078*10/11,0),0)))))</f>
        <v/>
      </c>
      <c r="L1078" s="364" t="str">
        <f>IF($G1078="","",IF($H1078=1,ROUND($G1078/23,0),IF($H1078=3,ROUND($G1078/12,0),IF($H1078=5,$G1078-ROUND($G1078*10/11,0),IF($H1078=8,$G1078,0)))))</f>
        <v/>
      </c>
      <c r="M1078" s="364" t="str">
        <f>IF($G1078="","",IF($H1078=1,ROUND($G1078/23,0),IF($H1078=3,ROUND($G1078/12,0),IF($H1078=6,$G1078,IF($H1078=7,$G1078-ROUND($G1078*10/11,0),0)))))</f>
        <v/>
      </c>
      <c r="N1078" s="364" t="str">
        <f>IF($G1078="","",K1078+L1078+M1078)</f>
        <v/>
      </c>
      <c r="O1078" s="365" t="str">
        <f>IF($G1078="","",IFERROR(VLOOKUP($D1078&amp;"|"&amp;$E1078,科目表!$A$5:$B$200,2,FALSE),"※未登録"))</f>
        <v/>
      </c>
      <c r="P1078" s="359" t="str">
        <f>IF(OR($G1078="",$C1078=""),"",IF($B1078="決算整理",13,MOD(MONTH($C1078)-4,12)+1))</f>
        <v/>
      </c>
      <c r="Q1078" s="366" t="str">
        <f>IF($G1078="","",TRIM(IF(J1078+K1078+L1078+M1078&lt;&gt;$G1078,"按分不一致 ","")&amp;IF(O1078="※未登録","科目未登録 ","")&amp;IF(OR($H1078="",ISERROR(MATCH($H1078,{1,2,3,4,5,6,7,8},0))),"経費区分? ","")&amp;IF($I1078="","状態未設定 ","")&amp;IF(AND(OR($I1078="確認済",$I1078="未確認"),$B1078="月例",OR($C1078="",$C1078&lt;DATE(年度+2018,4,1),$C1078&gt;DATE(年度+2019,3,31))),"年度外の日付 ","")&amp;IF(AND(OR($I1078="確認済",$I1078="未確認"),O1078="対象外"),"対象外の科目 ","")))</f>
        <v/>
      </c>
      <c r="R1078" s="366" t="n"/>
    </row>
    <row r="1079">
      <c r="A1079" s="359" t="n"/>
      <c r="B1079" s="360" t="n"/>
      <c r="C1079" s="361" t="n"/>
      <c r="D1079" s="362" t="n"/>
      <c r="E1079" s="362" t="n"/>
      <c r="F1079" s="362" t="n"/>
      <c r="G1079" s="363" t="n"/>
      <c r="H1079" s="360" t="n"/>
      <c r="I1079" s="360" t="n"/>
      <c r="J1079" s="364" t="str">
        <f>IF($G1079="","",IF($H1079=1,$G1079-ROUND($G1079*10/23,0)-2*ROUND($G1079/23,0),IF($H1079=2,$G1079,0)))</f>
        <v/>
      </c>
      <c r="K1079" s="364" t="str">
        <f>IF($G1079="","",IF($H1079=1,ROUND($G1079*10/23,0),IF($H1079=3,$G1079-2*ROUND($G1079/12,0),IF($H1079=4,$G1079,IF(OR($H1079=5,$H1079=7),ROUND($G1079*10/11,0),0)))))</f>
        <v/>
      </c>
      <c r="L1079" s="364" t="str">
        <f>IF($G1079="","",IF($H1079=1,ROUND($G1079/23,0),IF($H1079=3,ROUND($G1079/12,0),IF($H1079=5,$G1079-ROUND($G1079*10/11,0),IF($H1079=8,$G1079,0)))))</f>
        <v/>
      </c>
      <c r="M1079" s="364" t="str">
        <f>IF($G1079="","",IF($H1079=1,ROUND($G1079/23,0),IF($H1079=3,ROUND($G1079/12,0),IF($H1079=6,$G1079,IF($H1079=7,$G1079-ROUND($G1079*10/11,0),0)))))</f>
        <v/>
      </c>
      <c r="N1079" s="364" t="str">
        <f>IF($G1079="","",K1079+L1079+M1079)</f>
        <v/>
      </c>
      <c r="O1079" s="365" t="str">
        <f>IF($G1079="","",IFERROR(VLOOKUP($D1079&amp;"|"&amp;$E1079,科目表!$A$5:$B$200,2,FALSE),"※未登録"))</f>
        <v/>
      </c>
      <c r="P1079" s="359" t="str">
        <f>IF(OR($G1079="",$C1079=""),"",IF($B1079="決算整理",13,MOD(MONTH($C1079)-4,12)+1))</f>
        <v/>
      </c>
      <c r="Q1079" s="366" t="str">
        <f>IF($G1079="","",TRIM(IF(J1079+K1079+L1079+M1079&lt;&gt;$G1079,"按分不一致 ","")&amp;IF(O1079="※未登録","科目未登録 ","")&amp;IF(OR($H1079="",ISERROR(MATCH($H1079,{1,2,3,4,5,6,7,8},0))),"経費区分? ","")&amp;IF($I1079="","状態未設定 ","")&amp;IF(AND(OR($I1079="確認済",$I1079="未確認"),$B1079="月例",OR($C1079="",$C1079&lt;DATE(年度+2018,4,1),$C1079&gt;DATE(年度+2019,3,31))),"年度外の日付 ","")&amp;IF(AND(OR($I1079="確認済",$I1079="未確認"),O1079="対象外"),"対象外の科目 ","")))</f>
        <v/>
      </c>
      <c r="R1079" s="366" t="n"/>
    </row>
    <row r="1080">
      <c r="A1080" s="359" t="n"/>
      <c r="B1080" s="360" t="n"/>
      <c r="C1080" s="361" t="n"/>
      <c r="D1080" s="362" t="n"/>
      <c r="E1080" s="362" t="n"/>
      <c r="F1080" s="362" t="n"/>
      <c r="G1080" s="363" t="n"/>
      <c r="H1080" s="360" t="n"/>
      <c r="I1080" s="360" t="n"/>
      <c r="J1080" s="364" t="str">
        <f>IF($G1080="","",IF($H1080=1,$G1080-ROUND($G1080*10/23,0)-2*ROUND($G1080/23,0),IF($H1080=2,$G1080,0)))</f>
        <v/>
      </c>
      <c r="K1080" s="364" t="str">
        <f>IF($G1080="","",IF($H1080=1,ROUND($G1080*10/23,0),IF($H1080=3,$G1080-2*ROUND($G1080/12,0),IF($H1080=4,$G1080,IF(OR($H1080=5,$H1080=7),ROUND($G1080*10/11,0),0)))))</f>
        <v/>
      </c>
      <c r="L1080" s="364" t="str">
        <f>IF($G1080="","",IF($H1080=1,ROUND($G1080/23,0),IF($H1080=3,ROUND($G1080/12,0),IF($H1080=5,$G1080-ROUND($G1080*10/11,0),IF($H1080=8,$G1080,0)))))</f>
        <v/>
      </c>
      <c r="M1080" s="364" t="str">
        <f>IF($G1080="","",IF($H1080=1,ROUND($G1080/23,0),IF($H1080=3,ROUND($G1080/12,0),IF($H1080=6,$G1080,IF($H1080=7,$G1080-ROUND($G1080*10/11,0),0)))))</f>
        <v/>
      </c>
      <c r="N1080" s="364" t="str">
        <f>IF($G1080="","",K1080+L1080+M1080)</f>
        <v/>
      </c>
      <c r="O1080" s="365" t="str">
        <f>IF($G1080="","",IFERROR(VLOOKUP($D1080&amp;"|"&amp;$E1080,科目表!$A$5:$B$200,2,FALSE),"※未登録"))</f>
        <v/>
      </c>
      <c r="P1080" s="359" t="str">
        <f>IF(OR($G1080="",$C1080=""),"",IF($B1080="決算整理",13,MOD(MONTH($C1080)-4,12)+1))</f>
        <v/>
      </c>
      <c r="Q1080" s="366" t="str">
        <f>IF($G1080="","",TRIM(IF(J1080+K1080+L1080+M1080&lt;&gt;$G1080,"按分不一致 ","")&amp;IF(O1080="※未登録","科目未登録 ","")&amp;IF(OR($H1080="",ISERROR(MATCH($H1080,{1,2,3,4,5,6,7,8},0))),"経費区分? ","")&amp;IF($I1080="","状態未設定 ","")&amp;IF(AND(OR($I1080="確認済",$I1080="未確認"),$B1080="月例",OR($C1080="",$C1080&lt;DATE(年度+2018,4,1),$C1080&gt;DATE(年度+2019,3,31))),"年度外の日付 ","")&amp;IF(AND(OR($I1080="確認済",$I1080="未確認"),O1080="対象外"),"対象外の科目 ","")))</f>
        <v/>
      </c>
      <c r="R1080" s="366" t="n"/>
    </row>
    <row r="1081">
      <c r="A1081" s="359" t="n"/>
      <c r="B1081" s="360" t="n"/>
      <c r="C1081" s="361" t="n"/>
      <c r="D1081" s="362" t="n"/>
      <c r="E1081" s="362" t="n"/>
      <c r="F1081" s="362" t="n"/>
      <c r="G1081" s="363" t="n"/>
      <c r="H1081" s="360" t="n"/>
      <c r="I1081" s="360" t="n"/>
      <c r="J1081" s="364" t="str">
        <f>IF($G1081="","",IF($H1081=1,$G1081-ROUND($G1081*10/23,0)-2*ROUND($G1081/23,0),IF($H1081=2,$G1081,0)))</f>
        <v/>
      </c>
      <c r="K1081" s="364" t="str">
        <f>IF($G1081="","",IF($H1081=1,ROUND($G1081*10/23,0),IF($H1081=3,$G1081-2*ROUND($G1081/12,0),IF($H1081=4,$G1081,IF(OR($H1081=5,$H1081=7),ROUND($G1081*10/11,0),0)))))</f>
        <v/>
      </c>
      <c r="L1081" s="364" t="str">
        <f>IF($G1081="","",IF($H1081=1,ROUND($G1081/23,0),IF($H1081=3,ROUND($G1081/12,0),IF($H1081=5,$G1081-ROUND($G1081*10/11,0),IF($H1081=8,$G1081,0)))))</f>
        <v/>
      </c>
      <c r="M1081" s="364" t="str">
        <f>IF($G1081="","",IF($H1081=1,ROUND($G1081/23,0),IF($H1081=3,ROUND($G1081/12,0),IF($H1081=6,$G1081,IF($H1081=7,$G1081-ROUND($G1081*10/11,0),0)))))</f>
        <v/>
      </c>
      <c r="N1081" s="364" t="str">
        <f>IF($G1081="","",K1081+L1081+M1081)</f>
        <v/>
      </c>
      <c r="O1081" s="365" t="str">
        <f>IF($G1081="","",IFERROR(VLOOKUP($D1081&amp;"|"&amp;$E1081,科目表!$A$5:$B$200,2,FALSE),"※未登録"))</f>
        <v/>
      </c>
      <c r="P1081" s="359" t="str">
        <f>IF(OR($G1081="",$C1081=""),"",IF($B1081="決算整理",13,MOD(MONTH($C1081)-4,12)+1))</f>
        <v/>
      </c>
      <c r="Q1081" s="366" t="str">
        <f>IF($G1081="","",TRIM(IF(J1081+K1081+L1081+M1081&lt;&gt;$G1081,"按分不一致 ","")&amp;IF(O1081="※未登録","科目未登録 ","")&amp;IF(OR($H1081="",ISERROR(MATCH($H1081,{1,2,3,4,5,6,7,8},0))),"経費区分? ","")&amp;IF($I1081="","状態未設定 ","")&amp;IF(AND(OR($I1081="確認済",$I1081="未確認"),$B1081="月例",OR($C1081="",$C1081&lt;DATE(年度+2018,4,1),$C1081&gt;DATE(年度+2019,3,31))),"年度外の日付 ","")&amp;IF(AND(OR($I1081="確認済",$I1081="未確認"),O1081="対象外"),"対象外の科目 ","")))</f>
        <v/>
      </c>
      <c r="R1081" s="366" t="n"/>
    </row>
    <row r="1082">
      <c r="A1082" s="359" t="n"/>
      <c r="B1082" s="360" t="n"/>
      <c r="C1082" s="361" t="n"/>
      <c r="D1082" s="362" t="n"/>
      <c r="E1082" s="362" t="n"/>
      <c r="F1082" s="362" t="n"/>
      <c r="G1082" s="363" t="n"/>
      <c r="H1082" s="360" t="n"/>
      <c r="I1082" s="360" t="n"/>
      <c r="J1082" s="364" t="str">
        <f>IF($G1082="","",IF($H1082=1,$G1082-ROUND($G1082*10/23,0)-2*ROUND($G1082/23,0),IF($H1082=2,$G1082,0)))</f>
        <v/>
      </c>
      <c r="K1082" s="364" t="str">
        <f>IF($G1082="","",IF($H1082=1,ROUND($G1082*10/23,0),IF($H1082=3,$G1082-2*ROUND($G1082/12,0),IF($H1082=4,$G1082,IF(OR($H1082=5,$H1082=7),ROUND($G1082*10/11,0),0)))))</f>
        <v/>
      </c>
      <c r="L1082" s="364" t="str">
        <f>IF($G1082="","",IF($H1082=1,ROUND($G1082/23,0),IF($H1082=3,ROUND($G1082/12,0),IF($H1082=5,$G1082-ROUND($G1082*10/11,0),IF($H1082=8,$G1082,0)))))</f>
        <v/>
      </c>
      <c r="M1082" s="364" t="str">
        <f>IF($G1082="","",IF($H1082=1,ROUND($G1082/23,0),IF($H1082=3,ROUND($G1082/12,0),IF($H1082=6,$G1082,IF($H1082=7,$G1082-ROUND($G1082*10/11,0),0)))))</f>
        <v/>
      </c>
      <c r="N1082" s="364" t="str">
        <f>IF($G1082="","",K1082+L1082+M1082)</f>
        <v/>
      </c>
      <c r="O1082" s="365" t="str">
        <f>IF($G1082="","",IFERROR(VLOOKUP($D1082&amp;"|"&amp;$E1082,科目表!$A$5:$B$200,2,FALSE),"※未登録"))</f>
        <v/>
      </c>
      <c r="P1082" s="359" t="str">
        <f>IF(OR($G1082="",$C1082=""),"",IF($B1082="決算整理",13,MOD(MONTH($C1082)-4,12)+1))</f>
        <v/>
      </c>
      <c r="Q1082" s="366" t="str">
        <f>IF($G1082="","",TRIM(IF(J1082+K1082+L1082+M1082&lt;&gt;$G1082,"按分不一致 ","")&amp;IF(O1082="※未登録","科目未登録 ","")&amp;IF(OR($H1082="",ISERROR(MATCH($H1082,{1,2,3,4,5,6,7,8},0))),"経費区分? ","")&amp;IF($I1082="","状態未設定 ","")&amp;IF(AND(OR($I1082="確認済",$I1082="未確認"),$B1082="月例",OR($C1082="",$C1082&lt;DATE(年度+2018,4,1),$C1082&gt;DATE(年度+2019,3,31))),"年度外の日付 ","")&amp;IF(AND(OR($I1082="確認済",$I1082="未確認"),O1082="対象外"),"対象外の科目 ","")))</f>
        <v/>
      </c>
      <c r="R1082" s="366" t="n"/>
    </row>
    <row r="1083">
      <c r="A1083" s="359" t="n"/>
      <c r="B1083" s="360" t="n"/>
      <c r="C1083" s="361" t="n"/>
      <c r="D1083" s="362" t="n"/>
      <c r="E1083" s="362" t="n"/>
      <c r="F1083" s="362" t="n"/>
      <c r="G1083" s="363" t="n"/>
      <c r="H1083" s="360" t="n"/>
      <c r="I1083" s="360" t="n"/>
      <c r="J1083" s="364" t="str">
        <f>IF($G1083="","",IF($H1083=1,$G1083-ROUND($G1083*10/23,0)-2*ROUND($G1083/23,0),IF($H1083=2,$G1083,0)))</f>
        <v/>
      </c>
      <c r="K1083" s="364" t="str">
        <f>IF($G1083="","",IF($H1083=1,ROUND($G1083*10/23,0),IF($H1083=3,$G1083-2*ROUND($G1083/12,0),IF($H1083=4,$G1083,IF(OR($H1083=5,$H1083=7),ROUND($G1083*10/11,0),0)))))</f>
        <v/>
      </c>
      <c r="L1083" s="364" t="str">
        <f>IF($G1083="","",IF($H1083=1,ROUND($G1083/23,0),IF($H1083=3,ROUND($G1083/12,0),IF($H1083=5,$G1083-ROUND($G1083*10/11,0),IF($H1083=8,$G1083,0)))))</f>
        <v/>
      </c>
      <c r="M1083" s="364" t="str">
        <f>IF($G1083="","",IF($H1083=1,ROUND($G1083/23,0),IF($H1083=3,ROUND($G1083/12,0),IF($H1083=6,$G1083,IF($H1083=7,$G1083-ROUND($G1083*10/11,0),0)))))</f>
        <v/>
      </c>
      <c r="N1083" s="364" t="str">
        <f>IF($G1083="","",K1083+L1083+M1083)</f>
        <v/>
      </c>
      <c r="O1083" s="365" t="str">
        <f>IF($G1083="","",IFERROR(VLOOKUP($D1083&amp;"|"&amp;$E1083,科目表!$A$5:$B$200,2,FALSE),"※未登録"))</f>
        <v/>
      </c>
      <c r="P1083" s="359" t="str">
        <f>IF(OR($G1083="",$C1083=""),"",IF($B1083="決算整理",13,MOD(MONTH($C1083)-4,12)+1))</f>
        <v/>
      </c>
      <c r="Q1083" s="366" t="str">
        <f>IF($G1083="","",TRIM(IF(J1083+K1083+L1083+M1083&lt;&gt;$G1083,"按分不一致 ","")&amp;IF(O1083="※未登録","科目未登録 ","")&amp;IF(OR($H1083="",ISERROR(MATCH($H1083,{1,2,3,4,5,6,7,8},0))),"経費区分? ","")&amp;IF($I1083="","状態未設定 ","")&amp;IF(AND(OR($I1083="確認済",$I1083="未確認"),$B1083="月例",OR($C1083="",$C1083&lt;DATE(年度+2018,4,1),$C1083&gt;DATE(年度+2019,3,31))),"年度外の日付 ","")&amp;IF(AND(OR($I1083="確認済",$I1083="未確認"),O1083="対象外"),"対象外の科目 ","")))</f>
        <v/>
      </c>
      <c r="R1083" s="366" t="n"/>
    </row>
    <row r="1084">
      <c r="A1084" s="359" t="n"/>
      <c r="B1084" s="360" t="n"/>
      <c r="C1084" s="361" t="n"/>
      <c r="D1084" s="362" t="n"/>
      <c r="E1084" s="362" t="n"/>
      <c r="F1084" s="362" t="n"/>
      <c r="G1084" s="363" t="n"/>
      <c r="H1084" s="360" t="n"/>
      <c r="I1084" s="360" t="n"/>
      <c r="J1084" s="364" t="str">
        <f>IF($G1084="","",IF($H1084=1,$G1084-ROUND($G1084*10/23,0)-2*ROUND($G1084/23,0),IF($H1084=2,$G1084,0)))</f>
        <v/>
      </c>
      <c r="K1084" s="364" t="str">
        <f>IF($G1084="","",IF($H1084=1,ROUND($G1084*10/23,0),IF($H1084=3,$G1084-2*ROUND($G1084/12,0),IF($H1084=4,$G1084,IF(OR($H1084=5,$H1084=7),ROUND($G1084*10/11,0),0)))))</f>
        <v/>
      </c>
      <c r="L1084" s="364" t="str">
        <f>IF($G1084="","",IF($H1084=1,ROUND($G1084/23,0),IF($H1084=3,ROUND($G1084/12,0),IF($H1084=5,$G1084-ROUND($G1084*10/11,0),IF($H1084=8,$G1084,0)))))</f>
        <v/>
      </c>
      <c r="M1084" s="364" t="str">
        <f>IF($G1084="","",IF($H1084=1,ROUND($G1084/23,0),IF($H1084=3,ROUND($G1084/12,0),IF($H1084=6,$G1084,IF($H1084=7,$G1084-ROUND($G1084*10/11,0),0)))))</f>
        <v/>
      </c>
      <c r="N1084" s="364" t="str">
        <f>IF($G1084="","",K1084+L1084+M1084)</f>
        <v/>
      </c>
      <c r="O1084" s="365" t="str">
        <f>IF($G1084="","",IFERROR(VLOOKUP($D1084&amp;"|"&amp;$E1084,科目表!$A$5:$B$200,2,FALSE),"※未登録"))</f>
        <v/>
      </c>
      <c r="P1084" s="359" t="str">
        <f>IF(OR($G1084="",$C1084=""),"",IF($B1084="決算整理",13,MOD(MONTH($C1084)-4,12)+1))</f>
        <v/>
      </c>
      <c r="Q1084" s="366" t="str">
        <f>IF($G1084="","",TRIM(IF(J1084+K1084+L1084+M1084&lt;&gt;$G1084,"按分不一致 ","")&amp;IF(O1084="※未登録","科目未登録 ","")&amp;IF(OR($H1084="",ISERROR(MATCH($H1084,{1,2,3,4,5,6,7,8},0))),"経費区分? ","")&amp;IF($I1084="","状態未設定 ","")&amp;IF(AND(OR($I1084="確認済",$I1084="未確認"),$B1084="月例",OR($C1084="",$C1084&lt;DATE(年度+2018,4,1),$C1084&gt;DATE(年度+2019,3,31))),"年度外の日付 ","")&amp;IF(AND(OR($I1084="確認済",$I1084="未確認"),O1084="対象外"),"対象外の科目 ","")))</f>
        <v/>
      </c>
      <c r="R1084" s="366" t="n"/>
    </row>
    <row r="1085">
      <c r="A1085" s="359" t="n"/>
      <c r="B1085" s="360" t="n"/>
      <c r="C1085" s="361" t="n"/>
      <c r="D1085" s="362" t="n"/>
      <c r="E1085" s="362" t="n"/>
      <c r="F1085" s="362" t="n"/>
      <c r="G1085" s="363" t="n"/>
      <c r="H1085" s="360" t="n"/>
      <c r="I1085" s="360" t="n"/>
      <c r="J1085" s="364" t="str">
        <f>IF($G1085="","",IF($H1085=1,$G1085-ROUND($G1085*10/23,0)-2*ROUND($G1085/23,0),IF($H1085=2,$G1085,0)))</f>
        <v/>
      </c>
      <c r="K1085" s="364" t="str">
        <f>IF($G1085="","",IF($H1085=1,ROUND($G1085*10/23,0),IF($H1085=3,$G1085-2*ROUND($G1085/12,0),IF($H1085=4,$G1085,IF(OR($H1085=5,$H1085=7),ROUND($G1085*10/11,0),0)))))</f>
        <v/>
      </c>
      <c r="L1085" s="364" t="str">
        <f>IF($G1085="","",IF($H1085=1,ROUND($G1085/23,0),IF($H1085=3,ROUND($G1085/12,0),IF($H1085=5,$G1085-ROUND($G1085*10/11,0),IF($H1085=8,$G1085,0)))))</f>
        <v/>
      </c>
      <c r="M1085" s="364" t="str">
        <f>IF($G1085="","",IF($H1085=1,ROUND($G1085/23,0),IF($H1085=3,ROUND($G1085/12,0),IF($H1085=6,$G1085,IF($H1085=7,$G1085-ROUND($G1085*10/11,0),0)))))</f>
        <v/>
      </c>
      <c r="N1085" s="364" t="str">
        <f>IF($G1085="","",K1085+L1085+M1085)</f>
        <v/>
      </c>
      <c r="O1085" s="365" t="str">
        <f>IF($G1085="","",IFERROR(VLOOKUP($D1085&amp;"|"&amp;$E1085,科目表!$A$5:$B$200,2,FALSE),"※未登録"))</f>
        <v/>
      </c>
      <c r="P1085" s="359" t="str">
        <f>IF(OR($G1085="",$C1085=""),"",IF($B1085="決算整理",13,MOD(MONTH($C1085)-4,12)+1))</f>
        <v/>
      </c>
      <c r="Q1085" s="366" t="str">
        <f>IF($G1085="","",TRIM(IF(J1085+K1085+L1085+M1085&lt;&gt;$G1085,"按分不一致 ","")&amp;IF(O1085="※未登録","科目未登録 ","")&amp;IF(OR($H1085="",ISERROR(MATCH($H1085,{1,2,3,4,5,6,7,8},0))),"経費区分? ","")&amp;IF($I1085="","状態未設定 ","")&amp;IF(AND(OR($I1085="確認済",$I1085="未確認"),$B1085="月例",OR($C1085="",$C1085&lt;DATE(年度+2018,4,1),$C1085&gt;DATE(年度+2019,3,31))),"年度外の日付 ","")&amp;IF(AND(OR($I1085="確認済",$I1085="未確認"),O1085="対象外"),"対象外の科目 ","")))</f>
        <v/>
      </c>
      <c r="R1085" s="366" t="n"/>
    </row>
    <row r="1086">
      <c r="A1086" s="359" t="n"/>
      <c r="B1086" s="360" t="n"/>
      <c r="C1086" s="361" t="n"/>
      <c r="D1086" s="362" t="n"/>
      <c r="E1086" s="362" t="n"/>
      <c r="F1086" s="362" t="n"/>
      <c r="G1086" s="363" t="n"/>
      <c r="H1086" s="360" t="n"/>
      <c r="I1086" s="360" t="n"/>
      <c r="J1086" s="364" t="str">
        <f>IF($G1086="","",IF($H1086=1,$G1086-ROUND($G1086*10/23,0)-2*ROUND($G1086/23,0),IF($H1086=2,$G1086,0)))</f>
        <v/>
      </c>
      <c r="K1086" s="364" t="str">
        <f>IF($G1086="","",IF($H1086=1,ROUND($G1086*10/23,0),IF($H1086=3,$G1086-2*ROUND($G1086/12,0),IF($H1086=4,$G1086,IF(OR($H1086=5,$H1086=7),ROUND($G1086*10/11,0),0)))))</f>
        <v/>
      </c>
      <c r="L1086" s="364" t="str">
        <f>IF($G1086="","",IF($H1086=1,ROUND($G1086/23,0),IF($H1086=3,ROUND($G1086/12,0),IF($H1086=5,$G1086-ROUND($G1086*10/11,0),IF($H1086=8,$G1086,0)))))</f>
        <v/>
      </c>
      <c r="M1086" s="364" t="str">
        <f>IF($G1086="","",IF($H1086=1,ROUND($G1086/23,0),IF($H1086=3,ROUND($G1086/12,0),IF($H1086=6,$G1086,IF($H1086=7,$G1086-ROUND($G1086*10/11,0),0)))))</f>
        <v/>
      </c>
      <c r="N1086" s="364" t="str">
        <f>IF($G1086="","",K1086+L1086+M1086)</f>
        <v/>
      </c>
      <c r="O1086" s="365" t="str">
        <f>IF($G1086="","",IFERROR(VLOOKUP($D1086&amp;"|"&amp;$E1086,科目表!$A$5:$B$200,2,FALSE),"※未登録"))</f>
        <v/>
      </c>
      <c r="P1086" s="359" t="str">
        <f>IF(OR($G1086="",$C1086=""),"",IF($B1086="決算整理",13,MOD(MONTH($C1086)-4,12)+1))</f>
        <v/>
      </c>
      <c r="Q1086" s="366" t="str">
        <f>IF($G1086="","",TRIM(IF(J1086+K1086+L1086+M1086&lt;&gt;$G1086,"按分不一致 ","")&amp;IF(O1086="※未登録","科目未登録 ","")&amp;IF(OR($H1086="",ISERROR(MATCH($H1086,{1,2,3,4,5,6,7,8},0))),"経費区分? ","")&amp;IF($I1086="","状態未設定 ","")&amp;IF(AND(OR($I1086="確認済",$I1086="未確認"),$B1086="月例",OR($C1086="",$C1086&lt;DATE(年度+2018,4,1),$C1086&gt;DATE(年度+2019,3,31))),"年度外の日付 ","")&amp;IF(AND(OR($I1086="確認済",$I1086="未確認"),O1086="対象外"),"対象外の科目 ","")))</f>
        <v/>
      </c>
      <c r="R1086" s="366" t="n"/>
    </row>
    <row r="1087">
      <c r="A1087" s="359" t="n"/>
      <c r="B1087" s="360" t="n"/>
      <c r="C1087" s="361" t="n"/>
      <c r="D1087" s="362" t="n"/>
      <c r="E1087" s="362" t="n"/>
      <c r="F1087" s="362" t="n"/>
      <c r="G1087" s="363" t="n"/>
      <c r="H1087" s="360" t="n"/>
      <c r="I1087" s="360" t="n"/>
      <c r="J1087" s="364" t="str">
        <f>IF($G1087="","",IF($H1087=1,$G1087-ROUND($G1087*10/23,0)-2*ROUND($G1087/23,0),IF($H1087=2,$G1087,0)))</f>
        <v/>
      </c>
      <c r="K1087" s="364" t="str">
        <f>IF($G1087="","",IF($H1087=1,ROUND($G1087*10/23,0),IF($H1087=3,$G1087-2*ROUND($G1087/12,0),IF($H1087=4,$G1087,IF(OR($H1087=5,$H1087=7),ROUND($G1087*10/11,0),0)))))</f>
        <v/>
      </c>
      <c r="L1087" s="364" t="str">
        <f>IF($G1087="","",IF($H1087=1,ROUND($G1087/23,0),IF($H1087=3,ROUND($G1087/12,0),IF($H1087=5,$G1087-ROUND($G1087*10/11,0),IF($H1087=8,$G1087,0)))))</f>
        <v/>
      </c>
      <c r="M1087" s="364" t="str">
        <f>IF($G1087="","",IF($H1087=1,ROUND($G1087/23,0),IF($H1087=3,ROUND($G1087/12,0),IF($H1087=6,$G1087,IF($H1087=7,$G1087-ROUND($G1087*10/11,0),0)))))</f>
        <v/>
      </c>
      <c r="N1087" s="364" t="str">
        <f>IF($G1087="","",K1087+L1087+M1087)</f>
        <v/>
      </c>
      <c r="O1087" s="365" t="str">
        <f>IF($G1087="","",IFERROR(VLOOKUP($D1087&amp;"|"&amp;$E1087,科目表!$A$5:$B$200,2,FALSE),"※未登録"))</f>
        <v/>
      </c>
      <c r="P1087" s="359" t="str">
        <f>IF(OR($G1087="",$C1087=""),"",IF($B1087="決算整理",13,MOD(MONTH($C1087)-4,12)+1))</f>
        <v/>
      </c>
      <c r="Q1087" s="366" t="str">
        <f>IF($G1087="","",TRIM(IF(J1087+K1087+L1087+M1087&lt;&gt;$G1087,"按分不一致 ","")&amp;IF(O1087="※未登録","科目未登録 ","")&amp;IF(OR($H1087="",ISERROR(MATCH($H1087,{1,2,3,4,5,6,7,8},0))),"経費区分? ","")&amp;IF($I1087="","状態未設定 ","")&amp;IF(AND(OR($I1087="確認済",$I1087="未確認"),$B1087="月例",OR($C1087="",$C1087&lt;DATE(年度+2018,4,1),$C1087&gt;DATE(年度+2019,3,31))),"年度外の日付 ","")&amp;IF(AND(OR($I1087="確認済",$I1087="未確認"),O1087="対象外"),"対象外の科目 ","")))</f>
        <v/>
      </c>
      <c r="R1087" s="366" t="n"/>
    </row>
    <row r="1088">
      <c r="A1088" s="359" t="n"/>
      <c r="B1088" s="360" t="n"/>
      <c r="C1088" s="361" t="n"/>
      <c r="D1088" s="362" t="n"/>
      <c r="E1088" s="362" t="n"/>
      <c r="F1088" s="362" t="n"/>
      <c r="G1088" s="363" t="n"/>
      <c r="H1088" s="360" t="n"/>
      <c r="I1088" s="360" t="n"/>
      <c r="J1088" s="364" t="str">
        <f>IF($G1088="","",IF($H1088=1,$G1088-ROUND($G1088*10/23,0)-2*ROUND($G1088/23,0),IF($H1088=2,$G1088,0)))</f>
        <v/>
      </c>
      <c r="K1088" s="364" t="str">
        <f>IF($G1088="","",IF($H1088=1,ROUND($G1088*10/23,0),IF($H1088=3,$G1088-2*ROUND($G1088/12,0),IF($H1088=4,$G1088,IF(OR($H1088=5,$H1088=7),ROUND($G1088*10/11,0),0)))))</f>
        <v/>
      </c>
      <c r="L1088" s="364" t="str">
        <f>IF($G1088="","",IF($H1088=1,ROUND($G1088/23,0),IF($H1088=3,ROUND($G1088/12,0),IF($H1088=5,$G1088-ROUND($G1088*10/11,0),IF($H1088=8,$G1088,0)))))</f>
        <v/>
      </c>
      <c r="M1088" s="364" t="str">
        <f>IF($G1088="","",IF($H1088=1,ROUND($G1088/23,0),IF($H1088=3,ROUND($G1088/12,0),IF($H1088=6,$G1088,IF($H1088=7,$G1088-ROUND($G1088*10/11,0),0)))))</f>
        <v/>
      </c>
      <c r="N1088" s="364" t="str">
        <f>IF($G1088="","",K1088+L1088+M1088)</f>
        <v/>
      </c>
      <c r="O1088" s="365" t="str">
        <f>IF($G1088="","",IFERROR(VLOOKUP($D1088&amp;"|"&amp;$E1088,科目表!$A$5:$B$200,2,FALSE),"※未登録"))</f>
        <v/>
      </c>
      <c r="P1088" s="359" t="str">
        <f>IF(OR($G1088="",$C1088=""),"",IF($B1088="決算整理",13,MOD(MONTH($C1088)-4,12)+1))</f>
        <v/>
      </c>
      <c r="Q1088" s="366" t="str">
        <f>IF($G1088="","",TRIM(IF(J1088+K1088+L1088+M1088&lt;&gt;$G1088,"按分不一致 ","")&amp;IF(O1088="※未登録","科目未登録 ","")&amp;IF(OR($H1088="",ISERROR(MATCH($H1088,{1,2,3,4,5,6,7,8},0))),"経費区分? ","")&amp;IF($I1088="","状態未設定 ","")&amp;IF(AND(OR($I1088="確認済",$I1088="未確認"),$B1088="月例",OR($C1088="",$C1088&lt;DATE(年度+2018,4,1),$C1088&gt;DATE(年度+2019,3,31))),"年度外の日付 ","")&amp;IF(AND(OR($I1088="確認済",$I1088="未確認"),O1088="対象外"),"対象外の科目 ","")))</f>
        <v/>
      </c>
      <c r="R1088" s="366" t="n"/>
    </row>
    <row r="1089">
      <c r="A1089" s="359" t="n"/>
      <c r="B1089" s="360" t="n"/>
      <c r="C1089" s="361" t="n"/>
      <c r="D1089" s="362" t="n"/>
      <c r="E1089" s="362" t="n"/>
      <c r="F1089" s="362" t="n"/>
      <c r="G1089" s="363" t="n"/>
      <c r="H1089" s="360" t="n"/>
      <c r="I1089" s="360" t="n"/>
      <c r="J1089" s="364" t="str">
        <f>IF($G1089="","",IF($H1089=1,$G1089-ROUND($G1089*10/23,0)-2*ROUND($G1089/23,0),IF($H1089=2,$G1089,0)))</f>
        <v/>
      </c>
      <c r="K1089" s="364" t="str">
        <f>IF($G1089="","",IF($H1089=1,ROUND($G1089*10/23,0),IF($H1089=3,$G1089-2*ROUND($G1089/12,0),IF($H1089=4,$G1089,IF(OR($H1089=5,$H1089=7),ROUND($G1089*10/11,0),0)))))</f>
        <v/>
      </c>
      <c r="L1089" s="364" t="str">
        <f>IF($G1089="","",IF($H1089=1,ROUND($G1089/23,0),IF($H1089=3,ROUND($G1089/12,0),IF($H1089=5,$G1089-ROUND($G1089*10/11,0),IF($H1089=8,$G1089,0)))))</f>
        <v/>
      </c>
      <c r="M1089" s="364" t="str">
        <f>IF($G1089="","",IF($H1089=1,ROUND($G1089/23,0),IF($H1089=3,ROUND($G1089/12,0),IF($H1089=6,$G1089,IF($H1089=7,$G1089-ROUND($G1089*10/11,0),0)))))</f>
        <v/>
      </c>
      <c r="N1089" s="364" t="str">
        <f>IF($G1089="","",K1089+L1089+M1089)</f>
        <v/>
      </c>
      <c r="O1089" s="365" t="str">
        <f>IF($G1089="","",IFERROR(VLOOKUP($D1089&amp;"|"&amp;$E1089,科目表!$A$5:$B$200,2,FALSE),"※未登録"))</f>
        <v/>
      </c>
      <c r="P1089" s="359" t="str">
        <f>IF(OR($G1089="",$C1089=""),"",IF($B1089="決算整理",13,MOD(MONTH($C1089)-4,12)+1))</f>
        <v/>
      </c>
      <c r="Q1089" s="366" t="str">
        <f>IF($G1089="","",TRIM(IF(J1089+K1089+L1089+M1089&lt;&gt;$G1089,"按分不一致 ","")&amp;IF(O1089="※未登録","科目未登録 ","")&amp;IF(OR($H1089="",ISERROR(MATCH($H1089,{1,2,3,4,5,6,7,8},0))),"経費区分? ","")&amp;IF($I1089="","状態未設定 ","")&amp;IF(AND(OR($I1089="確認済",$I1089="未確認"),$B1089="月例",OR($C1089="",$C1089&lt;DATE(年度+2018,4,1),$C1089&gt;DATE(年度+2019,3,31))),"年度外の日付 ","")&amp;IF(AND(OR($I1089="確認済",$I1089="未確認"),O1089="対象外"),"対象外の科目 ","")))</f>
        <v/>
      </c>
      <c r="R1089" s="366" t="n"/>
    </row>
    <row r="1090">
      <c r="A1090" s="359" t="n"/>
      <c r="B1090" s="360" t="n"/>
      <c r="C1090" s="361" t="n"/>
      <c r="D1090" s="362" t="n"/>
      <c r="E1090" s="362" t="n"/>
      <c r="F1090" s="362" t="n"/>
      <c r="G1090" s="363" t="n"/>
      <c r="H1090" s="360" t="n"/>
      <c r="I1090" s="360" t="n"/>
      <c r="J1090" s="364" t="str">
        <f>IF($G1090="","",IF($H1090=1,$G1090-ROUND($G1090*10/23,0)-2*ROUND($G1090/23,0),IF($H1090=2,$G1090,0)))</f>
        <v/>
      </c>
      <c r="K1090" s="364" t="str">
        <f>IF($G1090="","",IF($H1090=1,ROUND($G1090*10/23,0),IF($H1090=3,$G1090-2*ROUND($G1090/12,0),IF($H1090=4,$G1090,IF(OR($H1090=5,$H1090=7),ROUND($G1090*10/11,0),0)))))</f>
        <v/>
      </c>
      <c r="L1090" s="364" t="str">
        <f>IF($G1090="","",IF($H1090=1,ROUND($G1090/23,0),IF($H1090=3,ROUND($G1090/12,0),IF($H1090=5,$G1090-ROUND($G1090*10/11,0),IF($H1090=8,$G1090,0)))))</f>
        <v/>
      </c>
      <c r="M1090" s="364" t="str">
        <f>IF($G1090="","",IF($H1090=1,ROUND($G1090/23,0),IF($H1090=3,ROUND($G1090/12,0),IF($H1090=6,$G1090,IF($H1090=7,$G1090-ROUND($G1090*10/11,0),0)))))</f>
        <v/>
      </c>
      <c r="N1090" s="364" t="str">
        <f>IF($G1090="","",K1090+L1090+M1090)</f>
        <v/>
      </c>
      <c r="O1090" s="365" t="str">
        <f>IF($G1090="","",IFERROR(VLOOKUP($D1090&amp;"|"&amp;$E1090,科目表!$A$5:$B$200,2,FALSE),"※未登録"))</f>
        <v/>
      </c>
      <c r="P1090" s="359" t="str">
        <f>IF(OR($G1090="",$C1090=""),"",IF($B1090="決算整理",13,MOD(MONTH($C1090)-4,12)+1))</f>
        <v/>
      </c>
      <c r="Q1090" s="366" t="str">
        <f>IF($G1090="","",TRIM(IF(J1090+K1090+L1090+M1090&lt;&gt;$G1090,"按分不一致 ","")&amp;IF(O1090="※未登録","科目未登録 ","")&amp;IF(OR($H1090="",ISERROR(MATCH($H1090,{1,2,3,4,5,6,7,8},0))),"経費区分? ","")&amp;IF($I1090="","状態未設定 ","")&amp;IF(AND(OR($I1090="確認済",$I1090="未確認"),$B1090="月例",OR($C1090="",$C1090&lt;DATE(年度+2018,4,1),$C1090&gt;DATE(年度+2019,3,31))),"年度外の日付 ","")&amp;IF(AND(OR($I1090="確認済",$I1090="未確認"),O1090="対象外"),"対象外の科目 ","")))</f>
        <v/>
      </c>
      <c r="R1090" s="366" t="n"/>
    </row>
    <row r="1091">
      <c r="A1091" s="359" t="n"/>
      <c r="B1091" s="360" t="n"/>
      <c r="C1091" s="361" t="n"/>
      <c r="D1091" s="362" t="n"/>
      <c r="E1091" s="362" t="n"/>
      <c r="F1091" s="362" t="n"/>
      <c r="G1091" s="363" t="n"/>
      <c r="H1091" s="360" t="n"/>
      <c r="I1091" s="360" t="n"/>
      <c r="J1091" s="364" t="str">
        <f>IF($G1091="","",IF($H1091=1,$G1091-ROUND($G1091*10/23,0)-2*ROUND($G1091/23,0),IF($H1091=2,$G1091,0)))</f>
        <v/>
      </c>
      <c r="K1091" s="364" t="str">
        <f>IF($G1091="","",IF($H1091=1,ROUND($G1091*10/23,0),IF($H1091=3,$G1091-2*ROUND($G1091/12,0),IF($H1091=4,$G1091,IF(OR($H1091=5,$H1091=7),ROUND($G1091*10/11,0),0)))))</f>
        <v/>
      </c>
      <c r="L1091" s="364" t="str">
        <f>IF($G1091="","",IF($H1091=1,ROUND($G1091/23,0),IF($H1091=3,ROUND($G1091/12,0),IF($H1091=5,$G1091-ROUND($G1091*10/11,0),IF($H1091=8,$G1091,0)))))</f>
        <v/>
      </c>
      <c r="M1091" s="364" t="str">
        <f>IF($G1091="","",IF($H1091=1,ROUND($G1091/23,0),IF($H1091=3,ROUND($G1091/12,0),IF($H1091=6,$G1091,IF($H1091=7,$G1091-ROUND($G1091*10/11,0),0)))))</f>
        <v/>
      </c>
      <c r="N1091" s="364" t="str">
        <f>IF($G1091="","",K1091+L1091+M1091)</f>
        <v/>
      </c>
      <c r="O1091" s="365" t="str">
        <f>IF($G1091="","",IFERROR(VLOOKUP($D1091&amp;"|"&amp;$E1091,科目表!$A$5:$B$200,2,FALSE),"※未登録"))</f>
        <v/>
      </c>
      <c r="P1091" s="359" t="str">
        <f>IF(OR($G1091="",$C1091=""),"",IF($B1091="決算整理",13,MOD(MONTH($C1091)-4,12)+1))</f>
        <v/>
      </c>
      <c r="Q1091" s="366" t="str">
        <f>IF($G1091="","",TRIM(IF(J1091+K1091+L1091+M1091&lt;&gt;$G1091,"按分不一致 ","")&amp;IF(O1091="※未登録","科目未登録 ","")&amp;IF(OR($H1091="",ISERROR(MATCH($H1091,{1,2,3,4,5,6,7,8},0))),"経費区分? ","")&amp;IF($I1091="","状態未設定 ","")&amp;IF(AND(OR($I1091="確認済",$I1091="未確認"),$B1091="月例",OR($C1091="",$C1091&lt;DATE(年度+2018,4,1),$C1091&gt;DATE(年度+2019,3,31))),"年度外の日付 ","")&amp;IF(AND(OR($I1091="確認済",$I1091="未確認"),O1091="対象外"),"対象外の科目 ","")))</f>
        <v/>
      </c>
      <c r="R1091" s="366" t="n"/>
    </row>
    <row r="1092">
      <c r="A1092" s="359" t="n"/>
      <c r="B1092" s="360" t="n"/>
      <c r="C1092" s="361" t="n"/>
      <c r="D1092" s="362" t="n"/>
      <c r="E1092" s="362" t="n"/>
      <c r="F1092" s="362" t="n"/>
      <c r="G1092" s="363" t="n"/>
      <c r="H1092" s="360" t="n"/>
      <c r="I1092" s="360" t="n"/>
      <c r="J1092" s="364" t="str">
        <f>IF($G1092="","",IF($H1092=1,$G1092-ROUND($G1092*10/23,0)-2*ROUND($G1092/23,0),IF($H1092=2,$G1092,0)))</f>
        <v/>
      </c>
      <c r="K1092" s="364" t="str">
        <f>IF($G1092="","",IF($H1092=1,ROUND($G1092*10/23,0),IF($H1092=3,$G1092-2*ROUND($G1092/12,0),IF($H1092=4,$G1092,IF(OR($H1092=5,$H1092=7),ROUND($G1092*10/11,0),0)))))</f>
        <v/>
      </c>
      <c r="L1092" s="364" t="str">
        <f>IF($G1092="","",IF($H1092=1,ROUND($G1092/23,0),IF($H1092=3,ROUND($G1092/12,0),IF($H1092=5,$G1092-ROUND($G1092*10/11,0),IF($H1092=8,$G1092,0)))))</f>
        <v/>
      </c>
      <c r="M1092" s="364" t="str">
        <f>IF($G1092="","",IF($H1092=1,ROUND($G1092/23,0),IF($H1092=3,ROUND($G1092/12,0),IF($H1092=6,$G1092,IF($H1092=7,$G1092-ROUND($G1092*10/11,0),0)))))</f>
        <v/>
      </c>
      <c r="N1092" s="364" t="str">
        <f>IF($G1092="","",K1092+L1092+M1092)</f>
        <v/>
      </c>
      <c r="O1092" s="365" t="str">
        <f>IF($G1092="","",IFERROR(VLOOKUP($D1092&amp;"|"&amp;$E1092,科目表!$A$5:$B$200,2,FALSE),"※未登録"))</f>
        <v/>
      </c>
      <c r="P1092" s="359" t="str">
        <f>IF(OR($G1092="",$C1092=""),"",IF($B1092="決算整理",13,MOD(MONTH($C1092)-4,12)+1))</f>
        <v/>
      </c>
      <c r="Q1092" s="366" t="str">
        <f>IF($G1092="","",TRIM(IF(J1092+K1092+L1092+M1092&lt;&gt;$G1092,"按分不一致 ","")&amp;IF(O1092="※未登録","科目未登録 ","")&amp;IF(OR($H1092="",ISERROR(MATCH($H1092,{1,2,3,4,5,6,7,8},0))),"経費区分? ","")&amp;IF($I1092="","状態未設定 ","")&amp;IF(AND(OR($I1092="確認済",$I1092="未確認"),$B1092="月例",OR($C1092="",$C1092&lt;DATE(年度+2018,4,1),$C1092&gt;DATE(年度+2019,3,31))),"年度外の日付 ","")&amp;IF(AND(OR($I1092="確認済",$I1092="未確認"),O1092="対象外"),"対象外の科目 ","")))</f>
        <v/>
      </c>
      <c r="R1092" s="366" t="n"/>
    </row>
    <row r="1093">
      <c r="A1093" s="359" t="n"/>
      <c r="B1093" s="360" t="n"/>
      <c r="C1093" s="361" t="n"/>
      <c r="D1093" s="362" t="n"/>
      <c r="E1093" s="362" t="n"/>
      <c r="F1093" s="362" t="n"/>
      <c r="G1093" s="363" t="n"/>
      <c r="H1093" s="360" t="n"/>
      <c r="I1093" s="360" t="n"/>
      <c r="J1093" s="364" t="str">
        <f>IF($G1093="","",IF($H1093=1,$G1093-ROUND($G1093*10/23,0)-2*ROUND($G1093/23,0),IF($H1093=2,$G1093,0)))</f>
        <v/>
      </c>
      <c r="K1093" s="364" t="str">
        <f>IF($G1093="","",IF($H1093=1,ROUND($G1093*10/23,0),IF($H1093=3,$G1093-2*ROUND($G1093/12,0),IF($H1093=4,$G1093,IF(OR($H1093=5,$H1093=7),ROUND($G1093*10/11,0),0)))))</f>
        <v/>
      </c>
      <c r="L1093" s="364" t="str">
        <f>IF($G1093="","",IF($H1093=1,ROUND($G1093/23,0),IF($H1093=3,ROUND($G1093/12,0),IF($H1093=5,$G1093-ROUND($G1093*10/11,0),IF($H1093=8,$G1093,0)))))</f>
        <v/>
      </c>
      <c r="M1093" s="364" t="str">
        <f>IF($G1093="","",IF($H1093=1,ROUND($G1093/23,0),IF($H1093=3,ROUND($G1093/12,0),IF($H1093=6,$G1093,IF($H1093=7,$G1093-ROUND($G1093*10/11,0),0)))))</f>
        <v/>
      </c>
      <c r="N1093" s="364" t="str">
        <f>IF($G1093="","",K1093+L1093+M1093)</f>
        <v/>
      </c>
      <c r="O1093" s="365" t="str">
        <f>IF($G1093="","",IFERROR(VLOOKUP($D1093&amp;"|"&amp;$E1093,科目表!$A$5:$B$200,2,FALSE),"※未登録"))</f>
        <v/>
      </c>
      <c r="P1093" s="359" t="str">
        <f>IF(OR($G1093="",$C1093=""),"",IF($B1093="決算整理",13,MOD(MONTH($C1093)-4,12)+1))</f>
        <v/>
      </c>
      <c r="Q1093" s="366" t="str">
        <f>IF($G1093="","",TRIM(IF(J1093+K1093+L1093+M1093&lt;&gt;$G1093,"按分不一致 ","")&amp;IF(O1093="※未登録","科目未登録 ","")&amp;IF(OR($H1093="",ISERROR(MATCH($H1093,{1,2,3,4,5,6,7,8},0))),"経費区分? ","")&amp;IF($I1093="","状態未設定 ","")&amp;IF(AND(OR($I1093="確認済",$I1093="未確認"),$B1093="月例",OR($C1093="",$C1093&lt;DATE(年度+2018,4,1),$C1093&gt;DATE(年度+2019,3,31))),"年度外の日付 ","")&amp;IF(AND(OR($I1093="確認済",$I1093="未確認"),O1093="対象外"),"対象外の科目 ","")))</f>
        <v/>
      </c>
      <c r="R1093" s="366" t="n"/>
    </row>
    <row r="1094">
      <c r="A1094" s="359" t="n"/>
      <c r="B1094" s="360" t="n"/>
      <c r="C1094" s="361" t="n"/>
      <c r="D1094" s="362" t="n"/>
      <c r="E1094" s="362" t="n"/>
      <c r="F1094" s="362" t="n"/>
      <c r="G1094" s="363" t="n"/>
      <c r="H1094" s="360" t="n"/>
      <c r="I1094" s="360" t="n"/>
      <c r="J1094" s="364" t="str">
        <f>IF($G1094="","",IF($H1094=1,$G1094-ROUND($G1094*10/23,0)-2*ROUND($G1094/23,0),IF($H1094=2,$G1094,0)))</f>
        <v/>
      </c>
      <c r="K1094" s="364" t="str">
        <f>IF($G1094="","",IF($H1094=1,ROUND($G1094*10/23,0),IF($H1094=3,$G1094-2*ROUND($G1094/12,0),IF($H1094=4,$G1094,IF(OR($H1094=5,$H1094=7),ROUND($G1094*10/11,0),0)))))</f>
        <v/>
      </c>
      <c r="L1094" s="364" t="str">
        <f>IF($G1094="","",IF($H1094=1,ROUND($G1094/23,0),IF($H1094=3,ROUND($G1094/12,0),IF($H1094=5,$G1094-ROUND($G1094*10/11,0),IF($H1094=8,$G1094,0)))))</f>
        <v/>
      </c>
      <c r="M1094" s="364" t="str">
        <f>IF($G1094="","",IF($H1094=1,ROUND($G1094/23,0),IF($H1094=3,ROUND($G1094/12,0),IF($H1094=6,$G1094,IF($H1094=7,$G1094-ROUND($G1094*10/11,0),0)))))</f>
        <v/>
      </c>
      <c r="N1094" s="364" t="str">
        <f>IF($G1094="","",K1094+L1094+M1094)</f>
        <v/>
      </c>
      <c r="O1094" s="365" t="str">
        <f>IF($G1094="","",IFERROR(VLOOKUP($D1094&amp;"|"&amp;$E1094,科目表!$A$5:$B$200,2,FALSE),"※未登録"))</f>
        <v/>
      </c>
      <c r="P1094" s="359" t="str">
        <f>IF(OR($G1094="",$C1094=""),"",IF($B1094="決算整理",13,MOD(MONTH($C1094)-4,12)+1))</f>
        <v/>
      </c>
      <c r="Q1094" s="366" t="str">
        <f>IF($G1094="","",TRIM(IF(J1094+K1094+L1094+M1094&lt;&gt;$G1094,"按分不一致 ","")&amp;IF(O1094="※未登録","科目未登録 ","")&amp;IF(OR($H1094="",ISERROR(MATCH($H1094,{1,2,3,4,5,6,7,8},0))),"経費区分? ","")&amp;IF($I1094="","状態未設定 ","")&amp;IF(AND(OR($I1094="確認済",$I1094="未確認"),$B1094="月例",OR($C1094="",$C1094&lt;DATE(年度+2018,4,1),$C1094&gt;DATE(年度+2019,3,31))),"年度外の日付 ","")&amp;IF(AND(OR($I1094="確認済",$I1094="未確認"),O1094="対象外"),"対象外の科目 ","")))</f>
        <v/>
      </c>
      <c r="R1094" s="366" t="n"/>
    </row>
    <row r="1095">
      <c r="A1095" s="359" t="n"/>
      <c r="B1095" s="360" t="n"/>
      <c r="C1095" s="361" t="n"/>
      <c r="D1095" s="362" t="n"/>
      <c r="E1095" s="362" t="n"/>
      <c r="F1095" s="362" t="n"/>
      <c r="G1095" s="363" t="n"/>
      <c r="H1095" s="360" t="n"/>
      <c r="I1095" s="360" t="n"/>
      <c r="J1095" s="364" t="str">
        <f>IF($G1095="","",IF($H1095=1,$G1095-ROUND($G1095*10/23,0)-2*ROUND($G1095/23,0),IF($H1095=2,$G1095,0)))</f>
        <v/>
      </c>
      <c r="K1095" s="364" t="str">
        <f>IF($G1095="","",IF($H1095=1,ROUND($G1095*10/23,0),IF($H1095=3,$G1095-2*ROUND($G1095/12,0),IF($H1095=4,$G1095,IF(OR($H1095=5,$H1095=7),ROUND($G1095*10/11,0),0)))))</f>
        <v/>
      </c>
      <c r="L1095" s="364" t="str">
        <f>IF($G1095="","",IF($H1095=1,ROUND($G1095/23,0),IF($H1095=3,ROUND($G1095/12,0),IF($H1095=5,$G1095-ROUND($G1095*10/11,0),IF($H1095=8,$G1095,0)))))</f>
        <v/>
      </c>
      <c r="M1095" s="364" t="str">
        <f>IF($G1095="","",IF($H1095=1,ROUND($G1095/23,0),IF($H1095=3,ROUND($G1095/12,0),IF($H1095=6,$G1095,IF($H1095=7,$G1095-ROUND($G1095*10/11,0),0)))))</f>
        <v/>
      </c>
      <c r="N1095" s="364" t="str">
        <f>IF($G1095="","",K1095+L1095+M1095)</f>
        <v/>
      </c>
      <c r="O1095" s="365" t="str">
        <f>IF($G1095="","",IFERROR(VLOOKUP($D1095&amp;"|"&amp;$E1095,科目表!$A$5:$B$200,2,FALSE),"※未登録"))</f>
        <v/>
      </c>
      <c r="P1095" s="359" t="str">
        <f>IF(OR($G1095="",$C1095=""),"",IF($B1095="決算整理",13,MOD(MONTH($C1095)-4,12)+1))</f>
        <v/>
      </c>
      <c r="Q1095" s="366" t="str">
        <f>IF($G1095="","",TRIM(IF(J1095+K1095+L1095+M1095&lt;&gt;$G1095,"按分不一致 ","")&amp;IF(O1095="※未登録","科目未登録 ","")&amp;IF(OR($H1095="",ISERROR(MATCH($H1095,{1,2,3,4,5,6,7,8},0))),"経費区分? ","")&amp;IF($I1095="","状態未設定 ","")&amp;IF(AND(OR($I1095="確認済",$I1095="未確認"),$B1095="月例",OR($C1095="",$C1095&lt;DATE(年度+2018,4,1),$C1095&gt;DATE(年度+2019,3,31))),"年度外の日付 ","")&amp;IF(AND(OR($I1095="確認済",$I1095="未確認"),O1095="対象外"),"対象外の科目 ","")))</f>
        <v/>
      </c>
      <c r="R1095" s="366" t="n"/>
    </row>
    <row r="1096">
      <c r="A1096" s="359" t="n"/>
      <c r="B1096" s="360" t="n"/>
      <c r="C1096" s="361" t="n"/>
      <c r="D1096" s="362" t="n"/>
      <c r="E1096" s="362" t="n"/>
      <c r="F1096" s="362" t="n"/>
      <c r="G1096" s="363" t="n"/>
      <c r="H1096" s="360" t="n"/>
      <c r="I1096" s="360" t="n"/>
      <c r="J1096" s="364" t="str">
        <f>IF($G1096="","",IF($H1096=1,$G1096-ROUND($G1096*10/23,0)-2*ROUND($G1096/23,0),IF($H1096=2,$G1096,0)))</f>
        <v/>
      </c>
      <c r="K1096" s="364" t="str">
        <f>IF($G1096="","",IF($H1096=1,ROUND($G1096*10/23,0),IF($H1096=3,$G1096-2*ROUND($G1096/12,0),IF($H1096=4,$G1096,IF(OR($H1096=5,$H1096=7),ROUND($G1096*10/11,0),0)))))</f>
        <v/>
      </c>
      <c r="L1096" s="364" t="str">
        <f>IF($G1096="","",IF($H1096=1,ROUND($G1096/23,0),IF($H1096=3,ROUND($G1096/12,0),IF($H1096=5,$G1096-ROUND($G1096*10/11,0),IF($H1096=8,$G1096,0)))))</f>
        <v/>
      </c>
      <c r="M1096" s="364" t="str">
        <f>IF($G1096="","",IF($H1096=1,ROUND($G1096/23,0),IF($H1096=3,ROUND($G1096/12,0),IF($H1096=6,$G1096,IF($H1096=7,$G1096-ROUND($G1096*10/11,0),0)))))</f>
        <v/>
      </c>
      <c r="N1096" s="364" t="str">
        <f>IF($G1096="","",K1096+L1096+M1096)</f>
        <v/>
      </c>
      <c r="O1096" s="365" t="str">
        <f>IF($G1096="","",IFERROR(VLOOKUP($D1096&amp;"|"&amp;$E1096,科目表!$A$5:$B$200,2,FALSE),"※未登録"))</f>
        <v/>
      </c>
      <c r="P1096" s="359" t="str">
        <f>IF(OR($G1096="",$C1096=""),"",IF($B1096="決算整理",13,MOD(MONTH($C1096)-4,12)+1))</f>
        <v/>
      </c>
      <c r="Q1096" s="366" t="str">
        <f>IF($G1096="","",TRIM(IF(J1096+K1096+L1096+M1096&lt;&gt;$G1096,"按分不一致 ","")&amp;IF(O1096="※未登録","科目未登録 ","")&amp;IF(OR($H1096="",ISERROR(MATCH($H1096,{1,2,3,4,5,6,7,8},0))),"経費区分? ","")&amp;IF($I1096="","状態未設定 ","")&amp;IF(AND(OR($I1096="確認済",$I1096="未確認"),$B1096="月例",OR($C1096="",$C1096&lt;DATE(年度+2018,4,1),$C1096&gt;DATE(年度+2019,3,31))),"年度外の日付 ","")&amp;IF(AND(OR($I1096="確認済",$I1096="未確認"),O1096="対象外"),"対象外の科目 ","")))</f>
        <v/>
      </c>
      <c r="R1096" s="366" t="n"/>
    </row>
    <row r="1097">
      <c r="A1097" s="359" t="n"/>
      <c r="B1097" s="360" t="n"/>
      <c r="C1097" s="361" t="n"/>
      <c r="D1097" s="362" t="n"/>
      <c r="E1097" s="362" t="n"/>
      <c r="F1097" s="362" t="n"/>
      <c r="G1097" s="363" t="n"/>
      <c r="H1097" s="360" t="n"/>
      <c r="I1097" s="360" t="n"/>
      <c r="J1097" s="364" t="str">
        <f>IF($G1097="","",IF($H1097=1,$G1097-ROUND($G1097*10/23,0)-2*ROUND($G1097/23,0),IF($H1097=2,$G1097,0)))</f>
        <v/>
      </c>
      <c r="K1097" s="364" t="str">
        <f>IF($G1097="","",IF($H1097=1,ROUND($G1097*10/23,0),IF($H1097=3,$G1097-2*ROUND($G1097/12,0),IF($H1097=4,$G1097,IF(OR($H1097=5,$H1097=7),ROUND($G1097*10/11,0),0)))))</f>
        <v/>
      </c>
      <c r="L1097" s="364" t="str">
        <f>IF($G1097="","",IF($H1097=1,ROUND($G1097/23,0),IF($H1097=3,ROUND($G1097/12,0),IF($H1097=5,$G1097-ROUND($G1097*10/11,0),IF($H1097=8,$G1097,0)))))</f>
        <v/>
      </c>
      <c r="M1097" s="364" t="str">
        <f>IF($G1097="","",IF($H1097=1,ROUND($G1097/23,0),IF($H1097=3,ROUND($G1097/12,0),IF($H1097=6,$G1097,IF($H1097=7,$G1097-ROUND($G1097*10/11,0),0)))))</f>
        <v/>
      </c>
      <c r="N1097" s="364" t="str">
        <f>IF($G1097="","",K1097+L1097+M1097)</f>
        <v/>
      </c>
      <c r="O1097" s="365" t="str">
        <f>IF($G1097="","",IFERROR(VLOOKUP($D1097&amp;"|"&amp;$E1097,科目表!$A$5:$B$200,2,FALSE),"※未登録"))</f>
        <v/>
      </c>
      <c r="P1097" s="359" t="str">
        <f>IF(OR($G1097="",$C1097=""),"",IF($B1097="決算整理",13,MOD(MONTH($C1097)-4,12)+1))</f>
        <v/>
      </c>
      <c r="Q1097" s="366" t="str">
        <f>IF($G1097="","",TRIM(IF(J1097+K1097+L1097+M1097&lt;&gt;$G1097,"按分不一致 ","")&amp;IF(O1097="※未登録","科目未登録 ","")&amp;IF(OR($H1097="",ISERROR(MATCH($H1097,{1,2,3,4,5,6,7,8},0))),"経費区分? ","")&amp;IF($I1097="","状態未設定 ","")&amp;IF(AND(OR($I1097="確認済",$I1097="未確認"),$B1097="月例",OR($C1097="",$C1097&lt;DATE(年度+2018,4,1),$C1097&gt;DATE(年度+2019,3,31))),"年度外の日付 ","")&amp;IF(AND(OR($I1097="確認済",$I1097="未確認"),O1097="対象外"),"対象外の科目 ","")))</f>
        <v/>
      </c>
      <c r="R1097" s="366" t="n"/>
    </row>
    <row r="1098">
      <c r="A1098" s="359" t="n"/>
      <c r="B1098" s="360" t="n"/>
      <c r="C1098" s="361" t="n"/>
      <c r="D1098" s="362" t="n"/>
      <c r="E1098" s="362" t="n"/>
      <c r="F1098" s="362" t="n"/>
      <c r="G1098" s="363" t="n"/>
      <c r="H1098" s="360" t="n"/>
      <c r="I1098" s="360" t="n"/>
      <c r="J1098" s="364" t="str">
        <f>IF($G1098="","",IF($H1098=1,$G1098-ROUND($G1098*10/23,0)-2*ROUND($G1098/23,0),IF($H1098=2,$G1098,0)))</f>
        <v/>
      </c>
      <c r="K1098" s="364" t="str">
        <f>IF($G1098="","",IF($H1098=1,ROUND($G1098*10/23,0),IF($H1098=3,$G1098-2*ROUND($G1098/12,0),IF($H1098=4,$G1098,IF(OR($H1098=5,$H1098=7),ROUND($G1098*10/11,0),0)))))</f>
        <v/>
      </c>
      <c r="L1098" s="364" t="str">
        <f>IF($G1098="","",IF($H1098=1,ROUND($G1098/23,0),IF($H1098=3,ROUND($G1098/12,0),IF($H1098=5,$G1098-ROUND($G1098*10/11,0),IF($H1098=8,$G1098,0)))))</f>
        <v/>
      </c>
      <c r="M1098" s="364" t="str">
        <f>IF($G1098="","",IF($H1098=1,ROUND($G1098/23,0),IF($H1098=3,ROUND($G1098/12,0),IF($H1098=6,$G1098,IF($H1098=7,$G1098-ROUND($G1098*10/11,0),0)))))</f>
        <v/>
      </c>
      <c r="N1098" s="364" t="str">
        <f>IF($G1098="","",K1098+L1098+M1098)</f>
        <v/>
      </c>
      <c r="O1098" s="365" t="str">
        <f>IF($G1098="","",IFERROR(VLOOKUP($D1098&amp;"|"&amp;$E1098,科目表!$A$5:$B$200,2,FALSE),"※未登録"))</f>
        <v/>
      </c>
      <c r="P1098" s="359" t="str">
        <f>IF(OR($G1098="",$C1098=""),"",IF($B1098="決算整理",13,MOD(MONTH($C1098)-4,12)+1))</f>
        <v/>
      </c>
      <c r="Q1098" s="366" t="str">
        <f>IF($G1098="","",TRIM(IF(J1098+K1098+L1098+M1098&lt;&gt;$G1098,"按分不一致 ","")&amp;IF(O1098="※未登録","科目未登録 ","")&amp;IF(OR($H1098="",ISERROR(MATCH($H1098,{1,2,3,4,5,6,7,8},0))),"経費区分? ","")&amp;IF($I1098="","状態未設定 ","")&amp;IF(AND(OR($I1098="確認済",$I1098="未確認"),$B1098="月例",OR($C1098="",$C1098&lt;DATE(年度+2018,4,1),$C1098&gt;DATE(年度+2019,3,31))),"年度外の日付 ","")&amp;IF(AND(OR($I1098="確認済",$I1098="未確認"),O1098="対象外"),"対象外の科目 ","")))</f>
        <v/>
      </c>
      <c r="R1098" s="366" t="n"/>
    </row>
    <row r="1099">
      <c r="A1099" s="359" t="n"/>
      <c r="B1099" s="360" t="n"/>
      <c r="C1099" s="361" t="n"/>
      <c r="D1099" s="362" t="n"/>
      <c r="E1099" s="362" t="n"/>
      <c r="F1099" s="362" t="n"/>
      <c r="G1099" s="363" t="n"/>
      <c r="H1099" s="360" t="n"/>
      <c r="I1099" s="360" t="n"/>
      <c r="J1099" s="364" t="str">
        <f>IF($G1099="","",IF($H1099=1,$G1099-ROUND($G1099*10/23,0)-2*ROUND($G1099/23,0),IF($H1099=2,$G1099,0)))</f>
        <v/>
      </c>
      <c r="K1099" s="364" t="str">
        <f>IF($G1099="","",IF($H1099=1,ROUND($G1099*10/23,0),IF($H1099=3,$G1099-2*ROUND($G1099/12,0),IF($H1099=4,$G1099,IF(OR($H1099=5,$H1099=7),ROUND($G1099*10/11,0),0)))))</f>
        <v/>
      </c>
      <c r="L1099" s="364" t="str">
        <f>IF($G1099="","",IF($H1099=1,ROUND($G1099/23,0),IF($H1099=3,ROUND($G1099/12,0),IF($H1099=5,$G1099-ROUND($G1099*10/11,0),IF($H1099=8,$G1099,0)))))</f>
        <v/>
      </c>
      <c r="M1099" s="364" t="str">
        <f>IF($G1099="","",IF($H1099=1,ROUND($G1099/23,0),IF($H1099=3,ROUND($G1099/12,0),IF($H1099=6,$G1099,IF($H1099=7,$G1099-ROUND($G1099*10/11,0),0)))))</f>
        <v/>
      </c>
      <c r="N1099" s="364" t="str">
        <f>IF($G1099="","",K1099+L1099+M1099)</f>
        <v/>
      </c>
      <c r="O1099" s="365" t="str">
        <f>IF($G1099="","",IFERROR(VLOOKUP($D1099&amp;"|"&amp;$E1099,科目表!$A$5:$B$200,2,FALSE),"※未登録"))</f>
        <v/>
      </c>
      <c r="P1099" s="359" t="str">
        <f>IF(OR($G1099="",$C1099=""),"",IF($B1099="決算整理",13,MOD(MONTH($C1099)-4,12)+1))</f>
        <v/>
      </c>
      <c r="Q1099" s="366" t="str">
        <f>IF($G1099="","",TRIM(IF(J1099+K1099+L1099+M1099&lt;&gt;$G1099,"按分不一致 ","")&amp;IF(O1099="※未登録","科目未登録 ","")&amp;IF(OR($H1099="",ISERROR(MATCH($H1099,{1,2,3,4,5,6,7,8},0))),"経費区分? ","")&amp;IF($I1099="","状態未設定 ","")&amp;IF(AND(OR($I1099="確認済",$I1099="未確認"),$B1099="月例",OR($C1099="",$C1099&lt;DATE(年度+2018,4,1),$C1099&gt;DATE(年度+2019,3,31))),"年度外の日付 ","")&amp;IF(AND(OR($I1099="確認済",$I1099="未確認"),O1099="対象外"),"対象外の科目 ","")))</f>
        <v/>
      </c>
      <c r="R1099" s="366" t="n"/>
    </row>
    <row r="1100">
      <c r="A1100" s="359" t="n"/>
      <c r="B1100" s="360" t="n"/>
      <c r="C1100" s="361" t="n"/>
      <c r="D1100" s="362" t="n"/>
      <c r="E1100" s="362" t="n"/>
      <c r="F1100" s="362" t="n"/>
      <c r="G1100" s="363" t="n"/>
      <c r="H1100" s="360" t="n"/>
      <c r="I1100" s="360" t="n"/>
      <c r="J1100" s="364" t="str">
        <f>IF($G1100="","",IF($H1100=1,$G1100-ROUND($G1100*10/23,0)-2*ROUND($G1100/23,0),IF($H1100=2,$G1100,0)))</f>
        <v/>
      </c>
      <c r="K1100" s="364" t="str">
        <f>IF($G1100="","",IF($H1100=1,ROUND($G1100*10/23,0),IF($H1100=3,$G1100-2*ROUND($G1100/12,0),IF($H1100=4,$G1100,IF(OR($H1100=5,$H1100=7),ROUND($G1100*10/11,0),0)))))</f>
        <v/>
      </c>
      <c r="L1100" s="364" t="str">
        <f>IF($G1100="","",IF($H1100=1,ROUND($G1100/23,0),IF($H1100=3,ROUND($G1100/12,0),IF($H1100=5,$G1100-ROUND($G1100*10/11,0),IF($H1100=8,$G1100,0)))))</f>
        <v/>
      </c>
      <c r="M1100" s="364" t="str">
        <f>IF($G1100="","",IF($H1100=1,ROUND($G1100/23,0),IF($H1100=3,ROUND($G1100/12,0),IF($H1100=6,$G1100,IF($H1100=7,$G1100-ROUND($G1100*10/11,0),0)))))</f>
        <v/>
      </c>
      <c r="N1100" s="364" t="str">
        <f>IF($G1100="","",K1100+L1100+M1100)</f>
        <v/>
      </c>
      <c r="O1100" s="365" t="str">
        <f>IF($G1100="","",IFERROR(VLOOKUP($D1100&amp;"|"&amp;$E1100,科目表!$A$5:$B$200,2,FALSE),"※未登録"))</f>
        <v/>
      </c>
      <c r="P1100" s="359" t="str">
        <f>IF(OR($G1100="",$C1100=""),"",IF($B1100="決算整理",13,MOD(MONTH($C1100)-4,12)+1))</f>
        <v/>
      </c>
      <c r="Q1100" s="366" t="str">
        <f>IF($G1100="","",TRIM(IF(J1100+K1100+L1100+M1100&lt;&gt;$G1100,"按分不一致 ","")&amp;IF(O1100="※未登録","科目未登録 ","")&amp;IF(OR($H1100="",ISERROR(MATCH($H1100,{1,2,3,4,5,6,7,8},0))),"経費区分? ","")&amp;IF($I1100="","状態未設定 ","")&amp;IF(AND(OR($I1100="確認済",$I1100="未確認"),$B1100="月例",OR($C1100="",$C1100&lt;DATE(年度+2018,4,1),$C1100&gt;DATE(年度+2019,3,31))),"年度外の日付 ","")&amp;IF(AND(OR($I1100="確認済",$I1100="未確認"),O1100="対象外"),"対象外の科目 ","")))</f>
        <v/>
      </c>
      <c r="R1100" s="366" t="n"/>
    </row>
    <row r="1101">
      <c r="A1101" s="359" t="n"/>
      <c r="B1101" s="360" t="n"/>
      <c r="C1101" s="361" t="n"/>
      <c r="D1101" s="362" t="n"/>
      <c r="E1101" s="362" t="n"/>
      <c r="F1101" s="362" t="n"/>
      <c r="G1101" s="363" t="n"/>
      <c r="H1101" s="360" t="n"/>
      <c r="I1101" s="360" t="n"/>
      <c r="J1101" s="364" t="str">
        <f>IF($G1101="","",IF($H1101=1,$G1101-ROUND($G1101*10/23,0)-2*ROUND($G1101/23,0),IF($H1101=2,$G1101,0)))</f>
        <v/>
      </c>
      <c r="K1101" s="364" t="str">
        <f>IF($G1101="","",IF($H1101=1,ROUND($G1101*10/23,0),IF($H1101=3,$G1101-2*ROUND($G1101/12,0),IF($H1101=4,$G1101,IF(OR($H1101=5,$H1101=7),ROUND($G1101*10/11,0),0)))))</f>
        <v/>
      </c>
      <c r="L1101" s="364" t="str">
        <f>IF($G1101="","",IF($H1101=1,ROUND($G1101/23,0),IF($H1101=3,ROUND($G1101/12,0),IF($H1101=5,$G1101-ROUND($G1101*10/11,0),IF($H1101=8,$G1101,0)))))</f>
        <v/>
      </c>
      <c r="M1101" s="364" t="str">
        <f>IF($G1101="","",IF($H1101=1,ROUND($G1101/23,0),IF($H1101=3,ROUND($G1101/12,0),IF($H1101=6,$G1101,IF($H1101=7,$G1101-ROUND($G1101*10/11,0),0)))))</f>
        <v/>
      </c>
      <c r="N1101" s="364" t="str">
        <f>IF($G1101="","",K1101+L1101+M1101)</f>
        <v/>
      </c>
      <c r="O1101" s="365" t="str">
        <f>IF($G1101="","",IFERROR(VLOOKUP($D1101&amp;"|"&amp;$E1101,科目表!$A$5:$B$200,2,FALSE),"※未登録"))</f>
        <v/>
      </c>
      <c r="P1101" s="359" t="str">
        <f>IF(OR($G1101="",$C1101=""),"",IF($B1101="決算整理",13,MOD(MONTH($C1101)-4,12)+1))</f>
        <v/>
      </c>
      <c r="Q1101" s="366" t="str">
        <f>IF($G1101="","",TRIM(IF(J1101+K1101+L1101+M1101&lt;&gt;$G1101,"按分不一致 ","")&amp;IF(O1101="※未登録","科目未登録 ","")&amp;IF(OR($H1101="",ISERROR(MATCH($H1101,{1,2,3,4,5,6,7,8},0))),"経費区分? ","")&amp;IF($I1101="","状態未設定 ","")&amp;IF(AND(OR($I1101="確認済",$I1101="未確認"),$B1101="月例",OR($C1101="",$C1101&lt;DATE(年度+2018,4,1),$C1101&gt;DATE(年度+2019,3,31))),"年度外の日付 ","")&amp;IF(AND(OR($I1101="確認済",$I1101="未確認"),O1101="対象外"),"対象外の科目 ","")))</f>
        <v/>
      </c>
      <c r="R1101" s="366" t="n"/>
    </row>
    <row r="1102">
      <c r="A1102" s="359" t="n"/>
      <c r="B1102" s="360" t="n"/>
      <c r="C1102" s="361" t="n"/>
      <c r="D1102" s="362" t="n"/>
      <c r="E1102" s="362" t="n"/>
      <c r="F1102" s="362" t="n"/>
      <c r="G1102" s="363" t="n"/>
      <c r="H1102" s="360" t="n"/>
      <c r="I1102" s="360" t="n"/>
      <c r="J1102" s="364" t="str">
        <f>IF($G1102="","",IF($H1102=1,$G1102-ROUND($G1102*10/23,0)-2*ROUND($G1102/23,0),IF($H1102=2,$G1102,0)))</f>
        <v/>
      </c>
      <c r="K1102" s="364" t="str">
        <f>IF($G1102="","",IF($H1102=1,ROUND($G1102*10/23,0),IF($H1102=3,$G1102-2*ROUND($G1102/12,0),IF($H1102=4,$G1102,IF(OR($H1102=5,$H1102=7),ROUND($G1102*10/11,0),0)))))</f>
        <v/>
      </c>
      <c r="L1102" s="364" t="str">
        <f>IF($G1102="","",IF($H1102=1,ROUND($G1102/23,0),IF($H1102=3,ROUND($G1102/12,0),IF($H1102=5,$G1102-ROUND($G1102*10/11,0),IF($H1102=8,$G1102,0)))))</f>
        <v/>
      </c>
      <c r="M1102" s="364" t="str">
        <f>IF($G1102="","",IF($H1102=1,ROUND($G1102/23,0),IF($H1102=3,ROUND($G1102/12,0),IF($H1102=6,$G1102,IF($H1102=7,$G1102-ROUND($G1102*10/11,0),0)))))</f>
        <v/>
      </c>
      <c r="N1102" s="364" t="str">
        <f>IF($G1102="","",K1102+L1102+M1102)</f>
        <v/>
      </c>
      <c r="O1102" s="365" t="str">
        <f>IF($G1102="","",IFERROR(VLOOKUP($D1102&amp;"|"&amp;$E1102,科目表!$A$5:$B$200,2,FALSE),"※未登録"))</f>
        <v/>
      </c>
      <c r="P1102" s="359" t="str">
        <f>IF(OR($G1102="",$C1102=""),"",IF($B1102="決算整理",13,MOD(MONTH($C1102)-4,12)+1))</f>
        <v/>
      </c>
      <c r="Q1102" s="366" t="str">
        <f>IF($G1102="","",TRIM(IF(J1102+K1102+L1102+M1102&lt;&gt;$G1102,"按分不一致 ","")&amp;IF(O1102="※未登録","科目未登録 ","")&amp;IF(OR($H1102="",ISERROR(MATCH($H1102,{1,2,3,4,5,6,7,8},0))),"経費区分? ","")&amp;IF($I1102="","状態未設定 ","")&amp;IF(AND(OR($I1102="確認済",$I1102="未確認"),$B1102="月例",OR($C1102="",$C1102&lt;DATE(年度+2018,4,1),$C1102&gt;DATE(年度+2019,3,31))),"年度外の日付 ","")&amp;IF(AND(OR($I1102="確認済",$I1102="未確認"),O1102="対象外"),"対象外の科目 ","")))</f>
        <v/>
      </c>
      <c r="R1102" s="366" t="n"/>
    </row>
    <row r="1103">
      <c r="A1103" s="359" t="n"/>
      <c r="B1103" s="360" t="n"/>
      <c r="C1103" s="361" t="n"/>
      <c r="D1103" s="362" t="n"/>
      <c r="E1103" s="362" t="n"/>
      <c r="F1103" s="362" t="n"/>
      <c r="G1103" s="363" t="n"/>
      <c r="H1103" s="360" t="n"/>
      <c r="I1103" s="360" t="n"/>
      <c r="J1103" s="364" t="str">
        <f>IF($G1103="","",IF($H1103=1,$G1103-ROUND($G1103*10/23,0)-2*ROUND($G1103/23,0),IF($H1103=2,$G1103,0)))</f>
        <v/>
      </c>
      <c r="K1103" s="364" t="str">
        <f>IF($G1103="","",IF($H1103=1,ROUND($G1103*10/23,0),IF($H1103=3,$G1103-2*ROUND($G1103/12,0),IF($H1103=4,$G1103,IF(OR($H1103=5,$H1103=7),ROUND($G1103*10/11,0),0)))))</f>
        <v/>
      </c>
      <c r="L1103" s="364" t="str">
        <f>IF($G1103="","",IF($H1103=1,ROUND($G1103/23,0),IF($H1103=3,ROUND($G1103/12,0),IF($H1103=5,$G1103-ROUND($G1103*10/11,0),IF($H1103=8,$G1103,0)))))</f>
        <v/>
      </c>
      <c r="M1103" s="364" t="str">
        <f>IF($G1103="","",IF($H1103=1,ROUND($G1103/23,0),IF($H1103=3,ROUND($G1103/12,0),IF($H1103=6,$G1103,IF($H1103=7,$G1103-ROUND($G1103*10/11,0),0)))))</f>
        <v/>
      </c>
      <c r="N1103" s="364" t="str">
        <f>IF($G1103="","",K1103+L1103+M1103)</f>
        <v/>
      </c>
      <c r="O1103" s="365" t="str">
        <f>IF($G1103="","",IFERROR(VLOOKUP($D1103&amp;"|"&amp;$E1103,科目表!$A$5:$B$200,2,FALSE),"※未登録"))</f>
        <v/>
      </c>
      <c r="P1103" s="359" t="str">
        <f>IF(OR($G1103="",$C1103=""),"",IF($B1103="決算整理",13,MOD(MONTH($C1103)-4,12)+1))</f>
        <v/>
      </c>
      <c r="Q1103" s="366" t="str">
        <f>IF($G1103="","",TRIM(IF(J1103+K1103+L1103+M1103&lt;&gt;$G1103,"按分不一致 ","")&amp;IF(O1103="※未登録","科目未登録 ","")&amp;IF(OR($H1103="",ISERROR(MATCH($H1103,{1,2,3,4,5,6,7,8},0))),"経費区分? ","")&amp;IF($I1103="","状態未設定 ","")&amp;IF(AND(OR($I1103="確認済",$I1103="未確認"),$B1103="月例",OR($C1103="",$C1103&lt;DATE(年度+2018,4,1),$C1103&gt;DATE(年度+2019,3,31))),"年度外の日付 ","")&amp;IF(AND(OR($I1103="確認済",$I1103="未確認"),O1103="対象外"),"対象外の科目 ","")))</f>
        <v/>
      </c>
      <c r="R1103" s="366" t="n"/>
    </row>
    <row r="1104">
      <c r="A1104" s="359" t="n"/>
      <c r="B1104" s="360" t="n"/>
      <c r="C1104" s="361" t="n"/>
      <c r="D1104" s="362" t="n"/>
      <c r="E1104" s="362" t="n"/>
      <c r="F1104" s="362" t="n"/>
      <c r="G1104" s="363" t="n"/>
      <c r="H1104" s="360" t="n"/>
      <c r="I1104" s="360" t="n"/>
      <c r="J1104" s="364" t="str">
        <f>IF($G1104="","",IF($H1104=1,$G1104-ROUND($G1104*10/23,0)-2*ROUND($G1104/23,0),IF($H1104=2,$G1104,0)))</f>
        <v/>
      </c>
      <c r="K1104" s="364" t="str">
        <f>IF($G1104="","",IF($H1104=1,ROUND($G1104*10/23,0),IF($H1104=3,$G1104-2*ROUND($G1104/12,0),IF($H1104=4,$G1104,IF(OR($H1104=5,$H1104=7),ROUND($G1104*10/11,0),0)))))</f>
        <v/>
      </c>
      <c r="L1104" s="364" t="str">
        <f>IF($G1104="","",IF($H1104=1,ROUND($G1104/23,0),IF($H1104=3,ROUND($G1104/12,0),IF($H1104=5,$G1104-ROUND($G1104*10/11,0),IF($H1104=8,$G1104,0)))))</f>
        <v/>
      </c>
      <c r="M1104" s="364" t="str">
        <f>IF($G1104="","",IF($H1104=1,ROUND($G1104/23,0),IF($H1104=3,ROUND($G1104/12,0),IF($H1104=6,$G1104,IF($H1104=7,$G1104-ROUND($G1104*10/11,0),0)))))</f>
        <v/>
      </c>
      <c r="N1104" s="364" t="str">
        <f>IF($G1104="","",K1104+L1104+M1104)</f>
        <v/>
      </c>
      <c r="O1104" s="365" t="str">
        <f>IF($G1104="","",IFERROR(VLOOKUP($D1104&amp;"|"&amp;$E1104,科目表!$A$5:$B$200,2,FALSE),"※未登録"))</f>
        <v/>
      </c>
      <c r="P1104" s="359" t="str">
        <f>IF(OR($G1104="",$C1104=""),"",IF($B1104="決算整理",13,MOD(MONTH($C1104)-4,12)+1))</f>
        <v/>
      </c>
      <c r="Q1104" s="366" t="str">
        <f>IF($G1104="","",TRIM(IF(J1104+K1104+L1104+M1104&lt;&gt;$G1104,"按分不一致 ","")&amp;IF(O1104="※未登録","科目未登録 ","")&amp;IF(OR($H1104="",ISERROR(MATCH($H1104,{1,2,3,4,5,6,7,8},0))),"経費区分? ","")&amp;IF($I1104="","状態未設定 ","")&amp;IF(AND(OR($I1104="確認済",$I1104="未確認"),$B1104="月例",OR($C1104="",$C1104&lt;DATE(年度+2018,4,1),$C1104&gt;DATE(年度+2019,3,31))),"年度外の日付 ","")&amp;IF(AND(OR($I1104="確認済",$I1104="未確認"),O1104="対象外"),"対象外の科目 ","")))</f>
        <v/>
      </c>
      <c r="R1104" s="366" t="n"/>
    </row>
    <row r="1105">
      <c r="A1105" s="359" t="n"/>
      <c r="B1105" s="360" t="n"/>
      <c r="C1105" s="361" t="n"/>
      <c r="D1105" s="362" t="n"/>
      <c r="E1105" s="362" t="n"/>
      <c r="F1105" s="362" t="n"/>
      <c r="G1105" s="363" t="n"/>
      <c r="H1105" s="360" t="n"/>
      <c r="I1105" s="360" t="n"/>
      <c r="J1105" s="364" t="str">
        <f>IF($G1105="","",IF($H1105=1,$G1105-ROUND($G1105*10/23,0)-2*ROUND($G1105/23,0),IF($H1105=2,$G1105,0)))</f>
        <v/>
      </c>
      <c r="K1105" s="364" t="str">
        <f>IF($G1105="","",IF($H1105=1,ROUND($G1105*10/23,0),IF($H1105=3,$G1105-2*ROUND($G1105/12,0),IF($H1105=4,$G1105,IF(OR($H1105=5,$H1105=7),ROUND($G1105*10/11,0),0)))))</f>
        <v/>
      </c>
      <c r="L1105" s="364" t="str">
        <f>IF($G1105="","",IF($H1105=1,ROUND($G1105/23,0),IF($H1105=3,ROUND($G1105/12,0),IF($H1105=5,$G1105-ROUND($G1105*10/11,0),IF($H1105=8,$G1105,0)))))</f>
        <v/>
      </c>
      <c r="M1105" s="364" t="str">
        <f>IF($G1105="","",IF($H1105=1,ROUND($G1105/23,0),IF($H1105=3,ROUND($G1105/12,0),IF($H1105=6,$G1105,IF($H1105=7,$G1105-ROUND($G1105*10/11,0),0)))))</f>
        <v/>
      </c>
      <c r="N1105" s="364" t="str">
        <f>IF($G1105="","",K1105+L1105+M1105)</f>
        <v/>
      </c>
      <c r="O1105" s="365" t="str">
        <f>IF($G1105="","",IFERROR(VLOOKUP($D1105&amp;"|"&amp;$E1105,科目表!$A$5:$B$200,2,FALSE),"※未登録"))</f>
        <v/>
      </c>
      <c r="P1105" s="359" t="str">
        <f>IF(OR($G1105="",$C1105=""),"",IF($B1105="決算整理",13,MOD(MONTH($C1105)-4,12)+1))</f>
        <v/>
      </c>
      <c r="Q1105" s="366" t="str">
        <f>IF($G1105="","",TRIM(IF(J1105+K1105+L1105+M1105&lt;&gt;$G1105,"按分不一致 ","")&amp;IF(O1105="※未登録","科目未登録 ","")&amp;IF(OR($H1105="",ISERROR(MATCH($H1105,{1,2,3,4,5,6,7,8},0))),"経費区分? ","")&amp;IF($I1105="","状態未設定 ","")&amp;IF(AND(OR($I1105="確認済",$I1105="未確認"),$B1105="月例",OR($C1105="",$C1105&lt;DATE(年度+2018,4,1),$C1105&gt;DATE(年度+2019,3,31))),"年度外の日付 ","")&amp;IF(AND(OR($I1105="確認済",$I1105="未確認"),O1105="対象外"),"対象外の科目 ","")))</f>
        <v/>
      </c>
      <c r="R1105" s="366" t="n"/>
    </row>
    <row r="1106">
      <c r="A1106" s="359" t="n"/>
      <c r="B1106" s="360" t="n"/>
      <c r="C1106" s="361" t="n"/>
      <c r="D1106" s="362" t="n"/>
      <c r="E1106" s="362" t="n"/>
      <c r="F1106" s="362" t="n"/>
      <c r="G1106" s="363" t="n"/>
      <c r="H1106" s="360" t="n"/>
      <c r="I1106" s="360" t="n"/>
      <c r="J1106" s="364" t="str">
        <f>IF($G1106="","",IF($H1106=1,$G1106-ROUND($G1106*10/23,0)-2*ROUND($G1106/23,0),IF($H1106=2,$G1106,0)))</f>
        <v/>
      </c>
      <c r="K1106" s="364" t="str">
        <f>IF($G1106="","",IF($H1106=1,ROUND($G1106*10/23,0),IF($H1106=3,$G1106-2*ROUND($G1106/12,0),IF($H1106=4,$G1106,IF(OR($H1106=5,$H1106=7),ROUND($G1106*10/11,0),0)))))</f>
        <v/>
      </c>
      <c r="L1106" s="364" t="str">
        <f>IF($G1106="","",IF($H1106=1,ROUND($G1106/23,0),IF($H1106=3,ROUND($G1106/12,0),IF($H1106=5,$G1106-ROUND($G1106*10/11,0),IF($H1106=8,$G1106,0)))))</f>
        <v/>
      </c>
      <c r="M1106" s="364" t="str">
        <f>IF($G1106="","",IF($H1106=1,ROUND($G1106/23,0),IF($H1106=3,ROUND($G1106/12,0),IF($H1106=6,$G1106,IF($H1106=7,$G1106-ROUND($G1106*10/11,0),0)))))</f>
        <v/>
      </c>
      <c r="N1106" s="364" t="str">
        <f>IF($G1106="","",K1106+L1106+M1106)</f>
        <v/>
      </c>
      <c r="O1106" s="365" t="str">
        <f>IF($G1106="","",IFERROR(VLOOKUP($D1106&amp;"|"&amp;$E1106,科目表!$A$5:$B$200,2,FALSE),"※未登録"))</f>
        <v/>
      </c>
      <c r="P1106" s="359" t="str">
        <f>IF(OR($G1106="",$C1106=""),"",IF($B1106="決算整理",13,MOD(MONTH($C1106)-4,12)+1))</f>
        <v/>
      </c>
      <c r="Q1106" s="366" t="str">
        <f>IF($G1106="","",TRIM(IF(J1106+K1106+L1106+M1106&lt;&gt;$G1106,"按分不一致 ","")&amp;IF(O1106="※未登録","科目未登録 ","")&amp;IF(OR($H1106="",ISERROR(MATCH($H1106,{1,2,3,4,5,6,7,8},0))),"経費区分? ","")&amp;IF($I1106="","状態未設定 ","")&amp;IF(AND(OR($I1106="確認済",$I1106="未確認"),$B1106="月例",OR($C1106="",$C1106&lt;DATE(年度+2018,4,1),$C1106&gt;DATE(年度+2019,3,31))),"年度外の日付 ","")&amp;IF(AND(OR($I1106="確認済",$I1106="未確認"),O1106="対象外"),"対象外の科目 ","")))</f>
        <v/>
      </c>
      <c r="R1106" s="366" t="n"/>
    </row>
    <row r="1107">
      <c r="A1107" s="359" t="n"/>
      <c r="B1107" s="360" t="n"/>
      <c r="C1107" s="361" t="n"/>
      <c r="D1107" s="362" t="n"/>
      <c r="E1107" s="362" t="n"/>
      <c r="F1107" s="362" t="n"/>
      <c r="G1107" s="363" t="n"/>
      <c r="H1107" s="360" t="n"/>
      <c r="I1107" s="360" t="n"/>
      <c r="J1107" s="364" t="str">
        <f>IF($G1107="","",IF($H1107=1,$G1107-ROUND($G1107*10/23,0)-2*ROUND($G1107/23,0),IF($H1107=2,$G1107,0)))</f>
        <v/>
      </c>
      <c r="K1107" s="364" t="str">
        <f>IF($G1107="","",IF($H1107=1,ROUND($G1107*10/23,0),IF($H1107=3,$G1107-2*ROUND($G1107/12,0),IF($H1107=4,$G1107,IF(OR($H1107=5,$H1107=7),ROUND($G1107*10/11,0),0)))))</f>
        <v/>
      </c>
      <c r="L1107" s="364" t="str">
        <f>IF($G1107="","",IF($H1107=1,ROUND($G1107/23,0),IF($H1107=3,ROUND($G1107/12,0),IF($H1107=5,$G1107-ROUND($G1107*10/11,0),IF($H1107=8,$G1107,0)))))</f>
        <v/>
      </c>
      <c r="M1107" s="364" t="str">
        <f>IF($G1107="","",IF($H1107=1,ROUND($G1107/23,0),IF($H1107=3,ROUND($G1107/12,0),IF($H1107=6,$G1107,IF($H1107=7,$G1107-ROUND($G1107*10/11,0),0)))))</f>
        <v/>
      </c>
      <c r="N1107" s="364" t="str">
        <f>IF($G1107="","",K1107+L1107+M1107)</f>
        <v/>
      </c>
      <c r="O1107" s="365" t="str">
        <f>IF($G1107="","",IFERROR(VLOOKUP($D1107&amp;"|"&amp;$E1107,科目表!$A$5:$B$200,2,FALSE),"※未登録"))</f>
        <v/>
      </c>
      <c r="P1107" s="359" t="str">
        <f>IF(OR($G1107="",$C1107=""),"",IF($B1107="決算整理",13,MOD(MONTH($C1107)-4,12)+1))</f>
        <v/>
      </c>
      <c r="Q1107" s="366" t="str">
        <f>IF($G1107="","",TRIM(IF(J1107+K1107+L1107+M1107&lt;&gt;$G1107,"按分不一致 ","")&amp;IF(O1107="※未登録","科目未登録 ","")&amp;IF(OR($H1107="",ISERROR(MATCH($H1107,{1,2,3,4,5,6,7,8},0))),"経費区分? ","")&amp;IF($I1107="","状態未設定 ","")&amp;IF(AND(OR($I1107="確認済",$I1107="未確認"),$B1107="月例",OR($C1107="",$C1107&lt;DATE(年度+2018,4,1),$C1107&gt;DATE(年度+2019,3,31))),"年度外の日付 ","")&amp;IF(AND(OR($I1107="確認済",$I1107="未確認"),O1107="対象外"),"対象外の科目 ","")))</f>
        <v/>
      </c>
      <c r="R1107" s="366" t="n"/>
    </row>
    <row r="1108">
      <c r="A1108" s="359" t="n"/>
      <c r="B1108" s="360" t="n"/>
      <c r="C1108" s="361" t="n"/>
      <c r="D1108" s="362" t="n"/>
      <c r="E1108" s="362" t="n"/>
      <c r="F1108" s="362" t="n"/>
      <c r="G1108" s="363" t="n"/>
      <c r="H1108" s="360" t="n"/>
      <c r="I1108" s="360" t="n"/>
      <c r="J1108" s="364" t="str">
        <f>IF($G1108="","",IF($H1108=1,$G1108-ROUND($G1108*10/23,0)-2*ROUND($G1108/23,0),IF($H1108=2,$G1108,0)))</f>
        <v/>
      </c>
      <c r="K1108" s="364" t="str">
        <f>IF($G1108="","",IF($H1108=1,ROUND($G1108*10/23,0),IF($H1108=3,$G1108-2*ROUND($G1108/12,0),IF($H1108=4,$G1108,IF(OR($H1108=5,$H1108=7),ROUND($G1108*10/11,0),0)))))</f>
        <v/>
      </c>
      <c r="L1108" s="364" t="str">
        <f>IF($G1108="","",IF($H1108=1,ROUND($G1108/23,0),IF($H1108=3,ROUND($G1108/12,0),IF($H1108=5,$G1108-ROUND($G1108*10/11,0),IF($H1108=8,$G1108,0)))))</f>
        <v/>
      </c>
      <c r="M1108" s="364" t="str">
        <f>IF($G1108="","",IF($H1108=1,ROUND($G1108/23,0),IF($H1108=3,ROUND($G1108/12,0),IF($H1108=6,$G1108,IF($H1108=7,$G1108-ROUND($G1108*10/11,0),0)))))</f>
        <v/>
      </c>
      <c r="N1108" s="364" t="str">
        <f>IF($G1108="","",K1108+L1108+M1108)</f>
        <v/>
      </c>
      <c r="O1108" s="365" t="str">
        <f>IF($G1108="","",IFERROR(VLOOKUP($D1108&amp;"|"&amp;$E1108,科目表!$A$5:$B$200,2,FALSE),"※未登録"))</f>
        <v/>
      </c>
      <c r="P1108" s="359" t="str">
        <f>IF(OR($G1108="",$C1108=""),"",IF($B1108="決算整理",13,MOD(MONTH($C1108)-4,12)+1))</f>
        <v/>
      </c>
      <c r="Q1108" s="366" t="str">
        <f>IF($G1108="","",TRIM(IF(J1108+K1108+L1108+M1108&lt;&gt;$G1108,"按分不一致 ","")&amp;IF(O1108="※未登録","科目未登録 ","")&amp;IF(OR($H1108="",ISERROR(MATCH($H1108,{1,2,3,4,5,6,7,8},0))),"経費区分? ","")&amp;IF($I1108="","状態未設定 ","")&amp;IF(AND(OR($I1108="確認済",$I1108="未確認"),$B1108="月例",OR($C1108="",$C1108&lt;DATE(年度+2018,4,1),$C1108&gt;DATE(年度+2019,3,31))),"年度外の日付 ","")&amp;IF(AND(OR($I1108="確認済",$I1108="未確認"),O1108="対象外"),"対象外の科目 ","")))</f>
        <v/>
      </c>
      <c r="R1108" s="366" t="n"/>
    </row>
    <row r="1109">
      <c r="A1109" s="359" t="n"/>
      <c r="B1109" s="360" t="n"/>
      <c r="C1109" s="361" t="n"/>
      <c r="D1109" s="362" t="n"/>
      <c r="E1109" s="362" t="n"/>
      <c r="F1109" s="362" t="n"/>
      <c r="G1109" s="363" t="n"/>
      <c r="H1109" s="360" t="n"/>
      <c r="I1109" s="360" t="n"/>
      <c r="J1109" s="364" t="str">
        <f>IF($G1109="","",IF($H1109=1,$G1109-ROUND($G1109*10/23,0)-2*ROUND($G1109/23,0),IF($H1109=2,$G1109,0)))</f>
        <v/>
      </c>
      <c r="K1109" s="364" t="str">
        <f>IF($G1109="","",IF($H1109=1,ROUND($G1109*10/23,0),IF($H1109=3,$G1109-2*ROUND($G1109/12,0),IF($H1109=4,$G1109,IF(OR($H1109=5,$H1109=7),ROUND($G1109*10/11,0),0)))))</f>
        <v/>
      </c>
      <c r="L1109" s="364" t="str">
        <f>IF($G1109="","",IF($H1109=1,ROUND($G1109/23,0),IF($H1109=3,ROUND($G1109/12,0),IF($H1109=5,$G1109-ROUND($G1109*10/11,0),IF($H1109=8,$G1109,0)))))</f>
        <v/>
      </c>
      <c r="M1109" s="364" t="str">
        <f>IF($G1109="","",IF($H1109=1,ROUND($G1109/23,0),IF($H1109=3,ROUND($G1109/12,0),IF($H1109=6,$G1109,IF($H1109=7,$G1109-ROUND($G1109*10/11,0),0)))))</f>
        <v/>
      </c>
      <c r="N1109" s="364" t="str">
        <f>IF($G1109="","",K1109+L1109+M1109)</f>
        <v/>
      </c>
      <c r="O1109" s="365" t="str">
        <f>IF($G1109="","",IFERROR(VLOOKUP($D1109&amp;"|"&amp;$E1109,科目表!$A$5:$B$200,2,FALSE),"※未登録"))</f>
        <v/>
      </c>
      <c r="P1109" s="359" t="str">
        <f>IF(OR($G1109="",$C1109=""),"",IF($B1109="決算整理",13,MOD(MONTH($C1109)-4,12)+1))</f>
        <v/>
      </c>
      <c r="Q1109" s="366" t="str">
        <f>IF($G1109="","",TRIM(IF(J1109+K1109+L1109+M1109&lt;&gt;$G1109,"按分不一致 ","")&amp;IF(O1109="※未登録","科目未登録 ","")&amp;IF(OR($H1109="",ISERROR(MATCH($H1109,{1,2,3,4,5,6,7,8},0))),"経費区分? ","")&amp;IF($I1109="","状態未設定 ","")&amp;IF(AND(OR($I1109="確認済",$I1109="未確認"),$B1109="月例",OR($C1109="",$C1109&lt;DATE(年度+2018,4,1),$C1109&gt;DATE(年度+2019,3,31))),"年度外の日付 ","")&amp;IF(AND(OR($I1109="確認済",$I1109="未確認"),O1109="対象外"),"対象外の科目 ","")))</f>
        <v/>
      </c>
      <c r="R1109" s="366" t="n"/>
    </row>
    <row r="1110">
      <c r="A1110" s="359" t="n"/>
      <c r="B1110" s="360" t="n"/>
      <c r="C1110" s="361" t="n"/>
      <c r="D1110" s="362" t="n"/>
      <c r="E1110" s="362" t="n"/>
      <c r="F1110" s="362" t="n"/>
      <c r="G1110" s="363" t="n"/>
      <c r="H1110" s="360" t="n"/>
      <c r="I1110" s="360" t="n"/>
      <c r="J1110" s="364" t="str">
        <f>IF($G1110="","",IF($H1110=1,$G1110-ROUND($G1110*10/23,0)-2*ROUND($G1110/23,0),IF($H1110=2,$G1110,0)))</f>
        <v/>
      </c>
      <c r="K1110" s="364" t="str">
        <f>IF($G1110="","",IF($H1110=1,ROUND($G1110*10/23,0),IF($H1110=3,$G1110-2*ROUND($G1110/12,0),IF($H1110=4,$G1110,IF(OR($H1110=5,$H1110=7),ROUND($G1110*10/11,0),0)))))</f>
        <v/>
      </c>
      <c r="L1110" s="364" t="str">
        <f>IF($G1110="","",IF($H1110=1,ROUND($G1110/23,0),IF($H1110=3,ROUND($G1110/12,0),IF($H1110=5,$G1110-ROUND($G1110*10/11,0),IF($H1110=8,$G1110,0)))))</f>
        <v/>
      </c>
      <c r="M1110" s="364" t="str">
        <f>IF($G1110="","",IF($H1110=1,ROUND($G1110/23,0),IF($H1110=3,ROUND($G1110/12,0),IF($H1110=6,$G1110,IF($H1110=7,$G1110-ROUND($G1110*10/11,0),0)))))</f>
        <v/>
      </c>
      <c r="N1110" s="364" t="str">
        <f>IF($G1110="","",K1110+L1110+M1110)</f>
        <v/>
      </c>
      <c r="O1110" s="365" t="str">
        <f>IF($G1110="","",IFERROR(VLOOKUP($D1110&amp;"|"&amp;$E1110,科目表!$A$5:$B$200,2,FALSE),"※未登録"))</f>
        <v/>
      </c>
      <c r="P1110" s="359" t="str">
        <f>IF(OR($G1110="",$C1110=""),"",IF($B1110="決算整理",13,MOD(MONTH($C1110)-4,12)+1))</f>
        <v/>
      </c>
      <c r="Q1110" s="366" t="str">
        <f>IF($G1110="","",TRIM(IF(J1110+K1110+L1110+M1110&lt;&gt;$G1110,"按分不一致 ","")&amp;IF(O1110="※未登録","科目未登録 ","")&amp;IF(OR($H1110="",ISERROR(MATCH($H1110,{1,2,3,4,5,6,7,8},0))),"経費区分? ","")&amp;IF($I1110="","状態未設定 ","")&amp;IF(AND(OR($I1110="確認済",$I1110="未確認"),$B1110="月例",OR($C1110="",$C1110&lt;DATE(年度+2018,4,1),$C1110&gt;DATE(年度+2019,3,31))),"年度外の日付 ","")&amp;IF(AND(OR($I1110="確認済",$I1110="未確認"),O1110="対象外"),"対象外の科目 ","")))</f>
        <v/>
      </c>
      <c r="R1110" s="366" t="n"/>
    </row>
    <row r="1111">
      <c r="A1111" s="359" t="n"/>
      <c r="B1111" s="360" t="n"/>
      <c r="C1111" s="361" t="n"/>
      <c r="D1111" s="362" t="n"/>
      <c r="E1111" s="362" t="n"/>
      <c r="F1111" s="362" t="n"/>
      <c r="G1111" s="363" t="n"/>
      <c r="H1111" s="360" t="n"/>
      <c r="I1111" s="360" t="n"/>
      <c r="J1111" s="364" t="str">
        <f>IF($G1111="","",IF($H1111=1,$G1111-ROUND($G1111*10/23,0)-2*ROUND($G1111/23,0),IF($H1111=2,$G1111,0)))</f>
        <v/>
      </c>
      <c r="K1111" s="364" t="str">
        <f>IF($G1111="","",IF($H1111=1,ROUND($G1111*10/23,0),IF($H1111=3,$G1111-2*ROUND($G1111/12,0),IF($H1111=4,$G1111,IF(OR($H1111=5,$H1111=7),ROUND($G1111*10/11,0),0)))))</f>
        <v/>
      </c>
      <c r="L1111" s="364" t="str">
        <f>IF($G1111="","",IF($H1111=1,ROUND($G1111/23,0),IF($H1111=3,ROUND($G1111/12,0),IF($H1111=5,$G1111-ROUND($G1111*10/11,0),IF($H1111=8,$G1111,0)))))</f>
        <v/>
      </c>
      <c r="M1111" s="364" t="str">
        <f>IF($G1111="","",IF($H1111=1,ROUND($G1111/23,0),IF($H1111=3,ROUND($G1111/12,0),IF($H1111=6,$G1111,IF($H1111=7,$G1111-ROUND($G1111*10/11,0),0)))))</f>
        <v/>
      </c>
      <c r="N1111" s="364" t="str">
        <f>IF($G1111="","",K1111+L1111+M1111)</f>
        <v/>
      </c>
      <c r="O1111" s="365" t="str">
        <f>IF($G1111="","",IFERROR(VLOOKUP($D1111&amp;"|"&amp;$E1111,科目表!$A$5:$B$200,2,FALSE),"※未登録"))</f>
        <v/>
      </c>
      <c r="P1111" s="359" t="str">
        <f>IF(OR($G1111="",$C1111=""),"",IF($B1111="決算整理",13,MOD(MONTH($C1111)-4,12)+1))</f>
        <v/>
      </c>
      <c r="Q1111" s="366" t="str">
        <f>IF($G1111="","",TRIM(IF(J1111+K1111+L1111+M1111&lt;&gt;$G1111,"按分不一致 ","")&amp;IF(O1111="※未登録","科目未登録 ","")&amp;IF(OR($H1111="",ISERROR(MATCH($H1111,{1,2,3,4,5,6,7,8},0))),"経費区分? ","")&amp;IF($I1111="","状態未設定 ","")&amp;IF(AND(OR($I1111="確認済",$I1111="未確認"),$B1111="月例",OR($C1111="",$C1111&lt;DATE(年度+2018,4,1),$C1111&gt;DATE(年度+2019,3,31))),"年度外の日付 ","")&amp;IF(AND(OR($I1111="確認済",$I1111="未確認"),O1111="対象外"),"対象外の科目 ","")))</f>
        <v/>
      </c>
      <c r="R1111" s="366" t="n"/>
    </row>
    <row r="1112">
      <c r="A1112" s="359" t="n"/>
      <c r="B1112" s="360" t="n"/>
      <c r="C1112" s="361" t="n"/>
      <c r="D1112" s="362" t="n"/>
      <c r="E1112" s="362" t="n"/>
      <c r="F1112" s="362" t="n"/>
      <c r="G1112" s="363" t="n"/>
      <c r="H1112" s="360" t="n"/>
      <c r="I1112" s="360" t="n"/>
      <c r="J1112" s="364" t="str">
        <f>IF($G1112="","",IF($H1112=1,$G1112-ROUND($G1112*10/23,0)-2*ROUND($G1112/23,0),IF($H1112=2,$G1112,0)))</f>
        <v/>
      </c>
      <c r="K1112" s="364" t="str">
        <f>IF($G1112="","",IF($H1112=1,ROUND($G1112*10/23,0),IF($H1112=3,$G1112-2*ROUND($G1112/12,0),IF($H1112=4,$G1112,IF(OR($H1112=5,$H1112=7),ROUND($G1112*10/11,0),0)))))</f>
        <v/>
      </c>
      <c r="L1112" s="364" t="str">
        <f>IF($G1112="","",IF($H1112=1,ROUND($G1112/23,0),IF($H1112=3,ROUND($G1112/12,0),IF($H1112=5,$G1112-ROUND($G1112*10/11,0),IF($H1112=8,$G1112,0)))))</f>
        <v/>
      </c>
      <c r="M1112" s="364" t="str">
        <f>IF($G1112="","",IF($H1112=1,ROUND($G1112/23,0),IF($H1112=3,ROUND($G1112/12,0),IF($H1112=6,$G1112,IF($H1112=7,$G1112-ROUND($G1112*10/11,0),0)))))</f>
        <v/>
      </c>
      <c r="N1112" s="364" t="str">
        <f>IF($G1112="","",K1112+L1112+M1112)</f>
        <v/>
      </c>
      <c r="O1112" s="365" t="str">
        <f>IF($G1112="","",IFERROR(VLOOKUP($D1112&amp;"|"&amp;$E1112,科目表!$A$5:$B$200,2,FALSE),"※未登録"))</f>
        <v/>
      </c>
      <c r="P1112" s="359" t="str">
        <f>IF(OR($G1112="",$C1112=""),"",IF($B1112="決算整理",13,MOD(MONTH($C1112)-4,12)+1))</f>
        <v/>
      </c>
      <c r="Q1112" s="366" t="str">
        <f>IF($G1112="","",TRIM(IF(J1112+K1112+L1112+M1112&lt;&gt;$G1112,"按分不一致 ","")&amp;IF(O1112="※未登録","科目未登録 ","")&amp;IF(OR($H1112="",ISERROR(MATCH($H1112,{1,2,3,4,5,6,7,8},0))),"経費区分? ","")&amp;IF($I1112="","状態未設定 ","")&amp;IF(AND(OR($I1112="確認済",$I1112="未確認"),$B1112="月例",OR($C1112="",$C1112&lt;DATE(年度+2018,4,1),$C1112&gt;DATE(年度+2019,3,31))),"年度外の日付 ","")&amp;IF(AND(OR($I1112="確認済",$I1112="未確認"),O1112="対象外"),"対象外の科目 ","")))</f>
        <v/>
      </c>
      <c r="R1112" s="366" t="n"/>
    </row>
    <row r="1113">
      <c r="A1113" s="359" t="n"/>
      <c r="B1113" s="360" t="n"/>
      <c r="C1113" s="361" t="n"/>
      <c r="D1113" s="362" t="n"/>
      <c r="E1113" s="362" t="n"/>
      <c r="F1113" s="362" t="n"/>
      <c r="G1113" s="363" t="n"/>
      <c r="H1113" s="360" t="n"/>
      <c r="I1113" s="360" t="n"/>
      <c r="J1113" s="364" t="str">
        <f>IF($G1113="","",IF($H1113=1,$G1113-ROUND($G1113*10/23,0)-2*ROUND($G1113/23,0),IF($H1113=2,$G1113,0)))</f>
        <v/>
      </c>
      <c r="K1113" s="364" t="str">
        <f>IF($G1113="","",IF($H1113=1,ROUND($G1113*10/23,0),IF($H1113=3,$G1113-2*ROUND($G1113/12,0),IF($H1113=4,$G1113,IF(OR($H1113=5,$H1113=7),ROUND($G1113*10/11,0),0)))))</f>
        <v/>
      </c>
      <c r="L1113" s="364" t="str">
        <f>IF($G1113="","",IF($H1113=1,ROUND($G1113/23,0),IF($H1113=3,ROUND($G1113/12,0),IF($H1113=5,$G1113-ROUND($G1113*10/11,0),IF($H1113=8,$G1113,0)))))</f>
        <v/>
      </c>
      <c r="M1113" s="364" t="str">
        <f>IF($G1113="","",IF($H1113=1,ROUND($G1113/23,0),IF($H1113=3,ROUND($G1113/12,0),IF($H1113=6,$G1113,IF($H1113=7,$G1113-ROUND($G1113*10/11,0),0)))))</f>
        <v/>
      </c>
      <c r="N1113" s="364" t="str">
        <f>IF($G1113="","",K1113+L1113+M1113)</f>
        <v/>
      </c>
      <c r="O1113" s="365" t="str">
        <f>IF($G1113="","",IFERROR(VLOOKUP($D1113&amp;"|"&amp;$E1113,科目表!$A$5:$B$200,2,FALSE),"※未登録"))</f>
        <v/>
      </c>
      <c r="P1113" s="359" t="str">
        <f>IF(OR($G1113="",$C1113=""),"",IF($B1113="決算整理",13,MOD(MONTH($C1113)-4,12)+1))</f>
        <v/>
      </c>
      <c r="Q1113" s="366" t="str">
        <f>IF($G1113="","",TRIM(IF(J1113+K1113+L1113+M1113&lt;&gt;$G1113,"按分不一致 ","")&amp;IF(O1113="※未登録","科目未登録 ","")&amp;IF(OR($H1113="",ISERROR(MATCH($H1113,{1,2,3,4,5,6,7,8},0))),"経費区分? ","")&amp;IF($I1113="","状態未設定 ","")&amp;IF(AND(OR($I1113="確認済",$I1113="未確認"),$B1113="月例",OR($C1113="",$C1113&lt;DATE(年度+2018,4,1),$C1113&gt;DATE(年度+2019,3,31))),"年度外の日付 ","")&amp;IF(AND(OR($I1113="確認済",$I1113="未確認"),O1113="対象外"),"対象外の科目 ","")))</f>
        <v/>
      </c>
      <c r="R1113" s="366" t="n"/>
    </row>
    <row r="1114">
      <c r="A1114" s="359" t="n"/>
      <c r="B1114" s="360" t="n"/>
      <c r="C1114" s="361" t="n"/>
      <c r="D1114" s="362" t="n"/>
      <c r="E1114" s="362" t="n"/>
      <c r="F1114" s="362" t="n"/>
      <c r="G1114" s="363" t="n"/>
      <c r="H1114" s="360" t="n"/>
      <c r="I1114" s="360" t="n"/>
      <c r="J1114" s="364" t="str">
        <f>IF($G1114="","",IF($H1114=1,$G1114-ROUND($G1114*10/23,0)-2*ROUND($G1114/23,0),IF($H1114=2,$G1114,0)))</f>
        <v/>
      </c>
      <c r="K1114" s="364" t="str">
        <f>IF($G1114="","",IF($H1114=1,ROUND($G1114*10/23,0),IF($H1114=3,$G1114-2*ROUND($G1114/12,0),IF($H1114=4,$G1114,IF(OR($H1114=5,$H1114=7),ROUND($G1114*10/11,0),0)))))</f>
        <v/>
      </c>
      <c r="L1114" s="364" t="str">
        <f>IF($G1114="","",IF($H1114=1,ROUND($G1114/23,0),IF($H1114=3,ROUND($G1114/12,0),IF($H1114=5,$G1114-ROUND($G1114*10/11,0),IF($H1114=8,$G1114,0)))))</f>
        <v/>
      </c>
      <c r="M1114" s="364" t="str">
        <f>IF($G1114="","",IF($H1114=1,ROUND($G1114/23,0),IF($H1114=3,ROUND($G1114/12,0),IF($H1114=6,$G1114,IF($H1114=7,$G1114-ROUND($G1114*10/11,0),0)))))</f>
        <v/>
      </c>
      <c r="N1114" s="364" t="str">
        <f>IF($G1114="","",K1114+L1114+M1114)</f>
        <v/>
      </c>
      <c r="O1114" s="365" t="str">
        <f>IF($G1114="","",IFERROR(VLOOKUP($D1114&amp;"|"&amp;$E1114,科目表!$A$5:$B$200,2,FALSE),"※未登録"))</f>
        <v/>
      </c>
      <c r="P1114" s="359" t="str">
        <f>IF(OR($G1114="",$C1114=""),"",IF($B1114="決算整理",13,MOD(MONTH($C1114)-4,12)+1))</f>
        <v/>
      </c>
      <c r="Q1114" s="366" t="str">
        <f>IF($G1114="","",TRIM(IF(J1114+K1114+L1114+M1114&lt;&gt;$G1114,"按分不一致 ","")&amp;IF(O1114="※未登録","科目未登録 ","")&amp;IF(OR($H1114="",ISERROR(MATCH($H1114,{1,2,3,4,5,6,7,8},0))),"経費区分? ","")&amp;IF($I1114="","状態未設定 ","")&amp;IF(AND(OR($I1114="確認済",$I1114="未確認"),$B1114="月例",OR($C1114="",$C1114&lt;DATE(年度+2018,4,1),$C1114&gt;DATE(年度+2019,3,31))),"年度外の日付 ","")&amp;IF(AND(OR($I1114="確認済",$I1114="未確認"),O1114="対象外"),"対象外の科目 ","")))</f>
        <v/>
      </c>
      <c r="R1114" s="366" t="n"/>
    </row>
    <row r="1115">
      <c r="A1115" s="359" t="n"/>
      <c r="B1115" s="360" t="n"/>
      <c r="C1115" s="361" t="n"/>
      <c r="D1115" s="362" t="n"/>
      <c r="E1115" s="362" t="n"/>
      <c r="F1115" s="362" t="n"/>
      <c r="G1115" s="363" t="n"/>
      <c r="H1115" s="360" t="n"/>
      <c r="I1115" s="360" t="n"/>
      <c r="J1115" s="364" t="str">
        <f>IF($G1115="","",IF($H1115=1,$G1115-ROUND($G1115*10/23,0)-2*ROUND($G1115/23,0),IF($H1115=2,$G1115,0)))</f>
        <v/>
      </c>
      <c r="K1115" s="364" t="str">
        <f>IF($G1115="","",IF($H1115=1,ROUND($G1115*10/23,0),IF($H1115=3,$G1115-2*ROUND($G1115/12,0),IF($H1115=4,$G1115,IF(OR($H1115=5,$H1115=7),ROUND($G1115*10/11,0),0)))))</f>
        <v/>
      </c>
      <c r="L1115" s="364" t="str">
        <f>IF($G1115="","",IF($H1115=1,ROUND($G1115/23,0),IF($H1115=3,ROUND($G1115/12,0),IF($H1115=5,$G1115-ROUND($G1115*10/11,0),IF($H1115=8,$G1115,0)))))</f>
        <v/>
      </c>
      <c r="M1115" s="364" t="str">
        <f>IF($G1115="","",IF($H1115=1,ROUND($G1115/23,0),IF($H1115=3,ROUND($G1115/12,0),IF($H1115=6,$G1115,IF($H1115=7,$G1115-ROUND($G1115*10/11,0),0)))))</f>
        <v/>
      </c>
      <c r="N1115" s="364" t="str">
        <f>IF($G1115="","",K1115+L1115+M1115)</f>
        <v/>
      </c>
      <c r="O1115" s="365" t="str">
        <f>IF($G1115="","",IFERROR(VLOOKUP($D1115&amp;"|"&amp;$E1115,科目表!$A$5:$B$200,2,FALSE),"※未登録"))</f>
        <v/>
      </c>
      <c r="P1115" s="359" t="str">
        <f>IF(OR($G1115="",$C1115=""),"",IF($B1115="決算整理",13,MOD(MONTH($C1115)-4,12)+1))</f>
        <v/>
      </c>
      <c r="Q1115" s="366" t="str">
        <f>IF($G1115="","",TRIM(IF(J1115+K1115+L1115+M1115&lt;&gt;$G1115,"按分不一致 ","")&amp;IF(O1115="※未登録","科目未登録 ","")&amp;IF(OR($H1115="",ISERROR(MATCH($H1115,{1,2,3,4,5,6,7,8},0))),"経費区分? ","")&amp;IF($I1115="","状態未設定 ","")&amp;IF(AND(OR($I1115="確認済",$I1115="未確認"),$B1115="月例",OR($C1115="",$C1115&lt;DATE(年度+2018,4,1),$C1115&gt;DATE(年度+2019,3,31))),"年度外の日付 ","")&amp;IF(AND(OR($I1115="確認済",$I1115="未確認"),O1115="対象外"),"対象外の科目 ","")))</f>
        <v/>
      </c>
      <c r="R1115" s="366" t="n"/>
    </row>
    <row r="1116">
      <c r="A1116" s="359" t="n"/>
      <c r="B1116" s="360" t="n"/>
      <c r="C1116" s="361" t="n"/>
      <c r="D1116" s="362" t="n"/>
      <c r="E1116" s="362" t="n"/>
      <c r="F1116" s="362" t="n"/>
      <c r="G1116" s="363" t="n"/>
      <c r="H1116" s="360" t="n"/>
      <c r="I1116" s="360" t="n"/>
      <c r="J1116" s="364" t="str">
        <f>IF($G1116="","",IF($H1116=1,$G1116-ROUND($G1116*10/23,0)-2*ROUND($G1116/23,0),IF($H1116=2,$G1116,0)))</f>
        <v/>
      </c>
      <c r="K1116" s="364" t="str">
        <f>IF($G1116="","",IF($H1116=1,ROUND($G1116*10/23,0),IF($H1116=3,$G1116-2*ROUND($G1116/12,0),IF($H1116=4,$G1116,IF(OR($H1116=5,$H1116=7),ROUND($G1116*10/11,0),0)))))</f>
        <v/>
      </c>
      <c r="L1116" s="364" t="str">
        <f>IF($G1116="","",IF($H1116=1,ROUND($G1116/23,0),IF($H1116=3,ROUND($G1116/12,0),IF($H1116=5,$G1116-ROUND($G1116*10/11,0),IF($H1116=8,$G1116,0)))))</f>
        <v/>
      </c>
      <c r="M1116" s="364" t="str">
        <f>IF($G1116="","",IF($H1116=1,ROUND($G1116/23,0),IF($H1116=3,ROUND($G1116/12,0),IF($H1116=6,$G1116,IF($H1116=7,$G1116-ROUND($G1116*10/11,0),0)))))</f>
        <v/>
      </c>
      <c r="N1116" s="364" t="str">
        <f>IF($G1116="","",K1116+L1116+M1116)</f>
        <v/>
      </c>
      <c r="O1116" s="365" t="str">
        <f>IF($G1116="","",IFERROR(VLOOKUP($D1116&amp;"|"&amp;$E1116,科目表!$A$5:$B$200,2,FALSE),"※未登録"))</f>
        <v/>
      </c>
      <c r="P1116" s="359" t="str">
        <f>IF(OR($G1116="",$C1116=""),"",IF($B1116="決算整理",13,MOD(MONTH($C1116)-4,12)+1))</f>
        <v/>
      </c>
      <c r="Q1116" s="366" t="str">
        <f>IF($G1116="","",TRIM(IF(J1116+K1116+L1116+M1116&lt;&gt;$G1116,"按分不一致 ","")&amp;IF(O1116="※未登録","科目未登録 ","")&amp;IF(OR($H1116="",ISERROR(MATCH($H1116,{1,2,3,4,5,6,7,8},0))),"経費区分? ","")&amp;IF($I1116="","状態未設定 ","")&amp;IF(AND(OR($I1116="確認済",$I1116="未確認"),$B1116="月例",OR($C1116="",$C1116&lt;DATE(年度+2018,4,1),$C1116&gt;DATE(年度+2019,3,31))),"年度外の日付 ","")&amp;IF(AND(OR($I1116="確認済",$I1116="未確認"),O1116="対象外"),"対象外の科目 ","")))</f>
        <v/>
      </c>
      <c r="R1116" s="366" t="n"/>
    </row>
    <row r="1117">
      <c r="A1117" s="359" t="n"/>
      <c r="B1117" s="360" t="n"/>
      <c r="C1117" s="361" t="n"/>
      <c r="D1117" s="362" t="n"/>
      <c r="E1117" s="362" t="n"/>
      <c r="F1117" s="362" t="n"/>
      <c r="G1117" s="363" t="n"/>
      <c r="H1117" s="360" t="n"/>
      <c r="I1117" s="360" t="n"/>
      <c r="J1117" s="364" t="str">
        <f>IF($G1117="","",IF($H1117=1,$G1117-ROUND($G1117*10/23,0)-2*ROUND($G1117/23,0),IF($H1117=2,$G1117,0)))</f>
        <v/>
      </c>
      <c r="K1117" s="364" t="str">
        <f>IF($G1117="","",IF($H1117=1,ROUND($G1117*10/23,0),IF($H1117=3,$G1117-2*ROUND($G1117/12,0),IF($H1117=4,$G1117,IF(OR($H1117=5,$H1117=7),ROUND($G1117*10/11,0),0)))))</f>
        <v/>
      </c>
      <c r="L1117" s="364" t="str">
        <f>IF($G1117="","",IF($H1117=1,ROUND($G1117/23,0),IF($H1117=3,ROUND($G1117/12,0),IF($H1117=5,$G1117-ROUND($G1117*10/11,0),IF($H1117=8,$G1117,0)))))</f>
        <v/>
      </c>
      <c r="M1117" s="364" t="str">
        <f>IF($G1117="","",IF($H1117=1,ROUND($G1117/23,0),IF($H1117=3,ROUND($G1117/12,0),IF($H1117=6,$G1117,IF($H1117=7,$G1117-ROUND($G1117*10/11,0),0)))))</f>
        <v/>
      </c>
      <c r="N1117" s="364" t="str">
        <f>IF($G1117="","",K1117+L1117+M1117)</f>
        <v/>
      </c>
      <c r="O1117" s="365" t="str">
        <f>IF($G1117="","",IFERROR(VLOOKUP($D1117&amp;"|"&amp;$E1117,科目表!$A$5:$B$200,2,FALSE),"※未登録"))</f>
        <v/>
      </c>
      <c r="P1117" s="359" t="str">
        <f>IF(OR($G1117="",$C1117=""),"",IF($B1117="決算整理",13,MOD(MONTH($C1117)-4,12)+1))</f>
        <v/>
      </c>
      <c r="Q1117" s="366" t="str">
        <f>IF($G1117="","",TRIM(IF(J1117+K1117+L1117+M1117&lt;&gt;$G1117,"按分不一致 ","")&amp;IF(O1117="※未登録","科目未登録 ","")&amp;IF(OR($H1117="",ISERROR(MATCH($H1117,{1,2,3,4,5,6,7,8},0))),"経費区分? ","")&amp;IF($I1117="","状態未設定 ","")&amp;IF(AND(OR($I1117="確認済",$I1117="未確認"),$B1117="月例",OR($C1117="",$C1117&lt;DATE(年度+2018,4,1),$C1117&gt;DATE(年度+2019,3,31))),"年度外の日付 ","")&amp;IF(AND(OR($I1117="確認済",$I1117="未確認"),O1117="対象外"),"対象外の科目 ","")))</f>
        <v/>
      </c>
      <c r="R1117" s="366" t="n"/>
    </row>
    <row r="1118">
      <c r="A1118" s="359" t="n"/>
      <c r="B1118" s="360" t="n"/>
      <c r="C1118" s="361" t="n"/>
      <c r="D1118" s="362" t="n"/>
      <c r="E1118" s="362" t="n"/>
      <c r="F1118" s="362" t="n"/>
      <c r="G1118" s="363" t="n"/>
      <c r="H1118" s="360" t="n"/>
      <c r="I1118" s="360" t="n"/>
      <c r="J1118" s="364" t="str">
        <f>IF($G1118="","",IF($H1118=1,$G1118-ROUND($G1118*10/23,0)-2*ROUND($G1118/23,0),IF($H1118=2,$G1118,0)))</f>
        <v/>
      </c>
      <c r="K1118" s="364" t="str">
        <f>IF($G1118="","",IF($H1118=1,ROUND($G1118*10/23,0),IF($H1118=3,$G1118-2*ROUND($G1118/12,0),IF($H1118=4,$G1118,IF(OR($H1118=5,$H1118=7),ROUND($G1118*10/11,0),0)))))</f>
        <v/>
      </c>
      <c r="L1118" s="364" t="str">
        <f>IF($G1118="","",IF($H1118=1,ROUND($G1118/23,0),IF($H1118=3,ROUND($G1118/12,0),IF($H1118=5,$G1118-ROUND($G1118*10/11,0),IF($H1118=8,$G1118,0)))))</f>
        <v/>
      </c>
      <c r="M1118" s="364" t="str">
        <f>IF($G1118="","",IF($H1118=1,ROUND($G1118/23,0),IF($H1118=3,ROUND($G1118/12,0),IF($H1118=6,$G1118,IF($H1118=7,$G1118-ROUND($G1118*10/11,0),0)))))</f>
        <v/>
      </c>
      <c r="N1118" s="364" t="str">
        <f>IF($G1118="","",K1118+L1118+M1118)</f>
        <v/>
      </c>
      <c r="O1118" s="365" t="str">
        <f>IF($G1118="","",IFERROR(VLOOKUP($D1118&amp;"|"&amp;$E1118,科目表!$A$5:$B$200,2,FALSE),"※未登録"))</f>
        <v/>
      </c>
      <c r="P1118" s="359" t="str">
        <f>IF(OR($G1118="",$C1118=""),"",IF($B1118="決算整理",13,MOD(MONTH($C1118)-4,12)+1))</f>
        <v/>
      </c>
      <c r="Q1118" s="366" t="str">
        <f>IF($G1118="","",TRIM(IF(J1118+K1118+L1118+M1118&lt;&gt;$G1118,"按分不一致 ","")&amp;IF(O1118="※未登録","科目未登録 ","")&amp;IF(OR($H1118="",ISERROR(MATCH($H1118,{1,2,3,4,5,6,7,8},0))),"経費区分? ","")&amp;IF($I1118="","状態未設定 ","")&amp;IF(AND(OR($I1118="確認済",$I1118="未確認"),$B1118="月例",OR($C1118="",$C1118&lt;DATE(年度+2018,4,1),$C1118&gt;DATE(年度+2019,3,31))),"年度外の日付 ","")&amp;IF(AND(OR($I1118="確認済",$I1118="未確認"),O1118="対象外"),"対象外の科目 ","")))</f>
        <v/>
      </c>
      <c r="R1118" s="366" t="n"/>
    </row>
    <row r="1119">
      <c r="A1119" s="359" t="n"/>
      <c r="B1119" s="360" t="n"/>
      <c r="C1119" s="361" t="n"/>
      <c r="D1119" s="362" t="n"/>
      <c r="E1119" s="362" t="n"/>
      <c r="F1119" s="362" t="n"/>
      <c r="G1119" s="363" t="n"/>
      <c r="H1119" s="360" t="n"/>
      <c r="I1119" s="360" t="n"/>
      <c r="J1119" s="364" t="str">
        <f>IF($G1119="","",IF($H1119=1,$G1119-ROUND($G1119*10/23,0)-2*ROUND($G1119/23,0),IF($H1119=2,$G1119,0)))</f>
        <v/>
      </c>
      <c r="K1119" s="364" t="str">
        <f>IF($G1119="","",IF($H1119=1,ROUND($G1119*10/23,0),IF($H1119=3,$G1119-2*ROUND($G1119/12,0),IF($H1119=4,$G1119,IF(OR($H1119=5,$H1119=7),ROUND($G1119*10/11,0),0)))))</f>
        <v/>
      </c>
      <c r="L1119" s="364" t="str">
        <f>IF($G1119="","",IF($H1119=1,ROUND($G1119/23,0),IF($H1119=3,ROUND($G1119/12,0),IF($H1119=5,$G1119-ROUND($G1119*10/11,0),IF($H1119=8,$G1119,0)))))</f>
        <v/>
      </c>
      <c r="M1119" s="364" t="str">
        <f>IF($G1119="","",IF($H1119=1,ROUND($G1119/23,0),IF($H1119=3,ROUND($G1119/12,0),IF($H1119=6,$G1119,IF($H1119=7,$G1119-ROUND($G1119*10/11,0),0)))))</f>
        <v/>
      </c>
      <c r="N1119" s="364" t="str">
        <f>IF($G1119="","",K1119+L1119+M1119)</f>
        <v/>
      </c>
      <c r="O1119" s="365" t="str">
        <f>IF($G1119="","",IFERROR(VLOOKUP($D1119&amp;"|"&amp;$E1119,科目表!$A$5:$B$200,2,FALSE),"※未登録"))</f>
        <v/>
      </c>
      <c r="P1119" s="359" t="str">
        <f>IF(OR($G1119="",$C1119=""),"",IF($B1119="決算整理",13,MOD(MONTH($C1119)-4,12)+1))</f>
        <v/>
      </c>
      <c r="Q1119" s="366" t="str">
        <f>IF($G1119="","",TRIM(IF(J1119+K1119+L1119+M1119&lt;&gt;$G1119,"按分不一致 ","")&amp;IF(O1119="※未登録","科目未登録 ","")&amp;IF(OR($H1119="",ISERROR(MATCH($H1119,{1,2,3,4,5,6,7,8},0))),"経費区分? ","")&amp;IF($I1119="","状態未設定 ","")&amp;IF(AND(OR($I1119="確認済",$I1119="未確認"),$B1119="月例",OR($C1119="",$C1119&lt;DATE(年度+2018,4,1),$C1119&gt;DATE(年度+2019,3,31))),"年度外の日付 ","")&amp;IF(AND(OR($I1119="確認済",$I1119="未確認"),O1119="対象外"),"対象外の科目 ","")))</f>
        <v/>
      </c>
      <c r="R1119" s="366" t="n"/>
    </row>
    <row r="1120">
      <c r="A1120" s="359" t="n"/>
      <c r="B1120" s="360" t="n"/>
      <c r="C1120" s="361" t="n"/>
      <c r="D1120" s="362" t="n"/>
      <c r="E1120" s="362" t="n"/>
      <c r="F1120" s="362" t="n"/>
      <c r="G1120" s="363" t="n"/>
      <c r="H1120" s="360" t="n"/>
      <c r="I1120" s="360" t="n"/>
      <c r="J1120" s="364" t="str">
        <f>IF($G1120="","",IF($H1120=1,$G1120-ROUND($G1120*10/23,0)-2*ROUND($G1120/23,0),IF($H1120=2,$G1120,0)))</f>
        <v/>
      </c>
      <c r="K1120" s="364" t="str">
        <f>IF($G1120="","",IF($H1120=1,ROUND($G1120*10/23,0),IF($H1120=3,$G1120-2*ROUND($G1120/12,0),IF($H1120=4,$G1120,IF(OR($H1120=5,$H1120=7),ROUND($G1120*10/11,0),0)))))</f>
        <v/>
      </c>
      <c r="L1120" s="364" t="str">
        <f>IF($G1120="","",IF($H1120=1,ROUND($G1120/23,0),IF($H1120=3,ROUND($G1120/12,0),IF($H1120=5,$G1120-ROUND($G1120*10/11,0),IF($H1120=8,$G1120,0)))))</f>
        <v/>
      </c>
      <c r="M1120" s="364" t="str">
        <f>IF($G1120="","",IF($H1120=1,ROUND($G1120/23,0),IF($H1120=3,ROUND($G1120/12,0),IF($H1120=6,$G1120,IF($H1120=7,$G1120-ROUND($G1120*10/11,0),0)))))</f>
        <v/>
      </c>
      <c r="N1120" s="364" t="str">
        <f>IF($G1120="","",K1120+L1120+M1120)</f>
        <v/>
      </c>
      <c r="O1120" s="365" t="str">
        <f>IF($G1120="","",IFERROR(VLOOKUP($D1120&amp;"|"&amp;$E1120,科目表!$A$5:$B$200,2,FALSE),"※未登録"))</f>
        <v/>
      </c>
      <c r="P1120" s="359" t="str">
        <f>IF(OR($G1120="",$C1120=""),"",IF($B1120="決算整理",13,MOD(MONTH($C1120)-4,12)+1))</f>
        <v/>
      </c>
      <c r="Q1120" s="366" t="str">
        <f>IF($G1120="","",TRIM(IF(J1120+K1120+L1120+M1120&lt;&gt;$G1120,"按分不一致 ","")&amp;IF(O1120="※未登録","科目未登録 ","")&amp;IF(OR($H1120="",ISERROR(MATCH($H1120,{1,2,3,4,5,6,7,8},0))),"経費区分? ","")&amp;IF($I1120="","状態未設定 ","")&amp;IF(AND(OR($I1120="確認済",$I1120="未確認"),$B1120="月例",OR($C1120="",$C1120&lt;DATE(年度+2018,4,1),$C1120&gt;DATE(年度+2019,3,31))),"年度外の日付 ","")&amp;IF(AND(OR($I1120="確認済",$I1120="未確認"),O1120="対象外"),"対象外の科目 ","")))</f>
        <v/>
      </c>
      <c r="R1120" s="366" t="n"/>
    </row>
    <row r="1121">
      <c r="A1121" s="359" t="n"/>
      <c r="B1121" s="360" t="n"/>
      <c r="C1121" s="361" t="n"/>
      <c r="D1121" s="362" t="n"/>
      <c r="E1121" s="362" t="n"/>
      <c r="F1121" s="362" t="n"/>
      <c r="G1121" s="363" t="n"/>
      <c r="H1121" s="360" t="n"/>
      <c r="I1121" s="360" t="n"/>
      <c r="J1121" s="364" t="str">
        <f>IF($G1121="","",IF($H1121=1,$G1121-ROUND($G1121*10/23,0)-2*ROUND($G1121/23,0),IF($H1121=2,$G1121,0)))</f>
        <v/>
      </c>
      <c r="K1121" s="364" t="str">
        <f>IF($G1121="","",IF($H1121=1,ROUND($G1121*10/23,0),IF($H1121=3,$G1121-2*ROUND($G1121/12,0),IF($H1121=4,$G1121,IF(OR($H1121=5,$H1121=7),ROUND($G1121*10/11,0),0)))))</f>
        <v/>
      </c>
      <c r="L1121" s="364" t="str">
        <f>IF($G1121="","",IF($H1121=1,ROUND($G1121/23,0),IF($H1121=3,ROUND($G1121/12,0),IF($H1121=5,$G1121-ROUND($G1121*10/11,0),IF($H1121=8,$G1121,0)))))</f>
        <v/>
      </c>
      <c r="M1121" s="364" t="str">
        <f>IF($G1121="","",IF($H1121=1,ROUND($G1121/23,0),IF($H1121=3,ROUND($G1121/12,0),IF($H1121=6,$G1121,IF($H1121=7,$G1121-ROUND($G1121*10/11,0),0)))))</f>
        <v/>
      </c>
      <c r="N1121" s="364" t="str">
        <f>IF($G1121="","",K1121+L1121+M1121)</f>
        <v/>
      </c>
      <c r="O1121" s="365" t="str">
        <f>IF($G1121="","",IFERROR(VLOOKUP($D1121&amp;"|"&amp;$E1121,科目表!$A$5:$B$200,2,FALSE),"※未登録"))</f>
        <v/>
      </c>
      <c r="P1121" s="359" t="str">
        <f>IF(OR($G1121="",$C1121=""),"",IF($B1121="決算整理",13,MOD(MONTH($C1121)-4,12)+1))</f>
        <v/>
      </c>
      <c r="Q1121" s="366" t="str">
        <f>IF($G1121="","",TRIM(IF(J1121+K1121+L1121+M1121&lt;&gt;$G1121,"按分不一致 ","")&amp;IF(O1121="※未登録","科目未登録 ","")&amp;IF(OR($H1121="",ISERROR(MATCH($H1121,{1,2,3,4,5,6,7,8},0))),"経費区分? ","")&amp;IF($I1121="","状態未設定 ","")&amp;IF(AND(OR($I1121="確認済",$I1121="未確認"),$B1121="月例",OR($C1121="",$C1121&lt;DATE(年度+2018,4,1),$C1121&gt;DATE(年度+2019,3,31))),"年度外の日付 ","")&amp;IF(AND(OR($I1121="確認済",$I1121="未確認"),O1121="対象外"),"対象外の科目 ","")))</f>
        <v/>
      </c>
      <c r="R1121" s="366" t="n"/>
    </row>
    <row r="1122">
      <c r="A1122" s="359" t="n"/>
      <c r="B1122" s="360" t="n"/>
      <c r="C1122" s="361" t="n"/>
      <c r="D1122" s="362" t="n"/>
      <c r="E1122" s="362" t="n"/>
      <c r="F1122" s="362" t="n"/>
      <c r="G1122" s="363" t="n"/>
      <c r="H1122" s="360" t="n"/>
      <c r="I1122" s="360" t="n"/>
      <c r="J1122" s="364" t="str">
        <f>IF($G1122="","",IF($H1122=1,$G1122-ROUND($G1122*10/23,0)-2*ROUND($G1122/23,0),IF($H1122=2,$G1122,0)))</f>
        <v/>
      </c>
      <c r="K1122" s="364" t="str">
        <f>IF($G1122="","",IF($H1122=1,ROUND($G1122*10/23,0),IF($H1122=3,$G1122-2*ROUND($G1122/12,0),IF($H1122=4,$G1122,IF(OR($H1122=5,$H1122=7),ROUND($G1122*10/11,0),0)))))</f>
        <v/>
      </c>
      <c r="L1122" s="364" t="str">
        <f>IF($G1122="","",IF($H1122=1,ROUND($G1122/23,0),IF($H1122=3,ROUND($G1122/12,0),IF($H1122=5,$G1122-ROUND($G1122*10/11,0),IF($H1122=8,$G1122,0)))))</f>
        <v/>
      </c>
      <c r="M1122" s="364" t="str">
        <f>IF($G1122="","",IF($H1122=1,ROUND($G1122/23,0),IF($H1122=3,ROUND($G1122/12,0),IF($H1122=6,$G1122,IF($H1122=7,$G1122-ROUND($G1122*10/11,0),0)))))</f>
        <v/>
      </c>
      <c r="N1122" s="364" t="str">
        <f>IF($G1122="","",K1122+L1122+M1122)</f>
        <v/>
      </c>
      <c r="O1122" s="365" t="str">
        <f>IF($G1122="","",IFERROR(VLOOKUP($D1122&amp;"|"&amp;$E1122,科目表!$A$5:$B$200,2,FALSE),"※未登録"))</f>
        <v/>
      </c>
      <c r="P1122" s="359" t="str">
        <f>IF(OR($G1122="",$C1122=""),"",IF($B1122="決算整理",13,MOD(MONTH($C1122)-4,12)+1))</f>
        <v/>
      </c>
      <c r="Q1122" s="366" t="str">
        <f>IF($G1122="","",TRIM(IF(J1122+K1122+L1122+M1122&lt;&gt;$G1122,"按分不一致 ","")&amp;IF(O1122="※未登録","科目未登録 ","")&amp;IF(OR($H1122="",ISERROR(MATCH($H1122,{1,2,3,4,5,6,7,8},0))),"経費区分? ","")&amp;IF($I1122="","状態未設定 ","")&amp;IF(AND(OR($I1122="確認済",$I1122="未確認"),$B1122="月例",OR($C1122="",$C1122&lt;DATE(年度+2018,4,1),$C1122&gt;DATE(年度+2019,3,31))),"年度外の日付 ","")&amp;IF(AND(OR($I1122="確認済",$I1122="未確認"),O1122="対象外"),"対象外の科目 ","")))</f>
        <v/>
      </c>
      <c r="R1122" s="366" t="n"/>
    </row>
    <row r="1123">
      <c r="A1123" s="359" t="n"/>
      <c r="B1123" s="360" t="n"/>
      <c r="C1123" s="361" t="n"/>
      <c r="D1123" s="362" t="n"/>
      <c r="E1123" s="362" t="n"/>
      <c r="F1123" s="362" t="n"/>
      <c r="G1123" s="363" t="n"/>
      <c r="H1123" s="360" t="n"/>
      <c r="I1123" s="360" t="n"/>
      <c r="J1123" s="364" t="str">
        <f>IF($G1123="","",IF($H1123=1,$G1123-ROUND($G1123*10/23,0)-2*ROUND($G1123/23,0),IF($H1123=2,$G1123,0)))</f>
        <v/>
      </c>
      <c r="K1123" s="364" t="str">
        <f>IF($G1123="","",IF($H1123=1,ROUND($G1123*10/23,0),IF($H1123=3,$G1123-2*ROUND($G1123/12,0),IF($H1123=4,$G1123,IF(OR($H1123=5,$H1123=7),ROUND($G1123*10/11,0),0)))))</f>
        <v/>
      </c>
      <c r="L1123" s="364" t="str">
        <f>IF($G1123="","",IF($H1123=1,ROUND($G1123/23,0),IF($H1123=3,ROUND($G1123/12,0),IF($H1123=5,$G1123-ROUND($G1123*10/11,0),IF($H1123=8,$G1123,0)))))</f>
        <v/>
      </c>
      <c r="M1123" s="364" t="str">
        <f>IF($G1123="","",IF($H1123=1,ROUND($G1123/23,0),IF($H1123=3,ROUND($G1123/12,0),IF($H1123=6,$G1123,IF($H1123=7,$G1123-ROUND($G1123*10/11,0),0)))))</f>
        <v/>
      </c>
      <c r="N1123" s="364" t="str">
        <f>IF($G1123="","",K1123+L1123+M1123)</f>
        <v/>
      </c>
      <c r="O1123" s="365" t="str">
        <f>IF($G1123="","",IFERROR(VLOOKUP($D1123&amp;"|"&amp;$E1123,科目表!$A$5:$B$200,2,FALSE),"※未登録"))</f>
        <v/>
      </c>
      <c r="P1123" s="359" t="str">
        <f>IF(OR($G1123="",$C1123=""),"",IF($B1123="決算整理",13,MOD(MONTH($C1123)-4,12)+1))</f>
        <v/>
      </c>
      <c r="Q1123" s="366" t="str">
        <f>IF($G1123="","",TRIM(IF(J1123+K1123+L1123+M1123&lt;&gt;$G1123,"按分不一致 ","")&amp;IF(O1123="※未登録","科目未登録 ","")&amp;IF(OR($H1123="",ISERROR(MATCH($H1123,{1,2,3,4,5,6,7,8},0))),"経費区分? ","")&amp;IF($I1123="","状態未設定 ","")&amp;IF(AND(OR($I1123="確認済",$I1123="未確認"),$B1123="月例",OR($C1123="",$C1123&lt;DATE(年度+2018,4,1),$C1123&gt;DATE(年度+2019,3,31))),"年度外の日付 ","")&amp;IF(AND(OR($I1123="確認済",$I1123="未確認"),O1123="対象外"),"対象外の科目 ","")))</f>
        <v/>
      </c>
      <c r="R1123" s="366" t="n"/>
    </row>
    <row r="1124">
      <c r="A1124" s="359" t="n"/>
      <c r="B1124" s="360" t="n"/>
      <c r="C1124" s="361" t="n"/>
      <c r="D1124" s="362" t="n"/>
      <c r="E1124" s="362" t="n"/>
      <c r="F1124" s="362" t="n"/>
      <c r="G1124" s="363" t="n"/>
      <c r="H1124" s="360" t="n"/>
      <c r="I1124" s="360" t="n"/>
      <c r="J1124" s="364" t="str">
        <f>IF($G1124="","",IF($H1124=1,$G1124-ROUND($G1124*10/23,0)-2*ROUND($G1124/23,0),IF($H1124=2,$G1124,0)))</f>
        <v/>
      </c>
      <c r="K1124" s="364" t="str">
        <f>IF($G1124="","",IF($H1124=1,ROUND($G1124*10/23,0),IF($H1124=3,$G1124-2*ROUND($G1124/12,0),IF($H1124=4,$G1124,IF(OR($H1124=5,$H1124=7),ROUND($G1124*10/11,0),0)))))</f>
        <v/>
      </c>
      <c r="L1124" s="364" t="str">
        <f>IF($G1124="","",IF($H1124=1,ROUND($G1124/23,0),IF($H1124=3,ROUND($G1124/12,0),IF($H1124=5,$G1124-ROUND($G1124*10/11,0),IF($H1124=8,$G1124,0)))))</f>
        <v/>
      </c>
      <c r="M1124" s="364" t="str">
        <f>IF($G1124="","",IF($H1124=1,ROUND($G1124/23,0),IF($H1124=3,ROUND($G1124/12,0),IF($H1124=6,$G1124,IF($H1124=7,$G1124-ROUND($G1124*10/11,0),0)))))</f>
        <v/>
      </c>
      <c r="N1124" s="364" t="str">
        <f>IF($G1124="","",K1124+L1124+M1124)</f>
        <v/>
      </c>
      <c r="O1124" s="365" t="str">
        <f>IF($G1124="","",IFERROR(VLOOKUP($D1124&amp;"|"&amp;$E1124,科目表!$A$5:$B$200,2,FALSE),"※未登録"))</f>
        <v/>
      </c>
      <c r="P1124" s="359" t="str">
        <f>IF(OR($G1124="",$C1124=""),"",IF($B1124="決算整理",13,MOD(MONTH($C1124)-4,12)+1))</f>
        <v/>
      </c>
      <c r="Q1124" s="366" t="str">
        <f>IF($G1124="","",TRIM(IF(J1124+K1124+L1124+M1124&lt;&gt;$G1124,"按分不一致 ","")&amp;IF(O1124="※未登録","科目未登録 ","")&amp;IF(OR($H1124="",ISERROR(MATCH($H1124,{1,2,3,4,5,6,7,8},0))),"経費区分? ","")&amp;IF($I1124="","状態未設定 ","")&amp;IF(AND(OR($I1124="確認済",$I1124="未確認"),$B1124="月例",OR($C1124="",$C1124&lt;DATE(年度+2018,4,1),$C1124&gt;DATE(年度+2019,3,31))),"年度外の日付 ","")&amp;IF(AND(OR($I1124="確認済",$I1124="未確認"),O1124="対象外"),"対象外の科目 ","")))</f>
        <v/>
      </c>
      <c r="R1124" s="366" t="n"/>
    </row>
    <row r="1125">
      <c r="A1125" s="359" t="n"/>
      <c r="B1125" s="360" t="n"/>
      <c r="C1125" s="361" t="n"/>
      <c r="D1125" s="362" t="n"/>
      <c r="E1125" s="362" t="n"/>
      <c r="F1125" s="362" t="n"/>
      <c r="G1125" s="363" t="n"/>
      <c r="H1125" s="360" t="n"/>
      <c r="I1125" s="360" t="n"/>
      <c r="J1125" s="364" t="str">
        <f>IF($G1125="","",IF($H1125=1,$G1125-ROUND($G1125*10/23,0)-2*ROUND($G1125/23,0),IF($H1125=2,$G1125,0)))</f>
        <v/>
      </c>
      <c r="K1125" s="364" t="str">
        <f>IF($G1125="","",IF($H1125=1,ROUND($G1125*10/23,0),IF($H1125=3,$G1125-2*ROUND($G1125/12,0),IF($H1125=4,$G1125,IF(OR($H1125=5,$H1125=7),ROUND($G1125*10/11,0),0)))))</f>
        <v/>
      </c>
      <c r="L1125" s="364" t="str">
        <f>IF($G1125="","",IF($H1125=1,ROUND($G1125/23,0),IF($H1125=3,ROUND($G1125/12,0),IF($H1125=5,$G1125-ROUND($G1125*10/11,0),IF($H1125=8,$G1125,0)))))</f>
        <v/>
      </c>
      <c r="M1125" s="364" t="str">
        <f>IF($G1125="","",IF($H1125=1,ROUND($G1125/23,0),IF($H1125=3,ROUND($G1125/12,0),IF($H1125=6,$G1125,IF($H1125=7,$G1125-ROUND($G1125*10/11,0),0)))))</f>
        <v/>
      </c>
      <c r="N1125" s="364" t="str">
        <f>IF($G1125="","",K1125+L1125+M1125)</f>
        <v/>
      </c>
      <c r="O1125" s="365" t="str">
        <f>IF($G1125="","",IFERROR(VLOOKUP($D1125&amp;"|"&amp;$E1125,科目表!$A$5:$B$200,2,FALSE),"※未登録"))</f>
        <v/>
      </c>
      <c r="P1125" s="359" t="str">
        <f>IF(OR($G1125="",$C1125=""),"",IF($B1125="決算整理",13,MOD(MONTH($C1125)-4,12)+1))</f>
        <v/>
      </c>
      <c r="Q1125" s="366" t="str">
        <f>IF($G1125="","",TRIM(IF(J1125+K1125+L1125+M1125&lt;&gt;$G1125,"按分不一致 ","")&amp;IF(O1125="※未登録","科目未登録 ","")&amp;IF(OR($H1125="",ISERROR(MATCH($H1125,{1,2,3,4,5,6,7,8},0))),"経費区分? ","")&amp;IF($I1125="","状態未設定 ","")&amp;IF(AND(OR($I1125="確認済",$I1125="未確認"),$B1125="月例",OR($C1125="",$C1125&lt;DATE(年度+2018,4,1),$C1125&gt;DATE(年度+2019,3,31))),"年度外の日付 ","")&amp;IF(AND(OR($I1125="確認済",$I1125="未確認"),O1125="対象外"),"対象外の科目 ","")))</f>
        <v/>
      </c>
      <c r="R1125" s="366" t="n"/>
    </row>
    <row r="1126">
      <c r="A1126" s="359" t="n"/>
      <c r="B1126" s="360" t="n"/>
      <c r="C1126" s="361" t="n"/>
      <c r="D1126" s="362" t="n"/>
      <c r="E1126" s="362" t="n"/>
      <c r="F1126" s="362" t="n"/>
      <c r="G1126" s="363" t="n"/>
      <c r="H1126" s="360" t="n"/>
      <c r="I1126" s="360" t="n"/>
      <c r="J1126" s="364" t="str">
        <f>IF($G1126="","",IF($H1126=1,$G1126-ROUND($G1126*10/23,0)-2*ROUND($G1126/23,0),IF($H1126=2,$G1126,0)))</f>
        <v/>
      </c>
      <c r="K1126" s="364" t="str">
        <f>IF($G1126="","",IF($H1126=1,ROUND($G1126*10/23,0),IF($H1126=3,$G1126-2*ROUND($G1126/12,0),IF($H1126=4,$G1126,IF(OR($H1126=5,$H1126=7),ROUND($G1126*10/11,0),0)))))</f>
        <v/>
      </c>
      <c r="L1126" s="364" t="str">
        <f>IF($G1126="","",IF($H1126=1,ROUND($G1126/23,0),IF($H1126=3,ROUND($G1126/12,0),IF($H1126=5,$G1126-ROUND($G1126*10/11,0),IF($H1126=8,$G1126,0)))))</f>
        <v/>
      </c>
      <c r="M1126" s="364" t="str">
        <f>IF($G1126="","",IF($H1126=1,ROUND($G1126/23,0),IF($H1126=3,ROUND($G1126/12,0),IF($H1126=6,$G1126,IF($H1126=7,$G1126-ROUND($G1126*10/11,0),0)))))</f>
        <v/>
      </c>
      <c r="N1126" s="364" t="str">
        <f>IF($G1126="","",K1126+L1126+M1126)</f>
        <v/>
      </c>
      <c r="O1126" s="365" t="str">
        <f>IF($G1126="","",IFERROR(VLOOKUP($D1126&amp;"|"&amp;$E1126,科目表!$A$5:$B$200,2,FALSE),"※未登録"))</f>
        <v/>
      </c>
      <c r="P1126" s="359" t="str">
        <f>IF(OR($G1126="",$C1126=""),"",IF($B1126="決算整理",13,MOD(MONTH($C1126)-4,12)+1))</f>
        <v/>
      </c>
      <c r="Q1126" s="366" t="str">
        <f>IF($G1126="","",TRIM(IF(J1126+K1126+L1126+M1126&lt;&gt;$G1126,"按分不一致 ","")&amp;IF(O1126="※未登録","科目未登録 ","")&amp;IF(OR($H1126="",ISERROR(MATCH($H1126,{1,2,3,4,5,6,7,8},0))),"経費区分? ","")&amp;IF($I1126="","状態未設定 ","")&amp;IF(AND(OR($I1126="確認済",$I1126="未確認"),$B1126="月例",OR($C1126="",$C1126&lt;DATE(年度+2018,4,1),$C1126&gt;DATE(年度+2019,3,31))),"年度外の日付 ","")&amp;IF(AND(OR($I1126="確認済",$I1126="未確認"),O1126="対象外"),"対象外の科目 ","")))</f>
        <v/>
      </c>
      <c r="R1126" s="366" t="n"/>
    </row>
    <row r="1127">
      <c r="A1127" s="359" t="n"/>
      <c r="B1127" s="360" t="n"/>
      <c r="C1127" s="361" t="n"/>
      <c r="D1127" s="362" t="n"/>
      <c r="E1127" s="362" t="n"/>
      <c r="F1127" s="362" t="n"/>
      <c r="G1127" s="363" t="n"/>
      <c r="H1127" s="360" t="n"/>
      <c r="I1127" s="360" t="n"/>
      <c r="J1127" s="364" t="str">
        <f>IF($G1127="","",IF($H1127=1,$G1127-ROUND($G1127*10/23,0)-2*ROUND($G1127/23,0),IF($H1127=2,$G1127,0)))</f>
        <v/>
      </c>
      <c r="K1127" s="364" t="str">
        <f>IF($G1127="","",IF($H1127=1,ROUND($G1127*10/23,0),IF($H1127=3,$G1127-2*ROUND($G1127/12,0),IF($H1127=4,$G1127,IF(OR($H1127=5,$H1127=7),ROUND($G1127*10/11,0),0)))))</f>
        <v/>
      </c>
      <c r="L1127" s="364" t="str">
        <f>IF($G1127="","",IF($H1127=1,ROUND($G1127/23,0),IF($H1127=3,ROUND($G1127/12,0),IF($H1127=5,$G1127-ROUND($G1127*10/11,0),IF($H1127=8,$G1127,0)))))</f>
        <v/>
      </c>
      <c r="M1127" s="364" t="str">
        <f>IF($G1127="","",IF($H1127=1,ROUND($G1127/23,0),IF($H1127=3,ROUND($G1127/12,0),IF($H1127=6,$G1127,IF($H1127=7,$G1127-ROUND($G1127*10/11,0),0)))))</f>
        <v/>
      </c>
      <c r="N1127" s="364" t="str">
        <f>IF($G1127="","",K1127+L1127+M1127)</f>
        <v/>
      </c>
      <c r="O1127" s="365" t="str">
        <f>IF($G1127="","",IFERROR(VLOOKUP($D1127&amp;"|"&amp;$E1127,科目表!$A$5:$B$200,2,FALSE),"※未登録"))</f>
        <v/>
      </c>
      <c r="P1127" s="359" t="str">
        <f>IF(OR($G1127="",$C1127=""),"",IF($B1127="決算整理",13,MOD(MONTH($C1127)-4,12)+1))</f>
        <v/>
      </c>
      <c r="Q1127" s="366" t="str">
        <f>IF($G1127="","",TRIM(IF(J1127+K1127+L1127+M1127&lt;&gt;$G1127,"按分不一致 ","")&amp;IF(O1127="※未登録","科目未登録 ","")&amp;IF(OR($H1127="",ISERROR(MATCH($H1127,{1,2,3,4,5,6,7,8},0))),"経費区分? ","")&amp;IF($I1127="","状態未設定 ","")&amp;IF(AND(OR($I1127="確認済",$I1127="未確認"),$B1127="月例",OR($C1127="",$C1127&lt;DATE(年度+2018,4,1),$C1127&gt;DATE(年度+2019,3,31))),"年度外の日付 ","")&amp;IF(AND(OR($I1127="確認済",$I1127="未確認"),O1127="対象外"),"対象外の科目 ","")))</f>
        <v/>
      </c>
      <c r="R1127" s="366" t="n"/>
    </row>
    <row r="1128">
      <c r="A1128" s="359" t="n"/>
      <c r="B1128" s="360" t="n"/>
      <c r="C1128" s="361" t="n"/>
      <c r="D1128" s="362" t="n"/>
      <c r="E1128" s="362" t="n"/>
      <c r="F1128" s="362" t="n"/>
      <c r="G1128" s="363" t="n"/>
      <c r="H1128" s="360" t="n"/>
      <c r="I1128" s="360" t="n"/>
      <c r="J1128" s="364" t="str">
        <f>IF($G1128="","",IF($H1128=1,$G1128-ROUND($G1128*10/23,0)-2*ROUND($G1128/23,0),IF($H1128=2,$G1128,0)))</f>
        <v/>
      </c>
      <c r="K1128" s="364" t="str">
        <f>IF($G1128="","",IF($H1128=1,ROUND($G1128*10/23,0),IF($H1128=3,$G1128-2*ROUND($G1128/12,0),IF($H1128=4,$G1128,IF(OR($H1128=5,$H1128=7),ROUND($G1128*10/11,0),0)))))</f>
        <v/>
      </c>
      <c r="L1128" s="364" t="str">
        <f>IF($G1128="","",IF($H1128=1,ROUND($G1128/23,0),IF($H1128=3,ROUND($G1128/12,0),IF($H1128=5,$G1128-ROUND($G1128*10/11,0),IF($H1128=8,$G1128,0)))))</f>
        <v/>
      </c>
      <c r="M1128" s="364" t="str">
        <f>IF($G1128="","",IF($H1128=1,ROUND($G1128/23,0),IF($H1128=3,ROUND($G1128/12,0),IF($H1128=6,$G1128,IF($H1128=7,$G1128-ROUND($G1128*10/11,0),0)))))</f>
        <v/>
      </c>
      <c r="N1128" s="364" t="str">
        <f>IF($G1128="","",K1128+L1128+M1128)</f>
        <v/>
      </c>
      <c r="O1128" s="365" t="str">
        <f>IF($G1128="","",IFERROR(VLOOKUP($D1128&amp;"|"&amp;$E1128,科目表!$A$5:$B$200,2,FALSE),"※未登録"))</f>
        <v/>
      </c>
      <c r="P1128" s="359" t="str">
        <f>IF(OR($G1128="",$C1128=""),"",IF($B1128="決算整理",13,MOD(MONTH($C1128)-4,12)+1))</f>
        <v/>
      </c>
      <c r="Q1128" s="366" t="str">
        <f>IF($G1128="","",TRIM(IF(J1128+K1128+L1128+M1128&lt;&gt;$G1128,"按分不一致 ","")&amp;IF(O1128="※未登録","科目未登録 ","")&amp;IF(OR($H1128="",ISERROR(MATCH($H1128,{1,2,3,4,5,6,7,8},0))),"経費区分? ","")&amp;IF($I1128="","状態未設定 ","")&amp;IF(AND(OR($I1128="確認済",$I1128="未確認"),$B1128="月例",OR($C1128="",$C1128&lt;DATE(年度+2018,4,1),$C1128&gt;DATE(年度+2019,3,31))),"年度外の日付 ","")&amp;IF(AND(OR($I1128="確認済",$I1128="未確認"),O1128="対象外"),"対象外の科目 ","")))</f>
        <v/>
      </c>
      <c r="R1128" s="366" t="n"/>
    </row>
    <row r="1129">
      <c r="A1129" s="359" t="n"/>
      <c r="B1129" s="360" t="n"/>
      <c r="C1129" s="361" t="n"/>
      <c r="D1129" s="362" t="n"/>
      <c r="E1129" s="362" t="n"/>
      <c r="F1129" s="362" t="n"/>
      <c r="G1129" s="363" t="n"/>
      <c r="H1129" s="360" t="n"/>
      <c r="I1129" s="360" t="n"/>
      <c r="J1129" s="364" t="str">
        <f>IF($G1129="","",IF($H1129=1,$G1129-ROUND($G1129*10/23,0)-2*ROUND($G1129/23,0),IF($H1129=2,$G1129,0)))</f>
        <v/>
      </c>
      <c r="K1129" s="364" t="str">
        <f>IF($G1129="","",IF($H1129=1,ROUND($G1129*10/23,0),IF($H1129=3,$G1129-2*ROUND($G1129/12,0),IF($H1129=4,$G1129,IF(OR($H1129=5,$H1129=7),ROUND($G1129*10/11,0),0)))))</f>
        <v/>
      </c>
      <c r="L1129" s="364" t="str">
        <f>IF($G1129="","",IF($H1129=1,ROUND($G1129/23,0),IF($H1129=3,ROUND($G1129/12,0),IF($H1129=5,$G1129-ROUND($G1129*10/11,0),IF($H1129=8,$G1129,0)))))</f>
        <v/>
      </c>
      <c r="M1129" s="364" t="str">
        <f>IF($G1129="","",IF($H1129=1,ROUND($G1129/23,0),IF($H1129=3,ROUND($G1129/12,0),IF($H1129=6,$G1129,IF($H1129=7,$G1129-ROUND($G1129*10/11,0),0)))))</f>
        <v/>
      </c>
      <c r="N1129" s="364" t="str">
        <f>IF($G1129="","",K1129+L1129+M1129)</f>
        <v/>
      </c>
      <c r="O1129" s="365" t="str">
        <f>IF($G1129="","",IFERROR(VLOOKUP($D1129&amp;"|"&amp;$E1129,科目表!$A$5:$B$200,2,FALSE),"※未登録"))</f>
        <v/>
      </c>
      <c r="P1129" s="359" t="str">
        <f>IF(OR($G1129="",$C1129=""),"",IF($B1129="決算整理",13,MOD(MONTH($C1129)-4,12)+1))</f>
        <v/>
      </c>
      <c r="Q1129" s="366" t="str">
        <f>IF($G1129="","",TRIM(IF(J1129+K1129+L1129+M1129&lt;&gt;$G1129,"按分不一致 ","")&amp;IF(O1129="※未登録","科目未登録 ","")&amp;IF(OR($H1129="",ISERROR(MATCH($H1129,{1,2,3,4,5,6,7,8},0))),"経費区分? ","")&amp;IF($I1129="","状態未設定 ","")&amp;IF(AND(OR($I1129="確認済",$I1129="未確認"),$B1129="月例",OR($C1129="",$C1129&lt;DATE(年度+2018,4,1),$C1129&gt;DATE(年度+2019,3,31))),"年度外の日付 ","")&amp;IF(AND(OR($I1129="確認済",$I1129="未確認"),O1129="対象外"),"対象外の科目 ","")))</f>
        <v/>
      </c>
      <c r="R1129" s="366" t="n"/>
    </row>
    <row r="1130">
      <c r="A1130" s="359" t="n"/>
      <c r="B1130" s="360" t="n"/>
      <c r="C1130" s="361" t="n"/>
      <c r="D1130" s="362" t="n"/>
      <c r="E1130" s="362" t="n"/>
      <c r="F1130" s="362" t="n"/>
      <c r="G1130" s="363" t="n"/>
      <c r="H1130" s="360" t="n"/>
      <c r="I1130" s="360" t="n"/>
      <c r="J1130" s="364" t="str">
        <f>IF($G1130="","",IF($H1130=1,$G1130-ROUND($G1130*10/23,0)-2*ROUND($G1130/23,0),IF($H1130=2,$G1130,0)))</f>
        <v/>
      </c>
      <c r="K1130" s="364" t="str">
        <f>IF($G1130="","",IF($H1130=1,ROUND($G1130*10/23,0),IF($H1130=3,$G1130-2*ROUND($G1130/12,0),IF($H1130=4,$G1130,IF(OR($H1130=5,$H1130=7),ROUND($G1130*10/11,0),0)))))</f>
        <v/>
      </c>
      <c r="L1130" s="364" t="str">
        <f>IF($G1130="","",IF($H1130=1,ROUND($G1130/23,0),IF($H1130=3,ROUND($G1130/12,0),IF($H1130=5,$G1130-ROUND($G1130*10/11,0),IF($H1130=8,$G1130,0)))))</f>
        <v/>
      </c>
      <c r="M1130" s="364" t="str">
        <f>IF($G1130="","",IF($H1130=1,ROUND($G1130/23,0),IF($H1130=3,ROUND($G1130/12,0),IF($H1130=6,$G1130,IF($H1130=7,$G1130-ROUND($G1130*10/11,0),0)))))</f>
        <v/>
      </c>
      <c r="N1130" s="364" t="str">
        <f>IF($G1130="","",K1130+L1130+M1130)</f>
        <v/>
      </c>
      <c r="O1130" s="365" t="str">
        <f>IF($G1130="","",IFERROR(VLOOKUP($D1130&amp;"|"&amp;$E1130,科目表!$A$5:$B$200,2,FALSE),"※未登録"))</f>
        <v/>
      </c>
      <c r="P1130" s="359" t="str">
        <f>IF(OR($G1130="",$C1130=""),"",IF($B1130="決算整理",13,MOD(MONTH($C1130)-4,12)+1))</f>
        <v/>
      </c>
      <c r="Q1130" s="366" t="str">
        <f>IF($G1130="","",TRIM(IF(J1130+K1130+L1130+M1130&lt;&gt;$G1130,"按分不一致 ","")&amp;IF(O1130="※未登録","科目未登録 ","")&amp;IF(OR($H1130="",ISERROR(MATCH($H1130,{1,2,3,4,5,6,7,8},0))),"経費区分? ","")&amp;IF($I1130="","状態未設定 ","")&amp;IF(AND(OR($I1130="確認済",$I1130="未確認"),$B1130="月例",OR($C1130="",$C1130&lt;DATE(年度+2018,4,1),$C1130&gt;DATE(年度+2019,3,31))),"年度外の日付 ","")&amp;IF(AND(OR($I1130="確認済",$I1130="未確認"),O1130="対象外"),"対象外の科目 ","")))</f>
        <v/>
      </c>
      <c r="R1130" s="366" t="n"/>
    </row>
    <row r="1131">
      <c r="A1131" s="359" t="n"/>
      <c r="B1131" s="360" t="n"/>
      <c r="C1131" s="361" t="n"/>
      <c r="D1131" s="362" t="n"/>
      <c r="E1131" s="362" t="n"/>
      <c r="F1131" s="362" t="n"/>
      <c r="G1131" s="363" t="n"/>
      <c r="H1131" s="360" t="n"/>
      <c r="I1131" s="360" t="n"/>
      <c r="J1131" s="364" t="str">
        <f>IF($G1131="","",IF($H1131=1,$G1131-ROUND($G1131*10/23,0)-2*ROUND($G1131/23,0),IF($H1131=2,$G1131,0)))</f>
        <v/>
      </c>
      <c r="K1131" s="364" t="str">
        <f>IF($G1131="","",IF($H1131=1,ROUND($G1131*10/23,0),IF($H1131=3,$G1131-2*ROUND($G1131/12,0),IF($H1131=4,$G1131,IF(OR($H1131=5,$H1131=7),ROUND($G1131*10/11,0),0)))))</f>
        <v/>
      </c>
      <c r="L1131" s="364" t="str">
        <f>IF($G1131="","",IF($H1131=1,ROUND($G1131/23,0),IF($H1131=3,ROUND($G1131/12,0),IF($H1131=5,$G1131-ROUND($G1131*10/11,0),IF($H1131=8,$G1131,0)))))</f>
        <v/>
      </c>
      <c r="M1131" s="364" t="str">
        <f>IF($G1131="","",IF($H1131=1,ROUND($G1131/23,0),IF($H1131=3,ROUND($G1131/12,0),IF($H1131=6,$G1131,IF($H1131=7,$G1131-ROUND($G1131*10/11,0),0)))))</f>
        <v/>
      </c>
      <c r="N1131" s="364" t="str">
        <f>IF($G1131="","",K1131+L1131+M1131)</f>
        <v/>
      </c>
      <c r="O1131" s="365" t="str">
        <f>IF($G1131="","",IFERROR(VLOOKUP($D1131&amp;"|"&amp;$E1131,科目表!$A$5:$B$200,2,FALSE),"※未登録"))</f>
        <v/>
      </c>
      <c r="P1131" s="359" t="str">
        <f>IF(OR($G1131="",$C1131=""),"",IF($B1131="決算整理",13,MOD(MONTH($C1131)-4,12)+1))</f>
        <v/>
      </c>
      <c r="Q1131" s="366" t="str">
        <f>IF($G1131="","",TRIM(IF(J1131+K1131+L1131+M1131&lt;&gt;$G1131,"按分不一致 ","")&amp;IF(O1131="※未登録","科目未登録 ","")&amp;IF(OR($H1131="",ISERROR(MATCH($H1131,{1,2,3,4,5,6,7,8},0))),"経費区分? ","")&amp;IF($I1131="","状態未設定 ","")&amp;IF(AND(OR($I1131="確認済",$I1131="未確認"),$B1131="月例",OR($C1131="",$C1131&lt;DATE(年度+2018,4,1),$C1131&gt;DATE(年度+2019,3,31))),"年度外の日付 ","")&amp;IF(AND(OR($I1131="確認済",$I1131="未確認"),O1131="対象外"),"対象外の科目 ","")))</f>
        <v/>
      </c>
      <c r="R1131" s="366" t="n"/>
    </row>
    <row r="1132">
      <c r="A1132" s="359" t="n"/>
      <c r="B1132" s="360" t="n"/>
      <c r="C1132" s="361" t="n"/>
      <c r="D1132" s="362" t="n"/>
      <c r="E1132" s="362" t="n"/>
      <c r="F1132" s="362" t="n"/>
      <c r="G1132" s="363" t="n"/>
      <c r="H1132" s="360" t="n"/>
      <c r="I1132" s="360" t="n"/>
      <c r="J1132" s="364" t="str">
        <f>IF($G1132="","",IF($H1132=1,$G1132-ROUND($G1132*10/23,0)-2*ROUND($G1132/23,0),IF($H1132=2,$G1132,0)))</f>
        <v/>
      </c>
      <c r="K1132" s="364" t="str">
        <f>IF($G1132="","",IF($H1132=1,ROUND($G1132*10/23,0),IF($H1132=3,$G1132-2*ROUND($G1132/12,0),IF($H1132=4,$G1132,IF(OR($H1132=5,$H1132=7),ROUND($G1132*10/11,0),0)))))</f>
        <v/>
      </c>
      <c r="L1132" s="364" t="str">
        <f>IF($G1132="","",IF($H1132=1,ROUND($G1132/23,0),IF($H1132=3,ROUND($G1132/12,0),IF($H1132=5,$G1132-ROUND($G1132*10/11,0),IF($H1132=8,$G1132,0)))))</f>
        <v/>
      </c>
      <c r="M1132" s="364" t="str">
        <f>IF($G1132="","",IF($H1132=1,ROUND($G1132/23,0),IF($H1132=3,ROUND($G1132/12,0),IF($H1132=6,$G1132,IF($H1132=7,$G1132-ROUND($G1132*10/11,0),0)))))</f>
        <v/>
      </c>
      <c r="N1132" s="364" t="str">
        <f>IF($G1132="","",K1132+L1132+M1132)</f>
        <v/>
      </c>
      <c r="O1132" s="365" t="str">
        <f>IF($G1132="","",IFERROR(VLOOKUP($D1132&amp;"|"&amp;$E1132,科目表!$A$5:$B$200,2,FALSE),"※未登録"))</f>
        <v/>
      </c>
      <c r="P1132" s="359" t="str">
        <f>IF(OR($G1132="",$C1132=""),"",IF($B1132="決算整理",13,MOD(MONTH($C1132)-4,12)+1))</f>
        <v/>
      </c>
      <c r="Q1132" s="366" t="str">
        <f>IF($G1132="","",TRIM(IF(J1132+K1132+L1132+M1132&lt;&gt;$G1132,"按分不一致 ","")&amp;IF(O1132="※未登録","科目未登録 ","")&amp;IF(OR($H1132="",ISERROR(MATCH($H1132,{1,2,3,4,5,6,7,8},0))),"経費区分? ","")&amp;IF($I1132="","状態未設定 ","")&amp;IF(AND(OR($I1132="確認済",$I1132="未確認"),$B1132="月例",OR($C1132="",$C1132&lt;DATE(年度+2018,4,1),$C1132&gt;DATE(年度+2019,3,31))),"年度外の日付 ","")&amp;IF(AND(OR($I1132="確認済",$I1132="未確認"),O1132="対象外"),"対象外の科目 ","")))</f>
        <v/>
      </c>
      <c r="R1132" s="366" t="n"/>
    </row>
    <row r="1133">
      <c r="A1133" s="359" t="n"/>
      <c r="B1133" s="360" t="n"/>
      <c r="C1133" s="361" t="n"/>
      <c r="D1133" s="362" t="n"/>
      <c r="E1133" s="362" t="n"/>
      <c r="F1133" s="362" t="n"/>
      <c r="G1133" s="363" t="n"/>
      <c r="H1133" s="360" t="n"/>
      <c r="I1133" s="360" t="n"/>
      <c r="J1133" s="364" t="str">
        <f>IF($G1133="","",IF($H1133=1,$G1133-ROUND($G1133*10/23,0)-2*ROUND($G1133/23,0),IF($H1133=2,$G1133,0)))</f>
        <v/>
      </c>
      <c r="K1133" s="364" t="str">
        <f>IF($G1133="","",IF($H1133=1,ROUND($G1133*10/23,0),IF($H1133=3,$G1133-2*ROUND($G1133/12,0),IF($H1133=4,$G1133,IF(OR($H1133=5,$H1133=7),ROUND($G1133*10/11,0),0)))))</f>
        <v/>
      </c>
      <c r="L1133" s="364" t="str">
        <f>IF($G1133="","",IF($H1133=1,ROUND($G1133/23,0),IF($H1133=3,ROUND($G1133/12,0),IF($H1133=5,$G1133-ROUND($G1133*10/11,0),IF($H1133=8,$G1133,0)))))</f>
        <v/>
      </c>
      <c r="M1133" s="364" t="str">
        <f>IF($G1133="","",IF($H1133=1,ROUND($G1133/23,0),IF($H1133=3,ROUND($G1133/12,0),IF($H1133=6,$G1133,IF($H1133=7,$G1133-ROUND($G1133*10/11,0),0)))))</f>
        <v/>
      </c>
      <c r="N1133" s="364" t="str">
        <f>IF($G1133="","",K1133+L1133+M1133)</f>
        <v/>
      </c>
      <c r="O1133" s="365" t="str">
        <f>IF($G1133="","",IFERROR(VLOOKUP($D1133&amp;"|"&amp;$E1133,科目表!$A$5:$B$200,2,FALSE),"※未登録"))</f>
        <v/>
      </c>
      <c r="P1133" s="359" t="str">
        <f>IF(OR($G1133="",$C1133=""),"",IF($B1133="決算整理",13,MOD(MONTH($C1133)-4,12)+1))</f>
        <v/>
      </c>
      <c r="Q1133" s="366" t="str">
        <f>IF($G1133="","",TRIM(IF(J1133+K1133+L1133+M1133&lt;&gt;$G1133,"按分不一致 ","")&amp;IF(O1133="※未登録","科目未登録 ","")&amp;IF(OR($H1133="",ISERROR(MATCH($H1133,{1,2,3,4,5,6,7,8},0))),"経費区分? ","")&amp;IF($I1133="","状態未設定 ","")&amp;IF(AND(OR($I1133="確認済",$I1133="未確認"),$B1133="月例",OR($C1133="",$C1133&lt;DATE(年度+2018,4,1),$C1133&gt;DATE(年度+2019,3,31))),"年度外の日付 ","")&amp;IF(AND(OR($I1133="確認済",$I1133="未確認"),O1133="対象外"),"対象外の科目 ","")))</f>
        <v/>
      </c>
      <c r="R1133" s="366" t="n"/>
    </row>
    <row r="1134">
      <c r="A1134" s="359" t="n"/>
      <c r="B1134" s="360" t="n"/>
      <c r="C1134" s="361" t="n"/>
      <c r="D1134" s="362" t="n"/>
      <c r="E1134" s="362" t="n"/>
      <c r="F1134" s="362" t="n"/>
      <c r="G1134" s="363" t="n"/>
      <c r="H1134" s="360" t="n"/>
      <c r="I1134" s="360" t="n"/>
      <c r="J1134" s="364" t="str">
        <f>IF($G1134="","",IF($H1134=1,$G1134-ROUND($G1134*10/23,0)-2*ROUND($G1134/23,0),IF($H1134=2,$G1134,0)))</f>
        <v/>
      </c>
      <c r="K1134" s="364" t="str">
        <f>IF($G1134="","",IF($H1134=1,ROUND($G1134*10/23,0),IF($H1134=3,$G1134-2*ROUND($G1134/12,0),IF($H1134=4,$G1134,IF(OR($H1134=5,$H1134=7),ROUND($G1134*10/11,0),0)))))</f>
        <v/>
      </c>
      <c r="L1134" s="364" t="str">
        <f>IF($G1134="","",IF($H1134=1,ROUND($G1134/23,0),IF($H1134=3,ROUND($G1134/12,0),IF($H1134=5,$G1134-ROUND($G1134*10/11,0),IF($H1134=8,$G1134,0)))))</f>
        <v/>
      </c>
      <c r="M1134" s="364" t="str">
        <f>IF($G1134="","",IF($H1134=1,ROUND($G1134/23,0),IF($H1134=3,ROUND($G1134/12,0),IF($H1134=6,$G1134,IF($H1134=7,$G1134-ROUND($G1134*10/11,0),0)))))</f>
        <v/>
      </c>
      <c r="N1134" s="364" t="str">
        <f>IF($G1134="","",K1134+L1134+M1134)</f>
        <v/>
      </c>
      <c r="O1134" s="365" t="str">
        <f>IF($G1134="","",IFERROR(VLOOKUP($D1134&amp;"|"&amp;$E1134,科目表!$A$5:$B$200,2,FALSE),"※未登録"))</f>
        <v/>
      </c>
      <c r="P1134" s="359" t="str">
        <f>IF(OR($G1134="",$C1134=""),"",IF($B1134="決算整理",13,MOD(MONTH($C1134)-4,12)+1))</f>
        <v/>
      </c>
      <c r="Q1134" s="366" t="str">
        <f>IF($G1134="","",TRIM(IF(J1134+K1134+L1134+M1134&lt;&gt;$G1134,"按分不一致 ","")&amp;IF(O1134="※未登録","科目未登録 ","")&amp;IF(OR($H1134="",ISERROR(MATCH($H1134,{1,2,3,4,5,6,7,8},0))),"経費区分? ","")&amp;IF($I1134="","状態未設定 ","")&amp;IF(AND(OR($I1134="確認済",$I1134="未確認"),$B1134="月例",OR($C1134="",$C1134&lt;DATE(年度+2018,4,1),$C1134&gt;DATE(年度+2019,3,31))),"年度外の日付 ","")&amp;IF(AND(OR($I1134="確認済",$I1134="未確認"),O1134="対象外"),"対象外の科目 ","")))</f>
        <v/>
      </c>
      <c r="R1134" s="366" t="n"/>
    </row>
    <row r="1135">
      <c r="A1135" s="359" t="n"/>
      <c r="B1135" s="360" t="n"/>
      <c r="C1135" s="361" t="n"/>
      <c r="D1135" s="362" t="n"/>
      <c r="E1135" s="362" t="n"/>
      <c r="F1135" s="362" t="n"/>
      <c r="G1135" s="363" t="n"/>
      <c r="H1135" s="360" t="n"/>
      <c r="I1135" s="360" t="n"/>
      <c r="J1135" s="364" t="str">
        <f>IF($G1135="","",IF($H1135=1,$G1135-ROUND($G1135*10/23,0)-2*ROUND($G1135/23,0),IF($H1135=2,$G1135,0)))</f>
        <v/>
      </c>
      <c r="K1135" s="364" t="str">
        <f>IF($G1135="","",IF($H1135=1,ROUND($G1135*10/23,0),IF($H1135=3,$G1135-2*ROUND($G1135/12,0),IF($H1135=4,$G1135,IF(OR($H1135=5,$H1135=7),ROUND($G1135*10/11,0),0)))))</f>
        <v/>
      </c>
      <c r="L1135" s="364" t="str">
        <f>IF($G1135="","",IF($H1135=1,ROUND($G1135/23,0),IF($H1135=3,ROUND($G1135/12,0),IF($H1135=5,$G1135-ROUND($G1135*10/11,0),IF($H1135=8,$G1135,0)))))</f>
        <v/>
      </c>
      <c r="M1135" s="364" t="str">
        <f>IF($G1135="","",IF($H1135=1,ROUND($G1135/23,0),IF($H1135=3,ROUND($G1135/12,0),IF($H1135=6,$G1135,IF($H1135=7,$G1135-ROUND($G1135*10/11,0),0)))))</f>
        <v/>
      </c>
      <c r="N1135" s="364" t="str">
        <f>IF($G1135="","",K1135+L1135+M1135)</f>
        <v/>
      </c>
      <c r="O1135" s="365" t="str">
        <f>IF($G1135="","",IFERROR(VLOOKUP($D1135&amp;"|"&amp;$E1135,科目表!$A$5:$B$200,2,FALSE),"※未登録"))</f>
        <v/>
      </c>
      <c r="P1135" s="359" t="str">
        <f>IF(OR($G1135="",$C1135=""),"",IF($B1135="決算整理",13,MOD(MONTH($C1135)-4,12)+1))</f>
        <v/>
      </c>
      <c r="Q1135" s="366" t="str">
        <f>IF($G1135="","",TRIM(IF(J1135+K1135+L1135+M1135&lt;&gt;$G1135,"按分不一致 ","")&amp;IF(O1135="※未登録","科目未登録 ","")&amp;IF(OR($H1135="",ISERROR(MATCH($H1135,{1,2,3,4,5,6,7,8},0))),"経費区分? ","")&amp;IF($I1135="","状態未設定 ","")&amp;IF(AND(OR($I1135="確認済",$I1135="未確認"),$B1135="月例",OR($C1135="",$C1135&lt;DATE(年度+2018,4,1),$C1135&gt;DATE(年度+2019,3,31))),"年度外の日付 ","")&amp;IF(AND(OR($I1135="確認済",$I1135="未確認"),O1135="対象外"),"対象外の科目 ","")))</f>
        <v/>
      </c>
      <c r="R1135" s="366" t="n"/>
    </row>
    <row r="1136">
      <c r="A1136" s="359" t="n"/>
      <c r="B1136" s="360" t="n"/>
      <c r="C1136" s="361" t="n"/>
      <c r="D1136" s="362" t="n"/>
      <c r="E1136" s="362" t="n"/>
      <c r="F1136" s="362" t="n"/>
      <c r="G1136" s="363" t="n"/>
      <c r="H1136" s="360" t="n"/>
      <c r="I1136" s="360" t="n"/>
      <c r="J1136" s="364" t="str">
        <f>IF($G1136="","",IF($H1136=1,$G1136-ROUND($G1136*10/23,0)-2*ROUND($G1136/23,0),IF($H1136=2,$G1136,0)))</f>
        <v/>
      </c>
      <c r="K1136" s="364" t="str">
        <f>IF($G1136="","",IF($H1136=1,ROUND($G1136*10/23,0),IF($H1136=3,$G1136-2*ROUND($G1136/12,0),IF($H1136=4,$G1136,IF(OR($H1136=5,$H1136=7),ROUND($G1136*10/11,0),0)))))</f>
        <v/>
      </c>
      <c r="L1136" s="364" t="str">
        <f>IF($G1136="","",IF($H1136=1,ROUND($G1136/23,0),IF($H1136=3,ROUND($G1136/12,0),IF($H1136=5,$G1136-ROUND($G1136*10/11,0),IF($H1136=8,$G1136,0)))))</f>
        <v/>
      </c>
      <c r="M1136" s="364" t="str">
        <f>IF($G1136="","",IF($H1136=1,ROUND($G1136/23,0),IF($H1136=3,ROUND($G1136/12,0),IF($H1136=6,$G1136,IF($H1136=7,$G1136-ROUND($G1136*10/11,0),0)))))</f>
        <v/>
      </c>
      <c r="N1136" s="364" t="str">
        <f>IF($G1136="","",K1136+L1136+M1136)</f>
        <v/>
      </c>
      <c r="O1136" s="365" t="str">
        <f>IF($G1136="","",IFERROR(VLOOKUP($D1136&amp;"|"&amp;$E1136,科目表!$A$5:$B$200,2,FALSE),"※未登録"))</f>
        <v/>
      </c>
      <c r="P1136" s="359" t="str">
        <f>IF(OR($G1136="",$C1136=""),"",IF($B1136="決算整理",13,MOD(MONTH($C1136)-4,12)+1))</f>
        <v/>
      </c>
      <c r="Q1136" s="366" t="str">
        <f>IF($G1136="","",TRIM(IF(J1136+K1136+L1136+M1136&lt;&gt;$G1136,"按分不一致 ","")&amp;IF(O1136="※未登録","科目未登録 ","")&amp;IF(OR($H1136="",ISERROR(MATCH($H1136,{1,2,3,4,5,6,7,8},0))),"経費区分? ","")&amp;IF($I1136="","状態未設定 ","")&amp;IF(AND(OR($I1136="確認済",$I1136="未確認"),$B1136="月例",OR($C1136="",$C1136&lt;DATE(年度+2018,4,1),$C1136&gt;DATE(年度+2019,3,31))),"年度外の日付 ","")&amp;IF(AND(OR($I1136="確認済",$I1136="未確認"),O1136="対象外"),"対象外の科目 ","")))</f>
        <v/>
      </c>
      <c r="R1136" s="366" t="n"/>
    </row>
    <row r="1137">
      <c r="A1137" s="359" t="n"/>
      <c r="B1137" s="360" t="n"/>
      <c r="C1137" s="361" t="n"/>
      <c r="D1137" s="362" t="n"/>
      <c r="E1137" s="362" t="n"/>
      <c r="F1137" s="362" t="n"/>
      <c r="G1137" s="363" t="n"/>
      <c r="H1137" s="360" t="n"/>
      <c r="I1137" s="360" t="n"/>
      <c r="J1137" s="364" t="str">
        <f>IF($G1137="","",IF($H1137=1,$G1137-ROUND($G1137*10/23,0)-2*ROUND($G1137/23,0),IF($H1137=2,$G1137,0)))</f>
        <v/>
      </c>
      <c r="K1137" s="364" t="str">
        <f>IF($G1137="","",IF($H1137=1,ROUND($G1137*10/23,0),IF($H1137=3,$G1137-2*ROUND($G1137/12,0),IF($H1137=4,$G1137,IF(OR($H1137=5,$H1137=7),ROUND($G1137*10/11,0),0)))))</f>
        <v/>
      </c>
      <c r="L1137" s="364" t="str">
        <f>IF($G1137="","",IF($H1137=1,ROUND($G1137/23,0),IF($H1137=3,ROUND($G1137/12,0),IF($H1137=5,$G1137-ROUND($G1137*10/11,0),IF($H1137=8,$G1137,0)))))</f>
        <v/>
      </c>
      <c r="M1137" s="364" t="str">
        <f>IF($G1137="","",IF($H1137=1,ROUND($G1137/23,0),IF($H1137=3,ROUND($G1137/12,0),IF($H1137=6,$G1137,IF($H1137=7,$G1137-ROUND($G1137*10/11,0),0)))))</f>
        <v/>
      </c>
      <c r="N1137" s="364" t="str">
        <f>IF($G1137="","",K1137+L1137+M1137)</f>
        <v/>
      </c>
      <c r="O1137" s="365" t="str">
        <f>IF($G1137="","",IFERROR(VLOOKUP($D1137&amp;"|"&amp;$E1137,科目表!$A$5:$B$200,2,FALSE),"※未登録"))</f>
        <v/>
      </c>
      <c r="P1137" s="359" t="str">
        <f>IF(OR($G1137="",$C1137=""),"",IF($B1137="決算整理",13,MOD(MONTH($C1137)-4,12)+1))</f>
        <v/>
      </c>
      <c r="Q1137" s="366" t="str">
        <f>IF($G1137="","",TRIM(IF(J1137+K1137+L1137+M1137&lt;&gt;$G1137,"按分不一致 ","")&amp;IF(O1137="※未登録","科目未登録 ","")&amp;IF(OR($H1137="",ISERROR(MATCH($H1137,{1,2,3,4,5,6,7,8},0))),"経費区分? ","")&amp;IF($I1137="","状態未設定 ","")&amp;IF(AND(OR($I1137="確認済",$I1137="未確認"),$B1137="月例",OR($C1137="",$C1137&lt;DATE(年度+2018,4,1),$C1137&gt;DATE(年度+2019,3,31))),"年度外の日付 ","")&amp;IF(AND(OR($I1137="確認済",$I1137="未確認"),O1137="対象外"),"対象外の科目 ","")))</f>
        <v/>
      </c>
      <c r="R1137" s="366" t="n"/>
    </row>
    <row r="1138">
      <c r="A1138" s="359" t="n"/>
      <c r="B1138" s="360" t="n"/>
      <c r="C1138" s="361" t="n"/>
      <c r="D1138" s="362" t="n"/>
      <c r="E1138" s="362" t="n"/>
      <c r="F1138" s="362" t="n"/>
      <c r="G1138" s="363" t="n"/>
      <c r="H1138" s="360" t="n"/>
      <c r="I1138" s="360" t="n"/>
      <c r="J1138" s="364" t="str">
        <f>IF($G1138="","",IF($H1138=1,$G1138-ROUND($G1138*10/23,0)-2*ROUND($G1138/23,0),IF($H1138=2,$G1138,0)))</f>
        <v/>
      </c>
      <c r="K1138" s="364" t="str">
        <f>IF($G1138="","",IF($H1138=1,ROUND($G1138*10/23,0),IF($H1138=3,$G1138-2*ROUND($G1138/12,0),IF($H1138=4,$G1138,IF(OR($H1138=5,$H1138=7),ROUND($G1138*10/11,0),0)))))</f>
        <v/>
      </c>
      <c r="L1138" s="364" t="str">
        <f>IF($G1138="","",IF($H1138=1,ROUND($G1138/23,0),IF($H1138=3,ROUND($G1138/12,0),IF($H1138=5,$G1138-ROUND($G1138*10/11,0),IF($H1138=8,$G1138,0)))))</f>
        <v/>
      </c>
      <c r="M1138" s="364" t="str">
        <f>IF($G1138="","",IF($H1138=1,ROUND($G1138/23,0),IF($H1138=3,ROUND($G1138/12,0),IF($H1138=6,$G1138,IF($H1138=7,$G1138-ROUND($G1138*10/11,0),0)))))</f>
        <v/>
      </c>
      <c r="N1138" s="364" t="str">
        <f>IF($G1138="","",K1138+L1138+M1138)</f>
        <v/>
      </c>
      <c r="O1138" s="365" t="str">
        <f>IF($G1138="","",IFERROR(VLOOKUP($D1138&amp;"|"&amp;$E1138,科目表!$A$5:$B$200,2,FALSE),"※未登録"))</f>
        <v/>
      </c>
      <c r="P1138" s="359" t="str">
        <f>IF(OR($G1138="",$C1138=""),"",IF($B1138="決算整理",13,MOD(MONTH($C1138)-4,12)+1))</f>
        <v/>
      </c>
      <c r="Q1138" s="366" t="str">
        <f>IF($G1138="","",TRIM(IF(J1138+K1138+L1138+M1138&lt;&gt;$G1138,"按分不一致 ","")&amp;IF(O1138="※未登録","科目未登録 ","")&amp;IF(OR($H1138="",ISERROR(MATCH($H1138,{1,2,3,4,5,6,7,8},0))),"経費区分? ","")&amp;IF($I1138="","状態未設定 ","")&amp;IF(AND(OR($I1138="確認済",$I1138="未確認"),$B1138="月例",OR($C1138="",$C1138&lt;DATE(年度+2018,4,1),$C1138&gt;DATE(年度+2019,3,31))),"年度外の日付 ","")&amp;IF(AND(OR($I1138="確認済",$I1138="未確認"),O1138="対象外"),"対象外の科目 ","")))</f>
        <v/>
      </c>
      <c r="R1138" s="366" t="n"/>
    </row>
    <row r="1139">
      <c r="A1139" s="359" t="n"/>
      <c r="B1139" s="360" t="n"/>
      <c r="C1139" s="361" t="n"/>
      <c r="D1139" s="362" t="n"/>
      <c r="E1139" s="362" t="n"/>
      <c r="F1139" s="362" t="n"/>
      <c r="G1139" s="363" t="n"/>
      <c r="H1139" s="360" t="n"/>
      <c r="I1139" s="360" t="n"/>
      <c r="J1139" s="364" t="str">
        <f>IF($G1139="","",IF($H1139=1,$G1139-ROUND($G1139*10/23,0)-2*ROUND($G1139/23,0),IF($H1139=2,$G1139,0)))</f>
        <v/>
      </c>
      <c r="K1139" s="364" t="str">
        <f>IF($G1139="","",IF($H1139=1,ROUND($G1139*10/23,0),IF($H1139=3,$G1139-2*ROUND($G1139/12,0),IF($H1139=4,$G1139,IF(OR($H1139=5,$H1139=7),ROUND($G1139*10/11,0),0)))))</f>
        <v/>
      </c>
      <c r="L1139" s="364" t="str">
        <f>IF($G1139="","",IF($H1139=1,ROUND($G1139/23,0),IF($H1139=3,ROUND($G1139/12,0),IF($H1139=5,$G1139-ROUND($G1139*10/11,0),IF($H1139=8,$G1139,0)))))</f>
        <v/>
      </c>
      <c r="M1139" s="364" t="str">
        <f>IF($G1139="","",IF($H1139=1,ROUND($G1139/23,0),IF($H1139=3,ROUND($G1139/12,0),IF($H1139=6,$G1139,IF($H1139=7,$G1139-ROUND($G1139*10/11,0),0)))))</f>
        <v/>
      </c>
      <c r="N1139" s="364" t="str">
        <f>IF($G1139="","",K1139+L1139+M1139)</f>
        <v/>
      </c>
      <c r="O1139" s="365" t="str">
        <f>IF($G1139="","",IFERROR(VLOOKUP($D1139&amp;"|"&amp;$E1139,科目表!$A$5:$B$200,2,FALSE),"※未登録"))</f>
        <v/>
      </c>
      <c r="P1139" s="359" t="str">
        <f>IF(OR($G1139="",$C1139=""),"",IF($B1139="決算整理",13,MOD(MONTH($C1139)-4,12)+1))</f>
        <v/>
      </c>
      <c r="Q1139" s="366" t="str">
        <f>IF($G1139="","",TRIM(IF(J1139+K1139+L1139+M1139&lt;&gt;$G1139,"按分不一致 ","")&amp;IF(O1139="※未登録","科目未登録 ","")&amp;IF(OR($H1139="",ISERROR(MATCH($H1139,{1,2,3,4,5,6,7,8},0))),"経費区分? ","")&amp;IF($I1139="","状態未設定 ","")&amp;IF(AND(OR($I1139="確認済",$I1139="未確認"),$B1139="月例",OR($C1139="",$C1139&lt;DATE(年度+2018,4,1),$C1139&gt;DATE(年度+2019,3,31))),"年度外の日付 ","")&amp;IF(AND(OR($I1139="確認済",$I1139="未確認"),O1139="対象外"),"対象外の科目 ","")))</f>
        <v/>
      </c>
      <c r="R1139" s="366" t="n"/>
    </row>
    <row r="1140">
      <c r="A1140" s="359" t="n"/>
      <c r="B1140" s="360" t="n"/>
      <c r="C1140" s="361" t="n"/>
      <c r="D1140" s="362" t="n"/>
      <c r="E1140" s="362" t="n"/>
      <c r="F1140" s="362" t="n"/>
      <c r="G1140" s="363" t="n"/>
      <c r="H1140" s="360" t="n"/>
      <c r="I1140" s="360" t="n"/>
      <c r="J1140" s="364" t="str">
        <f>IF($G1140="","",IF($H1140=1,$G1140-ROUND($G1140*10/23,0)-2*ROUND($G1140/23,0),IF($H1140=2,$G1140,0)))</f>
        <v/>
      </c>
      <c r="K1140" s="364" t="str">
        <f>IF($G1140="","",IF($H1140=1,ROUND($G1140*10/23,0),IF($H1140=3,$G1140-2*ROUND($G1140/12,0),IF($H1140=4,$G1140,IF(OR($H1140=5,$H1140=7),ROUND($G1140*10/11,0),0)))))</f>
        <v/>
      </c>
      <c r="L1140" s="364" t="str">
        <f>IF($G1140="","",IF($H1140=1,ROUND($G1140/23,0),IF($H1140=3,ROUND($G1140/12,0),IF($H1140=5,$G1140-ROUND($G1140*10/11,0),IF($H1140=8,$G1140,0)))))</f>
        <v/>
      </c>
      <c r="M1140" s="364" t="str">
        <f>IF($G1140="","",IF($H1140=1,ROUND($G1140/23,0),IF($H1140=3,ROUND($G1140/12,0),IF($H1140=6,$G1140,IF($H1140=7,$G1140-ROUND($G1140*10/11,0),0)))))</f>
        <v/>
      </c>
      <c r="N1140" s="364" t="str">
        <f>IF($G1140="","",K1140+L1140+M1140)</f>
        <v/>
      </c>
      <c r="O1140" s="365" t="str">
        <f>IF($G1140="","",IFERROR(VLOOKUP($D1140&amp;"|"&amp;$E1140,科目表!$A$5:$B$200,2,FALSE),"※未登録"))</f>
        <v/>
      </c>
      <c r="P1140" s="359" t="str">
        <f>IF(OR($G1140="",$C1140=""),"",IF($B1140="決算整理",13,MOD(MONTH($C1140)-4,12)+1))</f>
        <v/>
      </c>
      <c r="Q1140" s="366" t="str">
        <f>IF($G1140="","",TRIM(IF(J1140+K1140+L1140+M1140&lt;&gt;$G1140,"按分不一致 ","")&amp;IF(O1140="※未登録","科目未登録 ","")&amp;IF(OR($H1140="",ISERROR(MATCH($H1140,{1,2,3,4,5,6,7,8},0))),"経費区分? ","")&amp;IF($I1140="","状態未設定 ","")&amp;IF(AND(OR($I1140="確認済",$I1140="未確認"),$B1140="月例",OR($C1140="",$C1140&lt;DATE(年度+2018,4,1),$C1140&gt;DATE(年度+2019,3,31))),"年度外の日付 ","")&amp;IF(AND(OR($I1140="確認済",$I1140="未確認"),O1140="対象外"),"対象外の科目 ","")))</f>
        <v/>
      </c>
      <c r="R1140" s="366" t="n"/>
    </row>
    <row r="1141">
      <c r="A1141" s="359" t="n"/>
      <c r="B1141" s="360" t="n"/>
      <c r="C1141" s="361" t="n"/>
      <c r="D1141" s="362" t="n"/>
      <c r="E1141" s="362" t="n"/>
      <c r="F1141" s="362" t="n"/>
      <c r="G1141" s="363" t="n"/>
      <c r="H1141" s="360" t="n"/>
      <c r="I1141" s="360" t="n"/>
      <c r="J1141" s="364" t="str">
        <f>IF($G1141="","",IF($H1141=1,$G1141-ROUND($G1141*10/23,0)-2*ROUND($G1141/23,0),IF($H1141=2,$G1141,0)))</f>
        <v/>
      </c>
      <c r="K1141" s="364" t="str">
        <f>IF($G1141="","",IF($H1141=1,ROUND($G1141*10/23,0),IF($H1141=3,$G1141-2*ROUND($G1141/12,0),IF($H1141=4,$G1141,IF(OR($H1141=5,$H1141=7),ROUND($G1141*10/11,0),0)))))</f>
        <v/>
      </c>
      <c r="L1141" s="364" t="str">
        <f>IF($G1141="","",IF($H1141=1,ROUND($G1141/23,0),IF($H1141=3,ROUND($G1141/12,0),IF($H1141=5,$G1141-ROUND($G1141*10/11,0),IF($H1141=8,$G1141,0)))))</f>
        <v/>
      </c>
      <c r="M1141" s="364" t="str">
        <f>IF($G1141="","",IF($H1141=1,ROUND($G1141/23,0),IF($H1141=3,ROUND($G1141/12,0),IF($H1141=6,$G1141,IF($H1141=7,$G1141-ROUND($G1141*10/11,0),0)))))</f>
        <v/>
      </c>
      <c r="N1141" s="364" t="str">
        <f>IF($G1141="","",K1141+L1141+M1141)</f>
        <v/>
      </c>
      <c r="O1141" s="365" t="str">
        <f>IF($G1141="","",IFERROR(VLOOKUP($D1141&amp;"|"&amp;$E1141,科目表!$A$5:$B$200,2,FALSE),"※未登録"))</f>
        <v/>
      </c>
      <c r="P1141" s="359" t="str">
        <f>IF(OR($G1141="",$C1141=""),"",IF($B1141="決算整理",13,MOD(MONTH($C1141)-4,12)+1))</f>
        <v/>
      </c>
      <c r="Q1141" s="366" t="str">
        <f>IF($G1141="","",TRIM(IF(J1141+K1141+L1141+M1141&lt;&gt;$G1141,"按分不一致 ","")&amp;IF(O1141="※未登録","科目未登録 ","")&amp;IF(OR($H1141="",ISERROR(MATCH($H1141,{1,2,3,4,5,6,7,8},0))),"経費区分? ","")&amp;IF($I1141="","状態未設定 ","")&amp;IF(AND(OR($I1141="確認済",$I1141="未確認"),$B1141="月例",OR($C1141="",$C1141&lt;DATE(年度+2018,4,1),$C1141&gt;DATE(年度+2019,3,31))),"年度外の日付 ","")&amp;IF(AND(OR($I1141="確認済",$I1141="未確認"),O1141="対象外"),"対象外の科目 ","")))</f>
        <v/>
      </c>
      <c r="R1141" s="366" t="n"/>
    </row>
    <row r="1142">
      <c r="A1142" s="359" t="n"/>
      <c r="B1142" s="360" t="n"/>
      <c r="C1142" s="361" t="n"/>
      <c r="D1142" s="362" t="n"/>
      <c r="E1142" s="362" t="n"/>
      <c r="F1142" s="362" t="n"/>
      <c r="G1142" s="363" t="n"/>
      <c r="H1142" s="360" t="n"/>
      <c r="I1142" s="360" t="n"/>
      <c r="J1142" s="364" t="str">
        <f>IF($G1142="","",IF($H1142=1,$G1142-ROUND($G1142*10/23,0)-2*ROUND($G1142/23,0),IF($H1142=2,$G1142,0)))</f>
        <v/>
      </c>
      <c r="K1142" s="364" t="str">
        <f>IF($G1142="","",IF($H1142=1,ROUND($G1142*10/23,0),IF($H1142=3,$G1142-2*ROUND($G1142/12,0),IF($H1142=4,$G1142,IF(OR($H1142=5,$H1142=7),ROUND($G1142*10/11,0),0)))))</f>
        <v/>
      </c>
      <c r="L1142" s="364" t="str">
        <f>IF($G1142="","",IF($H1142=1,ROUND($G1142/23,0),IF($H1142=3,ROUND($G1142/12,0),IF($H1142=5,$G1142-ROUND($G1142*10/11,0),IF($H1142=8,$G1142,0)))))</f>
        <v/>
      </c>
      <c r="M1142" s="364" t="str">
        <f>IF($G1142="","",IF($H1142=1,ROUND($G1142/23,0),IF($H1142=3,ROUND($G1142/12,0),IF($H1142=6,$G1142,IF($H1142=7,$G1142-ROUND($G1142*10/11,0),0)))))</f>
        <v/>
      </c>
      <c r="N1142" s="364" t="str">
        <f>IF($G1142="","",K1142+L1142+M1142)</f>
        <v/>
      </c>
      <c r="O1142" s="365" t="str">
        <f>IF($G1142="","",IFERROR(VLOOKUP($D1142&amp;"|"&amp;$E1142,科目表!$A$5:$B$200,2,FALSE),"※未登録"))</f>
        <v/>
      </c>
      <c r="P1142" s="359" t="str">
        <f>IF(OR($G1142="",$C1142=""),"",IF($B1142="決算整理",13,MOD(MONTH($C1142)-4,12)+1))</f>
        <v/>
      </c>
      <c r="Q1142" s="366" t="str">
        <f>IF($G1142="","",TRIM(IF(J1142+K1142+L1142+M1142&lt;&gt;$G1142,"按分不一致 ","")&amp;IF(O1142="※未登録","科目未登録 ","")&amp;IF(OR($H1142="",ISERROR(MATCH($H1142,{1,2,3,4,5,6,7,8},0))),"経費区分? ","")&amp;IF($I1142="","状態未設定 ","")&amp;IF(AND(OR($I1142="確認済",$I1142="未確認"),$B1142="月例",OR($C1142="",$C1142&lt;DATE(年度+2018,4,1),$C1142&gt;DATE(年度+2019,3,31))),"年度外の日付 ","")&amp;IF(AND(OR($I1142="確認済",$I1142="未確認"),O1142="対象外"),"対象外の科目 ","")))</f>
        <v/>
      </c>
      <c r="R1142" s="366" t="n"/>
    </row>
    <row r="1143">
      <c r="A1143" s="359" t="n"/>
      <c r="B1143" s="360" t="n"/>
      <c r="C1143" s="361" t="n"/>
      <c r="D1143" s="362" t="n"/>
      <c r="E1143" s="362" t="n"/>
      <c r="F1143" s="362" t="n"/>
      <c r="G1143" s="363" t="n"/>
      <c r="H1143" s="360" t="n"/>
      <c r="I1143" s="360" t="n"/>
      <c r="J1143" s="364" t="str">
        <f>IF($G1143="","",IF($H1143=1,$G1143-ROUND($G1143*10/23,0)-2*ROUND($G1143/23,0),IF($H1143=2,$G1143,0)))</f>
        <v/>
      </c>
      <c r="K1143" s="364" t="str">
        <f>IF($G1143="","",IF($H1143=1,ROUND($G1143*10/23,0),IF($H1143=3,$G1143-2*ROUND($G1143/12,0),IF($H1143=4,$G1143,IF(OR($H1143=5,$H1143=7),ROUND($G1143*10/11,0),0)))))</f>
        <v/>
      </c>
      <c r="L1143" s="364" t="str">
        <f>IF($G1143="","",IF($H1143=1,ROUND($G1143/23,0),IF($H1143=3,ROUND($G1143/12,0),IF($H1143=5,$G1143-ROUND($G1143*10/11,0),IF($H1143=8,$G1143,0)))))</f>
        <v/>
      </c>
      <c r="M1143" s="364" t="str">
        <f>IF($G1143="","",IF($H1143=1,ROUND($G1143/23,0),IF($H1143=3,ROUND($G1143/12,0),IF($H1143=6,$G1143,IF($H1143=7,$G1143-ROUND($G1143*10/11,0),0)))))</f>
        <v/>
      </c>
      <c r="N1143" s="364" t="str">
        <f>IF($G1143="","",K1143+L1143+M1143)</f>
        <v/>
      </c>
      <c r="O1143" s="365" t="str">
        <f>IF($G1143="","",IFERROR(VLOOKUP($D1143&amp;"|"&amp;$E1143,科目表!$A$5:$B$200,2,FALSE),"※未登録"))</f>
        <v/>
      </c>
      <c r="P1143" s="359" t="str">
        <f>IF(OR($G1143="",$C1143=""),"",IF($B1143="決算整理",13,MOD(MONTH($C1143)-4,12)+1))</f>
        <v/>
      </c>
      <c r="Q1143" s="366" t="str">
        <f>IF($G1143="","",TRIM(IF(J1143+K1143+L1143+M1143&lt;&gt;$G1143,"按分不一致 ","")&amp;IF(O1143="※未登録","科目未登録 ","")&amp;IF(OR($H1143="",ISERROR(MATCH($H1143,{1,2,3,4,5,6,7,8},0))),"経費区分? ","")&amp;IF($I1143="","状態未設定 ","")&amp;IF(AND(OR($I1143="確認済",$I1143="未確認"),$B1143="月例",OR($C1143="",$C1143&lt;DATE(年度+2018,4,1),$C1143&gt;DATE(年度+2019,3,31))),"年度外の日付 ","")&amp;IF(AND(OR($I1143="確認済",$I1143="未確認"),O1143="対象外"),"対象外の科目 ","")))</f>
        <v/>
      </c>
      <c r="R1143" s="366" t="n"/>
    </row>
    <row r="1144">
      <c r="A1144" s="359" t="n"/>
      <c r="B1144" s="360" t="n"/>
      <c r="C1144" s="361" t="n"/>
      <c r="D1144" s="362" t="n"/>
      <c r="E1144" s="362" t="n"/>
      <c r="F1144" s="362" t="n"/>
      <c r="G1144" s="363" t="n"/>
      <c r="H1144" s="360" t="n"/>
      <c r="I1144" s="360" t="n"/>
      <c r="J1144" s="364" t="str">
        <f>IF($G1144="","",IF($H1144=1,$G1144-ROUND($G1144*10/23,0)-2*ROUND($G1144/23,0),IF($H1144=2,$G1144,0)))</f>
        <v/>
      </c>
      <c r="K1144" s="364" t="str">
        <f>IF($G1144="","",IF($H1144=1,ROUND($G1144*10/23,0),IF($H1144=3,$G1144-2*ROUND($G1144/12,0),IF($H1144=4,$G1144,IF(OR($H1144=5,$H1144=7),ROUND($G1144*10/11,0),0)))))</f>
        <v/>
      </c>
      <c r="L1144" s="364" t="str">
        <f>IF($G1144="","",IF($H1144=1,ROUND($G1144/23,0),IF($H1144=3,ROUND($G1144/12,0),IF($H1144=5,$G1144-ROUND($G1144*10/11,0),IF($H1144=8,$G1144,0)))))</f>
        <v/>
      </c>
      <c r="M1144" s="364" t="str">
        <f>IF($G1144="","",IF($H1144=1,ROUND($G1144/23,0),IF($H1144=3,ROUND($G1144/12,0),IF($H1144=6,$G1144,IF($H1144=7,$G1144-ROUND($G1144*10/11,0),0)))))</f>
        <v/>
      </c>
      <c r="N1144" s="364" t="str">
        <f>IF($G1144="","",K1144+L1144+M1144)</f>
        <v/>
      </c>
      <c r="O1144" s="365" t="str">
        <f>IF($G1144="","",IFERROR(VLOOKUP($D1144&amp;"|"&amp;$E1144,科目表!$A$5:$B$200,2,FALSE),"※未登録"))</f>
        <v/>
      </c>
      <c r="P1144" s="359" t="str">
        <f>IF(OR($G1144="",$C1144=""),"",IF($B1144="決算整理",13,MOD(MONTH($C1144)-4,12)+1))</f>
        <v/>
      </c>
      <c r="Q1144" s="366" t="str">
        <f>IF($G1144="","",TRIM(IF(J1144+K1144+L1144+M1144&lt;&gt;$G1144,"按分不一致 ","")&amp;IF(O1144="※未登録","科目未登録 ","")&amp;IF(OR($H1144="",ISERROR(MATCH($H1144,{1,2,3,4,5,6,7,8},0))),"経費区分? ","")&amp;IF($I1144="","状態未設定 ","")&amp;IF(AND(OR($I1144="確認済",$I1144="未確認"),$B1144="月例",OR($C1144="",$C1144&lt;DATE(年度+2018,4,1),$C1144&gt;DATE(年度+2019,3,31))),"年度外の日付 ","")&amp;IF(AND(OR($I1144="確認済",$I1144="未確認"),O1144="対象外"),"対象外の科目 ","")))</f>
        <v/>
      </c>
      <c r="R1144" s="366" t="n"/>
    </row>
    <row r="1145">
      <c r="A1145" s="359" t="n"/>
      <c r="B1145" s="360" t="n"/>
      <c r="C1145" s="361" t="n"/>
      <c r="D1145" s="362" t="n"/>
      <c r="E1145" s="362" t="n"/>
      <c r="F1145" s="362" t="n"/>
      <c r="G1145" s="363" t="n"/>
      <c r="H1145" s="360" t="n"/>
      <c r="I1145" s="360" t="n"/>
      <c r="J1145" s="364" t="str">
        <f>IF($G1145="","",IF($H1145=1,$G1145-ROUND($G1145*10/23,0)-2*ROUND($G1145/23,0),IF($H1145=2,$G1145,0)))</f>
        <v/>
      </c>
      <c r="K1145" s="364" t="str">
        <f>IF($G1145="","",IF($H1145=1,ROUND($G1145*10/23,0),IF($H1145=3,$G1145-2*ROUND($G1145/12,0),IF($H1145=4,$G1145,IF(OR($H1145=5,$H1145=7),ROUND($G1145*10/11,0),0)))))</f>
        <v/>
      </c>
      <c r="L1145" s="364" t="str">
        <f>IF($G1145="","",IF($H1145=1,ROUND($G1145/23,0),IF($H1145=3,ROUND($G1145/12,0),IF($H1145=5,$G1145-ROUND($G1145*10/11,0),IF($H1145=8,$G1145,0)))))</f>
        <v/>
      </c>
      <c r="M1145" s="364" t="str">
        <f>IF($G1145="","",IF($H1145=1,ROUND($G1145/23,0),IF($H1145=3,ROUND($G1145/12,0),IF($H1145=6,$G1145,IF($H1145=7,$G1145-ROUND($G1145*10/11,0),0)))))</f>
        <v/>
      </c>
      <c r="N1145" s="364" t="str">
        <f>IF($G1145="","",K1145+L1145+M1145)</f>
        <v/>
      </c>
      <c r="O1145" s="365" t="str">
        <f>IF($G1145="","",IFERROR(VLOOKUP($D1145&amp;"|"&amp;$E1145,科目表!$A$5:$B$200,2,FALSE),"※未登録"))</f>
        <v/>
      </c>
      <c r="P1145" s="359" t="str">
        <f>IF(OR($G1145="",$C1145=""),"",IF($B1145="決算整理",13,MOD(MONTH($C1145)-4,12)+1))</f>
        <v/>
      </c>
      <c r="Q1145" s="366" t="str">
        <f>IF($G1145="","",TRIM(IF(J1145+K1145+L1145+M1145&lt;&gt;$G1145,"按分不一致 ","")&amp;IF(O1145="※未登録","科目未登録 ","")&amp;IF(OR($H1145="",ISERROR(MATCH($H1145,{1,2,3,4,5,6,7,8},0))),"経費区分? ","")&amp;IF($I1145="","状態未設定 ","")&amp;IF(AND(OR($I1145="確認済",$I1145="未確認"),$B1145="月例",OR($C1145="",$C1145&lt;DATE(年度+2018,4,1),$C1145&gt;DATE(年度+2019,3,31))),"年度外の日付 ","")&amp;IF(AND(OR($I1145="確認済",$I1145="未確認"),O1145="対象外"),"対象外の科目 ","")))</f>
        <v/>
      </c>
      <c r="R1145" s="366" t="n"/>
    </row>
    <row r="1146">
      <c r="A1146" s="359" t="n"/>
      <c r="B1146" s="360" t="n"/>
      <c r="C1146" s="361" t="n"/>
      <c r="D1146" s="362" t="n"/>
      <c r="E1146" s="362" t="n"/>
      <c r="F1146" s="362" t="n"/>
      <c r="G1146" s="363" t="n"/>
      <c r="H1146" s="360" t="n"/>
      <c r="I1146" s="360" t="n"/>
      <c r="J1146" s="364" t="str">
        <f>IF($G1146="","",IF($H1146=1,$G1146-ROUND($G1146*10/23,0)-2*ROUND($G1146/23,0),IF($H1146=2,$G1146,0)))</f>
        <v/>
      </c>
      <c r="K1146" s="364" t="str">
        <f>IF($G1146="","",IF($H1146=1,ROUND($G1146*10/23,0),IF($H1146=3,$G1146-2*ROUND($G1146/12,0),IF($H1146=4,$G1146,IF(OR($H1146=5,$H1146=7),ROUND($G1146*10/11,0),0)))))</f>
        <v/>
      </c>
      <c r="L1146" s="364" t="str">
        <f>IF($G1146="","",IF($H1146=1,ROUND($G1146/23,0),IF($H1146=3,ROUND($G1146/12,0),IF($H1146=5,$G1146-ROUND($G1146*10/11,0),IF($H1146=8,$G1146,0)))))</f>
        <v/>
      </c>
      <c r="M1146" s="364" t="str">
        <f>IF($G1146="","",IF($H1146=1,ROUND($G1146/23,0),IF($H1146=3,ROUND($G1146/12,0),IF($H1146=6,$G1146,IF($H1146=7,$G1146-ROUND($G1146*10/11,0),0)))))</f>
        <v/>
      </c>
      <c r="N1146" s="364" t="str">
        <f>IF($G1146="","",K1146+L1146+M1146)</f>
        <v/>
      </c>
      <c r="O1146" s="365" t="str">
        <f>IF($G1146="","",IFERROR(VLOOKUP($D1146&amp;"|"&amp;$E1146,科目表!$A$5:$B$200,2,FALSE),"※未登録"))</f>
        <v/>
      </c>
      <c r="P1146" s="359" t="str">
        <f>IF(OR($G1146="",$C1146=""),"",IF($B1146="決算整理",13,MOD(MONTH($C1146)-4,12)+1))</f>
        <v/>
      </c>
      <c r="Q1146" s="366" t="str">
        <f>IF($G1146="","",TRIM(IF(J1146+K1146+L1146+M1146&lt;&gt;$G1146,"按分不一致 ","")&amp;IF(O1146="※未登録","科目未登録 ","")&amp;IF(OR($H1146="",ISERROR(MATCH($H1146,{1,2,3,4,5,6,7,8},0))),"経費区分? ","")&amp;IF($I1146="","状態未設定 ","")&amp;IF(AND(OR($I1146="確認済",$I1146="未確認"),$B1146="月例",OR($C1146="",$C1146&lt;DATE(年度+2018,4,1),$C1146&gt;DATE(年度+2019,3,31))),"年度外の日付 ","")&amp;IF(AND(OR($I1146="確認済",$I1146="未確認"),O1146="対象外"),"対象外の科目 ","")))</f>
        <v/>
      </c>
      <c r="R1146" s="366" t="n"/>
    </row>
    <row r="1147">
      <c r="A1147" s="359" t="n"/>
      <c r="B1147" s="360" t="n"/>
      <c r="C1147" s="361" t="n"/>
      <c r="D1147" s="362" t="n"/>
      <c r="E1147" s="362" t="n"/>
      <c r="F1147" s="362" t="n"/>
      <c r="G1147" s="363" t="n"/>
      <c r="H1147" s="360" t="n"/>
      <c r="I1147" s="360" t="n"/>
      <c r="J1147" s="364" t="str">
        <f>IF($G1147="","",IF($H1147=1,$G1147-ROUND($G1147*10/23,0)-2*ROUND($G1147/23,0),IF($H1147=2,$G1147,0)))</f>
        <v/>
      </c>
      <c r="K1147" s="364" t="str">
        <f>IF($G1147="","",IF($H1147=1,ROUND($G1147*10/23,0),IF($H1147=3,$G1147-2*ROUND($G1147/12,0),IF($H1147=4,$G1147,IF(OR($H1147=5,$H1147=7),ROUND($G1147*10/11,0),0)))))</f>
        <v/>
      </c>
      <c r="L1147" s="364" t="str">
        <f>IF($G1147="","",IF($H1147=1,ROUND($G1147/23,0),IF($H1147=3,ROUND($G1147/12,0),IF($H1147=5,$G1147-ROUND($G1147*10/11,0),IF($H1147=8,$G1147,0)))))</f>
        <v/>
      </c>
      <c r="M1147" s="364" t="str">
        <f>IF($G1147="","",IF($H1147=1,ROUND($G1147/23,0),IF($H1147=3,ROUND($G1147/12,0),IF($H1147=6,$G1147,IF($H1147=7,$G1147-ROUND($G1147*10/11,0),0)))))</f>
        <v/>
      </c>
      <c r="N1147" s="364" t="str">
        <f>IF($G1147="","",K1147+L1147+M1147)</f>
        <v/>
      </c>
      <c r="O1147" s="365" t="str">
        <f>IF($G1147="","",IFERROR(VLOOKUP($D1147&amp;"|"&amp;$E1147,科目表!$A$5:$B$200,2,FALSE),"※未登録"))</f>
        <v/>
      </c>
      <c r="P1147" s="359" t="str">
        <f>IF(OR($G1147="",$C1147=""),"",IF($B1147="決算整理",13,MOD(MONTH($C1147)-4,12)+1))</f>
        <v/>
      </c>
      <c r="Q1147" s="366" t="str">
        <f>IF($G1147="","",TRIM(IF(J1147+K1147+L1147+M1147&lt;&gt;$G1147,"按分不一致 ","")&amp;IF(O1147="※未登録","科目未登録 ","")&amp;IF(OR($H1147="",ISERROR(MATCH($H1147,{1,2,3,4,5,6,7,8},0))),"経費区分? ","")&amp;IF($I1147="","状態未設定 ","")&amp;IF(AND(OR($I1147="確認済",$I1147="未確認"),$B1147="月例",OR($C1147="",$C1147&lt;DATE(年度+2018,4,1),$C1147&gt;DATE(年度+2019,3,31))),"年度外の日付 ","")&amp;IF(AND(OR($I1147="確認済",$I1147="未確認"),O1147="対象外"),"対象外の科目 ","")))</f>
        <v/>
      </c>
      <c r="R1147" s="366" t="n"/>
    </row>
    <row r="1148">
      <c r="A1148" s="359" t="n"/>
      <c r="B1148" s="360" t="n"/>
      <c r="C1148" s="361" t="n"/>
      <c r="D1148" s="362" t="n"/>
      <c r="E1148" s="362" t="n"/>
      <c r="F1148" s="362" t="n"/>
      <c r="G1148" s="363" t="n"/>
      <c r="H1148" s="360" t="n"/>
      <c r="I1148" s="360" t="n"/>
      <c r="J1148" s="364" t="str">
        <f>IF($G1148="","",IF($H1148=1,$G1148-ROUND($G1148*10/23,0)-2*ROUND($G1148/23,0),IF($H1148=2,$G1148,0)))</f>
        <v/>
      </c>
      <c r="K1148" s="364" t="str">
        <f>IF($G1148="","",IF($H1148=1,ROUND($G1148*10/23,0),IF($H1148=3,$G1148-2*ROUND($G1148/12,0),IF($H1148=4,$G1148,IF(OR($H1148=5,$H1148=7),ROUND($G1148*10/11,0),0)))))</f>
        <v/>
      </c>
      <c r="L1148" s="364" t="str">
        <f>IF($G1148="","",IF($H1148=1,ROUND($G1148/23,0),IF($H1148=3,ROUND($G1148/12,0),IF($H1148=5,$G1148-ROUND($G1148*10/11,0),IF($H1148=8,$G1148,0)))))</f>
        <v/>
      </c>
      <c r="M1148" s="364" t="str">
        <f>IF($G1148="","",IF($H1148=1,ROUND($G1148/23,0),IF($H1148=3,ROUND($G1148/12,0),IF($H1148=6,$G1148,IF($H1148=7,$G1148-ROUND($G1148*10/11,0),0)))))</f>
        <v/>
      </c>
      <c r="N1148" s="364" t="str">
        <f>IF($G1148="","",K1148+L1148+M1148)</f>
        <v/>
      </c>
      <c r="O1148" s="365" t="str">
        <f>IF($G1148="","",IFERROR(VLOOKUP($D1148&amp;"|"&amp;$E1148,科目表!$A$5:$B$200,2,FALSE),"※未登録"))</f>
        <v/>
      </c>
      <c r="P1148" s="359" t="str">
        <f>IF(OR($G1148="",$C1148=""),"",IF($B1148="決算整理",13,MOD(MONTH($C1148)-4,12)+1))</f>
        <v/>
      </c>
      <c r="Q1148" s="366" t="str">
        <f>IF($G1148="","",TRIM(IF(J1148+K1148+L1148+M1148&lt;&gt;$G1148,"按分不一致 ","")&amp;IF(O1148="※未登録","科目未登録 ","")&amp;IF(OR($H1148="",ISERROR(MATCH($H1148,{1,2,3,4,5,6,7,8},0))),"経費区分? ","")&amp;IF($I1148="","状態未設定 ","")&amp;IF(AND(OR($I1148="確認済",$I1148="未確認"),$B1148="月例",OR($C1148="",$C1148&lt;DATE(年度+2018,4,1),$C1148&gt;DATE(年度+2019,3,31))),"年度外の日付 ","")&amp;IF(AND(OR($I1148="確認済",$I1148="未確認"),O1148="対象外"),"対象外の科目 ","")))</f>
        <v/>
      </c>
      <c r="R1148" s="366" t="n"/>
    </row>
    <row r="1149">
      <c r="A1149" s="359" t="n"/>
      <c r="B1149" s="360" t="n"/>
      <c r="C1149" s="361" t="n"/>
      <c r="D1149" s="362" t="n"/>
      <c r="E1149" s="362" t="n"/>
      <c r="F1149" s="362" t="n"/>
      <c r="G1149" s="363" t="n"/>
      <c r="H1149" s="360" t="n"/>
      <c r="I1149" s="360" t="n"/>
      <c r="J1149" s="364" t="str">
        <f>IF($G1149="","",IF($H1149=1,$G1149-ROUND($G1149*10/23,0)-2*ROUND($G1149/23,0),IF($H1149=2,$G1149,0)))</f>
        <v/>
      </c>
      <c r="K1149" s="364" t="str">
        <f>IF($G1149="","",IF($H1149=1,ROUND($G1149*10/23,0),IF($H1149=3,$G1149-2*ROUND($G1149/12,0),IF($H1149=4,$G1149,IF(OR($H1149=5,$H1149=7),ROUND($G1149*10/11,0),0)))))</f>
        <v/>
      </c>
      <c r="L1149" s="364" t="str">
        <f>IF($G1149="","",IF($H1149=1,ROUND($G1149/23,0),IF($H1149=3,ROUND($G1149/12,0),IF($H1149=5,$G1149-ROUND($G1149*10/11,0),IF($H1149=8,$G1149,0)))))</f>
        <v/>
      </c>
      <c r="M1149" s="364" t="str">
        <f>IF($G1149="","",IF($H1149=1,ROUND($G1149/23,0),IF($H1149=3,ROUND($G1149/12,0),IF($H1149=6,$G1149,IF($H1149=7,$G1149-ROUND($G1149*10/11,0),0)))))</f>
        <v/>
      </c>
      <c r="N1149" s="364" t="str">
        <f>IF($G1149="","",K1149+L1149+M1149)</f>
        <v/>
      </c>
      <c r="O1149" s="365" t="str">
        <f>IF($G1149="","",IFERROR(VLOOKUP($D1149&amp;"|"&amp;$E1149,科目表!$A$5:$B$200,2,FALSE),"※未登録"))</f>
        <v/>
      </c>
      <c r="P1149" s="359" t="str">
        <f>IF(OR($G1149="",$C1149=""),"",IF($B1149="決算整理",13,MOD(MONTH($C1149)-4,12)+1))</f>
        <v/>
      </c>
      <c r="Q1149" s="366" t="str">
        <f>IF($G1149="","",TRIM(IF(J1149+K1149+L1149+M1149&lt;&gt;$G1149,"按分不一致 ","")&amp;IF(O1149="※未登録","科目未登録 ","")&amp;IF(OR($H1149="",ISERROR(MATCH($H1149,{1,2,3,4,5,6,7,8},0))),"経費区分? ","")&amp;IF($I1149="","状態未設定 ","")&amp;IF(AND(OR($I1149="確認済",$I1149="未確認"),$B1149="月例",OR($C1149="",$C1149&lt;DATE(年度+2018,4,1),$C1149&gt;DATE(年度+2019,3,31))),"年度外の日付 ","")&amp;IF(AND(OR($I1149="確認済",$I1149="未確認"),O1149="対象外"),"対象外の科目 ","")))</f>
        <v/>
      </c>
      <c r="R1149" s="366" t="n"/>
    </row>
    <row r="1150">
      <c r="A1150" s="359" t="n"/>
      <c r="B1150" s="360" t="n"/>
      <c r="C1150" s="361" t="n"/>
      <c r="D1150" s="362" t="n"/>
      <c r="E1150" s="362" t="n"/>
      <c r="F1150" s="362" t="n"/>
      <c r="G1150" s="363" t="n"/>
      <c r="H1150" s="360" t="n"/>
      <c r="I1150" s="360" t="n"/>
      <c r="J1150" s="364" t="str">
        <f>IF($G1150="","",IF($H1150=1,$G1150-ROUND($G1150*10/23,0)-2*ROUND($G1150/23,0),IF($H1150=2,$G1150,0)))</f>
        <v/>
      </c>
      <c r="K1150" s="364" t="str">
        <f>IF($G1150="","",IF($H1150=1,ROUND($G1150*10/23,0),IF($H1150=3,$G1150-2*ROUND($G1150/12,0),IF($H1150=4,$G1150,IF(OR($H1150=5,$H1150=7),ROUND($G1150*10/11,0),0)))))</f>
        <v/>
      </c>
      <c r="L1150" s="364" t="str">
        <f>IF($G1150="","",IF($H1150=1,ROUND($G1150/23,0),IF($H1150=3,ROUND($G1150/12,0),IF($H1150=5,$G1150-ROUND($G1150*10/11,0),IF($H1150=8,$G1150,0)))))</f>
        <v/>
      </c>
      <c r="M1150" s="364" t="str">
        <f>IF($G1150="","",IF($H1150=1,ROUND($G1150/23,0),IF($H1150=3,ROUND($G1150/12,0),IF($H1150=6,$G1150,IF($H1150=7,$G1150-ROUND($G1150*10/11,0),0)))))</f>
        <v/>
      </c>
      <c r="N1150" s="364" t="str">
        <f>IF($G1150="","",K1150+L1150+M1150)</f>
        <v/>
      </c>
      <c r="O1150" s="365" t="str">
        <f>IF($G1150="","",IFERROR(VLOOKUP($D1150&amp;"|"&amp;$E1150,科目表!$A$5:$B$200,2,FALSE),"※未登録"))</f>
        <v/>
      </c>
      <c r="P1150" s="359" t="str">
        <f>IF(OR($G1150="",$C1150=""),"",IF($B1150="決算整理",13,MOD(MONTH($C1150)-4,12)+1))</f>
        <v/>
      </c>
      <c r="Q1150" s="366" t="str">
        <f>IF($G1150="","",TRIM(IF(J1150+K1150+L1150+M1150&lt;&gt;$G1150,"按分不一致 ","")&amp;IF(O1150="※未登録","科目未登録 ","")&amp;IF(OR($H1150="",ISERROR(MATCH($H1150,{1,2,3,4,5,6,7,8},0))),"経費区分? ","")&amp;IF($I1150="","状態未設定 ","")&amp;IF(AND(OR($I1150="確認済",$I1150="未確認"),$B1150="月例",OR($C1150="",$C1150&lt;DATE(年度+2018,4,1),$C1150&gt;DATE(年度+2019,3,31))),"年度外の日付 ","")&amp;IF(AND(OR($I1150="確認済",$I1150="未確認"),O1150="対象外"),"対象外の科目 ","")))</f>
        <v/>
      </c>
      <c r="R1150" s="366" t="n"/>
    </row>
    <row r="1151">
      <c r="A1151" s="359" t="n"/>
      <c r="B1151" s="360" t="n"/>
      <c r="C1151" s="361" t="n"/>
      <c r="D1151" s="362" t="n"/>
      <c r="E1151" s="362" t="n"/>
      <c r="F1151" s="362" t="n"/>
      <c r="G1151" s="363" t="n"/>
      <c r="H1151" s="360" t="n"/>
      <c r="I1151" s="360" t="n"/>
      <c r="J1151" s="364" t="str">
        <f>IF($G1151="","",IF($H1151=1,$G1151-ROUND($G1151*10/23,0)-2*ROUND($G1151/23,0),IF($H1151=2,$G1151,0)))</f>
        <v/>
      </c>
      <c r="K1151" s="364" t="str">
        <f>IF($G1151="","",IF($H1151=1,ROUND($G1151*10/23,0),IF($H1151=3,$G1151-2*ROUND($G1151/12,0),IF($H1151=4,$G1151,IF(OR($H1151=5,$H1151=7),ROUND($G1151*10/11,0),0)))))</f>
        <v/>
      </c>
      <c r="L1151" s="364" t="str">
        <f>IF($G1151="","",IF($H1151=1,ROUND($G1151/23,0),IF($H1151=3,ROUND($G1151/12,0),IF($H1151=5,$G1151-ROUND($G1151*10/11,0),IF($H1151=8,$G1151,0)))))</f>
        <v/>
      </c>
      <c r="M1151" s="364" t="str">
        <f>IF($G1151="","",IF($H1151=1,ROUND($G1151/23,0),IF($H1151=3,ROUND($G1151/12,0),IF($H1151=6,$G1151,IF($H1151=7,$G1151-ROUND($G1151*10/11,0),0)))))</f>
        <v/>
      </c>
      <c r="N1151" s="364" t="str">
        <f>IF($G1151="","",K1151+L1151+M1151)</f>
        <v/>
      </c>
      <c r="O1151" s="365" t="str">
        <f>IF($G1151="","",IFERROR(VLOOKUP($D1151&amp;"|"&amp;$E1151,科目表!$A$5:$B$200,2,FALSE),"※未登録"))</f>
        <v/>
      </c>
      <c r="P1151" s="359" t="str">
        <f>IF(OR($G1151="",$C1151=""),"",IF($B1151="決算整理",13,MOD(MONTH($C1151)-4,12)+1))</f>
        <v/>
      </c>
      <c r="Q1151" s="366" t="str">
        <f>IF($G1151="","",TRIM(IF(J1151+K1151+L1151+M1151&lt;&gt;$G1151,"按分不一致 ","")&amp;IF(O1151="※未登録","科目未登録 ","")&amp;IF(OR($H1151="",ISERROR(MATCH($H1151,{1,2,3,4,5,6,7,8},0))),"経費区分? ","")&amp;IF($I1151="","状態未設定 ","")&amp;IF(AND(OR($I1151="確認済",$I1151="未確認"),$B1151="月例",OR($C1151="",$C1151&lt;DATE(年度+2018,4,1),$C1151&gt;DATE(年度+2019,3,31))),"年度外の日付 ","")&amp;IF(AND(OR($I1151="確認済",$I1151="未確認"),O1151="対象外"),"対象外の科目 ","")))</f>
        <v/>
      </c>
      <c r="R1151" s="366" t="n"/>
    </row>
    <row r="1152">
      <c r="A1152" s="359" t="n"/>
      <c r="B1152" s="360" t="n"/>
      <c r="C1152" s="361" t="n"/>
      <c r="D1152" s="362" t="n"/>
      <c r="E1152" s="362" t="n"/>
      <c r="F1152" s="362" t="n"/>
      <c r="G1152" s="363" t="n"/>
      <c r="H1152" s="360" t="n"/>
      <c r="I1152" s="360" t="n"/>
      <c r="J1152" s="364" t="str">
        <f>IF($G1152="","",IF($H1152=1,$G1152-ROUND($G1152*10/23,0)-2*ROUND($G1152/23,0),IF($H1152=2,$G1152,0)))</f>
        <v/>
      </c>
      <c r="K1152" s="364" t="str">
        <f>IF($G1152="","",IF($H1152=1,ROUND($G1152*10/23,0),IF($H1152=3,$G1152-2*ROUND($G1152/12,0),IF($H1152=4,$G1152,IF(OR($H1152=5,$H1152=7),ROUND($G1152*10/11,0),0)))))</f>
        <v/>
      </c>
      <c r="L1152" s="364" t="str">
        <f>IF($G1152="","",IF($H1152=1,ROUND($G1152/23,0),IF($H1152=3,ROUND($G1152/12,0),IF($H1152=5,$G1152-ROUND($G1152*10/11,0),IF($H1152=8,$G1152,0)))))</f>
        <v/>
      </c>
      <c r="M1152" s="364" t="str">
        <f>IF($G1152="","",IF($H1152=1,ROUND($G1152/23,0),IF($H1152=3,ROUND($G1152/12,0),IF($H1152=6,$G1152,IF($H1152=7,$G1152-ROUND($G1152*10/11,0),0)))))</f>
        <v/>
      </c>
      <c r="N1152" s="364" t="str">
        <f>IF($G1152="","",K1152+L1152+M1152)</f>
        <v/>
      </c>
      <c r="O1152" s="365" t="str">
        <f>IF($G1152="","",IFERROR(VLOOKUP($D1152&amp;"|"&amp;$E1152,科目表!$A$5:$B$200,2,FALSE),"※未登録"))</f>
        <v/>
      </c>
      <c r="P1152" s="359" t="str">
        <f>IF(OR($G1152="",$C1152=""),"",IF($B1152="決算整理",13,MOD(MONTH($C1152)-4,12)+1))</f>
        <v/>
      </c>
      <c r="Q1152" s="366" t="str">
        <f>IF($G1152="","",TRIM(IF(J1152+K1152+L1152+M1152&lt;&gt;$G1152,"按分不一致 ","")&amp;IF(O1152="※未登録","科目未登録 ","")&amp;IF(OR($H1152="",ISERROR(MATCH($H1152,{1,2,3,4,5,6,7,8},0))),"経費区分? ","")&amp;IF($I1152="","状態未設定 ","")&amp;IF(AND(OR($I1152="確認済",$I1152="未確認"),$B1152="月例",OR($C1152="",$C1152&lt;DATE(年度+2018,4,1),$C1152&gt;DATE(年度+2019,3,31))),"年度外の日付 ","")&amp;IF(AND(OR($I1152="確認済",$I1152="未確認"),O1152="対象外"),"対象外の科目 ","")))</f>
        <v/>
      </c>
      <c r="R1152" s="366" t="n"/>
    </row>
    <row r="1153">
      <c r="A1153" s="359" t="n"/>
      <c r="B1153" s="360" t="n"/>
      <c r="C1153" s="361" t="n"/>
      <c r="D1153" s="362" t="n"/>
      <c r="E1153" s="362" t="n"/>
      <c r="F1153" s="362" t="n"/>
      <c r="G1153" s="363" t="n"/>
      <c r="H1153" s="360" t="n"/>
      <c r="I1153" s="360" t="n"/>
      <c r="J1153" s="364" t="str">
        <f>IF($G1153="","",IF($H1153=1,$G1153-ROUND($G1153*10/23,0)-2*ROUND($G1153/23,0),IF($H1153=2,$G1153,0)))</f>
        <v/>
      </c>
      <c r="K1153" s="364" t="str">
        <f>IF($G1153="","",IF($H1153=1,ROUND($G1153*10/23,0),IF($H1153=3,$G1153-2*ROUND($G1153/12,0),IF($H1153=4,$G1153,IF(OR($H1153=5,$H1153=7),ROUND($G1153*10/11,0),0)))))</f>
        <v/>
      </c>
      <c r="L1153" s="364" t="str">
        <f>IF($G1153="","",IF($H1153=1,ROUND($G1153/23,0),IF($H1153=3,ROUND($G1153/12,0),IF($H1153=5,$G1153-ROUND($G1153*10/11,0),IF($H1153=8,$G1153,0)))))</f>
        <v/>
      </c>
      <c r="M1153" s="364" t="str">
        <f>IF($G1153="","",IF($H1153=1,ROUND($G1153/23,0),IF($H1153=3,ROUND($G1153/12,0),IF($H1153=6,$G1153,IF($H1153=7,$G1153-ROUND($G1153*10/11,0),0)))))</f>
        <v/>
      </c>
      <c r="N1153" s="364" t="str">
        <f>IF($G1153="","",K1153+L1153+M1153)</f>
        <v/>
      </c>
      <c r="O1153" s="365" t="str">
        <f>IF($G1153="","",IFERROR(VLOOKUP($D1153&amp;"|"&amp;$E1153,科目表!$A$5:$B$200,2,FALSE),"※未登録"))</f>
        <v/>
      </c>
      <c r="P1153" s="359" t="str">
        <f>IF(OR($G1153="",$C1153=""),"",IF($B1153="決算整理",13,MOD(MONTH($C1153)-4,12)+1))</f>
        <v/>
      </c>
      <c r="Q1153" s="366" t="str">
        <f>IF($G1153="","",TRIM(IF(J1153+K1153+L1153+M1153&lt;&gt;$G1153,"按分不一致 ","")&amp;IF(O1153="※未登録","科目未登録 ","")&amp;IF(OR($H1153="",ISERROR(MATCH($H1153,{1,2,3,4,5,6,7,8},0))),"経費区分? ","")&amp;IF($I1153="","状態未設定 ","")&amp;IF(AND(OR($I1153="確認済",$I1153="未確認"),$B1153="月例",OR($C1153="",$C1153&lt;DATE(年度+2018,4,1),$C1153&gt;DATE(年度+2019,3,31))),"年度外の日付 ","")&amp;IF(AND(OR($I1153="確認済",$I1153="未確認"),O1153="対象外"),"対象外の科目 ","")))</f>
        <v/>
      </c>
      <c r="R1153" s="366" t="n"/>
    </row>
    <row r="1154">
      <c r="A1154" s="359" t="n"/>
      <c r="B1154" s="360" t="n"/>
      <c r="C1154" s="361" t="n"/>
      <c r="D1154" s="362" t="n"/>
      <c r="E1154" s="362" t="n"/>
      <c r="F1154" s="362" t="n"/>
      <c r="G1154" s="363" t="n"/>
      <c r="H1154" s="360" t="n"/>
      <c r="I1154" s="360" t="n"/>
      <c r="J1154" s="364" t="str">
        <f>IF($G1154="","",IF($H1154=1,$G1154-ROUND($G1154*10/23,0)-2*ROUND($G1154/23,0),IF($H1154=2,$G1154,0)))</f>
        <v/>
      </c>
      <c r="K1154" s="364" t="str">
        <f>IF($G1154="","",IF($H1154=1,ROUND($G1154*10/23,0),IF($H1154=3,$G1154-2*ROUND($G1154/12,0),IF($H1154=4,$G1154,IF(OR($H1154=5,$H1154=7),ROUND($G1154*10/11,0),0)))))</f>
        <v/>
      </c>
      <c r="L1154" s="364" t="str">
        <f>IF($G1154="","",IF($H1154=1,ROUND($G1154/23,0),IF($H1154=3,ROUND($G1154/12,0),IF($H1154=5,$G1154-ROUND($G1154*10/11,0),IF($H1154=8,$G1154,0)))))</f>
        <v/>
      </c>
      <c r="M1154" s="364" t="str">
        <f>IF($G1154="","",IF($H1154=1,ROUND($G1154/23,0),IF($H1154=3,ROUND($G1154/12,0),IF($H1154=6,$G1154,IF($H1154=7,$G1154-ROUND($G1154*10/11,0),0)))))</f>
        <v/>
      </c>
      <c r="N1154" s="364" t="str">
        <f>IF($G1154="","",K1154+L1154+M1154)</f>
        <v/>
      </c>
      <c r="O1154" s="365" t="str">
        <f>IF($G1154="","",IFERROR(VLOOKUP($D1154&amp;"|"&amp;$E1154,科目表!$A$5:$B$200,2,FALSE),"※未登録"))</f>
        <v/>
      </c>
      <c r="P1154" s="359" t="str">
        <f>IF(OR($G1154="",$C1154=""),"",IF($B1154="決算整理",13,MOD(MONTH($C1154)-4,12)+1))</f>
        <v/>
      </c>
      <c r="Q1154" s="366" t="str">
        <f>IF($G1154="","",TRIM(IF(J1154+K1154+L1154+M1154&lt;&gt;$G1154,"按分不一致 ","")&amp;IF(O1154="※未登録","科目未登録 ","")&amp;IF(OR($H1154="",ISERROR(MATCH($H1154,{1,2,3,4,5,6,7,8},0))),"経費区分? ","")&amp;IF($I1154="","状態未設定 ","")&amp;IF(AND(OR($I1154="確認済",$I1154="未確認"),$B1154="月例",OR($C1154="",$C1154&lt;DATE(年度+2018,4,1),$C1154&gt;DATE(年度+2019,3,31))),"年度外の日付 ","")&amp;IF(AND(OR($I1154="確認済",$I1154="未確認"),O1154="対象外"),"対象外の科目 ","")))</f>
        <v/>
      </c>
      <c r="R1154" s="366" t="n"/>
    </row>
    <row r="1155">
      <c r="A1155" s="359" t="n"/>
      <c r="B1155" s="360" t="n"/>
      <c r="C1155" s="361" t="n"/>
      <c r="D1155" s="362" t="n"/>
      <c r="E1155" s="362" t="n"/>
      <c r="F1155" s="362" t="n"/>
      <c r="G1155" s="363" t="n"/>
      <c r="H1155" s="360" t="n"/>
      <c r="I1155" s="360" t="n"/>
      <c r="J1155" s="364" t="str">
        <f>IF($G1155="","",IF($H1155=1,$G1155-ROUND($G1155*10/23,0)-2*ROUND($G1155/23,0),IF($H1155=2,$G1155,0)))</f>
        <v/>
      </c>
      <c r="K1155" s="364" t="str">
        <f>IF($G1155="","",IF($H1155=1,ROUND($G1155*10/23,0),IF($H1155=3,$G1155-2*ROUND($G1155/12,0),IF($H1155=4,$G1155,IF(OR($H1155=5,$H1155=7),ROUND($G1155*10/11,0),0)))))</f>
        <v/>
      </c>
      <c r="L1155" s="364" t="str">
        <f>IF($G1155="","",IF($H1155=1,ROUND($G1155/23,0),IF($H1155=3,ROUND($G1155/12,0),IF($H1155=5,$G1155-ROUND($G1155*10/11,0),IF($H1155=8,$G1155,0)))))</f>
        <v/>
      </c>
      <c r="M1155" s="364" t="str">
        <f>IF($G1155="","",IF($H1155=1,ROUND($G1155/23,0),IF($H1155=3,ROUND($G1155/12,0),IF($H1155=6,$G1155,IF($H1155=7,$G1155-ROUND($G1155*10/11,0),0)))))</f>
        <v/>
      </c>
      <c r="N1155" s="364" t="str">
        <f>IF($G1155="","",K1155+L1155+M1155)</f>
        <v/>
      </c>
      <c r="O1155" s="365" t="str">
        <f>IF($G1155="","",IFERROR(VLOOKUP($D1155&amp;"|"&amp;$E1155,科目表!$A$5:$B$200,2,FALSE),"※未登録"))</f>
        <v/>
      </c>
      <c r="P1155" s="359" t="str">
        <f>IF(OR($G1155="",$C1155=""),"",IF($B1155="決算整理",13,MOD(MONTH($C1155)-4,12)+1))</f>
        <v/>
      </c>
      <c r="Q1155" s="366" t="str">
        <f>IF($G1155="","",TRIM(IF(J1155+K1155+L1155+M1155&lt;&gt;$G1155,"按分不一致 ","")&amp;IF(O1155="※未登録","科目未登録 ","")&amp;IF(OR($H1155="",ISERROR(MATCH($H1155,{1,2,3,4,5,6,7,8},0))),"経費区分? ","")&amp;IF($I1155="","状態未設定 ","")&amp;IF(AND(OR($I1155="確認済",$I1155="未確認"),$B1155="月例",OR($C1155="",$C1155&lt;DATE(年度+2018,4,1),$C1155&gt;DATE(年度+2019,3,31))),"年度外の日付 ","")&amp;IF(AND(OR($I1155="確認済",$I1155="未確認"),O1155="対象外"),"対象外の科目 ","")))</f>
        <v/>
      </c>
      <c r="R1155" s="366" t="n"/>
    </row>
    <row r="1156">
      <c r="A1156" s="359" t="n"/>
      <c r="B1156" s="360" t="n"/>
      <c r="C1156" s="361" t="n"/>
      <c r="D1156" s="362" t="n"/>
      <c r="E1156" s="362" t="n"/>
      <c r="F1156" s="362" t="n"/>
      <c r="G1156" s="363" t="n"/>
      <c r="H1156" s="360" t="n"/>
      <c r="I1156" s="360" t="n"/>
      <c r="J1156" s="364" t="str">
        <f>IF($G1156="","",IF($H1156=1,$G1156-ROUND($G1156*10/23,0)-2*ROUND($G1156/23,0),IF($H1156=2,$G1156,0)))</f>
        <v/>
      </c>
      <c r="K1156" s="364" t="str">
        <f>IF($G1156="","",IF($H1156=1,ROUND($G1156*10/23,0),IF($H1156=3,$G1156-2*ROUND($G1156/12,0),IF($H1156=4,$G1156,IF(OR($H1156=5,$H1156=7),ROUND($G1156*10/11,0),0)))))</f>
        <v/>
      </c>
      <c r="L1156" s="364" t="str">
        <f>IF($G1156="","",IF($H1156=1,ROUND($G1156/23,0),IF($H1156=3,ROUND($G1156/12,0),IF($H1156=5,$G1156-ROUND($G1156*10/11,0),IF($H1156=8,$G1156,0)))))</f>
        <v/>
      </c>
      <c r="M1156" s="364" t="str">
        <f>IF($G1156="","",IF($H1156=1,ROUND($G1156/23,0),IF($H1156=3,ROUND($G1156/12,0),IF($H1156=6,$G1156,IF($H1156=7,$G1156-ROUND($G1156*10/11,0),0)))))</f>
        <v/>
      </c>
      <c r="N1156" s="364" t="str">
        <f>IF($G1156="","",K1156+L1156+M1156)</f>
        <v/>
      </c>
      <c r="O1156" s="365" t="str">
        <f>IF($G1156="","",IFERROR(VLOOKUP($D1156&amp;"|"&amp;$E1156,科目表!$A$5:$B$200,2,FALSE),"※未登録"))</f>
        <v/>
      </c>
      <c r="P1156" s="359" t="str">
        <f>IF(OR($G1156="",$C1156=""),"",IF($B1156="決算整理",13,MOD(MONTH($C1156)-4,12)+1))</f>
        <v/>
      </c>
      <c r="Q1156" s="366" t="str">
        <f>IF($G1156="","",TRIM(IF(J1156+K1156+L1156+M1156&lt;&gt;$G1156,"按分不一致 ","")&amp;IF(O1156="※未登録","科目未登録 ","")&amp;IF(OR($H1156="",ISERROR(MATCH($H1156,{1,2,3,4,5,6,7,8},0))),"経費区分? ","")&amp;IF($I1156="","状態未設定 ","")&amp;IF(AND(OR($I1156="確認済",$I1156="未確認"),$B1156="月例",OR($C1156="",$C1156&lt;DATE(年度+2018,4,1),$C1156&gt;DATE(年度+2019,3,31))),"年度外の日付 ","")&amp;IF(AND(OR($I1156="確認済",$I1156="未確認"),O1156="対象外"),"対象外の科目 ","")))</f>
        <v/>
      </c>
      <c r="R1156" s="366" t="n"/>
    </row>
    <row r="1157">
      <c r="A1157" s="359" t="n"/>
      <c r="B1157" s="360" t="n"/>
      <c r="C1157" s="361" t="n"/>
      <c r="D1157" s="362" t="n"/>
      <c r="E1157" s="362" t="n"/>
      <c r="F1157" s="362" t="n"/>
      <c r="G1157" s="363" t="n"/>
      <c r="H1157" s="360" t="n"/>
      <c r="I1157" s="360" t="n"/>
      <c r="J1157" s="364" t="str">
        <f>IF($G1157="","",IF($H1157=1,$G1157-ROUND($G1157*10/23,0)-2*ROUND($G1157/23,0),IF($H1157=2,$G1157,0)))</f>
        <v/>
      </c>
      <c r="K1157" s="364" t="str">
        <f>IF($G1157="","",IF($H1157=1,ROUND($G1157*10/23,0),IF($H1157=3,$G1157-2*ROUND($G1157/12,0),IF($H1157=4,$G1157,IF(OR($H1157=5,$H1157=7),ROUND($G1157*10/11,0),0)))))</f>
        <v/>
      </c>
      <c r="L1157" s="364" t="str">
        <f>IF($G1157="","",IF($H1157=1,ROUND($G1157/23,0),IF($H1157=3,ROUND($G1157/12,0),IF($H1157=5,$G1157-ROUND($G1157*10/11,0),IF($H1157=8,$G1157,0)))))</f>
        <v/>
      </c>
      <c r="M1157" s="364" t="str">
        <f>IF($G1157="","",IF($H1157=1,ROUND($G1157/23,0),IF($H1157=3,ROUND($G1157/12,0),IF($H1157=6,$G1157,IF($H1157=7,$G1157-ROUND($G1157*10/11,0),0)))))</f>
        <v/>
      </c>
      <c r="N1157" s="364" t="str">
        <f>IF($G1157="","",K1157+L1157+M1157)</f>
        <v/>
      </c>
      <c r="O1157" s="365" t="str">
        <f>IF($G1157="","",IFERROR(VLOOKUP($D1157&amp;"|"&amp;$E1157,科目表!$A$5:$B$200,2,FALSE),"※未登録"))</f>
        <v/>
      </c>
      <c r="P1157" s="359" t="str">
        <f>IF(OR($G1157="",$C1157=""),"",IF($B1157="決算整理",13,MOD(MONTH($C1157)-4,12)+1))</f>
        <v/>
      </c>
      <c r="Q1157" s="366" t="str">
        <f>IF($G1157="","",TRIM(IF(J1157+K1157+L1157+M1157&lt;&gt;$G1157,"按分不一致 ","")&amp;IF(O1157="※未登録","科目未登録 ","")&amp;IF(OR($H1157="",ISERROR(MATCH($H1157,{1,2,3,4,5,6,7,8},0))),"経費区分? ","")&amp;IF($I1157="","状態未設定 ","")&amp;IF(AND(OR($I1157="確認済",$I1157="未確認"),$B1157="月例",OR($C1157="",$C1157&lt;DATE(年度+2018,4,1),$C1157&gt;DATE(年度+2019,3,31))),"年度外の日付 ","")&amp;IF(AND(OR($I1157="確認済",$I1157="未確認"),O1157="対象外"),"対象外の科目 ","")))</f>
        <v/>
      </c>
      <c r="R1157" s="366" t="n"/>
    </row>
    <row r="1158">
      <c r="A1158" s="359" t="n"/>
      <c r="B1158" s="360" t="n"/>
      <c r="C1158" s="361" t="n"/>
      <c r="D1158" s="362" t="n"/>
      <c r="E1158" s="362" t="n"/>
      <c r="F1158" s="362" t="n"/>
      <c r="G1158" s="363" t="n"/>
      <c r="H1158" s="360" t="n"/>
      <c r="I1158" s="360" t="n"/>
      <c r="J1158" s="364" t="str">
        <f>IF($G1158="","",IF($H1158=1,$G1158-ROUND($G1158*10/23,0)-2*ROUND($G1158/23,0),IF($H1158=2,$G1158,0)))</f>
        <v/>
      </c>
      <c r="K1158" s="364" t="str">
        <f>IF($G1158="","",IF($H1158=1,ROUND($G1158*10/23,0),IF($H1158=3,$G1158-2*ROUND($G1158/12,0),IF($H1158=4,$G1158,IF(OR($H1158=5,$H1158=7),ROUND($G1158*10/11,0),0)))))</f>
        <v/>
      </c>
      <c r="L1158" s="364" t="str">
        <f>IF($G1158="","",IF($H1158=1,ROUND($G1158/23,0),IF($H1158=3,ROUND($G1158/12,0),IF($H1158=5,$G1158-ROUND($G1158*10/11,0),IF($H1158=8,$G1158,0)))))</f>
        <v/>
      </c>
      <c r="M1158" s="364" t="str">
        <f>IF($G1158="","",IF($H1158=1,ROUND($G1158/23,0),IF($H1158=3,ROUND($G1158/12,0),IF($H1158=6,$G1158,IF($H1158=7,$G1158-ROUND($G1158*10/11,0),0)))))</f>
        <v/>
      </c>
      <c r="N1158" s="364" t="str">
        <f>IF($G1158="","",K1158+L1158+M1158)</f>
        <v/>
      </c>
      <c r="O1158" s="365" t="str">
        <f>IF($G1158="","",IFERROR(VLOOKUP($D1158&amp;"|"&amp;$E1158,科目表!$A$5:$B$200,2,FALSE),"※未登録"))</f>
        <v/>
      </c>
      <c r="P1158" s="359" t="str">
        <f>IF(OR($G1158="",$C1158=""),"",IF($B1158="決算整理",13,MOD(MONTH($C1158)-4,12)+1))</f>
        <v/>
      </c>
      <c r="Q1158" s="366" t="str">
        <f>IF($G1158="","",TRIM(IF(J1158+K1158+L1158+M1158&lt;&gt;$G1158,"按分不一致 ","")&amp;IF(O1158="※未登録","科目未登録 ","")&amp;IF(OR($H1158="",ISERROR(MATCH($H1158,{1,2,3,4,5,6,7,8},0))),"経費区分? ","")&amp;IF($I1158="","状態未設定 ","")&amp;IF(AND(OR($I1158="確認済",$I1158="未確認"),$B1158="月例",OR($C1158="",$C1158&lt;DATE(年度+2018,4,1),$C1158&gt;DATE(年度+2019,3,31))),"年度外の日付 ","")&amp;IF(AND(OR($I1158="確認済",$I1158="未確認"),O1158="対象外"),"対象外の科目 ","")))</f>
        <v/>
      </c>
      <c r="R1158" s="366" t="n"/>
    </row>
    <row r="1159">
      <c r="A1159" s="359" t="n"/>
      <c r="B1159" s="360" t="n"/>
      <c r="C1159" s="361" t="n"/>
      <c r="D1159" s="362" t="n"/>
      <c r="E1159" s="362" t="n"/>
      <c r="F1159" s="362" t="n"/>
      <c r="G1159" s="363" t="n"/>
      <c r="H1159" s="360" t="n"/>
      <c r="I1159" s="360" t="n"/>
      <c r="J1159" s="364" t="str">
        <f>IF($G1159="","",IF($H1159=1,$G1159-ROUND($G1159*10/23,0)-2*ROUND($G1159/23,0),IF($H1159=2,$G1159,0)))</f>
        <v/>
      </c>
      <c r="K1159" s="364" t="str">
        <f>IF($G1159="","",IF($H1159=1,ROUND($G1159*10/23,0),IF($H1159=3,$G1159-2*ROUND($G1159/12,0),IF($H1159=4,$G1159,IF(OR($H1159=5,$H1159=7),ROUND($G1159*10/11,0),0)))))</f>
        <v/>
      </c>
      <c r="L1159" s="364" t="str">
        <f>IF($G1159="","",IF($H1159=1,ROUND($G1159/23,0),IF($H1159=3,ROUND($G1159/12,0),IF($H1159=5,$G1159-ROUND($G1159*10/11,0),IF($H1159=8,$G1159,0)))))</f>
        <v/>
      </c>
      <c r="M1159" s="364" t="str">
        <f>IF($G1159="","",IF($H1159=1,ROUND($G1159/23,0),IF($H1159=3,ROUND($G1159/12,0),IF($H1159=6,$G1159,IF($H1159=7,$G1159-ROUND($G1159*10/11,0),0)))))</f>
        <v/>
      </c>
      <c r="N1159" s="364" t="str">
        <f>IF($G1159="","",K1159+L1159+M1159)</f>
        <v/>
      </c>
      <c r="O1159" s="365" t="str">
        <f>IF($G1159="","",IFERROR(VLOOKUP($D1159&amp;"|"&amp;$E1159,科目表!$A$5:$B$200,2,FALSE),"※未登録"))</f>
        <v/>
      </c>
      <c r="P1159" s="359" t="str">
        <f>IF(OR($G1159="",$C1159=""),"",IF($B1159="決算整理",13,MOD(MONTH($C1159)-4,12)+1))</f>
        <v/>
      </c>
      <c r="Q1159" s="366" t="str">
        <f>IF($G1159="","",TRIM(IF(J1159+K1159+L1159+M1159&lt;&gt;$G1159,"按分不一致 ","")&amp;IF(O1159="※未登録","科目未登録 ","")&amp;IF(OR($H1159="",ISERROR(MATCH($H1159,{1,2,3,4,5,6,7,8},0))),"経費区分? ","")&amp;IF($I1159="","状態未設定 ","")&amp;IF(AND(OR($I1159="確認済",$I1159="未確認"),$B1159="月例",OR($C1159="",$C1159&lt;DATE(年度+2018,4,1),$C1159&gt;DATE(年度+2019,3,31))),"年度外の日付 ","")&amp;IF(AND(OR($I1159="確認済",$I1159="未確認"),O1159="対象外"),"対象外の科目 ","")))</f>
        <v/>
      </c>
      <c r="R1159" s="366" t="n"/>
    </row>
    <row r="1160">
      <c r="A1160" s="359" t="n"/>
      <c r="B1160" s="360" t="n"/>
      <c r="C1160" s="361" t="n"/>
      <c r="D1160" s="362" t="n"/>
      <c r="E1160" s="362" t="n"/>
      <c r="F1160" s="362" t="n"/>
      <c r="G1160" s="363" t="n"/>
      <c r="H1160" s="360" t="n"/>
      <c r="I1160" s="360" t="n"/>
      <c r="J1160" s="364" t="str">
        <f>IF($G1160="","",IF($H1160=1,$G1160-ROUND($G1160*10/23,0)-2*ROUND($G1160/23,0),IF($H1160=2,$G1160,0)))</f>
        <v/>
      </c>
      <c r="K1160" s="364" t="str">
        <f>IF($G1160="","",IF($H1160=1,ROUND($G1160*10/23,0),IF($H1160=3,$G1160-2*ROUND($G1160/12,0),IF($H1160=4,$G1160,IF(OR($H1160=5,$H1160=7),ROUND($G1160*10/11,0),0)))))</f>
        <v/>
      </c>
      <c r="L1160" s="364" t="str">
        <f>IF($G1160="","",IF($H1160=1,ROUND($G1160/23,0),IF($H1160=3,ROUND($G1160/12,0),IF($H1160=5,$G1160-ROUND($G1160*10/11,0),IF($H1160=8,$G1160,0)))))</f>
        <v/>
      </c>
      <c r="M1160" s="364" t="str">
        <f>IF($G1160="","",IF($H1160=1,ROUND($G1160/23,0),IF($H1160=3,ROUND($G1160/12,0),IF($H1160=6,$G1160,IF($H1160=7,$G1160-ROUND($G1160*10/11,0),0)))))</f>
        <v/>
      </c>
      <c r="N1160" s="364" t="str">
        <f>IF($G1160="","",K1160+L1160+M1160)</f>
        <v/>
      </c>
      <c r="O1160" s="365" t="str">
        <f>IF($G1160="","",IFERROR(VLOOKUP($D1160&amp;"|"&amp;$E1160,科目表!$A$5:$B$200,2,FALSE),"※未登録"))</f>
        <v/>
      </c>
      <c r="P1160" s="359" t="str">
        <f>IF(OR($G1160="",$C1160=""),"",IF($B1160="決算整理",13,MOD(MONTH($C1160)-4,12)+1))</f>
        <v/>
      </c>
      <c r="Q1160" s="366" t="str">
        <f>IF($G1160="","",TRIM(IF(J1160+K1160+L1160+M1160&lt;&gt;$G1160,"按分不一致 ","")&amp;IF(O1160="※未登録","科目未登録 ","")&amp;IF(OR($H1160="",ISERROR(MATCH($H1160,{1,2,3,4,5,6,7,8},0))),"経費区分? ","")&amp;IF($I1160="","状態未設定 ","")&amp;IF(AND(OR($I1160="確認済",$I1160="未確認"),$B1160="月例",OR($C1160="",$C1160&lt;DATE(年度+2018,4,1),$C1160&gt;DATE(年度+2019,3,31))),"年度外の日付 ","")&amp;IF(AND(OR($I1160="確認済",$I1160="未確認"),O1160="対象外"),"対象外の科目 ","")))</f>
        <v/>
      </c>
      <c r="R1160" s="366" t="n"/>
    </row>
    <row r="1161">
      <c r="A1161" s="359" t="n"/>
      <c r="B1161" s="360" t="n"/>
      <c r="C1161" s="361" t="n"/>
      <c r="D1161" s="362" t="n"/>
      <c r="E1161" s="362" t="n"/>
      <c r="F1161" s="362" t="n"/>
      <c r="G1161" s="363" t="n"/>
      <c r="H1161" s="360" t="n"/>
      <c r="I1161" s="360" t="n"/>
      <c r="J1161" s="364" t="str">
        <f>IF($G1161="","",IF($H1161=1,$G1161-ROUND($G1161*10/23,0)-2*ROUND($G1161/23,0),IF($H1161=2,$G1161,0)))</f>
        <v/>
      </c>
      <c r="K1161" s="364" t="str">
        <f>IF($G1161="","",IF($H1161=1,ROUND($G1161*10/23,0),IF($H1161=3,$G1161-2*ROUND($G1161/12,0),IF($H1161=4,$G1161,IF(OR($H1161=5,$H1161=7),ROUND($G1161*10/11,0),0)))))</f>
        <v/>
      </c>
      <c r="L1161" s="364" t="str">
        <f>IF($G1161="","",IF($H1161=1,ROUND($G1161/23,0),IF($H1161=3,ROUND($G1161/12,0),IF($H1161=5,$G1161-ROUND($G1161*10/11,0),IF($H1161=8,$G1161,0)))))</f>
        <v/>
      </c>
      <c r="M1161" s="364" t="str">
        <f>IF($G1161="","",IF($H1161=1,ROUND($G1161/23,0),IF($H1161=3,ROUND($G1161/12,0),IF($H1161=6,$G1161,IF($H1161=7,$G1161-ROUND($G1161*10/11,0),0)))))</f>
        <v/>
      </c>
      <c r="N1161" s="364" t="str">
        <f>IF($G1161="","",K1161+L1161+M1161)</f>
        <v/>
      </c>
      <c r="O1161" s="365" t="str">
        <f>IF($G1161="","",IFERROR(VLOOKUP($D1161&amp;"|"&amp;$E1161,科目表!$A$5:$B$200,2,FALSE),"※未登録"))</f>
        <v/>
      </c>
      <c r="P1161" s="359" t="str">
        <f>IF(OR($G1161="",$C1161=""),"",IF($B1161="決算整理",13,MOD(MONTH($C1161)-4,12)+1))</f>
        <v/>
      </c>
      <c r="Q1161" s="366" t="str">
        <f>IF($G1161="","",TRIM(IF(J1161+K1161+L1161+M1161&lt;&gt;$G1161,"按分不一致 ","")&amp;IF(O1161="※未登録","科目未登録 ","")&amp;IF(OR($H1161="",ISERROR(MATCH($H1161,{1,2,3,4,5,6,7,8},0))),"経費区分? ","")&amp;IF($I1161="","状態未設定 ","")&amp;IF(AND(OR($I1161="確認済",$I1161="未確認"),$B1161="月例",OR($C1161="",$C1161&lt;DATE(年度+2018,4,1),$C1161&gt;DATE(年度+2019,3,31))),"年度外の日付 ","")&amp;IF(AND(OR($I1161="確認済",$I1161="未確認"),O1161="対象外"),"対象外の科目 ","")))</f>
        <v/>
      </c>
      <c r="R1161" s="366" t="n"/>
    </row>
    <row r="1162">
      <c r="A1162" s="359" t="n"/>
      <c r="B1162" s="360" t="n"/>
      <c r="C1162" s="361" t="n"/>
      <c r="D1162" s="362" t="n"/>
      <c r="E1162" s="362" t="n"/>
      <c r="F1162" s="362" t="n"/>
      <c r="G1162" s="363" t="n"/>
      <c r="H1162" s="360" t="n"/>
      <c r="I1162" s="360" t="n"/>
      <c r="J1162" s="364" t="str">
        <f>IF($G1162="","",IF($H1162=1,$G1162-ROUND($G1162*10/23,0)-2*ROUND($G1162/23,0),IF($H1162=2,$G1162,0)))</f>
        <v/>
      </c>
      <c r="K1162" s="364" t="str">
        <f>IF($G1162="","",IF($H1162=1,ROUND($G1162*10/23,0),IF($H1162=3,$G1162-2*ROUND($G1162/12,0),IF($H1162=4,$G1162,IF(OR($H1162=5,$H1162=7),ROUND($G1162*10/11,0),0)))))</f>
        <v/>
      </c>
      <c r="L1162" s="364" t="str">
        <f>IF($G1162="","",IF($H1162=1,ROUND($G1162/23,0),IF($H1162=3,ROUND($G1162/12,0),IF($H1162=5,$G1162-ROUND($G1162*10/11,0),IF($H1162=8,$G1162,0)))))</f>
        <v/>
      </c>
      <c r="M1162" s="364" t="str">
        <f>IF($G1162="","",IF($H1162=1,ROUND($G1162/23,0),IF($H1162=3,ROUND($G1162/12,0),IF($H1162=6,$G1162,IF($H1162=7,$G1162-ROUND($G1162*10/11,0),0)))))</f>
        <v/>
      </c>
      <c r="N1162" s="364" t="str">
        <f>IF($G1162="","",K1162+L1162+M1162)</f>
        <v/>
      </c>
      <c r="O1162" s="365" t="str">
        <f>IF($G1162="","",IFERROR(VLOOKUP($D1162&amp;"|"&amp;$E1162,科目表!$A$5:$B$200,2,FALSE),"※未登録"))</f>
        <v/>
      </c>
      <c r="P1162" s="359" t="str">
        <f>IF(OR($G1162="",$C1162=""),"",IF($B1162="決算整理",13,MOD(MONTH($C1162)-4,12)+1))</f>
        <v/>
      </c>
      <c r="Q1162" s="366" t="str">
        <f>IF($G1162="","",TRIM(IF(J1162+K1162+L1162+M1162&lt;&gt;$G1162,"按分不一致 ","")&amp;IF(O1162="※未登録","科目未登録 ","")&amp;IF(OR($H1162="",ISERROR(MATCH($H1162,{1,2,3,4,5,6,7,8},0))),"経費区分? ","")&amp;IF($I1162="","状態未設定 ","")&amp;IF(AND(OR($I1162="確認済",$I1162="未確認"),$B1162="月例",OR($C1162="",$C1162&lt;DATE(年度+2018,4,1),$C1162&gt;DATE(年度+2019,3,31))),"年度外の日付 ","")&amp;IF(AND(OR($I1162="確認済",$I1162="未確認"),O1162="対象外"),"対象外の科目 ","")))</f>
        <v/>
      </c>
      <c r="R1162" s="366" t="n"/>
    </row>
    <row r="1163">
      <c r="A1163" s="359" t="n"/>
      <c r="B1163" s="360" t="n"/>
      <c r="C1163" s="361" t="n"/>
      <c r="D1163" s="362" t="n"/>
      <c r="E1163" s="362" t="n"/>
      <c r="F1163" s="362" t="n"/>
      <c r="G1163" s="363" t="n"/>
      <c r="H1163" s="360" t="n"/>
      <c r="I1163" s="360" t="n"/>
      <c r="J1163" s="364" t="str">
        <f>IF($G1163="","",IF($H1163=1,$G1163-ROUND($G1163*10/23,0)-2*ROUND($G1163/23,0),IF($H1163=2,$G1163,0)))</f>
        <v/>
      </c>
      <c r="K1163" s="364" t="str">
        <f>IF($G1163="","",IF($H1163=1,ROUND($G1163*10/23,0),IF($H1163=3,$G1163-2*ROUND($G1163/12,0),IF($H1163=4,$G1163,IF(OR($H1163=5,$H1163=7),ROUND($G1163*10/11,0),0)))))</f>
        <v/>
      </c>
      <c r="L1163" s="364" t="str">
        <f>IF($G1163="","",IF($H1163=1,ROUND($G1163/23,0),IF($H1163=3,ROUND($G1163/12,0),IF($H1163=5,$G1163-ROUND($G1163*10/11,0),IF($H1163=8,$G1163,0)))))</f>
        <v/>
      </c>
      <c r="M1163" s="364" t="str">
        <f>IF($G1163="","",IF($H1163=1,ROUND($G1163/23,0),IF($H1163=3,ROUND($G1163/12,0),IF($H1163=6,$G1163,IF($H1163=7,$G1163-ROUND($G1163*10/11,0),0)))))</f>
        <v/>
      </c>
      <c r="N1163" s="364" t="str">
        <f>IF($G1163="","",K1163+L1163+M1163)</f>
        <v/>
      </c>
      <c r="O1163" s="365" t="str">
        <f>IF($G1163="","",IFERROR(VLOOKUP($D1163&amp;"|"&amp;$E1163,科目表!$A$5:$B$200,2,FALSE),"※未登録"))</f>
        <v/>
      </c>
      <c r="P1163" s="359" t="str">
        <f>IF(OR($G1163="",$C1163=""),"",IF($B1163="決算整理",13,MOD(MONTH($C1163)-4,12)+1))</f>
        <v/>
      </c>
      <c r="Q1163" s="366" t="str">
        <f>IF($G1163="","",TRIM(IF(J1163+K1163+L1163+M1163&lt;&gt;$G1163,"按分不一致 ","")&amp;IF(O1163="※未登録","科目未登録 ","")&amp;IF(OR($H1163="",ISERROR(MATCH($H1163,{1,2,3,4,5,6,7,8},0))),"経費区分? ","")&amp;IF($I1163="","状態未設定 ","")&amp;IF(AND(OR($I1163="確認済",$I1163="未確認"),$B1163="月例",OR($C1163="",$C1163&lt;DATE(年度+2018,4,1),$C1163&gt;DATE(年度+2019,3,31))),"年度外の日付 ","")&amp;IF(AND(OR($I1163="確認済",$I1163="未確認"),O1163="対象外"),"対象外の科目 ","")))</f>
        <v/>
      </c>
      <c r="R1163" s="366" t="n"/>
    </row>
    <row r="1164">
      <c r="A1164" s="359" t="n"/>
      <c r="B1164" s="360" t="n"/>
      <c r="C1164" s="361" t="n"/>
      <c r="D1164" s="362" t="n"/>
      <c r="E1164" s="362" t="n"/>
      <c r="F1164" s="362" t="n"/>
      <c r="G1164" s="363" t="n"/>
      <c r="H1164" s="360" t="n"/>
      <c r="I1164" s="360" t="n"/>
      <c r="J1164" s="364" t="str">
        <f>IF($G1164="","",IF($H1164=1,$G1164-ROUND($G1164*10/23,0)-2*ROUND($G1164/23,0),IF($H1164=2,$G1164,0)))</f>
        <v/>
      </c>
      <c r="K1164" s="364" t="str">
        <f>IF($G1164="","",IF($H1164=1,ROUND($G1164*10/23,0),IF($H1164=3,$G1164-2*ROUND($G1164/12,0),IF($H1164=4,$G1164,IF(OR($H1164=5,$H1164=7),ROUND($G1164*10/11,0),0)))))</f>
        <v/>
      </c>
      <c r="L1164" s="364" t="str">
        <f>IF($G1164="","",IF($H1164=1,ROUND($G1164/23,0),IF($H1164=3,ROUND($G1164/12,0),IF($H1164=5,$G1164-ROUND($G1164*10/11,0),IF($H1164=8,$G1164,0)))))</f>
        <v/>
      </c>
      <c r="M1164" s="364" t="str">
        <f>IF($G1164="","",IF($H1164=1,ROUND($G1164/23,0),IF($H1164=3,ROUND($G1164/12,0),IF($H1164=6,$G1164,IF($H1164=7,$G1164-ROUND($G1164*10/11,0),0)))))</f>
        <v/>
      </c>
      <c r="N1164" s="364" t="str">
        <f>IF($G1164="","",K1164+L1164+M1164)</f>
        <v/>
      </c>
      <c r="O1164" s="365" t="str">
        <f>IF($G1164="","",IFERROR(VLOOKUP($D1164&amp;"|"&amp;$E1164,科目表!$A$5:$B$200,2,FALSE),"※未登録"))</f>
        <v/>
      </c>
      <c r="P1164" s="359" t="str">
        <f>IF(OR($G1164="",$C1164=""),"",IF($B1164="決算整理",13,MOD(MONTH($C1164)-4,12)+1))</f>
        <v/>
      </c>
      <c r="Q1164" s="366" t="str">
        <f>IF($G1164="","",TRIM(IF(J1164+K1164+L1164+M1164&lt;&gt;$G1164,"按分不一致 ","")&amp;IF(O1164="※未登録","科目未登録 ","")&amp;IF(OR($H1164="",ISERROR(MATCH($H1164,{1,2,3,4,5,6,7,8},0))),"経費区分? ","")&amp;IF($I1164="","状態未設定 ","")&amp;IF(AND(OR($I1164="確認済",$I1164="未確認"),$B1164="月例",OR($C1164="",$C1164&lt;DATE(年度+2018,4,1),$C1164&gt;DATE(年度+2019,3,31))),"年度外の日付 ","")&amp;IF(AND(OR($I1164="確認済",$I1164="未確認"),O1164="対象外"),"対象外の科目 ","")))</f>
        <v/>
      </c>
      <c r="R1164" s="366" t="n"/>
    </row>
    <row r="1165">
      <c r="A1165" s="359" t="n"/>
      <c r="B1165" s="360" t="n"/>
      <c r="C1165" s="361" t="n"/>
      <c r="D1165" s="362" t="n"/>
      <c r="E1165" s="362" t="n"/>
      <c r="F1165" s="362" t="n"/>
      <c r="G1165" s="363" t="n"/>
      <c r="H1165" s="360" t="n"/>
      <c r="I1165" s="360" t="n"/>
      <c r="J1165" s="364" t="str">
        <f>IF($G1165="","",IF($H1165=1,$G1165-ROUND($G1165*10/23,0)-2*ROUND($G1165/23,0),IF($H1165=2,$G1165,0)))</f>
        <v/>
      </c>
      <c r="K1165" s="364" t="str">
        <f>IF($G1165="","",IF($H1165=1,ROUND($G1165*10/23,0),IF($H1165=3,$G1165-2*ROUND($G1165/12,0),IF($H1165=4,$G1165,IF(OR($H1165=5,$H1165=7),ROUND($G1165*10/11,0),0)))))</f>
        <v/>
      </c>
      <c r="L1165" s="364" t="str">
        <f>IF($G1165="","",IF($H1165=1,ROUND($G1165/23,0),IF($H1165=3,ROUND($G1165/12,0),IF($H1165=5,$G1165-ROUND($G1165*10/11,0),IF($H1165=8,$G1165,0)))))</f>
        <v/>
      </c>
      <c r="M1165" s="364" t="str">
        <f>IF($G1165="","",IF($H1165=1,ROUND($G1165/23,0),IF($H1165=3,ROUND($G1165/12,0),IF($H1165=6,$G1165,IF($H1165=7,$G1165-ROUND($G1165*10/11,0),0)))))</f>
        <v/>
      </c>
      <c r="N1165" s="364" t="str">
        <f>IF($G1165="","",K1165+L1165+M1165)</f>
        <v/>
      </c>
      <c r="O1165" s="365" t="str">
        <f>IF($G1165="","",IFERROR(VLOOKUP($D1165&amp;"|"&amp;$E1165,科目表!$A$5:$B$200,2,FALSE),"※未登録"))</f>
        <v/>
      </c>
      <c r="P1165" s="359" t="str">
        <f>IF(OR($G1165="",$C1165=""),"",IF($B1165="決算整理",13,MOD(MONTH($C1165)-4,12)+1))</f>
        <v/>
      </c>
      <c r="Q1165" s="366" t="str">
        <f>IF($G1165="","",TRIM(IF(J1165+K1165+L1165+M1165&lt;&gt;$G1165,"按分不一致 ","")&amp;IF(O1165="※未登録","科目未登録 ","")&amp;IF(OR($H1165="",ISERROR(MATCH($H1165,{1,2,3,4,5,6,7,8},0))),"経費区分? ","")&amp;IF($I1165="","状態未設定 ","")&amp;IF(AND(OR($I1165="確認済",$I1165="未確認"),$B1165="月例",OR($C1165="",$C1165&lt;DATE(年度+2018,4,1),$C1165&gt;DATE(年度+2019,3,31))),"年度外の日付 ","")&amp;IF(AND(OR($I1165="確認済",$I1165="未確認"),O1165="対象外"),"対象外の科目 ","")))</f>
        <v/>
      </c>
      <c r="R1165" s="366" t="n"/>
    </row>
    <row r="1166">
      <c r="A1166" s="359" t="n"/>
      <c r="B1166" s="360" t="n"/>
      <c r="C1166" s="361" t="n"/>
      <c r="D1166" s="362" t="n"/>
      <c r="E1166" s="362" t="n"/>
      <c r="F1166" s="362" t="n"/>
      <c r="G1166" s="363" t="n"/>
      <c r="H1166" s="360" t="n"/>
      <c r="I1166" s="360" t="n"/>
      <c r="J1166" s="364" t="str">
        <f>IF($G1166="","",IF($H1166=1,$G1166-ROUND($G1166*10/23,0)-2*ROUND($G1166/23,0),IF($H1166=2,$G1166,0)))</f>
        <v/>
      </c>
      <c r="K1166" s="364" t="str">
        <f>IF($G1166="","",IF($H1166=1,ROUND($G1166*10/23,0),IF($H1166=3,$G1166-2*ROUND($G1166/12,0),IF($H1166=4,$G1166,IF(OR($H1166=5,$H1166=7),ROUND($G1166*10/11,0),0)))))</f>
        <v/>
      </c>
      <c r="L1166" s="364" t="str">
        <f>IF($G1166="","",IF($H1166=1,ROUND($G1166/23,0),IF($H1166=3,ROUND($G1166/12,0),IF($H1166=5,$G1166-ROUND($G1166*10/11,0),IF($H1166=8,$G1166,0)))))</f>
        <v/>
      </c>
      <c r="M1166" s="364" t="str">
        <f>IF($G1166="","",IF($H1166=1,ROUND($G1166/23,0),IF($H1166=3,ROUND($G1166/12,0),IF($H1166=6,$G1166,IF($H1166=7,$G1166-ROUND($G1166*10/11,0),0)))))</f>
        <v/>
      </c>
      <c r="N1166" s="364" t="str">
        <f>IF($G1166="","",K1166+L1166+M1166)</f>
        <v/>
      </c>
      <c r="O1166" s="365" t="str">
        <f>IF($G1166="","",IFERROR(VLOOKUP($D1166&amp;"|"&amp;$E1166,科目表!$A$5:$B$200,2,FALSE),"※未登録"))</f>
        <v/>
      </c>
      <c r="P1166" s="359" t="str">
        <f>IF(OR($G1166="",$C1166=""),"",IF($B1166="決算整理",13,MOD(MONTH($C1166)-4,12)+1))</f>
        <v/>
      </c>
      <c r="Q1166" s="366" t="str">
        <f>IF($G1166="","",TRIM(IF(J1166+K1166+L1166+M1166&lt;&gt;$G1166,"按分不一致 ","")&amp;IF(O1166="※未登録","科目未登録 ","")&amp;IF(OR($H1166="",ISERROR(MATCH($H1166,{1,2,3,4,5,6,7,8},0))),"経費区分? ","")&amp;IF($I1166="","状態未設定 ","")&amp;IF(AND(OR($I1166="確認済",$I1166="未確認"),$B1166="月例",OR($C1166="",$C1166&lt;DATE(年度+2018,4,1),$C1166&gt;DATE(年度+2019,3,31))),"年度外の日付 ","")&amp;IF(AND(OR($I1166="確認済",$I1166="未確認"),O1166="対象外"),"対象外の科目 ","")))</f>
        <v/>
      </c>
      <c r="R1166" s="366" t="n"/>
    </row>
    <row r="1167">
      <c r="A1167" s="359" t="n"/>
      <c r="B1167" s="360" t="n"/>
      <c r="C1167" s="361" t="n"/>
      <c r="D1167" s="362" t="n"/>
      <c r="E1167" s="362" t="n"/>
      <c r="F1167" s="362" t="n"/>
      <c r="G1167" s="363" t="n"/>
      <c r="H1167" s="360" t="n"/>
      <c r="I1167" s="360" t="n"/>
      <c r="J1167" s="364" t="str">
        <f>IF($G1167="","",IF($H1167=1,$G1167-ROUND($G1167*10/23,0)-2*ROUND($G1167/23,0),IF($H1167=2,$G1167,0)))</f>
        <v/>
      </c>
      <c r="K1167" s="364" t="str">
        <f>IF($G1167="","",IF($H1167=1,ROUND($G1167*10/23,0),IF($H1167=3,$G1167-2*ROUND($G1167/12,0),IF($H1167=4,$G1167,IF(OR($H1167=5,$H1167=7),ROUND($G1167*10/11,0),0)))))</f>
        <v/>
      </c>
      <c r="L1167" s="364" t="str">
        <f>IF($G1167="","",IF($H1167=1,ROUND($G1167/23,0),IF($H1167=3,ROUND($G1167/12,0),IF($H1167=5,$G1167-ROUND($G1167*10/11,0),IF($H1167=8,$G1167,0)))))</f>
        <v/>
      </c>
      <c r="M1167" s="364" t="str">
        <f>IF($G1167="","",IF($H1167=1,ROUND($G1167/23,0),IF($H1167=3,ROUND($G1167/12,0),IF($H1167=6,$G1167,IF($H1167=7,$G1167-ROUND($G1167*10/11,0),0)))))</f>
        <v/>
      </c>
      <c r="N1167" s="364" t="str">
        <f>IF($G1167="","",K1167+L1167+M1167)</f>
        <v/>
      </c>
      <c r="O1167" s="365" t="str">
        <f>IF($G1167="","",IFERROR(VLOOKUP($D1167&amp;"|"&amp;$E1167,科目表!$A$5:$B$200,2,FALSE),"※未登録"))</f>
        <v/>
      </c>
      <c r="P1167" s="359" t="str">
        <f>IF(OR($G1167="",$C1167=""),"",IF($B1167="決算整理",13,MOD(MONTH($C1167)-4,12)+1))</f>
        <v/>
      </c>
      <c r="Q1167" s="366" t="str">
        <f>IF($G1167="","",TRIM(IF(J1167+K1167+L1167+M1167&lt;&gt;$G1167,"按分不一致 ","")&amp;IF(O1167="※未登録","科目未登録 ","")&amp;IF(OR($H1167="",ISERROR(MATCH($H1167,{1,2,3,4,5,6,7,8},0))),"経費区分? ","")&amp;IF($I1167="","状態未設定 ","")&amp;IF(AND(OR($I1167="確認済",$I1167="未確認"),$B1167="月例",OR($C1167="",$C1167&lt;DATE(年度+2018,4,1),$C1167&gt;DATE(年度+2019,3,31))),"年度外の日付 ","")&amp;IF(AND(OR($I1167="確認済",$I1167="未確認"),O1167="対象外"),"対象外の科目 ","")))</f>
        <v/>
      </c>
      <c r="R1167" s="366" t="n"/>
    </row>
    <row r="1168">
      <c r="A1168" s="359" t="n"/>
      <c r="B1168" s="360" t="n"/>
      <c r="C1168" s="361" t="n"/>
      <c r="D1168" s="362" t="n"/>
      <c r="E1168" s="362" t="n"/>
      <c r="F1168" s="362" t="n"/>
      <c r="G1168" s="363" t="n"/>
      <c r="H1168" s="360" t="n"/>
      <c r="I1168" s="360" t="n"/>
      <c r="J1168" s="364" t="str">
        <f>IF($G1168="","",IF($H1168=1,$G1168-ROUND($G1168*10/23,0)-2*ROUND($G1168/23,0),IF($H1168=2,$G1168,0)))</f>
        <v/>
      </c>
      <c r="K1168" s="364" t="str">
        <f>IF($G1168="","",IF($H1168=1,ROUND($G1168*10/23,0),IF($H1168=3,$G1168-2*ROUND($G1168/12,0),IF($H1168=4,$G1168,IF(OR($H1168=5,$H1168=7),ROUND($G1168*10/11,0),0)))))</f>
        <v/>
      </c>
      <c r="L1168" s="364" t="str">
        <f>IF($G1168="","",IF($H1168=1,ROUND($G1168/23,0),IF($H1168=3,ROUND($G1168/12,0),IF($H1168=5,$G1168-ROUND($G1168*10/11,0),IF($H1168=8,$G1168,0)))))</f>
        <v/>
      </c>
      <c r="M1168" s="364" t="str">
        <f>IF($G1168="","",IF($H1168=1,ROUND($G1168/23,0),IF($H1168=3,ROUND($G1168/12,0),IF($H1168=6,$G1168,IF($H1168=7,$G1168-ROUND($G1168*10/11,0),0)))))</f>
        <v/>
      </c>
      <c r="N1168" s="364" t="str">
        <f>IF($G1168="","",K1168+L1168+M1168)</f>
        <v/>
      </c>
      <c r="O1168" s="365" t="str">
        <f>IF($G1168="","",IFERROR(VLOOKUP($D1168&amp;"|"&amp;$E1168,科目表!$A$5:$B$200,2,FALSE),"※未登録"))</f>
        <v/>
      </c>
      <c r="P1168" s="359" t="str">
        <f>IF(OR($G1168="",$C1168=""),"",IF($B1168="決算整理",13,MOD(MONTH($C1168)-4,12)+1))</f>
        <v/>
      </c>
      <c r="Q1168" s="366" t="str">
        <f>IF($G1168="","",TRIM(IF(J1168+K1168+L1168+M1168&lt;&gt;$G1168,"按分不一致 ","")&amp;IF(O1168="※未登録","科目未登録 ","")&amp;IF(OR($H1168="",ISERROR(MATCH($H1168,{1,2,3,4,5,6,7,8},0))),"経費区分? ","")&amp;IF($I1168="","状態未設定 ","")&amp;IF(AND(OR($I1168="確認済",$I1168="未確認"),$B1168="月例",OR($C1168="",$C1168&lt;DATE(年度+2018,4,1),$C1168&gt;DATE(年度+2019,3,31))),"年度外の日付 ","")&amp;IF(AND(OR($I1168="確認済",$I1168="未確認"),O1168="対象外"),"対象外の科目 ","")))</f>
        <v/>
      </c>
      <c r="R1168" s="366" t="n"/>
    </row>
    <row r="1169">
      <c r="A1169" s="359" t="n"/>
      <c r="B1169" s="360" t="n"/>
      <c r="C1169" s="361" t="n"/>
      <c r="D1169" s="362" t="n"/>
      <c r="E1169" s="362" t="n"/>
      <c r="F1169" s="362" t="n"/>
      <c r="G1169" s="363" t="n"/>
      <c r="H1169" s="360" t="n"/>
      <c r="I1169" s="360" t="n"/>
      <c r="J1169" s="364" t="str">
        <f>IF($G1169="","",IF($H1169=1,$G1169-ROUND($G1169*10/23,0)-2*ROUND($G1169/23,0),IF($H1169=2,$G1169,0)))</f>
        <v/>
      </c>
      <c r="K1169" s="364" t="str">
        <f>IF($G1169="","",IF($H1169=1,ROUND($G1169*10/23,0),IF($H1169=3,$G1169-2*ROUND($G1169/12,0),IF($H1169=4,$G1169,IF(OR($H1169=5,$H1169=7),ROUND($G1169*10/11,0),0)))))</f>
        <v/>
      </c>
      <c r="L1169" s="364" t="str">
        <f>IF($G1169="","",IF($H1169=1,ROUND($G1169/23,0),IF($H1169=3,ROUND($G1169/12,0),IF($H1169=5,$G1169-ROUND($G1169*10/11,0),IF($H1169=8,$G1169,0)))))</f>
        <v/>
      </c>
      <c r="M1169" s="364" t="str">
        <f>IF($G1169="","",IF($H1169=1,ROUND($G1169/23,0),IF($H1169=3,ROUND($G1169/12,0),IF($H1169=6,$G1169,IF($H1169=7,$G1169-ROUND($G1169*10/11,0),0)))))</f>
        <v/>
      </c>
      <c r="N1169" s="364" t="str">
        <f>IF($G1169="","",K1169+L1169+M1169)</f>
        <v/>
      </c>
      <c r="O1169" s="365" t="str">
        <f>IF($G1169="","",IFERROR(VLOOKUP($D1169&amp;"|"&amp;$E1169,科目表!$A$5:$B$200,2,FALSE),"※未登録"))</f>
        <v/>
      </c>
      <c r="P1169" s="359" t="str">
        <f>IF(OR($G1169="",$C1169=""),"",IF($B1169="決算整理",13,MOD(MONTH($C1169)-4,12)+1))</f>
        <v/>
      </c>
      <c r="Q1169" s="366" t="str">
        <f>IF($G1169="","",TRIM(IF(J1169+K1169+L1169+M1169&lt;&gt;$G1169,"按分不一致 ","")&amp;IF(O1169="※未登録","科目未登録 ","")&amp;IF(OR($H1169="",ISERROR(MATCH($H1169,{1,2,3,4,5,6,7,8},0))),"経費区分? ","")&amp;IF($I1169="","状態未設定 ","")&amp;IF(AND(OR($I1169="確認済",$I1169="未確認"),$B1169="月例",OR($C1169="",$C1169&lt;DATE(年度+2018,4,1),$C1169&gt;DATE(年度+2019,3,31))),"年度外の日付 ","")&amp;IF(AND(OR($I1169="確認済",$I1169="未確認"),O1169="対象外"),"対象外の科目 ","")))</f>
        <v/>
      </c>
      <c r="R1169" s="366" t="n"/>
    </row>
    <row r="1170">
      <c r="A1170" s="359" t="n"/>
      <c r="B1170" s="360" t="n"/>
      <c r="C1170" s="361" t="n"/>
      <c r="D1170" s="362" t="n"/>
      <c r="E1170" s="362" t="n"/>
      <c r="F1170" s="362" t="n"/>
      <c r="G1170" s="363" t="n"/>
      <c r="H1170" s="360" t="n"/>
      <c r="I1170" s="360" t="n"/>
      <c r="J1170" s="364" t="str">
        <f>IF($G1170="","",IF($H1170=1,$G1170-ROUND($G1170*10/23,0)-2*ROUND($G1170/23,0),IF($H1170=2,$G1170,0)))</f>
        <v/>
      </c>
      <c r="K1170" s="364" t="str">
        <f>IF($G1170="","",IF($H1170=1,ROUND($G1170*10/23,0),IF($H1170=3,$G1170-2*ROUND($G1170/12,0),IF($H1170=4,$G1170,IF(OR($H1170=5,$H1170=7),ROUND($G1170*10/11,0),0)))))</f>
        <v/>
      </c>
      <c r="L1170" s="364" t="str">
        <f>IF($G1170="","",IF($H1170=1,ROUND($G1170/23,0),IF($H1170=3,ROUND($G1170/12,0),IF($H1170=5,$G1170-ROUND($G1170*10/11,0),IF($H1170=8,$G1170,0)))))</f>
        <v/>
      </c>
      <c r="M1170" s="364" t="str">
        <f>IF($G1170="","",IF($H1170=1,ROUND($G1170/23,0),IF($H1170=3,ROUND($G1170/12,0),IF($H1170=6,$G1170,IF($H1170=7,$G1170-ROUND($G1170*10/11,0),0)))))</f>
        <v/>
      </c>
      <c r="N1170" s="364" t="str">
        <f>IF($G1170="","",K1170+L1170+M1170)</f>
        <v/>
      </c>
      <c r="O1170" s="365" t="str">
        <f>IF($G1170="","",IFERROR(VLOOKUP($D1170&amp;"|"&amp;$E1170,科目表!$A$5:$B$200,2,FALSE),"※未登録"))</f>
        <v/>
      </c>
      <c r="P1170" s="359" t="str">
        <f>IF(OR($G1170="",$C1170=""),"",IF($B1170="決算整理",13,MOD(MONTH($C1170)-4,12)+1))</f>
        <v/>
      </c>
      <c r="Q1170" s="366" t="str">
        <f>IF($G1170="","",TRIM(IF(J1170+K1170+L1170+M1170&lt;&gt;$G1170,"按分不一致 ","")&amp;IF(O1170="※未登録","科目未登録 ","")&amp;IF(OR($H1170="",ISERROR(MATCH($H1170,{1,2,3,4,5,6,7,8},0))),"経費区分? ","")&amp;IF($I1170="","状態未設定 ","")&amp;IF(AND(OR($I1170="確認済",$I1170="未確認"),$B1170="月例",OR($C1170="",$C1170&lt;DATE(年度+2018,4,1),$C1170&gt;DATE(年度+2019,3,31))),"年度外の日付 ","")&amp;IF(AND(OR($I1170="確認済",$I1170="未確認"),O1170="対象外"),"対象外の科目 ","")))</f>
        <v/>
      </c>
      <c r="R1170" s="366" t="n"/>
    </row>
    <row r="1171">
      <c r="A1171" s="359" t="n"/>
      <c r="B1171" s="360" t="n"/>
      <c r="C1171" s="361" t="n"/>
      <c r="D1171" s="362" t="n"/>
      <c r="E1171" s="362" t="n"/>
      <c r="F1171" s="362" t="n"/>
      <c r="G1171" s="363" t="n"/>
      <c r="H1171" s="360" t="n"/>
      <c r="I1171" s="360" t="n"/>
      <c r="J1171" s="364" t="str">
        <f>IF($G1171="","",IF($H1171=1,$G1171-ROUND($G1171*10/23,0)-2*ROUND($G1171/23,0),IF($H1171=2,$G1171,0)))</f>
        <v/>
      </c>
      <c r="K1171" s="364" t="str">
        <f>IF($G1171="","",IF($H1171=1,ROUND($G1171*10/23,0),IF($H1171=3,$G1171-2*ROUND($G1171/12,0),IF($H1171=4,$G1171,IF(OR($H1171=5,$H1171=7),ROUND($G1171*10/11,0),0)))))</f>
        <v/>
      </c>
      <c r="L1171" s="364" t="str">
        <f>IF($G1171="","",IF($H1171=1,ROUND($G1171/23,0),IF($H1171=3,ROUND($G1171/12,0),IF($H1171=5,$G1171-ROUND($G1171*10/11,0),IF($H1171=8,$G1171,0)))))</f>
        <v/>
      </c>
      <c r="M1171" s="364" t="str">
        <f>IF($G1171="","",IF($H1171=1,ROUND($G1171/23,0),IF($H1171=3,ROUND($G1171/12,0),IF($H1171=6,$G1171,IF($H1171=7,$G1171-ROUND($G1171*10/11,0),0)))))</f>
        <v/>
      </c>
      <c r="N1171" s="364" t="str">
        <f>IF($G1171="","",K1171+L1171+M1171)</f>
        <v/>
      </c>
      <c r="O1171" s="365" t="str">
        <f>IF($G1171="","",IFERROR(VLOOKUP($D1171&amp;"|"&amp;$E1171,科目表!$A$5:$B$200,2,FALSE),"※未登録"))</f>
        <v/>
      </c>
      <c r="P1171" s="359" t="str">
        <f>IF(OR($G1171="",$C1171=""),"",IF($B1171="決算整理",13,MOD(MONTH($C1171)-4,12)+1))</f>
        <v/>
      </c>
      <c r="Q1171" s="366" t="str">
        <f>IF($G1171="","",TRIM(IF(J1171+K1171+L1171+M1171&lt;&gt;$G1171,"按分不一致 ","")&amp;IF(O1171="※未登録","科目未登録 ","")&amp;IF(OR($H1171="",ISERROR(MATCH($H1171,{1,2,3,4,5,6,7,8},0))),"経費区分? ","")&amp;IF($I1171="","状態未設定 ","")&amp;IF(AND(OR($I1171="確認済",$I1171="未確認"),$B1171="月例",OR($C1171="",$C1171&lt;DATE(年度+2018,4,1),$C1171&gt;DATE(年度+2019,3,31))),"年度外の日付 ","")&amp;IF(AND(OR($I1171="確認済",$I1171="未確認"),O1171="対象外"),"対象外の科目 ","")))</f>
        <v/>
      </c>
      <c r="R1171" s="366" t="n"/>
    </row>
    <row r="1172">
      <c r="A1172" s="359" t="n"/>
      <c r="B1172" s="360" t="n"/>
      <c r="C1172" s="361" t="n"/>
      <c r="D1172" s="362" t="n"/>
      <c r="E1172" s="362" t="n"/>
      <c r="F1172" s="362" t="n"/>
      <c r="G1172" s="363" t="n"/>
      <c r="H1172" s="360" t="n"/>
      <c r="I1172" s="360" t="n"/>
      <c r="J1172" s="364" t="str">
        <f>IF($G1172="","",IF($H1172=1,$G1172-ROUND($G1172*10/23,0)-2*ROUND($G1172/23,0),IF($H1172=2,$G1172,0)))</f>
        <v/>
      </c>
      <c r="K1172" s="364" t="str">
        <f>IF($G1172="","",IF($H1172=1,ROUND($G1172*10/23,0),IF($H1172=3,$G1172-2*ROUND($G1172/12,0),IF($H1172=4,$G1172,IF(OR($H1172=5,$H1172=7),ROUND($G1172*10/11,0),0)))))</f>
        <v/>
      </c>
      <c r="L1172" s="364" t="str">
        <f>IF($G1172="","",IF($H1172=1,ROUND($G1172/23,0),IF($H1172=3,ROUND($G1172/12,0),IF($H1172=5,$G1172-ROUND($G1172*10/11,0),IF($H1172=8,$G1172,0)))))</f>
        <v/>
      </c>
      <c r="M1172" s="364" t="str">
        <f>IF($G1172="","",IF($H1172=1,ROUND($G1172/23,0),IF($H1172=3,ROUND($G1172/12,0),IF($H1172=6,$G1172,IF($H1172=7,$G1172-ROUND($G1172*10/11,0),0)))))</f>
        <v/>
      </c>
      <c r="N1172" s="364" t="str">
        <f>IF($G1172="","",K1172+L1172+M1172)</f>
        <v/>
      </c>
      <c r="O1172" s="365" t="str">
        <f>IF($G1172="","",IFERROR(VLOOKUP($D1172&amp;"|"&amp;$E1172,科目表!$A$5:$B$200,2,FALSE),"※未登録"))</f>
        <v/>
      </c>
      <c r="P1172" s="359" t="str">
        <f>IF(OR($G1172="",$C1172=""),"",IF($B1172="決算整理",13,MOD(MONTH($C1172)-4,12)+1))</f>
        <v/>
      </c>
      <c r="Q1172" s="366" t="str">
        <f>IF($G1172="","",TRIM(IF(J1172+K1172+L1172+M1172&lt;&gt;$G1172,"按分不一致 ","")&amp;IF(O1172="※未登録","科目未登録 ","")&amp;IF(OR($H1172="",ISERROR(MATCH($H1172,{1,2,3,4,5,6,7,8},0))),"経費区分? ","")&amp;IF($I1172="","状態未設定 ","")&amp;IF(AND(OR($I1172="確認済",$I1172="未確認"),$B1172="月例",OR($C1172="",$C1172&lt;DATE(年度+2018,4,1),$C1172&gt;DATE(年度+2019,3,31))),"年度外の日付 ","")&amp;IF(AND(OR($I1172="確認済",$I1172="未確認"),O1172="対象外"),"対象外の科目 ","")))</f>
        <v/>
      </c>
      <c r="R1172" s="366" t="n"/>
    </row>
    <row r="1173">
      <c r="A1173" s="359" t="n"/>
      <c r="B1173" s="360" t="n"/>
      <c r="C1173" s="361" t="n"/>
      <c r="D1173" s="362" t="n"/>
      <c r="E1173" s="362" t="n"/>
      <c r="F1173" s="362" t="n"/>
      <c r="G1173" s="363" t="n"/>
      <c r="H1173" s="360" t="n"/>
      <c r="I1173" s="360" t="n"/>
      <c r="J1173" s="364" t="str">
        <f>IF($G1173="","",IF($H1173=1,$G1173-ROUND($G1173*10/23,0)-2*ROUND($G1173/23,0),IF($H1173=2,$G1173,0)))</f>
        <v/>
      </c>
      <c r="K1173" s="364" t="str">
        <f>IF($G1173="","",IF($H1173=1,ROUND($G1173*10/23,0),IF($H1173=3,$G1173-2*ROUND($G1173/12,0),IF($H1173=4,$G1173,IF(OR($H1173=5,$H1173=7),ROUND($G1173*10/11,0),0)))))</f>
        <v/>
      </c>
      <c r="L1173" s="364" t="str">
        <f>IF($G1173="","",IF($H1173=1,ROUND($G1173/23,0),IF($H1173=3,ROUND($G1173/12,0),IF($H1173=5,$G1173-ROUND($G1173*10/11,0),IF($H1173=8,$G1173,0)))))</f>
        <v/>
      </c>
      <c r="M1173" s="364" t="str">
        <f>IF($G1173="","",IF($H1173=1,ROUND($G1173/23,0),IF($H1173=3,ROUND($G1173/12,0),IF($H1173=6,$G1173,IF($H1173=7,$G1173-ROUND($G1173*10/11,0),0)))))</f>
        <v/>
      </c>
      <c r="N1173" s="364" t="str">
        <f>IF($G1173="","",K1173+L1173+M1173)</f>
        <v/>
      </c>
      <c r="O1173" s="365" t="str">
        <f>IF($G1173="","",IFERROR(VLOOKUP($D1173&amp;"|"&amp;$E1173,科目表!$A$5:$B$200,2,FALSE),"※未登録"))</f>
        <v/>
      </c>
      <c r="P1173" s="359" t="str">
        <f>IF(OR($G1173="",$C1173=""),"",IF($B1173="決算整理",13,MOD(MONTH($C1173)-4,12)+1))</f>
        <v/>
      </c>
      <c r="Q1173" s="366" t="str">
        <f>IF($G1173="","",TRIM(IF(J1173+K1173+L1173+M1173&lt;&gt;$G1173,"按分不一致 ","")&amp;IF(O1173="※未登録","科目未登録 ","")&amp;IF(OR($H1173="",ISERROR(MATCH($H1173,{1,2,3,4,5,6,7,8},0))),"経費区分? ","")&amp;IF($I1173="","状態未設定 ","")&amp;IF(AND(OR($I1173="確認済",$I1173="未確認"),$B1173="月例",OR($C1173="",$C1173&lt;DATE(年度+2018,4,1),$C1173&gt;DATE(年度+2019,3,31))),"年度外の日付 ","")&amp;IF(AND(OR($I1173="確認済",$I1173="未確認"),O1173="対象外"),"対象外の科目 ","")))</f>
        <v/>
      </c>
      <c r="R1173" s="366" t="n"/>
    </row>
    <row r="1174">
      <c r="A1174" s="359" t="n"/>
      <c r="B1174" s="360" t="n"/>
      <c r="C1174" s="361" t="n"/>
      <c r="D1174" s="362" t="n"/>
      <c r="E1174" s="362" t="n"/>
      <c r="F1174" s="362" t="n"/>
      <c r="G1174" s="363" t="n"/>
      <c r="H1174" s="360" t="n"/>
      <c r="I1174" s="360" t="n"/>
      <c r="J1174" s="364" t="str">
        <f>IF($G1174="","",IF($H1174=1,$G1174-ROUND($G1174*10/23,0)-2*ROUND($G1174/23,0),IF($H1174=2,$G1174,0)))</f>
        <v/>
      </c>
      <c r="K1174" s="364" t="str">
        <f>IF($G1174="","",IF($H1174=1,ROUND($G1174*10/23,0),IF($H1174=3,$G1174-2*ROUND($G1174/12,0),IF($H1174=4,$G1174,IF(OR($H1174=5,$H1174=7),ROUND($G1174*10/11,0),0)))))</f>
        <v/>
      </c>
      <c r="L1174" s="364" t="str">
        <f>IF($G1174="","",IF($H1174=1,ROUND($G1174/23,0),IF($H1174=3,ROUND($G1174/12,0),IF($H1174=5,$G1174-ROUND($G1174*10/11,0),IF($H1174=8,$G1174,0)))))</f>
        <v/>
      </c>
      <c r="M1174" s="364" t="str">
        <f>IF($G1174="","",IF($H1174=1,ROUND($G1174/23,0),IF($H1174=3,ROUND($G1174/12,0),IF($H1174=6,$G1174,IF($H1174=7,$G1174-ROUND($G1174*10/11,0),0)))))</f>
        <v/>
      </c>
      <c r="N1174" s="364" t="str">
        <f>IF($G1174="","",K1174+L1174+M1174)</f>
        <v/>
      </c>
      <c r="O1174" s="365" t="str">
        <f>IF($G1174="","",IFERROR(VLOOKUP($D1174&amp;"|"&amp;$E1174,科目表!$A$5:$B$200,2,FALSE),"※未登録"))</f>
        <v/>
      </c>
      <c r="P1174" s="359" t="str">
        <f>IF(OR($G1174="",$C1174=""),"",IF($B1174="決算整理",13,MOD(MONTH($C1174)-4,12)+1))</f>
        <v/>
      </c>
      <c r="Q1174" s="366" t="str">
        <f>IF($G1174="","",TRIM(IF(J1174+K1174+L1174+M1174&lt;&gt;$G1174,"按分不一致 ","")&amp;IF(O1174="※未登録","科目未登録 ","")&amp;IF(OR($H1174="",ISERROR(MATCH($H1174,{1,2,3,4,5,6,7,8},0))),"経費区分? ","")&amp;IF($I1174="","状態未設定 ","")&amp;IF(AND(OR($I1174="確認済",$I1174="未確認"),$B1174="月例",OR($C1174="",$C1174&lt;DATE(年度+2018,4,1),$C1174&gt;DATE(年度+2019,3,31))),"年度外の日付 ","")&amp;IF(AND(OR($I1174="確認済",$I1174="未確認"),O1174="対象外"),"対象外の科目 ","")))</f>
        <v/>
      </c>
      <c r="R1174" s="366" t="n"/>
    </row>
    <row r="1175">
      <c r="A1175" s="359" t="n"/>
      <c r="B1175" s="360" t="n"/>
      <c r="C1175" s="361" t="n"/>
      <c r="D1175" s="362" t="n"/>
      <c r="E1175" s="362" t="n"/>
      <c r="F1175" s="362" t="n"/>
      <c r="G1175" s="363" t="n"/>
      <c r="H1175" s="360" t="n"/>
      <c r="I1175" s="360" t="n"/>
      <c r="J1175" s="364" t="str">
        <f>IF($G1175="","",IF($H1175=1,$G1175-ROUND($G1175*10/23,0)-2*ROUND($G1175/23,0),IF($H1175=2,$G1175,0)))</f>
        <v/>
      </c>
      <c r="K1175" s="364" t="str">
        <f>IF($G1175="","",IF($H1175=1,ROUND($G1175*10/23,0),IF($H1175=3,$G1175-2*ROUND($G1175/12,0),IF($H1175=4,$G1175,IF(OR($H1175=5,$H1175=7),ROUND($G1175*10/11,0),0)))))</f>
        <v/>
      </c>
      <c r="L1175" s="364" t="str">
        <f>IF($G1175="","",IF($H1175=1,ROUND($G1175/23,0),IF($H1175=3,ROUND($G1175/12,0),IF($H1175=5,$G1175-ROUND($G1175*10/11,0),IF($H1175=8,$G1175,0)))))</f>
        <v/>
      </c>
      <c r="M1175" s="364" t="str">
        <f>IF($G1175="","",IF($H1175=1,ROUND($G1175/23,0),IF($H1175=3,ROUND($G1175/12,0),IF($H1175=6,$G1175,IF($H1175=7,$G1175-ROUND($G1175*10/11,0),0)))))</f>
        <v/>
      </c>
      <c r="N1175" s="364" t="str">
        <f>IF($G1175="","",K1175+L1175+M1175)</f>
        <v/>
      </c>
      <c r="O1175" s="365" t="str">
        <f>IF($G1175="","",IFERROR(VLOOKUP($D1175&amp;"|"&amp;$E1175,科目表!$A$5:$B$200,2,FALSE),"※未登録"))</f>
        <v/>
      </c>
      <c r="P1175" s="359" t="str">
        <f>IF(OR($G1175="",$C1175=""),"",IF($B1175="決算整理",13,MOD(MONTH($C1175)-4,12)+1))</f>
        <v/>
      </c>
      <c r="Q1175" s="366" t="str">
        <f>IF($G1175="","",TRIM(IF(J1175+K1175+L1175+M1175&lt;&gt;$G1175,"按分不一致 ","")&amp;IF(O1175="※未登録","科目未登録 ","")&amp;IF(OR($H1175="",ISERROR(MATCH($H1175,{1,2,3,4,5,6,7,8},0))),"経費区分? ","")&amp;IF($I1175="","状態未設定 ","")&amp;IF(AND(OR($I1175="確認済",$I1175="未確認"),$B1175="月例",OR($C1175="",$C1175&lt;DATE(年度+2018,4,1),$C1175&gt;DATE(年度+2019,3,31))),"年度外の日付 ","")&amp;IF(AND(OR($I1175="確認済",$I1175="未確認"),O1175="対象外"),"対象外の科目 ","")))</f>
        <v/>
      </c>
      <c r="R1175" s="366" t="n"/>
    </row>
    <row r="1176">
      <c r="A1176" s="359" t="n"/>
      <c r="B1176" s="360" t="n"/>
      <c r="C1176" s="361" t="n"/>
      <c r="D1176" s="362" t="n"/>
      <c r="E1176" s="362" t="n"/>
      <c r="F1176" s="362" t="n"/>
      <c r="G1176" s="363" t="n"/>
      <c r="H1176" s="360" t="n"/>
      <c r="I1176" s="360" t="n"/>
      <c r="J1176" s="364" t="str">
        <f>IF($G1176="","",IF($H1176=1,$G1176-ROUND($G1176*10/23,0)-2*ROUND($G1176/23,0),IF($H1176=2,$G1176,0)))</f>
        <v/>
      </c>
      <c r="K1176" s="364" t="str">
        <f>IF($G1176="","",IF($H1176=1,ROUND($G1176*10/23,0),IF($H1176=3,$G1176-2*ROUND($G1176/12,0),IF($H1176=4,$G1176,IF(OR($H1176=5,$H1176=7),ROUND($G1176*10/11,0),0)))))</f>
        <v/>
      </c>
      <c r="L1176" s="364" t="str">
        <f>IF($G1176="","",IF($H1176=1,ROUND($G1176/23,0),IF($H1176=3,ROUND($G1176/12,0),IF($H1176=5,$G1176-ROUND($G1176*10/11,0),IF($H1176=8,$G1176,0)))))</f>
        <v/>
      </c>
      <c r="M1176" s="364" t="str">
        <f>IF($G1176="","",IF($H1176=1,ROUND($G1176/23,0),IF($H1176=3,ROUND($G1176/12,0),IF($H1176=6,$G1176,IF($H1176=7,$G1176-ROUND($G1176*10/11,0),0)))))</f>
        <v/>
      </c>
      <c r="N1176" s="364" t="str">
        <f>IF($G1176="","",K1176+L1176+M1176)</f>
        <v/>
      </c>
      <c r="O1176" s="365" t="str">
        <f>IF($G1176="","",IFERROR(VLOOKUP($D1176&amp;"|"&amp;$E1176,科目表!$A$5:$B$200,2,FALSE),"※未登録"))</f>
        <v/>
      </c>
      <c r="P1176" s="359" t="str">
        <f>IF(OR($G1176="",$C1176=""),"",IF($B1176="決算整理",13,MOD(MONTH($C1176)-4,12)+1))</f>
        <v/>
      </c>
      <c r="Q1176" s="366" t="str">
        <f>IF($G1176="","",TRIM(IF(J1176+K1176+L1176+M1176&lt;&gt;$G1176,"按分不一致 ","")&amp;IF(O1176="※未登録","科目未登録 ","")&amp;IF(OR($H1176="",ISERROR(MATCH($H1176,{1,2,3,4,5,6,7,8},0))),"経費区分? ","")&amp;IF($I1176="","状態未設定 ","")&amp;IF(AND(OR($I1176="確認済",$I1176="未確認"),$B1176="月例",OR($C1176="",$C1176&lt;DATE(年度+2018,4,1),$C1176&gt;DATE(年度+2019,3,31))),"年度外の日付 ","")&amp;IF(AND(OR($I1176="確認済",$I1176="未確認"),O1176="対象外"),"対象外の科目 ","")))</f>
        <v/>
      </c>
      <c r="R1176" s="366" t="n"/>
    </row>
    <row r="1177">
      <c r="A1177" s="359" t="n"/>
      <c r="B1177" s="360" t="n"/>
      <c r="C1177" s="361" t="n"/>
      <c r="D1177" s="362" t="n"/>
      <c r="E1177" s="362" t="n"/>
      <c r="F1177" s="362" t="n"/>
      <c r="G1177" s="363" t="n"/>
      <c r="H1177" s="360" t="n"/>
      <c r="I1177" s="360" t="n"/>
      <c r="J1177" s="364" t="str">
        <f>IF($G1177="","",IF($H1177=1,$G1177-ROUND($G1177*10/23,0)-2*ROUND($G1177/23,0),IF($H1177=2,$G1177,0)))</f>
        <v/>
      </c>
      <c r="K1177" s="364" t="str">
        <f>IF($G1177="","",IF($H1177=1,ROUND($G1177*10/23,0),IF($H1177=3,$G1177-2*ROUND($G1177/12,0),IF($H1177=4,$G1177,IF(OR($H1177=5,$H1177=7),ROUND($G1177*10/11,0),0)))))</f>
        <v/>
      </c>
      <c r="L1177" s="364" t="str">
        <f>IF($G1177="","",IF($H1177=1,ROUND($G1177/23,0),IF($H1177=3,ROUND($G1177/12,0),IF($H1177=5,$G1177-ROUND($G1177*10/11,0),IF($H1177=8,$G1177,0)))))</f>
        <v/>
      </c>
      <c r="M1177" s="364" t="str">
        <f>IF($G1177="","",IF($H1177=1,ROUND($G1177/23,0),IF($H1177=3,ROUND($G1177/12,0),IF($H1177=6,$G1177,IF($H1177=7,$G1177-ROUND($G1177*10/11,0),0)))))</f>
        <v/>
      </c>
      <c r="N1177" s="364" t="str">
        <f>IF($G1177="","",K1177+L1177+M1177)</f>
        <v/>
      </c>
      <c r="O1177" s="365" t="str">
        <f>IF($G1177="","",IFERROR(VLOOKUP($D1177&amp;"|"&amp;$E1177,科目表!$A$5:$B$200,2,FALSE),"※未登録"))</f>
        <v/>
      </c>
      <c r="P1177" s="359" t="str">
        <f>IF(OR($G1177="",$C1177=""),"",IF($B1177="決算整理",13,MOD(MONTH($C1177)-4,12)+1))</f>
        <v/>
      </c>
      <c r="Q1177" s="366" t="str">
        <f>IF($G1177="","",TRIM(IF(J1177+K1177+L1177+M1177&lt;&gt;$G1177,"按分不一致 ","")&amp;IF(O1177="※未登録","科目未登録 ","")&amp;IF(OR($H1177="",ISERROR(MATCH($H1177,{1,2,3,4,5,6,7,8},0))),"経費区分? ","")&amp;IF($I1177="","状態未設定 ","")&amp;IF(AND(OR($I1177="確認済",$I1177="未確認"),$B1177="月例",OR($C1177="",$C1177&lt;DATE(年度+2018,4,1),$C1177&gt;DATE(年度+2019,3,31))),"年度外の日付 ","")&amp;IF(AND(OR($I1177="確認済",$I1177="未確認"),O1177="対象外"),"対象外の科目 ","")))</f>
        <v/>
      </c>
      <c r="R1177" s="366" t="n"/>
    </row>
    <row r="1178">
      <c r="A1178" s="359" t="n"/>
      <c r="B1178" s="360" t="n"/>
      <c r="C1178" s="361" t="n"/>
      <c r="D1178" s="362" t="n"/>
      <c r="E1178" s="362" t="n"/>
      <c r="F1178" s="362" t="n"/>
      <c r="G1178" s="363" t="n"/>
      <c r="H1178" s="360" t="n"/>
      <c r="I1178" s="360" t="n"/>
      <c r="J1178" s="364" t="str">
        <f>IF($G1178="","",IF($H1178=1,$G1178-ROUND($G1178*10/23,0)-2*ROUND($G1178/23,0),IF($H1178=2,$G1178,0)))</f>
        <v/>
      </c>
      <c r="K1178" s="364" t="str">
        <f>IF($G1178="","",IF($H1178=1,ROUND($G1178*10/23,0),IF($H1178=3,$G1178-2*ROUND($G1178/12,0),IF($H1178=4,$G1178,IF(OR($H1178=5,$H1178=7),ROUND($G1178*10/11,0),0)))))</f>
        <v/>
      </c>
      <c r="L1178" s="364" t="str">
        <f>IF($G1178="","",IF($H1178=1,ROUND($G1178/23,0),IF($H1178=3,ROUND($G1178/12,0),IF($H1178=5,$G1178-ROUND($G1178*10/11,0),IF($H1178=8,$G1178,0)))))</f>
        <v/>
      </c>
      <c r="M1178" s="364" t="str">
        <f>IF($G1178="","",IF($H1178=1,ROUND($G1178/23,0),IF($H1178=3,ROUND($G1178/12,0),IF($H1178=6,$G1178,IF($H1178=7,$G1178-ROUND($G1178*10/11,0),0)))))</f>
        <v/>
      </c>
      <c r="N1178" s="364" t="str">
        <f>IF($G1178="","",K1178+L1178+M1178)</f>
        <v/>
      </c>
      <c r="O1178" s="365" t="str">
        <f>IF($G1178="","",IFERROR(VLOOKUP($D1178&amp;"|"&amp;$E1178,科目表!$A$5:$B$200,2,FALSE),"※未登録"))</f>
        <v/>
      </c>
      <c r="P1178" s="359" t="str">
        <f>IF(OR($G1178="",$C1178=""),"",IF($B1178="決算整理",13,MOD(MONTH($C1178)-4,12)+1))</f>
        <v/>
      </c>
      <c r="Q1178" s="366" t="str">
        <f>IF($G1178="","",TRIM(IF(J1178+K1178+L1178+M1178&lt;&gt;$G1178,"按分不一致 ","")&amp;IF(O1178="※未登録","科目未登録 ","")&amp;IF(OR($H1178="",ISERROR(MATCH($H1178,{1,2,3,4,5,6,7,8},0))),"経費区分? ","")&amp;IF($I1178="","状態未設定 ","")&amp;IF(AND(OR($I1178="確認済",$I1178="未確認"),$B1178="月例",OR($C1178="",$C1178&lt;DATE(年度+2018,4,1),$C1178&gt;DATE(年度+2019,3,31))),"年度外の日付 ","")&amp;IF(AND(OR($I1178="確認済",$I1178="未確認"),O1178="対象外"),"対象外の科目 ","")))</f>
        <v/>
      </c>
      <c r="R1178" s="366" t="n"/>
    </row>
    <row r="1179">
      <c r="A1179" s="359" t="n"/>
      <c r="B1179" s="360" t="n"/>
      <c r="C1179" s="361" t="n"/>
      <c r="D1179" s="362" t="n"/>
      <c r="E1179" s="362" t="n"/>
      <c r="F1179" s="362" t="n"/>
      <c r="G1179" s="363" t="n"/>
      <c r="H1179" s="360" t="n"/>
      <c r="I1179" s="360" t="n"/>
      <c r="J1179" s="364" t="str">
        <f>IF($G1179="","",IF($H1179=1,$G1179-ROUND($G1179*10/23,0)-2*ROUND($G1179/23,0),IF($H1179=2,$G1179,0)))</f>
        <v/>
      </c>
      <c r="K1179" s="364" t="str">
        <f>IF($G1179="","",IF($H1179=1,ROUND($G1179*10/23,0),IF($H1179=3,$G1179-2*ROUND($G1179/12,0),IF($H1179=4,$G1179,IF(OR($H1179=5,$H1179=7),ROUND($G1179*10/11,0),0)))))</f>
        <v/>
      </c>
      <c r="L1179" s="364" t="str">
        <f>IF($G1179="","",IF($H1179=1,ROUND($G1179/23,0),IF($H1179=3,ROUND($G1179/12,0),IF($H1179=5,$G1179-ROUND($G1179*10/11,0),IF($H1179=8,$G1179,0)))))</f>
        <v/>
      </c>
      <c r="M1179" s="364" t="str">
        <f>IF($G1179="","",IF($H1179=1,ROUND($G1179/23,0),IF($H1179=3,ROUND($G1179/12,0),IF($H1179=6,$G1179,IF($H1179=7,$G1179-ROUND($G1179*10/11,0),0)))))</f>
        <v/>
      </c>
      <c r="N1179" s="364" t="str">
        <f>IF($G1179="","",K1179+L1179+M1179)</f>
        <v/>
      </c>
      <c r="O1179" s="365" t="str">
        <f>IF($G1179="","",IFERROR(VLOOKUP($D1179&amp;"|"&amp;$E1179,科目表!$A$5:$B$200,2,FALSE),"※未登録"))</f>
        <v/>
      </c>
      <c r="P1179" s="359" t="str">
        <f>IF(OR($G1179="",$C1179=""),"",IF($B1179="決算整理",13,MOD(MONTH($C1179)-4,12)+1))</f>
        <v/>
      </c>
      <c r="Q1179" s="366" t="str">
        <f>IF($G1179="","",TRIM(IF(J1179+K1179+L1179+M1179&lt;&gt;$G1179,"按分不一致 ","")&amp;IF(O1179="※未登録","科目未登録 ","")&amp;IF(OR($H1179="",ISERROR(MATCH($H1179,{1,2,3,4,5,6,7,8},0))),"経費区分? ","")&amp;IF($I1179="","状態未設定 ","")&amp;IF(AND(OR($I1179="確認済",$I1179="未確認"),$B1179="月例",OR($C1179="",$C1179&lt;DATE(年度+2018,4,1),$C1179&gt;DATE(年度+2019,3,31))),"年度外の日付 ","")&amp;IF(AND(OR($I1179="確認済",$I1179="未確認"),O1179="対象外"),"対象外の科目 ","")))</f>
        <v/>
      </c>
      <c r="R1179" s="366" t="n"/>
    </row>
    <row r="1180">
      <c r="A1180" s="359" t="n"/>
      <c r="B1180" s="360" t="n"/>
      <c r="C1180" s="361" t="n"/>
      <c r="D1180" s="362" t="n"/>
      <c r="E1180" s="362" t="n"/>
      <c r="F1180" s="362" t="n"/>
      <c r="G1180" s="363" t="n"/>
      <c r="H1180" s="360" t="n"/>
      <c r="I1180" s="360" t="n"/>
      <c r="J1180" s="364" t="str">
        <f>IF($G1180="","",IF($H1180=1,$G1180-ROUND($G1180*10/23,0)-2*ROUND($G1180/23,0),IF($H1180=2,$G1180,0)))</f>
        <v/>
      </c>
      <c r="K1180" s="364" t="str">
        <f>IF($G1180="","",IF($H1180=1,ROUND($G1180*10/23,0),IF($H1180=3,$G1180-2*ROUND($G1180/12,0),IF($H1180=4,$G1180,IF(OR($H1180=5,$H1180=7),ROUND($G1180*10/11,0),0)))))</f>
        <v/>
      </c>
      <c r="L1180" s="364" t="str">
        <f>IF($G1180="","",IF($H1180=1,ROUND($G1180/23,0),IF($H1180=3,ROUND($G1180/12,0),IF($H1180=5,$G1180-ROUND($G1180*10/11,0),IF($H1180=8,$G1180,0)))))</f>
        <v/>
      </c>
      <c r="M1180" s="364" t="str">
        <f>IF($G1180="","",IF($H1180=1,ROUND($G1180/23,0),IF($H1180=3,ROUND($G1180/12,0),IF($H1180=6,$G1180,IF($H1180=7,$G1180-ROUND($G1180*10/11,0),0)))))</f>
        <v/>
      </c>
      <c r="N1180" s="364" t="str">
        <f>IF($G1180="","",K1180+L1180+M1180)</f>
        <v/>
      </c>
      <c r="O1180" s="365" t="str">
        <f>IF($G1180="","",IFERROR(VLOOKUP($D1180&amp;"|"&amp;$E1180,科目表!$A$5:$B$200,2,FALSE),"※未登録"))</f>
        <v/>
      </c>
      <c r="P1180" s="359" t="str">
        <f>IF(OR($G1180="",$C1180=""),"",IF($B1180="決算整理",13,MOD(MONTH($C1180)-4,12)+1))</f>
        <v/>
      </c>
      <c r="Q1180" s="366" t="str">
        <f>IF($G1180="","",TRIM(IF(J1180+K1180+L1180+M1180&lt;&gt;$G1180,"按分不一致 ","")&amp;IF(O1180="※未登録","科目未登録 ","")&amp;IF(OR($H1180="",ISERROR(MATCH($H1180,{1,2,3,4,5,6,7,8},0))),"経費区分? ","")&amp;IF($I1180="","状態未設定 ","")&amp;IF(AND(OR($I1180="確認済",$I1180="未確認"),$B1180="月例",OR($C1180="",$C1180&lt;DATE(年度+2018,4,1),$C1180&gt;DATE(年度+2019,3,31))),"年度外の日付 ","")&amp;IF(AND(OR($I1180="確認済",$I1180="未確認"),O1180="対象外"),"対象外の科目 ","")))</f>
        <v/>
      </c>
      <c r="R1180" s="366" t="n"/>
    </row>
    <row r="1181">
      <c r="A1181" s="359" t="n"/>
      <c r="B1181" s="360" t="n"/>
      <c r="C1181" s="361" t="n"/>
      <c r="D1181" s="362" t="n"/>
      <c r="E1181" s="362" t="n"/>
      <c r="F1181" s="362" t="n"/>
      <c r="G1181" s="363" t="n"/>
      <c r="H1181" s="360" t="n"/>
      <c r="I1181" s="360" t="n"/>
      <c r="J1181" s="364" t="str">
        <f>IF($G1181="","",IF($H1181=1,$G1181-ROUND($G1181*10/23,0)-2*ROUND($G1181/23,0),IF($H1181=2,$G1181,0)))</f>
        <v/>
      </c>
      <c r="K1181" s="364" t="str">
        <f>IF($G1181="","",IF($H1181=1,ROUND($G1181*10/23,0),IF($H1181=3,$G1181-2*ROUND($G1181/12,0),IF($H1181=4,$G1181,IF(OR($H1181=5,$H1181=7),ROUND($G1181*10/11,0),0)))))</f>
        <v/>
      </c>
      <c r="L1181" s="364" t="str">
        <f>IF($G1181="","",IF($H1181=1,ROUND($G1181/23,0),IF($H1181=3,ROUND($G1181/12,0),IF($H1181=5,$G1181-ROUND($G1181*10/11,0),IF($H1181=8,$G1181,0)))))</f>
        <v/>
      </c>
      <c r="M1181" s="364" t="str">
        <f>IF($G1181="","",IF($H1181=1,ROUND($G1181/23,0),IF($H1181=3,ROUND($G1181/12,0),IF($H1181=6,$G1181,IF($H1181=7,$G1181-ROUND($G1181*10/11,0),0)))))</f>
        <v/>
      </c>
      <c r="N1181" s="364" t="str">
        <f>IF($G1181="","",K1181+L1181+M1181)</f>
        <v/>
      </c>
      <c r="O1181" s="365" t="str">
        <f>IF($G1181="","",IFERROR(VLOOKUP($D1181&amp;"|"&amp;$E1181,科目表!$A$5:$B$200,2,FALSE),"※未登録"))</f>
        <v/>
      </c>
      <c r="P1181" s="359" t="str">
        <f>IF(OR($G1181="",$C1181=""),"",IF($B1181="決算整理",13,MOD(MONTH($C1181)-4,12)+1))</f>
        <v/>
      </c>
      <c r="Q1181" s="366" t="str">
        <f>IF($G1181="","",TRIM(IF(J1181+K1181+L1181+M1181&lt;&gt;$G1181,"按分不一致 ","")&amp;IF(O1181="※未登録","科目未登録 ","")&amp;IF(OR($H1181="",ISERROR(MATCH($H1181,{1,2,3,4,5,6,7,8},0))),"経費区分? ","")&amp;IF($I1181="","状態未設定 ","")&amp;IF(AND(OR($I1181="確認済",$I1181="未確認"),$B1181="月例",OR($C1181="",$C1181&lt;DATE(年度+2018,4,1),$C1181&gt;DATE(年度+2019,3,31))),"年度外の日付 ","")&amp;IF(AND(OR($I1181="確認済",$I1181="未確認"),O1181="対象外"),"対象外の科目 ","")))</f>
        <v/>
      </c>
      <c r="R1181" s="366" t="n"/>
    </row>
    <row r="1182">
      <c r="A1182" s="359" t="n"/>
      <c r="B1182" s="360" t="n"/>
      <c r="C1182" s="361" t="n"/>
      <c r="D1182" s="362" t="n"/>
      <c r="E1182" s="362" t="n"/>
      <c r="F1182" s="362" t="n"/>
      <c r="G1182" s="363" t="n"/>
      <c r="H1182" s="360" t="n"/>
      <c r="I1182" s="360" t="n"/>
      <c r="J1182" s="364" t="str">
        <f>IF($G1182="","",IF($H1182=1,$G1182-ROUND($G1182*10/23,0)-2*ROUND($G1182/23,0),IF($H1182=2,$G1182,0)))</f>
        <v/>
      </c>
      <c r="K1182" s="364" t="str">
        <f>IF($G1182="","",IF($H1182=1,ROUND($G1182*10/23,0),IF($H1182=3,$G1182-2*ROUND($G1182/12,0),IF($H1182=4,$G1182,IF(OR($H1182=5,$H1182=7),ROUND($G1182*10/11,0),0)))))</f>
        <v/>
      </c>
      <c r="L1182" s="364" t="str">
        <f>IF($G1182="","",IF($H1182=1,ROUND($G1182/23,0),IF($H1182=3,ROUND($G1182/12,0),IF($H1182=5,$G1182-ROUND($G1182*10/11,0),IF($H1182=8,$G1182,0)))))</f>
        <v/>
      </c>
      <c r="M1182" s="364" t="str">
        <f>IF($G1182="","",IF($H1182=1,ROUND($G1182/23,0),IF($H1182=3,ROUND($G1182/12,0),IF($H1182=6,$G1182,IF($H1182=7,$G1182-ROUND($G1182*10/11,0),0)))))</f>
        <v/>
      </c>
      <c r="N1182" s="364" t="str">
        <f>IF($G1182="","",K1182+L1182+M1182)</f>
        <v/>
      </c>
      <c r="O1182" s="365" t="str">
        <f>IF($G1182="","",IFERROR(VLOOKUP($D1182&amp;"|"&amp;$E1182,科目表!$A$5:$B$200,2,FALSE),"※未登録"))</f>
        <v/>
      </c>
      <c r="P1182" s="359" t="str">
        <f>IF(OR($G1182="",$C1182=""),"",IF($B1182="決算整理",13,MOD(MONTH($C1182)-4,12)+1))</f>
        <v/>
      </c>
      <c r="Q1182" s="366" t="str">
        <f>IF($G1182="","",TRIM(IF(J1182+K1182+L1182+M1182&lt;&gt;$G1182,"按分不一致 ","")&amp;IF(O1182="※未登録","科目未登録 ","")&amp;IF(OR($H1182="",ISERROR(MATCH($H1182,{1,2,3,4,5,6,7,8},0))),"経費区分? ","")&amp;IF($I1182="","状態未設定 ","")&amp;IF(AND(OR($I1182="確認済",$I1182="未確認"),$B1182="月例",OR($C1182="",$C1182&lt;DATE(年度+2018,4,1),$C1182&gt;DATE(年度+2019,3,31))),"年度外の日付 ","")&amp;IF(AND(OR($I1182="確認済",$I1182="未確認"),O1182="対象外"),"対象外の科目 ","")))</f>
        <v/>
      </c>
      <c r="R1182" s="366" t="n"/>
    </row>
    <row r="1183">
      <c r="A1183" s="359" t="n"/>
      <c r="B1183" s="360" t="n"/>
      <c r="C1183" s="361" t="n"/>
      <c r="D1183" s="362" t="n"/>
      <c r="E1183" s="362" t="n"/>
      <c r="F1183" s="362" t="n"/>
      <c r="G1183" s="363" t="n"/>
      <c r="H1183" s="360" t="n"/>
      <c r="I1183" s="360" t="n"/>
      <c r="J1183" s="364" t="str">
        <f>IF($G1183="","",IF($H1183=1,$G1183-ROUND($G1183*10/23,0)-2*ROUND($G1183/23,0),IF($H1183=2,$G1183,0)))</f>
        <v/>
      </c>
      <c r="K1183" s="364" t="str">
        <f>IF($G1183="","",IF($H1183=1,ROUND($G1183*10/23,0),IF($H1183=3,$G1183-2*ROUND($G1183/12,0),IF($H1183=4,$G1183,IF(OR($H1183=5,$H1183=7),ROUND($G1183*10/11,0),0)))))</f>
        <v/>
      </c>
      <c r="L1183" s="364" t="str">
        <f>IF($G1183="","",IF($H1183=1,ROUND($G1183/23,0),IF($H1183=3,ROUND($G1183/12,0),IF($H1183=5,$G1183-ROUND($G1183*10/11,0),IF($H1183=8,$G1183,0)))))</f>
        <v/>
      </c>
      <c r="M1183" s="364" t="str">
        <f>IF($G1183="","",IF($H1183=1,ROUND($G1183/23,0),IF($H1183=3,ROUND($G1183/12,0),IF($H1183=6,$G1183,IF($H1183=7,$G1183-ROUND($G1183*10/11,0),0)))))</f>
        <v/>
      </c>
      <c r="N1183" s="364" t="str">
        <f>IF($G1183="","",K1183+L1183+M1183)</f>
        <v/>
      </c>
      <c r="O1183" s="365" t="str">
        <f>IF($G1183="","",IFERROR(VLOOKUP($D1183&amp;"|"&amp;$E1183,科目表!$A$5:$B$200,2,FALSE),"※未登録"))</f>
        <v/>
      </c>
      <c r="P1183" s="359" t="str">
        <f>IF(OR($G1183="",$C1183=""),"",IF($B1183="決算整理",13,MOD(MONTH($C1183)-4,12)+1))</f>
        <v/>
      </c>
      <c r="Q1183" s="366" t="str">
        <f>IF($G1183="","",TRIM(IF(J1183+K1183+L1183+M1183&lt;&gt;$G1183,"按分不一致 ","")&amp;IF(O1183="※未登録","科目未登録 ","")&amp;IF(OR($H1183="",ISERROR(MATCH($H1183,{1,2,3,4,5,6,7,8},0))),"経費区分? ","")&amp;IF($I1183="","状態未設定 ","")&amp;IF(AND(OR($I1183="確認済",$I1183="未確認"),$B1183="月例",OR($C1183="",$C1183&lt;DATE(年度+2018,4,1),$C1183&gt;DATE(年度+2019,3,31))),"年度外の日付 ","")&amp;IF(AND(OR($I1183="確認済",$I1183="未確認"),O1183="対象外"),"対象外の科目 ","")))</f>
        <v/>
      </c>
      <c r="R1183" s="366" t="n"/>
    </row>
    <row r="1184">
      <c r="A1184" s="359" t="n"/>
      <c r="B1184" s="360" t="n"/>
      <c r="C1184" s="361" t="n"/>
      <c r="D1184" s="362" t="n"/>
      <c r="E1184" s="362" t="n"/>
      <c r="F1184" s="362" t="n"/>
      <c r="G1184" s="363" t="n"/>
      <c r="H1184" s="360" t="n"/>
      <c r="I1184" s="360" t="n"/>
      <c r="J1184" s="364" t="str">
        <f>IF($G1184="","",IF($H1184=1,$G1184-ROUND($G1184*10/23,0)-2*ROUND($G1184/23,0),IF($H1184=2,$G1184,0)))</f>
        <v/>
      </c>
      <c r="K1184" s="364" t="str">
        <f>IF($G1184="","",IF($H1184=1,ROUND($G1184*10/23,0),IF($H1184=3,$G1184-2*ROUND($G1184/12,0),IF($H1184=4,$G1184,IF(OR($H1184=5,$H1184=7),ROUND($G1184*10/11,0),0)))))</f>
        <v/>
      </c>
      <c r="L1184" s="364" t="str">
        <f>IF($G1184="","",IF($H1184=1,ROUND($G1184/23,0),IF($H1184=3,ROUND($G1184/12,0),IF($H1184=5,$G1184-ROUND($G1184*10/11,0),IF($H1184=8,$G1184,0)))))</f>
        <v/>
      </c>
      <c r="M1184" s="364" t="str">
        <f>IF($G1184="","",IF($H1184=1,ROUND($G1184/23,0),IF($H1184=3,ROUND($G1184/12,0),IF($H1184=6,$G1184,IF($H1184=7,$G1184-ROUND($G1184*10/11,0),0)))))</f>
        <v/>
      </c>
      <c r="N1184" s="364" t="str">
        <f>IF($G1184="","",K1184+L1184+M1184)</f>
        <v/>
      </c>
      <c r="O1184" s="365" t="str">
        <f>IF($G1184="","",IFERROR(VLOOKUP($D1184&amp;"|"&amp;$E1184,科目表!$A$5:$B$200,2,FALSE),"※未登録"))</f>
        <v/>
      </c>
      <c r="P1184" s="359" t="str">
        <f>IF(OR($G1184="",$C1184=""),"",IF($B1184="決算整理",13,MOD(MONTH($C1184)-4,12)+1))</f>
        <v/>
      </c>
      <c r="Q1184" s="366" t="str">
        <f>IF($G1184="","",TRIM(IF(J1184+K1184+L1184+M1184&lt;&gt;$G1184,"按分不一致 ","")&amp;IF(O1184="※未登録","科目未登録 ","")&amp;IF(OR($H1184="",ISERROR(MATCH($H1184,{1,2,3,4,5,6,7,8},0))),"経費区分? ","")&amp;IF($I1184="","状態未設定 ","")&amp;IF(AND(OR($I1184="確認済",$I1184="未確認"),$B1184="月例",OR($C1184="",$C1184&lt;DATE(年度+2018,4,1),$C1184&gt;DATE(年度+2019,3,31))),"年度外の日付 ","")&amp;IF(AND(OR($I1184="確認済",$I1184="未確認"),O1184="対象外"),"対象外の科目 ","")))</f>
        <v/>
      </c>
      <c r="R1184" s="366" t="n"/>
    </row>
    <row r="1185">
      <c r="A1185" s="359" t="n"/>
      <c r="B1185" s="360" t="n"/>
      <c r="C1185" s="361" t="n"/>
      <c r="D1185" s="362" t="n"/>
      <c r="E1185" s="362" t="n"/>
      <c r="F1185" s="362" t="n"/>
      <c r="G1185" s="363" t="n"/>
      <c r="H1185" s="360" t="n"/>
      <c r="I1185" s="360" t="n"/>
      <c r="J1185" s="364" t="str">
        <f>IF($G1185="","",IF($H1185=1,$G1185-ROUND($G1185*10/23,0)-2*ROUND($G1185/23,0),IF($H1185=2,$G1185,0)))</f>
        <v/>
      </c>
      <c r="K1185" s="364" t="str">
        <f>IF($G1185="","",IF($H1185=1,ROUND($G1185*10/23,0),IF($H1185=3,$G1185-2*ROUND($G1185/12,0),IF($H1185=4,$G1185,IF(OR($H1185=5,$H1185=7),ROUND($G1185*10/11,0),0)))))</f>
        <v/>
      </c>
      <c r="L1185" s="364" t="str">
        <f>IF($G1185="","",IF($H1185=1,ROUND($G1185/23,0),IF($H1185=3,ROUND($G1185/12,0),IF($H1185=5,$G1185-ROUND($G1185*10/11,0),IF($H1185=8,$G1185,0)))))</f>
        <v/>
      </c>
      <c r="M1185" s="364" t="str">
        <f>IF($G1185="","",IF($H1185=1,ROUND($G1185/23,0),IF($H1185=3,ROUND($G1185/12,0),IF($H1185=6,$G1185,IF($H1185=7,$G1185-ROUND($G1185*10/11,0),0)))))</f>
        <v/>
      </c>
      <c r="N1185" s="364" t="str">
        <f>IF($G1185="","",K1185+L1185+M1185)</f>
        <v/>
      </c>
      <c r="O1185" s="365" t="str">
        <f>IF($G1185="","",IFERROR(VLOOKUP($D1185&amp;"|"&amp;$E1185,科目表!$A$5:$B$200,2,FALSE),"※未登録"))</f>
        <v/>
      </c>
      <c r="P1185" s="359" t="str">
        <f>IF(OR($G1185="",$C1185=""),"",IF($B1185="決算整理",13,MOD(MONTH($C1185)-4,12)+1))</f>
        <v/>
      </c>
      <c r="Q1185" s="366" t="str">
        <f>IF($G1185="","",TRIM(IF(J1185+K1185+L1185+M1185&lt;&gt;$G1185,"按分不一致 ","")&amp;IF(O1185="※未登録","科目未登録 ","")&amp;IF(OR($H1185="",ISERROR(MATCH($H1185,{1,2,3,4,5,6,7,8},0))),"経費区分? ","")&amp;IF($I1185="","状態未設定 ","")&amp;IF(AND(OR($I1185="確認済",$I1185="未確認"),$B1185="月例",OR($C1185="",$C1185&lt;DATE(年度+2018,4,1),$C1185&gt;DATE(年度+2019,3,31))),"年度外の日付 ","")&amp;IF(AND(OR($I1185="確認済",$I1185="未確認"),O1185="対象外"),"対象外の科目 ","")))</f>
        <v/>
      </c>
      <c r="R1185" s="366" t="n"/>
    </row>
    <row r="1186">
      <c r="A1186" s="359" t="n"/>
      <c r="B1186" s="360" t="n"/>
      <c r="C1186" s="361" t="n"/>
      <c r="D1186" s="362" t="n"/>
      <c r="E1186" s="362" t="n"/>
      <c r="F1186" s="362" t="n"/>
      <c r="G1186" s="363" t="n"/>
      <c r="H1186" s="360" t="n"/>
      <c r="I1186" s="360" t="n"/>
      <c r="J1186" s="364" t="str">
        <f>IF($G1186="","",IF($H1186=1,$G1186-ROUND($G1186*10/23,0)-2*ROUND($G1186/23,0),IF($H1186=2,$G1186,0)))</f>
        <v/>
      </c>
      <c r="K1186" s="364" t="str">
        <f>IF($G1186="","",IF($H1186=1,ROUND($G1186*10/23,0),IF($H1186=3,$G1186-2*ROUND($G1186/12,0),IF($H1186=4,$G1186,IF(OR($H1186=5,$H1186=7),ROUND($G1186*10/11,0),0)))))</f>
        <v/>
      </c>
      <c r="L1186" s="364" t="str">
        <f>IF($G1186="","",IF($H1186=1,ROUND($G1186/23,0),IF($H1186=3,ROUND($G1186/12,0),IF($H1186=5,$G1186-ROUND($G1186*10/11,0),IF($H1186=8,$G1186,0)))))</f>
        <v/>
      </c>
      <c r="M1186" s="364" t="str">
        <f>IF($G1186="","",IF($H1186=1,ROUND($G1186/23,0),IF($H1186=3,ROUND($G1186/12,0),IF($H1186=6,$G1186,IF($H1186=7,$G1186-ROUND($G1186*10/11,0),0)))))</f>
        <v/>
      </c>
      <c r="N1186" s="364" t="str">
        <f>IF($G1186="","",K1186+L1186+M1186)</f>
        <v/>
      </c>
      <c r="O1186" s="365" t="str">
        <f>IF($G1186="","",IFERROR(VLOOKUP($D1186&amp;"|"&amp;$E1186,科目表!$A$5:$B$200,2,FALSE),"※未登録"))</f>
        <v/>
      </c>
      <c r="P1186" s="359" t="str">
        <f>IF(OR($G1186="",$C1186=""),"",IF($B1186="決算整理",13,MOD(MONTH($C1186)-4,12)+1))</f>
        <v/>
      </c>
      <c r="Q1186" s="366" t="str">
        <f>IF($G1186="","",TRIM(IF(J1186+K1186+L1186+M1186&lt;&gt;$G1186,"按分不一致 ","")&amp;IF(O1186="※未登録","科目未登録 ","")&amp;IF(OR($H1186="",ISERROR(MATCH($H1186,{1,2,3,4,5,6,7,8},0))),"経費区分? ","")&amp;IF($I1186="","状態未設定 ","")&amp;IF(AND(OR($I1186="確認済",$I1186="未確認"),$B1186="月例",OR($C1186="",$C1186&lt;DATE(年度+2018,4,1),$C1186&gt;DATE(年度+2019,3,31))),"年度外の日付 ","")&amp;IF(AND(OR($I1186="確認済",$I1186="未確認"),O1186="対象外"),"対象外の科目 ","")))</f>
        <v/>
      </c>
      <c r="R1186" s="366" t="n"/>
    </row>
    <row r="1187">
      <c r="A1187" s="359" t="n"/>
      <c r="B1187" s="360" t="n"/>
      <c r="C1187" s="361" t="n"/>
      <c r="D1187" s="362" t="n"/>
      <c r="E1187" s="362" t="n"/>
      <c r="F1187" s="362" t="n"/>
      <c r="G1187" s="363" t="n"/>
      <c r="H1187" s="360" t="n"/>
      <c r="I1187" s="360" t="n"/>
      <c r="J1187" s="364" t="str">
        <f>IF($G1187="","",IF($H1187=1,$G1187-ROUND($G1187*10/23,0)-2*ROUND($G1187/23,0),IF($H1187=2,$G1187,0)))</f>
        <v/>
      </c>
      <c r="K1187" s="364" t="str">
        <f>IF($G1187="","",IF($H1187=1,ROUND($G1187*10/23,0),IF($H1187=3,$G1187-2*ROUND($G1187/12,0),IF($H1187=4,$G1187,IF(OR($H1187=5,$H1187=7),ROUND($G1187*10/11,0),0)))))</f>
        <v/>
      </c>
      <c r="L1187" s="364" t="str">
        <f>IF($G1187="","",IF($H1187=1,ROUND($G1187/23,0),IF($H1187=3,ROUND($G1187/12,0),IF($H1187=5,$G1187-ROUND($G1187*10/11,0),IF($H1187=8,$G1187,0)))))</f>
        <v/>
      </c>
      <c r="M1187" s="364" t="str">
        <f>IF($G1187="","",IF($H1187=1,ROUND($G1187/23,0),IF($H1187=3,ROUND($G1187/12,0),IF($H1187=6,$G1187,IF($H1187=7,$G1187-ROUND($G1187*10/11,0),0)))))</f>
        <v/>
      </c>
      <c r="N1187" s="364" t="str">
        <f>IF($G1187="","",K1187+L1187+M1187)</f>
        <v/>
      </c>
      <c r="O1187" s="365" t="str">
        <f>IF($G1187="","",IFERROR(VLOOKUP($D1187&amp;"|"&amp;$E1187,科目表!$A$5:$B$200,2,FALSE),"※未登録"))</f>
        <v/>
      </c>
      <c r="P1187" s="359" t="str">
        <f>IF(OR($G1187="",$C1187=""),"",IF($B1187="決算整理",13,MOD(MONTH($C1187)-4,12)+1))</f>
        <v/>
      </c>
      <c r="Q1187" s="366" t="str">
        <f>IF($G1187="","",TRIM(IF(J1187+K1187+L1187+M1187&lt;&gt;$G1187,"按分不一致 ","")&amp;IF(O1187="※未登録","科目未登録 ","")&amp;IF(OR($H1187="",ISERROR(MATCH($H1187,{1,2,3,4,5,6,7,8},0))),"経費区分? ","")&amp;IF($I1187="","状態未設定 ","")&amp;IF(AND(OR($I1187="確認済",$I1187="未確認"),$B1187="月例",OR($C1187="",$C1187&lt;DATE(年度+2018,4,1),$C1187&gt;DATE(年度+2019,3,31))),"年度外の日付 ","")&amp;IF(AND(OR($I1187="確認済",$I1187="未確認"),O1187="対象外"),"対象外の科目 ","")))</f>
        <v/>
      </c>
      <c r="R1187" s="366" t="n"/>
    </row>
    <row r="1188">
      <c r="A1188" s="359" t="n"/>
      <c r="B1188" s="360" t="n"/>
      <c r="C1188" s="361" t="n"/>
      <c r="D1188" s="362" t="n"/>
      <c r="E1188" s="362" t="n"/>
      <c r="F1188" s="362" t="n"/>
      <c r="G1188" s="363" t="n"/>
      <c r="H1188" s="360" t="n"/>
      <c r="I1188" s="360" t="n"/>
      <c r="J1188" s="364" t="str">
        <f>IF($G1188="","",IF($H1188=1,$G1188-ROUND($G1188*10/23,0)-2*ROUND($G1188/23,0),IF($H1188=2,$G1188,0)))</f>
        <v/>
      </c>
      <c r="K1188" s="364" t="str">
        <f>IF($G1188="","",IF($H1188=1,ROUND($G1188*10/23,0),IF($H1188=3,$G1188-2*ROUND($G1188/12,0),IF($H1188=4,$G1188,IF(OR($H1188=5,$H1188=7),ROUND($G1188*10/11,0),0)))))</f>
        <v/>
      </c>
      <c r="L1188" s="364" t="str">
        <f>IF($G1188="","",IF($H1188=1,ROUND($G1188/23,0),IF($H1188=3,ROUND($G1188/12,0),IF($H1188=5,$G1188-ROUND($G1188*10/11,0),IF($H1188=8,$G1188,0)))))</f>
        <v/>
      </c>
      <c r="M1188" s="364" t="str">
        <f>IF($G1188="","",IF($H1188=1,ROUND($G1188/23,0),IF($H1188=3,ROUND($G1188/12,0),IF($H1188=6,$G1188,IF($H1188=7,$G1188-ROUND($G1188*10/11,0),0)))))</f>
        <v/>
      </c>
      <c r="N1188" s="364" t="str">
        <f>IF($G1188="","",K1188+L1188+M1188)</f>
        <v/>
      </c>
      <c r="O1188" s="365" t="str">
        <f>IF($G1188="","",IFERROR(VLOOKUP($D1188&amp;"|"&amp;$E1188,科目表!$A$5:$B$200,2,FALSE),"※未登録"))</f>
        <v/>
      </c>
      <c r="P1188" s="359" t="str">
        <f>IF(OR($G1188="",$C1188=""),"",IF($B1188="決算整理",13,MOD(MONTH($C1188)-4,12)+1))</f>
        <v/>
      </c>
      <c r="Q1188" s="366" t="str">
        <f>IF($G1188="","",TRIM(IF(J1188+K1188+L1188+M1188&lt;&gt;$G1188,"按分不一致 ","")&amp;IF(O1188="※未登録","科目未登録 ","")&amp;IF(OR($H1188="",ISERROR(MATCH($H1188,{1,2,3,4,5,6,7,8},0))),"経費区分? ","")&amp;IF($I1188="","状態未設定 ","")&amp;IF(AND(OR($I1188="確認済",$I1188="未確認"),$B1188="月例",OR($C1188="",$C1188&lt;DATE(年度+2018,4,1),$C1188&gt;DATE(年度+2019,3,31))),"年度外の日付 ","")&amp;IF(AND(OR($I1188="確認済",$I1188="未確認"),O1188="対象外"),"対象外の科目 ","")))</f>
        <v/>
      </c>
      <c r="R1188" s="366" t="n"/>
    </row>
    <row r="1189">
      <c r="A1189" s="359" t="n"/>
      <c r="B1189" s="360" t="n"/>
      <c r="C1189" s="361" t="n"/>
      <c r="D1189" s="362" t="n"/>
      <c r="E1189" s="362" t="n"/>
      <c r="F1189" s="362" t="n"/>
      <c r="G1189" s="363" t="n"/>
      <c r="H1189" s="360" t="n"/>
      <c r="I1189" s="360" t="n"/>
      <c r="J1189" s="364" t="str">
        <f>IF($G1189="","",IF($H1189=1,$G1189-ROUND($G1189*10/23,0)-2*ROUND($G1189/23,0),IF($H1189=2,$G1189,0)))</f>
        <v/>
      </c>
      <c r="K1189" s="364" t="str">
        <f>IF($G1189="","",IF($H1189=1,ROUND($G1189*10/23,0),IF($H1189=3,$G1189-2*ROUND($G1189/12,0),IF($H1189=4,$G1189,IF(OR($H1189=5,$H1189=7),ROUND($G1189*10/11,0),0)))))</f>
        <v/>
      </c>
      <c r="L1189" s="364" t="str">
        <f>IF($G1189="","",IF($H1189=1,ROUND($G1189/23,0),IF($H1189=3,ROUND($G1189/12,0),IF($H1189=5,$G1189-ROUND($G1189*10/11,0),IF($H1189=8,$G1189,0)))))</f>
        <v/>
      </c>
      <c r="M1189" s="364" t="str">
        <f>IF($G1189="","",IF($H1189=1,ROUND($G1189/23,0),IF($H1189=3,ROUND($G1189/12,0),IF($H1189=6,$G1189,IF($H1189=7,$G1189-ROUND($G1189*10/11,0),0)))))</f>
        <v/>
      </c>
      <c r="N1189" s="364" t="str">
        <f>IF($G1189="","",K1189+L1189+M1189)</f>
        <v/>
      </c>
      <c r="O1189" s="365" t="str">
        <f>IF($G1189="","",IFERROR(VLOOKUP($D1189&amp;"|"&amp;$E1189,科目表!$A$5:$B$200,2,FALSE),"※未登録"))</f>
        <v/>
      </c>
      <c r="P1189" s="359" t="str">
        <f>IF(OR($G1189="",$C1189=""),"",IF($B1189="決算整理",13,MOD(MONTH($C1189)-4,12)+1))</f>
        <v/>
      </c>
      <c r="Q1189" s="366" t="str">
        <f>IF($G1189="","",TRIM(IF(J1189+K1189+L1189+M1189&lt;&gt;$G1189,"按分不一致 ","")&amp;IF(O1189="※未登録","科目未登録 ","")&amp;IF(OR($H1189="",ISERROR(MATCH($H1189,{1,2,3,4,5,6,7,8},0))),"経費区分? ","")&amp;IF($I1189="","状態未設定 ","")&amp;IF(AND(OR($I1189="確認済",$I1189="未確認"),$B1189="月例",OR($C1189="",$C1189&lt;DATE(年度+2018,4,1),$C1189&gt;DATE(年度+2019,3,31))),"年度外の日付 ","")&amp;IF(AND(OR($I1189="確認済",$I1189="未確認"),O1189="対象外"),"対象外の科目 ","")))</f>
        <v/>
      </c>
      <c r="R1189" s="366" t="n"/>
    </row>
    <row r="1190">
      <c r="A1190" s="359" t="n"/>
      <c r="B1190" s="360" t="n"/>
      <c r="C1190" s="361" t="n"/>
      <c r="D1190" s="362" t="n"/>
      <c r="E1190" s="362" t="n"/>
      <c r="F1190" s="362" t="n"/>
      <c r="G1190" s="363" t="n"/>
      <c r="H1190" s="360" t="n"/>
      <c r="I1190" s="360" t="n"/>
      <c r="J1190" s="364" t="str">
        <f>IF($G1190="","",IF($H1190=1,$G1190-ROUND($G1190*10/23,0)-2*ROUND($G1190/23,0),IF($H1190=2,$G1190,0)))</f>
        <v/>
      </c>
      <c r="K1190" s="364" t="str">
        <f>IF($G1190="","",IF($H1190=1,ROUND($G1190*10/23,0),IF($H1190=3,$G1190-2*ROUND($G1190/12,0),IF($H1190=4,$G1190,IF(OR($H1190=5,$H1190=7),ROUND($G1190*10/11,0),0)))))</f>
        <v/>
      </c>
      <c r="L1190" s="364" t="str">
        <f>IF($G1190="","",IF($H1190=1,ROUND($G1190/23,0),IF($H1190=3,ROUND($G1190/12,0),IF($H1190=5,$G1190-ROUND($G1190*10/11,0),IF($H1190=8,$G1190,0)))))</f>
        <v/>
      </c>
      <c r="M1190" s="364" t="str">
        <f>IF($G1190="","",IF($H1190=1,ROUND($G1190/23,0),IF($H1190=3,ROUND($G1190/12,0),IF($H1190=6,$G1190,IF($H1190=7,$G1190-ROUND($G1190*10/11,0),0)))))</f>
        <v/>
      </c>
      <c r="N1190" s="364" t="str">
        <f>IF($G1190="","",K1190+L1190+M1190)</f>
        <v/>
      </c>
      <c r="O1190" s="365" t="str">
        <f>IF($G1190="","",IFERROR(VLOOKUP($D1190&amp;"|"&amp;$E1190,科目表!$A$5:$B$200,2,FALSE),"※未登録"))</f>
        <v/>
      </c>
      <c r="P1190" s="359" t="str">
        <f>IF(OR($G1190="",$C1190=""),"",IF($B1190="決算整理",13,MOD(MONTH($C1190)-4,12)+1))</f>
        <v/>
      </c>
      <c r="Q1190" s="366" t="str">
        <f>IF($G1190="","",TRIM(IF(J1190+K1190+L1190+M1190&lt;&gt;$G1190,"按分不一致 ","")&amp;IF(O1190="※未登録","科目未登録 ","")&amp;IF(OR($H1190="",ISERROR(MATCH($H1190,{1,2,3,4,5,6,7,8},0))),"経費区分? ","")&amp;IF($I1190="","状態未設定 ","")&amp;IF(AND(OR($I1190="確認済",$I1190="未確認"),$B1190="月例",OR($C1190="",$C1190&lt;DATE(年度+2018,4,1),$C1190&gt;DATE(年度+2019,3,31))),"年度外の日付 ","")&amp;IF(AND(OR($I1190="確認済",$I1190="未確認"),O1190="対象外"),"対象外の科目 ","")))</f>
        <v/>
      </c>
      <c r="R1190" s="366" t="n"/>
    </row>
    <row r="1191">
      <c r="A1191" s="359" t="n"/>
      <c r="B1191" s="360" t="n"/>
      <c r="C1191" s="361" t="n"/>
      <c r="D1191" s="362" t="n"/>
      <c r="E1191" s="362" t="n"/>
      <c r="F1191" s="362" t="n"/>
      <c r="G1191" s="363" t="n"/>
      <c r="H1191" s="360" t="n"/>
      <c r="I1191" s="360" t="n"/>
      <c r="J1191" s="364" t="str">
        <f>IF($G1191="","",IF($H1191=1,$G1191-ROUND($G1191*10/23,0)-2*ROUND($G1191/23,0),IF($H1191=2,$G1191,0)))</f>
        <v/>
      </c>
      <c r="K1191" s="364" t="str">
        <f>IF($G1191="","",IF($H1191=1,ROUND($G1191*10/23,0),IF($H1191=3,$G1191-2*ROUND($G1191/12,0),IF($H1191=4,$G1191,IF(OR($H1191=5,$H1191=7),ROUND($G1191*10/11,0),0)))))</f>
        <v/>
      </c>
      <c r="L1191" s="364" t="str">
        <f>IF($G1191="","",IF($H1191=1,ROUND($G1191/23,0),IF($H1191=3,ROUND($G1191/12,0),IF($H1191=5,$G1191-ROUND($G1191*10/11,0),IF($H1191=8,$G1191,0)))))</f>
        <v/>
      </c>
      <c r="M1191" s="364" t="str">
        <f>IF($G1191="","",IF($H1191=1,ROUND($G1191/23,0),IF($H1191=3,ROUND($G1191/12,0),IF($H1191=6,$G1191,IF($H1191=7,$G1191-ROUND($G1191*10/11,0),0)))))</f>
        <v/>
      </c>
      <c r="N1191" s="364" t="str">
        <f>IF($G1191="","",K1191+L1191+M1191)</f>
        <v/>
      </c>
      <c r="O1191" s="365" t="str">
        <f>IF($G1191="","",IFERROR(VLOOKUP($D1191&amp;"|"&amp;$E1191,科目表!$A$5:$B$200,2,FALSE),"※未登録"))</f>
        <v/>
      </c>
      <c r="P1191" s="359" t="str">
        <f>IF(OR($G1191="",$C1191=""),"",IF($B1191="決算整理",13,MOD(MONTH($C1191)-4,12)+1))</f>
        <v/>
      </c>
      <c r="Q1191" s="366" t="str">
        <f>IF($G1191="","",TRIM(IF(J1191+K1191+L1191+M1191&lt;&gt;$G1191,"按分不一致 ","")&amp;IF(O1191="※未登録","科目未登録 ","")&amp;IF(OR($H1191="",ISERROR(MATCH($H1191,{1,2,3,4,5,6,7,8},0))),"経費区分? ","")&amp;IF($I1191="","状態未設定 ","")&amp;IF(AND(OR($I1191="確認済",$I1191="未確認"),$B1191="月例",OR($C1191="",$C1191&lt;DATE(年度+2018,4,1),$C1191&gt;DATE(年度+2019,3,31))),"年度外の日付 ","")&amp;IF(AND(OR($I1191="確認済",$I1191="未確認"),O1191="対象外"),"対象外の科目 ","")))</f>
        <v/>
      </c>
      <c r="R1191" s="366" t="n"/>
    </row>
    <row r="1192">
      <c r="A1192" s="359" t="n"/>
      <c r="B1192" s="360" t="n"/>
      <c r="C1192" s="361" t="n"/>
      <c r="D1192" s="362" t="n"/>
      <c r="E1192" s="362" t="n"/>
      <c r="F1192" s="362" t="n"/>
      <c r="G1192" s="363" t="n"/>
      <c r="H1192" s="360" t="n"/>
      <c r="I1192" s="360" t="n"/>
      <c r="J1192" s="364" t="str">
        <f>IF($G1192="","",IF($H1192=1,$G1192-ROUND($G1192*10/23,0)-2*ROUND($G1192/23,0),IF($H1192=2,$G1192,0)))</f>
        <v/>
      </c>
      <c r="K1192" s="364" t="str">
        <f>IF($G1192="","",IF($H1192=1,ROUND($G1192*10/23,0),IF($H1192=3,$G1192-2*ROUND($G1192/12,0),IF($H1192=4,$G1192,IF(OR($H1192=5,$H1192=7),ROUND($G1192*10/11,0),0)))))</f>
        <v/>
      </c>
      <c r="L1192" s="364" t="str">
        <f>IF($G1192="","",IF($H1192=1,ROUND($G1192/23,0),IF($H1192=3,ROUND($G1192/12,0),IF($H1192=5,$G1192-ROUND($G1192*10/11,0),IF($H1192=8,$G1192,0)))))</f>
        <v/>
      </c>
      <c r="M1192" s="364" t="str">
        <f>IF($G1192="","",IF($H1192=1,ROUND($G1192/23,0),IF($H1192=3,ROUND($G1192/12,0),IF($H1192=6,$G1192,IF($H1192=7,$G1192-ROUND($G1192*10/11,0),0)))))</f>
        <v/>
      </c>
      <c r="N1192" s="364" t="str">
        <f>IF($G1192="","",K1192+L1192+M1192)</f>
        <v/>
      </c>
      <c r="O1192" s="365" t="str">
        <f>IF($G1192="","",IFERROR(VLOOKUP($D1192&amp;"|"&amp;$E1192,科目表!$A$5:$B$200,2,FALSE),"※未登録"))</f>
        <v/>
      </c>
      <c r="P1192" s="359" t="str">
        <f>IF(OR($G1192="",$C1192=""),"",IF($B1192="決算整理",13,MOD(MONTH($C1192)-4,12)+1))</f>
        <v/>
      </c>
      <c r="Q1192" s="366" t="str">
        <f>IF($G1192="","",TRIM(IF(J1192+K1192+L1192+M1192&lt;&gt;$G1192,"按分不一致 ","")&amp;IF(O1192="※未登録","科目未登録 ","")&amp;IF(OR($H1192="",ISERROR(MATCH($H1192,{1,2,3,4,5,6,7,8},0))),"経費区分? ","")&amp;IF($I1192="","状態未設定 ","")&amp;IF(AND(OR($I1192="確認済",$I1192="未確認"),$B1192="月例",OR($C1192="",$C1192&lt;DATE(年度+2018,4,1),$C1192&gt;DATE(年度+2019,3,31))),"年度外の日付 ","")&amp;IF(AND(OR($I1192="確認済",$I1192="未確認"),O1192="対象外"),"対象外の科目 ","")))</f>
        <v/>
      </c>
      <c r="R1192" s="366" t="n"/>
    </row>
    <row r="1193">
      <c r="A1193" s="359" t="n"/>
      <c r="B1193" s="360" t="n"/>
      <c r="C1193" s="361" t="n"/>
      <c r="D1193" s="362" t="n"/>
      <c r="E1193" s="362" t="n"/>
      <c r="F1193" s="362" t="n"/>
      <c r="G1193" s="363" t="n"/>
      <c r="H1193" s="360" t="n"/>
      <c r="I1193" s="360" t="n"/>
      <c r="J1193" s="364" t="str">
        <f>IF($G1193="","",IF($H1193=1,$G1193-ROUND($G1193*10/23,0)-2*ROUND($G1193/23,0),IF($H1193=2,$G1193,0)))</f>
        <v/>
      </c>
      <c r="K1193" s="364" t="str">
        <f>IF($G1193="","",IF($H1193=1,ROUND($G1193*10/23,0),IF($H1193=3,$G1193-2*ROUND($G1193/12,0),IF($H1193=4,$G1193,IF(OR($H1193=5,$H1193=7),ROUND($G1193*10/11,0),0)))))</f>
        <v/>
      </c>
      <c r="L1193" s="364" t="str">
        <f>IF($G1193="","",IF($H1193=1,ROUND($G1193/23,0),IF($H1193=3,ROUND($G1193/12,0),IF($H1193=5,$G1193-ROUND($G1193*10/11,0),IF($H1193=8,$G1193,0)))))</f>
        <v/>
      </c>
      <c r="M1193" s="364" t="str">
        <f>IF($G1193="","",IF($H1193=1,ROUND($G1193/23,0),IF($H1193=3,ROUND($G1193/12,0),IF($H1193=6,$G1193,IF($H1193=7,$G1193-ROUND($G1193*10/11,0),0)))))</f>
        <v/>
      </c>
      <c r="N1193" s="364" t="str">
        <f>IF($G1193="","",K1193+L1193+M1193)</f>
        <v/>
      </c>
      <c r="O1193" s="365" t="str">
        <f>IF($G1193="","",IFERROR(VLOOKUP($D1193&amp;"|"&amp;$E1193,科目表!$A$5:$B$200,2,FALSE),"※未登録"))</f>
        <v/>
      </c>
      <c r="P1193" s="359" t="str">
        <f>IF(OR($G1193="",$C1193=""),"",IF($B1193="決算整理",13,MOD(MONTH($C1193)-4,12)+1))</f>
        <v/>
      </c>
      <c r="Q1193" s="366" t="str">
        <f>IF($G1193="","",TRIM(IF(J1193+K1193+L1193+M1193&lt;&gt;$G1193,"按分不一致 ","")&amp;IF(O1193="※未登録","科目未登録 ","")&amp;IF(OR($H1193="",ISERROR(MATCH($H1193,{1,2,3,4,5,6,7,8},0))),"経費区分? ","")&amp;IF($I1193="","状態未設定 ","")&amp;IF(AND(OR($I1193="確認済",$I1193="未確認"),$B1193="月例",OR($C1193="",$C1193&lt;DATE(年度+2018,4,1),$C1193&gt;DATE(年度+2019,3,31))),"年度外の日付 ","")&amp;IF(AND(OR($I1193="確認済",$I1193="未確認"),O1193="対象外"),"対象外の科目 ","")))</f>
        <v/>
      </c>
      <c r="R1193" s="366" t="n"/>
    </row>
    <row r="1194">
      <c r="A1194" s="359" t="n"/>
      <c r="B1194" s="360" t="n"/>
      <c r="C1194" s="361" t="n"/>
      <c r="D1194" s="362" t="n"/>
      <c r="E1194" s="362" t="n"/>
      <c r="F1194" s="362" t="n"/>
      <c r="G1194" s="363" t="n"/>
      <c r="H1194" s="360" t="n"/>
      <c r="I1194" s="360" t="n"/>
      <c r="J1194" s="364" t="str">
        <f>IF($G1194="","",IF($H1194=1,$G1194-ROUND($G1194*10/23,0)-2*ROUND($G1194/23,0),IF($H1194=2,$G1194,0)))</f>
        <v/>
      </c>
      <c r="K1194" s="364" t="str">
        <f>IF($G1194="","",IF($H1194=1,ROUND($G1194*10/23,0),IF($H1194=3,$G1194-2*ROUND($G1194/12,0),IF($H1194=4,$G1194,IF(OR($H1194=5,$H1194=7),ROUND($G1194*10/11,0),0)))))</f>
        <v/>
      </c>
      <c r="L1194" s="364" t="str">
        <f>IF($G1194="","",IF($H1194=1,ROUND($G1194/23,0),IF($H1194=3,ROUND($G1194/12,0),IF($H1194=5,$G1194-ROUND($G1194*10/11,0),IF($H1194=8,$G1194,0)))))</f>
        <v/>
      </c>
      <c r="M1194" s="364" t="str">
        <f>IF($G1194="","",IF($H1194=1,ROUND($G1194/23,0),IF($H1194=3,ROUND($G1194/12,0),IF($H1194=6,$G1194,IF($H1194=7,$G1194-ROUND($G1194*10/11,0),0)))))</f>
        <v/>
      </c>
      <c r="N1194" s="364" t="str">
        <f>IF($G1194="","",K1194+L1194+M1194)</f>
        <v/>
      </c>
      <c r="O1194" s="365" t="str">
        <f>IF($G1194="","",IFERROR(VLOOKUP($D1194&amp;"|"&amp;$E1194,科目表!$A$5:$B$200,2,FALSE),"※未登録"))</f>
        <v/>
      </c>
      <c r="P1194" s="359" t="str">
        <f>IF(OR($G1194="",$C1194=""),"",IF($B1194="決算整理",13,MOD(MONTH($C1194)-4,12)+1))</f>
        <v/>
      </c>
      <c r="Q1194" s="366" t="str">
        <f>IF($G1194="","",TRIM(IF(J1194+K1194+L1194+M1194&lt;&gt;$G1194,"按分不一致 ","")&amp;IF(O1194="※未登録","科目未登録 ","")&amp;IF(OR($H1194="",ISERROR(MATCH($H1194,{1,2,3,4,5,6,7,8},0))),"経費区分? ","")&amp;IF($I1194="","状態未設定 ","")&amp;IF(AND(OR($I1194="確認済",$I1194="未確認"),$B1194="月例",OR($C1194="",$C1194&lt;DATE(年度+2018,4,1),$C1194&gt;DATE(年度+2019,3,31))),"年度外の日付 ","")&amp;IF(AND(OR($I1194="確認済",$I1194="未確認"),O1194="対象外"),"対象外の科目 ","")))</f>
        <v/>
      </c>
      <c r="R1194" s="366" t="n"/>
    </row>
    <row r="1195">
      <c r="A1195" s="359" t="n"/>
      <c r="B1195" s="360" t="n"/>
      <c r="C1195" s="361" t="n"/>
      <c r="D1195" s="362" t="n"/>
      <c r="E1195" s="362" t="n"/>
      <c r="F1195" s="362" t="n"/>
      <c r="G1195" s="363" t="n"/>
      <c r="H1195" s="360" t="n"/>
      <c r="I1195" s="360" t="n"/>
      <c r="J1195" s="364" t="str">
        <f>IF($G1195="","",IF($H1195=1,$G1195-ROUND($G1195*10/23,0)-2*ROUND($G1195/23,0),IF($H1195=2,$G1195,0)))</f>
        <v/>
      </c>
      <c r="K1195" s="364" t="str">
        <f>IF($G1195="","",IF($H1195=1,ROUND($G1195*10/23,0),IF($H1195=3,$G1195-2*ROUND($G1195/12,0),IF($H1195=4,$G1195,IF(OR($H1195=5,$H1195=7),ROUND($G1195*10/11,0),0)))))</f>
        <v/>
      </c>
      <c r="L1195" s="364" t="str">
        <f>IF($G1195="","",IF($H1195=1,ROUND($G1195/23,0),IF($H1195=3,ROUND($G1195/12,0),IF($H1195=5,$G1195-ROUND($G1195*10/11,0),IF($H1195=8,$G1195,0)))))</f>
        <v/>
      </c>
      <c r="M1195" s="364" t="str">
        <f>IF($G1195="","",IF($H1195=1,ROUND($G1195/23,0),IF($H1195=3,ROUND($G1195/12,0),IF($H1195=6,$G1195,IF($H1195=7,$G1195-ROUND($G1195*10/11,0),0)))))</f>
        <v/>
      </c>
      <c r="N1195" s="364" t="str">
        <f>IF($G1195="","",K1195+L1195+M1195)</f>
        <v/>
      </c>
      <c r="O1195" s="365" t="str">
        <f>IF($G1195="","",IFERROR(VLOOKUP($D1195&amp;"|"&amp;$E1195,科目表!$A$5:$B$200,2,FALSE),"※未登録"))</f>
        <v/>
      </c>
      <c r="P1195" s="359" t="str">
        <f>IF(OR($G1195="",$C1195=""),"",IF($B1195="決算整理",13,MOD(MONTH($C1195)-4,12)+1))</f>
        <v/>
      </c>
      <c r="Q1195" s="366" t="str">
        <f>IF($G1195="","",TRIM(IF(J1195+K1195+L1195+M1195&lt;&gt;$G1195,"按分不一致 ","")&amp;IF(O1195="※未登録","科目未登録 ","")&amp;IF(OR($H1195="",ISERROR(MATCH($H1195,{1,2,3,4,5,6,7,8},0))),"経費区分? ","")&amp;IF($I1195="","状態未設定 ","")&amp;IF(AND(OR($I1195="確認済",$I1195="未確認"),$B1195="月例",OR($C1195="",$C1195&lt;DATE(年度+2018,4,1),$C1195&gt;DATE(年度+2019,3,31))),"年度外の日付 ","")&amp;IF(AND(OR($I1195="確認済",$I1195="未確認"),O1195="対象外"),"対象外の科目 ","")))</f>
        <v/>
      </c>
      <c r="R1195" s="366" t="n"/>
    </row>
    <row r="1196">
      <c r="A1196" s="359" t="n"/>
      <c r="B1196" s="360" t="n"/>
      <c r="C1196" s="361" t="n"/>
      <c r="D1196" s="362" t="n"/>
      <c r="E1196" s="362" t="n"/>
      <c r="F1196" s="362" t="n"/>
      <c r="G1196" s="363" t="n"/>
      <c r="H1196" s="360" t="n"/>
      <c r="I1196" s="360" t="n"/>
      <c r="J1196" s="364" t="str">
        <f>IF($G1196="","",IF($H1196=1,$G1196-ROUND($G1196*10/23,0)-2*ROUND($G1196/23,0),IF($H1196=2,$G1196,0)))</f>
        <v/>
      </c>
      <c r="K1196" s="364" t="str">
        <f>IF($G1196="","",IF($H1196=1,ROUND($G1196*10/23,0),IF($H1196=3,$G1196-2*ROUND($G1196/12,0),IF($H1196=4,$G1196,IF(OR($H1196=5,$H1196=7),ROUND($G1196*10/11,0),0)))))</f>
        <v/>
      </c>
      <c r="L1196" s="364" t="str">
        <f>IF($G1196="","",IF($H1196=1,ROUND($G1196/23,0),IF($H1196=3,ROUND($G1196/12,0),IF($H1196=5,$G1196-ROUND($G1196*10/11,0),IF($H1196=8,$G1196,0)))))</f>
        <v/>
      </c>
      <c r="M1196" s="364" t="str">
        <f>IF($G1196="","",IF($H1196=1,ROUND($G1196/23,0),IF($H1196=3,ROUND($G1196/12,0),IF($H1196=6,$G1196,IF($H1196=7,$G1196-ROUND($G1196*10/11,0),0)))))</f>
        <v/>
      </c>
      <c r="N1196" s="364" t="str">
        <f>IF($G1196="","",K1196+L1196+M1196)</f>
        <v/>
      </c>
      <c r="O1196" s="365" t="str">
        <f>IF($G1196="","",IFERROR(VLOOKUP($D1196&amp;"|"&amp;$E1196,科目表!$A$5:$B$200,2,FALSE),"※未登録"))</f>
        <v/>
      </c>
      <c r="P1196" s="359" t="str">
        <f>IF(OR($G1196="",$C1196=""),"",IF($B1196="決算整理",13,MOD(MONTH($C1196)-4,12)+1))</f>
        <v/>
      </c>
      <c r="Q1196" s="366" t="str">
        <f>IF($G1196="","",TRIM(IF(J1196+K1196+L1196+M1196&lt;&gt;$G1196,"按分不一致 ","")&amp;IF(O1196="※未登録","科目未登録 ","")&amp;IF(OR($H1196="",ISERROR(MATCH($H1196,{1,2,3,4,5,6,7,8},0))),"経費区分? ","")&amp;IF($I1196="","状態未設定 ","")&amp;IF(AND(OR($I1196="確認済",$I1196="未確認"),$B1196="月例",OR($C1196="",$C1196&lt;DATE(年度+2018,4,1),$C1196&gt;DATE(年度+2019,3,31))),"年度外の日付 ","")&amp;IF(AND(OR($I1196="確認済",$I1196="未確認"),O1196="対象外"),"対象外の科目 ","")))</f>
        <v/>
      </c>
      <c r="R1196" s="366" t="n"/>
    </row>
    <row r="1197">
      <c r="A1197" s="359" t="n"/>
      <c r="B1197" s="360" t="n"/>
      <c r="C1197" s="361" t="n"/>
      <c r="D1197" s="362" t="n"/>
      <c r="E1197" s="362" t="n"/>
      <c r="F1197" s="362" t="n"/>
      <c r="G1197" s="363" t="n"/>
      <c r="H1197" s="360" t="n"/>
      <c r="I1197" s="360" t="n"/>
      <c r="J1197" s="364" t="str">
        <f>IF($G1197="","",IF($H1197=1,$G1197-ROUND($G1197*10/23,0)-2*ROUND($G1197/23,0),IF($H1197=2,$G1197,0)))</f>
        <v/>
      </c>
      <c r="K1197" s="364" t="str">
        <f>IF($G1197="","",IF($H1197=1,ROUND($G1197*10/23,0),IF($H1197=3,$G1197-2*ROUND($G1197/12,0),IF($H1197=4,$G1197,IF(OR($H1197=5,$H1197=7),ROUND($G1197*10/11,0),0)))))</f>
        <v/>
      </c>
      <c r="L1197" s="364" t="str">
        <f>IF($G1197="","",IF($H1197=1,ROUND($G1197/23,0),IF($H1197=3,ROUND($G1197/12,0),IF($H1197=5,$G1197-ROUND($G1197*10/11,0),IF($H1197=8,$G1197,0)))))</f>
        <v/>
      </c>
      <c r="M1197" s="364" t="str">
        <f>IF($G1197="","",IF($H1197=1,ROUND($G1197/23,0),IF($H1197=3,ROUND($G1197/12,0),IF($H1197=6,$G1197,IF($H1197=7,$G1197-ROUND($G1197*10/11,0),0)))))</f>
        <v/>
      </c>
      <c r="N1197" s="364" t="str">
        <f>IF($G1197="","",K1197+L1197+M1197)</f>
        <v/>
      </c>
      <c r="O1197" s="365" t="str">
        <f>IF($G1197="","",IFERROR(VLOOKUP($D1197&amp;"|"&amp;$E1197,科目表!$A$5:$B$200,2,FALSE),"※未登録"))</f>
        <v/>
      </c>
      <c r="P1197" s="359" t="str">
        <f>IF(OR($G1197="",$C1197=""),"",IF($B1197="決算整理",13,MOD(MONTH($C1197)-4,12)+1))</f>
        <v/>
      </c>
      <c r="Q1197" s="366" t="str">
        <f>IF($G1197="","",TRIM(IF(J1197+K1197+L1197+M1197&lt;&gt;$G1197,"按分不一致 ","")&amp;IF(O1197="※未登録","科目未登録 ","")&amp;IF(OR($H1197="",ISERROR(MATCH($H1197,{1,2,3,4,5,6,7,8},0))),"経費区分? ","")&amp;IF($I1197="","状態未設定 ","")&amp;IF(AND(OR($I1197="確認済",$I1197="未確認"),$B1197="月例",OR($C1197="",$C1197&lt;DATE(年度+2018,4,1),$C1197&gt;DATE(年度+2019,3,31))),"年度外の日付 ","")&amp;IF(AND(OR($I1197="確認済",$I1197="未確認"),O1197="対象外"),"対象外の科目 ","")))</f>
        <v/>
      </c>
      <c r="R1197" s="366" t="n"/>
    </row>
    <row r="1198">
      <c r="A1198" s="359" t="n"/>
      <c r="B1198" s="360" t="n"/>
      <c r="C1198" s="361" t="n"/>
      <c r="D1198" s="362" t="n"/>
      <c r="E1198" s="362" t="n"/>
      <c r="F1198" s="362" t="n"/>
      <c r="G1198" s="363" t="n"/>
      <c r="H1198" s="360" t="n"/>
      <c r="I1198" s="360" t="n"/>
      <c r="J1198" s="364" t="str">
        <f>IF($G1198="","",IF($H1198=1,$G1198-ROUND($G1198*10/23,0)-2*ROUND($G1198/23,0),IF($H1198=2,$G1198,0)))</f>
        <v/>
      </c>
      <c r="K1198" s="364" t="str">
        <f>IF($G1198="","",IF($H1198=1,ROUND($G1198*10/23,0),IF($H1198=3,$G1198-2*ROUND($G1198/12,0),IF($H1198=4,$G1198,IF(OR($H1198=5,$H1198=7),ROUND($G1198*10/11,0),0)))))</f>
        <v/>
      </c>
      <c r="L1198" s="364" t="str">
        <f>IF($G1198="","",IF($H1198=1,ROUND($G1198/23,0),IF($H1198=3,ROUND($G1198/12,0),IF($H1198=5,$G1198-ROUND($G1198*10/11,0),IF($H1198=8,$G1198,0)))))</f>
        <v/>
      </c>
      <c r="M1198" s="364" t="str">
        <f>IF($G1198="","",IF($H1198=1,ROUND($G1198/23,0),IF($H1198=3,ROUND($G1198/12,0),IF($H1198=6,$G1198,IF($H1198=7,$G1198-ROUND($G1198*10/11,0),0)))))</f>
        <v/>
      </c>
      <c r="N1198" s="364" t="str">
        <f>IF($G1198="","",K1198+L1198+M1198)</f>
        <v/>
      </c>
      <c r="O1198" s="365" t="str">
        <f>IF($G1198="","",IFERROR(VLOOKUP($D1198&amp;"|"&amp;$E1198,科目表!$A$5:$B$200,2,FALSE),"※未登録"))</f>
        <v/>
      </c>
      <c r="P1198" s="359" t="str">
        <f>IF(OR($G1198="",$C1198=""),"",IF($B1198="決算整理",13,MOD(MONTH($C1198)-4,12)+1))</f>
        <v/>
      </c>
      <c r="Q1198" s="366" t="str">
        <f>IF($G1198="","",TRIM(IF(J1198+K1198+L1198+M1198&lt;&gt;$G1198,"按分不一致 ","")&amp;IF(O1198="※未登録","科目未登録 ","")&amp;IF(OR($H1198="",ISERROR(MATCH($H1198,{1,2,3,4,5,6,7,8},0))),"経費区分? ","")&amp;IF($I1198="","状態未設定 ","")&amp;IF(AND(OR($I1198="確認済",$I1198="未確認"),$B1198="月例",OR($C1198="",$C1198&lt;DATE(年度+2018,4,1),$C1198&gt;DATE(年度+2019,3,31))),"年度外の日付 ","")&amp;IF(AND(OR($I1198="確認済",$I1198="未確認"),O1198="対象外"),"対象外の科目 ","")))</f>
        <v/>
      </c>
      <c r="R1198" s="366" t="n"/>
    </row>
    <row r="1199">
      <c r="A1199" s="359" t="n"/>
      <c r="B1199" s="360" t="n"/>
      <c r="C1199" s="361" t="n"/>
      <c r="D1199" s="362" t="n"/>
      <c r="E1199" s="362" t="n"/>
      <c r="F1199" s="362" t="n"/>
      <c r="G1199" s="363" t="n"/>
      <c r="H1199" s="360" t="n"/>
      <c r="I1199" s="360" t="n"/>
      <c r="J1199" s="364" t="str">
        <f>IF($G1199="","",IF($H1199=1,$G1199-ROUND($G1199*10/23,0)-2*ROUND($G1199/23,0),IF($H1199=2,$G1199,0)))</f>
        <v/>
      </c>
      <c r="K1199" s="364" t="str">
        <f>IF($G1199="","",IF($H1199=1,ROUND($G1199*10/23,0),IF($H1199=3,$G1199-2*ROUND($G1199/12,0),IF($H1199=4,$G1199,IF(OR($H1199=5,$H1199=7),ROUND($G1199*10/11,0),0)))))</f>
        <v/>
      </c>
      <c r="L1199" s="364" t="str">
        <f>IF($G1199="","",IF($H1199=1,ROUND($G1199/23,0),IF($H1199=3,ROUND($G1199/12,0),IF($H1199=5,$G1199-ROUND($G1199*10/11,0),IF($H1199=8,$G1199,0)))))</f>
        <v/>
      </c>
      <c r="M1199" s="364" t="str">
        <f>IF($G1199="","",IF($H1199=1,ROUND($G1199/23,0),IF($H1199=3,ROUND($G1199/12,0),IF($H1199=6,$G1199,IF($H1199=7,$G1199-ROUND($G1199*10/11,0),0)))))</f>
        <v/>
      </c>
      <c r="N1199" s="364" t="str">
        <f>IF($G1199="","",K1199+L1199+M1199)</f>
        <v/>
      </c>
      <c r="O1199" s="365" t="str">
        <f>IF($G1199="","",IFERROR(VLOOKUP($D1199&amp;"|"&amp;$E1199,科目表!$A$5:$B$200,2,FALSE),"※未登録"))</f>
        <v/>
      </c>
      <c r="P1199" s="359" t="str">
        <f>IF(OR($G1199="",$C1199=""),"",IF($B1199="決算整理",13,MOD(MONTH($C1199)-4,12)+1))</f>
        <v/>
      </c>
      <c r="Q1199" s="366" t="str">
        <f>IF($G1199="","",TRIM(IF(J1199+K1199+L1199+M1199&lt;&gt;$G1199,"按分不一致 ","")&amp;IF(O1199="※未登録","科目未登録 ","")&amp;IF(OR($H1199="",ISERROR(MATCH($H1199,{1,2,3,4,5,6,7,8},0))),"経費区分? ","")&amp;IF($I1199="","状態未設定 ","")&amp;IF(AND(OR($I1199="確認済",$I1199="未確認"),$B1199="月例",OR($C1199="",$C1199&lt;DATE(年度+2018,4,1),$C1199&gt;DATE(年度+2019,3,31))),"年度外の日付 ","")&amp;IF(AND(OR($I1199="確認済",$I1199="未確認"),O1199="対象外"),"対象外の科目 ","")))</f>
        <v/>
      </c>
      <c r="R1199" s="366" t="n"/>
    </row>
    <row r="1200">
      <c r="A1200" s="359" t="n"/>
      <c r="B1200" s="360" t="n"/>
      <c r="C1200" s="361" t="n"/>
      <c r="D1200" s="362" t="n"/>
      <c r="E1200" s="362" t="n"/>
      <c r="F1200" s="362" t="n"/>
      <c r="G1200" s="363" t="n"/>
      <c r="H1200" s="360" t="n"/>
      <c r="I1200" s="360" t="n"/>
      <c r="J1200" s="364" t="str">
        <f>IF($G1200="","",IF($H1200=1,$G1200-ROUND($G1200*10/23,0)-2*ROUND($G1200/23,0),IF($H1200=2,$G1200,0)))</f>
        <v/>
      </c>
      <c r="K1200" s="364" t="str">
        <f>IF($G1200="","",IF($H1200=1,ROUND($G1200*10/23,0),IF($H1200=3,$G1200-2*ROUND($G1200/12,0),IF($H1200=4,$G1200,IF(OR($H1200=5,$H1200=7),ROUND($G1200*10/11,0),0)))))</f>
        <v/>
      </c>
      <c r="L1200" s="364" t="str">
        <f>IF($G1200="","",IF($H1200=1,ROUND($G1200/23,0),IF($H1200=3,ROUND($G1200/12,0),IF($H1200=5,$G1200-ROUND($G1200*10/11,0),IF($H1200=8,$G1200,0)))))</f>
        <v/>
      </c>
      <c r="M1200" s="364" t="str">
        <f>IF($G1200="","",IF($H1200=1,ROUND($G1200/23,0),IF($H1200=3,ROUND($G1200/12,0),IF($H1200=6,$G1200,IF($H1200=7,$G1200-ROUND($G1200*10/11,0),0)))))</f>
        <v/>
      </c>
      <c r="N1200" s="364" t="str">
        <f>IF($G1200="","",K1200+L1200+M1200)</f>
        <v/>
      </c>
      <c r="O1200" s="365" t="str">
        <f>IF($G1200="","",IFERROR(VLOOKUP($D1200&amp;"|"&amp;$E1200,科目表!$A$5:$B$200,2,FALSE),"※未登録"))</f>
        <v/>
      </c>
      <c r="P1200" s="359" t="str">
        <f>IF(OR($G1200="",$C1200=""),"",IF($B1200="決算整理",13,MOD(MONTH($C1200)-4,12)+1))</f>
        <v/>
      </c>
      <c r="Q1200" s="366" t="str">
        <f>IF($G1200="","",TRIM(IF(J1200+K1200+L1200+M1200&lt;&gt;$G1200,"按分不一致 ","")&amp;IF(O1200="※未登録","科目未登録 ","")&amp;IF(OR($H1200="",ISERROR(MATCH($H1200,{1,2,3,4,5,6,7,8},0))),"経費区分? ","")&amp;IF($I1200="","状態未設定 ","")&amp;IF(AND(OR($I1200="確認済",$I1200="未確認"),$B1200="月例",OR($C1200="",$C1200&lt;DATE(年度+2018,4,1),$C1200&gt;DATE(年度+2019,3,31))),"年度外の日付 ","")&amp;IF(AND(OR($I1200="確認済",$I1200="未確認"),O1200="対象外"),"対象外の科目 ","")))</f>
        <v/>
      </c>
      <c r="R1200" s="366" t="n"/>
    </row>
    <row r="1201">
      <c r="A1201" s="359" t="n"/>
      <c r="B1201" s="360" t="n"/>
      <c r="C1201" s="361" t="n"/>
      <c r="D1201" s="362" t="n"/>
      <c r="E1201" s="362" t="n"/>
      <c r="F1201" s="362" t="n"/>
      <c r="G1201" s="363" t="n"/>
      <c r="H1201" s="360" t="n"/>
      <c r="I1201" s="360" t="n"/>
      <c r="J1201" s="364" t="str">
        <f>IF($G1201="","",IF($H1201=1,$G1201-ROUND($G1201*10/23,0)-2*ROUND($G1201/23,0),IF($H1201=2,$G1201,0)))</f>
        <v/>
      </c>
      <c r="K1201" s="364" t="str">
        <f>IF($G1201="","",IF($H1201=1,ROUND($G1201*10/23,0),IF($H1201=3,$G1201-2*ROUND($G1201/12,0),IF($H1201=4,$G1201,IF(OR($H1201=5,$H1201=7),ROUND($G1201*10/11,0),0)))))</f>
        <v/>
      </c>
      <c r="L1201" s="364" t="str">
        <f>IF($G1201="","",IF($H1201=1,ROUND($G1201/23,0),IF($H1201=3,ROUND($G1201/12,0),IF($H1201=5,$G1201-ROUND($G1201*10/11,0),IF($H1201=8,$G1201,0)))))</f>
        <v/>
      </c>
      <c r="M1201" s="364" t="str">
        <f>IF($G1201="","",IF($H1201=1,ROUND($G1201/23,0),IF($H1201=3,ROUND($G1201/12,0),IF($H1201=6,$G1201,IF($H1201=7,$G1201-ROUND($G1201*10/11,0),0)))))</f>
        <v/>
      </c>
      <c r="N1201" s="364" t="str">
        <f>IF($G1201="","",K1201+L1201+M1201)</f>
        <v/>
      </c>
      <c r="O1201" s="365" t="str">
        <f>IF($G1201="","",IFERROR(VLOOKUP($D1201&amp;"|"&amp;$E1201,科目表!$A$5:$B$200,2,FALSE),"※未登録"))</f>
        <v/>
      </c>
      <c r="P1201" s="359" t="str">
        <f>IF(OR($G1201="",$C1201=""),"",IF($B1201="決算整理",13,MOD(MONTH($C1201)-4,12)+1))</f>
        <v/>
      </c>
      <c r="Q1201" s="366" t="str">
        <f>IF($G1201="","",TRIM(IF(J1201+K1201+L1201+M1201&lt;&gt;$G1201,"按分不一致 ","")&amp;IF(O1201="※未登録","科目未登録 ","")&amp;IF(OR($H1201="",ISERROR(MATCH($H1201,{1,2,3,4,5,6,7,8},0))),"経費区分? ","")&amp;IF($I1201="","状態未設定 ","")&amp;IF(AND(OR($I1201="確認済",$I1201="未確認"),$B1201="月例",OR($C1201="",$C1201&lt;DATE(年度+2018,4,1),$C1201&gt;DATE(年度+2019,3,31))),"年度外の日付 ","")&amp;IF(AND(OR($I1201="確認済",$I1201="未確認"),O1201="対象外"),"対象外の科目 ","")))</f>
        <v/>
      </c>
      <c r="R1201" s="366" t="n"/>
    </row>
    <row r="1202">
      <c r="A1202" s="359" t="n"/>
      <c r="B1202" s="360" t="n"/>
      <c r="C1202" s="361" t="n"/>
      <c r="D1202" s="362" t="n"/>
      <c r="E1202" s="362" t="n"/>
      <c r="F1202" s="362" t="n"/>
      <c r="G1202" s="363" t="n"/>
      <c r="H1202" s="360" t="n"/>
      <c r="I1202" s="360" t="n"/>
      <c r="J1202" s="364" t="str">
        <f>IF($G1202="","",IF($H1202=1,$G1202-ROUND($G1202*10/23,0)-2*ROUND($G1202/23,0),IF($H1202=2,$G1202,0)))</f>
        <v/>
      </c>
      <c r="K1202" s="364" t="str">
        <f>IF($G1202="","",IF($H1202=1,ROUND($G1202*10/23,0),IF($H1202=3,$G1202-2*ROUND($G1202/12,0),IF($H1202=4,$G1202,IF(OR($H1202=5,$H1202=7),ROUND($G1202*10/11,0),0)))))</f>
        <v/>
      </c>
      <c r="L1202" s="364" t="str">
        <f>IF($G1202="","",IF($H1202=1,ROUND($G1202/23,0),IF($H1202=3,ROUND($G1202/12,0),IF($H1202=5,$G1202-ROUND($G1202*10/11,0),IF($H1202=8,$G1202,0)))))</f>
        <v/>
      </c>
      <c r="M1202" s="364" t="str">
        <f>IF($G1202="","",IF($H1202=1,ROUND($G1202/23,0),IF($H1202=3,ROUND($G1202/12,0),IF($H1202=6,$G1202,IF($H1202=7,$G1202-ROUND($G1202*10/11,0),0)))))</f>
        <v/>
      </c>
      <c r="N1202" s="364" t="str">
        <f>IF($G1202="","",K1202+L1202+M1202)</f>
        <v/>
      </c>
      <c r="O1202" s="365" t="str">
        <f>IF($G1202="","",IFERROR(VLOOKUP($D1202&amp;"|"&amp;$E1202,科目表!$A$5:$B$200,2,FALSE),"※未登録"))</f>
        <v/>
      </c>
      <c r="P1202" s="359" t="str">
        <f>IF(OR($G1202="",$C1202=""),"",IF($B1202="決算整理",13,MOD(MONTH($C1202)-4,12)+1))</f>
        <v/>
      </c>
      <c r="Q1202" s="366" t="str">
        <f>IF($G1202="","",TRIM(IF(J1202+K1202+L1202+M1202&lt;&gt;$G1202,"按分不一致 ","")&amp;IF(O1202="※未登録","科目未登録 ","")&amp;IF(OR($H1202="",ISERROR(MATCH($H1202,{1,2,3,4,5,6,7,8},0))),"経費区分? ","")&amp;IF($I1202="","状態未設定 ","")&amp;IF(AND(OR($I1202="確認済",$I1202="未確認"),$B1202="月例",OR($C1202="",$C1202&lt;DATE(年度+2018,4,1),$C1202&gt;DATE(年度+2019,3,31))),"年度外の日付 ","")&amp;IF(AND(OR($I1202="確認済",$I1202="未確認"),O1202="対象外"),"対象外の科目 ","")))</f>
        <v/>
      </c>
      <c r="R1202" s="366" t="n"/>
    </row>
    <row r="1203">
      <c r="A1203" s="359" t="n"/>
      <c r="B1203" s="360" t="n"/>
      <c r="C1203" s="361" t="n"/>
      <c r="D1203" s="362" t="n"/>
      <c r="E1203" s="362" t="n"/>
      <c r="F1203" s="362" t="n"/>
      <c r="G1203" s="363" t="n"/>
      <c r="H1203" s="360" t="n"/>
      <c r="I1203" s="360" t="n"/>
      <c r="J1203" s="364" t="str">
        <f>IF($G1203="","",IF($H1203=1,$G1203-ROUND($G1203*10/23,0)-2*ROUND($G1203/23,0),IF($H1203=2,$G1203,0)))</f>
        <v/>
      </c>
      <c r="K1203" s="364" t="str">
        <f>IF($G1203="","",IF($H1203=1,ROUND($G1203*10/23,0),IF($H1203=3,$G1203-2*ROUND($G1203/12,0),IF($H1203=4,$G1203,IF(OR($H1203=5,$H1203=7),ROUND($G1203*10/11,0),0)))))</f>
        <v/>
      </c>
      <c r="L1203" s="364" t="str">
        <f>IF($G1203="","",IF($H1203=1,ROUND($G1203/23,0),IF($H1203=3,ROUND($G1203/12,0),IF($H1203=5,$G1203-ROUND($G1203*10/11,0),IF($H1203=8,$G1203,0)))))</f>
        <v/>
      </c>
      <c r="M1203" s="364" t="str">
        <f>IF($G1203="","",IF($H1203=1,ROUND($G1203/23,0),IF($H1203=3,ROUND($G1203/12,0),IF($H1203=6,$G1203,IF($H1203=7,$G1203-ROUND($G1203*10/11,0),0)))))</f>
        <v/>
      </c>
      <c r="N1203" s="364" t="str">
        <f>IF($G1203="","",K1203+L1203+M1203)</f>
        <v/>
      </c>
      <c r="O1203" s="365" t="str">
        <f>IF($G1203="","",IFERROR(VLOOKUP($D1203&amp;"|"&amp;$E1203,科目表!$A$5:$B$200,2,FALSE),"※未登録"))</f>
        <v/>
      </c>
      <c r="P1203" s="359" t="str">
        <f>IF(OR($G1203="",$C1203=""),"",IF($B1203="決算整理",13,MOD(MONTH($C1203)-4,12)+1))</f>
        <v/>
      </c>
      <c r="Q1203" s="366" t="str">
        <f>IF($G1203="","",TRIM(IF(J1203+K1203+L1203+M1203&lt;&gt;$G1203,"按分不一致 ","")&amp;IF(O1203="※未登録","科目未登録 ","")&amp;IF(OR($H1203="",ISERROR(MATCH($H1203,{1,2,3,4,5,6,7,8},0))),"経費区分? ","")&amp;IF($I1203="","状態未設定 ","")&amp;IF(AND(OR($I1203="確認済",$I1203="未確認"),$B1203="月例",OR($C1203="",$C1203&lt;DATE(年度+2018,4,1),$C1203&gt;DATE(年度+2019,3,31))),"年度外の日付 ","")&amp;IF(AND(OR($I1203="確認済",$I1203="未確認"),O1203="対象外"),"対象外の科目 ","")))</f>
        <v/>
      </c>
      <c r="R1203" s="366" t="n"/>
    </row>
    <row r="1204">
      <c r="A1204" s="359" t="n"/>
      <c r="B1204" s="360" t="n"/>
      <c r="C1204" s="361" t="n"/>
      <c r="D1204" s="362" t="n"/>
      <c r="E1204" s="362" t="n"/>
      <c r="F1204" s="362" t="n"/>
      <c r="G1204" s="363" t="n"/>
      <c r="H1204" s="360" t="n"/>
      <c r="I1204" s="360" t="n"/>
      <c r="J1204" s="364" t="str">
        <f>IF($G1204="","",IF($H1204=1,$G1204-ROUND($G1204*10/23,0)-2*ROUND($G1204/23,0),IF($H1204=2,$G1204,0)))</f>
        <v/>
      </c>
      <c r="K1204" s="364" t="str">
        <f>IF($G1204="","",IF($H1204=1,ROUND($G1204*10/23,0),IF($H1204=3,$G1204-2*ROUND($G1204/12,0),IF($H1204=4,$G1204,IF(OR($H1204=5,$H1204=7),ROUND($G1204*10/11,0),0)))))</f>
        <v/>
      </c>
      <c r="L1204" s="364" t="str">
        <f>IF($G1204="","",IF($H1204=1,ROUND($G1204/23,0),IF($H1204=3,ROUND($G1204/12,0),IF($H1204=5,$G1204-ROUND($G1204*10/11,0),IF($H1204=8,$G1204,0)))))</f>
        <v/>
      </c>
      <c r="M1204" s="364" t="str">
        <f>IF($G1204="","",IF($H1204=1,ROUND($G1204/23,0),IF($H1204=3,ROUND($G1204/12,0),IF($H1204=6,$G1204,IF($H1204=7,$G1204-ROUND($G1204*10/11,0),0)))))</f>
        <v/>
      </c>
      <c r="N1204" s="364" t="str">
        <f>IF($G1204="","",K1204+L1204+M1204)</f>
        <v/>
      </c>
      <c r="O1204" s="365" t="str">
        <f>IF($G1204="","",IFERROR(VLOOKUP($D1204&amp;"|"&amp;$E1204,科目表!$A$5:$B$200,2,FALSE),"※未登録"))</f>
        <v/>
      </c>
      <c r="P1204" s="359" t="str">
        <f>IF(OR($G1204="",$C1204=""),"",IF($B1204="決算整理",13,MOD(MONTH($C1204)-4,12)+1))</f>
        <v/>
      </c>
      <c r="Q1204" s="366" t="str">
        <f>IF($G1204="","",TRIM(IF(J1204+K1204+L1204+M1204&lt;&gt;$G1204,"按分不一致 ","")&amp;IF(O1204="※未登録","科目未登録 ","")&amp;IF(OR($H1204="",ISERROR(MATCH($H1204,{1,2,3,4,5,6,7,8},0))),"経費区分? ","")&amp;IF($I1204="","状態未設定 ","")&amp;IF(AND(OR($I1204="確認済",$I1204="未確認"),$B1204="月例",OR($C1204="",$C1204&lt;DATE(年度+2018,4,1),$C1204&gt;DATE(年度+2019,3,31))),"年度外の日付 ","")&amp;IF(AND(OR($I1204="確認済",$I1204="未確認"),O1204="対象外"),"対象外の科目 ","")))</f>
        <v/>
      </c>
      <c r="R1204" s="366" t="n"/>
    </row>
    <row r="1205">
      <c r="A1205" s="359" t="n"/>
      <c r="B1205" s="360" t="n"/>
      <c r="C1205" s="361" t="n"/>
      <c r="D1205" s="362" t="n"/>
      <c r="E1205" s="362" t="n"/>
      <c r="F1205" s="362" t="n"/>
      <c r="G1205" s="363" t="n"/>
      <c r="H1205" s="360" t="n"/>
      <c r="I1205" s="360" t="n"/>
      <c r="J1205" s="364" t="str">
        <f>IF($G1205="","",IF($H1205=1,$G1205-ROUND($G1205*10/23,0)-2*ROUND($G1205/23,0),IF($H1205=2,$G1205,0)))</f>
        <v/>
      </c>
      <c r="K1205" s="364" t="str">
        <f>IF($G1205="","",IF($H1205=1,ROUND($G1205*10/23,0),IF($H1205=3,$G1205-2*ROUND($G1205/12,0),IF($H1205=4,$G1205,IF(OR($H1205=5,$H1205=7),ROUND($G1205*10/11,0),0)))))</f>
        <v/>
      </c>
      <c r="L1205" s="364" t="str">
        <f>IF($G1205="","",IF($H1205=1,ROUND($G1205/23,0),IF($H1205=3,ROUND($G1205/12,0),IF($H1205=5,$G1205-ROUND($G1205*10/11,0),IF($H1205=8,$G1205,0)))))</f>
        <v/>
      </c>
      <c r="M1205" s="364" t="str">
        <f>IF($G1205="","",IF($H1205=1,ROUND($G1205/23,0),IF($H1205=3,ROUND($G1205/12,0),IF($H1205=6,$G1205,IF($H1205=7,$G1205-ROUND($G1205*10/11,0),0)))))</f>
        <v/>
      </c>
      <c r="N1205" s="364" t="str">
        <f>IF($G1205="","",K1205+L1205+M1205)</f>
        <v/>
      </c>
      <c r="O1205" s="365" t="str">
        <f>IF($G1205="","",IFERROR(VLOOKUP($D1205&amp;"|"&amp;$E1205,科目表!$A$5:$B$200,2,FALSE),"※未登録"))</f>
        <v/>
      </c>
      <c r="P1205" s="359" t="str">
        <f>IF(OR($G1205="",$C1205=""),"",IF($B1205="決算整理",13,MOD(MONTH($C1205)-4,12)+1))</f>
        <v/>
      </c>
      <c r="Q1205" s="366" t="str">
        <f>IF($G1205="","",TRIM(IF(J1205+K1205+L1205+M1205&lt;&gt;$G1205,"按分不一致 ","")&amp;IF(O1205="※未登録","科目未登録 ","")&amp;IF(OR($H1205="",ISERROR(MATCH($H1205,{1,2,3,4,5,6,7,8},0))),"経費区分? ","")&amp;IF($I1205="","状態未設定 ","")&amp;IF(AND(OR($I1205="確認済",$I1205="未確認"),$B1205="月例",OR($C1205="",$C1205&lt;DATE(年度+2018,4,1),$C1205&gt;DATE(年度+2019,3,31))),"年度外の日付 ","")&amp;IF(AND(OR($I1205="確認済",$I1205="未確認"),O1205="対象外"),"対象外の科目 ","")))</f>
        <v/>
      </c>
      <c r="R1205" s="366" t="n"/>
    </row>
    <row r="1206">
      <c r="A1206" s="359" t="n"/>
      <c r="B1206" s="360" t="n"/>
      <c r="C1206" s="361" t="n"/>
      <c r="D1206" s="362" t="n"/>
      <c r="E1206" s="362" t="n"/>
      <c r="F1206" s="362" t="n"/>
      <c r="G1206" s="363" t="n"/>
      <c r="H1206" s="360" t="n"/>
      <c r="I1206" s="360" t="n"/>
      <c r="J1206" s="364" t="str">
        <f>IF($G1206="","",IF($H1206=1,$G1206-ROUND($G1206*10/23,0)-2*ROUND($G1206/23,0),IF($H1206=2,$G1206,0)))</f>
        <v/>
      </c>
      <c r="K1206" s="364" t="str">
        <f>IF($G1206="","",IF($H1206=1,ROUND($G1206*10/23,0),IF($H1206=3,$G1206-2*ROUND($G1206/12,0),IF($H1206=4,$G1206,IF(OR($H1206=5,$H1206=7),ROUND($G1206*10/11,0),0)))))</f>
        <v/>
      </c>
      <c r="L1206" s="364" t="str">
        <f>IF($G1206="","",IF($H1206=1,ROUND($G1206/23,0),IF($H1206=3,ROUND($G1206/12,0),IF($H1206=5,$G1206-ROUND($G1206*10/11,0),IF($H1206=8,$G1206,0)))))</f>
        <v/>
      </c>
      <c r="M1206" s="364" t="str">
        <f>IF($G1206="","",IF($H1206=1,ROUND($G1206/23,0),IF($H1206=3,ROUND($G1206/12,0),IF($H1206=6,$G1206,IF($H1206=7,$G1206-ROUND($G1206*10/11,0),0)))))</f>
        <v/>
      </c>
      <c r="N1206" s="364" t="str">
        <f>IF($G1206="","",K1206+L1206+M1206)</f>
        <v/>
      </c>
      <c r="O1206" s="365" t="str">
        <f>IF($G1206="","",IFERROR(VLOOKUP($D1206&amp;"|"&amp;$E1206,科目表!$A$5:$B$200,2,FALSE),"※未登録"))</f>
        <v/>
      </c>
      <c r="P1206" s="359" t="str">
        <f>IF(OR($G1206="",$C1206=""),"",IF($B1206="決算整理",13,MOD(MONTH($C1206)-4,12)+1))</f>
        <v/>
      </c>
      <c r="Q1206" s="366" t="str">
        <f>IF($G1206="","",TRIM(IF(J1206+K1206+L1206+M1206&lt;&gt;$G1206,"按分不一致 ","")&amp;IF(O1206="※未登録","科目未登録 ","")&amp;IF(OR($H1206="",ISERROR(MATCH($H1206,{1,2,3,4,5,6,7,8},0))),"経費区分? ","")&amp;IF($I1206="","状態未設定 ","")&amp;IF(AND(OR($I1206="確認済",$I1206="未確認"),$B1206="月例",OR($C1206="",$C1206&lt;DATE(年度+2018,4,1),$C1206&gt;DATE(年度+2019,3,31))),"年度外の日付 ","")&amp;IF(AND(OR($I1206="確認済",$I1206="未確認"),O1206="対象外"),"対象外の科目 ","")))</f>
        <v/>
      </c>
      <c r="R1206" s="366" t="n"/>
    </row>
    <row r="1207">
      <c r="A1207" s="359" t="n"/>
      <c r="B1207" s="360" t="n"/>
      <c r="C1207" s="361" t="n"/>
      <c r="D1207" s="362" t="n"/>
      <c r="E1207" s="362" t="n"/>
      <c r="F1207" s="362" t="n"/>
      <c r="G1207" s="363" t="n"/>
      <c r="H1207" s="360" t="n"/>
      <c r="I1207" s="360" t="n"/>
      <c r="J1207" s="364" t="str">
        <f>IF($G1207="","",IF($H1207=1,$G1207-ROUND($G1207*10/23,0)-2*ROUND($G1207/23,0),IF($H1207=2,$G1207,0)))</f>
        <v/>
      </c>
      <c r="K1207" s="364" t="str">
        <f>IF($G1207="","",IF($H1207=1,ROUND($G1207*10/23,0),IF($H1207=3,$G1207-2*ROUND($G1207/12,0),IF($H1207=4,$G1207,IF(OR($H1207=5,$H1207=7),ROUND($G1207*10/11,0),0)))))</f>
        <v/>
      </c>
      <c r="L1207" s="364" t="str">
        <f>IF($G1207="","",IF($H1207=1,ROUND($G1207/23,0),IF($H1207=3,ROUND($G1207/12,0),IF($H1207=5,$G1207-ROUND($G1207*10/11,0),IF($H1207=8,$G1207,0)))))</f>
        <v/>
      </c>
      <c r="M1207" s="364" t="str">
        <f>IF($G1207="","",IF($H1207=1,ROUND($G1207/23,0),IF($H1207=3,ROUND($G1207/12,0),IF($H1207=6,$G1207,IF($H1207=7,$G1207-ROUND($G1207*10/11,0),0)))))</f>
        <v/>
      </c>
      <c r="N1207" s="364" t="str">
        <f>IF($G1207="","",K1207+L1207+M1207)</f>
        <v/>
      </c>
      <c r="O1207" s="365" t="str">
        <f>IF($G1207="","",IFERROR(VLOOKUP($D1207&amp;"|"&amp;$E1207,科目表!$A$5:$B$200,2,FALSE),"※未登録"))</f>
        <v/>
      </c>
      <c r="P1207" s="359" t="str">
        <f>IF(OR($G1207="",$C1207=""),"",IF($B1207="決算整理",13,MOD(MONTH($C1207)-4,12)+1))</f>
        <v/>
      </c>
      <c r="Q1207" s="366" t="str">
        <f>IF($G1207="","",TRIM(IF(J1207+K1207+L1207+M1207&lt;&gt;$G1207,"按分不一致 ","")&amp;IF(O1207="※未登録","科目未登録 ","")&amp;IF(OR($H1207="",ISERROR(MATCH($H1207,{1,2,3,4,5,6,7,8},0))),"経費区分? ","")&amp;IF($I1207="","状態未設定 ","")&amp;IF(AND(OR($I1207="確認済",$I1207="未確認"),$B1207="月例",OR($C1207="",$C1207&lt;DATE(年度+2018,4,1),$C1207&gt;DATE(年度+2019,3,31))),"年度外の日付 ","")&amp;IF(AND(OR($I1207="確認済",$I1207="未確認"),O1207="対象外"),"対象外の科目 ","")))</f>
        <v/>
      </c>
      <c r="R1207" s="366" t="n"/>
    </row>
    <row r="1208">
      <c r="A1208" s="359" t="n"/>
      <c r="B1208" s="360" t="n"/>
      <c r="C1208" s="361" t="n"/>
      <c r="D1208" s="362" t="n"/>
      <c r="E1208" s="362" t="n"/>
      <c r="F1208" s="362" t="n"/>
      <c r="G1208" s="363" t="n"/>
      <c r="H1208" s="360" t="n"/>
      <c r="I1208" s="360" t="n"/>
      <c r="J1208" s="364" t="str">
        <f>IF($G1208="","",IF($H1208=1,$G1208-ROUND($G1208*10/23,0)-2*ROUND($G1208/23,0),IF($H1208=2,$G1208,0)))</f>
        <v/>
      </c>
      <c r="K1208" s="364" t="str">
        <f>IF($G1208="","",IF($H1208=1,ROUND($G1208*10/23,0),IF($H1208=3,$G1208-2*ROUND($G1208/12,0),IF($H1208=4,$G1208,IF(OR($H1208=5,$H1208=7),ROUND($G1208*10/11,0),0)))))</f>
        <v/>
      </c>
      <c r="L1208" s="364" t="str">
        <f>IF($G1208="","",IF($H1208=1,ROUND($G1208/23,0),IF($H1208=3,ROUND($G1208/12,0),IF($H1208=5,$G1208-ROUND($G1208*10/11,0),IF($H1208=8,$G1208,0)))))</f>
        <v/>
      </c>
      <c r="M1208" s="364" t="str">
        <f>IF($G1208="","",IF($H1208=1,ROUND($G1208/23,0),IF($H1208=3,ROUND($G1208/12,0),IF($H1208=6,$G1208,IF($H1208=7,$G1208-ROUND($G1208*10/11,0),0)))))</f>
        <v/>
      </c>
      <c r="N1208" s="364" t="str">
        <f>IF($G1208="","",K1208+L1208+M1208)</f>
        <v/>
      </c>
      <c r="O1208" s="365" t="str">
        <f>IF($G1208="","",IFERROR(VLOOKUP($D1208&amp;"|"&amp;$E1208,科目表!$A$5:$B$200,2,FALSE),"※未登録"))</f>
        <v/>
      </c>
      <c r="P1208" s="359" t="str">
        <f>IF(OR($G1208="",$C1208=""),"",IF($B1208="決算整理",13,MOD(MONTH($C1208)-4,12)+1))</f>
        <v/>
      </c>
      <c r="Q1208" s="366" t="str">
        <f>IF($G1208="","",TRIM(IF(J1208+K1208+L1208+M1208&lt;&gt;$G1208,"按分不一致 ","")&amp;IF(O1208="※未登録","科目未登録 ","")&amp;IF(OR($H1208="",ISERROR(MATCH($H1208,{1,2,3,4,5,6,7,8},0))),"経費区分? ","")&amp;IF($I1208="","状態未設定 ","")&amp;IF(AND(OR($I1208="確認済",$I1208="未確認"),$B1208="月例",OR($C1208="",$C1208&lt;DATE(年度+2018,4,1),$C1208&gt;DATE(年度+2019,3,31))),"年度外の日付 ","")&amp;IF(AND(OR($I1208="確認済",$I1208="未確認"),O1208="対象外"),"対象外の科目 ","")))</f>
        <v/>
      </c>
      <c r="R1208" s="366" t="n"/>
    </row>
    <row r="1209">
      <c r="A1209" s="359" t="n"/>
      <c r="B1209" s="360" t="n"/>
      <c r="C1209" s="361" t="n"/>
      <c r="D1209" s="362" t="n"/>
      <c r="E1209" s="362" t="n"/>
      <c r="F1209" s="362" t="n"/>
      <c r="G1209" s="363" t="n"/>
      <c r="H1209" s="360" t="n"/>
      <c r="I1209" s="360" t="n"/>
      <c r="J1209" s="364" t="str">
        <f>IF($G1209="","",IF($H1209=1,$G1209-ROUND($G1209*10/23,0)-2*ROUND($G1209/23,0),IF($H1209=2,$G1209,0)))</f>
        <v/>
      </c>
      <c r="K1209" s="364" t="str">
        <f>IF($G1209="","",IF($H1209=1,ROUND($G1209*10/23,0),IF($H1209=3,$G1209-2*ROUND($G1209/12,0),IF($H1209=4,$G1209,IF(OR($H1209=5,$H1209=7),ROUND($G1209*10/11,0),0)))))</f>
        <v/>
      </c>
      <c r="L1209" s="364" t="str">
        <f>IF($G1209="","",IF($H1209=1,ROUND($G1209/23,0),IF($H1209=3,ROUND($G1209/12,0),IF($H1209=5,$G1209-ROUND($G1209*10/11,0),IF($H1209=8,$G1209,0)))))</f>
        <v/>
      </c>
      <c r="M1209" s="364" t="str">
        <f>IF($G1209="","",IF($H1209=1,ROUND($G1209/23,0),IF($H1209=3,ROUND($G1209/12,0),IF($H1209=6,$G1209,IF($H1209=7,$G1209-ROUND($G1209*10/11,0),0)))))</f>
        <v/>
      </c>
      <c r="N1209" s="364" t="str">
        <f>IF($G1209="","",K1209+L1209+M1209)</f>
        <v/>
      </c>
      <c r="O1209" s="365" t="str">
        <f>IF($G1209="","",IFERROR(VLOOKUP($D1209&amp;"|"&amp;$E1209,科目表!$A$5:$B$200,2,FALSE),"※未登録"))</f>
        <v/>
      </c>
      <c r="P1209" s="359" t="str">
        <f>IF(OR($G1209="",$C1209=""),"",IF($B1209="決算整理",13,MOD(MONTH($C1209)-4,12)+1))</f>
        <v/>
      </c>
      <c r="Q1209" s="366" t="str">
        <f>IF($G1209="","",TRIM(IF(J1209+K1209+L1209+M1209&lt;&gt;$G1209,"按分不一致 ","")&amp;IF(O1209="※未登録","科目未登録 ","")&amp;IF(OR($H1209="",ISERROR(MATCH($H1209,{1,2,3,4,5,6,7,8},0))),"経費区分? ","")&amp;IF($I1209="","状態未設定 ","")&amp;IF(AND(OR($I1209="確認済",$I1209="未確認"),$B1209="月例",OR($C1209="",$C1209&lt;DATE(年度+2018,4,1),$C1209&gt;DATE(年度+2019,3,31))),"年度外の日付 ","")&amp;IF(AND(OR($I1209="確認済",$I1209="未確認"),O1209="対象外"),"対象外の科目 ","")))</f>
        <v/>
      </c>
      <c r="R1209" s="366" t="n"/>
    </row>
    <row r="1210">
      <c r="A1210" s="359" t="n"/>
      <c r="B1210" s="360" t="n"/>
      <c r="C1210" s="361" t="n"/>
      <c r="D1210" s="362" t="n"/>
      <c r="E1210" s="362" t="n"/>
      <c r="F1210" s="362" t="n"/>
      <c r="G1210" s="363" t="n"/>
      <c r="H1210" s="360" t="n"/>
      <c r="I1210" s="360" t="n"/>
      <c r="J1210" s="364" t="str">
        <f>IF($G1210="","",IF($H1210=1,$G1210-ROUND($G1210*10/23,0)-2*ROUND($G1210/23,0),IF($H1210=2,$G1210,0)))</f>
        <v/>
      </c>
      <c r="K1210" s="364" t="str">
        <f>IF($G1210="","",IF($H1210=1,ROUND($G1210*10/23,0),IF($H1210=3,$G1210-2*ROUND($G1210/12,0),IF($H1210=4,$G1210,IF(OR($H1210=5,$H1210=7),ROUND($G1210*10/11,0),0)))))</f>
        <v/>
      </c>
      <c r="L1210" s="364" t="str">
        <f>IF($G1210="","",IF($H1210=1,ROUND($G1210/23,0),IF($H1210=3,ROUND($G1210/12,0),IF($H1210=5,$G1210-ROUND($G1210*10/11,0),IF($H1210=8,$G1210,0)))))</f>
        <v/>
      </c>
      <c r="M1210" s="364" t="str">
        <f>IF($G1210="","",IF($H1210=1,ROUND($G1210/23,0),IF($H1210=3,ROUND($G1210/12,0),IF($H1210=6,$G1210,IF($H1210=7,$G1210-ROUND($G1210*10/11,0),0)))))</f>
        <v/>
      </c>
      <c r="N1210" s="364" t="str">
        <f>IF($G1210="","",K1210+L1210+M1210)</f>
        <v/>
      </c>
      <c r="O1210" s="365" t="str">
        <f>IF($G1210="","",IFERROR(VLOOKUP($D1210&amp;"|"&amp;$E1210,科目表!$A$5:$B$200,2,FALSE),"※未登録"))</f>
        <v/>
      </c>
      <c r="P1210" s="359" t="str">
        <f>IF(OR($G1210="",$C1210=""),"",IF($B1210="決算整理",13,MOD(MONTH($C1210)-4,12)+1))</f>
        <v/>
      </c>
      <c r="Q1210" s="366" t="str">
        <f>IF($G1210="","",TRIM(IF(J1210+K1210+L1210+M1210&lt;&gt;$G1210,"按分不一致 ","")&amp;IF(O1210="※未登録","科目未登録 ","")&amp;IF(OR($H1210="",ISERROR(MATCH($H1210,{1,2,3,4,5,6,7,8},0))),"経費区分? ","")&amp;IF($I1210="","状態未設定 ","")&amp;IF(AND(OR($I1210="確認済",$I1210="未確認"),$B1210="月例",OR($C1210="",$C1210&lt;DATE(年度+2018,4,1),$C1210&gt;DATE(年度+2019,3,31))),"年度外の日付 ","")&amp;IF(AND(OR($I1210="確認済",$I1210="未確認"),O1210="対象外"),"対象外の科目 ","")))</f>
        <v/>
      </c>
      <c r="R1210" s="366" t="n"/>
    </row>
    <row r="1211">
      <c r="A1211" s="359" t="n"/>
      <c r="B1211" s="360" t="n"/>
      <c r="C1211" s="361" t="n"/>
      <c r="D1211" s="362" t="n"/>
      <c r="E1211" s="362" t="n"/>
      <c r="F1211" s="362" t="n"/>
      <c r="G1211" s="363" t="n"/>
      <c r="H1211" s="360" t="n"/>
      <c r="I1211" s="360" t="n"/>
      <c r="J1211" s="364" t="str">
        <f>IF($G1211="","",IF($H1211=1,$G1211-ROUND($G1211*10/23,0)-2*ROUND($G1211/23,0),IF($H1211=2,$G1211,0)))</f>
        <v/>
      </c>
      <c r="K1211" s="364" t="str">
        <f>IF($G1211="","",IF($H1211=1,ROUND($G1211*10/23,0),IF($H1211=3,$G1211-2*ROUND($G1211/12,0),IF($H1211=4,$G1211,IF(OR($H1211=5,$H1211=7),ROUND($G1211*10/11,0),0)))))</f>
        <v/>
      </c>
      <c r="L1211" s="364" t="str">
        <f>IF($G1211="","",IF($H1211=1,ROUND($G1211/23,0),IF($H1211=3,ROUND($G1211/12,0),IF($H1211=5,$G1211-ROUND($G1211*10/11,0),IF($H1211=8,$G1211,0)))))</f>
        <v/>
      </c>
      <c r="M1211" s="364" t="str">
        <f>IF($G1211="","",IF($H1211=1,ROUND($G1211/23,0),IF($H1211=3,ROUND($G1211/12,0),IF($H1211=6,$G1211,IF($H1211=7,$G1211-ROUND($G1211*10/11,0),0)))))</f>
        <v/>
      </c>
      <c r="N1211" s="364" t="str">
        <f>IF($G1211="","",K1211+L1211+M1211)</f>
        <v/>
      </c>
      <c r="O1211" s="365" t="str">
        <f>IF($G1211="","",IFERROR(VLOOKUP($D1211&amp;"|"&amp;$E1211,科目表!$A$5:$B$200,2,FALSE),"※未登録"))</f>
        <v/>
      </c>
      <c r="P1211" s="359" t="str">
        <f>IF(OR($G1211="",$C1211=""),"",IF($B1211="決算整理",13,MOD(MONTH($C1211)-4,12)+1))</f>
        <v/>
      </c>
      <c r="Q1211" s="366" t="str">
        <f>IF($G1211="","",TRIM(IF(J1211+K1211+L1211+M1211&lt;&gt;$G1211,"按分不一致 ","")&amp;IF(O1211="※未登録","科目未登録 ","")&amp;IF(OR($H1211="",ISERROR(MATCH($H1211,{1,2,3,4,5,6,7,8},0))),"経費区分? ","")&amp;IF($I1211="","状態未設定 ","")&amp;IF(AND(OR($I1211="確認済",$I1211="未確認"),$B1211="月例",OR($C1211="",$C1211&lt;DATE(年度+2018,4,1),$C1211&gt;DATE(年度+2019,3,31))),"年度外の日付 ","")&amp;IF(AND(OR($I1211="確認済",$I1211="未確認"),O1211="対象外"),"対象外の科目 ","")))</f>
        <v/>
      </c>
      <c r="R1211" s="366" t="n"/>
    </row>
    <row r="1212">
      <c r="A1212" s="359" t="n"/>
      <c r="B1212" s="360" t="n"/>
      <c r="C1212" s="361" t="n"/>
      <c r="D1212" s="362" t="n"/>
      <c r="E1212" s="362" t="n"/>
      <c r="F1212" s="362" t="n"/>
      <c r="G1212" s="363" t="n"/>
      <c r="H1212" s="360" t="n"/>
      <c r="I1212" s="360" t="n"/>
      <c r="J1212" s="364" t="str">
        <f>IF($G1212="","",IF($H1212=1,$G1212-ROUND($G1212*10/23,0)-2*ROUND($G1212/23,0),IF($H1212=2,$G1212,0)))</f>
        <v/>
      </c>
      <c r="K1212" s="364" t="str">
        <f>IF($G1212="","",IF($H1212=1,ROUND($G1212*10/23,0),IF($H1212=3,$G1212-2*ROUND($G1212/12,0),IF($H1212=4,$G1212,IF(OR($H1212=5,$H1212=7),ROUND($G1212*10/11,0),0)))))</f>
        <v/>
      </c>
      <c r="L1212" s="364" t="str">
        <f>IF($G1212="","",IF($H1212=1,ROUND($G1212/23,0),IF($H1212=3,ROUND($G1212/12,0),IF($H1212=5,$G1212-ROUND($G1212*10/11,0),IF($H1212=8,$G1212,0)))))</f>
        <v/>
      </c>
      <c r="M1212" s="364" t="str">
        <f>IF($G1212="","",IF($H1212=1,ROUND($G1212/23,0),IF($H1212=3,ROUND($G1212/12,0),IF($H1212=6,$G1212,IF($H1212=7,$G1212-ROUND($G1212*10/11,0),0)))))</f>
        <v/>
      </c>
      <c r="N1212" s="364" t="str">
        <f>IF($G1212="","",K1212+L1212+M1212)</f>
        <v/>
      </c>
      <c r="O1212" s="365" t="str">
        <f>IF($G1212="","",IFERROR(VLOOKUP($D1212&amp;"|"&amp;$E1212,科目表!$A$5:$B$200,2,FALSE),"※未登録"))</f>
        <v/>
      </c>
      <c r="P1212" s="359" t="str">
        <f>IF(OR($G1212="",$C1212=""),"",IF($B1212="決算整理",13,MOD(MONTH($C1212)-4,12)+1))</f>
        <v/>
      </c>
      <c r="Q1212" s="366" t="str">
        <f>IF($G1212="","",TRIM(IF(J1212+K1212+L1212+M1212&lt;&gt;$G1212,"按分不一致 ","")&amp;IF(O1212="※未登録","科目未登録 ","")&amp;IF(OR($H1212="",ISERROR(MATCH($H1212,{1,2,3,4,5,6,7,8},0))),"経費区分? ","")&amp;IF($I1212="","状態未設定 ","")&amp;IF(AND(OR($I1212="確認済",$I1212="未確認"),$B1212="月例",OR($C1212="",$C1212&lt;DATE(年度+2018,4,1),$C1212&gt;DATE(年度+2019,3,31))),"年度外の日付 ","")&amp;IF(AND(OR($I1212="確認済",$I1212="未確認"),O1212="対象外"),"対象外の科目 ","")))</f>
        <v/>
      </c>
      <c r="R1212" s="366" t="n"/>
    </row>
    <row r="1213">
      <c r="A1213" s="359" t="n"/>
      <c r="B1213" s="360" t="n"/>
      <c r="C1213" s="361" t="n"/>
      <c r="D1213" s="362" t="n"/>
      <c r="E1213" s="362" t="n"/>
      <c r="F1213" s="362" t="n"/>
      <c r="G1213" s="363" t="n"/>
      <c r="H1213" s="360" t="n"/>
      <c r="I1213" s="360" t="n"/>
      <c r="J1213" s="364" t="str">
        <f>IF($G1213="","",IF($H1213=1,$G1213-ROUND($G1213*10/23,0)-2*ROUND($G1213/23,0),IF($H1213=2,$G1213,0)))</f>
        <v/>
      </c>
      <c r="K1213" s="364" t="str">
        <f>IF($G1213="","",IF($H1213=1,ROUND($G1213*10/23,0),IF($H1213=3,$G1213-2*ROUND($G1213/12,0),IF($H1213=4,$G1213,IF(OR($H1213=5,$H1213=7),ROUND($G1213*10/11,0),0)))))</f>
        <v/>
      </c>
      <c r="L1213" s="364" t="str">
        <f>IF($G1213="","",IF($H1213=1,ROUND($G1213/23,0),IF($H1213=3,ROUND($G1213/12,0),IF($H1213=5,$G1213-ROUND($G1213*10/11,0),IF($H1213=8,$G1213,0)))))</f>
        <v/>
      </c>
      <c r="M1213" s="364" t="str">
        <f>IF($G1213="","",IF($H1213=1,ROUND($G1213/23,0),IF($H1213=3,ROUND($G1213/12,0),IF($H1213=6,$G1213,IF($H1213=7,$G1213-ROUND($G1213*10/11,0),0)))))</f>
        <v/>
      </c>
      <c r="N1213" s="364" t="str">
        <f>IF($G1213="","",K1213+L1213+M1213)</f>
        <v/>
      </c>
      <c r="O1213" s="365" t="str">
        <f>IF($G1213="","",IFERROR(VLOOKUP($D1213&amp;"|"&amp;$E1213,科目表!$A$5:$B$200,2,FALSE),"※未登録"))</f>
        <v/>
      </c>
      <c r="P1213" s="359" t="str">
        <f>IF(OR($G1213="",$C1213=""),"",IF($B1213="決算整理",13,MOD(MONTH($C1213)-4,12)+1))</f>
        <v/>
      </c>
      <c r="Q1213" s="366" t="str">
        <f>IF($G1213="","",TRIM(IF(J1213+K1213+L1213+M1213&lt;&gt;$G1213,"按分不一致 ","")&amp;IF(O1213="※未登録","科目未登録 ","")&amp;IF(OR($H1213="",ISERROR(MATCH($H1213,{1,2,3,4,5,6,7,8},0))),"経費区分? ","")&amp;IF($I1213="","状態未設定 ","")&amp;IF(AND(OR($I1213="確認済",$I1213="未確認"),$B1213="月例",OR($C1213="",$C1213&lt;DATE(年度+2018,4,1),$C1213&gt;DATE(年度+2019,3,31))),"年度外の日付 ","")&amp;IF(AND(OR($I1213="確認済",$I1213="未確認"),O1213="対象外"),"対象外の科目 ","")))</f>
        <v/>
      </c>
      <c r="R1213" s="366" t="n"/>
    </row>
    <row r="1214">
      <c r="A1214" s="359" t="n"/>
      <c r="B1214" s="360" t="n"/>
      <c r="C1214" s="361" t="n"/>
      <c r="D1214" s="362" t="n"/>
      <c r="E1214" s="362" t="n"/>
      <c r="F1214" s="362" t="n"/>
      <c r="G1214" s="363" t="n"/>
      <c r="H1214" s="360" t="n"/>
      <c r="I1214" s="360" t="n"/>
      <c r="J1214" s="364" t="str">
        <f>IF($G1214="","",IF($H1214=1,$G1214-ROUND($G1214*10/23,0)-2*ROUND($G1214/23,0),IF($H1214=2,$G1214,0)))</f>
        <v/>
      </c>
      <c r="K1214" s="364" t="str">
        <f>IF($G1214="","",IF($H1214=1,ROUND($G1214*10/23,0),IF($H1214=3,$G1214-2*ROUND($G1214/12,0),IF($H1214=4,$G1214,IF(OR($H1214=5,$H1214=7),ROUND($G1214*10/11,0),0)))))</f>
        <v/>
      </c>
      <c r="L1214" s="364" t="str">
        <f>IF($G1214="","",IF($H1214=1,ROUND($G1214/23,0),IF($H1214=3,ROUND($G1214/12,0),IF($H1214=5,$G1214-ROUND($G1214*10/11,0),IF($H1214=8,$G1214,0)))))</f>
        <v/>
      </c>
      <c r="M1214" s="364" t="str">
        <f>IF($G1214="","",IF($H1214=1,ROUND($G1214/23,0),IF($H1214=3,ROUND($G1214/12,0),IF($H1214=6,$G1214,IF($H1214=7,$G1214-ROUND($G1214*10/11,0),0)))))</f>
        <v/>
      </c>
      <c r="N1214" s="364" t="str">
        <f>IF($G1214="","",K1214+L1214+M1214)</f>
        <v/>
      </c>
      <c r="O1214" s="365" t="str">
        <f>IF($G1214="","",IFERROR(VLOOKUP($D1214&amp;"|"&amp;$E1214,科目表!$A$5:$B$200,2,FALSE),"※未登録"))</f>
        <v/>
      </c>
      <c r="P1214" s="359" t="str">
        <f>IF(OR($G1214="",$C1214=""),"",IF($B1214="決算整理",13,MOD(MONTH($C1214)-4,12)+1))</f>
        <v/>
      </c>
      <c r="Q1214" s="366" t="str">
        <f>IF($G1214="","",TRIM(IF(J1214+K1214+L1214+M1214&lt;&gt;$G1214,"按分不一致 ","")&amp;IF(O1214="※未登録","科目未登録 ","")&amp;IF(OR($H1214="",ISERROR(MATCH($H1214,{1,2,3,4,5,6,7,8},0))),"経費区分? ","")&amp;IF($I1214="","状態未設定 ","")&amp;IF(AND(OR($I1214="確認済",$I1214="未確認"),$B1214="月例",OR($C1214="",$C1214&lt;DATE(年度+2018,4,1),$C1214&gt;DATE(年度+2019,3,31))),"年度外の日付 ","")&amp;IF(AND(OR($I1214="確認済",$I1214="未確認"),O1214="対象外"),"対象外の科目 ","")))</f>
        <v/>
      </c>
      <c r="R1214" s="366" t="n"/>
    </row>
    <row r="1215">
      <c r="A1215" s="359" t="n"/>
      <c r="B1215" s="360" t="n"/>
      <c r="C1215" s="361" t="n"/>
      <c r="D1215" s="362" t="n"/>
      <c r="E1215" s="362" t="n"/>
      <c r="F1215" s="362" t="n"/>
      <c r="G1215" s="363" t="n"/>
      <c r="H1215" s="360" t="n"/>
      <c r="I1215" s="360" t="n"/>
      <c r="J1215" s="364" t="str">
        <f>IF($G1215="","",IF($H1215=1,$G1215-ROUND($G1215*10/23,0)-2*ROUND($G1215/23,0),IF($H1215=2,$G1215,0)))</f>
        <v/>
      </c>
      <c r="K1215" s="364" t="str">
        <f>IF($G1215="","",IF($H1215=1,ROUND($G1215*10/23,0),IF($H1215=3,$G1215-2*ROUND($G1215/12,0),IF($H1215=4,$G1215,IF(OR($H1215=5,$H1215=7),ROUND($G1215*10/11,0),0)))))</f>
        <v/>
      </c>
      <c r="L1215" s="364" t="str">
        <f>IF($G1215="","",IF($H1215=1,ROUND($G1215/23,0),IF($H1215=3,ROUND($G1215/12,0),IF($H1215=5,$G1215-ROUND($G1215*10/11,0),IF($H1215=8,$G1215,0)))))</f>
        <v/>
      </c>
      <c r="M1215" s="364" t="str">
        <f>IF($G1215="","",IF($H1215=1,ROUND($G1215/23,0),IF($H1215=3,ROUND($G1215/12,0),IF($H1215=6,$G1215,IF($H1215=7,$G1215-ROUND($G1215*10/11,0),0)))))</f>
        <v/>
      </c>
      <c r="N1215" s="364" t="str">
        <f>IF($G1215="","",K1215+L1215+M1215)</f>
        <v/>
      </c>
      <c r="O1215" s="365" t="str">
        <f>IF($G1215="","",IFERROR(VLOOKUP($D1215&amp;"|"&amp;$E1215,科目表!$A$5:$B$200,2,FALSE),"※未登録"))</f>
        <v/>
      </c>
      <c r="P1215" s="359" t="str">
        <f>IF(OR($G1215="",$C1215=""),"",IF($B1215="決算整理",13,MOD(MONTH($C1215)-4,12)+1))</f>
        <v/>
      </c>
      <c r="Q1215" s="366" t="str">
        <f>IF($G1215="","",TRIM(IF(J1215+K1215+L1215+M1215&lt;&gt;$G1215,"按分不一致 ","")&amp;IF(O1215="※未登録","科目未登録 ","")&amp;IF(OR($H1215="",ISERROR(MATCH($H1215,{1,2,3,4,5,6,7,8},0))),"経費区分? ","")&amp;IF($I1215="","状態未設定 ","")&amp;IF(AND(OR($I1215="確認済",$I1215="未確認"),$B1215="月例",OR($C1215="",$C1215&lt;DATE(年度+2018,4,1),$C1215&gt;DATE(年度+2019,3,31))),"年度外の日付 ","")&amp;IF(AND(OR($I1215="確認済",$I1215="未確認"),O1215="対象外"),"対象外の科目 ","")))</f>
        <v/>
      </c>
      <c r="R1215" s="366" t="n"/>
    </row>
    <row r="1216">
      <c r="A1216" s="359" t="n"/>
      <c r="B1216" s="360" t="n"/>
      <c r="C1216" s="361" t="n"/>
      <c r="D1216" s="362" t="n"/>
      <c r="E1216" s="362" t="n"/>
      <c r="F1216" s="362" t="n"/>
      <c r="G1216" s="363" t="n"/>
      <c r="H1216" s="360" t="n"/>
      <c r="I1216" s="360" t="n"/>
      <c r="J1216" s="364" t="str">
        <f>IF($G1216="","",IF($H1216=1,$G1216-ROUND($G1216*10/23,0)-2*ROUND($G1216/23,0),IF($H1216=2,$G1216,0)))</f>
        <v/>
      </c>
      <c r="K1216" s="364" t="str">
        <f>IF($G1216="","",IF($H1216=1,ROUND($G1216*10/23,0),IF($H1216=3,$G1216-2*ROUND($G1216/12,0),IF($H1216=4,$G1216,IF(OR($H1216=5,$H1216=7),ROUND($G1216*10/11,0),0)))))</f>
        <v/>
      </c>
      <c r="L1216" s="364" t="str">
        <f>IF($G1216="","",IF($H1216=1,ROUND($G1216/23,0),IF($H1216=3,ROUND($G1216/12,0),IF($H1216=5,$G1216-ROUND($G1216*10/11,0),IF($H1216=8,$G1216,0)))))</f>
        <v/>
      </c>
      <c r="M1216" s="364" t="str">
        <f>IF($G1216="","",IF($H1216=1,ROUND($G1216/23,0),IF($H1216=3,ROUND($G1216/12,0),IF($H1216=6,$G1216,IF($H1216=7,$G1216-ROUND($G1216*10/11,0),0)))))</f>
        <v/>
      </c>
      <c r="N1216" s="364" t="str">
        <f>IF($G1216="","",K1216+L1216+M1216)</f>
        <v/>
      </c>
      <c r="O1216" s="365" t="str">
        <f>IF($G1216="","",IFERROR(VLOOKUP($D1216&amp;"|"&amp;$E1216,科目表!$A$5:$B$200,2,FALSE),"※未登録"))</f>
        <v/>
      </c>
      <c r="P1216" s="359" t="str">
        <f>IF(OR($G1216="",$C1216=""),"",IF($B1216="決算整理",13,MOD(MONTH($C1216)-4,12)+1))</f>
        <v/>
      </c>
      <c r="Q1216" s="366" t="str">
        <f>IF($G1216="","",TRIM(IF(J1216+K1216+L1216+M1216&lt;&gt;$G1216,"按分不一致 ","")&amp;IF(O1216="※未登録","科目未登録 ","")&amp;IF(OR($H1216="",ISERROR(MATCH($H1216,{1,2,3,4,5,6,7,8},0))),"経費区分? ","")&amp;IF($I1216="","状態未設定 ","")&amp;IF(AND(OR($I1216="確認済",$I1216="未確認"),$B1216="月例",OR($C1216="",$C1216&lt;DATE(年度+2018,4,1),$C1216&gt;DATE(年度+2019,3,31))),"年度外の日付 ","")&amp;IF(AND(OR($I1216="確認済",$I1216="未確認"),O1216="対象外"),"対象外の科目 ","")))</f>
        <v/>
      </c>
      <c r="R1216" s="366" t="n"/>
    </row>
    <row r="1217">
      <c r="A1217" s="359" t="n"/>
      <c r="B1217" s="360" t="n"/>
      <c r="C1217" s="361" t="n"/>
      <c r="D1217" s="362" t="n"/>
      <c r="E1217" s="362" t="n"/>
      <c r="F1217" s="362" t="n"/>
      <c r="G1217" s="363" t="n"/>
      <c r="H1217" s="360" t="n"/>
      <c r="I1217" s="360" t="n"/>
      <c r="J1217" s="364" t="str">
        <f>IF($G1217="","",IF($H1217=1,$G1217-ROUND($G1217*10/23,0)-2*ROUND($G1217/23,0),IF($H1217=2,$G1217,0)))</f>
        <v/>
      </c>
      <c r="K1217" s="364" t="str">
        <f>IF($G1217="","",IF($H1217=1,ROUND($G1217*10/23,0),IF($H1217=3,$G1217-2*ROUND($G1217/12,0),IF($H1217=4,$G1217,IF(OR($H1217=5,$H1217=7),ROUND($G1217*10/11,0),0)))))</f>
        <v/>
      </c>
      <c r="L1217" s="364" t="str">
        <f>IF($G1217="","",IF($H1217=1,ROUND($G1217/23,0),IF($H1217=3,ROUND($G1217/12,0),IF($H1217=5,$G1217-ROUND($G1217*10/11,0),IF($H1217=8,$G1217,0)))))</f>
        <v/>
      </c>
      <c r="M1217" s="364" t="str">
        <f>IF($G1217="","",IF($H1217=1,ROUND($G1217/23,0),IF($H1217=3,ROUND($G1217/12,0),IF($H1217=6,$G1217,IF($H1217=7,$G1217-ROUND($G1217*10/11,0),0)))))</f>
        <v/>
      </c>
      <c r="N1217" s="364" t="str">
        <f>IF($G1217="","",K1217+L1217+M1217)</f>
        <v/>
      </c>
      <c r="O1217" s="365" t="str">
        <f>IF($G1217="","",IFERROR(VLOOKUP($D1217&amp;"|"&amp;$E1217,科目表!$A$5:$B$200,2,FALSE),"※未登録"))</f>
        <v/>
      </c>
      <c r="P1217" s="359" t="str">
        <f>IF(OR($G1217="",$C1217=""),"",IF($B1217="決算整理",13,MOD(MONTH($C1217)-4,12)+1))</f>
        <v/>
      </c>
      <c r="Q1217" s="366" t="str">
        <f>IF($G1217="","",TRIM(IF(J1217+K1217+L1217+M1217&lt;&gt;$G1217,"按分不一致 ","")&amp;IF(O1217="※未登録","科目未登録 ","")&amp;IF(OR($H1217="",ISERROR(MATCH($H1217,{1,2,3,4,5,6,7,8},0))),"経費区分? ","")&amp;IF($I1217="","状態未設定 ","")&amp;IF(AND(OR($I1217="確認済",$I1217="未確認"),$B1217="月例",OR($C1217="",$C1217&lt;DATE(年度+2018,4,1),$C1217&gt;DATE(年度+2019,3,31))),"年度外の日付 ","")&amp;IF(AND(OR($I1217="確認済",$I1217="未確認"),O1217="対象外"),"対象外の科目 ","")))</f>
        <v/>
      </c>
      <c r="R1217" s="366" t="n"/>
    </row>
    <row r="1218">
      <c r="A1218" s="359" t="n"/>
      <c r="B1218" s="360" t="n"/>
      <c r="C1218" s="361" t="n"/>
      <c r="D1218" s="362" t="n"/>
      <c r="E1218" s="362" t="n"/>
      <c r="F1218" s="362" t="n"/>
      <c r="G1218" s="363" t="n"/>
      <c r="H1218" s="360" t="n"/>
      <c r="I1218" s="360" t="n"/>
      <c r="J1218" s="364" t="str">
        <f>IF($G1218="","",IF($H1218=1,$G1218-ROUND($G1218*10/23,0)-2*ROUND($G1218/23,0),IF($H1218=2,$G1218,0)))</f>
        <v/>
      </c>
      <c r="K1218" s="364" t="str">
        <f>IF($G1218="","",IF($H1218=1,ROUND($G1218*10/23,0),IF($H1218=3,$G1218-2*ROUND($G1218/12,0),IF($H1218=4,$G1218,IF(OR($H1218=5,$H1218=7),ROUND($G1218*10/11,0),0)))))</f>
        <v/>
      </c>
      <c r="L1218" s="364" t="str">
        <f>IF($G1218="","",IF($H1218=1,ROUND($G1218/23,0),IF($H1218=3,ROUND($G1218/12,0),IF($H1218=5,$G1218-ROUND($G1218*10/11,0),IF($H1218=8,$G1218,0)))))</f>
        <v/>
      </c>
      <c r="M1218" s="364" t="str">
        <f>IF($G1218="","",IF($H1218=1,ROUND($G1218/23,0),IF($H1218=3,ROUND($G1218/12,0),IF($H1218=6,$G1218,IF($H1218=7,$G1218-ROUND($G1218*10/11,0),0)))))</f>
        <v/>
      </c>
      <c r="N1218" s="364" t="str">
        <f>IF($G1218="","",K1218+L1218+M1218)</f>
        <v/>
      </c>
      <c r="O1218" s="365" t="str">
        <f>IF($G1218="","",IFERROR(VLOOKUP($D1218&amp;"|"&amp;$E1218,科目表!$A$5:$B$200,2,FALSE),"※未登録"))</f>
        <v/>
      </c>
      <c r="P1218" s="359" t="str">
        <f>IF(OR($G1218="",$C1218=""),"",IF($B1218="決算整理",13,MOD(MONTH($C1218)-4,12)+1))</f>
        <v/>
      </c>
      <c r="Q1218" s="366" t="str">
        <f>IF($G1218="","",TRIM(IF(J1218+K1218+L1218+M1218&lt;&gt;$G1218,"按分不一致 ","")&amp;IF(O1218="※未登録","科目未登録 ","")&amp;IF(OR($H1218="",ISERROR(MATCH($H1218,{1,2,3,4,5,6,7,8},0))),"経費区分? ","")&amp;IF($I1218="","状態未設定 ","")&amp;IF(AND(OR($I1218="確認済",$I1218="未確認"),$B1218="月例",OR($C1218="",$C1218&lt;DATE(年度+2018,4,1),$C1218&gt;DATE(年度+2019,3,31))),"年度外の日付 ","")&amp;IF(AND(OR($I1218="確認済",$I1218="未確認"),O1218="対象外"),"対象外の科目 ","")))</f>
        <v/>
      </c>
      <c r="R1218" s="366" t="n"/>
    </row>
    <row r="1219">
      <c r="A1219" s="359" t="n"/>
      <c r="B1219" s="360" t="n"/>
      <c r="C1219" s="361" t="n"/>
      <c r="D1219" s="362" t="n"/>
      <c r="E1219" s="362" t="n"/>
      <c r="F1219" s="362" t="n"/>
      <c r="G1219" s="363" t="n"/>
      <c r="H1219" s="360" t="n"/>
      <c r="I1219" s="360" t="n"/>
      <c r="J1219" s="364" t="str">
        <f>IF($G1219="","",IF($H1219=1,$G1219-ROUND($G1219*10/23,0)-2*ROUND($G1219/23,0),IF($H1219=2,$G1219,0)))</f>
        <v/>
      </c>
      <c r="K1219" s="364" t="str">
        <f>IF($G1219="","",IF($H1219=1,ROUND($G1219*10/23,0),IF($H1219=3,$G1219-2*ROUND($G1219/12,0),IF($H1219=4,$G1219,IF(OR($H1219=5,$H1219=7),ROUND($G1219*10/11,0),0)))))</f>
        <v/>
      </c>
      <c r="L1219" s="364" t="str">
        <f>IF($G1219="","",IF($H1219=1,ROUND($G1219/23,0),IF($H1219=3,ROUND($G1219/12,0),IF($H1219=5,$G1219-ROUND($G1219*10/11,0),IF($H1219=8,$G1219,0)))))</f>
        <v/>
      </c>
      <c r="M1219" s="364" t="str">
        <f>IF($G1219="","",IF($H1219=1,ROUND($G1219/23,0),IF($H1219=3,ROUND($G1219/12,0),IF($H1219=6,$G1219,IF($H1219=7,$G1219-ROUND($G1219*10/11,0),0)))))</f>
        <v/>
      </c>
      <c r="N1219" s="364" t="str">
        <f>IF($G1219="","",K1219+L1219+M1219)</f>
        <v/>
      </c>
      <c r="O1219" s="365" t="str">
        <f>IF($G1219="","",IFERROR(VLOOKUP($D1219&amp;"|"&amp;$E1219,科目表!$A$5:$B$200,2,FALSE),"※未登録"))</f>
        <v/>
      </c>
      <c r="P1219" s="359" t="str">
        <f>IF(OR($G1219="",$C1219=""),"",IF($B1219="決算整理",13,MOD(MONTH($C1219)-4,12)+1))</f>
        <v/>
      </c>
      <c r="Q1219" s="366" t="str">
        <f>IF($G1219="","",TRIM(IF(J1219+K1219+L1219+M1219&lt;&gt;$G1219,"按分不一致 ","")&amp;IF(O1219="※未登録","科目未登録 ","")&amp;IF(OR($H1219="",ISERROR(MATCH($H1219,{1,2,3,4,5,6,7,8},0))),"経費区分? ","")&amp;IF($I1219="","状態未設定 ","")&amp;IF(AND(OR($I1219="確認済",$I1219="未確認"),$B1219="月例",OR($C1219="",$C1219&lt;DATE(年度+2018,4,1),$C1219&gt;DATE(年度+2019,3,31))),"年度外の日付 ","")&amp;IF(AND(OR($I1219="確認済",$I1219="未確認"),O1219="対象外"),"対象外の科目 ","")))</f>
        <v/>
      </c>
      <c r="R1219" s="366" t="n"/>
    </row>
    <row r="1220">
      <c r="A1220" s="359" t="n"/>
      <c r="B1220" s="360" t="n"/>
      <c r="C1220" s="361" t="n"/>
      <c r="D1220" s="362" t="n"/>
      <c r="E1220" s="362" t="n"/>
      <c r="F1220" s="362" t="n"/>
      <c r="G1220" s="363" t="n"/>
      <c r="H1220" s="360" t="n"/>
      <c r="I1220" s="360" t="n"/>
      <c r="J1220" s="364" t="str">
        <f>IF($G1220="","",IF($H1220=1,$G1220-ROUND($G1220*10/23,0)-2*ROUND($G1220/23,0),IF($H1220=2,$G1220,0)))</f>
        <v/>
      </c>
      <c r="K1220" s="364" t="str">
        <f>IF($G1220="","",IF($H1220=1,ROUND($G1220*10/23,0),IF($H1220=3,$G1220-2*ROUND($G1220/12,0),IF($H1220=4,$G1220,IF(OR($H1220=5,$H1220=7),ROUND($G1220*10/11,0),0)))))</f>
        <v/>
      </c>
      <c r="L1220" s="364" t="str">
        <f>IF($G1220="","",IF($H1220=1,ROUND($G1220/23,0),IF($H1220=3,ROUND($G1220/12,0),IF($H1220=5,$G1220-ROUND($G1220*10/11,0),IF($H1220=8,$G1220,0)))))</f>
        <v/>
      </c>
      <c r="M1220" s="364" t="str">
        <f>IF($G1220="","",IF($H1220=1,ROUND($G1220/23,0),IF($H1220=3,ROUND($G1220/12,0),IF($H1220=6,$G1220,IF($H1220=7,$G1220-ROUND($G1220*10/11,0),0)))))</f>
        <v/>
      </c>
      <c r="N1220" s="364" t="str">
        <f>IF($G1220="","",K1220+L1220+M1220)</f>
        <v/>
      </c>
      <c r="O1220" s="365" t="str">
        <f>IF($G1220="","",IFERROR(VLOOKUP($D1220&amp;"|"&amp;$E1220,科目表!$A$5:$B$200,2,FALSE),"※未登録"))</f>
        <v/>
      </c>
      <c r="P1220" s="359" t="str">
        <f>IF(OR($G1220="",$C1220=""),"",IF($B1220="決算整理",13,MOD(MONTH($C1220)-4,12)+1))</f>
        <v/>
      </c>
      <c r="Q1220" s="366" t="str">
        <f>IF($G1220="","",TRIM(IF(J1220+K1220+L1220+M1220&lt;&gt;$G1220,"按分不一致 ","")&amp;IF(O1220="※未登録","科目未登録 ","")&amp;IF(OR($H1220="",ISERROR(MATCH($H1220,{1,2,3,4,5,6,7,8},0))),"経費区分? ","")&amp;IF($I1220="","状態未設定 ","")&amp;IF(AND(OR($I1220="確認済",$I1220="未確認"),$B1220="月例",OR($C1220="",$C1220&lt;DATE(年度+2018,4,1),$C1220&gt;DATE(年度+2019,3,31))),"年度外の日付 ","")&amp;IF(AND(OR($I1220="確認済",$I1220="未確認"),O1220="対象外"),"対象外の科目 ","")))</f>
        <v/>
      </c>
      <c r="R1220" s="366" t="n"/>
    </row>
    <row r="1221">
      <c r="A1221" s="359" t="n"/>
      <c r="B1221" s="360" t="n"/>
      <c r="C1221" s="361" t="n"/>
      <c r="D1221" s="362" t="n"/>
      <c r="E1221" s="362" t="n"/>
      <c r="F1221" s="362" t="n"/>
      <c r="G1221" s="363" t="n"/>
      <c r="H1221" s="360" t="n"/>
      <c r="I1221" s="360" t="n"/>
      <c r="J1221" s="364" t="str">
        <f>IF($G1221="","",IF($H1221=1,$G1221-ROUND($G1221*10/23,0)-2*ROUND($G1221/23,0),IF($H1221=2,$G1221,0)))</f>
        <v/>
      </c>
      <c r="K1221" s="364" t="str">
        <f>IF($G1221="","",IF($H1221=1,ROUND($G1221*10/23,0),IF($H1221=3,$G1221-2*ROUND($G1221/12,0),IF($H1221=4,$G1221,IF(OR($H1221=5,$H1221=7),ROUND($G1221*10/11,0),0)))))</f>
        <v/>
      </c>
      <c r="L1221" s="364" t="str">
        <f>IF($G1221="","",IF($H1221=1,ROUND($G1221/23,0),IF($H1221=3,ROUND($G1221/12,0),IF($H1221=5,$G1221-ROUND($G1221*10/11,0),IF($H1221=8,$G1221,0)))))</f>
        <v/>
      </c>
      <c r="M1221" s="364" t="str">
        <f>IF($G1221="","",IF($H1221=1,ROUND($G1221/23,0),IF($H1221=3,ROUND($G1221/12,0),IF($H1221=6,$G1221,IF($H1221=7,$G1221-ROUND($G1221*10/11,0),0)))))</f>
        <v/>
      </c>
      <c r="N1221" s="364" t="str">
        <f>IF($G1221="","",K1221+L1221+M1221)</f>
        <v/>
      </c>
      <c r="O1221" s="365" t="str">
        <f>IF($G1221="","",IFERROR(VLOOKUP($D1221&amp;"|"&amp;$E1221,科目表!$A$5:$B$200,2,FALSE),"※未登録"))</f>
        <v/>
      </c>
      <c r="P1221" s="359" t="str">
        <f>IF(OR($G1221="",$C1221=""),"",IF($B1221="決算整理",13,MOD(MONTH($C1221)-4,12)+1))</f>
        <v/>
      </c>
      <c r="Q1221" s="366" t="str">
        <f>IF($G1221="","",TRIM(IF(J1221+K1221+L1221+M1221&lt;&gt;$G1221,"按分不一致 ","")&amp;IF(O1221="※未登録","科目未登録 ","")&amp;IF(OR($H1221="",ISERROR(MATCH($H1221,{1,2,3,4,5,6,7,8},0))),"経費区分? ","")&amp;IF($I1221="","状態未設定 ","")&amp;IF(AND(OR($I1221="確認済",$I1221="未確認"),$B1221="月例",OR($C1221="",$C1221&lt;DATE(年度+2018,4,1),$C1221&gt;DATE(年度+2019,3,31))),"年度外の日付 ","")&amp;IF(AND(OR($I1221="確認済",$I1221="未確認"),O1221="対象外"),"対象外の科目 ","")))</f>
        <v/>
      </c>
      <c r="R1221" s="366" t="n"/>
    </row>
    <row r="1222">
      <c r="A1222" s="359" t="n"/>
      <c r="B1222" s="360" t="n"/>
      <c r="C1222" s="361" t="n"/>
      <c r="D1222" s="362" t="n"/>
      <c r="E1222" s="362" t="n"/>
      <c r="F1222" s="362" t="n"/>
      <c r="G1222" s="363" t="n"/>
      <c r="H1222" s="360" t="n"/>
      <c r="I1222" s="360" t="n"/>
      <c r="J1222" s="364" t="str">
        <f>IF($G1222="","",IF($H1222=1,$G1222-ROUND($G1222*10/23,0)-2*ROUND($G1222/23,0),IF($H1222=2,$G1222,0)))</f>
        <v/>
      </c>
      <c r="K1222" s="364" t="str">
        <f>IF($G1222="","",IF($H1222=1,ROUND($G1222*10/23,0),IF($H1222=3,$G1222-2*ROUND($G1222/12,0),IF($H1222=4,$G1222,IF(OR($H1222=5,$H1222=7),ROUND($G1222*10/11,0),0)))))</f>
        <v/>
      </c>
      <c r="L1222" s="364" t="str">
        <f>IF($G1222="","",IF($H1222=1,ROUND($G1222/23,0),IF($H1222=3,ROUND($G1222/12,0),IF($H1222=5,$G1222-ROUND($G1222*10/11,0),IF($H1222=8,$G1222,0)))))</f>
        <v/>
      </c>
      <c r="M1222" s="364" t="str">
        <f>IF($G1222="","",IF($H1222=1,ROUND($G1222/23,0),IF($H1222=3,ROUND($G1222/12,0),IF($H1222=6,$G1222,IF($H1222=7,$G1222-ROUND($G1222*10/11,0),0)))))</f>
        <v/>
      </c>
      <c r="N1222" s="364" t="str">
        <f>IF($G1222="","",K1222+L1222+M1222)</f>
        <v/>
      </c>
      <c r="O1222" s="365" t="str">
        <f>IF($G1222="","",IFERROR(VLOOKUP($D1222&amp;"|"&amp;$E1222,科目表!$A$5:$B$200,2,FALSE),"※未登録"))</f>
        <v/>
      </c>
      <c r="P1222" s="359" t="str">
        <f>IF(OR($G1222="",$C1222=""),"",IF($B1222="決算整理",13,MOD(MONTH($C1222)-4,12)+1))</f>
        <v/>
      </c>
      <c r="Q1222" s="366" t="str">
        <f>IF($G1222="","",TRIM(IF(J1222+K1222+L1222+M1222&lt;&gt;$G1222,"按分不一致 ","")&amp;IF(O1222="※未登録","科目未登録 ","")&amp;IF(OR($H1222="",ISERROR(MATCH($H1222,{1,2,3,4,5,6,7,8},0))),"経費区分? ","")&amp;IF($I1222="","状態未設定 ","")&amp;IF(AND(OR($I1222="確認済",$I1222="未確認"),$B1222="月例",OR($C1222="",$C1222&lt;DATE(年度+2018,4,1),$C1222&gt;DATE(年度+2019,3,31))),"年度外の日付 ","")&amp;IF(AND(OR($I1222="確認済",$I1222="未確認"),O1222="対象外"),"対象外の科目 ","")))</f>
        <v/>
      </c>
      <c r="R1222" s="366" t="n"/>
    </row>
    <row r="1223">
      <c r="A1223" s="359" t="n"/>
      <c r="B1223" s="360" t="n"/>
      <c r="C1223" s="361" t="n"/>
      <c r="D1223" s="362" t="n"/>
      <c r="E1223" s="362" t="n"/>
      <c r="F1223" s="362" t="n"/>
      <c r="G1223" s="363" t="n"/>
      <c r="H1223" s="360" t="n"/>
      <c r="I1223" s="360" t="n"/>
      <c r="J1223" s="364" t="str">
        <f>IF($G1223="","",IF($H1223=1,$G1223-ROUND($G1223*10/23,0)-2*ROUND($G1223/23,0),IF($H1223=2,$G1223,0)))</f>
        <v/>
      </c>
      <c r="K1223" s="364" t="str">
        <f>IF($G1223="","",IF($H1223=1,ROUND($G1223*10/23,0),IF($H1223=3,$G1223-2*ROUND($G1223/12,0),IF($H1223=4,$G1223,IF(OR($H1223=5,$H1223=7),ROUND($G1223*10/11,0),0)))))</f>
        <v/>
      </c>
      <c r="L1223" s="364" t="str">
        <f>IF($G1223="","",IF($H1223=1,ROUND($G1223/23,0),IF($H1223=3,ROUND($G1223/12,0),IF($H1223=5,$G1223-ROUND($G1223*10/11,0),IF($H1223=8,$G1223,0)))))</f>
        <v/>
      </c>
      <c r="M1223" s="364" t="str">
        <f>IF($G1223="","",IF($H1223=1,ROUND($G1223/23,0),IF($H1223=3,ROUND($G1223/12,0),IF($H1223=6,$G1223,IF($H1223=7,$G1223-ROUND($G1223*10/11,0),0)))))</f>
        <v/>
      </c>
      <c r="N1223" s="364" t="str">
        <f>IF($G1223="","",K1223+L1223+M1223)</f>
        <v/>
      </c>
      <c r="O1223" s="365" t="str">
        <f>IF($G1223="","",IFERROR(VLOOKUP($D1223&amp;"|"&amp;$E1223,科目表!$A$5:$B$200,2,FALSE),"※未登録"))</f>
        <v/>
      </c>
      <c r="P1223" s="359" t="str">
        <f>IF(OR($G1223="",$C1223=""),"",IF($B1223="決算整理",13,MOD(MONTH($C1223)-4,12)+1))</f>
        <v/>
      </c>
      <c r="Q1223" s="366" t="str">
        <f>IF($G1223="","",TRIM(IF(J1223+K1223+L1223+M1223&lt;&gt;$G1223,"按分不一致 ","")&amp;IF(O1223="※未登録","科目未登録 ","")&amp;IF(OR($H1223="",ISERROR(MATCH($H1223,{1,2,3,4,5,6,7,8},0))),"経費区分? ","")&amp;IF($I1223="","状態未設定 ","")&amp;IF(AND(OR($I1223="確認済",$I1223="未確認"),$B1223="月例",OR($C1223="",$C1223&lt;DATE(年度+2018,4,1),$C1223&gt;DATE(年度+2019,3,31))),"年度外の日付 ","")&amp;IF(AND(OR($I1223="確認済",$I1223="未確認"),O1223="対象外"),"対象外の科目 ","")))</f>
        <v/>
      </c>
      <c r="R1223" s="366" t="n"/>
    </row>
    <row r="1224">
      <c r="A1224" s="359" t="n"/>
      <c r="B1224" s="360" t="n"/>
      <c r="C1224" s="361" t="n"/>
      <c r="D1224" s="362" t="n"/>
      <c r="E1224" s="362" t="n"/>
      <c r="F1224" s="362" t="n"/>
      <c r="G1224" s="363" t="n"/>
      <c r="H1224" s="360" t="n"/>
      <c r="I1224" s="360" t="n"/>
      <c r="J1224" s="364" t="str">
        <f>IF($G1224="","",IF($H1224=1,$G1224-ROUND($G1224*10/23,0)-2*ROUND($G1224/23,0),IF($H1224=2,$G1224,0)))</f>
        <v/>
      </c>
      <c r="K1224" s="364" t="str">
        <f>IF($G1224="","",IF($H1224=1,ROUND($G1224*10/23,0),IF($H1224=3,$G1224-2*ROUND($G1224/12,0),IF($H1224=4,$G1224,IF(OR($H1224=5,$H1224=7),ROUND($G1224*10/11,0),0)))))</f>
        <v/>
      </c>
      <c r="L1224" s="364" t="str">
        <f>IF($G1224="","",IF($H1224=1,ROUND($G1224/23,0),IF($H1224=3,ROUND($G1224/12,0),IF($H1224=5,$G1224-ROUND($G1224*10/11,0),IF($H1224=8,$G1224,0)))))</f>
        <v/>
      </c>
      <c r="M1224" s="364" t="str">
        <f>IF($G1224="","",IF($H1224=1,ROUND($G1224/23,0),IF($H1224=3,ROUND($G1224/12,0),IF($H1224=6,$G1224,IF($H1224=7,$G1224-ROUND($G1224*10/11,0),0)))))</f>
        <v/>
      </c>
      <c r="N1224" s="364" t="str">
        <f>IF($G1224="","",K1224+L1224+M1224)</f>
        <v/>
      </c>
      <c r="O1224" s="365" t="str">
        <f>IF($G1224="","",IFERROR(VLOOKUP($D1224&amp;"|"&amp;$E1224,科目表!$A$5:$B$200,2,FALSE),"※未登録"))</f>
        <v/>
      </c>
      <c r="P1224" s="359" t="str">
        <f>IF(OR($G1224="",$C1224=""),"",IF($B1224="決算整理",13,MOD(MONTH($C1224)-4,12)+1))</f>
        <v/>
      </c>
      <c r="Q1224" s="366" t="str">
        <f>IF($G1224="","",TRIM(IF(J1224+K1224+L1224+M1224&lt;&gt;$G1224,"按分不一致 ","")&amp;IF(O1224="※未登録","科目未登録 ","")&amp;IF(OR($H1224="",ISERROR(MATCH($H1224,{1,2,3,4,5,6,7,8},0))),"経費区分? ","")&amp;IF($I1224="","状態未設定 ","")&amp;IF(AND(OR($I1224="確認済",$I1224="未確認"),$B1224="月例",OR($C1224="",$C1224&lt;DATE(年度+2018,4,1),$C1224&gt;DATE(年度+2019,3,31))),"年度外の日付 ","")&amp;IF(AND(OR($I1224="確認済",$I1224="未確認"),O1224="対象外"),"対象外の科目 ","")))</f>
        <v/>
      </c>
      <c r="R1224" s="366" t="n"/>
    </row>
    <row r="1225">
      <c r="A1225" s="359" t="n"/>
      <c r="B1225" s="360" t="n"/>
      <c r="C1225" s="361" t="n"/>
      <c r="D1225" s="362" t="n"/>
      <c r="E1225" s="362" t="n"/>
      <c r="F1225" s="362" t="n"/>
      <c r="G1225" s="363" t="n"/>
      <c r="H1225" s="360" t="n"/>
      <c r="I1225" s="360" t="n"/>
      <c r="J1225" s="364" t="str">
        <f>IF($G1225="","",IF($H1225=1,$G1225-ROUND($G1225*10/23,0)-2*ROUND($G1225/23,0),IF($H1225=2,$G1225,0)))</f>
        <v/>
      </c>
      <c r="K1225" s="364" t="str">
        <f>IF($G1225="","",IF($H1225=1,ROUND($G1225*10/23,0),IF($H1225=3,$G1225-2*ROUND($G1225/12,0),IF($H1225=4,$G1225,IF(OR($H1225=5,$H1225=7),ROUND($G1225*10/11,0),0)))))</f>
        <v/>
      </c>
      <c r="L1225" s="364" t="str">
        <f>IF($G1225="","",IF($H1225=1,ROUND($G1225/23,0),IF($H1225=3,ROUND($G1225/12,0),IF($H1225=5,$G1225-ROUND($G1225*10/11,0),IF($H1225=8,$G1225,0)))))</f>
        <v/>
      </c>
      <c r="M1225" s="364" t="str">
        <f>IF($G1225="","",IF($H1225=1,ROUND($G1225/23,0),IF($H1225=3,ROUND($G1225/12,0),IF($H1225=6,$G1225,IF($H1225=7,$G1225-ROUND($G1225*10/11,0),0)))))</f>
        <v/>
      </c>
      <c r="N1225" s="364" t="str">
        <f>IF($G1225="","",K1225+L1225+M1225)</f>
        <v/>
      </c>
      <c r="O1225" s="365" t="str">
        <f>IF($G1225="","",IFERROR(VLOOKUP($D1225&amp;"|"&amp;$E1225,科目表!$A$5:$B$200,2,FALSE),"※未登録"))</f>
        <v/>
      </c>
      <c r="P1225" s="359" t="str">
        <f>IF(OR($G1225="",$C1225=""),"",IF($B1225="決算整理",13,MOD(MONTH($C1225)-4,12)+1))</f>
        <v/>
      </c>
      <c r="Q1225" s="366" t="str">
        <f>IF($G1225="","",TRIM(IF(J1225+K1225+L1225+M1225&lt;&gt;$G1225,"按分不一致 ","")&amp;IF(O1225="※未登録","科目未登録 ","")&amp;IF(OR($H1225="",ISERROR(MATCH($H1225,{1,2,3,4,5,6,7,8},0))),"経費区分? ","")&amp;IF($I1225="","状態未設定 ","")&amp;IF(AND(OR($I1225="確認済",$I1225="未確認"),$B1225="月例",OR($C1225="",$C1225&lt;DATE(年度+2018,4,1),$C1225&gt;DATE(年度+2019,3,31))),"年度外の日付 ","")&amp;IF(AND(OR($I1225="確認済",$I1225="未確認"),O1225="対象外"),"対象外の科目 ","")))</f>
        <v/>
      </c>
      <c r="R1225" s="366" t="n"/>
    </row>
    <row r="1226">
      <c r="A1226" s="359" t="n"/>
      <c r="B1226" s="360" t="n"/>
      <c r="C1226" s="361" t="n"/>
      <c r="D1226" s="362" t="n"/>
      <c r="E1226" s="362" t="n"/>
      <c r="F1226" s="362" t="n"/>
      <c r="G1226" s="363" t="n"/>
      <c r="H1226" s="360" t="n"/>
      <c r="I1226" s="360" t="n"/>
      <c r="J1226" s="364" t="str">
        <f>IF($G1226="","",IF($H1226=1,$G1226-ROUND($G1226*10/23,0)-2*ROUND($G1226/23,0),IF($H1226=2,$G1226,0)))</f>
        <v/>
      </c>
      <c r="K1226" s="364" t="str">
        <f>IF($G1226="","",IF($H1226=1,ROUND($G1226*10/23,0),IF($H1226=3,$G1226-2*ROUND($G1226/12,0),IF($H1226=4,$G1226,IF(OR($H1226=5,$H1226=7),ROUND($G1226*10/11,0),0)))))</f>
        <v/>
      </c>
      <c r="L1226" s="364" t="str">
        <f>IF($G1226="","",IF($H1226=1,ROUND($G1226/23,0),IF($H1226=3,ROUND($G1226/12,0),IF($H1226=5,$G1226-ROUND($G1226*10/11,0),IF($H1226=8,$G1226,0)))))</f>
        <v/>
      </c>
      <c r="M1226" s="364" t="str">
        <f>IF($G1226="","",IF($H1226=1,ROUND($G1226/23,0),IF($H1226=3,ROUND($G1226/12,0),IF($H1226=6,$G1226,IF($H1226=7,$G1226-ROUND($G1226*10/11,0),0)))))</f>
        <v/>
      </c>
      <c r="N1226" s="364" t="str">
        <f>IF($G1226="","",K1226+L1226+M1226)</f>
        <v/>
      </c>
      <c r="O1226" s="365" t="str">
        <f>IF($G1226="","",IFERROR(VLOOKUP($D1226&amp;"|"&amp;$E1226,科目表!$A$5:$B$200,2,FALSE),"※未登録"))</f>
        <v/>
      </c>
      <c r="P1226" s="359" t="str">
        <f>IF(OR($G1226="",$C1226=""),"",IF($B1226="決算整理",13,MOD(MONTH($C1226)-4,12)+1))</f>
        <v/>
      </c>
      <c r="Q1226" s="366" t="str">
        <f>IF($G1226="","",TRIM(IF(J1226+K1226+L1226+M1226&lt;&gt;$G1226,"按分不一致 ","")&amp;IF(O1226="※未登録","科目未登録 ","")&amp;IF(OR($H1226="",ISERROR(MATCH($H1226,{1,2,3,4,5,6,7,8},0))),"経費区分? ","")&amp;IF($I1226="","状態未設定 ","")&amp;IF(AND(OR($I1226="確認済",$I1226="未確認"),$B1226="月例",OR($C1226="",$C1226&lt;DATE(年度+2018,4,1),$C1226&gt;DATE(年度+2019,3,31))),"年度外の日付 ","")&amp;IF(AND(OR($I1226="確認済",$I1226="未確認"),O1226="対象外"),"対象外の科目 ","")))</f>
        <v/>
      </c>
      <c r="R1226" s="366" t="n"/>
    </row>
    <row r="1227">
      <c r="A1227" s="359" t="n"/>
      <c r="B1227" s="360" t="n"/>
      <c r="C1227" s="361" t="n"/>
      <c r="D1227" s="362" t="n"/>
      <c r="E1227" s="362" t="n"/>
      <c r="F1227" s="362" t="n"/>
      <c r="G1227" s="363" t="n"/>
      <c r="H1227" s="360" t="n"/>
      <c r="I1227" s="360" t="n"/>
      <c r="J1227" s="364" t="str">
        <f>IF($G1227="","",IF($H1227=1,$G1227-ROUND($G1227*10/23,0)-2*ROUND($G1227/23,0),IF($H1227=2,$G1227,0)))</f>
        <v/>
      </c>
      <c r="K1227" s="364" t="str">
        <f>IF($G1227="","",IF($H1227=1,ROUND($G1227*10/23,0),IF($H1227=3,$G1227-2*ROUND($G1227/12,0),IF($H1227=4,$G1227,IF(OR($H1227=5,$H1227=7),ROUND($G1227*10/11,0),0)))))</f>
        <v/>
      </c>
      <c r="L1227" s="364" t="str">
        <f>IF($G1227="","",IF($H1227=1,ROUND($G1227/23,0),IF($H1227=3,ROUND($G1227/12,0),IF($H1227=5,$G1227-ROUND($G1227*10/11,0),IF($H1227=8,$G1227,0)))))</f>
        <v/>
      </c>
      <c r="M1227" s="364" t="str">
        <f>IF($G1227="","",IF($H1227=1,ROUND($G1227/23,0),IF($H1227=3,ROUND($G1227/12,0),IF($H1227=6,$G1227,IF($H1227=7,$G1227-ROUND($G1227*10/11,0),0)))))</f>
        <v/>
      </c>
      <c r="N1227" s="364" t="str">
        <f>IF($G1227="","",K1227+L1227+M1227)</f>
        <v/>
      </c>
      <c r="O1227" s="365" t="str">
        <f>IF($G1227="","",IFERROR(VLOOKUP($D1227&amp;"|"&amp;$E1227,科目表!$A$5:$B$200,2,FALSE),"※未登録"))</f>
        <v/>
      </c>
      <c r="P1227" s="359" t="str">
        <f>IF(OR($G1227="",$C1227=""),"",IF($B1227="決算整理",13,MOD(MONTH($C1227)-4,12)+1))</f>
        <v/>
      </c>
      <c r="Q1227" s="366" t="str">
        <f>IF($G1227="","",TRIM(IF(J1227+K1227+L1227+M1227&lt;&gt;$G1227,"按分不一致 ","")&amp;IF(O1227="※未登録","科目未登録 ","")&amp;IF(OR($H1227="",ISERROR(MATCH($H1227,{1,2,3,4,5,6,7,8},0))),"経費区分? ","")&amp;IF($I1227="","状態未設定 ","")&amp;IF(AND(OR($I1227="確認済",$I1227="未確認"),$B1227="月例",OR($C1227="",$C1227&lt;DATE(年度+2018,4,1),$C1227&gt;DATE(年度+2019,3,31))),"年度外の日付 ","")&amp;IF(AND(OR($I1227="確認済",$I1227="未確認"),O1227="対象外"),"対象外の科目 ","")))</f>
        <v/>
      </c>
      <c r="R1227" s="366" t="n"/>
    </row>
    <row r="1228">
      <c r="A1228" s="359" t="n"/>
      <c r="B1228" s="360" t="n"/>
      <c r="C1228" s="361" t="n"/>
      <c r="D1228" s="362" t="n"/>
      <c r="E1228" s="362" t="n"/>
      <c r="F1228" s="362" t="n"/>
      <c r="G1228" s="363" t="n"/>
      <c r="H1228" s="360" t="n"/>
      <c r="I1228" s="360" t="n"/>
      <c r="J1228" s="364" t="str">
        <f>IF($G1228="","",IF($H1228=1,$G1228-ROUND($G1228*10/23,0)-2*ROUND($G1228/23,0),IF($H1228=2,$G1228,0)))</f>
        <v/>
      </c>
      <c r="K1228" s="364" t="str">
        <f>IF($G1228="","",IF($H1228=1,ROUND($G1228*10/23,0),IF($H1228=3,$G1228-2*ROUND($G1228/12,0),IF($H1228=4,$G1228,IF(OR($H1228=5,$H1228=7),ROUND($G1228*10/11,0),0)))))</f>
        <v/>
      </c>
      <c r="L1228" s="364" t="str">
        <f>IF($G1228="","",IF($H1228=1,ROUND($G1228/23,0),IF($H1228=3,ROUND($G1228/12,0),IF($H1228=5,$G1228-ROUND($G1228*10/11,0),IF($H1228=8,$G1228,0)))))</f>
        <v/>
      </c>
      <c r="M1228" s="364" t="str">
        <f>IF($G1228="","",IF($H1228=1,ROUND($G1228/23,0),IF($H1228=3,ROUND($G1228/12,0),IF($H1228=6,$G1228,IF($H1228=7,$G1228-ROUND($G1228*10/11,0),0)))))</f>
        <v/>
      </c>
      <c r="N1228" s="364" t="str">
        <f>IF($G1228="","",K1228+L1228+M1228)</f>
        <v/>
      </c>
      <c r="O1228" s="365" t="str">
        <f>IF($G1228="","",IFERROR(VLOOKUP($D1228&amp;"|"&amp;$E1228,科目表!$A$5:$B$200,2,FALSE),"※未登録"))</f>
        <v/>
      </c>
      <c r="P1228" s="359" t="str">
        <f>IF(OR($G1228="",$C1228=""),"",IF($B1228="決算整理",13,MOD(MONTH($C1228)-4,12)+1))</f>
        <v/>
      </c>
      <c r="Q1228" s="366" t="str">
        <f>IF($G1228="","",TRIM(IF(J1228+K1228+L1228+M1228&lt;&gt;$G1228,"按分不一致 ","")&amp;IF(O1228="※未登録","科目未登録 ","")&amp;IF(OR($H1228="",ISERROR(MATCH($H1228,{1,2,3,4,5,6,7,8},0))),"経費区分? ","")&amp;IF($I1228="","状態未設定 ","")&amp;IF(AND(OR($I1228="確認済",$I1228="未確認"),$B1228="月例",OR($C1228="",$C1228&lt;DATE(年度+2018,4,1),$C1228&gt;DATE(年度+2019,3,31))),"年度外の日付 ","")&amp;IF(AND(OR($I1228="確認済",$I1228="未確認"),O1228="対象外"),"対象外の科目 ","")))</f>
        <v/>
      </c>
      <c r="R1228" s="366" t="n"/>
    </row>
    <row r="1229">
      <c r="A1229" s="359" t="n"/>
      <c r="B1229" s="360" t="n"/>
      <c r="C1229" s="361" t="n"/>
      <c r="D1229" s="362" t="n"/>
      <c r="E1229" s="362" t="n"/>
      <c r="F1229" s="362" t="n"/>
      <c r="G1229" s="363" t="n"/>
      <c r="H1229" s="360" t="n"/>
      <c r="I1229" s="360" t="n"/>
      <c r="J1229" s="364" t="str">
        <f>IF($G1229="","",IF($H1229=1,$G1229-ROUND($G1229*10/23,0)-2*ROUND($G1229/23,0),IF($H1229=2,$G1229,0)))</f>
        <v/>
      </c>
      <c r="K1229" s="364" t="str">
        <f>IF($G1229="","",IF($H1229=1,ROUND($G1229*10/23,0),IF($H1229=3,$G1229-2*ROUND($G1229/12,0),IF($H1229=4,$G1229,IF(OR($H1229=5,$H1229=7),ROUND($G1229*10/11,0),0)))))</f>
        <v/>
      </c>
      <c r="L1229" s="364" t="str">
        <f>IF($G1229="","",IF($H1229=1,ROUND($G1229/23,0),IF($H1229=3,ROUND($G1229/12,0),IF($H1229=5,$G1229-ROUND($G1229*10/11,0),IF($H1229=8,$G1229,0)))))</f>
        <v/>
      </c>
      <c r="M1229" s="364" t="str">
        <f>IF($G1229="","",IF($H1229=1,ROUND($G1229/23,0),IF($H1229=3,ROUND($G1229/12,0),IF($H1229=6,$G1229,IF($H1229=7,$G1229-ROUND($G1229*10/11,0),0)))))</f>
        <v/>
      </c>
      <c r="N1229" s="364" t="str">
        <f>IF($G1229="","",K1229+L1229+M1229)</f>
        <v/>
      </c>
      <c r="O1229" s="365" t="str">
        <f>IF($G1229="","",IFERROR(VLOOKUP($D1229&amp;"|"&amp;$E1229,科目表!$A$5:$B$200,2,FALSE),"※未登録"))</f>
        <v/>
      </c>
      <c r="P1229" s="359" t="str">
        <f>IF(OR($G1229="",$C1229=""),"",IF($B1229="決算整理",13,MOD(MONTH($C1229)-4,12)+1))</f>
        <v/>
      </c>
      <c r="Q1229" s="366" t="str">
        <f>IF($G1229="","",TRIM(IF(J1229+K1229+L1229+M1229&lt;&gt;$G1229,"按分不一致 ","")&amp;IF(O1229="※未登録","科目未登録 ","")&amp;IF(OR($H1229="",ISERROR(MATCH($H1229,{1,2,3,4,5,6,7,8},0))),"経費区分? ","")&amp;IF($I1229="","状態未設定 ","")&amp;IF(AND(OR($I1229="確認済",$I1229="未確認"),$B1229="月例",OR($C1229="",$C1229&lt;DATE(年度+2018,4,1),$C1229&gt;DATE(年度+2019,3,31))),"年度外の日付 ","")&amp;IF(AND(OR($I1229="確認済",$I1229="未確認"),O1229="対象外"),"対象外の科目 ","")))</f>
        <v/>
      </c>
      <c r="R1229" s="366" t="n"/>
    </row>
    <row r="1230">
      <c r="A1230" s="359" t="n"/>
      <c r="B1230" s="360" t="n"/>
      <c r="C1230" s="361" t="n"/>
      <c r="D1230" s="362" t="n"/>
      <c r="E1230" s="362" t="n"/>
      <c r="F1230" s="362" t="n"/>
      <c r="G1230" s="363" t="n"/>
      <c r="H1230" s="360" t="n"/>
      <c r="I1230" s="360" t="n"/>
      <c r="J1230" s="364" t="str">
        <f>IF($G1230="","",IF($H1230=1,$G1230-ROUND($G1230*10/23,0)-2*ROUND($G1230/23,0),IF($H1230=2,$G1230,0)))</f>
        <v/>
      </c>
      <c r="K1230" s="364" t="str">
        <f>IF($G1230="","",IF($H1230=1,ROUND($G1230*10/23,0),IF($H1230=3,$G1230-2*ROUND($G1230/12,0),IF($H1230=4,$G1230,IF(OR($H1230=5,$H1230=7),ROUND($G1230*10/11,0),0)))))</f>
        <v/>
      </c>
      <c r="L1230" s="364" t="str">
        <f>IF($G1230="","",IF($H1230=1,ROUND($G1230/23,0),IF($H1230=3,ROUND($G1230/12,0),IF($H1230=5,$G1230-ROUND($G1230*10/11,0),IF($H1230=8,$G1230,0)))))</f>
        <v/>
      </c>
      <c r="M1230" s="364" t="str">
        <f>IF($G1230="","",IF($H1230=1,ROUND($G1230/23,0),IF($H1230=3,ROUND($G1230/12,0),IF($H1230=6,$G1230,IF($H1230=7,$G1230-ROUND($G1230*10/11,0),0)))))</f>
        <v/>
      </c>
      <c r="N1230" s="364" t="str">
        <f>IF($G1230="","",K1230+L1230+M1230)</f>
        <v/>
      </c>
      <c r="O1230" s="365" t="str">
        <f>IF($G1230="","",IFERROR(VLOOKUP($D1230&amp;"|"&amp;$E1230,科目表!$A$5:$B$200,2,FALSE),"※未登録"))</f>
        <v/>
      </c>
      <c r="P1230" s="359" t="str">
        <f>IF(OR($G1230="",$C1230=""),"",IF($B1230="決算整理",13,MOD(MONTH($C1230)-4,12)+1))</f>
        <v/>
      </c>
      <c r="Q1230" s="366" t="str">
        <f>IF($G1230="","",TRIM(IF(J1230+K1230+L1230+M1230&lt;&gt;$G1230,"按分不一致 ","")&amp;IF(O1230="※未登録","科目未登録 ","")&amp;IF(OR($H1230="",ISERROR(MATCH($H1230,{1,2,3,4,5,6,7,8},0))),"経費区分? ","")&amp;IF($I1230="","状態未設定 ","")&amp;IF(AND(OR($I1230="確認済",$I1230="未確認"),$B1230="月例",OR($C1230="",$C1230&lt;DATE(年度+2018,4,1),$C1230&gt;DATE(年度+2019,3,31))),"年度外の日付 ","")&amp;IF(AND(OR($I1230="確認済",$I1230="未確認"),O1230="対象外"),"対象外の科目 ","")))</f>
        <v/>
      </c>
      <c r="R1230" s="366" t="n"/>
    </row>
    <row r="1231">
      <c r="A1231" s="359" t="n"/>
      <c r="B1231" s="360" t="n"/>
      <c r="C1231" s="361" t="n"/>
      <c r="D1231" s="362" t="n"/>
      <c r="E1231" s="362" t="n"/>
      <c r="F1231" s="362" t="n"/>
      <c r="G1231" s="363" t="n"/>
      <c r="H1231" s="360" t="n"/>
      <c r="I1231" s="360" t="n"/>
      <c r="J1231" s="364" t="str">
        <f>IF($G1231="","",IF($H1231=1,$G1231-ROUND($G1231*10/23,0)-2*ROUND($G1231/23,0),IF($H1231=2,$G1231,0)))</f>
        <v/>
      </c>
      <c r="K1231" s="364" t="str">
        <f>IF($G1231="","",IF($H1231=1,ROUND($G1231*10/23,0),IF($H1231=3,$G1231-2*ROUND($G1231/12,0),IF($H1231=4,$G1231,IF(OR($H1231=5,$H1231=7),ROUND($G1231*10/11,0),0)))))</f>
        <v/>
      </c>
      <c r="L1231" s="364" t="str">
        <f>IF($G1231="","",IF($H1231=1,ROUND($G1231/23,0),IF($H1231=3,ROUND($G1231/12,0),IF($H1231=5,$G1231-ROUND($G1231*10/11,0),IF($H1231=8,$G1231,0)))))</f>
        <v/>
      </c>
      <c r="M1231" s="364" t="str">
        <f>IF($G1231="","",IF($H1231=1,ROUND($G1231/23,0),IF($H1231=3,ROUND($G1231/12,0),IF($H1231=6,$G1231,IF($H1231=7,$G1231-ROUND($G1231*10/11,0),0)))))</f>
        <v/>
      </c>
      <c r="N1231" s="364" t="str">
        <f>IF($G1231="","",K1231+L1231+M1231)</f>
        <v/>
      </c>
      <c r="O1231" s="365" t="str">
        <f>IF($G1231="","",IFERROR(VLOOKUP($D1231&amp;"|"&amp;$E1231,科目表!$A$5:$B$200,2,FALSE),"※未登録"))</f>
        <v/>
      </c>
      <c r="P1231" s="359" t="str">
        <f>IF(OR($G1231="",$C1231=""),"",IF($B1231="決算整理",13,MOD(MONTH($C1231)-4,12)+1))</f>
        <v/>
      </c>
      <c r="Q1231" s="366" t="str">
        <f>IF($G1231="","",TRIM(IF(J1231+K1231+L1231+M1231&lt;&gt;$G1231,"按分不一致 ","")&amp;IF(O1231="※未登録","科目未登録 ","")&amp;IF(OR($H1231="",ISERROR(MATCH($H1231,{1,2,3,4,5,6,7,8},0))),"経費区分? ","")&amp;IF($I1231="","状態未設定 ","")&amp;IF(AND(OR($I1231="確認済",$I1231="未確認"),$B1231="月例",OR($C1231="",$C1231&lt;DATE(年度+2018,4,1),$C1231&gt;DATE(年度+2019,3,31))),"年度外の日付 ","")&amp;IF(AND(OR($I1231="確認済",$I1231="未確認"),O1231="対象外"),"対象外の科目 ","")))</f>
        <v/>
      </c>
      <c r="R1231" s="366" t="n"/>
    </row>
    <row r="1232">
      <c r="A1232" s="359" t="n"/>
      <c r="B1232" s="360" t="n"/>
      <c r="C1232" s="361" t="n"/>
      <c r="D1232" s="362" t="n"/>
      <c r="E1232" s="362" t="n"/>
      <c r="F1232" s="362" t="n"/>
      <c r="G1232" s="363" t="n"/>
      <c r="H1232" s="360" t="n"/>
      <c r="I1232" s="360" t="n"/>
      <c r="J1232" s="364" t="str">
        <f>IF($G1232="","",IF($H1232=1,$G1232-ROUND($G1232*10/23,0)-2*ROUND($G1232/23,0),IF($H1232=2,$G1232,0)))</f>
        <v/>
      </c>
      <c r="K1232" s="364" t="str">
        <f>IF($G1232="","",IF($H1232=1,ROUND($G1232*10/23,0),IF($H1232=3,$G1232-2*ROUND($G1232/12,0),IF($H1232=4,$G1232,IF(OR($H1232=5,$H1232=7),ROUND($G1232*10/11,0),0)))))</f>
        <v/>
      </c>
      <c r="L1232" s="364" t="str">
        <f>IF($G1232="","",IF($H1232=1,ROUND($G1232/23,0),IF($H1232=3,ROUND($G1232/12,0),IF($H1232=5,$G1232-ROUND($G1232*10/11,0),IF($H1232=8,$G1232,0)))))</f>
        <v/>
      </c>
      <c r="M1232" s="364" t="str">
        <f>IF($G1232="","",IF($H1232=1,ROUND($G1232/23,0),IF($H1232=3,ROUND($G1232/12,0),IF($H1232=6,$G1232,IF($H1232=7,$G1232-ROUND($G1232*10/11,0),0)))))</f>
        <v/>
      </c>
      <c r="N1232" s="364" t="str">
        <f>IF($G1232="","",K1232+L1232+M1232)</f>
        <v/>
      </c>
      <c r="O1232" s="365" t="str">
        <f>IF($G1232="","",IFERROR(VLOOKUP($D1232&amp;"|"&amp;$E1232,科目表!$A$5:$B$200,2,FALSE),"※未登録"))</f>
        <v/>
      </c>
      <c r="P1232" s="359" t="str">
        <f>IF(OR($G1232="",$C1232=""),"",IF($B1232="決算整理",13,MOD(MONTH($C1232)-4,12)+1))</f>
        <v/>
      </c>
      <c r="Q1232" s="366" t="str">
        <f>IF($G1232="","",TRIM(IF(J1232+K1232+L1232+M1232&lt;&gt;$G1232,"按分不一致 ","")&amp;IF(O1232="※未登録","科目未登録 ","")&amp;IF(OR($H1232="",ISERROR(MATCH($H1232,{1,2,3,4,5,6,7,8},0))),"経費区分? ","")&amp;IF($I1232="","状態未設定 ","")&amp;IF(AND(OR($I1232="確認済",$I1232="未確認"),$B1232="月例",OR($C1232="",$C1232&lt;DATE(年度+2018,4,1),$C1232&gt;DATE(年度+2019,3,31))),"年度外の日付 ","")&amp;IF(AND(OR($I1232="確認済",$I1232="未確認"),O1232="対象外"),"対象外の科目 ","")))</f>
        <v/>
      </c>
      <c r="R1232" s="366" t="n"/>
    </row>
    <row r="1233">
      <c r="A1233" s="359" t="n"/>
      <c r="B1233" s="360" t="n"/>
      <c r="C1233" s="361" t="n"/>
      <c r="D1233" s="362" t="n"/>
      <c r="E1233" s="362" t="n"/>
      <c r="F1233" s="362" t="n"/>
      <c r="G1233" s="363" t="n"/>
      <c r="H1233" s="360" t="n"/>
      <c r="I1233" s="360" t="n"/>
      <c r="J1233" s="364" t="str">
        <f>IF($G1233="","",IF($H1233=1,$G1233-ROUND($G1233*10/23,0)-2*ROUND($G1233/23,0),IF($H1233=2,$G1233,0)))</f>
        <v/>
      </c>
      <c r="K1233" s="364" t="str">
        <f>IF($G1233="","",IF($H1233=1,ROUND($G1233*10/23,0),IF($H1233=3,$G1233-2*ROUND($G1233/12,0),IF($H1233=4,$G1233,IF(OR($H1233=5,$H1233=7),ROUND($G1233*10/11,0),0)))))</f>
        <v/>
      </c>
      <c r="L1233" s="364" t="str">
        <f>IF($G1233="","",IF($H1233=1,ROUND($G1233/23,0),IF($H1233=3,ROUND($G1233/12,0),IF($H1233=5,$G1233-ROUND($G1233*10/11,0),IF($H1233=8,$G1233,0)))))</f>
        <v/>
      </c>
      <c r="M1233" s="364" t="str">
        <f>IF($G1233="","",IF($H1233=1,ROUND($G1233/23,0),IF($H1233=3,ROUND($G1233/12,0),IF($H1233=6,$G1233,IF($H1233=7,$G1233-ROUND($G1233*10/11,0),0)))))</f>
        <v/>
      </c>
      <c r="N1233" s="364" t="str">
        <f>IF($G1233="","",K1233+L1233+M1233)</f>
        <v/>
      </c>
      <c r="O1233" s="365" t="str">
        <f>IF($G1233="","",IFERROR(VLOOKUP($D1233&amp;"|"&amp;$E1233,科目表!$A$5:$B$200,2,FALSE),"※未登録"))</f>
        <v/>
      </c>
      <c r="P1233" s="359" t="str">
        <f>IF(OR($G1233="",$C1233=""),"",IF($B1233="決算整理",13,MOD(MONTH($C1233)-4,12)+1))</f>
        <v/>
      </c>
      <c r="Q1233" s="366" t="str">
        <f>IF($G1233="","",TRIM(IF(J1233+K1233+L1233+M1233&lt;&gt;$G1233,"按分不一致 ","")&amp;IF(O1233="※未登録","科目未登録 ","")&amp;IF(OR($H1233="",ISERROR(MATCH($H1233,{1,2,3,4,5,6,7,8},0))),"経費区分? ","")&amp;IF($I1233="","状態未設定 ","")&amp;IF(AND(OR($I1233="確認済",$I1233="未確認"),$B1233="月例",OR($C1233="",$C1233&lt;DATE(年度+2018,4,1),$C1233&gt;DATE(年度+2019,3,31))),"年度外の日付 ","")&amp;IF(AND(OR($I1233="確認済",$I1233="未確認"),O1233="対象外"),"対象外の科目 ","")))</f>
        <v/>
      </c>
      <c r="R1233" s="366" t="n"/>
    </row>
    <row r="1234">
      <c r="A1234" s="359" t="n"/>
      <c r="B1234" s="360" t="n"/>
      <c r="C1234" s="361" t="n"/>
      <c r="D1234" s="362" t="n"/>
      <c r="E1234" s="362" t="n"/>
      <c r="F1234" s="362" t="n"/>
      <c r="G1234" s="363" t="n"/>
      <c r="H1234" s="360" t="n"/>
      <c r="I1234" s="360" t="n"/>
      <c r="J1234" s="364" t="str">
        <f>IF($G1234="","",IF($H1234=1,$G1234-ROUND($G1234*10/23,0)-2*ROUND($G1234/23,0),IF($H1234=2,$G1234,0)))</f>
        <v/>
      </c>
      <c r="K1234" s="364" t="str">
        <f>IF($G1234="","",IF($H1234=1,ROUND($G1234*10/23,0),IF($H1234=3,$G1234-2*ROUND($G1234/12,0),IF($H1234=4,$G1234,IF(OR($H1234=5,$H1234=7),ROUND($G1234*10/11,0),0)))))</f>
        <v/>
      </c>
      <c r="L1234" s="364" t="str">
        <f>IF($G1234="","",IF($H1234=1,ROUND($G1234/23,0),IF($H1234=3,ROUND($G1234/12,0),IF($H1234=5,$G1234-ROUND($G1234*10/11,0),IF($H1234=8,$G1234,0)))))</f>
        <v/>
      </c>
      <c r="M1234" s="364" t="str">
        <f>IF($G1234="","",IF($H1234=1,ROUND($G1234/23,0),IF($H1234=3,ROUND($G1234/12,0),IF($H1234=6,$G1234,IF($H1234=7,$G1234-ROUND($G1234*10/11,0),0)))))</f>
        <v/>
      </c>
      <c r="N1234" s="364" t="str">
        <f>IF($G1234="","",K1234+L1234+M1234)</f>
        <v/>
      </c>
      <c r="O1234" s="365" t="str">
        <f>IF($G1234="","",IFERROR(VLOOKUP($D1234&amp;"|"&amp;$E1234,科目表!$A$5:$B$200,2,FALSE),"※未登録"))</f>
        <v/>
      </c>
      <c r="P1234" s="359" t="str">
        <f>IF(OR($G1234="",$C1234=""),"",IF($B1234="決算整理",13,MOD(MONTH($C1234)-4,12)+1))</f>
        <v/>
      </c>
      <c r="Q1234" s="366" t="str">
        <f>IF($G1234="","",TRIM(IF(J1234+K1234+L1234+M1234&lt;&gt;$G1234,"按分不一致 ","")&amp;IF(O1234="※未登録","科目未登録 ","")&amp;IF(OR($H1234="",ISERROR(MATCH($H1234,{1,2,3,4,5,6,7,8},0))),"経費区分? ","")&amp;IF($I1234="","状態未設定 ","")&amp;IF(AND(OR($I1234="確認済",$I1234="未確認"),$B1234="月例",OR($C1234="",$C1234&lt;DATE(年度+2018,4,1),$C1234&gt;DATE(年度+2019,3,31))),"年度外の日付 ","")&amp;IF(AND(OR($I1234="確認済",$I1234="未確認"),O1234="対象外"),"対象外の科目 ","")))</f>
        <v/>
      </c>
      <c r="R1234" s="366" t="n"/>
    </row>
    <row r="1235">
      <c r="A1235" s="359" t="n"/>
      <c r="B1235" s="360" t="n"/>
      <c r="C1235" s="361" t="n"/>
      <c r="D1235" s="362" t="n"/>
      <c r="E1235" s="362" t="n"/>
      <c r="F1235" s="362" t="n"/>
      <c r="G1235" s="363" t="n"/>
      <c r="H1235" s="360" t="n"/>
      <c r="I1235" s="360" t="n"/>
      <c r="J1235" s="364" t="str">
        <f>IF($G1235="","",IF($H1235=1,$G1235-ROUND($G1235*10/23,0)-2*ROUND($G1235/23,0),IF($H1235=2,$G1235,0)))</f>
        <v/>
      </c>
      <c r="K1235" s="364" t="str">
        <f>IF($G1235="","",IF($H1235=1,ROUND($G1235*10/23,0),IF($H1235=3,$G1235-2*ROUND($G1235/12,0),IF($H1235=4,$G1235,IF(OR($H1235=5,$H1235=7),ROUND($G1235*10/11,0),0)))))</f>
        <v/>
      </c>
      <c r="L1235" s="364" t="str">
        <f>IF($G1235="","",IF($H1235=1,ROUND($G1235/23,0),IF($H1235=3,ROUND($G1235/12,0),IF($H1235=5,$G1235-ROUND($G1235*10/11,0),IF($H1235=8,$G1235,0)))))</f>
        <v/>
      </c>
      <c r="M1235" s="364" t="str">
        <f>IF($G1235="","",IF($H1235=1,ROUND($G1235/23,0),IF($H1235=3,ROUND($G1235/12,0),IF($H1235=6,$G1235,IF($H1235=7,$G1235-ROUND($G1235*10/11,0),0)))))</f>
        <v/>
      </c>
      <c r="N1235" s="364" t="str">
        <f>IF($G1235="","",K1235+L1235+M1235)</f>
        <v/>
      </c>
      <c r="O1235" s="365" t="str">
        <f>IF($G1235="","",IFERROR(VLOOKUP($D1235&amp;"|"&amp;$E1235,科目表!$A$5:$B$200,2,FALSE),"※未登録"))</f>
        <v/>
      </c>
      <c r="P1235" s="359" t="str">
        <f>IF(OR($G1235="",$C1235=""),"",IF($B1235="決算整理",13,MOD(MONTH($C1235)-4,12)+1))</f>
        <v/>
      </c>
      <c r="Q1235" s="366" t="str">
        <f>IF($G1235="","",TRIM(IF(J1235+K1235+L1235+M1235&lt;&gt;$G1235,"按分不一致 ","")&amp;IF(O1235="※未登録","科目未登録 ","")&amp;IF(OR($H1235="",ISERROR(MATCH($H1235,{1,2,3,4,5,6,7,8},0))),"経費区分? ","")&amp;IF($I1235="","状態未設定 ","")&amp;IF(AND(OR($I1235="確認済",$I1235="未確認"),$B1235="月例",OR($C1235="",$C1235&lt;DATE(年度+2018,4,1),$C1235&gt;DATE(年度+2019,3,31))),"年度外の日付 ","")&amp;IF(AND(OR($I1235="確認済",$I1235="未確認"),O1235="対象外"),"対象外の科目 ","")))</f>
        <v/>
      </c>
      <c r="R1235" s="366" t="n"/>
    </row>
    <row r="1236">
      <c r="A1236" s="359" t="n"/>
      <c r="B1236" s="360" t="n"/>
      <c r="C1236" s="361" t="n"/>
      <c r="D1236" s="362" t="n"/>
      <c r="E1236" s="362" t="n"/>
      <c r="F1236" s="362" t="n"/>
      <c r="G1236" s="363" t="n"/>
      <c r="H1236" s="360" t="n"/>
      <c r="I1236" s="360" t="n"/>
      <c r="J1236" s="364" t="str">
        <f>IF($G1236="","",IF($H1236=1,$G1236-ROUND($G1236*10/23,0)-2*ROUND($G1236/23,0),IF($H1236=2,$G1236,0)))</f>
        <v/>
      </c>
      <c r="K1236" s="364" t="str">
        <f>IF($G1236="","",IF($H1236=1,ROUND($G1236*10/23,0),IF($H1236=3,$G1236-2*ROUND($G1236/12,0),IF($H1236=4,$G1236,IF(OR($H1236=5,$H1236=7),ROUND($G1236*10/11,0),0)))))</f>
        <v/>
      </c>
      <c r="L1236" s="364" t="str">
        <f>IF($G1236="","",IF($H1236=1,ROUND($G1236/23,0),IF($H1236=3,ROUND($G1236/12,0),IF($H1236=5,$G1236-ROUND($G1236*10/11,0),IF($H1236=8,$G1236,0)))))</f>
        <v/>
      </c>
      <c r="M1236" s="364" t="str">
        <f>IF($G1236="","",IF($H1236=1,ROUND($G1236/23,0),IF($H1236=3,ROUND($G1236/12,0),IF($H1236=6,$G1236,IF($H1236=7,$G1236-ROUND($G1236*10/11,0),0)))))</f>
        <v/>
      </c>
      <c r="N1236" s="364" t="str">
        <f>IF($G1236="","",K1236+L1236+M1236)</f>
        <v/>
      </c>
      <c r="O1236" s="365" t="str">
        <f>IF($G1236="","",IFERROR(VLOOKUP($D1236&amp;"|"&amp;$E1236,科目表!$A$5:$B$200,2,FALSE),"※未登録"))</f>
        <v/>
      </c>
      <c r="P1236" s="359" t="str">
        <f>IF(OR($G1236="",$C1236=""),"",IF($B1236="決算整理",13,MOD(MONTH($C1236)-4,12)+1))</f>
        <v/>
      </c>
      <c r="Q1236" s="366" t="str">
        <f>IF($G1236="","",TRIM(IF(J1236+K1236+L1236+M1236&lt;&gt;$G1236,"按分不一致 ","")&amp;IF(O1236="※未登録","科目未登録 ","")&amp;IF(OR($H1236="",ISERROR(MATCH($H1236,{1,2,3,4,5,6,7,8},0))),"経費区分? ","")&amp;IF($I1236="","状態未設定 ","")&amp;IF(AND(OR($I1236="確認済",$I1236="未確認"),$B1236="月例",OR($C1236="",$C1236&lt;DATE(年度+2018,4,1),$C1236&gt;DATE(年度+2019,3,31))),"年度外の日付 ","")&amp;IF(AND(OR($I1236="確認済",$I1236="未確認"),O1236="対象外"),"対象外の科目 ","")))</f>
        <v/>
      </c>
      <c r="R1236" s="366" t="n"/>
    </row>
    <row r="1237">
      <c r="A1237" s="359" t="n"/>
      <c r="B1237" s="360" t="n"/>
      <c r="C1237" s="361" t="n"/>
      <c r="D1237" s="362" t="n"/>
      <c r="E1237" s="362" t="n"/>
      <c r="F1237" s="362" t="n"/>
      <c r="G1237" s="363" t="n"/>
      <c r="H1237" s="360" t="n"/>
      <c r="I1237" s="360" t="n"/>
      <c r="J1237" s="364" t="str">
        <f>IF($G1237="","",IF($H1237=1,$G1237-ROUND($G1237*10/23,0)-2*ROUND($G1237/23,0),IF($H1237=2,$G1237,0)))</f>
        <v/>
      </c>
      <c r="K1237" s="364" t="str">
        <f>IF($G1237="","",IF($H1237=1,ROUND($G1237*10/23,0),IF($H1237=3,$G1237-2*ROUND($G1237/12,0),IF($H1237=4,$G1237,IF(OR($H1237=5,$H1237=7),ROUND($G1237*10/11,0),0)))))</f>
        <v/>
      </c>
      <c r="L1237" s="364" t="str">
        <f>IF($G1237="","",IF($H1237=1,ROUND($G1237/23,0),IF($H1237=3,ROUND($G1237/12,0),IF($H1237=5,$G1237-ROUND($G1237*10/11,0),IF($H1237=8,$G1237,0)))))</f>
        <v/>
      </c>
      <c r="M1237" s="364" t="str">
        <f>IF($G1237="","",IF($H1237=1,ROUND($G1237/23,0),IF($H1237=3,ROUND($G1237/12,0),IF($H1237=6,$G1237,IF($H1237=7,$G1237-ROUND($G1237*10/11,0),0)))))</f>
        <v/>
      </c>
      <c r="N1237" s="364" t="str">
        <f>IF($G1237="","",K1237+L1237+M1237)</f>
        <v/>
      </c>
      <c r="O1237" s="365" t="str">
        <f>IF($G1237="","",IFERROR(VLOOKUP($D1237&amp;"|"&amp;$E1237,科目表!$A$5:$B$200,2,FALSE),"※未登録"))</f>
        <v/>
      </c>
      <c r="P1237" s="359" t="str">
        <f>IF(OR($G1237="",$C1237=""),"",IF($B1237="決算整理",13,MOD(MONTH($C1237)-4,12)+1))</f>
        <v/>
      </c>
      <c r="Q1237" s="366" t="str">
        <f>IF($G1237="","",TRIM(IF(J1237+K1237+L1237+M1237&lt;&gt;$G1237,"按分不一致 ","")&amp;IF(O1237="※未登録","科目未登録 ","")&amp;IF(OR($H1237="",ISERROR(MATCH($H1237,{1,2,3,4,5,6,7,8},0))),"経費区分? ","")&amp;IF($I1237="","状態未設定 ","")&amp;IF(AND(OR($I1237="確認済",$I1237="未確認"),$B1237="月例",OR($C1237="",$C1237&lt;DATE(年度+2018,4,1),$C1237&gt;DATE(年度+2019,3,31))),"年度外の日付 ","")&amp;IF(AND(OR($I1237="確認済",$I1237="未確認"),O1237="対象外"),"対象外の科目 ","")))</f>
        <v/>
      </c>
      <c r="R1237" s="366" t="n"/>
    </row>
    <row r="1238">
      <c r="A1238" s="359" t="n"/>
      <c r="B1238" s="360" t="n"/>
      <c r="C1238" s="361" t="n"/>
      <c r="D1238" s="362" t="n"/>
      <c r="E1238" s="362" t="n"/>
      <c r="F1238" s="362" t="n"/>
      <c r="G1238" s="363" t="n"/>
      <c r="H1238" s="360" t="n"/>
      <c r="I1238" s="360" t="n"/>
      <c r="J1238" s="364" t="str">
        <f>IF($G1238="","",IF($H1238=1,$G1238-ROUND($G1238*10/23,0)-2*ROUND($G1238/23,0),IF($H1238=2,$G1238,0)))</f>
        <v/>
      </c>
      <c r="K1238" s="364" t="str">
        <f>IF($G1238="","",IF($H1238=1,ROUND($G1238*10/23,0),IF($H1238=3,$G1238-2*ROUND($G1238/12,0),IF($H1238=4,$G1238,IF(OR($H1238=5,$H1238=7),ROUND($G1238*10/11,0),0)))))</f>
        <v/>
      </c>
      <c r="L1238" s="364" t="str">
        <f>IF($G1238="","",IF($H1238=1,ROUND($G1238/23,0),IF($H1238=3,ROUND($G1238/12,0),IF($H1238=5,$G1238-ROUND($G1238*10/11,0),IF($H1238=8,$G1238,0)))))</f>
        <v/>
      </c>
      <c r="M1238" s="364" t="str">
        <f>IF($G1238="","",IF($H1238=1,ROUND($G1238/23,0),IF($H1238=3,ROUND($G1238/12,0),IF($H1238=6,$G1238,IF($H1238=7,$G1238-ROUND($G1238*10/11,0),0)))))</f>
        <v/>
      </c>
      <c r="N1238" s="364" t="str">
        <f>IF($G1238="","",K1238+L1238+M1238)</f>
        <v/>
      </c>
      <c r="O1238" s="365" t="str">
        <f>IF($G1238="","",IFERROR(VLOOKUP($D1238&amp;"|"&amp;$E1238,科目表!$A$5:$B$200,2,FALSE),"※未登録"))</f>
        <v/>
      </c>
      <c r="P1238" s="359" t="str">
        <f>IF(OR($G1238="",$C1238=""),"",IF($B1238="決算整理",13,MOD(MONTH($C1238)-4,12)+1))</f>
        <v/>
      </c>
      <c r="Q1238" s="366" t="str">
        <f>IF($G1238="","",TRIM(IF(J1238+K1238+L1238+M1238&lt;&gt;$G1238,"按分不一致 ","")&amp;IF(O1238="※未登録","科目未登録 ","")&amp;IF(OR($H1238="",ISERROR(MATCH($H1238,{1,2,3,4,5,6,7,8},0))),"経費区分? ","")&amp;IF($I1238="","状態未設定 ","")&amp;IF(AND(OR($I1238="確認済",$I1238="未確認"),$B1238="月例",OR($C1238="",$C1238&lt;DATE(年度+2018,4,1),$C1238&gt;DATE(年度+2019,3,31))),"年度外の日付 ","")&amp;IF(AND(OR($I1238="確認済",$I1238="未確認"),O1238="対象外"),"対象外の科目 ","")))</f>
        <v/>
      </c>
      <c r="R1238" s="366" t="n"/>
    </row>
    <row r="1239">
      <c r="A1239" s="359" t="n"/>
      <c r="B1239" s="360" t="n"/>
      <c r="C1239" s="361" t="n"/>
      <c r="D1239" s="362" t="n"/>
      <c r="E1239" s="362" t="n"/>
      <c r="F1239" s="362" t="n"/>
      <c r="G1239" s="363" t="n"/>
      <c r="H1239" s="360" t="n"/>
      <c r="I1239" s="360" t="n"/>
      <c r="J1239" s="364" t="str">
        <f>IF($G1239="","",IF($H1239=1,$G1239-ROUND($G1239*10/23,0)-2*ROUND($G1239/23,0),IF($H1239=2,$G1239,0)))</f>
        <v/>
      </c>
      <c r="K1239" s="364" t="str">
        <f>IF($G1239="","",IF($H1239=1,ROUND($G1239*10/23,0),IF($H1239=3,$G1239-2*ROUND($G1239/12,0),IF($H1239=4,$G1239,IF(OR($H1239=5,$H1239=7),ROUND($G1239*10/11,0),0)))))</f>
        <v/>
      </c>
      <c r="L1239" s="364" t="str">
        <f>IF($G1239="","",IF($H1239=1,ROUND($G1239/23,0),IF($H1239=3,ROUND($G1239/12,0),IF($H1239=5,$G1239-ROUND($G1239*10/11,0),IF($H1239=8,$G1239,0)))))</f>
        <v/>
      </c>
      <c r="M1239" s="364" t="str">
        <f>IF($G1239="","",IF($H1239=1,ROUND($G1239/23,0),IF($H1239=3,ROUND($G1239/12,0),IF($H1239=6,$G1239,IF($H1239=7,$G1239-ROUND($G1239*10/11,0),0)))))</f>
        <v/>
      </c>
      <c r="N1239" s="364" t="str">
        <f>IF($G1239="","",K1239+L1239+M1239)</f>
        <v/>
      </c>
      <c r="O1239" s="365" t="str">
        <f>IF($G1239="","",IFERROR(VLOOKUP($D1239&amp;"|"&amp;$E1239,科目表!$A$5:$B$200,2,FALSE),"※未登録"))</f>
        <v/>
      </c>
      <c r="P1239" s="359" t="str">
        <f>IF(OR($G1239="",$C1239=""),"",IF($B1239="決算整理",13,MOD(MONTH($C1239)-4,12)+1))</f>
        <v/>
      </c>
      <c r="Q1239" s="366" t="str">
        <f>IF($G1239="","",TRIM(IF(J1239+K1239+L1239+M1239&lt;&gt;$G1239,"按分不一致 ","")&amp;IF(O1239="※未登録","科目未登録 ","")&amp;IF(OR($H1239="",ISERROR(MATCH($H1239,{1,2,3,4,5,6,7,8},0))),"経費区分? ","")&amp;IF($I1239="","状態未設定 ","")&amp;IF(AND(OR($I1239="確認済",$I1239="未確認"),$B1239="月例",OR($C1239="",$C1239&lt;DATE(年度+2018,4,1),$C1239&gt;DATE(年度+2019,3,31))),"年度外の日付 ","")&amp;IF(AND(OR($I1239="確認済",$I1239="未確認"),O1239="対象外"),"対象外の科目 ","")))</f>
        <v/>
      </c>
      <c r="R1239" s="366" t="n"/>
    </row>
    <row r="1240">
      <c r="A1240" s="359" t="n"/>
      <c r="B1240" s="360" t="n"/>
      <c r="C1240" s="361" t="n"/>
      <c r="D1240" s="362" t="n"/>
      <c r="E1240" s="362" t="n"/>
      <c r="F1240" s="362" t="n"/>
      <c r="G1240" s="363" t="n"/>
      <c r="H1240" s="360" t="n"/>
      <c r="I1240" s="360" t="n"/>
      <c r="J1240" s="364" t="str">
        <f>IF($G1240="","",IF($H1240=1,$G1240-ROUND($G1240*10/23,0)-2*ROUND($G1240/23,0),IF($H1240=2,$G1240,0)))</f>
        <v/>
      </c>
      <c r="K1240" s="364" t="str">
        <f>IF($G1240="","",IF($H1240=1,ROUND($G1240*10/23,0),IF($H1240=3,$G1240-2*ROUND($G1240/12,0),IF($H1240=4,$G1240,IF(OR($H1240=5,$H1240=7),ROUND($G1240*10/11,0),0)))))</f>
        <v/>
      </c>
      <c r="L1240" s="364" t="str">
        <f>IF($G1240="","",IF($H1240=1,ROUND($G1240/23,0),IF($H1240=3,ROUND($G1240/12,0),IF($H1240=5,$G1240-ROUND($G1240*10/11,0),IF($H1240=8,$G1240,0)))))</f>
        <v/>
      </c>
      <c r="M1240" s="364" t="str">
        <f>IF($G1240="","",IF($H1240=1,ROUND($G1240/23,0),IF($H1240=3,ROUND($G1240/12,0),IF($H1240=6,$G1240,IF($H1240=7,$G1240-ROUND($G1240*10/11,0),0)))))</f>
        <v/>
      </c>
      <c r="N1240" s="364" t="str">
        <f>IF($G1240="","",K1240+L1240+M1240)</f>
        <v/>
      </c>
      <c r="O1240" s="365" t="str">
        <f>IF($G1240="","",IFERROR(VLOOKUP($D1240&amp;"|"&amp;$E1240,科目表!$A$5:$B$200,2,FALSE),"※未登録"))</f>
        <v/>
      </c>
      <c r="P1240" s="359" t="str">
        <f>IF(OR($G1240="",$C1240=""),"",IF($B1240="決算整理",13,MOD(MONTH($C1240)-4,12)+1))</f>
        <v/>
      </c>
      <c r="Q1240" s="366" t="str">
        <f>IF($G1240="","",TRIM(IF(J1240+K1240+L1240+M1240&lt;&gt;$G1240,"按分不一致 ","")&amp;IF(O1240="※未登録","科目未登録 ","")&amp;IF(OR($H1240="",ISERROR(MATCH($H1240,{1,2,3,4,5,6,7,8},0))),"経費区分? ","")&amp;IF($I1240="","状態未設定 ","")&amp;IF(AND(OR($I1240="確認済",$I1240="未確認"),$B1240="月例",OR($C1240="",$C1240&lt;DATE(年度+2018,4,1),$C1240&gt;DATE(年度+2019,3,31))),"年度外の日付 ","")&amp;IF(AND(OR($I1240="確認済",$I1240="未確認"),O1240="対象外"),"対象外の科目 ","")))</f>
        <v/>
      </c>
      <c r="R1240" s="366" t="n"/>
    </row>
    <row r="1241">
      <c r="A1241" s="359" t="n"/>
      <c r="B1241" s="360" t="n"/>
      <c r="C1241" s="361" t="n"/>
      <c r="D1241" s="362" t="n"/>
      <c r="E1241" s="362" t="n"/>
      <c r="F1241" s="362" t="n"/>
      <c r="G1241" s="363" t="n"/>
      <c r="H1241" s="360" t="n"/>
      <c r="I1241" s="360" t="n"/>
      <c r="J1241" s="364" t="str">
        <f>IF($G1241="","",IF($H1241=1,$G1241-ROUND($G1241*10/23,0)-2*ROUND($G1241/23,0),IF($H1241=2,$G1241,0)))</f>
        <v/>
      </c>
      <c r="K1241" s="364" t="str">
        <f>IF($G1241="","",IF($H1241=1,ROUND($G1241*10/23,0),IF($H1241=3,$G1241-2*ROUND($G1241/12,0),IF($H1241=4,$G1241,IF(OR($H1241=5,$H1241=7),ROUND($G1241*10/11,0),0)))))</f>
        <v/>
      </c>
      <c r="L1241" s="364" t="str">
        <f>IF($G1241="","",IF($H1241=1,ROUND($G1241/23,0),IF($H1241=3,ROUND($G1241/12,0),IF($H1241=5,$G1241-ROUND($G1241*10/11,0),IF($H1241=8,$G1241,0)))))</f>
        <v/>
      </c>
      <c r="M1241" s="364" t="str">
        <f>IF($G1241="","",IF($H1241=1,ROUND($G1241/23,0),IF($H1241=3,ROUND($G1241/12,0),IF($H1241=6,$G1241,IF($H1241=7,$G1241-ROUND($G1241*10/11,0),0)))))</f>
        <v/>
      </c>
      <c r="N1241" s="364" t="str">
        <f>IF($G1241="","",K1241+L1241+M1241)</f>
        <v/>
      </c>
      <c r="O1241" s="365" t="str">
        <f>IF($G1241="","",IFERROR(VLOOKUP($D1241&amp;"|"&amp;$E1241,科目表!$A$5:$B$200,2,FALSE),"※未登録"))</f>
        <v/>
      </c>
      <c r="P1241" s="359" t="str">
        <f>IF(OR($G1241="",$C1241=""),"",IF($B1241="決算整理",13,MOD(MONTH($C1241)-4,12)+1))</f>
        <v/>
      </c>
      <c r="Q1241" s="366" t="str">
        <f>IF($G1241="","",TRIM(IF(J1241+K1241+L1241+M1241&lt;&gt;$G1241,"按分不一致 ","")&amp;IF(O1241="※未登録","科目未登録 ","")&amp;IF(OR($H1241="",ISERROR(MATCH($H1241,{1,2,3,4,5,6,7,8},0))),"経費区分? ","")&amp;IF($I1241="","状態未設定 ","")&amp;IF(AND(OR($I1241="確認済",$I1241="未確認"),$B1241="月例",OR($C1241="",$C1241&lt;DATE(年度+2018,4,1),$C1241&gt;DATE(年度+2019,3,31))),"年度外の日付 ","")&amp;IF(AND(OR($I1241="確認済",$I1241="未確認"),O1241="対象外"),"対象外の科目 ","")))</f>
        <v/>
      </c>
      <c r="R1241" s="366" t="n"/>
    </row>
    <row r="1242">
      <c r="A1242" s="359" t="n"/>
      <c r="B1242" s="360" t="n"/>
      <c r="C1242" s="361" t="n"/>
      <c r="D1242" s="362" t="n"/>
      <c r="E1242" s="362" t="n"/>
      <c r="F1242" s="362" t="n"/>
      <c r="G1242" s="363" t="n"/>
      <c r="H1242" s="360" t="n"/>
      <c r="I1242" s="360" t="n"/>
      <c r="J1242" s="364" t="str">
        <f>IF($G1242="","",IF($H1242=1,$G1242-ROUND($G1242*10/23,0)-2*ROUND($G1242/23,0),IF($H1242=2,$G1242,0)))</f>
        <v/>
      </c>
      <c r="K1242" s="364" t="str">
        <f>IF($G1242="","",IF($H1242=1,ROUND($G1242*10/23,0),IF($H1242=3,$G1242-2*ROUND($G1242/12,0),IF($H1242=4,$G1242,IF(OR($H1242=5,$H1242=7),ROUND($G1242*10/11,0),0)))))</f>
        <v/>
      </c>
      <c r="L1242" s="364" t="str">
        <f>IF($G1242="","",IF($H1242=1,ROUND($G1242/23,0),IF($H1242=3,ROUND($G1242/12,0),IF($H1242=5,$G1242-ROUND($G1242*10/11,0),IF($H1242=8,$G1242,0)))))</f>
        <v/>
      </c>
      <c r="M1242" s="364" t="str">
        <f>IF($G1242="","",IF($H1242=1,ROUND($G1242/23,0),IF($H1242=3,ROUND($G1242/12,0),IF($H1242=6,$G1242,IF($H1242=7,$G1242-ROUND($G1242*10/11,0),0)))))</f>
        <v/>
      </c>
      <c r="N1242" s="364" t="str">
        <f>IF($G1242="","",K1242+L1242+M1242)</f>
        <v/>
      </c>
      <c r="O1242" s="365" t="str">
        <f>IF($G1242="","",IFERROR(VLOOKUP($D1242&amp;"|"&amp;$E1242,科目表!$A$5:$B$200,2,FALSE),"※未登録"))</f>
        <v/>
      </c>
      <c r="P1242" s="359" t="str">
        <f>IF(OR($G1242="",$C1242=""),"",IF($B1242="決算整理",13,MOD(MONTH($C1242)-4,12)+1))</f>
        <v/>
      </c>
      <c r="Q1242" s="366" t="str">
        <f>IF($G1242="","",TRIM(IF(J1242+K1242+L1242+M1242&lt;&gt;$G1242,"按分不一致 ","")&amp;IF(O1242="※未登録","科目未登録 ","")&amp;IF(OR($H1242="",ISERROR(MATCH($H1242,{1,2,3,4,5,6,7,8},0))),"経費区分? ","")&amp;IF($I1242="","状態未設定 ","")&amp;IF(AND(OR($I1242="確認済",$I1242="未確認"),$B1242="月例",OR($C1242="",$C1242&lt;DATE(年度+2018,4,1),$C1242&gt;DATE(年度+2019,3,31))),"年度外の日付 ","")&amp;IF(AND(OR($I1242="確認済",$I1242="未確認"),O1242="対象外"),"対象外の科目 ","")))</f>
        <v/>
      </c>
      <c r="R1242" s="366" t="n"/>
    </row>
    <row r="1243">
      <c r="A1243" s="359" t="n"/>
      <c r="B1243" s="360" t="n"/>
      <c r="C1243" s="361" t="n"/>
      <c r="D1243" s="362" t="n"/>
      <c r="E1243" s="362" t="n"/>
      <c r="F1243" s="362" t="n"/>
      <c r="G1243" s="363" t="n"/>
      <c r="H1243" s="360" t="n"/>
      <c r="I1243" s="360" t="n"/>
      <c r="J1243" s="364" t="str">
        <f>IF($G1243="","",IF($H1243=1,$G1243-ROUND($G1243*10/23,0)-2*ROUND($G1243/23,0),IF($H1243=2,$G1243,0)))</f>
        <v/>
      </c>
      <c r="K1243" s="364" t="str">
        <f>IF($G1243="","",IF($H1243=1,ROUND($G1243*10/23,0),IF($H1243=3,$G1243-2*ROUND($G1243/12,0),IF($H1243=4,$G1243,IF(OR($H1243=5,$H1243=7),ROUND($G1243*10/11,0),0)))))</f>
        <v/>
      </c>
      <c r="L1243" s="364" t="str">
        <f>IF($G1243="","",IF($H1243=1,ROUND($G1243/23,0),IF($H1243=3,ROUND($G1243/12,0),IF($H1243=5,$G1243-ROUND($G1243*10/11,0),IF($H1243=8,$G1243,0)))))</f>
        <v/>
      </c>
      <c r="M1243" s="364" t="str">
        <f>IF($G1243="","",IF($H1243=1,ROUND($G1243/23,0),IF($H1243=3,ROUND($G1243/12,0),IF($H1243=6,$G1243,IF($H1243=7,$G1243-ROUND($G1243*10/11,0),0)))))</f>
        <v/>
      </c>
      <c r="N1243" s="364" t="str">
        <f>IF($G1243="","",K1243+L1243+M1243)</f>
        <v/>
      </c>
      <c r="O1243" s="365" t="str">
        <f>IF($G1243="","",IFERROR(VLOOKUP($D1243&amp;"|"&amp;$E1243,科目表!$A$5:$B$200,2,FALSE),"※未登録"))</f>
        <v/>
      </c>
      <c r="P1243" s="359" t="str">
        <f>IF(OR($G1243="",$C1243=""),"",IF($B1243="決算整理",13,MOD(MONTH($C1243)-4,12)+1))</f>
        <v/>
      </c>
      <c r="Q1243" s="366" t="str">
        <f>IF($G1243="","",TRIM(IF(J1243+K1243+L1243+M1243&lt;&gt;$G1243,"按分不一致 ","")&amp;IF(O1243="※未登録","科目未登録 ","")&amp;IF(OR($H1243="",ISERROR(MATCH($H1243,{1,2,3,4,5,6,7,8},0))),"経費区分? ","")&amp;IF($I1243="","状態未設定 ","")&amp;IF(AND(OR($I1243="確認済",$I1243="未確認"),$B1243="月例",OR($C1243="",$C1243&lt;DATE(年度+2018,4,1),$C1243&gt;DATE(年度+2019,3,31))),"年度外の日付 ","")&amp;IF(AND(OR($I1243="確認済",$I1243="未確認"),O1243="対象外"),"対象外の科目 ","")))</f>
        <v/>
      </c>
      <c r="R1243" s="366" t="n"/>
    </row>
    <row r="1244">
      <c r="A1244" s="359" t="n"/>
      <c r="B1244" s="360" t="n"/>
      <c r="C1244" s="361" t="n"/>
      <c r="D1244" s="362" t="n"/>
      <c r="E1244" s="362" t="n"/>
      <c r="F1244" s="362" t="n"/>
      <c r="G1244" s="363" t="n"/>
      <c r="H1244" s="360" t="n"/>
      <c r="I1244" s="360" t="n"/>
      <c r="J1244" s="364" t="str">
        <f>IF($G1244="","",IF($H1244=1,$G1244-ROUND($G1244*10/23,0)-2*ROUND($G1244/23,0),IF($H1244=2,$G1244,0)))</f>
        <v/>
      </c>
      <c r="K1244" s="364" t="str">
        <f>IF($G1244="","",IF($H1244=1,ROUND($G1244*10/23,0),IF($H1244=3,$G1244-2*ROUND($G1244/12,0),IF($H1244=4,$G1244,IF(OR($H1244=5,$H1244=7),ROUND($G1244*10/11,0),0)))))</f>
        <v/>
      </c>
      <c r="L1244" s="364" t="str">
        <f>IF($G1244="","",IF($H1244=1,ROUND($G1244/23,0),IF($H1244=3,ROUND($G1244/12,0),IF($H1244=5,$G1244-ROUND($G1244*10/11,0),IF($H1244=8,$G1244,0)))))</f>
        <v/>
      </c>
      <c r="M1244" s="364" t="str">
        <f>IF($G1244="","",IF($H1244=1,ROUND($G1244/23,0),IF($H1244=3,ROUND($G1244/12,0),IF($H1244=6,$G1244,IF($H1244=7,$G1244-ROUND($G1244*10/11,0),0)))))</f>
        <v/>
      </c>
      <c r="N1244" s="364" t="str">
        <f>IF($G1244="","",K1244+L1244+M1244)</f>
        <v/>
      </c>
      <c r="O1244" s="365" t="str">
        <f>IF($G1244="","",IFERROR(VLOOKUP($D1244&amp;"|"&amp;$E1244,科目表!$A$5:$B$200,2,FALSE),"※未登録"))</f>
        <v/>
      </c>
      <c r="P1244" s="359" t="str">
        <f>IF(OR($G1244="",$C1244=""),"",IF($B1244="決算整理",13,MOD(MONTH($C1244)-4,12)+1))</f>
        <v/>
      </c>
      <c r="Q1244" s="366" t="str">
        <f>IF($G1244="","",TRIM(IF(J1244+K1244+L1244+M1244&lt;&gt;$G1244,"按分不一致 ","")&amp;IF(O1244="※未登録","科目未登録 ","")&amp;IF(OR($H1244="",ISERROR(MATCH($H1244,{1,2,3,4,5,6,7,8},0))),"経費区分? ","")&amp;IF($I1244="","状態未設定 ","")&amp;IF(AND(OR($I1244="確認済",$I1244="未確認"),$B1244="月例",OR($C1244="",$C1244&lt;DATE(年度+2018,4,1),$C1244&gt;DATE(年度+2019,3,31))),"年度外の日付 ","")&amp;IF(AND(OR($I1244="確認済",$I1244="未確認"),O1244="対象外"),"対象外の科目 ","")))</f>
        <v/>
      </c>
      <c r="R1244" s="366" t="n"/>
    </row>
    <row r="1245">
      <c r="A1245" s="359" t="n"/>
      <c r="B1245" s="360" t="n"/>
      <c r="C1245" s="361" t="n"/>
      <c r="D1245" s="362" t="n"/>
      <c r="E1245" s="362" t="n"/>
      <c r="F1245" s="362" t="n"/>
      <c r="G1245" s="363" t="n"/>
      <c r="H1245" s="360" t="n"/>
      <c r="I1245" s="360" t="n"/>
      <c r="J1245" s="364" t="str">
        <f>IF($G1245="","",IF($H1245=1,$G1245-ROUND($G1245*10/23,0)-2*ROUND($G1245/23,0),IF($H1245=2,$G1245,0)))</f>
        <v/>
      </c>
      <c r="K1245" s="364" t="str">
        <f>IF($G1245="","",IF($H1245=1,ROUND($G1245*10/23,0),IF($H1245=3,$G1245-2*ROUND($G1245/12,0),IF($H1245=4,$G1245,IF(OR($H1245=5,$H1245=7),ROUND($G1245*10/11,0),0)))))</f>
        <v/>
      </c>
      <c r="L1245" s="364" t="str">
        <f>IF($G1245="","",IF($H1245=1,ROUND($G1245/23,0),IF($H1245=3,ROUND($G1245/12,0),IF($H1245=5,$G1245-ROUND($G1245*10/11,0),IF($H1245=8,$G1245,0)))))</f>
        <v/>
      </c>
      <c r="M1245" s="364" t="str">
        <f>IF($G1245="","",IF($H1245=1,ROUND($G1245/23,0),IF($H1245=3,ROUND($G1245/12,0),IF($H1245=6,$G1245,IF($H1245=7,$G1245-ROUND($G1245*10/11,0),0)))))</f>
        <v/>
      </c>
      <c r="N1245" s="364" t="str">
        <f>IF($G1245="","",K1245+L1245+M1245)</f>
        <v/>
      </c>
      <c r="O1245" s="365" t="str">
        <f>IF($G1245="","",IFERROR(VLOOKUP($D1245&amp;"|"&amp;$E1245,科目表!$A$5:$B$200,2,FALSE),"※未登録"))</f>
        <v/>
      </c>
      <c r="P1245" s="359" t="str">
        <f>IF(OR($G1245="",$C1245=""),"",IF($B1245="決算整理",13,MOD(MONTH($C1245)-4,12)+1))</f>
        <v/>
      </c>
      <c r="Q1245" s="366" t="str">
        <f>IF($G1245="","",TRIM(IF(J1245+K1245+L1245+M1245&lt;&gt;$G1245,"按分不一致 ","")&amp;IF(O1245="※未登録","科目未登録 ","")&amp;IF(OR($H1245="",ISERROR(MATCH($H1245,{1,2,3,4,5,6,7,8},0))),"経費区分? ","")&amp;IF($I1245="","状態未設定 ","")&amp;IF(AND(OR($I1245="確認済",$I1245="未確認"),$B1245="月例",OR($C1245="",$C1245&lt;DATE(年度+2018,4,1),$C1245&gt;DATE(年度+2019,3,31))),"年度外の日付 ","")&amp;IF(AND(OR($I1245="確認済",$I1245="未確認"),O1245="対象外"),"対象外の科目 ","")))</f>
        <v/>
      </c>
      <c r="R1245" s="366" t="n"/>
    </row>
    <row r="1246">
      <c r="A1246" s="359" t="n"/>
      <c r="B1246" s="360" t="n"/>
      <c r="C1246" s="361" t="n"/>
      <c r="D1246" s="362" t="n"/>
      <c r="E1246" s="362" t="n"/>
      <c r="F1246" s="362" t="n"/>
      <c r="G1246" s="363" t="n"/>
      <c r="H1246" s="360" t="n"/>
      <c r="I1246" s="360" t="n"/>
      <c r="J1246" s="364" t="str">
        <f>IF($G1246="","",IF($H1246=1,$G1246-ROUND($G1246*10/23,0)-2*ROUND($G1246/23,0),IF($H1246=2,$G1246,0)))</f>
        <v/>
      </c>
      <c r="K1246" s="364" t="str">
        <f>IF($G1246="","",IF($H1246=1,ROUND($G1246*10/23,0),IF($H1246=3,$G1246-2*ROUND($G1246/12,0),IF($H1246=4,$G1246,IF(OR($H1246=5,$H1246=7),ROUND($G1246*10/11,0),0)))))</f>
        <v/>
      </c>
      <c r="L1246" s="364" t="str">
        <f>IF($G1246="","",IF($H1246=1,ROUND($G1246/23,0),IF($H1246=3,ROUND($G1246/12,0),IF($H1246=5,$G1246-ROUND($G1246*10/11,0),IF($H1246=8,$G1246,0)))))</f>
        <v/>
      </c>
      <c r="M1246" s="364" t="str">
        <f>IF($G1246="","",IF($H1246=1,ROUND($G1246/23,0),IF($H1246=3,ROUND($G1246/12,0),IF($H1246=6,$G1246,IF($H1246=7,$G1246-ROUND($G1246*10/11,0),0)))))</f>
        <v/>
      </c>
      <c r="N1246" s="364" t="str">
        <f>IF($G1246="","",K1246+L1246+M1246)</f>
        <v/>
      </c>
      <c r="O1246" s="365" t="str">
        <f>IF($G1246="","",IFERROR(VLOOKUP($D1246&amp;"|"&amp;$E1246,科目表!$A$5:$B$200,2,FALSE),"※未登録"))</f>
        <v/>
      </c>
      <c r="P1246" s="359" t="str">
        <f>IF(OR($G1246="",$C1246=""),"",IF($B1246="決算整理",13,MOD(MONTH($C1246)-4,12)+1))</f>
        <v/>
      </c>
      <c r="Q1246" s="366" t="str">
        <f>IF($G1246="","",TRIM(IF(J1246+K1246+L1246+M1246&lt;&gt;$G1246,"按分不一致 ","")&amp;IF(O1246="※未登録","科目未登録 ","")&amp;IF(OR($H1246="",ISERROR(MATCH($H1246,{1,2,3,4,5,6,7,8},0))),"経費区分? ","")&amp;IF($I1246="","状態未設定 ","")&amp;IF(AND(OR($I1246="確認済",$I1246="未確認"),$B1246="月例",OR($C1246="",$C1246&lt;DATE(年度+2018,4,1),$C1246&gt;DATE(年度+2019,3,31))),"年度外の日付 ","")&amp;IF(AND(OR($I1246="確認済",$I1246="未確認"),O1246="対象外"),"対象外の科目 ","")))</f>
        <v/>
      </c>
      <c r="R1246" s="366" t="n"/>
    </row>
    <row r="1247">
      <c r="A1247" s="359" t="n"/>
      <c r="B1247" s="360" t="n"/>
      <c r="C1247" s="361" t="n"/>
      <c r="D1247" s="362" t="n"/>
      <c r="E1247" s="362" t="n"/>
      <c r="F1247" s="362" t="n"/>
      <c r="G1247" s="363" t="n"/>
      <c r="H1247" s="360" t="n"/>
      <c r="I1247" s="360" t="n"/>
      <c r="J1247" s="364" t="str">
        <f>IF($G1247="","",IF($H1247=1,$G1247-ROUND($G1247*10/23,0)-2*ROUND($G1247/23,0),IF($H1247=2,$G1247,0)))</f>
        <v/>
      </c>
      <c r="K1247" s="364" t="str">
        <f>IF($G1247="","",IF($H1247=1,ROUND($G1247*10/23,0),IF($H1247=3,$G1247-2*ROUND($G1247/12,0),IF($H1247=4,$G1247,IF(OR($H1247=5,$H1247=7),ROUND($G1247*10/11,0),0)))))</f>
        <v/>
      </c>
      <c r="L1247" s="364" t="str">
        <f>IF($G1247="","",IF($H1247=1,ROUND($G1247/23,0),IF($H1247=3,ROUND($G1247/12,0),IF($H1247=5,$G1247-ROUND($G1247*10/11,0),IF($H1247=8,$G1247,0)))))</f>
        <v/>
      </c>
      <c r="M1247" s="364" t="str">
        <f>IF($G1247="","",IF($H1247=1,ROUND($G1247/23,0),IF($H1247=3,ROUND($G1247/12,0),IF($H1247=6,$G1247,IF($H1247=7,$G1247-ROUND($G1247*10/11,0),0)))))</f>
        <v/>
      </c>
      <c r="N1247" s="364" t="str">
        <f>IF($G1247="","",K1247+L1247+M1247)</f>
        <v/>
      </c>
      <c r="O1247" s="365" t="str">
        <f>IF($G1247="","",IFERROR(VLOOKUP($D1247&amp;"|"&amp;$E1247,科目表!$A$5:$B$200,2,FALSE),"※未登録"))</f>
        <v/>
      </c>
      <c r="P1247" s="359" t="str">
        <f>IF(OR($G1247="",$C1247=""),"",IF($B1247="決算整理",13,MOD(MONTH($C1247)-4,12)+1))</f>
        <v/>
      </c>
      <c r="Q1247" s="366" t="str">
        <f>IF($G1247="","",TRIM(IF(J1247+K1247+L1247+M1247&lt;&gt;$G1247,"按分不一致 ","")&amp;IF(O1247="※未登録","科目未登録 ","")&amp;IF(OR($H1247="",ISERROR(MATCH($H1247,{1,2,3,4,5,6,7,8},0))),"経費区分? ","")&amp;IF($I1247="","状態未設定 ","")&amp;IF(AND(OR($I1247="確認済",$I1247="未確認"),$B1247="月例",OR($C1247="",$C1247&lt;DATE(年度+2018,4,1),$C1247&gt;DATE(年度+2019,3,31))),"年度外の日付 ","")&amp;IF(AND(OR($I1247="確認済",$I1247="未確認"),O1247="対象外"),"対象外の科目 ","")))</f>
        <v/>
      </c>
      <c r="R1247" s="366" t="n"/>
    </row>
    <row r="1248">
      <c r="A1248" s="359" t="n"/>
      <c r="B1248" s="360" t="n"/>
      <c r="C1248" s="361" t="n"/>
      <c r="D1248" s="362" t="n"/>
      <c r="E1248" s="362" t="n"/>
      <c r="F1248" s="362" t="n"/>
      <c r="G1248" s="363" t="n"/>
      <c r="H1248" s="360" t="n"/>
      <c r="I1248" s="360" t="n"/>
      <c r="J1248" s="364" t="str">
        <f>IF($G1248="","",IF($H1248=1,$G1248-ROUND($G1248*10/23,0)-2*ROUND($G1248/23,0),IF($H1248=2,$G1248,0)))</f>
        <v/>
      </c>
      <c r="K1248" s="364" t="str">
        <f>IF($G1248="","",IF($H1248=1,ROUND($G1248*10/23,0),IF($H1248=3,$G1248-2*ROUND($G1248/12,0),IF($H1248=4,$G1248,IF(OR($H1248=5,$H1248=7),ROUND($G1248*10/11,0),0)))))</f>
        <v/>
      </c>
      <c r="L1248" s="364" t="str">
        <f>IF($G1248="","",IF($H1248=1,ROUND($G1248/23,0),IF($H1248=3,ROUND($G1248/12,0),IF($H1248=5,$G1248-ROUND($G1248*10/11,0),IF($H1248=8,$G1248,0)))))</f>
        <v/>
      </c>
      <c r="M1248" s="364" t="str">
        <f>IF($G1248="","",IF($H1248=1,ROUND($G1248/23,0),IF($H1248=3,ROUND($G1248/12,0),IF($H1248=6,$G1248,IF($H1248=7,$G1248-ROUND($G1248*10/11,0),0)))))</f>
        <v/>
      </c>
      <c r="N1248" s="364" t="str">
        <f>IF($G1248="","",K1248+L1248+M1248)</f>
        <v/>
      </c>
      <c r="O1248" s="365" t="str">
        <f>IF($G1248="","",IFERROR(VLOOKUP($D1248&amp;"|"&amp;$E1248,科目表!$A$5:$B$200,2,FALSE),"※未登録"))</f>
        <v/>
      </c>
      <c r="P1248" s="359" t="str">
        <f>IF(OR($G1248="",$C1248=""),"",IF($B1248="決算整理",13,MOD(MONTH($C1248)-4,12)+1))</f>
        <v/>
      </c>
      <c r="Q1248" s="366" t="str">
        <f>IF($G1248="","",TRIM(IF(J1248+K1248+L1248+M1248&lt;&gt;$G1248,"按分不一致 ","")&amp;IF(O1248="※未登録","科目未登録 ","")&amp;IF(OR($H1248="",ISERROR(MATCH($H1248,{1,2,3,4,5,6,7,8},0))),"経費区分? ","")&amp;IF($I1248="","状態未設定 ","")&amp;IF(AND(OR($I1248="確認済",$I1248="未確認"),$B1248="月例",OR($C1248="",$C1248&lt;DATE(年度+2018,4,1),$C1248&gt;DATE(年度+2019,3,31))),"年度外の日付 ","")&amp;IF(AND(OR($I1248="確認済",$I1248="未確認"),O1248="対象外"),"対象外の科目 ","")))</f>
        <v/>
      </c>
      <c r="R1248" s="366" t="n"/>
    </row>
    <row r="1249">
      <c r="A1249" s="359" t="n"/>
      <c r="B1249" s="360" t="n"/>
      <c r="C1249" s="361" t="n"/>
      <c r="D1249" s="362" t="n"/>
      <c r="E1249" s="362" t="n"/>
      <c r="F1249" s="362" t="n"/>
      <c r="G1249" s="363" t="n"/>
      <c r="H1249" s="360" t="n"/>
      <c r="I1249" s="360" t="n"/>
      <c r="J1249" s="364" t="str">
        <f>IF($G1249="","",IF($H1249=1,$G1249-ROUND($G1249*10/23,0)-2*ROUND($G1249/23,0),IF($H1249=2,$G1249,0)))</f>
        <v/>
      </c>
      <c r="K1249" s="364" t="str">
        <f>IF($G1249="","",IF($H1249=1,ROUND($G1249*10/23,0),IF($H1249=3,$G1249-2*ROUND($G1249/12,0),IF($H1249=4,$G1249,IF(OR($H1249=5,$H1249=7),ROUND($G1249*10/11,0),0)))))</f>
        <v/>
      </c>
      <c r="L1249" s="364" t="str">
        <f>IF($G1249="","",IF($H1249=1,ROUND($G1249/23,0),IF($H1249=3,ROUND($G1249/12,0),IF($H1249=5,$G1249-ROUND($G1249*10/11,0),IF($H1249=8,$G1249,0)))))</f>
        <v/>
      </c>
      <c r="M1249" s="364" t="str">
        <f>IF($G1249="","",IF($H1249=1,ROUND($G1249/23,0),IF($H1249=3,ROUND($G1249/12,0),IF($H1249=6,$G1249,IF($H1249=7,$G1249-ROUND($G1249*10/11,0),0)))))</f>
        <v/>
      </c>
      <c r="N1249" s="364" t="str">
        <f>IF($G1249="","",K1249+L1249+M1249)</f>
        <v/>
      </c>
      <c r="O1249" s="365" t="str">
        <f>IF($G1249="","",IFERROR(VLOOKUP($D1249&amp;"|"&amp;$E1249,科目表!$A$5:$B$200,2,FALSE),"※未登録"))</f>
        <v/>
      </c>
      <c r="P1249" s="359" t="str">
        <f>IF(OR($G1249="",$C1249=""),"",IF($B1249="決算整理",13,MOD(MONTH($C1249)-4,12)+1))</f>
        <v/>
      </c>
      <c r="Q1249" s="366" t="str">
        <f>IF($G1249="","",TRIM(IF(J1249+K1249+L1249+M1249&lt;&gt;$G1249,"按分不一致 ","")&amp;IF(O1249="※未登録","科目未登録 ","")&amp;IF(OR($H1249="",ISERROR(MATCH($H1249,{1,2,3,4,5,6,7,8},0))),"経費区分? ","")&amp;IF($I1249="","状態未設定 ","")&amp;IF(AND(OR($I1249="確認済",$I1249="未確認"),$B1249="月例",OR($C1249="",$C1249&lt;DATE(年度+2018,4,1),$C1249&gt;DATE(年度+2019,3,31))),"年度外の日付 ","")&amp;IF(AND(OR($I1249="確認済",$I1249="未確認"),O1249="対象外"),"対象外の科目 ","")))</f>
        <v/>
      </c>
      <c r="R1249" s="366" t="n"/>
    </row>
    <row r="1250">
      <c r="A1250" s="359" t="n"/>
      <c r="B1250" s="360" t="n"/>
      <c r="C1250" s="361" t="n"/>
      <c r="D1250" s="362" t="n"/>
      <c r="E1250" s="362" t="n"/>
      <c r="F1250" s="362" t="n"/>
      <c r="G1250" s="363" t="n"/>
      <c r="H1250" s="360" t="n"/>
      <c r="I1250" s="360" t="n"/>
      <c r="J1250" s="364" t="str">
        <f>IF($G1250="","",IF($H1250=1,$G1250-ROUND($G1250*10/23,0)-2*ROUND($G1250/23,0),IF($H1250=2,$G1250,0)))</f>
        <v/>
      </c>
      <c r="K1250" s="364" t="str">
        <f>IF($G1250="","",IF($H1250=1,ROUND($G1250*10/23,0),IF($H1250=3,$G1250-2*ROUND($G1250/12,0),IF($H1250=4,$G1250,IF(OR($H1250=5,$H1250=7),ROUND($G1250*10/11,0),0)))))</f>
        <v/>
      </c>
      <c r="L1250" s="364" t="str">
        <f>IF($G1250="","",IF($H1250=1,ROUND($G1250/23,0),IF($H1250=3,ROUND($G1250/12,0),IF($H1250=5,$G1250-ROUND($G1250*10/11,0),IF($H1250=8,$G1250,0)))))</f>
        <v/>
      </c>
      <c r="M1250" s="364" t="str">
        <f>IF($G1250="","",IF($H1250=1,ROUND($G1250/23,0),IF($H1250=3,ROUND($G1250/12,0),IF($H1250=6,$G1250,IF($H1250=7,$G1250-ROUND($G1250*10/11,0),0)))))</f>
        <v/>
      </c>
      <c r="N1250" s="364" t="str">
        <f>IF($G1250="","",K1250+L1250+M1250)</f>
        <v/>
      </c>
      <c r="O1250" s="365" t="str">
        <f>IF($G1250="","",IFERROR(VLOOKUP($D1250&amp;"|"&amp;$E1250,科目表!$A$5:$B$200,2,FALSE),"※未登録"))</f>
        <v/>
      </c>
      <c r="P1250" s="359" t="str">
        <f>IF(OR($G1250="",$C1250=""),"",IF($B1250="決算整理",13,MOD(MONTH($C1250)-4,12)+1))</f>
        <v/>
      </c>
      <c r="Q1250" s="366" t="str">
        <f>IF($G1250="","",TRIM(IF(J1250+K1250+L1250+M1250&lt;&gt;$G1250,"按分不一致 ","")&amp;IF(O1250="※未登録","科目未登録 ","")&amp;IF(OR($H1250="",ISERROR(MATCH($H1250,{1,2,3,4,5,6,7,8},0))),"経費区分? ","")&amp;IF($I1250="","状態未設定 ","")&amp;IF(AND(OR($I1250="確認済",$I1250="未確認"),$B1250="月例",OR($C1250="",$C1250&lt;DATE(年度+2018,4,1),$C1250&gt;DATE(年度+2019,3,31))),"年度外の日付 ","")&amp;IF(AND(OR($I1250="確認済",$I1250="未確認"),O1250="対象外"),"対象外の科目 ","")))</f>
        <v/>
      </c>
      <c r="R1250" s="366" t="n"/>
    </row>
    <row r="1251">
      <c r="A1251" s="359" t="n"/>
      <c r="B1251" s="360" t="n"/>
      <c r="C1251" s="361" t="n"/>
      <c r="D1251" s="362" t="n"/>
      <c r="E1251" s="362" t="n"/>
      <c r="F1251" s="362" t="n"/>
      <c r="G1251" s="363" t="n"/>
      <c r="H1251" s="360" t="n"/>
      <c r="I1251" s="360" t="n"/>
      <c r="J1251" s="364" t="str">
        <f>IF($G1251="","",IF($H1251=1,$G1251-ROUND($G1251*10/23,0)-2*ROUND($G1251/23,0),IF($H1251=2,$G1251,0)))</f>
        <v/>
      </c>
      <c r="K1251" s="364" t="str">
        <f>IF($G1251="","",IF($H1251=1,ROUND($G1251*10/23,0),IF($H1251=3,$G1251-2*ROUND($G1251/12,0),IF($H1251=4,$G1251,IF(OR($H1251=5,$H1251=7),ROUND($G1251*10/11,0),0)))))</f>
        <v/>
      </c>
      <c r="L1251" s="364" t="str">
        <f>IF($G1251="","",IF($H1251=1,ROUND($G1251/23,0),IF($H1251=3,ROUND($G1251/12,0),IF($H1251=5,$G1251-ROUND($G1251*10/11,0),IF($H1251=8,$G1251,0)))))</f>
        <v/>
      </c>
      <c r="M1251" s="364" t="str">
        <f>IF($G1251="","",IF($H1251=1,ROUND($G1251/23,0),IF($H1251=3,ROUND($G1251/12,0),IF($H1251=6,$G1251,IF($H1251=7,$G1251-ROUND($G1251*10/11,0),0)))))</f>
        <v/>
      </c>
      <c r="N1251" s="364" t="str">
        <f>IF($G1251="","",K1251+L1251+M1251)</f>
        <v/>
      </c>
      <c r="O1251" s="365" t="str">
        <f>IF($G1251="","",IFERROR(VLOOKUP($D1251&amp;"|"&amp;$E1251,科目表!$A$5:$B$200,2,FALSE),"※未登録"))</f>
        <v/>
      </c>
      <c r="P1251" s="359" t="str">
        <f>IF(OR($G1251="",$C1251=""),"",IF($B1251="決算整理",13,MOD(MONTH($C1251)-4,12)+1))</f>
        <v/>
      </c>
      <c r="Q1251" s="366" t="str">
        <f>IF($G1251="","",TRIM(IF(J1251+K1251+L1251+M1251&lt;&gt;$G1251,"按分不一致 ","")&amp;IF(O1251="※未登録","科目未登録 ","")&amp;IF(OR($H1251="",ISERROR(MATCH($H1251,{1,2,3,4,5,6,7,8},0))),"経費区分? ","")&amp;IF($I1251="","状態未設定 ","")&amp;IF(AND(OR($I1251="確認済",$I1251="未確認"),$B1251="月例",OR($C1251="",$C1251&lt;DATE(年度+2018,4,1),$C1251&gt;DATE(年度+2019,3,31))),"年度外の日付 ","")&amp;IF(AND(OR($I1251="確認済",$I1251="未確認"),O1251="対象外"),"対象外の科目 ","")))</f>
        <v/>
      </c>
      <c r="R1251" s="366" t="n"/>
    </row>
    <row r="1252">
      <c r="A1252" s="359" t="n"/>
      <c r="B1252" s="360" t="n"/>
      <c r="C1252" s="361" t="n"/>
      <c r="D1252" s="362" t="n"/>
      <c r="E1252" s="362" t="n"/>
      <c r="F1252" s="362" t="n"/>
      <c r="G1252" s="363" t="n"/>
      <c r="H1252" s="360" t="n"/>
      <c r="I1252" s="360" t="n"/>
      <c r="J1252" s="364" t="str">
        <f>IF($G1252="","",IF($H1252=1,$G1252-ROUND($G1252*10/23,0)-2*ROUND($G1252/23,0),IF($H1252=2,$G1252,0)))</f>
        <v/>
      </c>
      <c r="K1252" s="364" t="str">
        <f>IF($G1252="","",IF($H1252=1,ROUND($G1252*10/23,0),IF($H1252=3,$G1252-2*ROUND($G1252/12,0),IF($H1252=4,$G1252,IF(OR($H1252=5,$H1252=7),ROUND($G1252*10/11,0),0)))))</f>
        <v/>
      </c>
      <c r="L1252" s="364" t="str">
        <f>IF($G1252="","",IF($H1252=1,ROUND($G1252/23,0),IF($H1252=3,ROUND($G1252/12,0),IF($H1252=5,$G1252-ROUND($G1252*10/11,0),IF($H1252=8,$G1252,0)))))</f>
        <v/>
      </c>
      <c r="M1252" s="364" t="str">
        <f>IF($G1252="","",IF($H1252=1,ROUND($G1252/23,0),IF($H1252=3,ROUND($G1252/12,0),IF($H1252=6,$G1252,IF($H1252=7,$G1252-ROUND($G1252*10/11,0),0)))))</f>
        <v/>
      </c>
      <c r="N1252" s="364" t="str">
        <f>IF($G1252="","",K1252+L1252+M1252)</f>
        <v/>
      </c>
      <c r="O1252" s="365" t="str">
        <f>IF($G1252="","",IFERROR(VLOOKUP($D1252&amp;"|"&amp;$E1252,科目表!$A$5:$B$200,2,FALSE),"※未登録"))</f>
        <v/>
      </c>
      <c r="P1252" s="359" t="str">
        <f>IF(OR($G1252="",$C1252=""),"",IF($B1252="決算整理",13,MOD(MONTH($C1252)-4,12)+1))</f>
        <v/>
      </c>
      <c r="Q1252" s="366" t="str">
        <f>IF($G1252="","",TRIM(IF(J1252+K1252+L1252+M1252&lt;&gt;$G1252,"按分不一致 ","")&amp;IF(O1252="※未登録","科目未登録 ","")&amp;IF(OR($H1252="",ISERROR(MATCH($H1252,{1,2,3,4,5,6,7,8},0))),"経費区分? ","")&amp;IF($I1252="","状態未設定 ","")&amp;IF(AND(OR($I1252="確認済",$I1252="未確認"),$B1252="月例",OR($C1252="",$C1252&lt;DATE(年度+2018,4,1),$C1252&gt;DATE(年度+2019,3,31))),"年度外の日付 ","")&amp;IF(AND(OR($I1252="確認済",$I1252="未確認"),O1252="対象外"),"対象外の科目 ","")))</f>
        <v/>
      </c>
      <c r="R1252" s="366" t="n"/>
    </row>
    <row r="1253">
      <c r="A1253" s="359" t="n"/>
      <c r="B1253" s="360" t="n"/>
      <c r="C1253" s="361" t="n"/>
      <c r="D1253" s="362" t="n"/>
      <c r="E1253" s="362" t="n"/>
      <c r="F1253" s="362" t="n"/>
      <c r="G1253" s="363" t="n"/>
      <c r="H1253" s="360" t="n"/>
      <c r="I1253" s="360" t="n"/>
      <c r="J1253" s="364" t="str">
        <f>IF($G1253="","",IF($H1253=1,$G1253-ROUND($G1253*10/23,0)-2*ROUND($G1253/23,0),IF($H1253=2,$G1253,0)))</f>
        <v/>
      </c>
      <c r="K1253" s="364" t="str">
        <f>IF($G1253="","",IF($H1253=1,ROUND($G1253*10/23,0),IF($H1253=3,$G1253-2*ROUND($G1253/12,0),IF($H1253=4,$G1253,IF(OR($H1253=5,$H1253=7),ROUND($G1253*10/11,0),0)))))</f>
        <v/>
      </c>
      <c r="L1253" s="364" t="str">
        <f>IF($G1253="","",IF($H1253=1,ROUND($G1253/23,0),IF($H1253=3,ROUND($G1253/12,0),IF($H1253=5,$G1253-ROUND($G1253*10/11,0),IF($H1253=8,$G1253,0)))))</f>
        <v/>
      </c>
      <c r="M1253" s="364" t="str">
        <f>IF($G1253="","",IF($H1253=1,ROUND($G1253/23,0),IF($H1253=3,ROUND($G1253/12,0),IF($H1253=6,$G1253,IF($H1253=7,$G1253-ROUND($G1253*10/11,0),0)))))</f>
        <v/>
      </c>
      <c r="N1253" s="364" t="str">
        <f>IF($G1253="","",K1253+L1253+M1253)</f>
        <v/>
      </c>
      <c r="O1253" s="365" t="str">
        <f>IF($G1253="","",IFERROR(VLOOKUP($D1253&amp;"|"&amp;$E1253,科目表!$A$5:$B$200,2,FALSE),"※未登録"))</f>
        <v/>
      </c>
      <c r="P1253" s="359" t="str">
        <f>IF(OR($G1253="",$C1253=""),"",IF($B1253="決算整理",13,MOD(MONTH($C1253)-4,12)+1))</f>
        <v/>
      </c>
      <c r="Q1253" s="366" t="str">
        <f>IF($G1253="","",TRIM(IF(J1253+K1253+L1253+M1253&lt;&gt;$G1253,"按分不一致 ","")&amp;IF(O1253="※未登録","科目未登録 ","")&amp;IF(OR($H1253="",ISERROR(MATCH($H1253,{1,2,3,4,5,6,7,8},0))),"経費区分? ","")&amp;IF($I1253="","状態未設定 ","")&amp;IF(AND(OR($I1253="確認済",$I1253="未確認"),$B1253="月例",OR($C1253="",$C1253&lt;DATE(年度+2018,4,1),$C1253&gt;DATE(年度+2019,3,31))),"年度外の日付 ","")&amp;IF(AND(OR($I1253="確認済",$I1253="未確認"),O1253="対象外"),"対象外の科目 ","")))</f>
        <v/>
      </c>
      <c r="R1253" s="366" t="n"/>
    </row>
    <row r="1254">
      <c r="A1254" s="359" t="n"/>
      <c r="B1254" s="360" t="n"/>
      <c r="C1254" s="361" t="n"/>
      <c r="D1254" s="362" t="n"/>
      <c r="E1254" s="362" t="n"/>
      <c r="F1254" s="362" t="n"/>
      <c r="G1254" s="363" t="n"/>
      <c r="H1254" s="360" t="n"/>
      <c r="I1254" s="360" t="n"/>
      <c r="J1254" s="364" t="str">
        <f>IF($G1254="","",IF($H1254=1,$G1254-ROUND($G1254*10/23,0)-2*ROUND($G1254/23,0),IF($H1254=2,$G1254,0)))</f>
        <v/>
      </c>
      <c r="K1254" s="364" t="str">
        <f>IF($G1254="","",IF($H1254=1,ROUND($G1254*10/23,0),IF($H1254=3,$G1254-2*ROUND($G1254/12,0),IF($H1254=4,$G1254,IF(OR($H1254=5,$H1254=7),ROUND($G1254*10/11,0),0)))))</f>
        <v/>
      </c>
      <c r="L1254" s="364" t="str">
        <f>IF($G1254="","",IF($H1254=1,ROUND($G1254/23,0),IF($H1254=3,ROUND($G1254/12,0),IF($H1254=5,$G1254-ROUND($G1254*10/11,0),IF($H1254=8,$G1254,0)))))</f>
        <v/>
      </c>
      <c r="M1254" s="364" t="str">
        <f>IF($G1254="","",IF($H1254=1,ROUND($G1254/23,0),IF($H1254=3,ROUND($G1254/12,0),IF($H1254=6,$G1254,IF($H1254=7,$G1254-ROUND($G1254*10/11,0),0)))))</f>
        <v/>
      </c>
      <c r="N1254" s="364" t="str">
        <f>IF($G1254="","",K1254+L1254+M1254)</f>
        <v/>
      </c>
      <c r="O1254" s="365" t="str">
        <f>IF($G1254="","",IFERROR(VLOOKUP($D1254&amp;"|"&amp;$E1254,科目表!$A$5:$B$200,2,FALSE),"※未登録"))</f>
        <v/>
      </c>
      <c r="P1254" s="359" t="str">
        <f>IF(OR($G1254="",$C1254=""),"",IF($B1254="決算整理",13,MOD(MONTH($C1254)-4,12)+1))</f>
        <v/>
      </c>
      <c r="Q1254" s="366" t="str">
        <f>IF($G1254="","",TRIM(IF(J1254+K1254+L1254+M1254&lt;&gt;$G1254,"按分不一致 ","")&amp;IF(O1254="※未登録","科目未登録 ","")&amp;IF(OR($H1254="",ISERROR(MATCH($H1254,{1,2,3,4,5,6,7,8},0))),"経費区分? ","")&amp;IF($I1254="","状態未設定 ","")&amp;IF(AND(OR($I1254="確認済",$I1254="未確認"),$B1254="月例",OR($C1254="",$C1254&lt;DATE(年度+2018,4,1),$C1254&gt;DATE(年度+2019,3,31))),"年度外の日付 ","")&amp;IF(AND(OR($I1254="確認済",$I1254="未確認"),O1254="対象外"),"対象外の科目 ","")))</f>
        <v/>
      </c>
      <c r="R1254" s="366" t="n"/>
    </row>
    <row r="1255">
      <c r="A1255" s="359" t="n"/>
      <c r="B1255" s="360" t="n"/>
      <c r="C1255" s="361" t="n"/>
      <c r="D1255" s="362" t="n"/>
      <c r="E1255" s="362" t="n"/>
      <c r="F1255" s="362" t="n"/>
      <c r="G1255" s="363" t="n"/>
      <c r="H1255" s="360" t="n"/>
      <c r="I1255" s="360" t="n"/>
      <c r="J1255" s="364" t="str">
        <f>IF($G1255="","",IF($H1255=1,$G1255-ROUND($G1255*10/23,0)-2*ROUND($G1255/23,0),IF($H1255=2,$G1255,0)))</f>
        <v/>
      </c>
      <c r="K1255" s="364" t="str">
        <f>IF($G1255="","",IF($H1255=1,ROUND($G1255*10/23,0),IF($H1255=3,$G1255-2*ROUND($G1255/12,0),IF($H1255=4,$G1255,IF(OR($H1255=5,$H1255=7),ROUND($G1255*10/11,0),0)))))</f>
        <v/>
      </c>
      <c r="L1255" s="364" t="str">
        <f>IF($G1255="","",IF($H1255=1,ROUND($G1255/23,0),IF($H1255=3,ROUND($G1255/12,0),IF($H1255=5,$G1255-ROUND($G1255*10/11,0),IF($H1255=8,$G1255,0)))))</f>
        <v/>
      </c>
      <c r="M1255" s="364" t="str">
        <f>IF($G1255="","",IF($H1255=1,ROUND($G1255/23,0),IF($H1255=3,ROUND($G1255/12,0),IF($H1255=6,$G1255,IF($H1255=7,$G1255-ROUND($G1255*10/11,0),0)))))</f>
        <v/>
      </c>
      <c r="N1255" s="364" t="str">
        <f>IF($G1255="","",K1255+L1255+M1255)</f>
        <v/>
      </c>
      <c r="O1255" s="365" t="str">
        <f>IF($G1255="","",IFERROR(VLOOKUP($D1255&amp;"|"&amp;$E1255,科目表!$A$5:$B$200,2,FALSE),"※未登録"))</f>
        <v/>
      </c>
      <c r="P1255" s="359" t="str">
        <f>IF(OR($G1255="",$C1255=""),"",IF($B1255="決算整理",13,MOD(MONTH($C1255)-4,12)+1))</f>
        <v/>
      </c>
      <c r="Q1255" s="366" t="str">
        <f>IF($G1255="","",TRIM(IF(J1255+K1255+L1255+M1255&lt;&gt;$G1255,"按分不一致 ","")&amp;IF(O1255="※未登録","科目未登録 ","")&amp;IF(OR($H1255="",ISERROR(MATCH($H1255,{1,2,3,4,5,6,7,8},0))),"経費区分? ","")&amp;IF($I1255="","状態未設定 ","")&amp;IF(AND(OR($I1255="確認済",$I1255="未確認"),$B1255="月例",OR($C1255="",$C1255&lt;DATE(年度+2018,4,1),$C1255&gt;DATE(年度+2019,3,31))),"年度外の日付 ","")&amp;IF(AND(OR($I1255="確認済",$I1255="未確認"),O1255="対象外"),"対象外の科目 ","")))</f>
        <v/>
      </c>
      <c r="R1255" s="366" t="n"/>
    </row>
    <row r="1256">
      <c r="A1256" s="359" t="n"/>
      <c r="B1256" s="360" t="n"/>
      <c r="C1256" s="361" t="n"/>
      <c r="D1256" s="362" t="n"/>
      <c r="E1256" s="362" t="n"/>
      <c r="F1256" s="362" t="n"/>
      <c r="G1256" s="363" t="n"/>
      <c r="H1256" s="360" t="n"/>
      <c r="I1256" s="360" t="n"/>
      <c r="J1256" s="364" t="str">
        <f>IF($G1256="","",IF($H1256=1,$G1256-ROUND($G1256*10/23,0)-2*ROUND($G1256/23,0),IF($H1256=2,$G1256,0)))</f>
        <v/>
      </c>
      <c r="K1256" s="364" t="str">
        <f>IF($G1256="","",IF($H1256=1,ROUND($G1256*10/23,0),IF($H1256=3,$G1256-2*ROUND($G1256/12,0),IF($H1256=4,$G1256,IF(OR($H1256=5,$H1256=7),ROUND($G1256*10/11,0),0)))))</f>
        <v/>
      </c>
      <c r="L1256" s="364" t="str">
        <f>IF($G1256="","",IF($H1256=1,ROUND($G1256/23,0),IF($H1256=3,ROUND($G1256/12,0),IF($H1256=5,$G1256-ROUND($G1256*10/11,0),IF($H1256=8,$G1256,0)))))</f>
        <v/>
      </c>
      <c r="M1256" s="364" t="str">
        <f>IF($G1256="","",IF($H1256=1,ROUND($G1256/23,0),IF($H1256=3,ROUND($G1256/12,0),IF($H1256=6,$G1256,IF($H1256=7,$G1256-ROUND($G1256*10/11,0),0)))))</f>
        <v/>
      </c>
      <c r="N1256" s="364" t="str">
        <f>IF($G1256="","",K1256+L1256+M1256)</f>
        <v/>
      </c>
      <c r="O1256" s="365" t="str">
        <f>IF($G1256="","",IFERROR(VLOOKUP($D1256&amp;"|"&amp;$E1256,科目表!$A$5:$B$200,2,FALSE),"※未登録"))</f>
        <v/>
      </c>
      <c r="P1256" s="359" t="str">
        <f>IF(OR($G1256="",$C1256=""),"",IF($B1256="決算整理",13,MOD(MONTH($C1256)-4,12)+1))</f>
        <v/>
      </c>
      <c r="Q1256" s="366" t="str">
        <f>IF($G1256="","",TRIM(IF(J1256+K1256+L1256+M1256&lt;&gt;$G1256,"按分不一致 ","")&amp;IF(O1256="※未登録","科目未登録 ","")&amp;IF(OR($H1256="",ISERROR(MATCH($H1256,{1,2,3,4,5,6,7,8},0))),"経費区分? ","")&amp;IF($I1256="","状態未設定 ","")&amp;IF(AND(OR($I1256="確認済",$I1256="未確認"),$B1256="月例",OR($C1256="",$C1256&lt;DATE(年度+2018,4,1),$C1256&gt;DATE(年度+2019,3,31))),"年度外の日付 ","")&amp;IF(AND(OR($I1256="確認済",$I1256="未確認"),O1256="対象外"),"対象外の科目 ","")))</f>
        <v/>
      </c>
      <c r="R1256" s="366" t="n"/>
    </row>
    <row r="1257">
      <c r="A1257" s="359" t="n"/>
      <c r="B1257" s="360" t="n"/>
      <c r="C1257" s="361" t="n"/>
      <c r="D1257" s="362" t="n"/>
      <c r="E1257" s="362" t="n"/>
      <c r="F1257" s="362" t="n"/>
      <c r="G1257" s="363" t="n"/>
      <c r="H1257" s="360" t="n"/>
      <c r="I1257" s="360" t="n"/>
      <c r="J1257" s="364" t="str">
        <f>IF($G1257="","",IF($H1257=1,$G1257-ROUND($G1257*10/23,0)-2*ROUND($G1257/23,0),IF($H1257=2,$G1257,0)))</f>
        <v/>
      </c>
      <c r="K1257" s="364" t="str">
        <f>IF($G1257="","",IF($H1257=1,ROUND($G1257*10/23,0),IF($H1257=3,$G1257-2*ROUND($G1257/12,0),IF($H1257=4,$G1257,IF(OR($H1257=5,$H1257=7),ROUND($G1257*10/11,0),0)))))</f>
        <v/>
      </c>
      <c r="L1257" s="364" t="str">
        <f>IF($G1257="","",IF($H1257=1,ROUND($G1257/23,0),IF($H1257=3,ROUND($G1257/12,0),IF($H1257=5,$G1257-ROUND($G1257*10/11,0),IF($H1257=8,$G1257,0)))))</f>
        <v/>
      </c>
      <c r="M1257" s="364" t="str">
        <f>IF($G1257="","",IF($H1257=1,ROUND($G1257/23,0),IF($H1257=3,ROUND($G1257/12,0),IF($H1257=6,$G1257,IF($H1257=7,$G1257-ROUND($G1257*10/11,0),0)))))</f>
        <v/>
      </c>
      <c r="N1257" s="364" t="str">
        <f>IF($G1257="","",K1257+L1257+M1257)</f>
        <v/>
      </c>
      <c r="O1257" s="365" t="str">
        <f>IF($G1257="","",IFERROR(VLOOKUP($D1257&amp;"|"&amp;$E1257,科目表!$A$5:$B$200,2,FALSE),"※未登録"))</f>
        <v/>
      </c>
      <c r="P1257" s="359" t="str">
        <f>IF(OR($G1257="",$C1257=""),"",IF($B1257="決算整理",13,MOD(MONTH($C1257)-4,12)+1))</f>
        <v/>
      </c>
      <c r="Q1257" s="366" t="str">
        <f>IF($G1257="","",TRIM(IF(J1257+K1257+L1257+M1257&lt;&gt;$G1257,"按分不一致 ","")&amp;IF(O1257="※未登録","科目未登録 ","")&amp;IF(OR($H1257="",ISERROR(MATCH($H1257,{1,2,3,4,5,6,7,8},0))),"経費区分? ","")&amp;IF($I1257="","状態未設定 ","")&amp;IF(AND(OR($I1257="確認済",$I1257="未確認"),$B1257="月例",OR($C1257="",$C1257&lt;DATE(年度+2018,4,1),$C1257&gt;DATE(年度+2019,3,31))),"年度外の日付 ","")&amp;IF(AND(OR($I1257="確認済",$I1257="未確認"),O1257="対象外"),"対象外の科目 ","")))</f>
        <v/>
      </c>
      <c r="R1257" s="366" t="n"/>
    </row>
    <row r="1258">
      <c r="A1258" s="359" t="n"/>
      <c r="B1258" s="360" t="n"/>
      <c r="C1258" s="361" t="n"/>
      <c r="D1258" s="362" t="n"/>
      <c r="E1258" s="362" t="n"/>
      <c r="F1258" s="362" t="n"/>
      <c r="G1258" s="363" t="n"/>
      <c r="H1258" s="360" t="n"/>
      <c r="I1258" s="360" t="n"/>
      <c r="J1258" s="364" t="str">
        <f>IF($G1258="","",IF($H1258=1,$G1258-ROUND($G1258*10/23,0)-2*ROUND($G1258/23,0),IF($H1258=2,$G1258,0)))</f>
        <v/>
      </c>
      <c r="K1258" s="364" t="str">
        <f>IF($G1258="","",IF($H1258=1,ROUND($G1258*10/23,0),IF($H1258=3,$G1258-2*ROUND($G1258/12,0),IF($H1258=4,$G1258,IF(OR($H1258=5,$H1258=7),ROUND($G1258*10/11,0),0)))))</f>
        <v/>
      </c>
      <c r="L1258" s="364" t="str">
        <f>IF($G1258="","",IF($H1258=1,ROUND($G1258/23,0),IF($H1258=3,ROUND($G1258/12,0),IF($H1258=5,$G1258-ROUND($G1258*10/11,0),IF($H1258=8,$G1258,0)))))</f>
        <v/>
      </c>
      <c r="M1258" s="364" t="str">
        <f>IF($G1258="","",IF($H1258=1,ROUND($G1258/23,0),IF($H1258=3,ROUND($G1258/12,0),IF($H1258=6,$G1258,IF($H1258=7,$G1258-ROUND($G1258*10/11,0),0)))))</f>
        <v/>
      </c>
      <c r="N1258" s="364" t="str">
        <f>IF($G1258="","",K1258+L1258+M1258)</f>
        <v/>
      </c>
      <c r="O1258" s="365" t="str">
        <f>IF($G1258="","",IFERROR(VLOOKUP($D1258&amp;"|"&amp;$E1258,科目表!$A$5:$B$200,2,FALSE),"※未登録"))</f>
        <v/>
      </c>
      <c r="P1258" s="359" t="str">
        <f>IF(OR($G1258="",$C1258=""),"",IF($B1258="決算整理",13,MOD(MONTH($C1258)-4,12)+1))</f>
        <v/>
      </c>
      <c r="Q1258" s="366" t="str">
        <f>IF($G1258="","",TRIM(IF(J1258+K1258+L1258+M1258&lt;&gt;$G1258,"按分不一致 ","")&amp;IF(O1258="※未登録","科目未登録 ","")&amp;IF(OR($H1258="",ISERROR(MATCH($H1258,{1,2,3,4,5,6,7,8},0))),"経費区分? ","")&amp;IF($I1258="","状態未設定 ","")&amp;IF(AND(OR($I1258="確認済",$I1258="未確認"),$B1258="月例",OR($C1258="",$C1258&lt;DATE(年度+2018,4,1),$C1258&gt;DATE(年度+2019,3,31))),"年度外の日付 ","")&amp;IF(AND(OR($I1258="確認済",$I1258="未確認"),O1258="対象外"),"対象外の科目 ","")))</f>
        <v/>
      </c>
      <c r="R1258" s="366" t="n"/>
    </row>
    <row r="1259">
      <c r="A1259" s="359" t="n"/>
      <c r="B1259" s="360" t="n"/>
      <c r="C1259" s="361" t="n"/>
      <c r="D1259" s="362" t="n"/>
      <c r="E1259" s="362" t="n"/>
      <c r="F1259" s="362" t="n"/>
      <c r="G1259" s="363" t="n"/>
      <c r="H1259" s="360" t="n"/>
      <c r="I1259" s="360" t="n"/>
      <c r="J1259" s="364" t="str">
        <f>IF($G1259="","",IF($H1259=1,$G1259-ROUND($G1259*10/23,0)-2*ROUND($G1259/23,0),IF($H1259=2,$G1259,0)))</f>
        <v/>
      </c>
      <c r="K1259" s="364" t="str">
        <f>IF($G1259="","",IF($H1259=1,ROUND($G1259*10/23,0),IF($H1259=3,$G1259-2*ROUND($G1259/12,0),IF($H1259=4,$G1259,IF(OR($H1259=5,$H1259=7),ROUND($G1259*10/11,0),0)))))</f>
        <v/>
      </c>
      <c r="L1259" s="364" t="str">
        <f>IF($G1259="","",IF($H1259=1,ROUND($G1259/23,0),IF($H1259=3,ROUND($G1259/12,0),IF($H1259=5,$G1259-ROUND($G1259*10/11,0),IF($H1259=8,$G1259,0)))))</f>
        <v/>
      </c>
      <c r="M1259" s="364" t="str">
        <f>IF($G1259="","",IF($H1259=1,ROUND($G1259/23,0),IF($H1259=3,ROUND($G1259/12,0),IF($H1259=6,$G1259,IF($H1259=7,$G1259-ROUND($G1259*10/11,0),0)))))</f>
        <v/>
      </c>
      <c r="N1259" s="364" t="str">
        <f>IF($G1259="","",K1259+L1259+M1259)</f>
        <v/>
      </c>
      <c r="O1259" s="365" t="str">
        <f>IF($G1259="","",IFERROR(VLOOKUP($D1259&amp;"|"&amp;$E1259,科目表!$A$5:$B$200,2,FALSE),"※未登録"))</f>
        <v/>
      </c>
      <c r="P1259" s="359" t="str">
        <f>IF(OR($G1259="",$C1259=""),"",IF($B1259="決算整理",13,MOD(MONTH($C1259)-4,12)+1))</f>
        <v/>
      </c>
      <c r="Q1259" s="366" t="str">
        <f>IF($G1259="","",TRIM(IF(J1259+K1259+L1259+M1259&lt;&gt;$G1259,"按分不一致 ","")&amp;IF(O1259="※未登録","科目未登録 ","")&amp;IF(OR($H1259="",ISERROR(MATCH($H1259,{1,2,3,4,5,6,7,8},0))),"経費区分? ","")&amp;IF($I1259="","状態未設定 ","")&amp;IF(AND(OR($I1259="確認済",$I1259="未確認"),$B1259="月例",OR($C1259="",$C1259&lt;DATE(年度+2018,4,1),$C1259&gt;DATE(年度+2019,3,31))),"年度外の日付 ","")&amp;IF(AND(OR($I1259="確認済",$I1259="未確認"),O1259="対象外"),"対象外の科目 ","")))</f>
        <v/>
      </c>
      <c r="R1259" s="366" t="n"/>
    </row>
    <row r="1260">
      <c r="A1260" s="359" t="n"/>
      <c r="B1260" s="360" t="n"/>
      <c r="C1260" s="361" t="n"/>
      <c r="D1260" s="362" t="n"/>
      <c r="E1260" s="362" t="n"/>
      <c r="F1260" s="362" t="n"/>
      <c r="G1260" s="363" t="n"/>
      <c r="H1260" s="360" t="n"/>
      <c r="I1260" s="360" t="n"/>
      <c r="J1260" s="364" t="str">
        <f>IF($G1260="","",IF($H1260=1,$G1260-ROUND($G1260*10/23,0)-2*ROUND($G1260/23,0),IF($H1260=2,$G1260,0)))</f>
        <v/>
      </c>
      <c r="K1260" s="364" t="str">
        <f>IF($G1260="","",IF($H1260=1,ROUND($G1260*10/23,0),IF($H1260=3,$G1260-2*ROUND($G1260/12,0),IF($H1260=4,$G1260,IF(OR($H1260=5,$H1260=7),ROUND($G1260*10/11,0),0)))))</f>
        <v/>
      </c>
      <c r="L1260" s="364" t="str">
        <f>IF($G1260="","",IF($H1260=1,ROUND($G1260/23,0),IF($H1260=3,ROUND($G1260/12,0),IF($H1260=5,$G1260-ROUND($G1260*10/11,0),IF($H1260=8,$G1260,0)))))</f>
        <v/>
      </c>
      <c r="M1260" s="364" t="str">
        <f>IF($G1260="","",IF($H1260=1,ROUND($G1260/23,0),IF($H1260=3,ROUND($G1260/12,0),IF($H1260=6,$G1260,IF($H1260=7,$G1260-ROUND($G1260*10/11,0),0)))))</f>
        <v/>
      </c>
      <c r="N1260" s="364" t="str">
        <f>IF($G1260="","",K1260+L1260+M1260)</f>
        <v/>
      </c>
      <c r="O1260" s="365" t="str">
        <f>IF($G1260="","",IFERROR(VLOOKUP($D1260&amp;"|"&amp;$E1260,科目表!$A$5:$B$200,2,FALSE),"※未登録"))</f>
        <v/>
      </c>
      <c r="P1260" s="359" t="str">
        <f>IF(OR($G1260="",$C1260=""),"",IF($B1260="決算整理",13,MOD(MONTH($C1260)-4,12)+1))</f>
        <v/>
      </c>
      <c r="Q1260" s="366" t="str">
        <f>IF($G1260="","",TRIM(IF(J1260+K1260+L1260+M1260&lt;&gt;$G1260,"按分不一致 ","")&amp;IF(O1260="※未登録","科目未登録 ","")&amp;IF(OR($H1260="",ISERROR(MATCH($H1260,{1,2,3,4,5,6,7,8},0))),"経費区分? ","")&amp;IF($I1260="","状態未設定 ","")&amp;IF(AND(OR($I1260="確認済",$I1260="未確認"),$B1260="月例",OR($C1260="",$C1260&lt;DATE(年度+2018,4,1),$C1260&gt;DATE(年度+2019,3,31))),"年度外の日付 ","")&amp;IF(AND(OR($I1260="確認済",$I1260="未確認"),O1260="対象外"),"対象外の科目 ","")))</f>
        <v/>
      </c>
      <c r="R1260" s="366" t="n"/>
    </row>
    <row r="1261">
      <c r="A1261" s="359" t="n"/>
      <c r="B1261" s="360" t="n"/>
      <c r="C1261" s="361" t="n"/>
      <c r="D1261" s="362" t="n"/>
      <c r="E1261" s="362" t="n"/>
      <c r="F1261" s="362" t="n"/>
      <c r="G1261" s="363" t="n"/>
      <c r="H1261" s="360" t="n"/>
      <c r="I1261" s="360" t="n"/>
      <c r="J1261" s="364" t="str">
        <f>IF($G1261="","",IF($H1261=1,$G1261-ROUND($G1261*10/23,0)-2*ROUND($G1261/23,0),IF($H1261=2,$G1261,0)))</f>
        <v/>
      </c>
      <c r="K1261" s="364" t="str">
        <f>IF($G1261="","",IF($H1261=1,ROUND($G1261*10/23,0),IF($H1261=3,$G1261-2*ROUND($G1261/12,0),IF($H1261=4,$G1261,IF(OR($H1261=5,$H1261=7),ROUND($G1261*10/11,0),0)))))</f>
        <v/>
      </c>
      <c r="L1261" s="364" t="str">
        <f>IF($G1261="","",IF($H1261=1,ROUND($G1261/23,0),IF($H1261=3,ROUND($G1261/12,0),IF($H1261=5,$G1261-ROUND($G1261*10/11,0),IF($H1261=8,$G1261,0)))))</f>
        <v/>
      </c>
      <c r="M1261" s="364" t="str">
        <f>IF($G1261="","",IF($H1261=1,ROUND($G1261/23,0),IF($H1261=3,ROUND($G1261/12,0),IF($H1261=6,$G1261,IF($H1261=7,$G1261-ROUND($G1261*10/11,0),0)))))</f>
        <v/>
      </c>
      <c r="N1261" s="364" t="str">
        <f>IF($G1261="","",K1261+L1261+M1261)</f>
        <v/>
      </c>
      <c r="O1261" s="365" t="str">
        <f>IF($G1261="","",IFERROR(VLOOKUP($D1261&amp;"|"&amp;$E1261,科目表!$A$5:$B$200,2,FALSE),"※未登録"))</f>
        <v/>
      </c>
      <c r="P1261" s="359" t="str">
        <f>IF(OR($G1261="",$C1261=""),"",IF($B1261="決算整理",13,MOD(MONTH($C1261)-4,12)+1))</f>
        <v/>
      </c>
      <c r="Q1261" s="366" t="str">
        <f>IF($G1261="","",TRIM(IF(J1261+K1261+L1261+M1261&lt;&gt;$G1261,"按分不一致 ","")&amp;IF(O1261="※未登録","科目未登録 ","")&amp;IF(OR($H1261="",ISERROR(MATCH($H1261,{1,2,3,4,5,6,7,8},0))),"経費区分? ","")&amp;IF($I1261="","状態未設定 ","")&amp;IF(AND(OR($I1261="確認済",$I1261="未確認"),$B1261="月例",OR($C1261="",$C1261&lt;DATE(年度+2018,4,1),$C1261&gt;DATE(年度+2019,3,31))),"年度外の日付 ","")&amp;IF(AND(OR($I1261="確認済",$I1261="未確認"),O1261="対象外"),"対象外の科目 ","")))</f>
        <v/>
      </c>
      <c r="R1261" s="366" t="n"/>
    </row>
    <row r="1262">
      <c r="A1262" s="359" t="n"/>
      <c r="B1262" s="360" t="n"/>
      <c r="C1262" s="361" t="n"/>
      <c r="D1262" s="362" t="n"/>
      <c r="E1262" s="362" t="n"/>
      <c r="F1262" s="362" t="n"/>
      <c r="G1262" s="363" t="n"/>
      <c r="H1262" s="360" t="n"/>
      <c r="I1262" s="360" t="n"/>
      <c r="J1262" s="364" t="str">
        <f>IF($G1262="","",IF($H1262=1,$G1262-ROUND($G1262*10/23,0)-2*ROUND($G1262/23,0),IF($H1262=2,$G1262,0)))</f>
        <v/>
      </c>
      <c r="K1262" s="364" t="str">
        <f>IF($G1262="","",IF($H1262=1,ROUND($G1262*10/23,0),IF($H1262=3,$G1262-2*ROUND($G1262/12,0),IF($H1262=4,$G1262,IF(OR($H1262=5,$H1262=7),ROUND($G1262*10/11,0),0)))))</f>
        <v/>
      </c>
      <c r="L1262" s="364" t="str">
        <f>IF($G1262="","",IF($H1262=1,ROUND($G1262/23,0),IF($H1262=3,ROUND($G1262/12,0),IF($H1262=5,$G1262-ROUND($G1262*10/11,0),IF($H1262=8,$G1262,0)))))</f>
        <v/>
      </c>
      <c r="M1262" s="364" t="str">
        <f>IF($G1262="","",IF($H1262=1,ROUND($G1262/23,0),IF($H1262=3,ROUND($G1262/12,0),IF($H1262=6,$G1262,IF($H1262=7,$G1262-ROUND($G1262*10/11,0),0)))))</f>
        <v/>
      </c>
      <c r="N1262" s="364" t="str">
        <f>IF($G1262="","",K1262+L1262+M1262)</f>
        <v/>
      </c>
      <c r="O1262" s="365" t="str">
        <f>IF($G1262="","",IFERROR(VLOOKUP($D1262&amp;"|"&amp;$E1262,科目表!$A$5:$B$200,2,FALSE),"※未登録"))</f>
        <v/>
      </c>
      <c r="P1262" s="359" t="str">
        <f>IF(OR($G1262="",$C1262=""),"",IF($B1262="決算整理",13,MOD(MONTH($C1262)-4,12)+1))</f>
        <v/>
      </c>
      <c r="Q1262" s="366" t="str">
        <f>IF($G1262="","",TRIM(IF(J1262+K1262+L1262+M1262&lt;&gt;$G1262,"按分不一致 ","")&amp;IF(O1262="※未登録","科目未登録 ","")&amp;IF(OR($H1262="",ISERROR(MATCH($H1262,{1,2,3,4,5,6,7,8},0))),"経費区分? ","")&amp;IF($I1262="","状態未設定 ","")&amp;IF(AND(OR($I1262="確認済",$I1262="未確認"),$B1262="月例",OR($C1262="",$C1262&lt;DATE(年度+2018,4,1),$C1262&gt;DATE(年度+2019,3,31))),"年度外の日付 ","")&amp;IF(AND(OR($I1262="確認済",$I1262="未確認"),O1262="対象外"),"対象外の科目 ","")))</f>
        <v/>
      </c>
      <c r="R1262" s="366" t="n"/>
    </row>
    <row r="1263">
      <c r="A1263" s="359" t="n"/>
      <c r="B1263" s="360" t="n"/>
      <c r="C1263" s="361" t="n"/>
      <c r="D1263" s="362" t="n"/>
      <c r="E1263" s="362" t="n"/>
      <c r="F1263" s="362" t="n"/>
      <c r="G1263" s="363" t="n"/>
      <c r="H1263" s="360" t="n"/>
      <c r="I1263" s="360" t="n"/>
      <c r="J1263" s="364" t="str">
        <f>IF($G1263="","",IF($H1263=1,$G1263-ROUND($G1263*10/23,0)-2*ROUND($G1263/23,0),IF($H1263=2,$G1263,0)))</f>
        <v/>
      </c>
      <c r="K1263" s="364" t="str">
        <f>IF($G1263="","",IF($H1263=1,ROUND($G1263*10/23,0),IF($H1263=3,$G1263-2*ROUND($G1263/12,0),IF($H1263=4,$G1263,IF(OR($H1263=5,$H1263=7),ROUND($G1263*10/11,0),0)))))</f>
        <v/>
      </c>
      <c r="L1263" s="364" t="str">
        <f>IF($G1263="","",IF($H1263=1,ROUND($G1263/23,0),IF($H1263=3,ROUND($G1263/12,0),IF($H1263=5,$G1263-ROUND($G1263*10/11,0),IF($H1263=8,$G1263,0)))))</f>
        <v/>
      </c>
      <c r="M1263" s="364" t="str">
        <f>IF($G1263="","",IF($H1263=1,ROUND($G1263/23,0),IF($H1263=3,ROUND($G1263/12,0),IF($H1263=6,$G1263,IF($H1263=7,$G1263-ROUND($G1263*10/11,0),0)))))</f>
        <v/>
      </c>
      <c r="N1263" s="364" t="str">
        <f>IF($G1263="","",K1263+L1263+M1263)</f>
        <v/>
      </c>
      <c r="O1263" s="365" t="str">
        <f>IF($G1263="","",IFERROR(VLOOKUP($D1263&amp;"|"&amp;$E1263,科目表!$A$5:$B$200,2,FALSE),"※未登録"))</f>
        <v/>
      </c>
      <c r="P1263" s="359" t="str">
        <f>IF(OR($G1263="",$C1263=""),"",IF($B1263="決算整理",13,MOD(MONTH($C1263)-4,12)+1))</f>
        <v/>
      </c>
      <c r="Q1263" s="366" t="str">
        <f>IF($G1263="","",TRIM(IF(J1263+K1263+L1263+M1263&lt;&gt;$G1263,"按分不一致 ","")&amp;IF(O1263="※未登録","科目未登録 ","")&amp;IF(OR($H1263="",ISERROR(MATCH($H1263,{1,2,3,4,5,6,7,8},0))),"経費区分? ","")&amp;IF($I1263="","状態未設定 ","")&amp;IF(AND(OR($I1263="確認済",$I1263="未確認"),$B1263="月例",OR($C1263="",$C1263&lt;DATE(年度+2018,4,1),$C1263&gt;DATE(年度+2019,3,31))),"年度外の日付 ","")&amp;IF(AND(OR($I1263="確認済",$I1263="未確認"),O1263="対象外"),"対象外の科目 ","")))</f>
        <v/>
      </c>
      <c r="R1263" s="366" t="n"/>
    </row>
    <row r="1264">
      <c r="A1264" s="359" t="n"/>
      <c r="B1264" s="360" t="n"/>
      <c r="C1264" s="361" t="n"/>
      <c r="D1264" s="362" t="n"/>
      <c r="E1264" s="362" t="n"/>
      <c r="F1264" s="362" t="n"/>
      <c r="G1264" s="363" t="n"/>
      <c r="H1264" s="360" t="n"/>
      <c r="I1264" s="360" t="n"/>
      <c r="J1264" s="364" t="str">
        <f>IF($G1264="","",IF($H1264=1,$G1264-ROUND($G1264*10/23,0)-2*ROUND($G1264/23,0),IF($H1264=2,$G1264,0)))</f>
        <v/>
      </c>
      <c r="K1264" s="364" t="str">
        <f>IF($G1264="","",IF($H1264=1,ROUND($G1264*10/23,0),IF($H1264=3,$G1264-2*ROUND($G1264/12,0),IF($H1264=4,$G1264,IF(OR($H1264=5,$H1264=7),ROUND($G1264*10/11,0),0)))))</f>
        <v/>
      </c>
      <c r="L1264" s="364" t="str">
        <f>IF($G1264="","",IF($H1264=1,ROUND($G1264/23,0),IF($H1264=3,ROUND($G1264/12,0),IF($H1264=5,$G1264-ROUND($G1264*10/11,0),IF($H1264=8,$G1264,0)))))</f>
        <v/>
      </c>
      <c r="M1264" s="364" t="str">
        <f>IF($G1264="","",IF($H1264=1,ROUND($G1264/23,0),IF($H1264=3,ROUND($G1264/12,0),IF($H1264=6,$G1264,IF($H1264=7,$G1264-ROUND($G1264*10/11,0),0)))))</f>
        <v/>
      </c>
      <c r="N1264" s="364" t="str">
        <f>IF($G1264="","",K1264+L1264+M1264)</f>
        <v/>
      </c>
      <c r="O1264" s="365" t="str">
        <f>IF($G1264="","",IFERROR(VLOOKUP($D1264&amp;"|"&amp;$E1264,科目表!$A$5:$B$200,2,FALSE),"※未登録"))</f>
        <v/>
      </c>
      <c r="P1264" s="359" t="str">
        <f>IF(OR($G1264="",$C1264=""),"",IF($B1264="決算整理",13,MOD(MONTH($C1264)-4,12)+1))</f>
        <v/>
      </c>
      <c r="Q1264" s="366" t="str">
        <f>IF($G1264="","",TRIM(IF(J1264+K1264+L1264+M1264&lt;&gt;$G1264,"按分不一致 ","")&amp;IF(O1264="※未登録","科目未登録 ","")&amp;IF(OR($H1264="",ISERROR(MATCH($H1264,{1,2,3,4,5,6,7,8},0))),"経費区分? ","")&amp;IF($I1264="","状態未設定 ","")&amp;IF(AND(OR($I1264="確認済",$I1264="未確認"),$B1264="月例",OR($C1264="",$C1264&lt;DATE(年度+2018,4,1),$C1264&gt;DATE(年度+2019,3,31))),"年度外の日付 ","")&amp;IF(AND(OR($I1264="確認済",$I1264="未確認"),O1264="対象外"),"対象外の科目 ","")))</f>
        <v/>
      </c>
      <c r="R1264" s="366" t="n"/>
    </row>
    <row r="1265">
      <c r="A1265" s="359" t="n"/>
      <c r="B1265" s="360" t="n"/>
      <c r="C1265" s="361" t="n"/>
      <c r="D1265" s="362" t="n"/>
      <c r="E1265" s="362" t="n"/>
      <c r="F1265" s="362" t="n"/>
      <c r="G1265" s="363" t="n"/>
      <c r="H1265" s="360" t="n"/>
      <c r="I1265" s="360" t="n"/>
      <c r="J1265" s="364" t="str">
        <f>IF($G1265="","",IF($H1265=1,$G1265-ROUND($G1265*10/23,0)-2*ROUND($G1265/23,0),IF($H1265=2,$G1265,0)))</f>
        <v/>
      </c>
      <c r="K1265" s="364" t="str">
        <f>IF($G1265="","",IF($H1265=1,ROUND($G1265*10/23,0),IF($H1265=3,$G1265-2*ROUND($G1265/12,0),IF($H1265=4,$G1265,IF(OR($H1265=5,$H1265=7),ROUND($G1265*10/11,0),0)))))</f>
        <v/>
      </c>
      <c r="L1265" s="364" t="str">
        <f>IF($G1265="","",IF($H1265=1,ROUND($G1265/23,0),IF($H1265=3,ROUND($G1265/12,0),IF($H1265=5,$G1265-ROUND($G1265*10/11,0),IF($H1265=8,$G1265,0)))))</f>
        <v/>
      </c>
      <c r="M1265" s="364" t="str">
        <f>IF($G1265="","",IF($H1265=1,ROUND($G1265/23,0),IF($H1265=3,ROUND($G1265/12,0),IF($H1265=6,$G1265,IF($H1265=7,$G1265-ROUND($G1265*10/11,0),0)))))</f>
        <v/>
      </c>
      <c r="N1265" s="364" t="str">
        <f>IF($G1265="","",K1265+L1265+M1265)</f>
        <v/>
      </c>
      <c r="O1265" s="365" t="str">
        <f>IF($G1265="","",IFERROR(VLOOKUP($D1265&amp;"|"&amp;$E1265,科目表!$A$5:$B$200,2,FALSE),"※未登録"))</f>
        <v/>
      </c>
      <c r="P1265" s="359" t="str">
        <f>IF(OR($G1265="",$C1265=""),"",IF($B1265="決算整理",13,MOD(MONTH($C1265)-4,12)+1))</f>
        <v/>
      </c>
      <c r="Q1265" s="366" t="str">
        <f>IF($G1265="","",TRIM(IF(J1265+K1265+L1265+M1265&lt;&gt;$G1265,"按分不一致 ","")&amp;IF(O1265="※未登録","科目未登録 ","")&amp;IF(OR($H1265="",ISERROR(MATCH($H1265,{1,2,3,4,5,6,7,8},0))),"経費区分? ","")&amp;IF($I1265="","状態未設定 ","")&amp;IF(AND(OR($I1265="確認済",$I1265="未確認"),$B1265="月例",OR($C1265="",$C1265&lt;DATE(年度+2018,4,1),$C1265&gt;DATE(年度+2019,3,31))),"年度外の日付 ","")&amp;IF(AND(OR($I1265="確認済",$I1265="未確認"),O1265="対象外"),"対象外の科目 ","")))</f>
        <v/>
      </c>
      <c r="R1265" s="366" t="n"/>
    </row>
    <row r="1266">
      <c r="A1266" s="359" t="n"/>
      <c r="B1266" s="360" t="n"/>
      <c r="C1266" s="361" t="n"/>
      <c r="D1266" s="362" t="n"/>
      <c r="E1266" s="362" t="n"/>
      <c r="F1266" s="362" t="n"/>
      <c r="G1266" s="363" t="n"/>
      <c r="H1266" s="360" t="n"/>
      <c r="I1266" s="360" t="n"/>
      <c r="J1266" s="364" t="str">
        <f>IF($G1266="","",IF($H1266=1,$G1266-ROUND($G1266*10/23,0)-2*ROUND($G1266/23,0),IF($H1266=2,$G1266,0)))</f>
        <v/>
      </c>
      <c r="K1266" s="364" t="str">
        <f>IF($G1266="","",IF($H1266=1,ROUND($G1266*10/23,0),IF($H1266=3,$G1266-2*ROUND($G1266/12,0),IF($H1266=4,$G1266,IF(OR($H1266=5,$H1266=7),ROUND($G1266*10/11,0),0)))))</f>
        <v/>
      </c>
      <c r="L1266" s="364" t="str">
        <f>IF($G1266="","",IF($H1266=1,ROUND($G1266/23,0),IF($H1266=3,ROUND($G1266/12,0),IF($H1266=5,$G1266-ROUND($G1266*10/11,0),IF($H1266=8,$G1266,0)))))</f>
        <v/>
      </c>
      <c r="M1266" s="364" t="str">
        <f>IF($G1266="","",IF($H1266=1,ROUND($G1266/23,0),IF($H1266=3,ROUND($G1266/12,0),IF($H1266=6,$G1266,IF($H1266=7,$G1266-ROUND($G1266*10/11,0),0)))))</f>
        <v/>
      </c>
      <c r="N1266" s="364" t="str">
        <f>IF($G1266="","",K1266+L1266+M1266)</f>
        <v/>
      </c>
      <c r="O1266" s="365" t="str">
        <f>IF($G1266="","",IFERROR(VLOOKUP($D1266&amp;"|"&amp;$E1266,科目表!$A$5:$B$200,2,FALSE),"※未登録"))</f>
        <v/>
      </c>
      <c r="P1266" s="359" t="str">
        <f>IF(OR($G1266="",$C1266=""),"",IF($B1266="決算整理",13,MOD(MONTH($C1266)-4,12)+1))</f>
        <v/>
      </c>
      <c r="Q1266" s="366" t="str">
        <f>IF($G1266="","",TRIM(IF(J1266+K1266+L1266+M1266&lt;&gt;$G1266,"按分不一致 ","")&amp;IF(O1266="※未登録","科目未登録 ","")&amp;IF(OR($H1266="",ISERROR(MATCH($H1266,{1,2,3,4,5,6,7,8},0))),"経費区分? ","")&amp;IF($I1266="","状態未設定 ","")&amp;IF(AND(OR($I1266="確認済",$I1266="未確認"),$B1266="月例",OR($C1266="",$C1266&lt;DATE(年度+2018,4,1),$C1266&gt;DATE(年度+2019,3,31))),"年度外の日付 ","")&amp;IF(AND(OR($I1266="確認済",$I1266="未確認"),O1266="対象外"),"対象外の科目 ","")))</f>
        <v/>
      </c>
      <c r="R1266" s="366" t="n"/>
    </row>
    <row r="1267">
      <c r="A1267" s="359" t="n"/>
      <c r="B1267" s="360" t="n"/>
      <c r="C1267" s="361" t="n"/>
      <c r="D1267" s="362" t="n"/>
      <c r="E1267" s="362" t="n"/>
      <c r="F1267" s="362" t="n"/>
      <c r="G1267" s="363" t="n"/>
      <c r="H1267" s="360" t="n"/>
      <c r="I1267" s="360" t="n"/>
      <c r="J1267" s="364" t="str">
        <f>IF($G1267="","",IF($H1267=1,$G1267-ROUND($G1267*10/23,0)-2*ROUND($G1267/23,0),IF($H1267=2,$G1267,0)))</f>
        <v/>
      </c>
      <c r="K1267" s="364" t="str">
        <f>IF($G1267="","",IF($H1267=1,ROUND($G1267*10/23,0),IF($H1267=3,$G1267-2*ROUND($G1267/12,0),IF($H1267=4,$G1267,IF(OR($H1267=5,$H1267=7),ROUND($G1267*10/11,0),0)))))</f>
        <v/>
      </c>
      <c r="L1267" s="364" t="str">
        <f>IF($G1267="","",IF($H1267=1,ROUND($G1267/23,0),IF($H1267=3,ROUND($G1267/12,0),IF($H1267=5,$G1267-ROUND($G1267*10/11,0),IF($H1267=8,$G1267,0)))))</f>
        <v/>
      </c>
      <c r="M1267" s="364" t="str">
        <f>IF($G1267="","",IF($H1267=1,ROUND($G1267/23,0),IF($H1267=3,ROUND($G1267/12,0),IF($H1267=6,$G1267,IF($H1267=7,$G1267-ROUND($G1267*10/11,0),0)))))</f>
        <v/>
      </c>
      <c r="N1267" s="364" t="str">
        <f>IF($G1267="","",K1267+L1267+M1267)</f>
        <v/>
      </c>
      <c r="O1267" s="365" t="str">
        <f>IF($G1267="","",IFERROR(VLOOKUP($D1267&amp;"|"&amp;$E1267,科目表!$A$5:$B$200,2,FALSE),"※未登録"))</f>
        <v/>
      </c>
      <c r="P1267" s="359" t="str">
        <f>IF(OR($G1267="",$C1267=""),"",IF($B1267="決算整理",13,MOD(MONTH($C1267)-4,12)+1))</f>
        <v/>
      </c>
      <c r="Q1267" s="366" t="str">
        <f>IF($G1267="","",TRIM(IF(J1267+K1267+L1267+M1267&lt;&gt;$G1267,"按分不一致 ","")&amp;IF(O1267="※未登録","科目未登録 ","")&amp;IF(OR($H1267="",ISERROR(MATCH($H1267,{1,2,3,4,5,6,7,8},0))),"経費区分? ","")&amp;IF($I1267="","状態未設定 ","")&amp;IF(AND(OR($I1267="確認済",$I1267="未確認"),$B1267="月例",OR($C1267="",$C1267&lt;DATE(年度+2018,4,1),$C1267&gt;DATE(年度+2019,3,31))),"年度外の日付 ","")&amp;IF(AND(OR($I1267="確認済",$I1267="未確認"),O1267="対象外"),"対象外の科目 ","")))</f>
        <v/>
      </c>
      <c r="R1267" s="366" t="n"/>
    </row>
    <row r="1268">
      <c r="A1268" s="359" t="n"/>
      <c r="B1268" s="360" t="n"/>
      <c r="C1268" s="361" t="n"/>
      <c r="D1268" s="362" t="n"/>
      <c r="E1268" s="362" t="n"/>
      <c r="F1268" s="362" t="n"/>
      <c r="G1268" s="363" t="n"/>
      <c r="H1268" s="360" t="n"/>
      <c r="I1268" s="360" t="n"/>
      <c r="J1268" s="364" t="str">
        <f>IF($G1268="","",IF($H1268=1,$G1268-ROUND($G1268*10/23,0)-2*ROUND($G1268/23,0),IF($H1268=2,$G1268,0)))</f>
        <v/>
      </c>
      <c r="K1268" s="364" t="str">
        <f>IF($G1268="","",IF($H1268=1,ROUND($G1268*10/23,0),IF($H1268=3,$G1268-2*ROUND($G1268/12,0),IF($H1268=4,$G1268,IF(OR($H1268=5,$H1268=7),ROUND($G1268*10/11,0),0)))))</f>
        <v/>
      </c>
      <c r="L1268" s="364" t="str">
        <f>IF($G1268="","",IF($H1268=1,ROUND($G1268/23,0),IF($H1268=3,ROUND($G1268/12,0),IF($H1268=5,$G1268-ROUND($G1268*10/11,0),IF($H1268=8,$G1268,0)))))</f>
        <v/>
      </c>
      <c r="M1268" s="364" t="str">
        <f>IF($G1268="","",IF($H1268=1,ROUND($G1268/23,0),IF($H1268=3,ROUND($G1268/12,0),IF($H1268=6,$G1268,IF($H1268=7,$G1268-ROUND($G1268*10/11,0),0)))))</f>
        <v/>
      </c>
      <c r="N1268" s="364" t="str">
        <f>IF($G1268="","",K1268+L1268+M1268)</f>
        <v/>
      </c>
      <c r="O1268" s="365" t="str">
        <f>IF($G1268="","",IFERROR(VLOOKUP($D1268&amp;"|"&amp;$E1268,科目表!$A$5:$B$200,2,FALSE),"※未登録"))</f>
        <v/>
      </c>
      <c r="P1268" s="359" t="str">
        <f>IF(OR($G1268="",$C1268=""),"",IF($B1268="決算整理",13,MOD(MONTH($C1268)-4,12)+1))</f>
        <v/>
      </c>
      <c r="Q1268" s="366" t="str">
        <f>IF($G1268="","",TRIM(IF(J1268+K1268+L1268+M1268&lt;&gt;$G1268,"按分不一致 ","")&amp;IF(O1268="※未登録","科目未登録 ","")&amp;IF(OR($H1268="",ISERROR(MATCH($H1268,{1,2,3,4,5,6,7,8},0))),"経費区分? ","")&amp;IF($I1268="","状態未設定 ","")&amp;IF(AND(OR($I1268="確認済",$I1268="未確認"),$B1268="月例",OR($C1268="",$C1268&lt;DATE(年度+2018,4,1),$C1268&gt;DATE(年度+2019,3,31))),"年度外の日付 ","")&amp;IF(AND(OR($I1268="確認済",$I1268="未確認"),O1268="対象外"),"対象外の科目 ","")))</f>
        <v/>
      </c>
      <c r="R1268" s="366" t="n"/>
    </row>
    <row r="1269">
      <c r="A1269" s="359" t="n"/>
      <c r="B1269" s="360" t="n"/>
      <c r="C1269" s="361" t="n"/>
      <c r="D1269" s="362" t="n"/>
      <c r="E1269" s="362" t="n"/>
      <c r="F1269" s="362" t="n"/>
      <c r="G1269" s="363" t="n"/>
      <c r="H1269" s="360" t="n"/>
      <c r="I1269" s="360" t="n"/>
      <c r="J1269" s="364" t="str">
        <f>IF($G1269="","",IF($H1269=1,$G1269-ROUND($G1269*10/23,0)-2*ROUND($G1269/23,0),IF($H1269=2,$G1269,0)))</f>
        <v/>
      </c>
      <c r="K1269" s="364" t="str">
        <f>IF($G1269="","",IF($H1269=1,ROUND($G1269*10/23,0),IF($H1269=3,$G1269-2*ROUND($G1269/12,0),IF($H1269=4,$G1269,IF(OR($H1269=5,$H1269=7),ROUND($G1269*10/11,0),0)))))</f>
        <v/>
      </c>
      <c r="L1269" s="364" t="str">
        <f>IF($G1269="","",IF($H1269=1,ROUND($G1269/23,0),IF($H1269=3,ROUND($G1269/12,0),IF($H1269=5,$G1269-ROUND($G1269*10/11,0),IF($H1269=8,$G1269,0)))))</f>
        <v/>
      </c>
      <c r="M1269" s="364" t="str">
        <f>IF($G1269="","",IF($H1269=1,ROUND($G1269/23,0),IF($H1269=3,ROUND($G1269/12,0),IF($H1269=6,$G1269,IF($H1269=7,$G1269-ROUND($G1269*10/11,0),0)))))</f>
        <v/>
      </c>
      <c r="N1269" s="364" t="str">
        <f>IF($G1269="","",K1269+L1269+M1269)</f>
        <v/>
      </c>
      <c r="O1269" s="365" t="str">
        <f>IF($G1269="","",IFERROR(VLOOKUP($D1269&amp;"|"&amp;$E1269,科目表!$A$5:$B$200,2,FALSE),"※未登録"))</f>
        <v/>
      </c>
      <c r="P1269" s="359" t="str">
        <f>IF(OR($G1269="",$C1269=""),"",IF($B1269="決算整理",13,MOD(MONTH($C1269)-4,12)+1))</f>
        <v/>
      </c>
      <c r="Q1269" s="366" t="str">
        <f>IF($G1269="","",TRIM(IF(J1269+K1269+L1269+M1269&lt;&gt;$G1269,"按分不一致 ","")&amp;IF(O1269="※未登録","科目未登録 ","")&amp;IF(OR($H1269="",ISERROR(MATCH($H1269,{1,2,3,4,5,6,7,8},0))),"経費区分? ","")&amp;IF($I1269="","状態未設定 ","")&amp;IF(AND(OR($I1269="確認済",$I1269="未確認"),$B1269="月例",OR($C1269="",$C1269&lt;DATE(年度+2018,4,1),$C1269&gt;DATE(年度+2019,3,31))),"年度外の日付 ","")&amp;IF(AND(OR($I1269="確認済",$I1269="未確認"),O1269="対象外"),"対象外の科目 ","")))</f>
        <v/>
      </c>
      <c r="R1269" s="366" t="n"/>
    </row>
    <row r="1270">
      <c r="A1270" s="359" t="n"/>
      <c r="B1270" s="360" t="n"/>
      <c r="C1270" s="361" t="n"/>
      <c r="D1270" s="362" t="n"/>
      <c r="E1270" s="362" t="n"/>
      <c r="F1270" s="362" t="n"/>
      <c r="G1270" s="363" t="n"/>
      <c r="H1270" s="360" t="n"/>
      <c r="I1270" s="360" t="n"/>
      <c r="J1270" s="364" t="str">
        <f>IF($G1270="","",IF($H1270=1,$G1270-ROUND($G1270*10/23,0)-2*ROUND($G1270/23,0),IF($H1270=2,$G1270,0)))</f>
        <v/>
      </c>
      <c r="K1270" s="364" t="str">
        <f>IF($G1270="","",IF($H1270=1,ROUND($G1270*10/23,0),IF($H1270=3,$G1270-2*ROUND($G1270/12,0),IF($H1270=4,$G1270,IF(OR($H1270=5,$H1270=7),ROUND($G1270*10/11,0),0)))))</f>
        <v/>
      </c>
      <c r="L1270" s="364" t="str">
        <f>IF($G1270="","",IF($H1270=1,ROUND($G1270/23,0),IF($H1270=3,ROUND($G1270/12,0),IF($H1270=5,$G1270-ROUND($G1270*10/11,0),IF($H1270=8,$G1270,0)))))</f>
        <v/>
      </c>
      <c r="M1270" s="364" t="str">
        <f>IF($G1270="","",IF($H1270=1,ROUND($G1270/23,0),IF($H1270=3,ROUND($G1270/12,0),IF($H1270=6,$G1270,IF($H1270=7,$G1270-ROUND($G1270*10/11,0),0)))))</f>
        <v/>
      </c>
      <c r="N1270" s="364" t="str">
        <f>IF($G1270="","",K1270+L1270+M1270)</f>
        <v/>
      </c>
      <c r="O1270" s="365" t="str">
        <f>IF($G1270="","",IFERROR(VLOOKUP($D1270&amp;"|"&amp;$E1270,科目表!$A$5:$B$200,2,FALSE),"※未登録"))</f>
        <v/>
      </c>
      <c r="P1270" s="359" t="str">
        <f>IF(OR($G1270="",$C1270=""),"",IF($B1270="決算整理",13,MOD(MONTH($C1270)-4,12)+1))</f>
        <v/>
      </c>
      <c r="Q1270" s="366" t="str">
        <f>IF($G1270="","",TRIM(IF(J1270+K1270+L1270+M1270&lt;&gt;$G1270,"按分不一致 ","")&amp;IF(O1270="※未登録","科目未登録 ","")&amp;IF(OR($H1270="",ISERROR(MATCH($H1270,{1,2,3,4,5,6,7,8},0))),"経費区分? ","")&amp;IF($I1270="","状態未設定 ","")&amp;IF(AND(OR($I1270="確認済",$I1270="未確認"),$B1270="月例",OR($C1270="",$C1270&lt;DATE(年度+2018,4,1),$C1270&gt;DATE(年度+2019,3,31))),"年度外の日付 ","")&amp;IF(AND(OR($I1270="確認済",$I1270="未確認"),O1270="対象外"),"対象外の科目 ","")))</f>
        <v/>
      </c>
      <c r="R1270" s="366" t="n"/>
    </row>
    <row r="1271">
      <c r="A1271" s="359" t="n"/>
      <c r="B1271" s="360" t="n"/>
      <c r="C1271" s="361" t="n"/>
      <c r="D1271" s="362" t="n"/>
      <c r="E1271" s="362" t="n"/>
      <c r="F1271" s="362" t="n"/>
      <c r="G1271" s="363" t="n"/>
      <c r="H1271" s="360" t="n"/>
      <c r="I1271" s="360" t="n"/>
      <c r="J1271" s="364" t="str">
        <f>IF($G1271="","",IF($H1271=1,$G1271-ROUND($G1271*10/23,0)-2*ROUND($G1271/23,0),IF($H1271=2,$G1271,0)))</f>
        <v/>
      </c>
      <c r="K1271" s="364" t="str">
        <f>IF($G1271="","",IF($H1271=1,ROUND($G1271*10/23,0),IF($H1271=3,$G1271-2*ROUND($G1271/12,0),IF($H1271=4,$G1271,IF(OR($H1271=5,$H1271=7),ROUND($G1271*10/11,0),0)))))</f>
        <v/>
      </c>
      <c r="L1271" s="364" t="str">
        <f>IF($G1271="","",IF($H1271=1,ROUND($G1271/23,0),IF($H1271=3,ROUND($G1271/12,0),IF($H1271=5,$G1271-ROUND($G1271*10/11,0),IF($H1271=8,$G1271,0)))))</f>
        <v/>
      </c>
      <c r="M1271" s="364" t="str">
        <f>IF($G1271="","",IF($H1271=1,ROUND($G1271/23,0),IF($H1271=3,ROUND($G1271/12,0),IF($H1271=6,$G1271,IF($H1271=7,$G1271-ROUND($G1271*10/11,0),0)))))</f>
        <v/>
      </c>
      <c r="N1271" s="364" t="str">
        <f>IF($G1271="","",K1271+L1271+M1271)</f>
        <v/>
      </c>
      <c r="O1271" s="365" t="str">
        <f>IF($G1271="","",IFERROR(VLOOKUP($D1271&amp;"|"&amp;$E1271,科目表!$A$5:$B$200,2,FALSE),"※未登録"))</f>
        <v/>
      </c>
      <c r="P1271" s="359" t="str">
        <f>IF(OR($G1271="",$C1271=""),"",IF($B1271="決算整理",13,MOD(MONTH($C1271)-4,12)+1))</f>
        <v/>
      </c>
      <c r="Q1271" s="366" t="str">
        <f>IF($G1271="","",TRIM(IF(J1271+K1271+L1271+M1271&lt;&gt;$G1271,"按分不一致 ","")&amp;IF(O1271="※未登録","科目未登録 ","")&amp;IF(OR($H1271="",ISERROR(MATCH($H1271,{1,2,3,4,5,6,7,8},0))),"経費区分? ","")&amp;IF($I1271="","状態未設定 ","")&amp;IF(AND(OR($I1271="確認済",$I1271="未確認"),$B1271="月例",OR($C1271="",$C1271&lt;DATE(年度+2018,4,1),$C1271&gt;DATE(年度+2019,3,31))),"年度外の日付 ","")&amp;IF(AND(OR($I1271="確認済",$I1271="未確認"),O1271="対象外"),"対象外の科目 ","")))</f>
        <v/>
      </c>
      <c r="R1271" s="366" t="n"/>
    </row>
    <row r="1272">
      <c r="A1272" s="359" t="n"/>
      <c r="B1272" s="360" t="n"/>
      <c r="C1272" s="361" t="n"/>
      <c r="D1272" s="362" t="n"/>
      <c r="E1272" s="362" t="n"/>
      <c r="F1272" s="362" t="n"/>
      <c r="G1272" s="363" t="n"/>
      <c r="H1272" s="360" t="n"/>
      <c r="I1272" s="360" t="n"/>
      <c r="J1272" s="364" t="str">
        <f>IF($G1272="","",IF($H1272=1,$G1272-ROUND($G1272*10/23,0)-2*ROUND($G1272/23,0),IF($H1272=2,$G1272,0)))</f>
        <v/>
      </c>
      <c r="K1272" s="364" t="str">
        <f>IF($G1272="","",IF($H1272=1,ROUND($G1272*10/23,0),IF($H1272=3,$G1272-2*ROUND($G1272/12,0),IF($H1272=4,$G1272,IF(OR($H1272=5,$H1272=7),ROUND($G1272*10/11,0),0)))))</f>
        <v/>
      </c>
      <c r="L1272" s="364" t="str">
        <f>IF($G1272="","",IF($H1272=1,ROUND($G1272/23,0),IF($H1272=3,ROUND($G1272/12,0),IF($H1272=5,$G1272-ROUND($G1272*10/11,0),IF($H1272=8,$G1272,0)))))</f>
        <v/>
      </c>
      <c r="M1272" s="364" t="str">
        <f>IF($G1272="","",IF($H1272=1,ROUND($G1272/23,0),IF($H1272=3,ROUND($G1272/12,0),IF($H1272=6,$G1272,IF($H1272=7,$G1272-ROUND($G1272*10/11,0),0)))))</f>
        <v/>
      </c>
      <c r="N1272" s="364" t="str">
        <f>IF($G1272="","",K1272+L1272+M1272)</f>
        <v/>
      </c>
      <c r="O1272" s="365" t="str">
        <f>IF($G1272="","",IFERROR(VLOOKUP($D1272&amp;"|"&amp;$E1272,科目表!$A$5:$B$200,2,FALSE),"※未登録"))</f>
        <v/>
      </c>
      <c r="P1272" s="359" t="str">
        <f>IF(OR($G1272="",$C1272=""),"",IF($B1272="決算整理",13,MOD(MONTH($C1272)-4,12)+1))</f>
        <v/>
      </c>
      <c r="Q1272" s="366" t="str">
        <f>IF($G1272="","",TRIM(IF(J1272+K1272+L1272+M1272&lt;&gt;$G1272,"按分不一致 ","")&amp;IF(O1272="※未登録","科目未登録 ","")&amp;IF(OR($H1272="",ISERROR(MATCH($H1272,{1,2,3,4,5,6,7,8},0))),"経費区分? ","")&amp;IF($I1272="","状態未設定 ","")&amp;IF(AND(OR($I1272="確認済",$I1272="未確認"),$B1272="月例",OR($C1272="",$C1272&lt;DATE(年度+2018,4,1),$C1272&gt;DATE(年度+2019,3,31))),"年度外の日付 ","")&amp;IF(AND(OR($I1272="確認済",$I1272="未確認"),O1272="対象外"),"対象外の科目 ","")))</f>
        <v/>
      </c>
      <c r="R1272" s="366" t="n"/>
    </row>
    <row r="1273">
      <c r="A1273" s="359" t="n"/>
      <c r="B1273" s="360" t="n"/>
      <c r="C1273" s="361" t="n"/>
      <c r="D1273" s="362" t="n"/>
      <c r="E1273" s="362" t="n"/>
      <c r="F1273" s="362" t="n"/>
      <c r="G1273" s="363" t="n"/>
      <c r="H1273" s="360" t="n"/>
      <c r="I1273" s="360" t="n"/>
      <c r="J1273" s="364" t="str">
        <f>IF($G1273="","",IF($H1273=1,$G1273-ROUND($G1273*10/23,0)-2*ROUND($G1273/23,0),IF($H1273=2,$G1273,0)))</f>
        <v/>
      </c>
      <c r="K1273" s="364" t="str">
        <f>IF($G1273="","",IF($H1273=1,ROUND($G1273*10/23,0),IF($H1273=3,$G1273-2*ROUND($G1273/12,0),IF($H1273=4,$G1273,IF(OR($H1273=5,$H1273=7),ROUND($G1273*10/11,0),0)))))</f>
        <v/>
      </c>
      <c r="L1273" s="364" t="str">
        <f>IF($G1273="","",IF($H1273=1,ROUND($G1273/23,0),IF($H1273=3,ROUND($G1273/12,0),IF($H1273=5,$G1273-ROUND($G1273*10/11,0),IF($H1273=8,$G1273,0)))))</f>
        <v/>
      </c>
      <c r="M1273" s="364" t="str">
        <f>IF($G1273="","",IF($H1273=1,ROUND($G1273/23,0),IF($H1273=3,ROUND($G1273/12,0),IF($H1273=6,$G1273,IF($H1273=7,$G1273-ROUND($G1273*10/11,0),0)))))</f>
        <v/>
      </c>
      <c r="N1273" s="364" t="str">
        <f>IF($G1273="","",K1273+L1273+M1273)</f>
        <v/>
      </c>
      <c r="O1273" s="365" t="str">
        <f>IF($G1273="","",IFERROR(VLOOKUP($D1273&amp;"|"&amp;$E1273,科目表!$A$5:$B$200,2,FALSE),"※未登録"))</f>
        <v/>
      </c>
      <c r="P1273" s="359" t="str">
        <f>IF(OR($G1273="",$C1273=""),"",IF($B1273="決算整理",13,MOD(MONTH($C1273)-4,12)+1))</f>
        <v/>
      </c>
      <c r="Q1273" s="366" t="str">
        <f>IF($G1273="","",TRIM(IF(J1273+K1273+L1273+M1273&lt;&gt;$G1273,"按分不一致 ","")&amp;IF(O1273="※未登録","科目未登録 ","")&amp;IF(OR($H1273="",ISERROR(MATCH($H1273,{1,2,3,4,5,6,7,8},0))),"経費区分? ","")&amp;IF($I1273="","状態未設定 ","")&amp;IF(AND(OR($I1273="確認済",$I1273="未確認"),$B1273="月例",OR($C1273="",$C1273&lt;DATE(年度+2018,4,1),$C1273&gt;DATE(年度+2019,3,31))),"年度外の日付 ","")&amp;IF(AND(OR($I1273="確認済",$I1273="未確認"),O1273="対象外"),"対象外の科目 ","")))</f>
        <v/>
      </c>
      <c r="R1273" s="366" t="n"/>
    </row>
    <row r="1274">
      <c r="A1274" s="359" t="n"/>
      <c r="B1274" s="360" t="n"/>
      <c r="C1274" s="361" t="n"/>
      <c r="D1274" s="362" t="n"/>
      <c r="E1274" s="362" t="n"/>
      <c r="F1274" s="362" t="n"/>
      <c r="G1274" s="363" t="n"/>
      <c r="H1274" s="360" t="n"/>
      <c r="I1274" s="360" t="n"/>
      <c r="J1274" s="364" t="str">
        <f>IF($G1274="","",IF($H1274=1,$G1274-ROUND($G1274*10/23,0)-2*ROUND($G1274/23,0),IF($H1274=2,$G1274,0)))</f>
        <v/>
      </c>
      <c r="K1274" s="364" t="str">
        <f>IF($G1274="","",IF($H1274=1,ROUND($G1274*10/23,0),IF($H1274=3,$G1274-2*ROUND($G1274/12,0),IF($H1274=4,$G1274,IF(OR($H1274=5,$H1274=7),ROUND($G1274*10/11,0),0)))))</f>
        <v/>
      </c>
      <c r="L1274" s="364" t="str">
        <f>IF($G1274="","",IF($H1274=1,ROUND($G1274/23,0),IF($H1274=3,ROUND($G1274/12,0),IF($H1274=5,$G1274-ROUND($G1274*10/11,0),IF($H1274=8,$G1274,0)))))</f>
        <v/>
      </c>
      <c r="M1274" s="364" t="str">
        <f>IF($G1274="","",IF($H1274=1,ROUND($G1274/23,0),IF($H1274=3,ROUND($G1274/12,0),IF($H1274=6,$G1274,IF($H1274=7,$G1274-ROUND($G1274*10/11,0),0)))))</f>
        <v/>
      </c>
      <c r="N1274" s="364" t="str">
        <f>IF($G1274="","",K1274+L1274+M1274)</f>
        <v/>
      </c>
      <c r="O1274" s="365" t="str">
        <f>IF($G1274="","",IFERROR(VLOOKUP($D1274&amp;"|"&amp;$E1274,科目表!$A$5:$B$200,2,FALSE),"※未登録"))</f>
        <v/>
      </c>
      <c r="P1274" s="359" t="str">
        <f>IF(OR($G1274="",$C1274=""),"",IF($B1274="決算整理",13,MOD(MONTH($C1274)-4,12)+1))</f>
        <v/>
      </c>
      <c r="Q1274" s="366" t="str">
        <f>IF($G1274="","",TRIM(IF(J1274+K1274+L1274+M1274&lt;&gt;$G1274,"按分不一致 ","")&amp;IF(O1274="※未登録","科目未登録 ","")&amp;IF(OR($H1274="",ISERROR(MATCH($H1274,{1,2,3,4,5,6,7,8},0))),"経費区分? ","")&amp;IF($I1274="","状態未設定 ","")&amp;IF(AND(OR($I1274="確認済",$I1274="未確認"),$B1274="月例",OR($C1274="",$C1274&lt;DATE(年度+2018,4,1),$C1274&gt;DATE(年度+2019,3,31))),"年度外の日付 ","")&amp;IF(AND(OR($I1274="確認済",$I1274="未確認"),O1274="対象外"),"対象外の科目 ","")))</f>
        <v/>
      </c>
      <c r="R1274" s="366" t="n"/>
    </row>
    <row r="1275">
      <c r="A1275" s="359" t="n"/>
      <c r="B1275" s="360" t="n"/>
      <c r="C1275" s="361" t="n"/>
      <c r="D1275" s="362" t="n"/>
      <c r="E1275" s="362" t="n"/>
      <c r="F1275" s="362" t="n"/>
      <c r="G1275" s="363" t="n"/>
      <c r="H1275" s="360" t="n"/>
      <c r="I1275" s="360" t="n"/>
      <c r="J1275" s="364" t="str">
        <f>IF($G1275="","",IF($H1275=1,$G1275-ROUND($G1275*10/23,0)-2*ROUND($G1275/23,0),IF($H1275=2,$G1275,0)))</f>
        <v/>
      </c>
      <c r="K1275" s="364" t="str">
        <f>IF($G1275="","",IF($H1275=1,ROUND($G1275*10/23,0),IF($H1275=3,$G1275-2*ROUND($G1275/12,0),IF($H1275=4,$G1275,IF(OR($H1275=5,$H1275=7),ROUND($G1275*10/11,0),0)))))</f>
        <v/>
      </c>
      <c r="L1275" s="364" t="str">
        <f>IF($G1275="","",IF($H1275=1,ROUND($G1275/23,0),IF($H1275=3,ROUND($G1275/12,0),IF($H1275=5,$G1275-ROUND($G1275*10/11,0),IF($H1275=8,$G1275,0)))))</f>
        <v/>
      </c>
      <c r="M1275" s="364" t="str">
        <f>IF($G1275="","",IF($H1275=1,ROUND($G1275/23,0),IF($H1275=3,ROUND($G1275/12,0),IF($H1275=6,$G1275,IF($H1275=7,$G1275-ROUND($G1275*10/11,0),0)))))</f>
        <v/>
      </c>
      <c r="N1275" s="364" t="str">
        <f>IF($G1275="","",K1275+L1275+M1275)</f>
        <v/>
      </c>
      <c r="O1275" s="365" t="str">
        <f>IF($G1275="","",IFERROR(VLOOKUP($D1275&amp;"|"&amp;$E1275,科目表!$A$5:$B$200,2,FALSE),"※未登録"))</f>
        <v/>
      </c>
      <c r="P1275" s="359" t="str">
        <f>IF(OR($G1275="",$C1275=""),"",IF($B1275="決算整理",13,MOD(MONTH($C1275)-4,12)+1))</f>
        <v/>
      </c>
      <c r="Q1275" s="366" t="str">
        <f>IF($G1275="","",TRIM(IF(J1275+K1275+L1275+M1275&lt;&gt;$G1275,"按分不一致 ","")&amp;IF(O1275="※未登録","科目未登録 ","")&amp;IF(OR($H1275="",ISERROR(MATCH($H1275,{1,2,3,4,5,6,7,8},0))),"経費区分? ","")&amp;IF($I1275="","状態未設定 ","")&amp;IF(AND(OR($I1275="確認済",$I1275="未確認"),$B1275="月例",OR($C1275="",$C1275&lt;DATE(年度+2018,4,1),$C1275&gt;DATE(年度+2019,3,31))),"年度外の日付 ","")&amp;IF(AND(OR($I1275="確認済",$I1275="未確認"),O1275="対象外"),"対象外の科目 ","")))</f>
        <v/>
      </c>
      <c r="R1275" s="366" t="n"/>
    </row>
    <row r="1276">
      <c r="A1276" s="359" t="n"/>
      <c r="B1276" s="360" t="n"/>
      <c r="C1276" s="361" t="n"/>
      <c r="D1276" s="362" t="n"/>
      <c r="E1276" s="362" t="n"/>
      <c r="F1276" s="362" t="n"/>
      <c r="G1276" s="363" t="n"/>
      <c r="H1276" s="360" t="n"/>
      <c r="I1276" s="360" t="n"/>
      <c r="J1276" s="364" t="str">
        <f>IF($G1276="","",IF($H1276=1,$G1276-ROUND($G1276*10/23,0)-2*ROUND($G1276/23,0),IF($H1276=2,$G1276,0)))</f>
        <v/>
      </c>
      <c r="K1276" s="364" t="str">
        <f>IF($G1276="","",IF($H1276=1,ROUND($G1276*10/23,0),IF($H1276=3,$G1276-2*ROUND($G1276/12,0),IF($H1276=4,$G1276,IF(OR($H1276=5,$H1276=7),ROUND($G1276*10/11,0),0)))))</f>
        <v/>
      </c>
      <c r="L1276" s="364" t="str">
        <f>IF($G1276="","",IF($H1276=1,ROUND($G1276/23,0),IF($H1276=3,ROUND($G1276/12,0),IF($H1276=5,$G1276-ROUND($G1276*10/11,0),IF($H1276=8,$G1276,0)))))</f>
        <v/>
      </c>
      <c r="M1276" s="364" t="str">
        <f>IF($G1276="","",IF($H1276=1,ROUND($G1276/23,0),IF($H1276=3,ROUND($G1276/12,0),IF($H1276=6,$G1276,IF($H1276=7,$G1276-ROUND($G1276*10/11,0),0)))))</f>
        <v/>
      </c>
      <c r="N1276" s="364" t="str">
        <f>IF($G1276="","",K1276+L1276+M1276)</f>
        <v/>
      </c>
      <c r="O1276" s="365" t="str">
        <f>IF($G1276="","",IFERROR(VLOOKUP($D1276&amp;"|"&amp;$E1276,科目表!$A$5:$B$200,2,FALSE),"※未登録"))</f>
        <v/>
      </c>
      <c r="P1276" s="359" t="str">
        <f>IF(OR($G1276="",$C1276=""),"",IF($B1276="決算整理",13,MOD(MONTH($C1276)-4,12)+1))</f>
        <v/>
      </c>
      <c r="Q1276" s="366" t="str">
        <f>IF($G1276="","",TRIM(IF(J1276+K1276+L1276+M1276&lt;&gt;$G1276,"按分不一致 ","")&amp;IF(O1276="※未登録","科目未登録 ","")&amp;IF(OR($H1276="",ISERROR(MATCH($H1276,{1,2,3,4,5,6,7,8},0))),"経費区分? ","")&amp;IF($I1276="","状態未設定 ","")&amp;IF(AND(OR($I1276="確認済",$I1276="未確認"),$B1276="月例",OR($C1276="",$C1276&lt;DATE(年度+2018,4,1),$C1276&gt;DATE(年度+2019,3,31))),"年度外の日付 ","")&amp;IF(AND(OR($I1276="確認済",$I1276="未確認"),O1276="対象外"),"対象外の科目 ","")))</f>
        <v/>
      </c>
      <c r="R1276" s="366" t="n"/>
    </row>
    <row r="1277">
      <c r="A1277" s="359" t="n"/>
      <c r="B1277" s="360" t="n"/>
      <c r="C1277" s="361" t="n"/>
      <c r="D1277" s="362" t="n"/>
      <c r="E1277" s="362" t="n"/>
      <c r="F1277" s="362" t="n"/>
      <c r="G1277" s="363" t="n"/>
      <c r="H1277" s="360" t="n"/>
      <c r="I1277" s="360" t="n"/>
      <c r="J1277" s="364" t="str">
        <f>IF($G1277="","",IF($H1277=1,$G1277-ROUND($G1277*10/23,0)-2*ROUND($G1277/23,0),IF($H1277=2,$G1277,0)))</f>
        <v/>
      </c>
      <c r="K1277" s="364" t="str">
        <f>IF($G1277="","",IF($H1277=1,ROUND($G1277*10/23,0),IF($H1277=3,$G1277-2*ROUND($G1277/12,0),IF($H1277=4,$G1277,IF(OR($H1277=5,$H1277=7),ROUND($G1277*10/11,0),0)))))</f>
        <v/>
      </c>
      <c r="L1277" s="364" t="str">
        <f>IF($G1277="","",IF($H1277=1,ROUND($G1277/23,0),IF($H1277=3,ROUND($G1277/12,0),IF($H1277=5,$G1277-ROUND($G1277*10/11,0),IF($H1277=8,$G1277,0)))))</f>
        <v/>
      </c>
      <c r="M1277" s="364" t="str">
        <f>IF($G1277="","",IF($H1277=1,ROUND($G1277/23,0),IF($H1277=3,ROUND($G1277/12,0),IF($H1277=6,$G1277,IF($H1277=7,$G1277-ROUND($G1277*10/11,0),0)))))</f>
        <v/>
      </c>
      <c r="N1277" s="364" t="str">
        <f>IF($G1277="","",K1277+L1277+M1277)</f>
        <v/>
      </c>
      <c r="O1277" s="365" t="str">
        <f>IF($G1277="","",IFERROR(VLOOKUP($D1277&amp;"|"&amp;$E1277,科目表!$A$5:$B$200,2,FALSE),"※未登録"))</f>
        <v/>
      </c>
      <c r="P1277" s="359" t="str">
        <f>IF(OR($G1277="",$C1277=""),"",IF($B1277="決算整理",13,MOD(MONTH($C1277)-4,12)+1))</f>
        <v/>
      </c>
      <c r="Q1277" s="366" t="str">
        <f>IF($G1277="","",TRIM(IF(J1277+K1277+L1277+M1277&lt;&gt;$G1277,"按分不一致 ","")&amp;IF(O1277="※未登録","科目未登録 ","")&amp;IF(OR($H1277="",ISERROR(MATCH($H1277,{1,2,3,4,5,6,7,8},0))),"経費区分? ","")&amp;IF($I1277="","状態未設定 ","")&amp;IF(AND(OR($I1277="確認済",$I1277="未確認"),$B1277="月例",OR($C1277="",$C1277&lt;DATE(年度+2018,4,1),$C1277&gt;DATE(年度+2019,3,31))),"年度外の日付 ","")&amp;IF(AND(OR($I1277="確認済",$I1277="未確認"),O1277="対象外"),"対象外の科目 ","")))</f>
        <v/>
      </c>
      <c r="R1277" s="366" t="n"/>
    </row>
    <row r="1278">
      <c r="A1278" s="359" t="n"/>
      <c r="B1278" s="360" t="n"/>
      <c r="C1278" s="361" t="n"/>
      <c r="D1278" s="362" t="n"/>
      <c r="E1278" s="362" t="n"/>
      <c r="F1278" s="362" t="n"/>
      <c r="G1278" s="363" t="n"/>
      <c r="H1278" s="360" t="n"/>
      <c r="I1278" s="360" t="n"/>
      <c r="J1278" s="364" t="str">
        <f>IF($G1278="","",IF($H1278=1,$G1278-ROUND($G1278*10/23,0)-2*ROUND($G1278/23,0),IF($H1278=2,$G1278,0)))</f>
        <v/>
      </c>
      <c r="K1278" s="364" t="str">
        <f>IF($G1278="","",IF($H1278=1,ROUND($G1278*10/23,0),IF($H1278=3,$G1278-2*ROUND($G1278/12,0),IF($H1278=4,$G1278,IF(OR($H1278=5,$H1278=7),ROUND($G1278*10/11,0),0)))))</f>
        <v/>
      </c>
      <c r="L1278" s="364" t="str">
        <f>IF($G1278="","",IF($H1278=1,ROUND($G1278/23,0),IF($H1278=3,ROUND($G1278/12,0),IF($H1278=5,$G1278-ROUND($G1278*10/11,0),IF($H1278=8,$G1278,0)))))</f>
        <v/>
      </c>
      <c r="M1278" s="364" t="str">
        <f>IF($G1278="","",IF($H1278=1,ROUND($G1278/23,0),IF($H1278=3,ROUND($G1278/12,0),IF($H1278=6,$G1278,IF($H1278=7,$G1278-ROUND($G1278*10/11,0),0)))))</f>
        <v/>
      </c>
      <c r="N1278" s="364" t="str">
        <f>IF($G1278="","",K1278+L1278+M1278)</f>
        <v/>
      </c>
      <c r="O1278" s="365" t="str">
        <f>IF($G1278="","",IFERROR(VLOOKUP($D1278&amp;"|"&amp;$E1278,科目表!$A$5:$B$200,2,FALSE),"※未登録"))</f>
        <v/>
      </c>
      <c r="P1278" s="359" t="str">
        <f>IF(OR($G1278="",$C1278=""),"",IF($B1278="決算整理",13,MOD(MONTH($C1278)-4,12)+1))</f>
        <v/>
      </c>
      <c r="Q1278" s="366" t="str">
        <f>IF($G1278="","",TRIM(IF(J1278+K1278+L1278+M1278&lt;&gt;$G1278,"按分不一致 ","")&amp;IF(O1278="※未登録","科目未登録 ","")&amp;IF(OR($H1278="",ISERROR(MATCH($H1278,{1,2,3,4,5,6,7,8},0))),"経費区分? ","")&amp;IF($I1278="","状態未設定 ","")&amp;IF(AND(OR($I1278="確認済",$I1278="未確認"),$B1278="月例",OR($C1278="",$C1278&lt;DATE(年度+2018,4,1),$C1278&gt;DATE(年度+2019,3,31))),"年度外の日付 ","")&amp;IF(AND(OR($I1278="確認済",$I1278="未確認"),O1278="対象外"),"対象外の科目 ","")))</f>
        <v/>
      </c>
      <c r="R1278" s="366" t="n"/>
    </row>
    <row r="1279">
      <c r="A1279" s="359" t="n"/>
      <c r="B1279" s="360" t="n"/>
      <c r="C1279" s="361" t="n"/>
      <c r="D1279" s="362" t="n"/>
      <c r="E1279" s="362" t="n"/>
      <c r="F1279" s="362" t="n"/>
      <c r="G1279" s="363" t="n"/>
      <c r="H1279" s="360" t="n"/>
      <c r="I1279" s="360" t="n"/>
      <c r="J1279" s="364" t="str">
        <f>IF($G1279="","",IF($H1279=1,$G1279-ROUND($G1279*10/23,0)-2*ROUND($G1279/23,0),IF($H1279=2,$G1279,0)))</f>
        <v/>
      </c>
      <c r="K1279" s="364" t="str">
        <f>IF($G1279="","",IF($H1279=1,ROUND($G1279*10/23,0),IF($H1279=3,$G1279-2*ROUND($G1279/12,0),IF($H1279=4,$G1279,IF(OR($H1279=5,$H1279=7),ROUND($G1279*10/11,0),0)))))</f>
        <v/>
      </c>
      <c r="L1279" s="364" t="str">
        <f>IF($G1279="","",IF($H1279=1,ROUND($G1279/23,0),IF($H1279=3,ROUND($G1279/12,0),IF($H1279=5,$G1279-ROUND($G1279*10/11,0),IF($H1279=8,$G1279,0)))))</f>
        <v/>
      </c>
      <c r="M1279" s="364" t="str">
        <f>IF($G1279="","",IF($H1279=1,ROUND($G1279/23,0),IF($H1279=3,ROUND($G1279/12,0),IF($H1279=6,$G1279,IF($H1279=7,$G1279-ROUND($G1279*10/11,0),0)))))</f>
        <v/>
      </c>
      <c r="N1279" s="364" t="str">
        <f>IF($G1279="","",K1279+L1279+M1279)</f>
        <v/>
      </c>
      <c r="O1279" s="365" t="str">
        <f>IF($G1279="","",IFERROR(VLOOKUP($D1279&amp;"|"&amp;$E1279,科目表!$A$5:$B$200,2,FALSE),"※未登録"))</f>
        <v/>
      </c>
      <c r="P1279" s="359" t="str">
        <f>IF(OR($G1279="",$C1279=""),"",IF($B1279="決算整理",13,MOD(MONTH($C1279)-4,12)+1))</f>
        <v/>
      </c>
      <c r="Q1279" s="366" t="str">
        <f>IF($G1279="","",TRIM(IF(J1279+K1279+L1279+M1279&lt;&gt;$G1279,"按分不一致 ","")&amp;IF(O1279="※未登録","科目未登録 ","")&amp;IF(OR($H1279="",ISERROR(MATCH($H1279,{1,2,3,4,5,6,7,8},0))),"経費区分? ","")&amp;IF($I1279="","状態未設定 ","")&amp;IF(AND(OR($I1279="確認済",$I1279="未確認"),$B1279="月例",OR($C1279="",$C1279&lt;DATE(年度+2018,4,1),$C1279&gt;DATE(年度+2019,3,31))),"年度外の日付 ","")&amp;IF(AND(OR($I1279="確認済",$I1279="未確認"),O1279="対象外"),"対象外の科目 ","")))</f>
        <v/>
      </c>
      <c r="R1279" s="366" t="n"/>
    </row>
    <row r="1280">
      <c r="A1280" s="359" t="n"/>
      <c r="B1280" s="360" t="n"/>
      <c r="C1280" s="361" t="n"/>
      <c r="D1280" s="362" t="n"/>
      <c r="E1280" s="362" t="n"/>
      <c r="F1280" s="362" t="n"/>
      <c r="G1280" s="363" t="n"/>
      <c r="H1280" s="360" t="n"/>
      <c r="I1280" s="360" t="n"/>
      <c r="J1280" s="364" t="str">
        <f>IF($G1280="","",IF($H1280=1,$G1280-ROUND($G1280*10/23,0)-2*ROUND($G1280/23,0),IF($H1280=2,$G1280,0)))</f>
        <v/>
      </c>
      <c r="K1280" s="364" t="str">
        <f>IF($G1280="","",IF($H1280=1,ROUND($G1280*10/23,0),IF($H1280=3,$G1280-2*ROUND($G1280/12,0),IF($H1280=4,$G1280,IF(OR($H1280=5,$H1280=7),ROUND($G1280*10/11,0),0)))))</f>
        <v/>
      </c>
      <c r="L1280" s="364" t="str">
        <f>IF($G1280="","",IF($H1280=1,ROUND($G1280/23,0),IF($H1280=3,ROUND($G1280/12,0),IF($H1280=5,$G1280-ROUND($G1280*10/11,0),IF($H1280=8,$G1280,0)))))</f>
        <v/>
      </c>
      <c r="M1280" s="364" t="str">
        <f>IF($G1280="","",IF($H1280=1,ROUND($G1280/23,0),IF($H1280=3,ROUND($G1280/12,0),IF($H1280=6,$G1280,IF($H1280=7,$G1280-ROUND($G1280*10/11,0),0)))))</f>
        <v/>
      </c>
      <c r="N1280" s="364" t="str">
        <f>IF($G1280="","",K1280+L1280+M1280)</f>
        <v/>
      </c>
      <c r="O1280" s="365" t="str">
        <f>IF($G1280="","",IFERROR(VLOOKUP($D1280&amp;"|"&amp;$E1280,科目表!$A$5:$B$200,2,FALSE),"※未登録"))</f>
        <v/>
      </c>
      <c r="P1280" s="359" t="str">
        <f>IF(OR($G1280="",$C1280=""),"",IF($B1280="決算整理",13,MOD(MONTH($C1280)-4,12)+1))</f>
        <v/>
      </c>
      <c r="Q1280" s="366" t="str">
        <f>IF($G1280="","",TRIM(IF(J1280+K1280+L1280+M1280&lt;&gt;$G1280,"按分不一致 ","")&amp;IF(O1280="※未登録","科目未登録 ","")&amp;IF(OR($H1280="",ISERROR(MATCH($H1280,{1,2,3,4,5,6,7,8},0))),"経費区分? ","")&amp;IF($I1280="","状態未設定 ","")&amp;IF(AND(OR($I1280="確認済",$I1280="未確認"),$B1280="月例",OR($C1280="",$C1280&lt;DATE(年度+2018,4,1),$C1280&gt;DATE(年度+2019,3,31))),"年度外の日付 ","")&amp;IF(AND(OR($I1280="確認済",$I1280="未確認"),O1280="対象外"),"対象外の科目 ","")))</f>
        <v/>
      </c>
      <c r="R1280" s="366" t="n"/>
    </row>
    <row r="1281">
      <c r="A1281" s="359" t="n"/>
      <c r="B1281" s="360" t="n"/>
      <c r="C1281" s="361" t="n"/>
      <c r="D1281" s="362" t="n"/>
      <c r="E1281" s="362" t="n"/>
      <c r="F1281" s="362" t="n"/>
      <c r="G1281" s="363" t="n"/>
      <c r="H1281" s="360" t="n"/>
      <c r="I1281" s="360" t="n"/>
      <c r="J1281" s="364" t="str">
        <f>IF($G1281="","",IF($H1281=1,$G1281-ROUND($G1281*10/23,0)-2*ROUND($G1281/23,0),IF($H1281=2,$G1281,0)))</f>
        <v/>
      </c>
      <c r="K1281" s="364" t="str">
        <f>IF($G1281="","",IF($H1281=1,ROUND($G1281*10/23,0),IF($H1281=3,$G1281-2*ROUND($G1281/12,0),IF($H1281=4,$G1281,IF(OR($H1281=5,$H1281=7),ROUND($G1281*10/11,0),0)))))</f>
        <v/>
      </c>
      <c r="L1281" s="364" t="str">
        <f>IF($G1281="","",IF($H1281=1,ROUND($G1281/23,0),IF($H1281=3,ROUND($G1281/12,0),IF($H1281=5,$G1281-ROUND($G1281*10/11,0),IF($H1281=8,$G1281,0)))))</f>
        <v/>
      </c>
      <c r="M1281" s="364" t="str">
        <f>IF($G1281="","",IF($H1281=1,ROUND($G1281/23,0),IF($H1281=3,ROUND($G1281/12,0),IF($H1281=6,$G1281,IF($H1281=7,$G1281-ROUND($G1281*10/11,0),0)))))</f>
        <v/>
      </c>
      <c r="N1281" s="364" t="str">
        <f>IF($G1281="","",K1281+L1281+M1281)</f>
        <v/>
      </c>
      <c r="O1281" s="365" t="str">
        <f>IF($G1281="","",IFERROR(VLOOKUP($D1281&amp;"|"&amp;$E1281,科目表!$A$5:$B$200,2,FALSE),"※未登録"))</f>
        <v/>
      </c>
      <c r="P1281" s="359" t="str">
        <f>IF(OR($G1281="",$C1281=""),"",IF($B1281="決算整理",13,MOD(MONTH($C1281)-4,12)+1))</f>
        <v/>
      </c>
      <c r="Q1281" s="366" t="str">
        <f>IF($G1281="","",TRIM(IF(J1281+K1281+L1281+M1281&lt;&gt;$G1281,"按分不一致 ","")&amp;IF(O1281="※未登録","科目未登録 ","")&amp;IF(OR($H1281="",ISERROR(MATCH($H1281,{1,2,3,4,5,6,7,8},0))),"経費区分? ","")&amp;IF($I1281="","状態未設定 ","")&amp;IF(AND(OR($I1281="確認済",$I1281="未確認"),$B1281="月例",OR($C1281="",$C1281&lt;DATE(年度+2018,4,1),$C1281&gt;DATE(年度+2019,3,31))),"年度外の日付 ","")&amp;IF(AND(OR($I1281="確認済",$I1281="未確認"),O1281="対象外"),"対象外の科目 ","")))</f>
        <v/>
      </c>
      <c r="R1281" s="366" t="n"/>
    </row>
    <row r="1282">
      <c r="A1282" s="359" t="n"/>
      <c r="B1282" s="360" t="n"/>
      <c r="C1282" s="361" t="n"/>
      <c r="D1282" s="362" t="n"/>
      <c r="E1282" s="362" t="n"/>
      <c r="F1282" s="362" t="n"/>
      <c r="G1282" s="363" t="n"/>
      <c r="H1282" s="360" t="n"/>
      <c r="I1282" s="360" t="n"/>
      <c r="J1282" s="364" t="str">
        <f>IF($G1282="","",IF($H1282=1,$G1282-ROUND($G1282*10/23,0)-2*ROUND($G1282/23,0),IF($H1282=2,$G1282,0)))</f>
        <v/>
      </c>
      <c r="K1282" s="364" t="str">
        <f>IF($G1282="","",IF($H1282=1,ROUND($G1282*10/23,0),IF($H1282=3,$G1282-2*ROUND($G1282/12,0),IF($H1282=4,$G1282,IF(OR($H1282=5,$H1282=7),ROUND($G1282*10/11,0),0)))))</f>
        <v/>
      </c>
      <c r="L1282" s="364" t="str">
        <f>IF($G1282="","",IF($H1282=1,ROUND($G1282/23,0),IF($H1282=3,ROUND($G1282/12,0),IF($H1282=5,$G1282-ROUND($G1282*10/11,0),IF($H1282=8,$G1282,0)))))</f>
        <v/>
      </c>
      <c r="M1282" s="364" t="str">
        <f>IF($G1282="","",IF($H1282=1,ROUND($G1282/23,0),IF($H1282=3,ROUND($G1282/12,0),IF($H1282=6,$G1282,IF($H1282=7,$G1282-ROUND($G1282*10/11,0),0)))))</f>
        <v/>
      </c>
      <c r="N1282" s="364" t="str">
        <f>IF($G1282="","",K1282+L1282+M1282)</f>
        <v/>
      </c>
      <c r="O1282" s="365" t="str">
        <f>IF($G1282="","",IFERROR(VLOOKUP($D1282&amp;"|"&amp;$E1282,科目表!$A$5:$B$200,2,FALSE),"※未登録"))</f>
        <v/>
      </c>
      <c r="P1282" s="359" t="str">
        <f>IF(OR($G1282="",$C1282=""),"",IF($B1282="決算整理",13,MOD(MONTH($C1282)-4,12)+1))</f>
        <v/>
      </c>
      <c r="Q1282" s="366" t="str">
        <f>IF($G1282="","",TRIM(IF(J1282+K1282+L1282+M1282&lt;&gt;$G1282,"按分不一致 ","")&amp;IF(O1282="※未登録","科目未登録 ","")&amp;IF(OR($H1282="",ISERROR(MATCH($H1282,{1,2,3,4,5,6,7,8},0))),"経費区分? ","")&amp;IF($I1282="","状態未設定 ","")&amp;IF(AND(OR($I1282="確認済",$I1282="未確認"),$B1282="月例",OR($C1282="",$C1282&lt;DATE(年度+2018,4,1),$C1282&gt;DATE(年度+2019,3,31))),"年度外の日付 ","")&amp;IF(AND(OR($I1282="確認済",$I1282="未確認"),O1282="対象外"),"対象外の科目 ","")))</f>
        <v/>
      </c>
      <c r="R1282" s="366" t="n"/>
    </row>
    <row r="1283">
      <c r="A1283" s="359" t="n"/>
      <c r="B1283" s="360" t="n"/>
      <c r="C1283" s="361" t="n"/>
      <c r="D1283" s="362" t="n"/>
      <c r="E1283" s="362" t="n"/>
      <c r="F1283" s="362" t="n"/>
      <c r="G1283" s="363" t="n"/>
      <c r="H1283" s="360" t="n"/>
      <c r="I1283" s="360" t="n"/>
      <c r="J1283" s="364" t="str">
        <f>IF($G1283="","",IF($H1283=1,$G1283-ROUND($G1283*10/23,0)-2*ROUND($G1283/23,0),IF($H1283=2,$G1283,0)))</f>
        <v/>
      </c>
      <c r="K1283" s="364" t="str">
        <f>IF($G1283="","",IF($H1283=1,ROUND($G1283*10/23,0),IF($H1283=3,$G1283-2*ROUND($G1283/12,0),IF($H1283=4,$G1283,IF(OR($H1283=5,$H1283=7),ROUND($G1283*10/11,0),0)))))</f>
        <v/>
      </c>
      <c r="L1283" s="364" t="str">
        <f>IF($G1283="","",IF($H1283=1,ROUND($G1283/23,0),IF($H1283=3,ROUND($G1283/12,0),IF($H1283=5,$G1283-ROUND($G1283*10/11,0),IF($H1283=8,$G1283,0)))))</f>
        <v/>
      </c>
      <c r="M1283" s="364" t="str">
        <f>IF($G1283="","",IF($H1283=1,ROUND($G1283/23,0),IF($H1283=3,ROUND($G1283/12,0),IF($H1283=6,$G1283,IF($H1283=7,$G1283-ROUND($G1283*10/11,0),0)))))</f>
        <v/>
      </c>
      <c r="N1283" s="364" t="str">
        <f>IF($G1283="","",K1283+L1283+M1283)</f>
        <v/>
      </c>
      <c r="O1283" s="365" t="str">
        <f>IF($G1283="","",IFERROR(VLOOKUP($D1283&amp;"|"&amp;$E1283,科目表!$A$5:$B$200,2,FALSE),"※未登録"))</f>
        <v/>
      </c>
      <c r="P1283" s="359" t="str">
        <f>IF(OR($G1283="",$C1283=""),"",IF($B1283="決算整理",13,MOD(MONTH($C1283)-4,12)+1))</f>
        <v/>
      </c>
      <c r="Q1283" s="366" t="str">
        <f>IF($G1283="","",TRIM(IF(J1283+K1283+L1283+M1283&lt;&gt;$G1283,"按分不一致 ","")&amp;IF(O1283="※未登録","科目未登録 ","")&amp;IF(OR($H1283="",ISERROR(MATCH($H1283,{1,2,3,4,5,6,7,8},0))),"経費区分? ","")&amp;IF($I1283="","状態未設定 ","")&amp;IF(AND(OR($I1283="確認済",$I1283="未確認"),$B1283="月例",OR($C1283="",$C1283&lt;DATE(年度+2018,4,1),$C1283&gt;DATE(年度+2019,3,31))),"年度外の日付 ","")&amp;IF(AND(OR($I1283="確認済",$I1283="未確認"),O1283="対象外"),"対象外の科目 ","")))</f>
        <v/>
      </c>
      <c r="R1283" s="366" t="n"/>
    </row>
    <row r="1284">
      <c r="A1284" s="359" t="n"/>
      <c r="B1284" s="360" t="n"/>
      <c r="C1284" s="361" t="n"/>
      <c r="D1284" s="362" t="n"/>
      <c r="E1284" s="362" t="n"/>
      <c r="F1284" s="362" t="n"/>
      <c r="G1284" s="363" t="n"/>
      <c r="H1284" s="360" t="n"/>
      <c r="I1284" s="360" t="n"/>
      <c r="J1284" s="364" t="str">
        <f>IF($G1284="","",IF($H1284=1,$G1284-ROUND($G1284*10/23,0)-2*ROUND($G1284/23,0),IF($H1284=2,$G1284,0)))</f>
        <v/>
      </c>
      <c r="K1284" s="364" t="str">
        <f>IF($G1284="","",IF($H1284=1,ROUND($G1284*10/23,0),IF($H1284=3,$G1284-2*ROUND($G1284/12,0),IF($H1284=4,$G1284,IF(OR($H1284=5,$H1284=7),ROUND($G1284*10/11,0),0)))))</f>
        <v/>
      </c>
      <c r="L1284" s="364" t="str">
        <f>IF($G1284="","",IF($H1284=1,ROUND($G1284/23,0),IF($H1284=3,ROUND($G1284/12,0),IF($H1284=5,$G1284-ROUND($G1284*10/11,0),IF($H1284=8,$G1284,0)))))</f>
        <v/>
      </c>
      <c r="M1284" s="364" t="str">
        <f>IF($G1284="","",IF($H1284=1,ROUND($G1284/23,0),IF($H1284=3,ROUND($G1284/12,0),IF($H1284=6,$G1284,IF($H1284=7,$G1284-ROUND($G1284*10/11,0),0)))))</f>
        <v/>
      </c>
      <c r="N1284" s="364" t="str">
        <f>IF($G1284="","",K1284+L1284+M1284)</f>
        <v/>
      </c>
      <c r="O1284" s="365" t="str">
        <f>IF($G1284="","",IFERROR(VLOOKUP($D1284&amp;"|"&amp;$E1284,科目表!$A$5:$B$200,2,FALSE),"※未登録"))</f>
        <v/>
      </c>
      <c r="P1284" s="359" t="str">
        <f>IF(OR($G1284="",$C1284=""),"",IF($B1284="決算整理",13,MOD(MONTH($C1284)-4,12)+1))</f>
        <v/>
      </c>
      <c r="Q1284" s="366" t="str">
        <f>IF($G1284="","",TRIM(IF(J1284+K1284+L1284+M1284&lt;&gt;$G1284,"按分不一致 ","")&amp;IF(O1284="※未登録","科目未登録 ","")&amp;IF(OR($H1284="",ISERROR(MATCH($H1284,{1,2,3,4,5,6,7,8},0))),"経費区分? ","")&amp;IF($I1284="","状態未設定 ","")&amp;IF(AND(OR($I1284="確認済",$I1284="未確認"),$B1284="月例",OR($C1284="",$C1284&lt;DATE(年度+2018,4,1),$C1284&gt;DATE(年度+2019,3,31))),"年度外の日付 ","")&amp;IF(AND(OR($I1284="確認済",$I1284="未確認"),O1284="対象外"),"対象外の科目 ","")))</f>
        <v/>
      </c>
      <c r="R1284" s="366" t="n"/>
    </row>
    <row r="1285">
      <c r="A1285" s="359" t="n"/>
      <c r="B1285" s="360" t="n"/>
      <c r="C1285" s="361" t="n"/>
      <c r="D1285" s="362" t="n"/>
      <c r="E1285" s="362" t="n"/>
      <c r="F1285" s="362" t="n"/>
      <c r="G1285" s="363" t="n"/>
      <c r="H1285" s="360" t="n"/>
      <c r="I1285" s="360" t="n"/>
      <c r="J1285" s="364" t="str">
        <f>IF($G1285="","",IF($H1285=1,$G1285-ROUND($G1285*10/23,0)-2*ROUND($G1285/23,0),IF($H1285=2,$G1285,0)))</f>
        <v/>
      </c>
      <c r="K1285" s="364" t="str">
        <f>IF($G1285="","",IF($H1285=1,ROUND($G1285*10/23,0),IF($H1285=3,$G1285-2*ROUND($G1285/12,0),IF($H1285=4,$G1285,IF(OR($H1285=5,$H1285=7),ROUND($G1285*10/11,0),0)))))</f>
        <v/>
      </c>
      <c r="L1285" s="364" t="str">
        <f>IF($G1285="","",IF($H1285=1,ROUND($G1285/23,0),IF($H1285=3,ROUND($G1285/12,0),IF($H1285=5,$G1285-ROUND($G1285*10/11,0),IF($H1285=8,$G1285,0)))))</f>
        <v/>
      </c>
      <c r="M1285" s="364" t="str">
        <f>IF($G1285="","",IF($H1285=1,ROUND($G1285/23,0),IF($H1285=3,ROUND($G1285/12,0),IF($H1285=6,$G1285,IF($H1285=7,$G1285-ROUND($G1285*10/11,0),0)))))</f>
        <v/>
      </c>
      <c r="N1285" s="364" t="str">
        <f>IF($G1285="","",K1285+L1285+M1285)</f>
        <v/>
      </c>
      <c r="O1285" s="365" t="str">
        <f>IF($G1285="","",IFERROR(VLOOKUP($D1285&amp;"|"&amp;$E1285,科目表!$A$5:$B$200,2,FALSE),"※未登録"))</f>
        <v/>
      </c>
      <c r="P1285" s="359" t="str">
        <f>IF(OR($G1285="",$C1285=""),"",IF($B1285="決算整理",13,MOD(MONTH($C1285)-4,12)+1))</f>
        <v/>
      </c>
      <c r="Q1285" s="366" t="str">
        <f>IF($G1285="","",TRIM(IF(J1285+K1285+L1285+M1285&lt;&gt;$G1285,"按分不一致 ","")&amp;IF(O1285="※未登録","科目未登録 ","")&amp;IF(OR($H1285="",ISERROR(MATCH($H1285,{1,2,3,4,5,6,7,8},0))),"経費区分? ","")&amp;IF($I1285="","状態未設定 ","")&amp;IF(AND(OR($I1285="確認済",$I1285="未確認"),$B1285="月例",OR($C1285="",$C1285&lt;DATE(年度+2018,4,1),$C1285&gt;DATE(年度+2019,3,31))),"年度外の日付 ","")&amp;IF(AND(OR($I1285="確認済",$I1285="未確認"),O1285="対象外"),"対象外の科目 ","")))</f>
        <v/>
      </c>
      <c r="R1285" s="366" t="n"/>
    </row>
    <row r="1286">
      <c r="A1286" s="359" t="n"/>
      <c r="B1286" s="360" t="n"/>
      <c r="C1286" s="361" t="n"/>
      <c r="D1286" s="362" t="n"/>
      <c r="E1286" s="362" t="n"/>
      <c r="F1286" s="362" t="n"/>
      <c r="G1286" s="363" t="n"/>
      <c r="H1286" s="360" t="n"/>
      <c r="I1286" s="360" t="n"/>
      <c r="J1286" s="364" t="str">
        <f>IF($G1286="","",IF($H1286=1,$G1286-ROUND($G1286*10/23,0)-2*ROUND($G1286/23,0),IF($H1286=2,$G1286,0)))</f>
        <v/>
      </c>
      <c r="K1286" s="364" t="str">
        <f>IF($G1286="","",IF($H1286=1,ROUND($G1286*10/23,0),IF($H1286=3,$G1286-2*ROUND($G1286/12,0),IF($H1286=4,$G1286,IF(OR($H1286=5,$H1286=7),ROUND($G1286*10/11,0),0)))))</f>
        <v/>
      </c>
      <c r="L1286" s="364" t="str">
        <f>IF($G1286="","",IF($H1286=1,ROUND($G1286/23,0),IF($H1286=3,ROUND($G1286/12,0),IF($H1286=5,$G1286-ROUND($G1286*10/11,0),IF($H1286=8,$G1286,0)))))</f>
        <v/>
      </c>
      <c r="M1286" s="364" t="str">
        <f>IF($G1286="","",IF($H1286=1,ROUND($G1286/23,0),IF($H1286=3,ROUND($G1286/12,0),IF($H1286=6,$G1286,IF($H1286=7,$G1286-ROUND($G1286*10/11,0),0)))))</f>
        <v/>
      </c>
      <c r="N1286" s="364" t="str">
        <f>IF($G1286="","",K1286+L1286+M1286)</f>
        <v/>
      </c>
      <c r="O1286" s="365" t="str">
        <f>IF($G1286="","",IFERROR(VLOOKUP($D1286&amp;"|"&amp;$E1286,科目表!$A$5:$B$200,2,FALSE),"※未登録"))</f>
        <v/>
      </c>
      <c r="P1286" s="359" t="str">
        <f>IF(OR($G1286="",$C1286=""),"",IF($B1286="決算整理",13,MOD(MONTH($C1286)-4,12)+1))</f>
        <v/>
      </c>
      <c r="Q1286" s="366" t="str">
        <f>IF($G1286="","",TRIM(IF(J1286+K1286+L1286+M1286&lt;&gt;$G1286,"按分不一致 ","")&amp;IF(O1286="※未登録","科目未登録 ","")&amp;IF(OR($H1286="",ISERROR(MATCH($H1286,{1,2,3,4,5,6,7,8},0))),"経費区分? ","")&amp;IF($I1286="","状態未設定 ","")&amp;IF(AND(OR($I1286="確認済",$I1286="未確認"),$B1286="月例",OR($C1286="",$C1286&lt;DATE(年度+2018,4,1),$C1286&gt;DATE(年度+2019,3,31))),"年度外の日付 ","")&amp;IF(AND(OR($I1286="確認済",$I1286="未確認"),O1286="対象外"),"対象外の科目 ","")))</f>
        <v/>
      </c>
      <c r="R1286" s="366" t="n"/>
    </row>
    <row r="1287">
      <c r="A1287" s="359" t="n"/>
      <c r="B1287" s="360" t="n"/>
      <c r="C1287" s="361" t="n"/>
      <c r="D1287" s="362" t="n"/>
      <c r="E1287" s="362" t="n"/>
      <c r="F1287" s="362" t="n"/>
      <c r="G1287" s="363" t="n"/>
      <c r="H1287" s="360" t="n"/>
      <c r="I1287" s="360" t="n"/>
      <c r="J1287" s="364" t="str">
        <f>IF($G1287="","",IF($H1287=1,$G1287-ROUND($G1287*10/23,0)-2*ROUND($G1287/23,0),IF($H1287=2,$G1287,0)))</f>
        <v/>
      </c>
      <c r="K1287" s="364" t="str">
        <f>IF($G1287="","",IF($H1287=1,ROUND($G1287*10/23,0),IF($H1287=3,$G1287-2*ROUND($G1287/12,0),IF($H1287=4,$G1287,IF(OR($H1287=5,$H1287=7),ROUND($G1287*10/11,0),0)))))</f>
        <v/>
      </c>
      <c r="L1287" s="364" t="str">
        <f>IF($G1287="","",IF($H1287=1,ROUND($G1287/23,0),IF($H1287=3,ROUND($G1287/12,0),IF($H1287=5,$G1287-ROUND($G1287*10/11,0),IF($H1287=8,$G1287,0)))))</f>
        <v/>
      </c>
      <c r="M1287" s="364" t="str">
        <f>IF($G1287="","",IF($H1287=1,ROUND($G1287/23,0),IF($H1287=3,ROUND($G1287/12,0),IF($H1287=6,$G1287,IF($H1287=7,$G1287-ROUND($G1287*10/11,0),0)))))</f>
        <v/>
      </c>
      <c r="N1287" s="364" t="str">
        <f>IF($G1287="","",K1287+L1287+M1287)</f>
        <v/>
      </c>
      <c r="O1287" s="365" t="str">
        <f>IF($G1287="","",IFERROR(VLOOKUP($D1287&amp;"|"&amp;$E1287,科目表!$A$5:$B$200,2,FALSE),"※未登録"))</f>
        <v/>
      </c>
      <c r="P1287" s="359" t="str">
        <f>IF(OR($G1287="",$C1287=""),"",IF($B1287="決算整理",13,MOD(MONTH($C1287)-4,12)+1))</f>
        <v/>
      </c>
      <c r="Q1287" s="366" t="str">
        <f>IF($G1287="","",TRIM(IF(J1287+K1287+L1287+M1287&lt;&gt;$G1287,"按分不一致 ","")&amp;IF(O1287="※未登録","科目未登録 ","")&amp;IF(OR($H1287="",ISERROR(MATCH($H1287,{1,2,3,4,5,6,7,8},0))),"経費区分? ","")&amp;IF($I1287="","状態未設定 ","")&amp;IF(AND(OR($I1287="確認済",$I1287="未確認"),$B1287="月例",OR($C1287="",$C1287&lt;DATE(年度+2018,4,1),$C1287&gt;DATE(年度+2019,3,31))),"年度外の日付 ","")&amp;IF(AND(OR($I1287="確認済",$I1287="未確認"),O1287="対象外"),"対象外の科目 ","")))</f>
        <v/>
      </c>
      <c r="R1287" s="366" t="n"/>
    </row>
    <row r="1288">
      <c r="A1288" s="359" t="n"/>
      <c r="B1288" s="360" t="n"/>
      <c r="C1288" s="361" t="n"/>
      <c r="D1288" s="362" t="n"/>
      <c r="E1288" s="362" t="n"/>
      <c r="F1288" s="362" t="n"/>
      <c r="G1288" s="363" t="n"/>
      <c r="H1288" s="360" t="n"/>
      <c r="I1288" s="360" t="n"/>
      <c r="J1288" s="364" t="str">
        <f>IF($G1288="","",IF($H1288=1,$G1288-ROUND($G1288*10/23,0)-2*ROUND($G1288/23,0),IF($H1288=2,$G1288,0)))</f>
        <v/>
      </c>
      <c r="K1288" s="364" t="str">
        <f>IF($G1288="","",IF($H1288=1,ROUND($G1288*10/23,0),IF($H1288=3,$G1288-2*ROUND($G1288/12,0),IF($H1288=4,$G1288,IF(OR($H1288=5,$H1288=7),ROUND($G1288*10/11,0),0)))))</f>
        <v/>
      </c>
      <c r="L1288" s="364" t="str">
        <f>IF($G1288="","",IF($H1288=1,ROUND($G1288/23,0),IF($H1288=3,ROUND($G1288/12,0),IF($H1288=5,$G1288-ROUND($G1288*10/11,0),IF($H1288=8,$G1288,0)))))</f>
        <v/>
      </c>
      <c r="M1288" s="364" t="str">
        <f>IF($G1288="","",IF($H1288=1,ROUND($G1288/23,0),IF($H1288=3,ROUND($G1288/12,0),IF($H1288=6,$G1288,IF($H1288=7,$G1288-ROUND($G1288*10/11,0),0)))))</f>
        <v/>
      </c>
      <c r="N1288" s="364" t="str">
        <f>IF($G1288="","",K1288+L1288+M1288)</f>
        <v/>
      </c>
      <c r="O1288" s="365" t="str">
        <f>IF($G1288="","",IFERROR(VLOOKUP($D1288&amp;"|"&amp;$E1288,科目表!$A$5:$B$200,2,FALSE),"※未登録"))</f>
        <v/>
      </c>
      <c r="P1288" s="359" t="str">
        <f>IF(OR($G1288="",$C1288=""),"",IF($B1288="決算整理",13,MOD(MONTH($C1288)-4,12)+1))</f>
        <v/>
      </c>
      <c r="Q1288" s="366" t="str">
        <f>IF($G1288="","",TRIM(IF(J1288+K1288+L1288+M1288&lt;&gt;$G1288,"按分不一致 ","")&amp;IF(O1288="※未登録","科目未登録 ","")&amp;IF(OR($H1288="",ISERROR(MATCH($H1288,{1,2,3,4,5,6,7,8},0))),"経費区分? ","")&amp;IF($I1288="","状態未設定 ","")&amp;IF(AND(OR($I1288="確認済",$I1288="未確認"),$B1288="月例",OR($C1288="",$C1288&lt;DATE(年度+2018,4,1),$C1288&gt;DATE(年度+2019,3,31))),"年度外の日付 ","")&amp;IF(AND(OR($I1288="確認済",$I1288="未確認"),O1288="対象外"),"対象外の科目 ","")))</f>
        <v/>
      </c>
      <c r="R1288" s="366" t="n"/>
    </row>
    <row r="1289">
      <c r="A1289" s="359" t="n"/>
      <c r="B1289" s="360" t="n"/>
      <c r="C1289" s="361" t="n"/>
      <c r="D1289" s="362" t="n"/>
      <c r="E1289" s="362" t="n"/>
      <c r="F1289" s="362" t="n"/>
      <c r="G1289" s="363" t="n"/>
      <c r="H1289" s="360" t="n"/>
      <c r="I1289" s="360" t="n"/>
      <c r="J1289" s="364" t="str">
        <f>IF($G1289="","",IF($H1289=1,$G1289-ROUND($G1289*10/23,0)-2*ROUND($G1289/23,0),IF($H1289=2,$G1289,0)))</f>
        <v/>
      </c>
      <c r="K1289" s="364" t="str">
        <f>IF($G1289="","",IF($H1289=1,ROUND($G1289*10/23,0),IF($H1289=3,$G1289-2*ROUND($G1289/12,0),IF($H1289=4,$G1289,IF(OR($H1289=5,$H1289=7),ROUND($G1289*10/11,0),0)))))</f>
        <v/>
      </c>
      <c r="L1289" s="364" t="str">
        <f>IF($G1289="","",IF($H1289=1,ROUND($G1289/23,0),IF($H1289=3,ROUND($G1289/12,0),IF($H1289=5,$G1289-ROUND($G1289*10/11,0),IF($H1289=8,$G1289,0)))))</f>
        <v/>
      </c>
      <c r="M1289" s="364" t="str">
        <f>IF($G1289="","",IF($H1289=1,ROUND($G1289/23,0),IF($H1289=3,ROUND($G1289/12,0),IF($H1289=6,$G1289,IF($H1289=7,$G1289-ROUND($G1289*10/11,0),0)))))</f>
        <v/>
      </c>
      <c r="N1289" s="364" t="str">
        <f>IF($G1289="","",K1289+L1289+M1289)</f>
        <v/>
      </c>
      <c r="O1289" s="365" t="str">
        <f>IF($G1289="","",IFERROR(VLOOKUP($D1289&amp;"|"&amp;$E1289,科目表!$A$5:$B$200,2,FALSE),"※未登録"))</f>
        <v/>
      </c>
      <c r="P1289" s="359" t="str">
        <f>IF(OR($G1289="",$C1289=""),"",IF($B1289="決算整理",13,MOD(MONTH($C1289)-4,12)+1))</f>
        <v/>
      </c>
      <c r="Q1289" s="366" t="str">
        <f>IF($G1289="","",TRIM(IF(J1289+K1289+L1289+M1289&lt;&gt;$G1289,"按分不一致 ","")&amp;IF(O1289="※未登録","科目未登録 ","")&amp;IF(OR($H1289="",ISERROR(MATCH($H1289,{1,2,3,4,5,6,7,8},0))),"経費区分? ","")&amp;IF($I1289="","状態未設定 ","")&amp;IF(AND(OR($I1289="確認済",$I1289="未確認"),$B1289="月例",OR($C1289="",$C1289&lt;DATE(年度+2018,4,1),$C1289&gt;DATE(年度+2019,3,31))),"年度外の日付 ","")&amp;IF(AND(OR($I1289="確認済",$I1289="未確認"),O1289="対象外"),"対象外の科目 ","")))</f>
        <v/>
      </c>
      <c r="R1289" s="366" t="n"/>
    </row>
    <row r="1290">
      <c r="A1290" s="359" t="n"/>
      <c r="B1290" s="360" t="n"/>
      <c r="C1290" s="361" t="n"/>
      <c r="D1290" s="362" t="n"/>
      <c r="E1290" s="362" t="n"/>
      <c r="F1290" s="362" t="n"/>
      <c r="G1290" s="363" t="n"/>
      <c r="H1290" s="360" t="n"/>
      <c r="I1290" s="360" t="n"/>
      <c r="J1290" s="364" t="str">
        <f>IF($G1290="","",IF($H1290=1,$G1290-ROUND($G1290*10/23,0)-2*ROUND($G1290/23,0),IF($H1290=2,$G1290,0)))</f>
        <v/>
      </c>
      <c r="K1290" s="364" t="str">
        <f>IF($G1290="","",IF($H1290=1,ROUND($G1290*10/23,0),IF($H1290=3,$G1290-2*ROUND($G1290/12,0),IF($H1290=4,$G1290,IF(OR($H1290=5,$H1290=7),ROUND($G1290*10/11,0),0)))))</f>
        <v/>
      </c>
      <c r="L1290" s="364" t="str">
        <f>IF($G1290="","",IF($H1290=1,ROUND($G1290/23,0),IF($H1290=3,ROUND($G1290/12,0),IF($H1290=5,$G1290-ROUND($G1290*10/11,0),IF($H1290=8,$G1290,0)))))</f>
        <v/>
      </c>
      <c r="M1290" s="364" t="str">
        <f>IF($G1290="","",IF($H1290=1,ROUND($G1290/23,0),IF($H1290=3,ROUND($G1290/12,0),IF($H1290=6,$G1290,IF($H1290=7,$G1290-ROUND($G1290*10/11,0),0)))))</f>
        <v/>
      </c>
      <c r="N1290" s="364" t="str">
        <f>IF($G1290="","",K1290+L1290+M1290)</f>
        <v/>
      </c>
      <c r="O1290" s="365" t="str">
        <f>IF($G1290="","",IFERROR(VLOOKUP($D1290&amp;"|"&amp;$E1290,科目表!$A$5:$B$200,2,FALSE),"※未登録"))</f>
        <v/>
      </c>
      <c r="P1290" s="359" t="str">
        <f>IF(OR($G1290="",$C1290=""),"",IF($B1290="決算整理",13,MOD(MONTH($C1290)-4,12)+1))</f>
        <v/>
      </c>
      <c r="Q1290" s="366" t="str">
        <f>IF($G1290="","",TRIM(IF(J1290+K1290+L1290+M1290&lt;&gt;$G1290,"按分不一致 ","")&amp;IF(O1290="※未登録","科目未登録 ","")&amp;IF(OR($H1290="",ISERROR(MATCH($H1290,{1,2,3,4,5,6,7,8},0))),"経費区分? ","")&amp;IF($I1290="","状態未設定 ","")&amp;IF(AND(OR($I1290="確認済",$I1290="未確認"),$B1290="月例",OR($C1290="",$C1290&lt;DATE(年度+2018,4,1),$C1290&gt;DATE(年度+2019,3,31))),"年度外の日付 ","")&amp;IF(AND(OR($I1290="確認済",$I1290="未確認"),O1290="対象外"),"対象外の科目 ","")))</f>
        <v/>
      </c>
      <c r="R1290" s="366" t="n"/>
    </row>
    <row r="1291">
      <c r="A1291" s="359" t="n"/>
      <c r="B1291" s="360" t="n"/>
      <c r="C1291" s="361" t="n"/>
      <c r="D1291" s="362" t="n"/>
      <c r="E1291" s="362" t="n"/>
      <c r="F1291" s="362" t="n"/>
      <c r="G1291" s="363" t="n"/>
      <c r="H1291" s="360" t="n"/>
      <c r="I1291" s="360" t="n"/>
      <c r="J1291" s="364" t="str">
        <f>IF($G1291="","",IF($H1291=1,$G1291-ROUND($G1291*10/23,0)-2*ROUND($G1291/23,0),IF($H1291=2,$G1291,0)))</f>
        <v/>
      </c>
      <c r="K1291" s="364" t="str">
        <f>IF($G1291="","",IF($H1291=1,ROUND($G1291*10/23,0),IF($H1291=3,$G1291-2*ROUND($G1291/12,0),IF($H1291=4,$G1291,IF(OR($H1291=5,$H1291=7),ROUND($G1291*10/11,0),0)))))</f>
        <v/>
      </c>
      <c r="L1291" s="364" t="str">
        <f>IF($G1291="","",IF($H1291=1,ROUND($G1291/23,0),IF($H1291=3,ROUND($G1291/12,0),IF($H1291=5,$G1291-ROUND($G1291*10/11,0),IF($H1291=8,$G1291,0)))))</f>
        <v/>
      </c>
      <c r="M1291" s="364" t="str">
        <f>IF($G1291="","",IF($H1291=1,ROUND($G1291/23,0),IF($H1291=3,ROUND($G1291/12,0),IF($H1291=6,$G1291,IF($H1291=7,$G1291-ROUND($G1291*10/11,0),0)))))</f>
        <v/>
      </c>
      <c r="N1291" s="364" t="str">
        <f>IF($G1291="","",K1291+L1291+M1291)</f>
        <v/>
      </c>
      <c r="O1291" s="365" t="str">
        <f>IF($G1291="","",IFERROR(VLOOKUP($D1291&amp;"|"&amp;$E1291,科目表!$A$5:$B$200,2,FALSE),"※未登録"))</f>
        <v/>
      </c>
      <c r="P1291" s="359" t="str">
        <f>IF(OR($G1291="",$C1291=""),"",IF($B1291="決算整理",13,MOD(MONTH($C1291)-4,12)+1))</f>
        <v/>
      </c>
      <c r="Q1291" s="366" t="str">
        <f>IF($G1291="","",TRIM(IF(J1291+K1291+L1291+M1291&lt;&gt;$G1291,"按分不一致 ","")&amp;IF(O1291="※未登録","科目未登録 ","")&amp;IF(OR($H1291="",ISERROR(MATCH($H1291,{1,2,3,4,5,6,7,8},0))),"経費区分? ","")&amp;IF($I1291="","状態未設定 ","")&amp;IF(AND(OR($I1291="確認済",$I1291="未確認"),$B1291="月例",OR($C1291="",$C1291&lt;DATE(年度+2018,4,1),$C1291&gt;DATE(年度+2019,3,31))),"年度外の日付 ","")&amp;IF(AND(OR($I1291="確認済",$I1291="未確認"),O1291="対象外"),"対象外の科目 ","")))</f>
        <v/>
      </c>
      <c r="R1291" s="366" t="n"/>
    </row>
    <row r="1292">
      <c r="A1292" s="359" t="n"/>
      <c r="B1292" s="360" t="n"/>
      <c r="C1292" s="361" t="n"/>
      <c r="D1292" s="362" t="n"/>
      <c r="E1292" s="362" t="n"/>
      <c r="F1292" s="362" t="n"/>
      <c r="G1292" s="363" t="n"/>
      <c r="H1292" s="360" t="n"/>
      <c r="I1292" s="360" t="n"/>
      <c r="J1292" s="364" t="str">
        <f>IF($G1292="","",IF($H1292=1,$G1292-ROUND($G1292*10/23,0)-2*ROUND($G1292/23,0),IF($H1292=2,$G1292,0)))</f>
        <v/>
      </c>
      <c r="K1292" s="364" t="str">
        <f>IF($G1292="","",IF($H1292=1,ROUND($G1292*10/23,0),IF($H1292=3,$G1292-2*ROUND($G1292/12,0),IF($H1292=4,$G1292,IF(OR($H1292=5,$H1292=7),ROUND($G1292*10/11,0),0)))))</f>
        <v/>
      </c>
      <c r="L1292" s="364" t="str">
        <f>IF($G1292="","",IF($H1292=1,ROUND($G1292/23,0),IF($H1292=3,ROUND($G1292/12,0),IF($H1292=5,$G1292-ROUND($G1292*10/11,0),IF($H1292=8,$G1292,0)))))</f>
        <v/>
      </c>
      <c r="M1292" s="364" t="str">
        <f>IF($G1292="","",IF($H1292=1,ROUND($G1292/23,0),IF($H1292=3,ROUND($G1292/12,0),IF($H1292=6,$G1292,IF($H1292=7,$G1292-ROUND($G1292*10/11,0),0)))))</f>
        <v/>
      </c>
      <c r="N1292" s="364" t="str">
        <f>IF($G1292="","",K1292+L1292+M1292)</f>
        <v/>
      </c>
      <c r="O1292" s="365" t="str">
        <f>IF($G1292="","",IFERROR(VLOOKUP($D1292&amp;"|"&amp;$E1292,科目表!$A$5:$B$200,2,FALSE),"※未登録"))</f>
        <v/>
      </c>
      <c r="P1292" s="359" t="str">
        <f>IF(OR($G1292="",$C1292=""),"",IF($B1292="決算整理",13,MOD(MONTH($C1292)-4,12)+1))</f>
        <v/>
      </c>
      <c r="Q1292" s="366" t="str">
        <f>IF($G1292="","",TRIM(IF(J1292+K1292+L1292+M1292&lt;&gt;$G1292,"按分不一致 ","")&amp;IF(O1292="※未登録","科目未登録 ","")&amp;IF(OR($H1292="",ISERROR(MATCH($H1292,{1,2,3,4,5,6,7,8},0))),"経費区分? ","")&amp;IF($I1292="","状態未設定 ","")&amp;IF(AND(OR($I1292="確認済",$I1292="未確認"),$B1292="月例",OR($C1292="",$C1292&lt;DATE(年度+2018,4,1),$C1292&gt;DATE(年度+2019,3,31))),"年度外の日付 ","")&amp;IF(AND(OR($I1292="確認済",$I1292="未確認"),O1292="対象外"),"対象外の科目 ","")))</f>
        <v/>
      </c>
      <c r="R1292" s="366" t="n"/>
    </row>
    <row r="1293">
      <c r="A1293" s="359" t="n"/>
      <c r="B1293" s="360" t="n"/>
      <c r="C1293" s="361" t="n"/>
      <c r="D1293" s="362" t="n"/>
      <c r="E1293" s="362" t="n"/>
      <c r="F1293" s="362" t="n"/>
      <c r="G1293" s="363" t="n"/>
      <c r="H1293" s="360" t="n"/>
      <c r="I1293" s="360" t="n"/>
      <c r="J1293" s="364" t="str">
        <f>IF($G1293="","",IF($H1293=1,$G1293-ROUND($G1293*10/23,0)-2*ROUND($G1293/23,0),IF($H1293=2,$G1293,0)))</f>
        <v/>
      </c>
      <c r="K1293" s="364" t="str">
        <f>IF($G1293="","",IF($H1293=1,ROUND($G1293*10/23,0),IF($H1293=3,$G1293-2*ROUND($G1293/12,0),IF($H1293=4,$G1293,IF(OR($H1293=5,$H1293=7),ROUND($G1293*10/11,0),0)))))</f>
        <v/>
      </c>
      <c r="L1293" s="364" t="str">
        <f>IF($G1293="","",IF($H1293=1,ROUND($G1293/23,0),IF($H1293=3,ROUND($G1293/12,0),IF($H1293=5,$G1293-ROUND($G1293*10/11,0),IF($H1293=8,$G1293,0)))))</f>
        <v/>
      </c>
      <c r="M1293" s="364" t="str">
        <f>IF($G1293="","",IF($H1293=1,ROUND($G1293/23,0),IF($H1293=3,ROUND($G1293/12,0),IF($H1293=6,$G1293,IF($H1293=7,$G1293-ROUND($G1293*10/11,0),0)))))</f>
        <v/>
      </c>
      <c r="N1293" s="364" t="str">
        <f>IF($G1293="","",K1293+L1293+M1293)</f>
        <v/>
      </c>
      <c r="O1293" s="365" t="str">
        <f>IF($G1293="","",IFERROR(VLOOKUP($D1293&amp;"|"&amp;$E1293,科目表!$A$5:$B$200,2,FALSE),"※未登録"))</f>
        <v/>
      </c>
      <c r="P1293" s="359" t="str">
        <f>IF(OR($G1293="",$C1293=""),"",IF($B1293="決算整理",13,MOD(MONTH($C1293)-4,12)+1))</f>
        <v/>
      </c>
      <c r="Q1293" s="366" t="str">
        <f>IF($G1293="","",TRIM(IF(J1293+K1293+L1293+M1293&lt;&gt;$G1293,"按分不一致 ","")&amp;IF(O1293="※未登録","科目未登録 ","")&amp;IF(OR($H1293="",ISERROR(MATCH($H1293,{1,2,3,4,5,6,7,8},0))),"経費区分? ","")&amp;IF($I1293="","状態未設定 ","")&amp;IF(AND(OR($I1293="確認済",$I1293="未確認"),$B1293="月例",OR($C1293="",$C1293&lt;DATE(年度+2018,4,1),$C1293&gt;DATE(年度+2019,3,31))),"年度外の日付 ","")&amp;IF(AND(OR($I1293="確認済",$I1293="未確認"),O1293="対象外"),"対象外の科目 ","")))</f>
        <v/>
      </c>
      <c r="R1293" s="366" t="n"/>
    </row>
    <row r="1294">
      <c r="A1294" s="359" t="n"/>
      <c r="B1294" s="360" t="n"/>
      <c r="C1294" s="361" t="n"/>
      <c r="D1294" s="362" t="n"/>
      <c r="E1294" s="362" t="n"/>
      <c r="F1294" s="362" t="n"/>
      <c r="G1294" s="363" t="n"/>
      <c r="H1294" s="360" t="n"/>
      <c r="I1294" s="360" t="n"/>
      <c r="J1294" s="364" t="str">
        <f>IF($G1294="","",IF($H1294=1,$G1294-ROUND($G1294*10/23,0)-2*ROUND($G1294/23,0),IF($H1294=2,$G1294,0)))</f>
        <v/>
      </c>
      <c r="K1294" s="364" t="str">
        <f>IF($G1294="","",IF($H1294=1,ROUND($G1294*10/23,0),IF($H1294=3,$G1294-2*ROUND($G1294/12,0),IF($H1294=4,$G1294,IF(OR($H1294=5,$H1294=7),ROUND($G1294*10/11,0),0)))))</f>
        <v/>
      </c>
      <c r="L1294" s="364" t="str">
        <f>IF($G1294="","",IF($H1294=1,ROUND($G1294/23,0),IF($H1294=3,ROUND($G1294/12,0),IF($H1294=5,$G1294-ROUND($G1294*10/11,0),IF($H1294=8,$G1294,0)))))</f>
        <v/>
      </c>
      <c r="M1294" s="364" t="str">
        <f>IF($G1294="","",IF($H1294=1,ROUND($G1294/23,0),IF($H1294=3,ROUND($G1294/12,0),IF($H1294=6,$G1294,IF($H1294=7,$G1294-ROUND($G1294*10/11,0),0)))))</f>
        <v/>
      </c>
      <c r="N1294" s="364" t="str">
        <f>IF($G1294="","",K1294+L1294+M1294)</f>
        <v/>
      </c>
      <c r="O1294" s="365" t="str">
        <f>IF($G1294="","",IFERROR(VLOOKUP($D1294&amp;"|"&amp;$E1294,科目表!$A$5:$B$200,2,FALSE),"※未登録"))</f>
        <v/>
      </c>
      <c r="P1294" s="359" t="str">
        <f>IF(OR($G1294="",$C1294=""),"",IF($B1294="決算整理",13,MOD(MONTH($C1294)-4,12)+1))</f>
        <v/>
      </c>
      <c r="Q1294" s="366" t="str">
        <f>IF($G1294="","",TRIM(IF(J1294+K1294+L1294+M1294&lt;&gt;$G1294,"按分不一致 ","")&amp;IF(O1294="※未登録","科目未登録 ","")&amp;IF(OR($H1294="",ISERROR(MATCH($H1294,{1,2,3,4,5,6,7,8},0))),"経費区分? ","")&amp;IF($I1294="","状態未設定 ","")&amp;IF(AND(OR($I1294="確認済",$I1294="未確認"),$B1294="月例",OR($C1294="",$C1294&lt;DATE(年度+2018,4,1),$C1294&gt;DATE(年度+2019,3,31))),"年度外の日付 ","")&amp;IF(AND(OR($I1294="確認済",$I1294="未確認"),O1294="対象外"),"対象外の科目 ","")))</f>
        <v/>
      </c>
      <c r="R1294" s="366" t="n"/>
    </row>
    <row r="1295">
      <c r="A1295" s="359" t="n"/>
      <c r="B1295" s="360" t="n"/>
      <c r="C1295" s="361" t="n"/>
      <c r="D1295" s="362" t="n"/>
      <c r="E1295" s="362" t="n"/>
      <c r="F1295" s="362" t="n"/>
      <c r="G1295" s="363" t="n"/>
      <c r="H1295" s="360" t="n"/>
      <c r="I1295" s="360" t="n"/>
      <c r="J1295" s="364" t="str">
        <f>IF($G1295="","",IF($H1295=1,$G1295-ROUND($G1295*10/23,0)-2*ROUND($G1295/23,0),IF($H1295=2,$G1295,0)))</f>
        <v/>
      </c>
      <c r="K1295" s="364" t="str">
        <f>IF($G1295="","",IF($H1295=1,ROUND($G1295*10/23,0),IF($H1295=3,$G1295-2*ROUND($G1295/12,0),IF($H1295=4,$G1295,IF(OR($H1295=5,$H1295=7),ROUND($G1295*10/11,0),0)))))</f>
        <v/>
      </c>
      <c r="L1295" s="364" t="str">
        <f>IF($G1295="","",IF($H1295=1,ROUND($G1295/23,0),IF($H1295=3,ROUND($G1295/12,0),IF($H1295=5,$G1295-ROUND($G1295*10/11,0),IF($H1295=8,$G1295,0)))))</f>
        <v/>
      </c>
      <c r="M1295" s="364" t="str">
        <f>IF($G1295="","",IF($H1295=1,ROUND($G1295/23,0),IF($H1295=3,ROUND($G1295/12,0),IF($H1295=6,$G1295,IF($H1295=7,$G1295-ROUND($G1295*10/11,0),0)))))</f>
        <v/>
      </c>
      <c r="N1295" s="364" t="str">
        <f>IF($G1295="","",K1295+L1295+M1295)</f>
        <v/>
      </c>
      <c r="O1295" s="365" t="str">
        <f>IF($G1295="","",IFERROR(VLOOKUP($D1295&amp;"|"&amp;$E1295,科目表!$A$5:$B$200,2,FALSE),"※未登録"))</f>
        <v/>
      </c>
      <c r="P1295" s="359" t="str">
        <f>IF(OR($G1295="",$C1295=""),"",IF($B1295="決算整理",13,MOD(MONTH($C1295)-4,12)+1))</f>
        <v/>
      </c>
      <c r="Q1295" s="366" t="str">
        <f>IF($G1295="","",TRIM(IF(J1295+K1295+L1295+M1295&lt;&gt;$G1295,"按分不一致 ","")&amp;IF(O1295="※未登録","科目未登録 ","")&amp;IF(OR($H1295="",ISERROR(MATCH($H1295,{1,2,3,4,5,6,7,8},0))),"経費区分? ","")&amp;IF($I1295="","状態未設定 ","")&amp;IF(AND(OR($I1295="確認済",$I1295="未確認"),$B1295="月例",OR($C1295="",$C1295&lt;DATE(年度+2018,4,1),$C1295&gt;DATE(年度+2019,3,31))),"年度外の日付 ","")&amp;IF(AND(OR($I1295="確認済",$I1295="未確認"),O1295="対象外"),"対象外の科目 ","")))</f>
        <v/>
      </c>
      <c r="R1295" s="366" t="n"/>
    </row>
    <row r="1296">
      <c r="A1296" s="359" t="n"/>
      <c r="B1296" s="360" t="n"/>
      <c r="C1296" s="361" t="n"/>
      <c r="D1296" s="362" t="n"/>
      <c r="E1296" s="362" t="n"/>
      <c r="F1296" s="362" t="n"/>
      <c r="G1296" s="363" t="n"/>
      <c r="H1296" s="360" t="n"/>
      <c r="I1296" s="360" t="n"/>
      <c r="J1296" s="364" t="str">
        <f>IF($G1296="","",IF($H1296=1,$G1296-ROUND($G1296*10/23,0)-2*ROUND($G1296/23,0),IF($H1296=2,$G1296,0)))</f>
        <v/>
      </c>
      <c r="K1296" s="364" t="str">
        <f>IF($G1296="","",IF($H1296=1,ROUND($G1296*10/23,0),IF($H1296=3,$G1296-2*ROUND($G1296/12,0),IF($H1296=4,$G1296,IF(OR($H1296=5,$H1296=7),ROUND($G1296*10/11,0),0)))))</f>
        <v/>
      </c>
      <c r="L1296" s="364" t="str">
        <f>IF($G1296="","",IF($H1296=1,ROUND($G1296/23,0),IF($H1296=3,ROUND($G1296/12,0),IF($H1296=5,$G1296-ROUND($G1296*10/11,0),IF($H1296=8,$G1296,0)))))</f>
        <v/>
      </c>
      <c r="M1296" s="364" t="str">
        <f>IF($G1296="","",IF($H1296=1,ROUND($G1296/23,0),IF($H1296=3,ROUND($G1296/12,0),IF($H1296=6,$G1296,IF($H1296=7,$G1296-ROUND($G1296*10/11,0),0)))))</f>
        <v/>
      </c>
      <c r="N1296" s="364" t="str">
        <f>IF($G1296="","",K1296+L1296+M1296)</f>
        <v/>
      </c>
      <c r="O1296" s="365" t="str">
        <f>IF($G1296="","",IFERROR(VLOOKUP($D1296&amp;"|"&amp;$E1296,科目表!$A$5:$B$200,2,FALSE),"※未登録"))</f>
        <v/>
      </c>
      <c r="P1296" s="359" t="str">
        <f>IF(OR($G1296="",$C1296=""),"",IF($B1296="決算整理",13,MOD(MONTH($C1296)-4,12)+1))</f>
        <v/>
      </c>
      <c r="Q1296" s="366" t="str">
        <f>IF($G1296="","",TRIM(IF(J1296+K1296+L1296+M1296&lt;&gt;$G1296,"按分不一致 ","")&amp;IF(O1296="※未登録","科目未登録 ","")&amp;IF(OR($H1296="",ISERROR(MATCH($H1296,{1,2,3,4,5,6,7,8},0))),"経費区分? ","")&amp;IF($I1296="","状態未設定 ","")&amp;IF(AND(OR($I1296="確認済",$I1296="未確認"),$B1296="月例",OR($C1296="",$C1296&lt;DATE(年度+2018,4,1),$C1296&gt;DATE(年度+2019,3,31))),"年度外の日付 ","")&amp;IF(AND(OR($I1296="確認済",$I1296="未確認"),O1296="対象外"),"対象外の科目 ","")))</f>
        <v/>
      </c>
      <c r="R1296" s="366" t="n"/>
    </row>
    <row r="1297">
      <c r="A1297" s="359" t="n"/>
      <c r="B1297" s="360" t="n"/>
      <c r="C1297" s="361" t="n"/>
      <c r="D1297" s="362" t="n"/>
      <c r="E1297" s="362" t="n"/>
      <c r="F1297" s="362" t="n"/>
      <c r="G1297" s="363" t="n"/>
      <c r="H1297" s="360" t="n"/>
      <c r="I1297" s="360" t="n"/>
      <c r="J1297" s="364" t="str">
        <f>IF($G1297="","",IF($H1297=1,$G1297-ROUND($G1297*10/23,0)-2*ROUND($G1297/23,0),IF($H1297=2,$G1297,0)))</f>
        <v/>
      </c>
      <c r="K1297" s="364" t="str">
        <f>IF($G1297="","",IF($H1297=1,ROUND($G1297*10/23,0),IF($H1297=3,$G1297-2*ROUND($G1297/12,0),IF($H1297=4,$G1297,IF(OR($H1297=5,$H1297=7),ROUND($G1297*10/11,0),0)))))</f>
        <v/>
      </c>
      <c r="L1297" s="364" t="str">
        <f>IF($G1297="","",IF($H1297=1,ROUND($G1297/23,0),IF($H1297=3,ROUND($G1297/12,0),IF($H1297=5,$G1297-ROUND($G1297*10/11,0),IF($H1297=8,$G1297,0)))))</f>
        <v/>
      </c>
      <c r="M1297" s="364" t="str">
        <f>IF($G1297="","",IF($H1297=1,ROUND($G1297/23,0),IF($H1297=3,ROUND($G1297/12,0),IF($H1297=6,$G1297,IF($H1297=7,$G1297-ROUND($G1297*10/11,0),0)))))</f>
        <v/>
      </c>
      <c r="N1297" s="364" t="str">
        <f>IF($G1297="","",K1297+L1297+M1297)</f>
        <v/>
      </c>
      <c r="O1297" s="365" t="str">
        <f>IF($G1297="","",IFERROR(VLOOKUP($D1297&amp;"|"&amp;$E1297,科目表!$A$5:$B$200,2,FALSE),"※未登録"))</f>
        <v/>
      </c>
      <c r="P1297" s="359" t="str">
        <f>IF(OR($G1297="",$C1297=""),"",IF($B1297="決算整理",13,MOD(MONTH($C1297)-4,12)+1))</f>
        <v/>
      </c>
      <c r="Q1297" s="366" t="str">
        <f>IF($G1297="","",TRIM(IF(J1297+K1297+L1297+M1297&lt;&gt;$G1297,"按分不一致 ","")&amp;IF(O1297="※未登録","科目未登録 ","")&amp;IF(OR($H1297="",ISERROR(MATCH($H1297,{1,2,3,4,5,6,7,8},0))),"経費区分? ","")&amp;IF($I1297="","状態未設定 ","")&amp;IF(AND(OR($I1297="確認済",$I1297="未確認"),$B1297="月例",OR($C1297="",$C1297&lt;DATE(年度+2018,4,1),$C1297&gt;DATE(年度+2019,3,31))),"年度外の日付 ","")&amp;IF(AND(OR($I1297="確認済",$I1297="未確認"),O1297="対象外"),"対象外の科目 ","")))</f>
        <v/>
      </c>
      <c r="R1297" s="366" t="n"/>
    </row>
    <row r="1298">
      <c r="A1298" s="359" t="n"/>
      <c r="B1298" s="360" t="n"/>
      <c r="C1298" s="361" t="n"/>
      <c r="D1298" s="362" t="n"/>
      <c r="E1298" s="362" t="n"/>
      <c r="F1298" s="362" t="n"/>
      <c r="G1298" s="363" t="n"/>
      <c r="H1298" s="360" t="n"/>
      <c r="I1298" s="360" t="n"/>
      <c r="J1298" s="364" t="str">
        <f>IF($G1298="","",IF($H1298=1,$G1298-ROUND($G1298*10/23,0)-2*ROUND($G1298/23,0),IF($H1298=2,$G1298,0)))</f>
        <v/>
      </c>
      <c r="K1298" s="364" t="str">
        <f>IF($G1298="","",IF($H1298=1,ROUND($G1298*10/23,0),IF($H1298=3,$G1298-2*ROUND($G1298/12,0),IF($H1298=4,$G1298,IF(OR($H1298=5,$H1298=7),ROUND($G1298*10/11,0),0)))))</f>
        <v/>
      </c>
      <c r="L1298" s="364" t="str">
        <f>IF($G1298="","",IF($H1298=1,ROUND($G1298/23,0),IF($H1298=3,ROUND($G1298/12,0),IF($H1298=5,$G1298-ROUND($G1298*10/11,0),IF($H1298=8,$G1298,0)))))</f>
        <v/>
      </c>
      <c r="M1298" s="364" t="str">
        <f>IF($G1298="","",IF($H1298=1,ROUND($G1298/23,0),IF($H1298=3,ROUND($G1298/12,0),IF($H1298=6,$G1298,IF($H1298=7,$G1298-ROUND($G1298*10/11,0),0)))))</f>
        <v/>
      </c>
      <c r="N1298" s="364" t="str">
        <f>IF($G1298="","",K1298+L1298+M1298)</f>
        <v/>
      </c>
      <c r="O1298" s="365" t="str">
        <f>IF($G1298="","",IFERROR(VLOOKUP($D1298&amp;"|"&amp;$E1298,科目表!$A$5:$B$200,2,FALSE),"※未登録"))</f>
        <v/>
      </c>
      <c r="P1298" s="359" t="str">
        <f>IF(OR($G1298="",$C1298=""),"",IF($B1298="決算整理",13,MOD(MONTH($C1298)-4,12)+1))</f>
        <v/>
      </c>
      <c r="Q1298" s="366" t="str">
        <f>IF($G1298="","",TRIM(IF(J1298+K1298+L1298+M1298&lt;&gt;$G1298,"按分不一致 ","")&amp;IF(O1298="※未登録","科目未登録 ","")&amp;IF(OR($H1298="",ISERROR(MATCH($H1298,{1,2,3,4,5,6,7,8},0))),"経費区分? ","")&amp;IF($I1298="","状態未設定 ","")&amp;IF(AND(OR($I1298="確認済",$I1298="未確認"),$B1298="月例",OR($C1298="",$C1298&lt;DATE(年度+2018,4,1),$C1298&gt;DATE(年度+2019,3,31))),"年度外の日付 ","")&amp;IF(AND(OR($I1298="確認済",$I1298="未確認"),O1298="対象外"),"対象外の科目 ","")))</f>
        <v/>
      </c>
      <c r="R1298" s="366" t="n"/>
    </row>
    <row r="1299">
      <c r="A1299" s="359" t="n"/>
      <c r="B1299" s="360" t="n"/>
      <c r="C1299" s="361" t="n"/>
      <c r="D1299" s="362" t="n"/>
      <c r="E1299" s="362" t="n"/>
      <c r="F1299" s="362" t="n"/>
      <c r="G1299" s="363" t="n"/>
      <c r="H1299" s="360" t="n"/>
      <c r="I1299" s="360" t="n"/>
      <c r="J1299" s="364" t="str">
        <f>IF($G1299="","",IF($H1299=1,$G1299-ROUND($G1299*10/23,0)-2*ROUND($G1299/23,0),IF($H1299=2,$G1299,0)))</f>
        <v/>
      </c>
      <c r="K1299" s="364" t="str">
        <f>IF($G1299="","",IF($H1299=1,ROUND($G1299*10/23,0),IF($H1299=3,$G1299-2*ROUND($G1299/12,0),IF($H1299=4,$G1299,IF(OR($H1299=5,$H1299=7),ROUND($G1299*10/11,0),0)))))</f>
        <v/>
      </c>
      <c r="L1299" s="364" t="str">
        <f>IF($G1299="","",IF($H1299=1,ROUND($G1299/23,0),IF($H1299=3,ROUND($G1299/12,0),IF($H1299=5,$G1299-ROUND($G1299*10/11,0),IF($H1299=8,$G1299,0)))))</f>
        <v/>
      </c>
      <c r="M1299" s="364" t="str">
        <f>IF($G1299="","",IF($H1299=1,ROUND($G1299/23,0),IF($H1299=3,ROUND($G1299/12,0),IF($H1299=6,$G1299,IF($H1299=7,$G1299-ROUND($G1299*10/11,0),0)))))</f>
        <v/>
      </c>
      <c r="N1299" s="364" t="str">
        <f>IF($G1299="","",K1299+L1299+M1299)</f>
        <v/>
      </c>
      <c r="O1299" s="365" t="str">
        <f>IF($G1299="","",IFERROR(VLOOKUP($D1299&amp;"|"&amp;$E1299,科目表!$A$5:$B$200,2,FALSE),"※未登録"))</f>
        <v/>
      </c>
      <c r="P1299" s="359" t="str">
        <f>IF(OR($G1299="",$C1299=""),"",IF($B1299="決算整理",13,MOD(MONTH($C1299)-4,12)+1))</f>
        <v/>
      </c>
      <c r="Q1299" s="366" t="str">
        <f>IF($G1299="","",TRIM(IF(J1299+K1299+L1299+M1299&lt;&gt;$G1299,"按分不一致 ","")&amp;IF(O1299="※未登録","科目未登録 ","")&amp;IF(OR($H1299="",ISERROR(MATCH($H1299,{1,2,3,4,5,6,7,8},0))),"経費区分? ","")&amp;IF($I1299="","状態未設定 ","")&amp;IF(AND(OR($I1299="確認済",$I1299="未確認"),$B1299="月例",OR($C1299="",$C1299&lt;DATE(年度+2018,4,1),$C1299&gt;DATE(年度+2019,3,31))),"年度外の日付 ","")&amp;IF(AND(OR($I1299="確認済",$I1299="未確認"),O1299="対象外"),"対象外の科目 ","")))</f>
        <v/>
      </c>
      <c r="R1299" s="366" t="n"/>
    </row>
    <row r="1300">
      <c r="A1300" s="359" t="n"/>
      <c r="B1300" s="360" t="n"/>
      <c r="C1300" s="361" t="n"/>
      <c r="D1300" s="362" t="n"/>
      <c r="E1300" s="362" t="n"/>
      <c r="F1300" s="362" t="n"/>
      <c r="G1300" s="363" t="n"/>
      <c r="H1300" s="360" t="n"/>
      <c r="I1300" s="360" t="n"/>
      <c r="J1300" s="364" t="str">
        <f>IF($G1300="","",IF($H1300=1,$G1300-ROUND($G1300*10/23,0)-2*ROUND($G1300/23,0),IF($H1300=2,$G1300,0)))</f>
        <v/>
      </c>
      <c r="K1300" s="364" t="str">
        <f>IF($G1300="","",IF($H1300=1,ROUND($G1300*10/23,0),IF($H1300=3,$G1300-2*ROUND($G1300/12,0),IF($H1300=4,$G1300,IF(OR($H1300=5,$H1300=7),ROUND($G1300*10/11,0),0)))))</f>
        <v/>
      </c>
      <c r="L1300" s="364" t="str">
        <f>IF($G1300="","",IF($H1300=1,ROUND($G1300/23,0),IF($H1300=3,ROUND($G1300/12,0),IF($H1300=5,$G1300-ROUND($G1300*10/11,0),IF($H1300=8,$G1300,0)))))</f>
        <v/>
      </c>
      <c r="M1300" s="364" t="str">
        <f>IF($G1300="","",IF($H1300=1,ROUND($G1300/23,0),IF($H1300=3,ROUND($G1300/12,0),IF($H1300=6,$G1300,IF($H1300=7,$G1300-ROUND($G1300*10/11,0),0)))))</f>
        <v/>
      </c>
      <c r="N1300" s="364" t="str">
        <f>IF($G1300="","",K1300+L1300+M1300)</f>
        <v/>
      </c>
      <c r="O1300" s="365" t="str">
        <f>IF($G1300="","",IFERROR(VLOOKUP($D1300&amp;"|"&amp;$E1300,科目表!$A$5:$B$200,2,FALSE),"※未登録"))</f>
        <v/>
      </c>
      <c r="P1300" s="359" t="str">
        <f>IF(OR($G1300="",$C1300=""),"",IF($B1300="決算整理",13,MOD(MONTH($C1300)-4,12)+1))</f>
        <v/>
      </c>
      <c r="Q1300" s="366" t="str">
        <f>IF($G1300="","",TRIM(IF(J1300+K1300+L1300+M1300&lt;&gt;$G1300,"按分不一致 ","")&amp;IF(O1300="※未登録","科目未登録 ","")&amp;IF(OR($H1300="",ISERROR(MATCH($H1300,{1,2,3,4,5,6,7,8},0))),"経費区分? ","")&amp;IF($I1300="","状態未設定 ","")&amp;IF(AND(OR($I1300="確認済",$I1300="未確認"),$B1300="月例",OR($C1300="",$C1300&lt;DATE(年度+2018,4,1),$C1300&gt;DATE(年度+2019,3,31))),"年度外の日付 ","")&amp;IF(AND(OR($I1300="確認済",$I1300="未確認"),O1300="対象外"),"対象外の科目 ","")))</f>
        <v/>
      </c>
      <c r="R1300" s="366" t="n"/>
    </row>
    <row r="1301">
      <c r="A1301" s="359" t="n"/>
      <c r="B1301" s="360" t="n"/>
      <c r="C1301" s="361" t="n"/>
      <c r="D1301" s="362" t="n"/>
      <c r="E1301" s="362" t="n"/>
      <c r="F1301" s="362" t="n"/>
      <c r="G1301" s="363" t="n"/>
      <c r="H1301" s="360" t="n"/>
      <c r="I1301" s="360" t="n"/>
      <c r="J1301" s="364" t="str">
        <f>IF($G1301="","",IF($H1301=1,$G1301-ROUND($G1301*10/23,0)-2*ROUND($G1301/23,0),IF($H1301=2,$G1301,0)))</f>
        <v/>
      </c>
      <c r="K1301" s="364" t="str">
        <f>IF($G1301="","",IF($H1301=1,ROUND($G1301*10/23,0),IF($H1301=3,$G1301-2*ROUND($G1301/12,0),IF($H1301=4,$G1301,IF(OR($H1301=5,$H1301=7),ROUND($G1301*10/11,0),0)))))</f>
        <v/>
      </c>
      <c r="L1301" s="364" t="str">
        <f>IF($G1301="","",IF($H1301=1,ROUND($G1301/23,0),IF($H1301=3,ROUND($G1301/12,0),IF($H1301=5,$G1301-ROUND($G1301*10/11,0),IF($H1301=8,$G1301,0)))))</f>
        <v/>
      </c>
      <c r="M1301" s="364" t="str">
        <f>IF($G1301="","",IF($H1301=1,ROUND($G1301/23,0),IF($H1301=3,ROUND($G1301/12,0),IF($H1301=6,$G1301,IF($H1301=7,$G1301-ROUND($G1301*10/11,0),0)))))</f>
        <v/>
      </c>
      <c r="N1301" s="364" t="str">
        <f>IF($G1301="","",K1301+L1301+M1301)</f>
        <v/>
      </c>
      <c r="O1301" s="365" t="str">
        <f>IF($G1301="","",IFERROR(VLOOKUP($D1301&amp;"|"&amp;$E1301,科目表!$A$5:$B$200,2,FALSE),"※未登録"))</f>
        <v/>
      </c>
      <c r="P1301" s="359" t="str">
        <f>IF(OR($G1301="",$C1301=""),"",IF($B1301="決算整理",13,MOD(MONTH($C1301)-4,12)+1))</f>
        <v/>
      </c>
      <c r="Q1301" s="366" t="str">
        <f>IF($G1301="","",TRIM(IF(J1301+K1301+L1301+M1301&lt;&gt;$G1301,"按分不一致 ","")&amp;IF(O1301="※未登録","科目未登録 ","")&amp;IF(OR($H1301="",ISERROR(MATCH($H1301,{1,2,3,4,5,6,7,8},0))),"経費区分? ","")&amp;IF($I1301="","状態未設定 ","")&amp;IF(AND(OR($I1301="確認済",$I1301="未確認"),$B1301="月例",OR($C1301="",$C1301&lt;DATE(年度+2018,4,1),$C1301&gt;DATE(年度+2019,3,31))),"年度外の日付 ","")&amp;IF(AND(OR($I1301="確認済",$I1301="未確認"),O1301="対象外"),"対象外の科目 ","")))</f>
        <v/>
      </c>
      <c r="R1301" s="366" t="n"/>
    </row>
    <row r="1302">
      <c r="A1302" s="359" t="n"/>
      <c r="B1302" s="360" t="n"/>
      <c r="C1302" s="361" t="n"/>
      <c r="D1302" s="362" t="n"/>
      <c r="E1302" s="362" t="n"/>
      <c r="F1302" s="362" t="n"/>
      <c r="G1302" s="363" t="n"/>
      <c r="H1302" s="360" t="n"/>
      <c r="I1302" s="360" t="n"/>
      <c r="J1302" s="364" t="str">
        <f>IF($G1302="","",IF($H1302=1,$G1302-ROUND($G1302*10/23,0)-2*ROUND($G1302/23,0),IF($H1302=2,$G1302,0)))</f>
        <v/>
      </c>
      <c r="K1302" s="364" t="str">
        <f>IF($G1302="","",IF($H1302=1,ROUND($G1302*10/23,0),IF($H1302=3,$G1302-2*ROUND($G1302/12,0),IF($H1302=4,$G1302,IF(OR($H1302=5,$H1302=7),ROUND($G1302*10/11,0),0)))))</f>
        <v/>
      </c>
      <c r="L1302" s="364" t="str">
        <f>IF($G1302="","",IF($H1302=1,ROUND($G1302/23,0),IF($H1302=3,ROUND($G1302/12,0),IF($H1302=5,$G1302-ROUND($G1302*10/11,0),IF($H1302=8,$G1302,0)))))</f>
        <v/>
      </c>
      <c r="M1302" s="364" t="str">
        <f>IF($G1302="","",IF($H1302=1,ROUND($G1302/23,0),IF($H1302=3,ROUND($G1302/12,0),IF($H1302=6,$G1302,IF($H1302=7,$G1302-ROUND($G1302*10/11,0),0)))))</f>
        <v/>
      </c>
      <c r="N1302" s="364" t="str">
        <f>IF($G1302="","",K1302+L1302+M1302)</f>
        <v/>
      </c>
      <c r="O1302" s="365" t="str">
        <f>IF($G1302="","",IFERROR(VLOOKUP($D1302&amp;"|"&amp;$E1302,科目表!$A$5:$B$200,2,FALSE),"※未登録"))</f>
        <v/>
      </c>
      <c r="P1302" s="359" t="str">
        <f>IF(OR($G1302="",$C1302=""),"",IF($B1302="決算整理",13,MOD(MONTH($C1302)-4,12)+1))</f>
        <v/>
      </c>
      <c r="Q1302" s="366" t="str">
        <f>IF($G1302="","",TRIM(IF(J1302+K1302+L1302+M1302&lt;&gt;$G1302,"按分不一致 ","")&amp;IF(O1302="※未登録","科目未登録 ","")&amp;IF(OR($H1302="",ISERROR(MATCH($H1302,{1,2,3,4,5,6,7,8},0))),"経費区分? ","")&amp;IF($I1302="","状態未設定 ","")&amp;IF(AND(OR($I1302="確認済",$I1302="未確認"),$B1302="月例",OR($C1302="",$C1302&lt;DATE(年度+2018,4,1),$C1302&gt;DATE(年度+2019,3,31))),"年度外の日付 ","")&amp;IF(AND(OR($I1302="確認済",$I1302="未確認"),O1302="対象外"),"対象外の科目 ","")))</f>
        <v/>
      </c>
      <c r="R1302" s="366" t="n"/>
    </row>
    <row r="1303">
      <c r="A1303" s="359" t="n"/>
      <c r="B1303" s="360" t="n"/>
      <c r="C1303" s="361" t="n"/>
      <c r="D1303" s="362" t="n"/>
      <c r="E1303" s="362" t="n"/>
      <c r="F1303" s="362" t="n"/>
      <c r="G1303" s="363" t="n"/>
      <c r="H1303" s="360" t="n"/>
      <c r="I1303" s="360" t="n"/>
      <c r="J1303" s="364" t="str">
        <f>IF($G1303="","",IF($H1303=1,$G1303-ROUND($G1303*10/23,0)-2*ROUND($G1303/23,0),IF($H1303=2,$G1303,0)))</f>
        <v/>
      </c>
      <c r="K1303" s="364" t="str">
        <f>IF($G1303="","",IF($H1303=1,ROUND($G1303*10/23,0),IF($H1303=3,$G1303-2*ROUND($G1303/12,0),IF($H1303=4,$G1303,IF(OR($H1303=5,$H1303=7),ROUND($G1303*10/11,0),0)))))</f>
        <v/>
      </c>
      <c r="L1303" s="364" t="str">
        <f>IF($G1303="","",IF($H1303=1,ROUND($G1303/23,0),IF($H1303=3,ROUND($G1303/12,0),IF($H1303=5,$G1303-ROUND($G1303*10/11,0),IF($H1303=8,$G1303,0)))))</f>
        <v/>
      </c>
      <c r="M1303" s="364" t="str">
        <f>IF($G1303="","",IF($H1303=1,ROUND($G1303/23,0),IF($H1303=3,ROUND($G1303/12,0),IF($H1303=6,$G1303,IF($H1303=7,$G1303-ROUND($G1303*10/11,0),0)))))</f>
        <v/>
      </c>
      <c r="N1303" s="364" t="str">
        <f>IF($G1303="","",K1303+L1303+M1303)</f>
        <v/>
      </c>
      <c r="O1303" s="365" t="str">
        <f>IF($G1303="","",IFERROR(VLOOKUP($D1303&amp;"|"&amp;$E1303,科目表!$A$5:$B$200,2,FALSE),"※未登録"))</f>
        <v/>
      </c>
      <c r="P1303" s="359" t="str">
        <f>IF(OR($G1303="",$C1303=""),"",IF($B1303="決算整理",13,MOD(MONTH($C1303)-4,12)+1))</f>
        <v/>
      </c>
      <c r="Q1303" s="366" t="str">
        <f>IF($G1303="","",TRIM(IF(J1303+K1303+L1303+M1303&lt;&gt;$G1303,"按分不一致 ","")&amp;IF(O1303="※未登録","科目未登録 ","")&amp;IF(OR($H1303="",ISERROR(MATCH($H1303,{1,2,3,4,5,6,7,8},0))),"経費区分? ","")&amp;IF($I1303="","状態未設定 ","")&amp;IF(AND(OR($I1303="確認済",$I1303="未確認"),$B1303="月例",OR($C1303="",$C1303&lt;DATE(年度+2018,4,1),$C1303&gt;DATE(年度+2019,3,31))),"年度外の日付 ","")&amp;IF(AND(OR($I1303="確認済",$I1303="未確認"),O1303="対象外"),"対象外の科目 ","")))</f>
        <v/>
      </c>
      <c r="R1303" s="366" t="n"/>
    </row>
    <row r="1304">
      <c r="A1304" s="359" t="n"/>
      <c r="B1304" s="360" t="n"/>
      <c r="C1304" s="361" t="n"/>
      <c r="D1304" s="362" t="n"/>
      <c r="E1304" s="362" t="n"/>
      <c r="F1304" s="362" t="n"/>
      <c r="G1304" s="363" t="n"/>
      <c r="H1304" s="360" t="n"/>
      <c r="I1304" s="360" t="n"/>
      <c r="J1304" s="364" t="str">
        <f>IF($G1304="","",IF($H1304=1,$G1304-ROUND($G1304*10/23,0)-2*ROUND($G1304/23,0),IF($H1304=2,$G1304,0)))</f>
        <v/>
      </c>
      <c r="K1304" s="364" t="str">
        <f>IF($G1304="","",IF($H1304=1,ROUND($G1304*10/23,0),IF($H1304=3,$G1304-2*ROUND($G1304/12,0),IF($H1304=4,$G1304,IF(OR($H1304=5,$H1304=7),ROUND($G1304*10/11,0),0)))))</f>
        <v/>
      </c>
      <c r="L1304" s="364" t="str">
        <f>IF($G1304="","",IF($H1304=1,ROUND($G1304/23,0),IF($H1304=3,ROUND($G1304/12,0),IF($H1304=5,$G1304-ROUND($G1304*10/11,0),IF($H1304=8,$G1304,0)))))</f>
        <v/>
      </c>
      <c r="M1304" s="364" t="str">
        <f>IF($G1304="","",IF($H1304=1,ROUND($G1304/23,0),IF($H1304=3,ROUND($G1304/12,0),IF($H1304=6,$G1304,IF($H1304=7,$G1304-ROUND($G1304*10/11,0),0)))))</f>
        <v/>
      </c>
      <c r="N1304" s="364" t="str">
        <f>IF($G1304="","",K1304+L1304+M1304)</f>
        <v/>
      </c>
      <c r="O1304" s="365" t="str">
        <f>IF($G1304="","",IFERROR(VLOOKUP($D1304&amp;"|"&amp;$E1304,科目表!$A$5:$B$200,2,FALSE),"※未登録"))</f>
        <v/>
      </c>
      <c r="P1304" s="359" t="str">
        <f>IF(OR($G1304="",$C1304=""),"",IF($B1304="決算整理",13,MOD(MONTH($C1304)-4,12)+1))</f>
        <v/>
      </c>
      <c r="Q1304" s="366" t="str">
        <f>IF($G1304="","",TRIM(IF(J1304+K1304+L1304+M1304&lt;&gt;$G1304,"按分不一致 ","")&amp;IF(O1304="※未登録","科目未登録 ","")&amp;IF(OR($H1304="",ISERROR(MATCH($H1304,{1,2,3,4,5,6,7,8},0))),"経費区分? ","")&amp;IF($I1304="","状態未設定 ","")&amp;IF(AND(OR($I1304="確認済",$I1304="未確認"),$B1304="月例",OR($C1304="",$C1304&lt;DATE(年度+2018,4,1),$C1304&gt;DATE(年度+2019,3,31))),"年度外の日付 ","")&amp;IF(AND(OR($I1304="確認済",$I1304="未確認"),O1304="対象外"),"対象外の科目 ","")))</f>
        <v/>
      </c>
      <c r="R1304" s="366" t="n"/>
    </row>
    <row r="1305">
      <c r="A1305" s="359" t="n"/>
      <c r="B1305" s="360" t="n"/>
      <c r="C1305" s="361" t="n"/>
      <c r="D1305" s="362" t="n"/>
      <c r="E1305" s="362" t="n"/>
      <c r="F1305" s="362" t="n"/>
      <c r="G1305" s="363" t="n"/>
      <c r="H1305" s="360" t="n"/>
      <c r="I1305" s="360" t="n"/>
      <c r="J1305" s="364" t="str">
        <f>IF($G1305="","",IF($H1305=1,$G1305-ROUND($G1305*10/23,0)-2*ROUND($G1305/23,0),IF($H1305=2,$G1305,0)))</f>
        <v/>
      </c>
      <c r="K1305" s="364" t="str">
        <f>IF($G1305="","",IF($H1305=1,ROUND($G1305*10/23,0),IF($H1305=3,$G1305-2*ROUND($G1305/12,0),IF($H1305=4,$G1305,IF(OR($H1305=5,$H1305=7),ROUND($G1305*10/11,0),0)))))</f>
        <v/>
      </c>
      <c r="L1305" s="364" t="str">
        <f>IF($G1305="","",IF($H1305=1,ROUND($G1305/23,0),IF($H1305=3,ROUND($G1305/12,0),IF($H1305=5,$G1305-ROUND($G1305*10/11,0),IF($H1305=8,$G1305,0)))))</f>
        <v/>
      </c>
      <c r="M1305" s="364" t="str">
        <f>IF($G1305="","",IF($H1305=1,ROUND($G1305/23,0),IF($H1305=3,ROUND($G1305/12,0),IF($H1305=6,$G1305,IF($H1305=7,$G1305-ROUND($G1305*10/11,0),0)))))</f>
        <v/>
      </c>
      <c r="N1305" s="364" t="str">
        <f>IF($G1305="","",K1305+L1305+M1305)</f>
        <v/>
      </c>
      <c r="O1305" s="365" t="str">
        <f>IF($G1305="","",IFERROR(VLOOKUP($D1305&amp;"|"&amp;$E1305,科目表!$A$5:$B$200,2,FALSE),"※未登録"))</f>
        <v/>
      </c>
      <c r="P1305" s="359" t="str">
        <f>IF(OR($G1305="",$C1305=""),"",IF($B1305="決算整理",13,MOD(MONTH($C1305)-4,12)+1))</f>
        <v/>
      </c>
      <c r="Q1305" s="366" t="str">
        <f>IF($G1305="","",TRIM(IF(J1305+K1305+L1305+M1305&lt;&gt;$G1305,"按分不一致 ","")&amp;IF(O1305="※未登録","科目未登録 ","")&amp;IF(OR($H1305="",ISERROR(MATCH($H1305,{1,2,3,4,5,6,7,8},0))),"経費区分? ","")&amp;IF($I1305="","状態未設定 ","")&amp;IF(AND(OR($I1305="確認済",$I1305="未確認"),$B1305="月例",OR($C1305="",$C1305&lt;DATE(年度+2018,4,1),$C1305&gt;DATE(年度+2019,3,31))),"年度外の日付 ","")&amp;IF(AND(OR($I1305="確認済",$I1305="未確認"),O1305="対象外"),"対象外の科目 ","")))</f>
        <v/>
      </c>
      <c r="R1305" s="366" t="n"/>
    </row>
    <row r="1306">
      <c r="A1306" s="359" t="n"/>
      <c r="B1306" s="360" t="n"/>
      <c r="C1306" s="361" t="n"/>
      <c r="D1306" s="362" t="n"/>
      <c r="E1306" s="362" t="n"/>
      <c r="F1306" s="362" t="n"/>
      <c r="G1306" s="363" t="n"/>
      <c r="H1306" s="360" t="n"/>
      <c r="I1306" s="360" t="n"/>
      <c r="J1306" s="364" t="str">
        <f>IF($G1306="","",IF($H1306=1,$G1306-ROUND($G1306*10/23,0)-2*ROUND($G1306/23,0),IF($H1306=2,$G1306,0)))</f>
        <v/>
      </c>
      <c r="K1306" s="364" t="str">
        <f>IF($G1306="","",IF($H1306=1,ROUND($G1306*10/23,0),IF($H1306=3,$G1306-2*ROUND($G1306/12,0),IF($H1306=4,$G1306,IF(OR($H1306=5,$H1306=7),ROUND($G1306*10/11,0),0)))))</f>
        <v/>
      </c>
      <c r="L1306" s="364" t="str">
        <f>IF($G1306="","",IF($H1306=1,ROUND($G1306/23,0),IF($H1306=3,ROUND($G1306/12,0),IF($H1306=5,$G1306-ROUND($G1306*10/11,0),IF($H1306=8,$G1306,0)))))</f>
        <v/>
      </c>
      <c r="M1306" s="364" t="str">
        <f>IF($G1306="","",IF($H1306=1,ROUND($G1306/23,0),IF($H1306=3,ROUND($G1306/12,0),IF($H1306=6,$G1306,IF($H1306=7,$G1306-ROUND($G1306*10/11,0),0)))))</f>
        <v/>
      </c>
      <c r="N1306" s="364" t="str">
        <f>IF($G1306="","",K1306+L1306+M1306)</f>
        <v/>
      </c>
      <c r="O1306" s="365" t="str">
        <f>IF($G1306="","",IFERROR(VLOOKUP($D1306&amp;"|"&amp;$E1306,科目表!$A$5:$B$200,2,FALSE),"※未登録"))</f>
        <v/>
      </c>
      <c r="P1306" s="359" t="str">
        <f>IF(OR($G1306="",$C1306=""),"",IF($B1306="決算整理",13,MOD(MONTH($C1306)-4,12)+1))</f>
        <v/>
      </c>
      <c r="Q1306" s="366" t="str">
        <f>IF($G1306="","",TRIM(IF(J1306+K1306+L1306+M1306&lt;&gt;$G1306,"按分不一致 ","")&amp;IF(O1306="※未登録","科目未登録 ","")&amp;IF(OR($H1306="",ISERROR(MATCH($H1306,{1,2,3,4,5,6,7,8},0))),"経費区分? ","")&amp;IF($I1306="","状態未設定 ","")&amp;IF(AND(OR($I1306="確認済",$I1306="未確認"),$B1306="月例",OR($C1306="",$C1306&lt;DATE(年度+2018,4,1),$C1306&gt;DATE(年度+2019,3,31))),"年度外の日付 ","")&amp;IF(AND(OR($I1306="確認済",$I1306="未確認"),O1306="対象外"),"対象外の科目 ","")))</f>
        <v/>
      </c>
      <c r="R1306" s="366" t="n"/>
    </row>
    <row r="1307">
      <c r="A1307" s="359" t="n"/>
      <c r="B1307" s="360" t="n"/>
      <c r="C1307" s="361" t="n"/>
      <c r="D1307" s="362" t="n"/>
      <c r="E1307" s="362" t="n"/>
      <c r="F1307" s="362" t="n"/>
      <c r="G1307" s="363" t="n"/>
      <c r="H1307" s="360" t="n"/>
      <c r="I1307" s="360" t="n"/>
      <c r="J1307" s="364" t="str">
        <f>IF($G1307="","",IF($H1307=1,$G1307-ROUND($G1307*10/23,0)-2*ROUND($G1307/23,0),IF($H1307=2,$G1307,0)))</f>
        <v/>
      </c>
      <c r="K1307" s="364" t="str">
        <f>IF($G1307="","",IF($H1307=1,ROUND($G1307*10/23,0),IF($H1307=3,$G1307-2*ROUND($G1307/12,0),IF($H1307=4,$G1307,IF(OR($H1307=5,$H1307=7),ROUND($G1307*10/11,0),0)))))</f>
        <v/>
      </c>
      <c r="L1307" s="364" t="str">
        <f>IF($G1307="","",IF($H1307=1,ROUND($G1307/23,0),IF($H1307=3,ROUND($G1307/12,0),IF($H1307=5,$G1307-ROUND($G1307*10/11,0),IF($H1307=8,$G1307,0)))))</f>
        <v/>
      </c>
      <c r="M1307" s="364" t="str">
        <f>IF($G1307="","",IF($H1307=1,ROUND($G1307/23,0),IF($H1307=3,ROUND($G1307/12,0),IF($H1307=6,$G1307,IF($H1307=7,$G1307-ROUND($G1307*10/11,0),0)))))</f>
        <v/>
      </c>
      <c r="N1307" s="364" t="str">
        <f>IF($G1307="","",K1307+L1307+M1307)</f>
        <v/>
      </c>
      <c r="O1307" s="365" t="str">
        <f>IF($G1307="","",IFERROR(VLOOKUP($D1307&amp;"|"&amp;$E1307,科目表!$A$5:$B$200,2,FALSE),"※未登録"))</f>
        <v/>
      </c>
      <c r="P1307" s="359" t="str">
        <f>IF(OR($G1307="",$C1307=""),"",IF($B1307="決算整理",13,MOD(MONTH($C1307)-4,12)+1))</f>
        <v/>
      </c>
      <c r="Q1307" s="366" t="str">
        <f>IF($G1307="","",TRIM(IF(J1307+K1307+L1307+M1307&lt;&gt;$G1307,"按分不一致 ","")&amp;IF(O1307="※未登録","科目未登録 ","")&amp;IF(OR($H1307="",ISERROR(MATCH($H1307,{1,2,3,4,5,6,7,8},0))),"経費区分? ","")&amp;IF($I1307="","状態未設定 ","")&amp;IF(AND(OR($I1307="確認済",$I1307="未確認"),$B1307="月例",OR($C1307="",$C1307&lt;DATE(年度+2018,4,1),$C1307&gt;DATE(年度+2019,3,31))),"年度外の日付 ","")&amp;IF(AND(OR($I1307="確認済",$I1307="未確認"),O1307="対象外"),"対象外の科目 ","")))</f>
        <v/>
      </c>
      <c r="R1307" s="366" t="n"/>
    </row>
    <row r="1308">
      <c r="A1308" s="359" t="n"/>
      <c r="B1308" s="360" t="n"/>
      <c r="C1308" s="361" t="n"/>
      <c r="D1308" s="362" t="n"/>
      <c r="E1308" s="362" t="n"/>
      <c r="F1308" s="362" t="n"/>
      <c r="G1308" s="363" t="n"/>
      <c r="H1308" s="360" t="n"/>
      <c r="I1308" s="360" t="n"/>
      <c r="J1308" s="364" t="str">
        <f>IF($G1308="","",IF($H1308=1,$G1308-ROUND($G1308*10/23,0)-2*ROUND($G1308/23,0),IF($H1308=2,$G1308,0)))</f>
        <v/>
      </c>
      <c r="K1308" s="364" t="str">
        <f>IF($G1308="","",IF($H1308=1,ROUND($G1308*10/23,0),IF($H1308=3,$G1308-2*ROUND($G1308/12,0),IF($H1308=4,$G1308,IF(OR($H1308=5,$H1308=7),ROUND($G1308*10/11,0),0)))))</f>
        <v/>
      </c>
      <c r="L1308" s="364" t="str">
        <f>IF($G1308="","",IF($H1308=1,ROUND($G1308/23,0),IF($H1308=3,ROUND($G1308/12,0),IF($H1308=5,$G1308-ROUND($G1308*10/11,0),IF($H1308=8,$G1308,0)))))</f>
        <v/>
      </c>
      <c r="M1308" s="364" t="str">
        <f>IF($G1308="","",IF($H1308=1,ROUND($G1308/23,0),IF($H1308=3,ROUND($G1308/12,0),IF($H1308=6,$G1308,IF($H1308=7,$G1308-ROUND($G1308*10/11,0),0)))))</f>
        <v/>
      </c>
      <c r="N1308" s="364" t="str">
        <f>IF($G1308="","",K1308+L1308+M1308)</f>
        <v/>
      </c>
      <c r="O1308" s="365" t="str">
        <f>IF($G1308="","",IFERROR(VLOOKUP($D1308&amp;"|"&amp;$E1308,科目表!$A$5:$B$200,2,FALSE),"※未登録"))</f>
        <v/>
      </c>
      <c r="P1308" s="359" t="str">
        <f>IF(OR($G1308="",$C1308=""),"",IF($B1308="決算整理",13,MOD(MONTH($C1308)-4,12)+1))</f>
        <v/>
      </c>
      <c r="Q1308" s="366" t="str">
        <f>IF($G1308="","",TRIM(IF(J1308+K1308+L1308+M1308&lt;&gt;$G1308,"按分不一致 ","")&amp;IF(O1308="※未登録","科目未登録 ","")&amp;IF(OR($H1308="",ISERROR(MATCH($H1308,{1,2,3,4,5,6,7,8},0))),"経費区分? ","")&amp;IF($I1308="","状態未設定 ","")&amp;IF(AND(OR($I1308="確認済",$I1308="未確認"),$B1308="月例",OR($C1308="",$C1308&lt;DATE(年度+2018,4,1),$C1308&gt;DATE(年度+2019,3,31))),"年度外の日付 ","")&amp;IF(AND(OR($I1308="確認済",$I1308="未確認"),O1308="対象外"),"対象外の科目 ","")))</f>
        <v/>
      </c>
      <c r="R1308" s="366" t="n"/>
    </row>
    <row r="1309">
      <c r="A1309" s="359" t="n"/>
      <c r="B1309" s="360" t="n"/>
      <c r="C1309" s="361" t="n"/>
      <c r="D1309" s="362" t="n"/>
      <c r="E1309" s="362" t="n"/>
      <c r="F1309" s="362" t="n"/>
      <c r="G1309" s="363" t="n"/>
      <c r="H1309" s="360" t="n"/>
      <c r="I1309" s="360" t="n"/>
      <c r="J1309" s="364" t="str">
        <f>IF($G1309="","",IF($H1309=1,$G1309-ROUND($G1309*10/23,0)-2*ROUND($G1309/23,0),IF($H1309=2,$G1309,0)))</f>
        <v/>
      </c>
      <c r="K1309" s="364" t="str">
        <f>IF($G1309="","",IF($H1309=1,ROUND($G1309*10/23,0),IF($H1309=3,$G1309-2*ROUND($G1309/12,0),IF($H1309=4,$G1309,IF(OR($H1309=5,$H1309=7),ROUND($G1309*10/11,0),0)))))</f>
        <v/>
      </c>
      <c r="L1309" s="364" t="str">
        <f>IF($G1309="","",IF($H1309=1,ROUND($G1309/23,0),IF($H1309=3,ROUND($G1309/12,0),IF($H1309=5,$G1309-ROUND($G1309*10/11,0),IF($H1309=8,$G1309,0)))))</f>
        <v/>
      </c>
      <c r="M1309" s="364" t="str">
        <f>IF($G1309="","",IF($H1309=1,ROUND($G1309/23,0),IF($H1309=3,ROUND($G1309/12,0),IF($H1309=6,$G1309,IF($H1309=7,$G1309-ROUND($G1309*10/11,0),0)))))</f>
        <v/>
      </c>
      <c r="N1309" s="364" t="str">
        <f>IF($G1309="","",K1309+L1309+M1309)</f>
        <v/>
      </c>
      <c r="O1309" s="365" t="str">
        <f>IF($G1309="","",IFERROR(VLOOKUP($D1309&amp;"|"&amp;$E1309,科目表!$A$5:$B$200,2,FALSE),"※未登録"))</f>
        <v/>
      </c>
      <c r="P1309" s="359" t="str">
        <f>IF(OR($G1309="",$C1309=""),"",IF($B1309="決算整理",13,MOD(MONTH($C1309)-4,12)+1))</f>
        <v/>
      </c>
      <c r="Q1309" s="366" t="str">
        <f>IF($G1309="","",TRIM(IF(J1309+K1309+L1309+M1309&lt;&gt;$G1309,"按分不一致 ","")&amp;IF(O1309="※未登録","科目未登録 ","")&amp;IF(OR($H1309="",ISERROR(MATCH($H1309,{1,2,3,4,5,6,7,8},0))),"経費区分? ","")&amp;IF($I1309="","状態未設定 ","")&amp;IF(AND(OR($I1309="確認済",$I1309="未確認"),$B1309="月例",OR($C1309="",$C1309&lt;DATE(年度+2018,4,1),$C1309&gt;DATE(年度+2019,3,31))),"年度外の日付 ","")&amp;IF(AND(OR($I1309="確認済",$I1309="未確認"),O1309="対象外"),"対象外の科目 ","")))</f>
        <v/>
      </c>
      <c r="R1309" s="366" t="n"/>
    </row>
    <row r="1310">
      <c r="A1310" s="359" t="n"/>
      <c r="B1310" s="360" t="n"/>
      <c r="C1310" s="361" t="n"/>
      <c r="D1310" s="362" t="n"/>
      <c r="E1310" s="362" t="n"/>
      <c r="F1310" s="362" t="n"/>
      <c r="G1310" s="363" t="n"/>
      <c r="H1310" s="360" t="n"/>
      <c r="I1310" s="360" t="n"/>
      <c r="J1310" s="364" t="str">
        <f>IF($G1310="","",IF($H1310=1,$G1310-ROUND($G1310*10/23,0)-2*ROUND($G1310/23,0),IF($H1310=2,$G1310,0)))</f>
        <v/>
      </c>
      <c r="K1310" s="364" t="str">
        <f>IF($G1310="","",IF($H1310=1,ROUND($G1310*10/23,0),IF($H1310=3,$G1310-2*ROUND($G1310/12,0),IF($H1310=4,$G1310,IF(OR($H1310=5,$H1310=7),ROUND($G1310*10/11,0),0)))))</f>
        <v/>
      </c>
      <c r="L1310" s="364" t="str">
        <f>IF($G1310="","",IF($H1310=1,ROUND($G1310/23,0),IF($H1310=3,ROUND($G1310/12,0),IF($H1310=5,$G1310-ROUND($G1310*10/11,0),IF($H1310=8,$G1310,0)))))</f>
        <v/>
      </c>
      <c r="M1310" s="364" t="str">
        <f>IF($G1310="","",IF($H1310=1,ROUND($G1310/23,0),IF($H1310=3,ROUND($G1310/12,0),IF($H1310=6,$G1310,IF($H1310=7,$G1310-ROUND($G1310*10/11,0),0)))))</f>
        <v/>
      </c>
      <c r="N1310" s="364" t="str">
        <f>IF($G1310="","",K1310+L1310+M1310)</f>
        <v/>
      </c>
      <c r="O1310" s="365" t="str">
        <f>IF($G1310="","",IFERROR(VLOOKUP($D1310&amp;"|"&amp;$E1310,科目表!$A$5:$B$200,2,FALSE),"※未登録"))</f>
        <v/>
      </c>
      <c r="P1310" s="359" t="str">
        <f>IF(OR($G1310="",$C1310=""),"",IF($B1310="決算整理",13,MOD(MONTH($C1310)-4,12)+1))</f>
        <v/>
      </c>
      <c r="Q1310" s="366" t="str">
        <f>IF($G1310="","",TRIM(IF(J1310+K1310+L1310+M1310&lt;&gt;$G1310,"按分不一致 ","")&amp;IF(O1310="※未登録","科目未登録 ","")&amp;IF(OR($H1310="",ISERROR(MATCH($H1310,{1,2,3,4,5,6,7,8},0))),"経費区分? ","")&amp;IF($I1310="","状態未設定 ","")&amp;IF(AND(OR($I1310="確認済",$I1310="未確認"),$B1310="月例",OR($C1310="",$C1310&lt;DATE(年度+2018,4,1),$C1310&gt;DATE(年度+2019,3,31))),"年度外の日付 ","")&amp;IF(AND(OR($I1310="確認済",$I1310="未確認"),O1310="対象外"),"対象外の科目 ","")))</f>
        <v/>
      </c>
      <c r="R1310" s="366" t="n"/>
    </row>
    <row r="1311">
      <c r="A1311" s="359" t="n"/>
      <c r="B1311" s="360" t="n"/>
      <c r="C1311" s="361" t="n"/>
      <c r="D1311" s="362" t="n"/>
      <c r="E1311" s="362" t="n"/>
      <c r="F1311" s="362" t="n"/>
      <c r="G1311" s="363" t="n"/>
      <c r="H1311" s="360" t="n"/>
      <c r="I1311" s="360" t="n"/>
      <c r="J1311" s="364" t="str">
        <f>IF($G1311="","",IF($H1311=1,$G1311-ROUND($G1311*10/23,0)-2*ROUND($G1311/23,0),IF($H1311=2,$G1311,0)))</f>
        <v/>
      </c>
      <c r="K1311" s="364" t="str">
        <f>IF($G1311="","",IF($H1311=1,ROUND($G1311*10/23,0),IF($H1311=3,$G1311-2*ROUND($G1311/12,0),IF($H1311=4,$G1311,IF(OR($H1311=5,$H1311=7),ROUND($G1311*10/11,0),0)))))</f>
        <v/>
      </c>
      <c r="L1311" s="364" t="str">
        <f>IF($G1311="","",IF($H1311=1,ROUND($G1311/23,0),IF($H1311=3,ROUND($G1311/12,0),IF($H1311=5,$G1311-ROUND($G1311*10/11,0),IF($H1311=8,$G1311,0)))))</f>
        <v/>
      </c>
      <c r="M1311" s="364" t="str">
        <f>IF($G1311="","",IF($H1311=1,ROUND($G1311/23,0),IF($H1311=3,ROUND($G1311/12,0),IF($H1311=6,$G1311,IF($H1311=7,$G1311-ROUND($G1311*10/11,0),0)))))</f>
        <v/>
      </c>
      <c r="N1311" s="364" t="str">
        <f>IF($G1311="","",K1311+L1311+M1311)</f>
        <v/>
      </c>
      <c r="O1311" s="365" t="str">
        <f>IF($G1311="","",IFERROR(VLOOKUP($D1311&amp;"|"&amp;$E1311,科目表!$A$5:$B$200,2,FALSE),"※未登録"))</f>
        <v/>
      </c>
      <c r="P1311" s="359" t="str">
        <f>IF(OR($G1311="",$C1311=""),"",IF($B1311="決算整理",13,MOD(MONTH($C1311)-4,12)+1))</f>
        <v/>
      </c>
      <c r="Q1311" s="366" t="str">
        <f>IF($G1311="","",TRIM(IF(J1311+K1311+L1311+M1311&lt;&gt;$G1311,"按分不一致 ","")&amp;IF(O1311="※未登録","科目未登録 ","")&amp;IF(OR($H1311="",ISERROR(MATCH($H1311,{1,2,3,4,5,6,7,8},0))),"経費区分? ","")&amp;IF($I1311="","状態未設定 ","")&amp;IF(AND(OR($I1311="確認済",$I1311="未確認"),$B1311="月例",OR($C1311="",$C1311&lt;DATE(年度+2018,4,1),$C1311&gt;DATE(年度+2019,3,31))),"年度外の日付 ","")&amp;IF(AND(OR($I1311="確認済",$I1311="未確認"),O1311="対象外"),"対象外の科目 ","")))</f>
        <v/>
      </c>
      <c r="R1311" s="366" t="n"/>
    </row>
    <row r="1312">
      <c r="A1312" s="359" t="n"/>
      <c r="B1312" s="360" t="n"/>
      <c r="C1312" s="361" t="n"/>
      <c r="D1312" s="362" t="n"/>
      <c r="E1312" s="362" t="n"/>
      <c r="F1312" s="362" t="n"/>
      <c r="G1312" s="363" t="n"/>
      <c r="H1312" s="360" t="n"/>
      <c r="I1312" s="360" t="n"/>
      <c r="J1312" s="364" t="str">
        <f>IF($G1312="","",IF($H1312=1,$G1312-ROUND($G1312*10/23,0)-2*ROUND($G1312/23,0),IF($H1312=2,$G1312,0)))</f>
        <v/>
      </c>
      <c r="K1312" s="364" t="str">
        <f>IF($G1312="","",IF($H1312=1,ROUND($G1312*10/23,0),IF($H1312=3,$G1312-2*ROUND($G1312/12,0),IF($H1312=4,$G1312,IF(OR($H1312=5,$H1312=7),ROUND($G1312*10/11,0),0)))))</f>
        <v/>
      </c>
      <c r="L1312" s="364" t="str">
        <f>IF($G1312="","",IF($H1312=1,ROUND($G1312/23,0),IF($H1312=3,ROUND($G1312/12,0),IF($H1312=5,$G1312-ROUND($G1312*10/11,0),IF($H1312=8,$G1312,0)))))</f>
        <v/>
      </c>
      <c r="M1312" s="364" t="str">
        <f>IF($G1312="","",IF($H1312=1,ROUND($G1312/23,0),IF($H1312=3,ROUND($G1312/12,0),IF($H1312=6,$G1312,IF($H1312=7,$G1312-ROUND($G1312*10/11,0),0)))))</f>
        <v/>
      </c>
      <c r="N1312" s="364" t="str">
        <f>IF($G1312="","",K1312+L1312+M1312)</f>
        <v/>
      </c>
      <c r="O1312" s="365" t="str">
        <f>IF($G1312="","",IFERROR(VLOOKUP($D1312&amp;"|"&amp;$E1312,科目表!$A$5:$B$200,2,FALSE),"※未登録"))</f>
        <v/>
      </c>
      <c r="P1312" s="359" t="str">
        <f>IF(OR($G1312="",$C1312=""),"",IF($B1312="決算整理",13,MOD(MONTH($C1312)-4,12)+1))</f>
        <v/>
      </c>
      <c r="Q1312" s="366" t="str">
        <f>IF($G1312="","",TRIM(IF(J1312+K1312+L1312+M1312&lt;&gt;$G1312,"按分不一致 ","")&amp;IF(O1312="※未登録","科目未登録 ","")&amp;IF(OR($H1312="",ISERROR(MATCH($H1312,{1,2,3,4,5,6,7,8},0))),"経費区分? ","")&amp;IF($I1312="","状態未設定 ","")&amp;IF(AND(OR($I1312="確認済",$I1312="未確認"),$B1312="月例",OR($C1312="",$C1312&lt;DATE(年度+2018,4,1),$C1312&gt;DATE(年度+2019,3,31))),"年度外の日付 ","")&amp;IF(AND(OR($I1312="確認済",$I1312="未確認"),O1312="対象外"),"対象外の科目 ","")))</f>
        <v/>
      </c>
      <c r="R1312" s="366" t="n"/>
    </row>
    <row r="1313">
      <c r="A1313" s="359" t="n"/>
      <c r="B1313" s="360" t="n"/>
      <c r="C1313" s="361" t="n"/>
      <c r="D1313" s="362" t="n"/>
      <c r="E1313" s="362" t="n"/>
      <c r="F1313" s="362" t="n"/>
      <c r="G1313" s="363" t="n"/>
      <c r="H1313" s="360" t="n"/>
      <c r="I1313" s="360" t="n"/>
      <c r="J1313" s="364" t="str">
        <f>IF($G1313="","",IF($H1313=1,$G1313-ROUND($G1313*10/23,0)-2*ROUND($G1313/23,0),IF($H1313=2,$G1313,0)))</f>
        <v/>
      </c>
      <c r="K1313" s="364" t="str">
        <f>IF($G1313="","",IF($H1313=1,ROUND($G1313*10/23,0),IF($H1313=3,$G1313-2*ROUND($G1313/12,0),IF($H1313=4,$G1313,IF(OR($H1313=5,$H1313=7),ROUND($G1313*10/11,0),0)))))</f>
        <v/>
      </c>
      <c r="L1313" s="364" t="str">
        <f>IF($G1313="","",IF($H1313=1,ROUND($G1313/23,0),IF($H1313=3,ROUND($G1313/12,0),IF($H1313=5,$G1313-ROUND($G1313*10/11,0),IF($H1313=8,$G1313,0)))))</f>
        <v/>
      </c>
      <c r="M1313" s="364" t="str">
        <f>IF($G1313="","",IF($H1313=1,ROUND($G1313/23,0),IF($H1313=3,ROUND($G1313/12,0),IF($H1313=6,$G1313,IF($H1313=7,$G1313-ROUND($G1313*10/11,0),0)))))</f>
        <v/>
      </c>
      <c r="N1313" s="364" t="str">
        <f>IF($G1313="","",K1313+L1313+M1313)</f>
        <v/>
      </c>
      <c r="O1313" s="365" t="str">
        <f>IF($G1313="","",IFERROR(VLOOKUP($D1313&amp;"|"&amp;$E1313,科目表!$A$5:$B$200,2,FALSE),"※未登録"))</f>
        <v/>
      </c>
      <c r="P1313" s="359" t="str">
        <f>IF(OR($G1313="",$C1313=""),"",IF($B1313="決算整理",13,MOD(MONTH($C1313)-4,12)+1))</f>
        <v/>
      </c>
      <c r="Q1313" s="366" t="str">
        <f>IF($G1313="","",TRIM(IF(J1313+K1313+L1313+M1313&lt;&gt;$G1313,"按分不一致 ","")&amp;IF(O1313="※未登録","科目未登録 ","")&amp;IF(OR($H1313="",ISERROR(MATCH($H1313,{1,2,3,4,5,6,7,8},0))),"経費区分? ","")&amp;IF($I1313="","状態未設定 ","")&amp;IF(AND(OR($I1313="確認済",$I1313="未確認"),$B1313="月例",OR($C1313="",$C1313&lt;DATE(年度+2018,4,1),$C1313&gt;DATE(年度+2019,3,31))),"年度外の日付 ","")&amp;IF(AND(OR($I1313="確認済",$I1313="未確認"),O1313="対象外"),"対象外の科目 ","")))</f>
        <v/>
      </c>
      <c r="R1313" s="366" t="n"/>
    </row>
    <row r="1314">
      <c r="A1314" s="359" t="n"/>
      <c r="B1314" s="360" t="n"/>
      <c r="C1314" s="361" t="n"/>
      <c r="D1314" s="362" t="n"/>
      <c r="E1314" s="362" t="n"/>
      <c r="F1314" s="362" t="n"/>
      <c r="G1314" s="363" t="n"/>
      <c r="H1314" s="360" t="n"/>
      <c r="I1314" s="360" t="n"/>
      <c r="J1314" s="364" t="str">
        <f>IF($G1314="","",IF($H1314=1,$G1314-ROUND($G1314*10/23,0)-2*ROUND($G1314/23,0),IF($H1314=2,$G1314,0)))</f>
        <v/>
      </c>
      <c r="K1314" s="364" t="str">
        <f>IF($G1314="","",IF($H1314=1,ROUND($G1314*10/23,0),IF($H1314=3,$G1314-2*ROUND($G1314/12,0),IF($H1314=4,$G1314,IF(OR($H1314=5,$H1314=7),ROUND($G1314*10/11,0),0)))))</f>
        <v/>
      </c>
      <c r="L1314" s="364" t="str">
        <f>IF($G1314="","",IF($H1314=1,ROUND($G1314/23,0),IF($H1314=3,ROUND($G1314/12,0),IF($H1314=5,$G1314-ROUND($G1314*10/11,0),IF($H1314=8,$G1314,0)))))</f>
        <v/>
      </c>
      <c r="M1314" s="364" t="str">
        <f>IF($G1314="","",IF($H1314=1,ROUND($G1314/23,0),IF($H1314=3,ROUND($G1314/12,0),IF($H1314=6,$G1314,IF($H1314=7,$G1314-ROUND($G1314*10/11,0),0)))))</f>
        <v/>
      </c>
      <c r="N1314" s="364" t="str">
        <f>IF($G1314="","",K1314+L1314+M1314)</f>
        <v/>
      </c>
      <c r="O1314" s="365" t="str">
        <f>IF($G1314="","",IFERROR(VLOOKUP($D1314&amp;"|"&amp;$E1314,科目表!$A$5:$B$200,2,FALSE),"※未登録"))</f>
        <v/>
      </c>
      <c r="P1314" s="359" t="str">
        <f>IF(OR($G1314="",$C1314=""),"",IF($B1314="決算整理",13,MOD(MONTH($C1314)-4,12)+1))</f>
        <v/>
      </c>
      <c r="Q1314" s="366" t="str">
        <f>IF($G1314="","",TRIM(IF(J1314+K1314+L1314+M1314&lt;&gt;$G1314,"按分不一致 ","")&amp;IF(O1314="※未登録","科目未登録 ","")&amp;IF(OR($H1314="",ISERROR(MATCH($H1314,{1,2,3,4,5,6,7,8},0))),"経費区分? ","")&amp;IF($I1314="","状態未設定 ","")&amp;IF(AND(OR($I1314="確認済",$I1314="未確認"),$B1314="月例",OR($C1314="",$C1314&lt;DATE(年度+2018,4,1),$C1314&gt;DATE(年度+2019,3,31))),"年度外の日付 ","")&amp;IF(AND(OR($I1314="確認済",$I1314="未確認"),O1314="対象外"),"対象外の科目 ","")))</f>
        <v/>
      </c>
      <c r="R1314" s="366" t="n"/>
    </row>
    <row r="1315">
      <c r="A1315" s="359" t="n"/>
      <c r="B1315" s="360" t="n"/>
      <c r="C1315" s="361" t="n"/>
      <c r="D1315" s="362" t="n"/>
      <c r="E1315" s="362" t="n"/>
      <c r="F1315" s="362" t="n"/>
      <c r="G1315" s="363" t="n"/>
      <c r="H1315" s="360" t="n"/>
      <c r="I1315" s="360" t="n"/>
      <c r="J1315" s="364" t="str">
        <f>IF($G1315="","",IF($H1315=1,$G1315-ROUND($G1315*10/23,0)-2*ROUND($G1315/23,0),IF($H1315=2,$G1315,0)))</f>
        <v/>
      </c>
      <c r="K1315" s="364" t="str">
        <f>IF($G1315="","",IF($H1315=1,ROUND($G1315*10/23,0),IF($H1315=3,$G1315-2*ROUND($G1315/12,0),IF($H1315=4,$G1315,IF(OR($H1315=5,$H1315=7),ROUND($G1315*10/11,0),0)))))</f>
        <v/>
      </c>
      <c r="L1315" s="364" t="str">
        <f>IF($G1315="","",IF($H1315=1,ROUND($G1315/23,0),IF($H1315=3,ROUND($G1315/12,0),IF($H1315=5,$G1315-ROUND($G1315*10/11,0),IF($H1315=8,$G1315,0)))))</f>
        <v/>
      </c>
      <c r="M1315" s="364" t="str">
        <f>IF($G1315="","",IF($H1315=1,ROUND($G1315/23,0),IF($H1315=3,ROUND($G1315/12,0),IF($H1315=6,$G1315,IF($H1315=7,$G1315-ROUND($G1315*10/11,0),0)))))</f>
        <v/>
      </c>
      <c r="N1315" s="364" t="str">
        <f>IF($G1315="","",K1315+L1315+M1315)</f>
        <v/>
      </c>
      <c r="O1315" s="365" t="str">
        <f>IF($G1315="","",IFERROR(VLOOKUP($D1315&amp;"|"&amp;$E1315,科目表!$A$5:$B$200,2,FALSE),"※未登録"))</f>
        <v/>
      </c>
      <c r="P1315" s="359" t="str">
        <f>IF(OR($G1315="",$C1315=""),"",IF($B1315="決算整理",13,MOD(MONTH($C1315)-4,12)+1))</f>
        <v/>
      </c>
      <c r="Q1315" s="366" t="str">
        <f>IF($G1315="","",TRIM(IF(J1315+K1315+L1315+M1315&lt;&gt;$G1315,"按分不一致 ","")&amp;IF(O1315="※未登録","科目未登録 ","")&amp;IF(OR($H1315="",ISERROR(MATCH($H1315,{1,2,3,4,5,6,7,8},0))),"経費区分? ","")&amp;IF($I1315="","状態未設定 ","")&amp;IF(AND(OR($I1315="確認済",$I1315="未確認"),$B1315="月例",OR($C1315="",$C1315&lt;DATE(年度+2018,4,1),$C1315&gt;DATE(年度+2019,3,31))),"年度外の日付 ","")&amp;IF(AND(OR($I1315="確認済",$I1315="未確認"),O1315="対象外"),"対象外の科目 ","")))</f>
        <v/>
      </c>
      <c r="R1315" s="366" t="n"/>
    </row>
    <row r="1316">
      <c r="A1316" s="359" t="n"/>
      <c r="B1316" s="360" t="n"/>
      <c r="C1316" s="361" t="n"/>
      <c r="D1316" s="362" t="n"/>
      <c r="E1316" s="362" t="n"/>
      <c r="F1316" s="362" t="n"/>
      <c r="G1316" s="363" t="n"/>
      <c r="H1316" s="360" t="n"/>
      <c r="I1316" s="360" t="n"/>
      <c r="J1316" s="364" t="str">
        <f>IF($G1316="","",IF($H1316=1,$G1316-ROUND($G1316*10/23,0)-2*ROUND($G1316/23,0),IF($H1316=2,$G1316,0)))</f>
        <v/>
      </c>
      <c r="K1316" s="364" t="str">
        <f>IF($G1316="","",IF($H1316=1,ROUND($G1316*10/23,0),IF($H1316=3,$G1316-2*ROUND($G1316/12,0),IF($H1316=4,$G1316,IF(OR($H1316=5,$H1316=7),ROUND($G1316*10/11,0),0)))))</f>
        <v/>
      </c>
      <c r="L1316" s="364" t="str">
        <f>IF($G1316="","",IF($H1316=1,ROUND($G1316/23,0),IF($H1316=3,ROUND($G1316/12,0),IF($H1316=5,$G1316-ROUND($G1316*10/11,0),IF($H1316=8,$G1316,0)))))</f>
        <v/>
      </c>
      <c r="M1316" s="364" t="str">
        <f>IF($G1316="","",IF($H1316=1,ROUND($G1316/23,0),IF($H1316=3,ROUND($G1316/12,0),IF($H1316=6,$G1316,IF($H1316=7,$G1316-ROUND($G1316*10/11,0),0)))))</f>
        <v/>
      </c>
      <c r="N1316" s="364" t="str">
        <f>IF($G1316="","",K1316+L1316+M1316)</f>
        <v/>
      </c>
      <c r="O1316" s="365" t="str">
        <f>IF($G1316="","",IFERROR(VLOOKUP($D1316&amp;"|"&amp;$E1316,科目表!$A$5:$B$200,2,FALSE),"※未登録"))</f>
        <v/>
      </c>
      <c r="P1316" s="359" t="str">
        <f>IF(OR($G1316="",$C1316=""),"",IF($B1316="決算整理",13,MOD(MONTH($C1316)-4,12)+1))</f>
        <v/>
      </c>
      <c r="Q1316" s="366" t="str">
        <f>IF($G1316="","",TRIM(IF(J1316+K1316+L1316+M1316&lt;&gt;$G1316,"按分不一致 ","")&amp;IF(O1316="※未登録","科目未登録 ","")&amp;IF(OR($H1316="",ISERROR(MATCH($H1316,{1,2,3,4,5,6,7,8},0))),"経費区分? ","")&amp;IF($I1316="","状態未設定 ","")&amp;IF(AND(OR($I1316="確認済",$I1316="未確認"),$B1316="月例",OR($C1316="",$C1316&lt;DATE(年度+2018,4,1),$C1316&gt;DATE(年度+2019,3,31))),"年度外の日付 ","")&amp;IF(AND(OR($I1316="確認済",$I1316="未確認"),O1316="対象外"),"対象外の科目 ","")))</f>
        <v/>
      </c>
      <c r="R1316" s="366" t="n"/>
    </row>
    <row r="1317">
      <c r="A1317" s="359" t="n"/>
      <c r="B1317" s="360" t="n"/>
      <c r="C1317" s="361" t="n"/>
      <c r="D1317" s="362" t="n"/>
      <c r="E1317" s="362" t="n"/>
      <c r="F1317" s="362" t="n"/>
      <c r="G1317" s="363" t="n"/>
      <c r="H1317" s="360" t="n"/>
      <c r="I1317" s="360" t="n"/>
      <c r="J1317" s="364" t="str">
        <f>IF($G1317="","",IF($H1317=1,$G1317-ROUND($G1317*10/23,0)-2*ROUND($G1317/23,0),IF($H1317=2,$G1317,0)))</f>
        <v/>
      </c>
      <c r="K1317" s="364" t="str">
        <f>IF($G1317="","",IF($H1317=1,ROUND($G1317*10/23,0),IF($H1317=3,$G1317-2*ROUND($G1317/12,0),IF($H1317=4,$G1317,IF(OR($H1317=5,$H1317=7),ROUND($G1317*10/11,0),0)))))</f>
        <v/>
      </c>
      <c r="L1317" s="364" t="str">
        <f>IF($G1317="","",IF($H1317=1,ROUND($G1317/23,0),IF($H1317=3,ROUND($G1317/12,0),IF($H1317=5,$G1317-ROUND($G1317*10/11,0),IF($H1317=8,$G1317,0)))))</f>
        <v/>
      </c>
      <c r="M1317" s="364" t="str">
        <f>IF($G1317="","",IF($H1317=1,ROUND($G1317/23,0),IF($H1317=3,ROUND($G1317/12,0),IF($H1317=6,$G1317,IF($H1317=7,$G1317-ROUND($G1317*10/11,0),0)))))</f>
        <v/>
      </c>
      <c r="N1317" s="364" t="str">
        <f>IF($G1317="","",K1317+L1317+M1317)</f>
        <v/>
      </c>
      <c r="O1317" s="365" t="str">
        <f>IF($G1317="","",IFERROR(VLOOKUP($D1317&amp;"|"&amp;$E1317,科目表!$A$5:$B$200,2,FALSE),"※未登録"))</f>
        <v/>
      </c>
      <c r="P1317" s="359" t="str">
        <f>IF(OR($G1317="",$C1317=""),"",IF($B1317="決算整理",13,MOD(MONTH($C1317)-4,12)+1))</f>
        <v/>
      </c>
      <c r="Q1317" s="366" t="str">
        <f>IF($G1317="","",TRIM(IF(J1317+K1317+L1317+M1317&lt;&gt;$G1317,"按分不一致 ","")&amp;IF(O1317="※未登録","科目未登録 ","")&amp;IF(OR($H1317="",ISERROR(MATCH($H1317,{1,2,3,4,5,6,7,8},0))),"経費区分? ","")&amp;IF($I1317="","状態未設定 ","")&amp;IF(AND(OR($I1317="確認済",$I1317="未確認"),$B1317="月例",OR($C1317="",$C1317&lt;DATE(年度+2018,4,1),$C1317&gt;DATE(年度+2019,3,31))),"年度外の日付 ","")&amp;IF(AND(OR($I1317="確認済",$I1317="未確認"),O1317="対象外"),"対象外の科目 ","")))</f>
        <v/>
      </c>
      <c r="R1317" s="366" t="n"/>
    </row>
    <row r="1318">
      <c r="A1318" s="359" t="n"/>
      <c r="B1318" s="360" t="n"/>
      <c r="C1318" s="361" t="n"/>
      <c r="D1318" s="362" t="n"/>
      <c r="E1318" s="362" t="n"/>
      <c r="F1318" s="362" t="n"/>
      <c r="G1318" s="363" t="n"/>
      <c r="H1318" s="360" t="n"/>
      <c r="I1318" s="360" t="n"/>
      <c r="J1318" s="364" t="str">
        <f>IF($G1318="","",IF($H1318=1,$G1318-ROUND($G1318*10/23,0)-2*ROUND($G1318/23,0),IF($H1318=2,$G1318,0)))</f>
        <v/>
      </c>
      <c r="K1318" s="364" t="str">
        <f>IF($G1318="","",IF($H1318=1,ROUND($G1318*10/23,0),IF($H1318=3,$G1318-2*ROUND($G1318/12,0),IF($H1318=4,$G1318,IF(OR($H1318=5,$H1318=7),ROUND($G1318*10/11,0),0)))))</f>
        <v/>
      </c>
      <c r="L1318" s="364" t="str">
        <f>IF($G1318="","",IF($H1318=1,ROUND($G1318/23,0),IF($H1318=3,ROUND($G1318/12,0),IF($H1318=5,$G1318-ROUND($G1318*10/11,0),IF($H1318=8,$G1318,0)))))</f>
        <v/>
      </c>
      <c r="M1318" s="364" t="str">
        <f>IF($G1318="","",IF($H1318=1,ROUND($G1318/23,0),IF($H1318=3,ROUND($G1318/12,0),IF($H1318=6,$G1318,IF($H1318=7,$G1318-ROUND($G1318*10/11,0),0)))))</f>
        <v/>
      </c>
      <c r="N1318" s="364" t="str">
        <f>IF($G1318="","",K1318+L1318+M1318)</f>
        <v/>
      </c>
      <c r="O1318" s="365" t="str">
        <f>IF($G1318="","",IFERROR(VLOOKUP($D1318&amp;"|"&amp;$E1318,科目表!$A$5:$B$200,2,FALSE),"※未登録"))</f>
        <v/>
      </c>
      <c r="P1318" s="359" t="str">
        <f>IF(OR($G1318="",$C1318=""),"",IF($B1318="決算整理",13,MOD(MONTH($C1318)-4,12)+1))</f>
        <v/>
      </c>
      <c r="Q1318" s="366" t="str">
        <f>IF($G1318="","",TRIM(IF(J1318+K1318+L1318+M1318&lt;&gt;$G1318,"按分不一致 ","")&amp;IF(O1318="※未登録","科目未登録 ","")&amp;IF(OR($H1318="",ISERROR(MATCH($H1318,{1,2,3,4,5,6,7,8},0))),"経費区分? ","")&amp;IF($I1318="","状態未設定 ","")&amp;IF(AND(OR($I1318="確認済",$I1318="未確認"),$B1318="月例",OR($C1318="",$C1318&lt;DATE(年度+2018,4,1),$C1318&gt;DATE(年度+2019,3,31))),"年度外の日付 ","")&amp;IF(AND(OR($I1318="確認済",$I1318="未確認"),O1318="対象外"),"対象外の科目 ","")))</f>
        <v/>
      </c>
      <c r="R1318" s="366" t="n"/>
    </row>
    <row r="1319">
      <c r="A1319" s="359" t="n"/>
      <c r="B1319" s="360" t="n"/>
      <c r="C1319" s="361" t="n"/>
      <c r="D1319" s="362" t="n"/>
      <c r="E1319" s="362" t="n"/>
      <c r="F1319" s="362" t="n"/>
      <c r="G1319" s="363" t="n"/>
      <c r="H1319" s="360" t="n"/>
      <c r="I1319" s="360" t="n"/>
      <c r="J1319" s="364" t="str">
        <f>IF($G1319="","",IF($H1319=1,$G1319-ROUND($G1319*10/23,0)-2*ROUND($G1319/23,0),IF($H1319=2,$G1319,0)))</f>
        <v/>
      </c>
      <c r="K1319" s="364" t="str">
        <f>IF($G1319="","",IF($H1319=1,ROUND($G1319*10/23,0),IF($H1319=3,$G1319-2*ROUND($G1319/12,0),IF($H1319=4,$G1319,IF(OR($H1319=5,$H1319=7),ROUND($G1319*10/11,0),0)))))</f>
        <v/>
      </c>
      <c r="L1319" s="364" t="str">
        <f>IF($G1319="","",IF($H1319=1,ROUND($G1319/23,0),IF($H1319=3,ROUND($G1319/12,0),IF($H1319=5,$G1319-ROUND($G1319*10/11,0),IF($H1319=8,$G1319,0)))))</f>
        <v/>
      </c>
      <c r="M1319" s="364" t="str">
        <f>IF($G1319="","",IF($H1319=1,ROUND($G1319/23,0),IF($H1319=3,ROUND($G1319/12,0),IF($H1319=6,$G1319,IF($H1319=7,$G1319-ROUND($G1319*10/11,0),0)))))</f>
        <v/>
      </c>
      <c r="N1319" s="364" t="str">
        <f>IF($G1319="","",K1319+L1319+M1319)</f>
        <v/>
      </c>
      <c r="O1319" s="365" t="str">
        <f>IF($G1319="","",IFERROR(VLOOKUP($D1319&amp;"|"&amp;$E1319,科目表!$A$5:$B$200,2,FALSE),"※未登録"))</f>
        <v/>
      </c>
      <c r="P1319" s="359" t="str">
        <f>IF(OR($G1319="",$C1319=""),"",IF($B1319="決算整理",13,MOD(MONTH($C1319)-4,12)+1))</f>
        <v/>
      </c>
      <c r="Q1319" s="366" t="str">
        <f>IF($G1319="","",TRIM(IF(J1319+K1319+L1319+M1319&lt;&gt;$G1319,"按分不一致 ","")&amp;IF(O1319="※未登録","科目未登録 ","")&amp;IF(OR($H1319="",ISERROR(MATCH($H1319,{1,2,3,4,5,6,7,8},0))),"経費区分? ","")&amp;IF($I1319="","状態未設定 ","")&amp;IF(AND(OR($I1319="確認済",$I1319="未確認"),$B1319="月例",OR($C1319="",$C1319&lt;DATE(年度+2018,4,1),$C1319&gt;DATE(年度+2019,3,31))),"年度外の日付 ","")&amp;IF(AND(OR($I1319="確認済",$I1319="未確認"),O1319="対象外"),"対象外の科目 ","")))</f>
        <v/>
      </c>
      <c r="R1319" s="366" t="n"/>
    </row>
    <row r="1320">
      <c r="A1320" s="359" t="n"/>
      <c r="B1320" s="360" t="n"/>
      <c r="C1320" s="361" t="n"/>
      <c r="D1320" s="362" t="n"/>
      <c r="E1320" s="362" t="n"/>
      <c r="F1320" s="362" t="n"/>
      <c r="G1320" s="363" t="n"/>
      <c r="H1320" s="360" t="n"/>
      <c r="I1320" s="360" t="n"/>
      <c r="J1320" s="364" t="str">
        <f>IF($G1320="","",IF($H1320=1,$G1320-ROUND($G1320*10/23,0)-2*ROUND($G1320/23,0),IF($H1320=2,$G1320,0)))</f>
        <v/>
      </c>
      <c r="K1320" s="364" t="str">
        <f>IF($G1320="","",IF($H1320=1,ROUND($G1320*10/23,0),IF($H1320=3,$G1320-2*ROUND($G1320/12,0),IF($H1320=4,$G1320,IF(OR($H1320=5,$H1320=7),ROUND($G1320*10/11,0),0)))))</f>
        <v/>
      </c>
      <c r="L1320" s="364" t="str">
        <f>IF($G1320="","",IF($H1320=1,ROUND($G1320/23,0),IF($H1320=3,ROUND($G1320/12,0),IF($H1320=5,$G1320-ROUND($G1320*10/11,0),IF($H1320=8,$G1320,0)))))</f>
        <v/>
      </c>
      <c r="M1320" s="364" t="str">
        <f>IF($G1320="","",IF($H1320=1,ROUND($G1320/23,0),IF($H1320=3,ROUND($G1320/12,0),IF($H1320=6,$G1320,IF($H1320=7,$G1320-ROUND($G1320*10/11,0),0)))))</f>
        <v/>
      </c>
      <c r="N1320" s="364" t="str">
        <f>IF($G1320="","",K1320+L1320+M1320)</f>
        <v/>
      </c>
      <c r="O1320" s="365" t="str">
        <f>IF($G1320="","",IFERROR(VLOOKUP($D1320&amp;"|"&amp;$E1320,科目表!$A$5:$B$200,2,FALSE),"※未登録"))</f>
        <v/>
      </c>
      <c r="P1320" s="359" t="str">
        <f>IF(OR($G1320="",$C1320=""),"",IF($B1320="決算整理",13,MOD(MONTH($C1320)-4,12)+1))</f>
        <v/>
      </c>
      <c r="Q1320" s="366" t="str">
        <f>IF($G1320="","",TRIM(IF(J1320+K1320+L1320+M1320&lt;&gt;$G1320,"按分不一致 ","")&amp;IF(O1320="※未登録","科目未登録 ","")&amp;IF(OR($H1320="",ISERROR(MATCH($H1320,{1,2,3,4,5,6,7,8},0))),"経費区分? ","")&amp;IF($I1320="","状態未設定 ","")&amp;IF(AND(OR($I1320="確認済",$I1320="未確認"),$B1320="月例",OR($C1320="",$C1320&lt;DATE(年度+2018,4,1),$C1320&gt;DATE(年度+2019,3,31))),"年度外の日付 ","")&amp;IF(AND(OR($I1320="確認済",$I1320="未確認"),O1320="対象外"),"対象外の科目 ","")))</f>
        <v/>
      </c>
      <c r="R1320" s="366" t="n"/>
    </row>
    <row r="1321">
      <c r="A1321" s="359" t="n"/>
      <c r="B1321" s="360" t="n"/>
      <c r="C1321" s="361" t="n"/>
      <c r="D1321" s="362" t="n"/>
      <c r="E1321" s="362" t="n"/>
      <c r="F1321" s="362" t="n"/>
      <c r="G1321" s="363" t="n"/>
      <c r="H1321" s="360" t="n"/>
      <c r="I1321" s="360" t="n"/>
      <c r="J1321" s="364" t="str">
        <f>IF($G1321="","",IF($H1321=1,$G1321-ROUND($G1321*10/23,0)-2*ROUND($G1321/23,0),IF($H1321=2,$G1321,0)))</f>
        <v/>
      </c>
      <c r="K1321" s="364" t="str">
        <f>IF($G1321="","",IF($H1321=1,ROUND($G1321*10/23,0),IF($H1321=3,$G1321-2*ROUND($G1321/12,0),IF($H1321=4,$G1321,IF(OR($H1321=5,$H1321=7),ROUND($G1321*10/11,0),0)))))</f>
        <v/>
      </c>
      <c r="L1321" s="364" t="str">
        <f>IF($G1321="","",IF($H1321=1,ROUND($G1321/23,0),IF($H1321=3,ROUND($G1321/12,0),IF($H1321=5,$G1321-ROUND($G1321*10/11,0),IF($H1321=8,$G1321,0)))))</f>
        <v/>
      </c>
      <c r="M1321" s="364" t="str">
        <f>IF($G1321="","",IF($H1321=1,ROUND($G1321/23,0),IF($H1321=3,ROUND($G1321/12,0),IF($H1321=6,$G1321,IF($H1321=7,$G1321-ROUND($G1321*10/11,0),0)))))</f>
        <v/>
      </c>
      <c r="N1321" s="364" t="str">
        <f>IF($G1321="","",K1321+L1321+M1321)</f>
        <v/>
      </c>
      <c r="O1321" s="365" t="str">
        <f>IF($G1321="","",IFERROR(VLOOKUP($D1321&amp;"|"&amp;$E1321,科目表!$A$5:$B$200,2,FALSE),"※未登録"))</f>
        <v/>
      </c>
      <c r="P1321" s="359" t="str">
        <f>IF(OR($G1321="",$C1321=""),"",IF($B1321="決算整理",13,MOD(MONTH($C1321)-4,12)+1))</f>
        <v/>
      </c>
      <c r="Q1321" s="366" t="str">
        <f>IF($G1321="","",TRIM(IF(J1321+K1321+L1321+M1321&lt;&gt;$G1321,"按分不一致 ","")&amp;IF(O1321="※未登録","科目未登録 ","")&amp;IF(OR($H1321="",ISERROR(MATCH($H1321,{1,2,3,4,5,6,7,8},0))),"経費区分? ","")&amp;IF($I1321="","状態未設定 ","")&amp;IF(AND(OR($I1321="確認済",$I1321="未確認"),$B1321="月例",OR($C1321="",$C1321&lt;DATE(年度+2018,4,1),$C1321&gt;DATE(年度+2019,3,31))),"年度外の日付 ","")&amp;IF(AND(OR($I1321="確認済",$I1321="未確認"),O1321="対象外"),"対象外の科目 ","")))</f>
        <v/>
      </c>
      <c r="R1321" s="366" t="n"/>
    </row>
    <row r="1322">
      <c r="A1322" s="359" t="n"/>
      <c r="B1322" s="360" t="n"/>
      <c r="C1322" s="361" t="n"/>
      <c r="D1322" s="362" t="n"/>
      <c r="E1322" s="362" t="n"/>
      <c r="F1322" s="362" t="n"/>
      <c r="G1322" s="363" t="n"/>
      <c r="H1322" s="360" t="n"/>
      <c r="I1322" s="360" t="n"/>
      <c r="J1322" s="364" t="str">
        <f>IF($G1322="","",IF($H1322=1,$G1322-ROUND($G1322*10/23,0)-2*ROUND($G1322/23,0),IF($H1322=2,$G1322,0)))</f>
        <v/>
      </c>
      <c r="K1322" s="364" t="str">
        <f>IF($G1322="","",IF($H1322=1,ROUND($G1322*10/23,0),IF($H1322=3,$G1322-2*ROUND($G1322/12,0),IF($H1322=4,$G1322,IF(OR($H1322=5,$H1322=7),ROUND($G1322*10/11,0),0)))))</f>
        <v/>
      </c>
      <c r="L1322" s="364" t="str">
        <f>IF($G1322="","",IF($H1322=1,ROUND($G1322/23,0),IF($H1322=3,ROUND($G1322/12,0),IF($H1322=5,$G1322-ROUND($G1322*10/11,0),IF($H1322=8,$G1322,0)))))</f>
        <v/>
      </c>
      <c r="M1322" s="364" t="str">
        <f>IF($G1322="","",IF($H1322=1,ROUND($G1322/23,0),IF($H1322=3,ROUND($G1322/12,0),IF($H1322=6,$G1322,IF($H1322=7,$G1322-ROUND($G1322*10/11,0),0)))))</f>
        <v/>
      </c>
      <c r="N1322" s="364" t="str">
        <f>IF($G1322="","",K1322+L1322+M1322)</f>
        <v/>
      </c>
      <c r="O1322" s="365" t="str">
        <f>IF($G1322="","",IFERROR(VLOOKUP($D1322&amp;"|"&amp;$E1322,科目表!$A$5:$B$200,2,FALSE),"※未登録"))</f>
        <v/>
      </c>
      <c r="P1322" s="359" t="str">
        <f>IF(OR($G1322="",$C1322=""),"",IF($B1322="決算整理",13,MOD(MONTH($C1322)-4,12)+1))</f>
        <v/>
      </c>
      <c r="Q1322" s="366" t="str">
        <f>IF($G1322="","",TRIM(IF(J1322+K1322+L1322+M1322&lt;&gt;$G1322,"按分不一致 ","")&amp;IF(O1322="※未登録","科目未登録 ","")&amp;IF(OR($H1322="",ISERROR(MATCH($H1322,{1,2,3,4,5,6,7,8},0))),"経費区分? ","")&amp;IF($I1322="","状態未設定 ","")&amp;IF(AND(OR($I1322="確認済",$I1322="未確認"),$B1322="月例",OR($C1322="",$C1322&lt;DATE(年度+2018,4,1),$C1322&gt;DATE(年度+2019,3,31))),"年度外の日付 ","")&amp;IF(AND(OR($I1322="確認済",$I1322="未確認"),O1322="対象外"),"対象外の科目 ","")))</f>
        <v/>
      </c>
      <c r="R1322" s="366" t="n"/>
    </row>
    <row r="1323">
      <c r="A1323" s="359" t="n"/>
      <c r="B1323" s="360" t="n"/>
      <c r="C1323" s="361" t="n"/>
      <c r="D1323" s="362" t="n"/>
      <c r="E1323" s="362" t="n"/>
      <c r="F1323" s="362" t="n"/>
      <c r="G1323" s="363" t="n"/>
      <c r="H1323" s="360" t="n"/>
      <c r="I1323" s="360" t="n"/>
      <c r="J1323" s="364" t="str">
        <f>IF($G1323="","",IF($H1323=1,$G1323-ROUND($G1323*10/23,0)-2*ROUND($G1323/23,0),IF($H1323=2,$G1323,0)))</f>
        <v/>
      </c>
      <c r="K1323" s="364" t="str">
        <f>IF($G1323="","",IF($H1323=1,ROUND($G1323*10/23,0),IF($H1323=3,$G1323-2*ROUND($G1323/12,0),IF($H1323=4,$G1323,IF(OR($H1323=5,$H1323=7),ROUND($G1323*10/11,0),0)))))</f>
        <v/>
      </c>
      <c r="L1323" s="364" t="str">
        <f>IF($G1323="","",IF($H1323=1,ROUND($G1323/23,0),IF($H1323=3,ROUND($G1323/12,0),IF($H1323=5,$G1323-ROUND($G1323*10/11,0),IF($H1323=8,$G1323,0)))))</f>
        <v/>
      </c>
      <c r="M1323" s="364" t="str">
        <f>IF($G1323="","",IF($H1323=1,ROUND($G1323/23,0),IF($H1323=3,ROUND($G1323/12,0),IF($H1323=6,$G1323,IF($H1323=7,$G1323-ROUND($G1323*10/11,0),0)))))</f>
        <v/>
      </c>
      <c r="N1323" s="364" t="str">
        <f>IF($G1323="","",K1323+L1323+M1323)</f>
        <v/>
      </c>
      <c r="O1323" s="365" t="str">
        <f>IF($G1323="","",IFERROR(VLOOKUP($D1323&amp;"|"&amp;$E1323,科目表!$A$5:$B$200,2,FALSE),"※未登録"))</f>
        <v/>
      </c>
      <c r="P1323" s="359" t="str">
        <f>IF(OR($G1323="",$C1323=""),"",IF($B1323="決算整理",13,MOD(MONTH($C1323)-4,12)+1))</f>
        <v/>
      </c>
      <c r="Q1323" s="366" t="str">
        <f>IF($G1323="","",TRIM(IF(J1323+K1323+L1323+M1323&lt;&gt;$G1323,"按分不一致 ","")&amp;IF(O1323="※未登録","科目未登録 ","")&amp;IF(OR($H1323="",ISERROR(MATCH($H1323,{1,2,3,4,5,6,7,8},0))),"経費区分? ","")&amp;IF($I1323="","状態未設定 ","")&amp;IF(AND(OR($I1323="確認済",$I1323="未確認"),$B1323="月例",OR($C1323="",$C1323&lt;DATE(年度+2018,4,1),$C1323&gt;DATE(年度+2019,3,31))),"年度外の日付 ","")&amp;IF(AND(OR($I1323="確認済",$I1323="未確認"),O1323="対象外"),"対象外の科目 ","")))</f>
        <v/>
      </c>
      <c r="R1323" s="366" t="n"/>
    </row>
    <row r="1324">
      <c r="A1324" s="359" t="n"/>
      <c r="B1324" s="360" t="n"/>
      <c r="C1324" s="361" t="n"/>
      <c r="D1324" s="362" t="n"/>
      <c r="E1324" s="362" t="n"/>
      <c r="F1324" s="362" t="n"/>
      <c r="G1324" s="363" t="n"/>
      <c r="H1324" s="360" t="n"/>
      <c r="I1324" s="360" t="n"/>
      <c r="J1324" s="364" t="str">
        <f>IF($G1324="","",IF($H1324=1,$G1324-ROUND($G1324*10/23,0)-2*ROUND($G1324/23,0),IF($H1324=2,$G1324,0)))</f>
        <v/>
      </c>
      <c r="K1324" s="364" t="str">
        <f>IF($G1324="","",IF($H1324=1,ROUND($G1324*10/23,0),IF($H1324=3,$G1324-2*ROUND($G1324/12,0),IF($H1324=4,$G1324,IF(OR($H1324=5,$H1324=7),ROUND($G1324*10/11,0),0)))))</f>
        <v/>
      </c>
      <c r="L1324" s="364" t="str">
        <f>IF($G1324="","",IF($H1324=1,ROUND($G1324/23,0),IF($H1324=3,ROUND($G1324/12,0),IF($H1324=5,$G1324-ROUND($G1324*10/11,0),IF($H1324=8,$G1324,0)))))</f>
        <v/>
      </c>
      <c r="M1324" s="364" t="str">
        <f>IF($G1324="","",IF($H1324=1,ROUND($G1324/23,0),IF($H1324=3,ROUND($G1324/12,0),IF($H1324=6,$G1324,IF($H1324=7,$G1324-ROUND($G1324*10/11,0),0)))))</f>
        <v/>
      </c>
      <c r="N1324" s="364" t="str">
        <f>IF($G1324="","",K1324+L1324+M1324)</f>
        <v/>
      </c>
      <c r="O1324" s="365" t="str">
        <f>IF($G1324="","",IFERROR(VLOOKUP($D1324&amp;"|"&amp;$E1324,科目表!$A$5:$B$200,2,FALSE),"※未登録"))</f>
        <v/>
      </c>
      <c r="P1324" s="359" t="str">
        <f>IF(OR($G1324="",$C1324=""),"",IF($B1324="決算整理",13,MOD(MONTH($C1324)-4,12)+1))</f>
        <v/>
      </c>
      <c r="Q1324" s="366" t="str">
        <f>IF($G1324="","",TRIM(IF(J1324+K1324+L1324+M1324&lt;&gt;$G1324,"按分不一致 ","")&amp;IF(O1324="※未登録","科目未登録 ","")&amp;IF(OR($H1324="",ISERROR(MATCH($H1324,{1,2,3,4,5,6,7,8},0))),"経費区分? ","")&amp;IF($I1324="","状態未設定 ","")&amp;IF(AND(OR($I1324="確認済",$I1324="未確認"),$B1324="月例",OR($C1324="",$C1324&lt;DATE(年度+2018,4,1),$C1324&gt;DATE(年度+2019,3,31))),"年度外の日付 ","")&amp;IF(AND(OR($I1324="確認済",$I1324="未確認"),O1324="対象外"),"対象外の科目 ","")))</f>
        <v/>
      </c>
      <c r="R1324" s="366" t="n"/>
    </row>
    <row r="1325">
      <c r="A1325" s="359" t="n"/>
      <c r="B1325" s="360" t="n"/>
      <c r="C1325" s="361" t="n"/>
      <c r="D1325" s="362" t="n"/>
      <c r="E1325" s="362" t="n"/>
      <c r="F1325" s="362" t="n"/>
      <c r="G1325" s="363" t="n"/>
      <c r="H1325" s="360" t="n"/>
      <c r="I1325" s="360" t="n"/>
      <c r="J1325" s="364" t="str">
        <f>IF($G1325="","",IF($H1325=1,$G1325-ROUND($G1325*10/23,0)-2*ROUND($G1325/23,0),IF($H1325=2,$G1325,0)))</f>
        <v/>
      </c>
      <c r="K1325" s="364" t="str">
        <f>IF($G1325="","",IF($H1325=1,ROUND($G1325*10/23,0),IF($H1325=3,$G1325-2*ROUND($G1325/12,0),IF($H1325=4,$G1325,IF(OR($H1325=5,$H1325=7),ROUND($G1325*10/11,0),0)))))</f>
        <v/>
      </c>
      <c r="L1325" s="364" t="str">
        <f>IF($G1325="","",IF($H1325=1,ROUND($G1325/23,0),IF($H1325=3,ROUND($G1325/12,0),IF($H1325=5,$G1325-ROUND($G1325*10/11,0),IF($H1325=8,$G1325,0)))))</f>
        <v/>
      </c>
      <c r="M1325" s="364" t="str">
        <f>IF($G1325="","",IF($H1325=1,ROUND($G1325/23,0),IF($H1325=3,ROUND($G1325/12,0),IF($H1325=6,$G1325,IF($H1325=7,$G1325-ROUND($G1325*10/11,0),0)))))</f>
        <v/>
      </c>
      <c r="N1325" s="364" t="str">
        <f>IF($G1325="","",K1325+L1325+M1325)</f>
        <v/>
      </c>
      <c r="O1325" s="365" t="str">
        <f>IF($G1325="","",IFERROR(VLOOKUP($D1325&amp;"|"&amp;$E1325,科目表!$A$5:$B$200,2,FALSE),"※未登録"))</f>
        <v/>
      </c>
      <c r="P1325" s="359" t="str">
        <f>IF(OR($G1325="",$C1325=""),"",IF($B1325="決算整理",13,MOD(MONTH($C1325)-4,12)+1))</f>
        <v/>
      </c>
      <c r="Q1325" s="366" t="str">
        <f>IF($G1325="","",TRIM(IF(J1325+K1325+L1325+M1325&lt;&gt;$G1325,"按分不一致 ","")&amp;IF(O1325="※未登録","科目未登録 ","")&amp;IF(OR($H1325="",ISERROR(MATCH($H1325,{1,2,3,4,5,6,7,8},0))),"経費区分? ","")&amp;IF($I1325="","状態未設定 ","")&amp;IF(AND(OR($I1325="確認済",$I1325="未確認"),$B1325="月例",OR($C1325="",$C1325&lt;DATE(年度+2018,4,1),$C1325&gt;DATE(年度+2019,3,31))),"年度外の日付 ","")&amp;IF(AND(OR($I1325="確認済",$I1325="未確認"),O1325="対象外"),"対象外の科目 ","")))</f>
        <v/>
      </c>
      <c r="R1325" s="366" t="n"/>
    </row>
    <row r="1326">
      <c r="A1326" s="359" t="n"/>
      <c r="B1326" s="360" t="n"/>
      <c r="C1326" s="361" t="n"/>
      <c r="D1326" s="362" t="n"/>
      <c r="E1326" s="362" t="n"/>
      <c r="F1326" s="362" t="n"/>
      <c r="G1326" s="363" t="n"/>
      <c r="H1326" s="360" t="n"/>
      <c r="I1326" s="360" t="n"/>
      <c r="J1326" s="364" t="str">
        <f>IF($G1326="","",IF($H1326=1,$G1326-ROUND($G1326*10/23,0)-2*ROUND($G1326/23,0),IF($H1326=2,$G1326,0)))</f>
        <v/>
      </c>
      <c r="K1326" s="364" t="str">
        <f>IF($G1326="","",IF($H1326=1,ROUND($G1326*10/23,0),IF($H1326=3,$G1326-2*ROUND($G1326/12,0),IF($H1326=4,$G1326,IF(OR($H1326=5,$H1326=7),ROUND($G1326*10/11,0),0)))))</f>
        <v/>
      </c>
      <c r="L1326" s="364" t="str">
        <f>IF($G1326="","",IF($H1326=1,ROUND($G1326/23,0),IF($H1326=3,ROUND($G1326/12,0),IF($H1326=5,$G1326-ROUND($G1326*10/11,0),IF($H1326=8,$G1326,0)))))</f>
        <v/>
      </c>
      <c r="M1326" s="364" t="str">
        <f>IF($G1326="","",IF($H1326=1,ROUND($G1326/23,0),IF($H1326=3,ROUND($G1326/12,0),IF($H1326=6,$G1326,IF($H1326=7,$G1326-ROUND($G1326*10/11,0),0)))))</f>
        <v/>
      </c>
      <c r="N1326" s="364" t="str">
        <f>IF($G1326="","",K1326+L1326+M1326)</f>
        <v/>
      </c>
      <c r="O1326" s="365" t="str">
        <f>IF($G1326="","",IFERROR(VLOOKUP($D1326&amp;"|"&amp;$E1326,科目表!$A$5:$B$200,2,FALSE),"※未登録"))</f>
        <v/>
      </c>
      <c r="P1326" s="359" t="str">
        <f>IF(OR($G1326="",$C1326=""),"",IF($B1326="決算整理",13,MOD(MONTH($C1326)-4,12)+1))</f>
        <v/>
      </c>
      <c r="Q1326" s="366" t="str">
        <f>IF($G1326="","",TRIM(IF(J1326+K1326+L1326+M1326&lt;&gt;$G1326,"按分不一致 ","")&amp;IF(O1326="※未登録","科目未登録 ","")&amp;IF(OR($H1326="",ISERROR(MATCH($H1326,{1,2,3,4,5,6,7,8},0))),"経費区分? ","")&amp;IF($I1326="","状態未設定 ","")&amp;IF(AND(OR($I1326="確認済",$I1326="未確認"),$B1326="月例",OR($C1326="",$C1326&lt;DATE(年度+2018,4,1),$C1326&gt;DATE(年度+2019,3,31))),"年度外の日付 ","")&amp;IF(AND(OR($I1326="確認済",$I1326="未確認"),O1326="対象外"),"対象外の科目 ","")))</f>
        <v/>
      </c>
      <c r="R1326" s="366" t="n"/>
    </row>
    <row r="1327">
      <c r="A1327" s="359" t="n"/>
      <c r="B1327" s="360" t="n"/>
      <c r="C1327" s="361" t="n"/>
      <c r="D1327" s="362" t="n"/>
      <c r="E1327" s="362" t="n"/>
      <c r="F1327" s="362" t="n"/>
      <c r="G1327" s="363" t="n"/>
      <c r="H1327" s="360" t="n"/>
      <c r="I1327" s="360" t="n"/>
      <c r="J1327" s="364" t="str">
        <f>IF($G1327="","",IF($H1327=1,$G1327-ROUND($G1327*10/23,0)-2*ROUND($G1327/23,0),IF($H1327=2,$G1327,0)))</f>
        <v/>
      </c>
      <c r="K1327" s="364" t="str">
        <f>IF($G1327="","",IF($H1327=1,ROUND($G1327*10/23,0),IF($H1327=3,$G1327-2*ROUND($G1327/12,0),IF($H1327=4,$G1327,IF(OR($H1327=5,$H1327=7),ROUND($G1327*10/11,0),0)))))</f>
        <v/>
      </c>
      <c r="L1327" s="364" t="str">
        <f>IF($G1327="","",IF($H1327=1,ROUND($G1327/23,0),IF($H1327=3,ROUND($G1327/12,0),IF($H1327=5,$G1327-ROUND($G1327*10/11,0),IF($H1327=8,$G1327,0)))))</f>
        <v/>
      </c>
      <c r="M1327" s="364" t="str">
        <f>IF($G1327="","",IF($H1327=1,ROUND($G1327/23,0),IF($H1327=3,ROUND($G1327/12,0),IF($H1327=6,$G1327,IF($H1327=7,$G1327-ROUND($G1327*10/11,0),0)))))</f>
        <v/>
      </c>
      <c r="N1327" s="364" t="str">
        <f>IF($G1327="","",K1327+L1327+M1327)</f>
        <v/>
      </c>
      <c r="O1327" s="365" t="str">
        <f>IF($G1327="","",IFERROR(VLOOKUP($D1327&amp;"|"&amp;$E1327,科目表!$A$5:$B$200,2,FALSE),"※未登録"))</f>
        <v/>
      </c>
      <c r="P1327" s="359" t="str">
        <f>IF(OR($G1327="",$C1327=""),"",IF($B1327="決算整理",13,MOD(MONTH($C1327)-4,12)+1))</f>
        <v/>
      </c>
      <c r="Q1327" s="366" t="str">
        <f>IF($G1327="","",TRIM(IF(J1327+K1327+L1327+M1327&lt;&gt;$G1327,"按分不一致 ","")&amp;IF(O1327="※未登録","科目未登録 ","")&amp;IF(OR($H1327="",ISERROR(MATCH($H1327,{1,2,3,4,5,6,7,8},0))),"経費区分? ","")&amp;IF($I1327="","状態未設定 ","")&amp;IF(AND(OR($I1327="確認済",$I1327="未確認"),$B1327="月例",OR($C1327="",$C1327&lt;DATE(年度+2018,4,1),$C1327&gt;DATE(年度+2019,3,31))),"年度外の日付 ","")&amp;IF(AND(OR($I1327="確認済",$I1327="未確認"),O1327="対象外"),"対象外の科目 ","")))</f>
        <v/>
      </c>
      <c r="R1327" s="366" t="n"/>
    </row>
    <row r="1328">
      <c r="A1328" s="359" t="n"/>
      <c r="B1328" s="360" t="n"/>
      <c r="C1328" s="361" t="n"/>
      <c r="D1328" s="362" t="n"/>
      <c r="E1328" s="362" t="n"/>
      <c r="F1328" s="362" t="n"/>
      <c r="G1328" s="363" t="n"/>
      <c r="H1328" s="360" t="n"/>
      <c r="I1328" s="360" t="n"/>
      <c r="J1328" s="364" t="str">
        <f>IF($G1328="","",IF($H1328=1,$G1328-ROUND($G1328*10/23,0)-2*ROUND($G1328/23,0),IF($H1328=2,$G1328,0)))</f>
        <v/>
      </c>
      <c r="K1328" s="364" t="str">
        <f>IF($G1328="","",IF($H1328=1,ROUND($G1328*10/23,0),IF($H1328=3,$G1328-2*ROUND($G1328/12,0),IF($H1328=4,$G1328,IF(OR($H1328=5,$H1328=7),ROUND($G1328*10/11,0),0)))))</f>
        <v/>
      </c>
      <c r="L1328" s="364" t="str">
        <f>IF($G1328="","",IF($H1328=1,ROUND($G1328/23,0),IF($H1328=3,ROUND($G1328/12,0),IF($H1328=5,$G1328-ROUND($G1328*10/11,0),IF($H1328=8,$G1328,0)))))</f>
        <v/>
      </c>
      <c r="M1328" s="364" t="str">
        <f>IF($G1328="","",IF($H1328=1,ROUND($G1328/23,0),IF($H1328=3,ROUND($G1328/12,0),IF($H1328=6,$G1328,IF($H1328=7,$G1328-ROUND($G1328*10/11,0),0)))))</f>
        <v/>
      </c>
      <c r="N1328" s="364" t="str">
        <f>IF($G1328="","",K1328+L1328+M1328)</f>
        <v/>
      </c>
      <c r="O1328" s="365" t="str">
        <f>IF($G1328="","",IFERROR(VLOOKUP($D1328&amp;"|"&amp;$E1328,科目表!$A$5:$B$200,2,FALSE),"※未登録"))</f>
        <v/>
      </c>
      <c r="P1328" s="359" t="str">
        <f>IF(OR($G1328="",$C1328=""),"",IF($B1328="決算整理",13,MOD(MONTH($C1328)-4,12)+1))</f>
        <v/>
      </c>
      <c r="Q1328" s="366" t="str">
        <f>IF($G1328="","",TRIM(IF(J1328+K1328+L1328+M1328&lt;&gt;$G1328,"按分不一致 ","")&amp;IF(O1328="※未登録","科目未登録 ","")&amp;IF(OR($H1328="",ISERROR(MATCH($H1328,{1,2,3,4,5,6,7,8},0))),"経費区分? ","")&amp;IF($I1328="","状態未設定 ","")&amp;IF(AND(OR($I1328="確認済",$I1328="未確認"),$B1328="月例",OR($C1328="",$C1328&lt;DATE(年度+2018,4,1),$C1328&gt;DATE(年度+2019,3,31))),"年度外の日付 ","")&amp;IF(AND(OR($I1328="確認済",$I1328="未確認"),O1328="対象外"),"対象外の科目 ","")))</f>
        <v/>
      </c>
      <c r="R1328" s="366" t="n"/>
    </row>
    <row r="1329">
      <c r="A1329" s="359" t="n"/>
      <c r="B1329" s="360" t="n"/>
      <c r="C1329" s="361" t="n"/>
      <c r="D1329" s="362" t="n"/>
      <c r="E1329" s="362" t="n"/>
      <c r="F1329" s="362" t="n"/>
      <c r="G1329" s="363" t="n"/>
      <c r="H1329" s="360" t="n"/>
      <c r="I1329" s="360" t="n"/>
      <c r="J1329" s="364" t="str">
        <f>IF($G1329="","",IF($H1329=1,$G1329-ROUND($G1329*10/23,0)-2*ROUND($G1329/23,0),IF($H1329=2,$G1329,0)))</f>
        <v/>
      </c>
      <c r="K1329" s="364" t="str">
        <f>IF($G1329="","",IF($H1329=1,ROUND($G1329*10/23,0),IF($H1329=3,$G1329-2*ROUND($G1329/12,0),IF($H1329=4,$G1329,IF(OR($H1329=5,$H1329=7),ROUND($G1329*10/11,0),0)))))</f>
        <v/>
      </c>
      <c r="L1329" s="364" t="str">
        <f>IF($G1329="","",IF($H1329=1,ROUND($G1329/23,0),IF($H1329=3,ROUND($G1329/12,0),IF($H1329=5,$G1329-ROUND($G1329*10/11,0),IF($H1329=8,$G1329,0)))))</f>
        <v/>
      </c>
      <c r="M1329" s="364" t="str">
        <f>IF($G1329="","",IF($H1329=1,ROUND($G1329/23,0),IF($H1329=3,ROUND($G1329/12,0),IF($H1329=6,$G1329,IF($H1329=7,$G1329-ROUND($G1329*10/11,0),0)))))</f>
        <v/>
      </c>
      <c r="N1329" s="364" t="str">
        <f>IF($G1329="","",K1329+L1329+M1329)</f>
        <v/>
      </c>
      <c r="O1329" s="365" t="str">
        <f>IF($G1329="","",IFERROR(VLOOKUP($D1329&amp;"|"&amp;$E1329,科目表!$A$5:$B$200,2,FALSE),"※未登録"))</f>
        <v/>
      </c>
      <c r="P1329" s="359" t="str">
        <f>IF(OR($G1329="",$C1329=""),"",IF($B1329="決算整理",13,MOD(MONTH($C1329)-4,12)+1))</f>
        <v/>
      </c>
      <c r="Q1329" s="366" t="str">
        <f>IF($G1329="","",TRIM(IF(J1329+K1329+L1329+M1329&lt;&gt;$G1329,"按分不一致 ","")&amp;IF(O1329="※未登録","科目未登録 ","")&amp;IF(OR($H1329="",ISERROR(MATCH($H1329,{1,2,3,4,5,6,7,8},0))),"経費区分? ","")&amp;IF($I1329="","状態未設定 ","")&amp;IF(AND(OR($I1329="確認済",$I1329="未確認"),$B1329="月例",OR($C1329="",$C1329&lt;DATE(年度+2018,4,1),$C1329&gt;DATE(年度+2019,3,31))),"年度外の日付 ","")&amp;IF(AND(OR($I1329="確認済",$I1329="未確認"),O1329="対象外"),"対象外の科目 ","")))</f>
        <v/>
      </c>
      <c r="R1329" s="366" t="n"/>
    </row>
    <row r="1330">
      <c r="A1330" s="359" t="n"/>
      <c r="B1330" s="360" t="n"/>
      <c r="C1330" s="361" t="n"/>
      <c r="D1330" s="362" t="n"/>
      <c r="E1330" s="362" t="n"/>
      <c r="F1330" s="362" t="n"/>
      <c r="G1330" s="363" t="n"/>
      <c r="H1330" s="360" t="n"/>
      <c r="I1330" s="360" t="n"/>
      <c r="J1330" s="364" t="str">
        <f>IF($G1330="","",IF($H1330=1,$G1330-ROUND($G1330*10/23,0)-2*ROUND($G1330/23,0),IF($H1330=2,$G1330,0)))</f>
        <v/>
      </c>
      <c r="K1330" s="364" t="str">
        <f>IF($G1330="","",IF($H1330=1,ROUND($G1330*10/23,0),IF($H1330=3,$G1330-2*ROUND($G1330/12,0),IF($H1330=4,$G1330,IF(OR($H1330=5,$H1330=7),ROUND($G1330*10/11,0),0)))))</f>
        <v/>
      </c>
      <c r="L1330" s="364" t="str">
        <f>IF($G1330="","",IF($H1330=1,ROUND($G1330/23,0),IF($H1330=3,ROUND($G1330/12,0),IF($H1330=5,$G1330-ROUND($G1330*10/11,0),IF($H1330=8,$G1330,0)))))</f>
        <v/>
      </c>
      <c r="M1330" s="364" t="str">
        <f>IF($G1330="","",IF($H1330=1,ROUND($G1330/23,0),IF($H1330=3,ROUND($G1330/12,0),IF($H1330=6,$G1330,IF($H1330=7,$G1330-ROUND($G1330*10/11,0),0)))))</f>
        <v/>
      </c>
      <c r="N1330" s="364" t="str">
        <f>IF($G1330="","",K1330+L1330+M1330)</f>
        <v/>
      </c>
      <c r="O1330" s="365" t="str">
        <f>IF($G1330="","",IFERROR(VLOOKUP($D1330&amp;"|"&amp;$E1330,科目表!$A$5:$B$200,2,FALSE),"※未登録"))</f>
        <v/>
      </c>
      <c r="P1330" s="359" t="str">
        <f>IF(OR($G1330="",$C1330=""),"",IF($B1330="決算整理",13,MOD(MONTH($C1330)-4,12)+1))</f>
        <v/>
      </c>
      <c r="Q1330" s="366" t="str">
        <f>IF($G1330="","",TRIM(IF(J1330+K1330+L1330+M1330&lt;&gt;$G1330,"按分不一致 ","")&amp;IF(O1330="※未登録","科目未登録 ","")&amp;IF(OR($H1330="",ISERROR(MATCH($H1330,{1,2,3,4,5,6,7,8},0))),"経費区分? ","")&amp;IF($I1330="","状態未設定 ","")&amp;IF(AND(OR($I1330="確認済",$I1330="未確認"),$B1330="月例",OR($C1330="",$C1330&lt;DATE(年度+2018,4,1),$C1330&gt;DATE(年度+2019,3,31))),"年度外の日付 ","")&amp;IF(AND(OR($I1330="確認済",$I1330="未確認"),O1330="対象外"),"対象外の科目 ","")))</f>
        <v/>
      </c>
      <c r="R1330" s="366" t="n"/>
    </row>
    <row r="1331">
      <c r="A1331" s="359" t="n"/>
      <c r="B1331" s="360" t="n"/>
      <c r="C1331" s="361" t="n"/>
      <c r="D1331" s="362" t="n"/>
      <c r="E1331" s="362" t="n"/>
      <c r="F1331" s="362" t="n"/>
      <c r="G1331" s="363" t="n"/>
      <c r="H1331" s="360" t="n"/>
      <c r="I1331" s="360" t="n"/>
      <c r="J1331" s="364" t="str">
        <f>IF($G1331="","",IF($H1331=1,$G1331-ROUND($G1331*10/23,0)-2*ROUND($G1331/23,0),IF($H1331=2,$G1331,0)))</f>
        <v/>
      </c>
      <c r="K1331" s="364" t="str">
        <f>IF($G1331="","",IF($H1331=1,ROUND($G1331*10/23,0),IF($H1331=3,$G1331-2*ROUND($G1331/12,0),IF($H1331=4,$G1331,IF(OR($H1331=5,$H1331=7),ROUND($G1331*10/11,0),0)))))</f>
        <v/>
      </c>
      <c r="L1331" s="364" t="str">
        <f>IF($G1331="","",IF($H1331=1,ROUND($G1331/23,0),IF($H1331=3,ROUND($G1331/12,0),IF($H1331=5,$G1331-ROUND($G1331*10/11,0),IF($H1331=8,$G1331,0)))))</f>
        <v/>
      </c>
      <c r="M1331" s="364" t="str">
        <f>IF($G1331="","",IF($H1331=1,ROUND($G1331/23,0),IF($H1331=3,ROUND($G1331/12,0),IF($H1331=6,$G1331,IF($H1331=7,$G1331-ROUND($G1331*10/11,0),0)))))</f>
        <v/>
      </c>
      <c r="N1331" s="364" t="str">
        <f>IF($G1331="","",K1331+L1331+M1331)</f>
        <v/>
      </c>
      <c r="O1331" s="365" t="str">
        <f>IF($G1331="","",IFERROR(VLOOKUP($D1331&amp;"|"&amp;$E1331,科目表!$A$5:$B$200,2,FALSE),"※未登録"))</f>
        <v/>
      </c>
      <c r="P1331" s="359" t="str">
        <f>IF(OR($G1331="",$C1331=""),"",IF($B1331="決算整理",13,MOD(MONTH($C1331)-4,12)+1))</f>
        <v/>
      </c>
      <c r="Q1331" s="366" t="str">
        <f>IF($G1331="","",TRIM(IF(J1331+K1331+L1331+M1331&lt;&gt;$G1331,"按分不一致 ","")&amp;IF(O1331="※未登録","科目未登録 ","")&amp;IF(OR($H1331="",ISERROR(MATCH($H1331,{1,2,3,4,5,6,7,8},0))),"経費区分? ","")&amp;IF($I1331="","状態未設定 ","")&amp;IF(AND(OR($I1331="確認済",$I1331="未確認"),$B1331="月例",OR($C1331="",$C1331&lt;DATE(年度+2018,4,1),$C1331&gt;DATE(年度+2019,3,31))),"年度外の日付 ","")&amp;IF(AND(OR($I1331="確認済",$I1331="未確認"),O1331="対象外"),"対象外の科目 ","")))</f>
        <v/>
      </c>
      <c r="R1331" s="366" t="n"/>
    </row>
    <row r="1332">
      <c r="A1332" s="359" t="n"/>
      <c r="B1332" s="360" t="n"/>
      <c r="C1332" s="361" t="n"/>
      <c r="D1332" s="362" t="n"/>
      <c r="E1332" s="362" t="n"/>
      <c r="F1332" s="362" t="n"/>
      <c r="G1332" s="363" t="n"/>
      <c r="H1332" s="360" t="n"/>
      <c r="I1332" s="360" t="n"/>
      <c r="J1332" s="364" t="str">
        <f>IF($G1332="","",IF($H1332=1,$G1332-ROUND($G1332*10/23,0)-2*ROUND($G1332/23,0),IF($H1332=2,$G1332,0)))</f>
        <v/>
      </c>
      <c r="K1332" s="364" t="str">
        <f>IF($G1332="","",IF($H1332=1,ROUND($G1332*10/23,0),IF($H1332=3,$G1332-2*ROUND($G1332/12,0),IF($H1332=4,$G1332,IF(OR($H1332=5,$H1332=7),ROUND($G1332*10/11,0),0)))))</f>
        <v/>
      </c>
      <c r="L1332" s="364" t="str">
        <f>IF($G1332="","",IF($H1332=1,ROUND($G1332/23,0),IF($H1332=3,ROUND($G1332/12,0),IF($H1332=5,$G1332-ROUND($G1332*10/11,0),IF($H1332=8,$G1332,0)))))</f>
        <v/>
      </c>
      <c r="M1332" s="364" t="str">
        <f>IF($G1332="","",IF($H1332=1,ROUND($G1332/23,0),IF($H1332=3,ROUND($G1332/12,0),IF($H1332=6,$G1332,IF($H1332=7,$G1332-ROUND($G1332*10/11,0),0)))))</f>
        <v/>
      </c>
      <c r="N1332" s="364" t="str">
        <f>IF($G1332="","",K1332+L1332+M1332)</f>
        <v/>
      </c>
      <c r="O1332" s="365" t="str">
        <f>IF($G1332="","",IFERROR(VLOOKUP($D1332&amp;"|"&amp;$E1332,科目表!$A$5:$B$200,2,FALSE),"※未登録"))</f>
        <v/>
      </c>
      <c r="P1332" s="359" t="str">
        <f>IF(OR($G1332="",$C1332=""),"",IF($B1332="決算整理",13,MOD(MONTH($C1332)-4,12)+1))</f>
        <v/>
      </c>
      <c r="Q1332" s="366" t="str">
        <f>IF($G1332="","",TRIM(IF(J1332+K1332+L1332+M1332&lt;&gt;$G1332,"按分不一致 ","")&amp;IF(O1332="※未登録","科目未登録 ","")&amp;IF(OR($H1332="",ISERROR(MATCH($H1332,{1,2,3,4,5,6,7,8},0))),"経費区分? ","")&amp;IF($I1332="","状態未設定 ","")&amp;IF(AND(OR($I1332="確認済",$I1332="未確認"),$B1332="月例",OR($C1332="",$C1332&lt;DATE(年度+2018,4,1),$C1332&gt;DATE(年度+2019,3,31))),"年度外の日付 ","")&amp;IF(AND(OR($I1332="確認済",$I1332="未確認"),O1332="対象外"),"対象外の科目 ","")))</f>
        <v/>
      </c>
      <c r="R1332" s="366" t="n"/>
    </row>
    <row r="1333">
      <c r="A1333" s="359" t="n"/>
      <c r="B1333" s="360" t="n"/>
      <c r="C1333" s="361" t="n"/>
      <c r="D1333" s="362" t="n"/>
      <c r="E1333" s="362" t="n"/>
      <c r="F1333" s="362" t="n"/>
      <c r="G1333" s="363" t="n"/>
      <c r="H1333" s="360" t="n"/>
      <c r="I1333" s="360" t="n"/>
      <c r="J1333" s="364" t="str">
        <f>IF($G1333="","",IF($H1333=1,$G1333-ROUND($G1333*10/23,0)-2*ROUND($G1333/23,0),IF($H1333=2,$G1333,0)))</f>
        <v/>
      </c>
      <c r="K1333" s="364" t="str">
        <f>IF($G1333="","",IF($H1333=1,ROUND($G1333*10/23,0),IF($H1333=3,$G1333-2*ROUND($G1333/12,0),IF($H1333=4,$G1333,IF(OR($H1333=5,$H1333=7),ROUND($G1333*10/11,0),0)))))</f>
        <v/>
      </c>
      <c r="L1333" s="364" t="str">
        <f>IF($G1333="","",IF($H1333=1,ROUND($G1333/23,0),IF($H1333=3,ROUND($G1333/12,0),IF($H1333=5,$G1333-ROUND($G1333*10/11,0),IF($H1333=8,$G1333,0)))))</f>
        <v/>
      </c>
      <c r="M1333" s="364" t="str">
        <f>IF($G1333="","",IF($H1333=1,ROUND($G1333/23,0),IF($H1333=3,ROUND($G1333/12,0),IF($H1333=6,$G1333,IF($H1333=7,$G1333-ROUND($G1333*10/11,0),0)))))</f>
        <v/>
      </c>
      <c r="N1333" s="364" t="str">
        <f>IF($G1333="","",K1333+L1333+M1333)</f>
        <v/>
      </c>
      <c r="O1333" s="365" t="str">
        <f>IF($G1333="","",IFERROR(VLOOKUP($D1333&amp;"|"&amp;$E1333,科目表!$A$5:$B$200,2,FALSE),"※未登録"))</f>
        <v/>
      </c>
      <c r="P1333" s="359" t="str">
        <f>IF(OR($G1333="",$C1333=""),"",IF($B1333="決算整理",13,MOD(MONTH($C1333)-4,12)+1))</f>
        <v/>
      </c>
      <c r="Q1333" s="366" t="str">
        <f>IF($G1333="","",TRIM(IF(J1333+K1333+L1333+M1333&lt;&gt;$G1333,"按分不一致 ","")&amp;IF(O1333="※未登録","科目未登録 ","")&amp;IF(OR($H1333="",ISERROR(MATCH($H1333,{1,2,3,4,5,6,7,8},0))),"経費区分? ","")&amp;IF($I1333="","状態未設定 ","")&amp;IF(AND(OR($I1333="確認済",$I1333="未確認"),$B1333="月例",OR($C1333="",$C1333&lt;DATE(年度+2018,4,1),$C1333&gt;DATE(年度+2019,3,31))),"年度外の日付 ","")&amp;IF(AND(OR($I1333="確認済",$I1333="未確認"),O1333="対象外"),"対象外の科目 ","")))</f>
        <v/>
      </c>
      <c r="R1333" s="366" t="n"/>
    </row>
    <row r="1334">
      <c r="A1334" s="359" t="n"/>
      <c r="B1334" s="360" t="n"/>
      <c r="C1334" s="361" t="n"/>
      <c r="D1334" s="362" t="n"/>
      <c r="E1334" s="362" t="n"/>
      <c r="F1334" s="362" t="n"/>
      <c r="G1334" s="363" t="n"/>
      <c r="H1334" s="360" t="n"/>
      <c r="I1334" s="360" t="n"/>
      <c r="J1334" s="364" t="str">
        <f>IF($G1334="","",IF($H1334=1,$G1334-ROUND($G1334*10/23,0)-2*ROUND($G1334/23,0),IF($H1334=2,$G1334,0)))</f>
        <v/>
      </c>
      <c r="K1334" s="364" t="str">
        <f>IF($G1334="","",IF($H1334=1,ROUND($G1334*10/23,0),IF($H1334=3,$G1334-2*ROUND($G1334/12,0),IF($H1334=4,$G1334,IF(OR($H1334=5,$H1334=7),ROUND($G1334*10/11,0),0)))))</f>
        <v/>
      </c>
      <c r="L1334" s="364" t="str">
        <f>IF($G1334="","",IF($H1334=1,ROUND($G1334/23,0),IF($H1334=3,ROUND($G1334/12,0),IF($H1334=5,$G1334-ROUND($G1334*10/11,0),IF($H1334=8,$G1334,0)))))</f>
        <v/>
      </c>
      <c r="M1334" s="364" t="str">
        <f>IF($G1334="","",IF($H1334=1,ROUND($G1334/23,0),IF($H1334=3,ROUND($G1334/12,0),IF($H1334=6,$G1334,IF($H1334=7,$G1334-ROUND($G1334*10/11,0),0)))))</f>
        <v/>
      </c>
      <c r="N1334" s="364" t="str">
        <f>IF($G1334="","",K1334+L1334+M1334)</f>
        <v/>
      </c>
      <c r="O1334" s="365" t="str">
        <f>IF($G1334="","",IFERROR(VLOOKUP($D1334&amp;"|"&amp;$E1334,科目表!$A$5:$B$200,2,FALSE),"※未登録"))</f>
        <v/>
      </c>
      <c r="P1334" s="359" t="str">
        <f>IF(OR($G1334="",$C1334=""),"",IF($B1334="決算整理",13,MOD(MONTH($C1334)-4,12)+1))</f>
        <v/>
      </c>
      <c r="Q1334" s="366" t="str">
        <f>IF($G1334="","",TRIM(IF(J1334+K1334+L1334+M1334&lt;&gt;$G1334,"按分不一致 ","")&amp;IF(O1334="※未登録","科目未登録 ","")&amp;IF(OR($H1334="",ISERROR(MATCH($H1334,{1,2,3,4,5,6,7,8},0))),"経費区分? ","")&amp;IF($I1334="","状態未設定 ","")&amp;IF(AND(OR($I1334="確認済",$I1334="未確認"),$B1334="月例",OR($C1334="",$C1334&lt;DATE(年度+2018,4,1),$C1334&gt;DATE(年度+2019,3,31))),"年度外の日付 ","")&amp;IF(AND(OR($I1334="確認済",$I1334="未確認"),O1334="対象外"),"対象外の科目 ","")))</f>
        <v/>
      </c>
      <c r="R1334" s="366" t="n"/>
    </row>
    <row r="1335">
      <c r="A1335" s="359" t="n"/>
      <c r="B1335" s="360" t="n"/>
      <c r="C1335" s="361" t="n"/>
      <c r="D1335" s="362" t="n"/>
      <c r="E1335" s="362" t="n"/>
      <c r="F1335" s="362" t="n"/>
      <c r="G1335" s="363" t="n"/>
      <c r="H1335" s="360" t="n"/>
      <c r="I1335" s="360" t="n"/>
      <c r="J1335" s="364" t="str">
        <f>IF($G1335="","",IF($H1335=1,$G1335-ROUND($G1335*10/23,0)-2*ROUND($G1335/23,0),IF($H1335=2,$G1335,0)))</f>
        <v/>
      </c>
      <c r="K1335" s="364" t="str">
        <f>IF($G1335="","",IF($H1335=1,ROUND($G1335*10/23,0),IF($H1335=3,$G1335-2*ROUND($G1335/12,0),IF($H1335=4,$G1335,IF(OR($H1335=5,$H1335=7),ROUND($G1335*10/11,0),0)))))</f>
        <v/>
      </c>
      <c r="L1335" s="364" t="str">
        <f>IF($G1335="","",IF($H1335=1,ROUND($G1335/23,0),IF($H1335=3,ROUND($G1335/12,0),IF($H1335=5,$G1335-ROUND($G1335*10/11,0),IF($H1335=8,$G1335,0)))))</f>
        <v/>
      </c>
      <c r="M1335" s="364" t="str">
        <f>IF($G1335="","",IF($H1335=1,ROUND($G1335/23,0),IF($H1335=3,ROUND($G1335/12,0),IF($H1335=6,$G1335,IF($H1335=7,$G1335-ROUND($G1335*10/11,0),0)))))</f>
        <v/>
      </c>
      <c r="N1335" s="364" t="str">
        <f>IF($G1335="","",K1335+L1335+M1335)</f>
        <v/>
      </c>
      <c r="O1335" s="365" t="str">
        <f>IF($G1335="","",IFERROR(VLOOKUP($D1335&amp;"|"&amp;$E1335,科目表!$A$5:$B$200,2,FALSE),"※未登録"))</f>
        <v/>
      </c>
      <c r="P1335" s="359" t="str">
        <f>IF(OR($G1335="",$C1335=""),"",IF($B1335="決算整理",13,MOD(MONTH($C1335)-4,12)+1))</f>
        <v/>
      </c>
      <c r="Q1335" s="366" t="str">
        <f>IF($G1335="","",TRIM(IF(J1335+K1335+L1335+M1335&lt;&gt;$G1335,"按分不一致 ","")&amp;IF(O1335="※未登録","科目未登録 ","")&amp;IF(OR($H1335="",ISERROR(MATCH($H1335,{1,2,3,4,5,6,7,8},0))),"経費区分? ","")&amp;IF($I1335="","状態未設定 ","")&amp;IF(AND(OR($I1335="確認済",$I1335="未確認"),$B1335="月例",OR($C1335="",$C1335&lt;DATE(年度+2018,4,1),$C1335&gt;DATE(年度+2019,3,31))),"年度外の日付 ","")&amp;IF(AND(OR($I1335="確認済",$I1335="未確認"),O1335="対象外"),"対象外の科目 ","")))</f>
        <v/>
      </c>
      <c r="R1335" s="366" t="n"/>
    </row>
    <row r="1336">
      <c r="A1336" s="359" t="n"/>
      <c r="B1336" s="360" t="n"/>
      <c r="C1336" s="361" t="n"/>
      <c r="D1336" s="362" t="n"/>
      <c r="E1336" s="362" t="n"/>
      <c r="F1336" s="362" t="n"/>
      <c r="G1336" s="363" t="n"/>
      <c r="H1336" s="360" t="n"/>
      <c r="I1336" s="360" t="n"/>
      <c r="J1336" s="364" t="str">
        <f>IF($G1336="","",IF($H1336=1,$G1336-ROUND($G1336*10/23,0)-2*ROUND($G1336/23,0),IF($H1336=2,$G1336,0)))</f>
        <v/>
      </c>
      <c r="K1336" s="364" t="str">
        <f>IF($G1336="","",IF($H1336=1,ROUND($G1336*10/23,0),IF($H1336=3,$G1336-2*ROUND($G1336/12,0),IF($H1336=4,$G1336,IF(OR($H1336=5,$H1336=7),ROUND($G1336*10/11,0),0)))))</f>
        <v/>
      </c>
      <c r="L1336" s="364" t="str">
        <f>IF($G1336="","",IF($H1336=1,ROUND($G1336/23,0),IF($H1336=3,ROUND($G1336/12,0),IF($H1336=5,$G1336-ROUND($G1336*10/11,0),IF($H1336=8,$G1336,0)))))</f>
        <v/>
      </c>
      <c r="M1336" s="364" t="str">
        <f>IF($G1336="","",IF($H1336=1,ROUND($G1336/23,0),IF($H1336=3,ROUND($G1336/12,0),IF($H1336=6,$G1336,IF($H1336=7,$G1336-ROUND($G1336*10/11,0),0)))))</f>
        <v/>
      </c>
      <c r="N1336" s="364" t="str">
        <f>IF($G1336="","",K1336+L1336+M1336)</f>
        <v/>
      </c>
      <c r="O1336" s="365" t="str">
        <f>IF($G1336="","",IFERROR(VLOOKUP($D1336&amp;"|"&amp;$E1336,科目表!$A$5:$B$200,2,FALSE),"※未登録"))</f>
        <v/>
      </c>
      <c r="P1336" s="359" t="str">
        <f>IF(OR($G1336="",$C1336=""),"",IF($B1336="決算整理",13,MOD(MONTH($C1336)-4,12)+1))</f>
        <v/>
      </c>
      <c r="Q1336" s="366" t="str">
        <f>IF($G1336="","",TRIM(IF(J1336+K1336+L1336+M1336&lt;&gt;$G1336,"按分不一致 ","")&amp;IF(O1336="※未登録","科目未登録 ","")&amp;IF(OR($H1336="",ISERROR(MATCH($H1336,{1,2,3,4,5,6,7,8},0))),"経費区分? ","")&amp;IF($I1336="","状態未設定 ","")&amp;IF(AND(OR($I1336="確認済",$I1336="未確認"),$B1336="月例",OR($C1336="",$C1336&lt;DATE(年度+2018,4,1),$C1336&gt;DATE(年度+2019,3,31))),"年度外の日付 ","")&amp;IF(AND(OR($I1336="確認済",$I1336="未確認"),O1336="対象外"),"対象外の科目 ","")))</f>
        <v/>
      </c>
      <c r="R1336" s="366" t="n"/>
    </row>
    <row r="1337">
      <c r="A1337" s="359" t="n"/>
      <c r="B1337" s="360" t="n"/>
      <c r="C1337" s="361" t="n"/>
      <c r="D1337" s="362" t="n"/>
      <c r="E1337" s="362" t="n"/>
      <c r="F1337" s="362" t="n"/>
      <c r="G1337" s="363" t="n"/>
      <c r="H1337" s="360" t="n"/>
      <c r="I1337" s="360" t="n"/>
      <c r="J1337" s="364" t="str">
        <f>IF($G1337="","",IF($H1337=1,$G1337-ROUND($G1337*10/23,0)-2*ROUND($G1337/23,0),IF($H1337=2,$G1337,0)))</f>
        <v/>
      </c>
      <c r="K1337" s="364" t="str">
        <f>IF($G1337="","",IF($H1337=1,ROUND($G1337*10/23,0),IF($H1337=3,$G1337-2*ROUND($G1337/12,0),IF($H1337=4,$G1337,IF(OR($H1337=5,$H1337=7),ROUND($G1337*10/11,0),0)))))</f>
        <v/>
      </c>
      <c r="L1337" s="364" t="str">
        <f>IF($G1337="","",IF($H1337=1,ROUND($G1337/23,0),IF($H1337=3,ROUND($G1337/12,0),IF($H1337=5,$G1337-ROUND($G1337*10/11,0),IF($H1337=8,$G1337,0)))))</f>
        <v/>
      </c>
      <c r="M1337" s="364" t="str">
        <f>IF($G1337="","",IF($H1337=1,ROUND($G1337/23,0),IF($H1337=3,ROUND($G1337/12,0),IF($H1337=6,$G1337,IF($H1337=7,$G1337-ROUND($G1337*10/11,0),0)))))</f>
        <v/>
      </c>
      <c r="N1337" s="364" t="str">
        <f>IF($G1337="","",K1337+L1337+M1337)</f>
        <v/>
      </c>
      <c r="O1337" s="365" t="str">
        <f>IF($G1337="","",IFERROR(VLOOKUP($D1337&amp;"|"&amp;$E1337,科目表!$A$5:$B$200,2,FALSE),"※未登録"))</f>
        <v/>
      </c>
      <c r="P1337" s="359" t="str">
        <f>IF(OR($G1337="",$C1337=""),"",IF($B1337="決算整理",13,MOD(MONTH($C1337)-4,12)+1))</f>
        <v/>
      </c>
      <c r="Q1337" s="366" t="str">
        <f>IF($G1337="","",TRIM(IF(J1337+K1337+L1337+M1337&lt;&gt;$G1337,"按分不一致 ","")&amp;IF(O1337="※未登録","科目未登録 ","")&amp;IF(OR($H1337="",ISERROR(MATCH($H1337,{1,2,3,4,5,6,7,8},0))),"経費区分? ","")&amp;IF($I1337="","状態未設定 ","")&amp;IF(AND(OR($I1337="確認済",$I1337="未確認"),$B1337="月例",OR($C1337="",$C1337&lt;DATE(年度+2018,4,1),$C1337&gt;DATE(年度+2019,3,31))),"年度外の日付 ","")&amp;IF(AND(OR($I1337="確認済",$I1337="未確認"),O1337="対象外"),"対象外の科目 ","")))</f>
        <v/>
      </c>
      <c r="R1337" s="366" t="n"/>
    </row>
    <row r="1338">
      <c r="A1338" s="359" t="n"/>
      <c r="B1338" s="360" t="n"/>
      <c r="C1338" s="361" t="n"/>
      <c r="D1338" s="362" t="n"/>
      <c r="E1338" s="362" t="n"/>
      <c r="F1338" s="362" t="n"/>
      <c r="G1338" s="363" t="n"/>
      <c r="H1338" s="360" t="n"/>
      <c r="I1338" s="360" t="n"/>
      <c r="J1338" s="364" t="str">
        <f>IF($G1338="","",IF($H1338=1,$G1338-ROUND($G1338*10/23,0)-2*ROUND($G1338/23,0),IF($H1338=2,$G1338,0)))</f>
        <v/>
      </c>
      <c r="K1338" s="364" t="str">
        <f>IF($G1338="","",IF($H1338=1,ROUND($G1338*10/23,0),IF($H1338=3,$G1338-2*ROUND($G1338/12,0),IF($H1338=4,$G1338,IF(OR($H1338=5,$H1338=7),ROUND($G1338*10/11,0),0)))))</f>
        <v/>
      </c>
      <c r="L1338" s="364" t="str">
        <f>IF($G1338="","",IF($H1338=1,ROUND($G1338/23,0),IF($H1338=3,ROUND($G1338/12,0),IF($H1338=5,$G1338-ROUND($G1338*10/11,0),IF($H1338=8,$G1338,0)))))</f>
        <v/>
      </c>
      <c r="M1338" s="364" t="str">
        <f>IF($G1338="","",IF($H1338=1,ROUND($G1338/23,0),IF($H1338=3,ROUND($G1338/12,0),IF($H1338=6,$G1338,IF($H1338=7,$G1338-ROUND($G1338*10/11,0),0)))))</f>
        <v/>
      </c>
      <c r="N1338" s="364" t="str">
        <f>IF($G1338="","",K1338+L1338+M1338)</f>
        <v/>
      </c>
      <c r="O1338" s="365" t="str">
        <f>IF($G1338="","",IFERROR(VLOOKUP($D1338&amp;"|"&amp;$E1338,科目表!$A$5:$B$200,2,FALSE),"※未登録"))</f>
        <v/>
      </c>
      <c r="P1338" s="359" t="str">
        <f>IF(OR($G1338="",$C1338=""),"",IF($B1338="決算整理",13,MOD(MONTH($C1338)-4,12)+1))</f>
        <v/>
      </c>
      <c r="Q1338" s="366" t="str">
        <f>IF($G1338="","",TRIM(IF(J1338+K1338+L1338+M1338&lt;&gt;$G1338,"按分不一致 ","")&amp;IF(O1338="※未登録","科目未登録 ","")&amp;IF(OR($H1338="",ISERROR(MATCH($H1338,{1,2,3,4,5,6,7,8},0))),"経費区分? ","")&amp;IF($I1338="","状態未設定 ","")&amp;IF(AND(OR($I1338="確認済",$I1338="未確認"),$B1338="月例",OR($C1338="",$C1338&lt;DATE(年度+2018,4,1),$C1338&gt;DATE(年度+2019,3,31))),"年度外の日付 ","")&amp;IF(AND(OR($I1338="確認済",$I1338="未確認"),O1338="対象外"),"対象外の科目 ","")))</f>
        <v/>
      </c>
      <c r="R1338" s="366" t="n"/>
    </row>
    <row r="1339">
      <c r="A1339" s="359" t="n"/>
      <c r="B1339" s="360" t="n"/>
      <c r="C1339" s="361" t="n"/>
      <c r="D1339" s="362" t="n"/>
      <c r="E1339" s="362" t="n"/>
      <c r="F1339" s="362" t="n"/>
      <c r="G1339" s="363" t="n"/>
      <c r="H1339" s="360" t="n"/>
      <c r="I1339" s="360" t="n"/>
      <c r="J1339" s="364" t="str">
        <f>IF($G1339="","",IF($H1339=1,$G1339-ROUND($G1339*10/23,0)-2*ROUND($G1339/23,0),IF($H1339=2,$G1339,0)))</f>
        <v/>
      </c>
      <c r="K1339" s="364" t="str">
        <f>IF($G1339="","",IF($H1339=1,ROUND($G1339*10/23,0),IF($H1339=3,$G1339-2*ROUND($G1339/12,0),IF($H1339=4,$G1339,IF(OR($H1339=5,$H1339=7),ROUND($G1339*10/11,0),0)))))</f>
        <v/>
      </c>
      <c r="L1339" s="364" t="str">
        <f>IF($G1339="","",IF($H1339=1,ROUND($G1339/23,0),IF($H1339=3,ROUND($G1339/12,0),IF($H1339=5,$G1339-ROUND($G1339*10/11,0),IF($H1339=8,$G1339,0)))))</f>
        <v/>
      </c>
      <c r="M1339" s="364" t="str">
        <f>IF($G1339="","",IF($H1339=1,ROUND($G1339/23,0),IF($H1339=3,ROUND($G1339/12,0),IF($H1339=6,$G1339,IF($H1339=7,$G1339-ROUND($G1339*10/11,0),0)))))</f>
        <v/>
      </c>
      <c r="N1339" s="364" t="str">
        <f>IF($G1339="","",K1339+L1339+M1339)</f>
        <v/>
      </c>
      <c r="O1339" s="365" t="str">
        <f>IF($G1339="","",IFERROR(VLOOKUP($D1339&amp;"|"&amp;$E1339,科目表!$A$5:$B$200,2,FALSE),"※未登録"))</f>
        <v/>
      </c>
      <c r="P1339" s="359" t="str">
        <f>IF(OR($G1339="",$C1339=""),"",IF($B1339="決算整理",13,MOD(MONTH($C1339)-4,12)+1))</f>
        <v/>
      </c>
      <c r="Q1339" s="366" t="str">
        <f>IF($G1339="","",TRIM(IF(J1339+K1339+L1339+M1339&lt;&gt;$G1339,"按分不一致 ","")&amp;IF(O1339="※未登録","科目未登録 ","")&amp;IF(OR($H1339="",ISERROR(MATCH($H1339,{1,2,3,4,5,6,7,8},0))),"経費区分? ","")&amp;IF($I1339="","状態未設定 ","")&amp;IF(AND(OR($I1339="確認済",$I1339="未確認"),$B1339="月例",OR($C1339="",$C1339&lt;DATE(年度+2018,4,1),$C1339&gt;DATE(年度+2019,3,31))),"年度外の日付 ","")&amp;IF(AND(OR($I1339="確認済",$I1339="未確認"),O1339="対象外"),"対象外の科目 ","")))</f>
        <v/>
      </c>
      <c r="R1339" s="366" t="n"/>
    </row>
    <row r="1340">
      <c r="A1340" s="359" t="n"/>
      <c r="B1340" s="360" t="n"/>
      <c r="C1340" s="361" t="n"/>
      <c r="D1340" s="362" t="n"/>
      <c r="E1340" s="362" t="n"/>
      <c r="F1340" s="362" t="n"/>
      <c r="G1340" s="363" t="n"/>
      <c r="H1340" s="360" t="n"/>
      <c r="I1340" s="360" t="n"/>
      <c r="J1340" s="364" t="str">
        <f>IF($G1340="","",IF($H1340=1,$G1340-ROUND($G1340*10/23,0)-2*ROUND($G1340/23,0),IF($H1340=2,$G1340,0)))</f>
        <v/>
      </c>
      <c r="K1340" s="364" t="str">
        <f>IF($G1340="","",IF($H1340=1,ROUND($G1340*10/23,0),IF($H1340=3,$G1340-2*ROUND($G1340/12,0),IF($H1340=4,$G1340,IF(OR($H1340=5,$H1340=7),ROUND($G1340*10/11,0),0)))))</f>
        <v/>
      </c>
      <c r="L1340" s="364" t="str">
        <f>IF($G1340="","",IF($H1340=1,ROUND($G1340/23,0),IF($H1340=3,ROUND($G1340/12,0),IF($H1340=5,$G1340-ROUND($G1340*10/11,0),IF($H1340=8,$G1340,0)))))</f>
        <v/>
      </c>
      <c r="M1340" s="364" t="str">
        <f>IF($G1340="","",IF($H1340=1,ROUND($G1340/23,0),IF($H1340=3,ROUND($G1340/12,0),IF($H1340=6,$G1340,IF($H1340=7,$G1340-ROUND($G1340*10/11,0),0)))))</f>
        <v/>
      </c>
      <c r="N1340" s="364" t="str">
        <f>IF($G1340="","",K1340+L1340+M1340)</f>
        <v/>
      </c>
      <c r="O1340" s="365" t="str">
        <f>IF($G1340="","",IFERROR(VLOOKUP($D1340&amp;"|"&amp;$E1340,科目表!$A$5:$B$200,2,FALSE),"※未登録"))</f>
        <v/>
      </c>
      <c r="P1340" s="359" t="str">
        <f>IF(OR($G1340="",$C1340=""),"",IF($B1340="決算整理",13,MOD(MONTH($C1340)-4,12)+1))</f>
        <v/>
      </c>
      <c r="Q1340" s="366" t="str">
        <f>IF($G1340="","",TRIM(IF(J1340+K1340+L1340+M1340&lt;&gt;$G1340,"按分不一致 ","")&amp;IF(O1340="※未登録","科目未登録 ","")&amp;IF(OR($H1340="",ISERROR(MATCH($H1340,{1,2,3,4,5,6,7,8},0))),"経費区分? ","")&amp;IF($I1340="","状態未設定 ","")&amp;IF(AND(OR($I1340="確認済",$I1340="未確認"),$B1340="月例",OR($C1340="",$C1340&lt;DATE(年度+2018,4,1),$C1340&gt;DATE(年度+2019,3,31))),"年度外の日付 ","")&amp;IF(AND(OR($I1340="確認済",$I1340="未確認"),O1340="対象外"),"対象外の科目 ","")))</f>
        <v/>
      </c>
      <c r="R1340" s="366" t="n"/>
    </row>
    <row r="1341">
      <c r="A1341" s="359" t="n"/>
      <c r="B1341" s="360" t="n"/>
      <c r="C1341" s="361" t="n"/>
      <c r="D1341" s="362" t="n"/>
      <c r="E1341" s="362" t="n"/>
      <c r="F1341" s="362" t="n"/>
      <c r="G1341" s="363" t="n"/>
      <c r="H1341" s="360" t="n"/>
      <c r="I1341" s="360" t="n"/>
      <c r="J1341" s="364" t="str">
        <f>IF($G1341="","",IF($H1341=1,$G1341-ROUND($G1341*10/23,0)-2*ROUND($G1341/23,0),IF($H1341=2,$G1341,0)))</f>
        <v/>
      </c>
      <c r="K1341" s="364" t="str">
        <f>IF($G1341="","",IF($H1341=1,ROUND($G1341*10/23,0),IF($H1341=3,$G1341-2*ROUND($G1341/12,0),IF($H1341=4,$G1341,IF(OR($H1341=5,$H1341=7),ROUND($G1341*10/11,0),0)))))</f>
        <v/>
      </c>
      <c r="L1341" s="364" t="str">
        <f>IF($G1341="","",IF($H1341=1,ROUND($G1341/23,0),IF($H1341=3,ROUND($G1341/12,0),IF($H1341=5,$G1341-ROUND($G1341*10/11,0),IF($H1341=8,$G1341,0)))))</f>
        <v/>
      </c>
      <c r="M1341" s="364" t="str">
        <f>IF($G1341="","",IF($H1341=1,ROUND($G1341/23,0),IF($H1341=3,ROUND($G1341/12,0),IF($H1341=6,$G1341,IF($H1341=7,$G1341-ROUND($G1341*10/11,0),0)))))</f>
        <v/>
      </c>
      <c r="N1341" s="364" t="str">
        <f>IF($G1341="","",K1341+L1341+M1341)</f>
        <v/>
      </c>
      <c r="O1341" s="365" t="str">
        <f>IF($G1341="","",IFERROR(VLOOKUP($D1341&amp;"|"&amp;$E1341,科目表!$A$5:$B$200,2,FALSE),"※未登録"))</f>
        <v/>
      </c>
      <c r="P1341" s="359" t="str">
        <f>IF(OR($G1341="",$C1341=""),"",IF($B1341="決算整理",13,MOD(MONTH($C1341)-4,12)+1))</f>
        <v/>
      </c>
      <c r="Q1341" s="366" t="str">
        <f>IF($G1341="","",TRIM(IF(J1341+K1341+L1341+M1341&lt;&gt;$G1341,"按分不一致 ","")&amp;IF(O1341="※未登録","科目未登録 ","")&amp;IF(OR($H1341="",ISERROR(MATCH($H1341,{1,2,3,4,5,6,7,8},0))),"経費区分? ","")&amp;IF($I1341="","状態未設定 ","")&amp;IF(AND(OR($I1341="確認済",$I1341="未確認"),$B1341="月例",OR($C1341="",$C1341&lt;DATE(年度+2018,4,1),$C1341&gt;DATE(年度+2019,3,31))),"年度外の日付 ","")&amp;IF(AND(OR($I1341="確認済",$I1341="未確認"),O1341="対象外"),"対象外の科目 ","")))</f>
        <v/>
      </c>
      <c r="R1341" s="366" t="n"/>
    </row>
    <row r="1342">
      <c r="A1342" s="359" t="n"/>
      <c r="B1342" s="360" t="n"/>
      <c r="C1342" s="361" t="n"/>
      <c r="D1342" s="362" t="n"/>
      <c r="E1342" s="362" t="n"/>
      <c r="F1342" s="362" t="n"/>
      <c r="G1342" s="363" t="n"/>
      <c r="H1342" s="360" t="n"/>
      <c r="I1342" s="360" t="n"/>
      <c r="J1342" s="364" t="str">
        <f>IF($G1342="","",IF($H1342=1,$G1342-ROUND($G1342*10/23,0)-2*ROUND($G1342/23,0),IF($H1342=2,$G1342,0)))</f>
        <v/>
      </c>
      <c r="K1342" s="364" t="str">
        <f>IF($G1342="","",IF($H1342=1,ROUND($G1342*10/23,0),IF($H1342=3,$G1342-2*ROUND($G1342/12,0),IF($H1342=4,$G1342,IF(OR($H1342=5,$H1342=7),ROUND($G1342*10/11,0),0)))))</f>
        <v/>
      </c>
      <c r="L1342" s="364" t="str">
        <f>IF($G1342="","",IF($H1342=1,ROUND($G1342/23,0),IF($H1342=3,ROUND($G1342/12,0),IF($H1342=5,$G1342-ROUND($G1342*10/11,0),IF($H1342=8,$G1342,0)))))</f>
        <v/>
      </c>
      <c r="M1342" s="364" t="str">
        <f>IF($G1342="","",IF($H1342=1,ROUND($G1342/23,0),IF($H1342=3,ROUND($G1342/12,0),IF($H1342=6,$G1342,IF($H1342=7,$G1342-ROUND($G1342*10/11,0),0)))))</f>
        <v/>
      </c>
      <c r="N1342" s="364" t="str">
        <f>IF($G1342="","",K1342+L1342+M1342)</f>
        <v/>
      </c>
      <c r="O1342" s="365" t="str">
        <f>IF($G1342="","",IFERROR(VLOOKUP($D1342&amp;"|"&amp;$E1342,科目表!$A$5:$B$200,2,FALSE),"※未登録"))</f>
        <v/>
      </c>
      <c r="P1342" s="359" t="str">
        <f>IF(OR($G1342="",$C1342=""),"",IF($B1342="決算整理",13,MOD(MONTH($C1342)-4,12)+1))</f>
        <v/>
      </c>
      <c r="Q1342" s="366" t="str">
        <f>IF($G1342="","",TRIM(IF(J1342+K1342+L1342+M1342&lt;&gt;$G1342,"按分不一致 ","")&amp;IF(O1342="※未登録","科目未登録 ","")&amp;IF(OR($H1342="",ISERROR(MATCH($H1342,{1,2,3,4,5,6,7,8},0))),"経費区分? ","")&amp;IF($I1342="","状態未設定 ","")&amp;IF(AND(OR($I1342="確認済",$I1342="未確認"),$B1342="月例",OR($C1342="",$C1342&lt;DATE(年度+2018,4,1),$C1342&gt;DATE(年度+2019,3,31))),"年度外の日付 ","")&amp;IF(AND(OR($I1342="確認済",$I1342="未確認"),O1342="対象外"),"対象外の科目 ","")))</f>
        <v/>
      </c>
      <c r="R1342" s="366" t="n"/>
    </row>
    <row r="1343">
      <c r="A1343" s="359" t="n"/>
      <c r="B1343" s="360" t="n"/>
      <c r="C1343" s="361" t="n"/>
      <c r="D1343" s="362" t="n"/>
      <c r="E1343" s="362" t="n"/>
      <c r="F1343" s="362" t="n"/>
      <c r="G1343" s="363" t="n"/>
      <c r="H1343" s="360" t="n"/>
      <c r="I1343" s="360" t="n"/>
      <c r="J1343" s="364" t="str">
        <f>IF($G1343="","",IF($H1343=1,$G1343-ROUND($G1343*10/23,0)-2*ROUND($G1343/23,0),IF($H1343=2,$G1343,0)))</f>
        <v/>
      </c>
      <c r="K1343" s="364" t="str">
        <f>IF($G1343="","",IF($H1343=1,ROUND($G1343*10/23,0),IF($H1343=3,$G1343-2*ROUND($G1343/12,0),IF($H1343=4,$G1343,IF(OR($H1343=5,$H1343=7),ROUND($G1343*10/11,0),0)))))</f>
        <v/>
      </c>
      <c r="L1343" s="364" t="str">
        <f>IF($G1343="","",IF($H1343=1,ROUND($G1343/23,0),IF($H1343=3,ROUND($G1343/12,0),IF($H1343=5,$G1343-ROUND($G1343*10/11,0),IF($H1343=8,$G1343,0)))))</f>
        <v/>
      </c>
      <c r="M1343" s="364" t="str">
        <f>IF($G1343="","",IF($H1343=1,ROUND($G1343/23,0),IF($H1343=3,ROUND($G1343/12,0),IF($H1343=6,$G1343,IF($H1343=7,$G1343-ROUND($G1343*10/11,0),0)))))</f>
        <v/>
      </c>
      <c r="N1343" s="364" t="str">
        <f>IF($G1343="","",K1343+L1343+M1343)</f>
        <v/>
      </c>
      <c r="O1343" s="365" t="str">
        <f>IF($G1343="","",IFERROR(VLOOKUP($D1343&amp;"|"&amp;$E1343,科目表!$A$5:$B$200,2,FALSE),"※未登録"))</f>
        <v/>
      </c>
      <c r="P1343" s="359" t="str">
        <f>IF(OR($G1343="",$C1343=""),"",IF($B1343="決算整理",13,MOD(MONTH($C1343)-4,12)+1))</f>
        <v/>
      </c>
      <c r="Q1343" s="366" t="str">
        <f>IF($G1343="","",TRIM(IF(J1343+K1343+L1343+M1343&lt;&gt;$G1343,"按分不一致 ","")&amp;IF(O1343="※未登録","科目未登録 ","")&amp;IF(OR($H1343="",ISERROR(MATCH($H1343,{1,2,3,4,5,6,7,8},0))),"経費区分? ","")&amp;IF($I1343="","状態未設定 ","")&amp;IF(AND(OR($I1343="確認済",$I1343="未確認"),$B1343="月例",OR($C1343="",$C1343&lt;DATE(年度+2018,4,1),$C1343&gt;DATE(年度+2019,3,31))),"年度外の日付 ","")&amp;IF(AND(OR($I1343="確認済",$I1343="未確認"),O1343="対象外"),"対象外の科目 ","")))</f>
        <v/>
      </c>
      <c r="R1343" s="366" t="n"/>
    </row>
    <row r="1344">
      <c r="A1344" s="359" t="n"/>
      <c r="B1344" s="360" t="n"/>
      <c r="C1344" s="361" t="n"/>
      <c r="D1344" s="362" t="n"/>
      <c r="E1344" s="362" t="n"/>
      <c r="F1344" s="362" t="n"/>
      <c r="G1344" s="363" t="n"/>
      <c r="H1344" s="360" t="n"/>
      <c r="I1344" s="360" t="n"/>
      <c r="J1344" s="364" t="str">
        <f>IF($G1344="","",IF($H1344=1,$G1344-ROUND($G1344*10/23,0)-2*ROUND($G1344/23,0),IF($H1344=2,$G1344,0)))</f>
        <v/>
      </c>
      <c r="K1344" s="364" t="str">
        <f>IF($G1344="","",IF($H1344=1,ROUND($G1344*10/23,0),IF($H1344=3,$G1344-2*ROUND($G1344/12,0),IF($H1344=4,$G1344,IF(OR($H1344=5,$H1344=7),ROUND($G1344*10/11,0),0)))))</f>
        <v/>
      </c>
      <c r="L1344" s="364" t="str">
        <f>IF($G1344="","",IF($H1344=1,ROUND($G1344/23,0),IF($H1344=3,ROUND($G1344/12,0),IF($H1344=5,$G1344-ROUND($G1344*10/11,0),IF($H1344=8,$G1344,0)))))</f>
        <v/>
      </c>
      <c r="M1344" s="364" t="str">
        <f>IF($G1344="","",IF($H1344=1,ROUND($G1344/23,0),IF($H1344=3,ROUND($G1344/12,0),IF($H1344=6,$G1344,IF($H1344=7,$G1344-ROUND($G1344*10/11,0),0)))))</f>
        <v/>
      </c>
      <c r="N1344" s="364" t="str">
        <f>IF($G1344="","",K1344+L1344+M1344)</f>
        <v/>
      </c>
      <c r="O1344" s="365" t="str">
        <f>IF($G1344="","",IFERROR(VLOOKUP($D1344&amp;"|"&amp;$E1344,科目表!$A$5:$B$200,2,FALSE),"※未登録"))</f>
        <v/>
      </c>
      <c r="P1344" s="359" t="str">
        <f>IF(OR($G1344="",$C1344=""),"",IF($B1344="決算整理",13,MOD(MONTH($C1344)-4,12)+1))</f>
        <v/>
      </c>
      <c r="Q1344" s="366" t="str">
        <f>IF($G1344="","",TRIM(IF(J1344+K1344+L1344+M1344&lt;&gt;$G1344,"按分不一致 ","")&amp;IF(O1344="※未登録","科目未登録 ","")&amp;IF(OR($H1344="",ISERROR(MATCH($H1344,{1,2,3,4,5,6,7,8},0))),"経費区分? ","")&amp;IF($I1344="","状態未設定 ","")&amp;IF(AND(OR($I1344="確認済",$I1344="未確認"),$B1344="月例",OR($C1344="",$C1344&lt;DATE(年度+2018,4,1),$C1344&gt;DATE(年度+2019,3,31))),"年度外の日付 ","")&amp;IF(AND(OR($I1344="確認済",$I1344="未確認"),O1344="対象外"),"対象外の科目 ","")))</f>
        <v/>
      </c>
      <c r="R1344" s="366" t="n"/>
    </row>
    <row r="1345">
      <c r="A1345" s="359" t="n"/>
      <c r="B1345" s="360" t="n"/>
      <c r="C1345" s="361" t="n"/>
      <c r="D1345" s="362" t="n"/>
      <c r="E1345" s="362" t="n"/>
      <c r="F1345" s="362" t="n"/>
      <c r="G1345" s="363" t="n"/>
      <c r="H1345" s="360" t="n"/>
      <c r="I1345" s="360" t="n"/>
      <c r="J1345" s="364" t="str">
        <f>IF($G1345="","",IF($H1345=1,$G1345-ROUND($G1345*10/23,0)-2*ROUND($G1345/23,0),IF($H1345=2,$G1345,0)))</f>
        <v/>
      </c>
      <c r="K1345" s="364" t="str">
        <f>IF($G1345="","",IF($H1345=1,ROUND($G1345*10/23,0),IF($H1345=3,$G1345-2*ROUND($G1345/12,0),IF($H1345=4,$G1345,IF(OR($H1345=5,$H1345=7),ROUND($G1345*10/11,0),0)))))</f>
        <v/>
      </c>
      <c r="L1345" s="364" t="str">
        <f>IF($G1345="","",IF($H1345=1,ROUND($G1345/23,0),IF($H1345=3,ROUND($G1345/12,0),IF($H1345=5,$G1345-ROUND($G1345*10/11,0),IF($H1345=8,$G1345,0)))))</f>
        <v/>
      </c>
      <c r="M1345" s="364" t="str">
        <f>IF($G1345="","",IF($H1345=1,ROUND($G1345/23,0),IF($H1345=3,ROUND($G1345/12,0),IF($H1345=6,$G1345,IF($H1345=7,$G1345-ROUND($G1345*10/11,0),0)))))</f>
        <v/>
      </c>
      <c r="N1345" s="364" t="str">
        <f>IF($G1345="","",K1345+L1345+M1345)</f>
        <v/>
      </c>
      <c r="O1345" s="365" t="str">
        <f>IF($G1345="","",IFERROR(VLOOKUP($D1345&amp;"|"&amp;$E1345,科目表!$A$5:$B$200,2,FALSE),"※未登録"))</f>
        <v/>
      </c>
      <c r="P1345" s="359" t="str">
        <f>IF(OR($G1345="",$C1345=""),"",IF($B1345="決算整理",13,MOD(MONTH($C1345)-4,12)+1))</f>
        <v/>
      </c>
      <c r="Q1345" s="366" t="str">
        <f>IF($G1345="","",TRIM(IF(J1345+K1345+L1345+M1345&lt;&gt;$G1345,"按分不一致 ","")&amp;IF(O1345="※未登録","科目未登録 ","")&amp;IF(OR($H1345="",ISERROR(MATCH($H1345,{1,2,3,4,5,6,7,8},0))),"経費区分? ","")&amp;IF($I1345="","状態未設定 ","")&amp;IF(AND(OR($I1345="確認済",$I1345="未確認"),$B1345="月例",OR($C1345="",$C1345&lt;DATE(年度+2018,4,1),$C1345&gt;DATE(年度+2019,3,31))),"年度外の日付 ","")&amp;IF(AND(OR($I1345="確認済",$I1345="未確認"),O1345="対象外"),"対象外の科目 ","")))</f>
        <v/>
      </c>
      <c r="R1345" s="366" t="n"/>
    </row>
    <row r="1346">
      <c r="A1346" s="359" t="n"/>
      <c r="B1346" s="360" t="n"/>
      <c r="C1346" s="361" t="n"/>
      <c r="D1346" s="362" t="n"/>
      <c r="E1346" s="362" t="n"/>
      <c r="F1346" s="362" t="n"/>
      <c r="G1346" s="363" t="n"/>
      <c r="H1346" s="360" t="n"/>
      <c r="I1346" s="360" t="n"/>
      <c r="J1346" s="364" t="str">
        <f>IF($G1346="","",IF($H1346=1,$G1346-ROUND($G1346*10/23,0)-2*ROUND($G1346/23,0),IF($H1346=2,$G1346,0)))</f>
        <v/>
      </c>
      <c r="K1346" s="364" t="str">
        <f>IF($G1346="","",IF($H1346=1,ROUND($G1346*10/23,0),IF($H1346=3,$G1346-2*ROUND($G1346/12,0),IF($H1346=4,$G1346,IF(OR($H1346=5,$H1346=7),ROUND($G1346*10/11,0),0)))))</f>
        <v/>
      </c>
      <c r="L1346" s="364" t="str">
        <f>IF($G1346="","",IF($H1346=1,ROUND($G1346/23,0),IF($H1346=3,ROUND($G1346/12,0),IF($H1346=5,$G1346-ROUND($G1346*10/11,0),IF($H1346=8,$G1346,0)))))</f>
        <v/>
      </c>
      <c r="M1346" s="364" t="str">
        <f>IF($G1346="","",IF($H1346=1,ROUND($G1346/23,0),IF($H1346=3,ROUND($G1346/12,0),IF($H1346=6,$G1346,IF($H1346=7,$G1346-ROUND($G1346*10/11,0),0)))))</f>
        <v/>
      </c>
      <c r="N1346" s="364" t="str">
        <f>IF($G1346="","",K1346+L1346+M1346)</f>
        <v/>
      </c>
      <c r="O1346" s="365" t="str">
        <f>IF($G1346="","",IFERROR(VLOOKUP($D1346&amp;"|"&amp;$E1346,科目表!$A$5:$B$200,2,FALSE),"※未登録"))</f>
        <v/>
      </c>
      <c r="P1346" s="359" t="str">
        <f>IF(OR($G1346="",$C1346=""),"",IF($B1346="決算整理",13,MOD(MONTH($C1346)-4,12)+1))</f>
        <v/>
      </c>
      <c r="Q1346" s="366" t="str">
        <f>IF($G1346="","",TRIM(IF(J1346+K1346+L1346+M1346&lt;&gt;$G1346,"按分不一致 ","")&amp;IF(O1346="※未登録","科目未登録 ","")&amp;IF(OR($H1346="",ISERROR(MATCH($H1346,{1,2,3,4,5,6,7,8},0))),"経費区分? ","")&amp;IF($I1346="","状態未設定 ","")&amp;IF(AND(OR($I1346="確認済",$I1346="未確認"),$B1346="月例",OR($C1346="",$C1346&lt;DATE(年度+2018,4,1),$C1346&gt;DATE(年度+2019,3,31))),"年度外の日付 ","")&amp;IF(AND(OR($I1346="確認済",$I1346="未確認"),O1346="対象外"),"対象外の科目 ","")))</f>
        <v/>
      </c>
      <c r="R1346" s="366" t="n"/>
    </row>
    <row r="1347">
      <c r="A1347" s="359" t="n"/>
      <c r="B1347" s="360" t="n"/>
      <c r="C1347" s="361" t="n"/>
      <c r="D1347" s="362" t="n"/>
      <c r="E1347" s="362" t="n"/>
      <c r="F1347" s="362" t="n"/>
      <c r="G1347" s="363" t="n"/>
      <c r="H1347" s="360" t="n"/>
      <c r="I1347" s="360" t="n"/>
      <c r="J1347" s="364" t="str">
        <f>IF($G1347="","",IF($H1347=1,$G1347-ROUND($G1347*10/23,0)-2*ROUND($G1347/23,0),IF($H1347=2,$G1347,0)))</f>
        <v/>
      </c>
      <c r="K1347" s="364" t="str">
        <f>IF($G1347="","",IF($H1347=1,ROUND($G1347*10/23,0),IF($H1347=3,$G1347-2*ROUND($G1347/12,0),IF($H1347=4,$G1347,IF(OR($H1347=5,$H1347=7),ROUND($G1347*10/11,0),0)))))</f>
        <v/>
      </c>
      <c r="L1347" s="364" t="str">
        <f>IF($G1347="","",IF($H1347=1,ROUND($G1347/23,0),IF($H1347=3,ROUND($G1347/12,0),IF($H1347=5,$G1347-ROUND($G1347*10/11,0),IF($H1347=8,$G1347,0)))))</f>
        <v/>
      </c>
      <c r="M1347" s="364" t="str">
        <f>IF($G1347="","",IF($H1347=1,ROUND($G1347/23,0),IF($H1347=3,ROUND($G1347/12,0),IF($H1347=6,$G1347,IF($H1347=7,$G1347-ROUND($G1347*10/11,0),0)))))</f>
        <v/>
      </c>
      <c r="N1347" s="364" t="str">
        <f>IF($G1347="","",K1347+L1347+M1347)</f>
        <v/>
      </c>
      <c r="O1347" s="365" t="str">
        <f>IF($G1347="","",IFERROR(VLOOKUP($D1347&amp;"|"&amp;$E1347,科目表!$A$5:$B$200,2,FALSE),"※未登録"))</f>
        <v/>
      </c>
      <c r="P1347" s="359" t="str">
        <f>IF(OR($G1347="",$C1347=""),"",IF($B1347="決算整理",13,MOD(MONTH($C1347)-4,12)+1))</f>
        <v/>
      </c>
      <c r="Q1347" s="366" t="str">
        <f>IF($G1347="","",TRIM(IF(J1347+K1347+L1347+M1347&lt;&gt;$G1347,"按分不一致 ","")&amp;IF(O1347="※未登録","科目未登録 ","")&amp;IF(OR($H1347="",ISERROR(MATCH($H1347,{1,2,3,4,5,6,7,8},0))),"経費区分? ","")&amp;IF($I1347="","状態未設定 ","")&amp;IF(AND(OR($I1347="確認済",$I1347="未確認"),$B1347="月例",OR($C1347="",$C1347&lt;DATE(年度+2018,4,1),$C1347&gt;DATE(年度+2019,3,31))),"年度外の日付 ","")&amp;IF(AND(OR($I1347="確認済",$I1347="未確認"),O1347="対象外"),"対象外の科目 ","")))</f>
        <v/>
      </c>
      <c r="R1347" s="366" t="n"/>
    </row>
    <row r="1348">
      <c r="A1348" s="359" t="n"/>
      <c r="B1348" s="360" t="n"/>
      <c r="C1348" s="361" t="n"/>
      <c r="D1348" s="362" t="n"/>
      <c r="E1348" s="362" t="n"/>
      <c r="F1348" s="362" t="n"/>
      <c r="G1348" s="363" t="n"/>
      <c r="H1348" s="360" t="n"/>
      <c r="I1348" s="360" t="n"/>
      <c r="J1348" s="364" t="str">
        <f>IF($G1348="","",IF($H1348=1,$G1348-ROUND($G1348*10/23,0)-2*ROUND($G1348/23,0),IF($H1348=2,$G1348,0)))</f>
        <v/>
      </c>
      <c r="K1348" s="364" t="str">
        <f>IF($G1348="","",IF($H1348=1,ROUND($G1348*10/23,0),IF($H1348=3,$G1348-2*ROUND($G1348/12,0),IF($H1348=4,$G1348,IF(OR($H1348=5,$H1348=7),ROUND($G1348*10/11,0),0)))))</f>
        <v/>
      </c>
      <c r="L1348" s="364" t="str">
        <f>IF($G1348="","",IF($H1348=1,ROUND($G1348/23,0),IF($H1348=3,ROUND($G1348/12,0),IF($H1348=5,$G1348-ROUND($G1348*10/11,0),IF($H1348=8,$G1348,0)))))</f>
        <v/>
      </c>
      <c r="M1348" s="364" t="str">
        <f>IF($G1348="","",IF($H1348=1,ROUND($G1348/23,0),IF($H1348=3,ROUND($G1348/12,0),IF($H1348=6,$G1348,IF($H1348=7,$G1348-ROUND($G1348*10/11,0),0)))))</f>
        <v/>
      </c>
      <c r="N1348" s="364" t="str">
        <f>IF($G1348="","",K1348+L1348+M1348)</f>
        <v/>
      </c>
      <c r="O1348" s="365" t="str">
        <f>IF($G1348="","",IFERROR(VLOOKUP($D1348&amp;"|"&amp;$E1348,科目表!$A$5:$B$200,2,FALSE),"※未登録"))</f>
        <v/>
      </c>
      <c r="P1348" s="359" t="str">
        <f>IF(OR($G1348="",$C1348=""),"",IF($B1348="決算整理",13,MOD(MONTH($C1348)-4,12)+1))</f>
        <v/>
      </c>
      <c r="Q1348" s="366" t="str">
        <f>IF($G1348="","",TRIM(IF(J1348+K1348+L1348+M1348&lt;&gt;$G1348,"按分不一致 ","")&amp;IF(O1348="※未登録","科目未登録 ","")&amp;IF(OR($H1348="",ISERROR(MATCH($H1348,{1,2,3,4,5,6,7,8},0))),"経費区分? ","")&amp;IF($I1348="","状態未設定 ","")&amp;IF(AND(OR($I1348="確認済",$I1348="未確認"),$B1348="月例",OR($C1348="",$C1348&lt;DATE(年度+2018,4,1),$C1348&gt;DATE(年度+2019,3,31))),"年度外の日付 ","")&amp;IF(AND(OR($I1348="確認済",$I1348="未確認"),O1348="対象外"),"対象外の科目 ","")))</f>
        <v/>
      </c>
      <c r="R1348" s="366" t="n"/>
    </row>
    <row r="1349">
      <c r="A1349" s="359" t="n"/>
      <c r="B1349" s="360" t="n"/>
      <c r="C1349" s="361" t="n"/>
      <c r="D1349" s="362" t="n"/>
      <c r="E1349" s="362" t="n"/>
      <c r="F1349" s="362" t="n"/>
      <c r="G1349" s="363" t="n"/>
      <c r="H1349" s="360" t="n"/>
      <c r="I1349" s="360" t="n"/>
      <c r="J1349" s="364" t="str">
        <f>IF($G1349="","",IF($H1349=1,$G1349-ROUND($G1349*10/23,0)-2*ROUND($G1349/23,0),IF($H1349=2,$G1349,0)))</f>
        <v/>
      </c>
      <c r="K1349" s="364" t="str">
        <f>IF($G1349="","",IF($H1349=1,ROUND($G1349*10/23,0),IF($H1349=3,$G1349-2*ROUND($G1349/12,0),IF($H1349=4,$G1349,IF(OR($H1349=5,$H1349=7),ROUND($G1349*10/11,0),0)))))</f>
        <v/>
      </c>
      <c r="L1349" s="364" t="str">
        <f>IF($G1349="","",IF($H1349=1,ROUND($G1349/23,0),IF($H1349=3,ROUND($G1349/12,0),IF($H1349=5,$G1349-ROUND($G1349*10/11,0),IF($H1349=8,$G1349,0)))))</f>
        <v/>
      </c>
      <c r="M1349" s="364" t="str">
        <f>IF($G1349="","",IF($H1349=1,ROUND($G1349/23,0),IF($H1349=3,ROUND($G1349/12,0),IF($H1349=6,$G1349,IF($H1349=7,$G1349-ROUND($G1349*10/11,0),0)))))</f>
        <v/>
      </c>
      <c r="N1349" s="364" t="str">
        <f>IF($G1349="","",K1349+L1349+M1349)</f>
        <v/>
      </c>
      <c r="O1349" s="365" t="str">
        <f>IF($G1349="","",IFERROR(VLOOKUP($D1349&amp;"|"&amp;$E1349,科目表!$A$5:$B$200,2,FALSE),"※未登録"))</f>
        <v/>
      </c>
      <c r="P1349" s="359" t="str">
        <f>IF(OR($G1349="",$C1349=""),"",IF($B1349="決算整理",13,MOD(MONTH($C1349)-4,12)+1))</f>
        <v/>
      </c>
      <c r="Q1349" s="366" t="str">
        <f>IF($G1349="","",TRIM(IF(J1349+K1349+L1349+M1349&lt;&gt;$G1349,"按分不一致 ","")&amp;IF(O1349="※未登録","科目未登録 ","")&amp;IF(OR($H1349="",ISERROR(MATCH($H1349,{1,2,3,4,5,6,7,8},0))),"経費区分? ","")&amp;IF($I1349="","状態未設定 ","")&amp;IF(AND(OR($I1349="確認済",$I1349="未確認"),$B1349="月例",OR($C1349="",$C1349&lt;DATE(年度+2018,4,1),$C1349&gt;DATE(年度+2019,3,31))),"年度外の日付 ","")&amp;IF(AND(OR($I1349="確認済",$I1349="未確認"),O1349="対象外"),"対象外の科目 ","")))</f>
        <v/>
      </c>
      <c r="R1349" s="366" t="n"/>
    </row>
    <row r="1350">
      <c r="A1350" s="359" t="n"/>
      <c r="B1350" s="360" t="n"/>
      <c r="C1350" s="361" t="n"/>
      <c r="D1350" s="362" t="n"/>
      <c r="E1350" s="362" t="n"/>
      <c r="F1350" s="362" t="n"/>
      <c r="G1350" s="363" t="n"/>
      <c r="H1350" s="360" t="n"/>
      <c r="I1350" s="360" t="n"/>
      <c r="J1350" s="364" t="str">
        <f>IF($G1350="","",IF($H1350=1,$G1350-ROUND($G1350*10/23,0)-2*ROUND($G1350/23,0),IF($H1350=2,$G1350,0)))</f>
        <v/>
      </c>
      <c r="K1350" s="364" t="str">
        <f>IF($G1350="","",IF($H1350=1,ROUND($G1350*10/23,0),IF($H1350=3,$G1350-2*ROUND($G1350/12,0),IF($H1350=4,$G1350,IF(OR($H1350=5,$H1350=7),ROUND($G1350*10/11,0),0)))))</f>
        <v/>
      </c>
      <c r="L1350" s="364" t="str">
        <f>IF($G1350="","",IF($H1350=1,ROUND($G1350/23,0),IF($H1350=3,ROUND($G1350/12,0),IF($H1350=5,$G1350-ROUND($G1350*10/11,0),IF($H1350=8,$G1350,0)))))</f>
        <v/>
      </c>
      <c r="M1350" s="364" t="str">
        <f>IF($G1350="","",IF($H1350=1,ROUND($G1350/23,0),IF($H1350=3,ROUND($G1350/12,0),IF($H1350=6,$G1350,IF($H1350=7,$G1350-ROUND($G1350*10/11,0),0)))))</f>
        <v/>
      </c>
      <c r="N1350" s="364" t="str">
        <f>IF($G1350="","",K1350+L1350+M1350)</f>
        <v/>
      </c>
      <c r="O1350" s="365" t="str">
        <f>IF($G1350="","",IFERROR(VLOOKUP($D1350&amp;"|"&amp;$E1350,科目表!$A$5:$B$200,2,FALSE),"※未登録"))</f>
        <v/>
      </c>
      <c r="P1350" s="359" t="str">
        <f>IF(OR($G1350="",$C1350=""),"",IF($B1350="決算整理",13,MOD(MONTH($C1350)-4,12)+1))</f>
        <v/>
      </c>
      <c r="Q1350" s="366" t="str">
        <f>IF($G1350="","",TRIM(IF(J1350+K1350+L1350+M1350&lt;&gt;$G1350,"按分不一致 ","")&amp;IF(O1350="※未登録","科目未登録 ","")&amp;IF(OR($H1350="",ISERROR(MATCH($H1350,{1,2,3,4,5,6,7,8},0))),"経費区分? ","")&amp;IF($I1350="","状態未設定 ","")&amp;IF(AND(OR($I1350="確認済",$I1350="未確認"),$B1350="月例",OR($C1350="",$C1350&lt;DATE(年度+2018,4,1),$C1350&gt;DATE(年度+2019,3,31))),"年度外の日付 ","")&amp;IF(AND(OR($I1350="確認済",$I1350="未確認"),O1350="対象外"),"対象外の科目 ","")))</f>
        <v/>
      </c>
      <c r="R1350" s="366" t="n"/>
    </row>
    <row r="1351">
      <c r="A1351" s="359" t="n"/>
      <c r="B1351" s="360" t="n"/>
      <c r="C1351" s="361" t="n"/>
      <c r="D1351" s="362" t="n"/>
      <c r="E1351" s="362" t="n"/>
      <c r="F1351" s="362" t="n"/>
      <c r="G1351" s="363" t="n"/>
      <c r="H1351" s="360" t="n"/>
      <c r="I1351" s="360" t="n"/>
      <c r="J1351" s="364" t="str">
        <f>IF($G1351="","",IF($H1351=1,$G1351-ROUND($G1351*10/23,0)-2*ROUND($G1351/23,0),IF($H1351=2,$G1351,0)))</f>
        <v/>
      </c>
      <c r="K1351" s="364" t="str">
        <f>IF($G1351="","",IF($H1351=1,ROUND($G1351*10/23,0),IF($H1351=3,$G1351-2*ROUND($G1351/12,0),IF($H1351=4,$G1351,IF(OR($H1351=5,$H1351=7),ROUND($G1351*10/11,0),0)))))</f>
        <v/>
      </c>
      <c r="L1351" s="364" t="str">
        <f>IF($G1351="","",IF($H1351=1,ROUND($G1351/23,0),IF($H1351=3,ROUND($G1351/12,0),IF($H1351=5,$G1351-ROUND($G1351*10/11,0),IF($H1351=8,$G1351,0)))))</f>
        <v/>
      </c>
      <c r="M1351" s="364" t="str">
        <f>IF($G1351="","",IF($H1351=1,ROUND($G1351/23,0),IF($H1351=3,ROUND($G1351/12,0),IF($H1351=6,$G1351,IF($H1351=7,$G1351-ROUND($G1351*10/11,0),0)))))</f>
        <v/>
      </c>
      <c r="N1351" s="364" t="str">
        <f>IF($G1351="","",K1351+L1351+M1351)</f>
        <v/>
      </c>
      <c r="O1351" s="365" t="str">
        <f>IF($G1351="","",IFERROR(VLOOKUP($D1351&amp;"|"&amp;$E1351,科目表!$A$5:$B$200,2,FALSE),"※未登録"))</f>
        <v/>
      </c>
      <c r="P1351" s="359" t="str">
        <f>IF(OR($G1351="",$C1351=""),"",IF($B1351="決算整理",13,MOD(MONTH($C1351)-4,12)+1))</f>
        <v/>
      </c>
      <c r="Q1351" s="366" t="str">
        <f>IF($G1351="","",TRIM(IF(J1351+K1351+L1351+M1351&lt;&gt;$G1351,"按分不一致 ","")&amp;IF(O1351="※未登録","科目未登録 ","")&amp;IF(OR($H1351="",ISERROR(MATCH($H1351,{1,2,3,4,5,6,7,8},0))),"経費区分? ","")&amp;IF($I1351="","状態未設定 ","")&amp;IF(AND(OR($I1351="確認済",$I1351="未確認"),$B1351="月例",OR($C1351="",$C1351&lt;DATE(年度+2018,4,1),$C1351&gt;DATE(年度+2019,3,31))),"年度外の日付 ","")&amp;IF(AND(OR($I1351="確認済",$I1351="未確認"),O1351="対象外"),"対象外の科目 ","")))</f>
        <v/>
      </c>
      <c r="R1351" s="366" t="n"/>
    </row>
    <row r="1352">
      <c r="A1352" s="359" t="n"/>
      <c r="B1352" s="360" t="n"/>
      <c r="C1352" s="361" t="n"/>
      <c r="D1352" s="362" t="n"/>
      <c r="E1352" s="362" t="n"/>
      <c r="F1352" s="362" t="n"/>
      <c r="G1352" s="363" t="n"/>
      <c r="H1352" s="360" t="n"/>
      <c r="I1352" s="360" t="n"/>
      <c r="J1352" s="364" t="str">
        <f>IF($G1352="","",IF($H1352=1,$G1352-ROUND($G1352*10/23,0)-2*ROUND($G1352/23,0),IF($H1352=2,$G1352,0)))</f>
        <v/>
      </c>
      <c r="K1352" s="364" t="str">
        <f>IF($G1352="","",IF($H1352=1,ROUND($G1352*10/23,0),IF($H1352=3,$G1352-2*ROUND($G1352/12,0),IF($H1352=4,$G1352,IF(OR($H1352=5,$H1352=7),ROUND($G1352*10/11,0),0)))))</f>
        <v/>
      </c>
      <c r="L1352" s="364" t="str">
        <f>IF($G1352="","",IF($H1352=1,ROUND($G1352/23,0),IF($H1352=3,ROUND($G1352/12,0),IF($H1352=5,$G1352-ROUND($G1352*10/11,0),IF($H1352=8,$G1352,0)))))</f>
        <v/>
      </c>
      <c r="M1352" s="364" t="str">
        <f>IF($G1352="","",IF($H1352=1,ROUND($G1352/23,0),IF($H1352=3,ROUND($G1352/12,0),IF($H1352=6,$G1352,IF($H1352=7,$G1352-ROUND($G1352*10/11,0),0)))))</f>
        <v/>
      </c>
      <c r="N1352" s="364" t="str">
        <f>IF($G1352="","",K1352+L1352+M1352)</f>
        <v/>
      </c>
      <c r="O1352" s="365" t="str">
        <f>IF($G1352="","",IFERROR(VLOOKUP($D1352&amp;"|"&amp;$E1352,科目表!$A$5:$B$200,2,FALSE),"※未登録"))</f>
        <v/>
      </c>
      <c r="P1352" s="359" t="str">
        <f>IF(OR($G1352="",$C1352=""),"",IF($B1352="決算整理",13,MOD(MONTH($C1352)-4,12)+1))</f>
        <v/>
      </c>
      <c r="Q1352" s="366" t="str">
        <f>IF($G1352="","",TRIM(IF(J1352+K1352+L1352+M1352&lt;&gt;$G1352,"按分不一致 ","")&amp;IF(O1352="※未登録","科目未登録 ","")&amp;IF(OR($H1352="",ISERROR(MATCH($H1352,{1,2,3,4,5,6,7,8},0))),"経費区分? ","")&amp;IF($I1352="","状態未設定 ","")&amp;IF(AND(OR($I1352="確認済",$I1352="未確認"),$B1352="月例",OR($C1352="",$C1352&lt;DATE(年度+2018,4,1),$C1352&gt;DATE(年度+2019,3,31))),"年度外の日付 ","")&amp;IF(AND(OR($I1352="確認済",$I1352="未確認"),O1352="対象外"),"対象外の科目 ","")))</f>
        <v/>
      </c>
      <c r="R1352" s="366" t="n"/>
    </row>
    <row r="1353">
      <c r="A1353" s="359" t="n"/>
      <c r="B1353" s="360" t="n"/>
      <c r="C1353" s="361" t="n"/>
      <c r="D1353" s="362" t="n"/>
      <c r="E1353" s="362" t="n"/>
      <c r="F1353" s="362" t="n"/>
      <c r="G1353" s="363" t="n"/>
      <c r="H1353" s="360" t="n"/>
      <c r="I1353" s="360" t="n"/>
      <c r="J1353" s="364" t="str">
        <f>IF($G1353="","",IF($H1353=1,$G1353-ROUND($G1353*10/23,0)-2*ROUND($G1353/23,0),IF($H1353=2,$G1353,0)))</f>
        <v/>
      </c>
      <c r="K1353" s="364" t="str">
        <f>IF($G1353="","",IF($H1353=1,ROUND($G1353*10/23,0),IF($H1353=3,$G1353-2*ROUND($G1353/12,0),IF($H1353=4,$G1353,IF(OR($H1353=5,$H1353=7),ROUND($G1353*10/11,0),0)))))</f>
        <v/>
      </c>
      <c r="L1353" s="364" t="str">
        <f>IF($G1353="","",IF($H1353=1,ROUND($G1353/23,0),IF($H1353=3,ROUND($G1353/12,0),IF($H1353=5,$G1353-ROUND($G1353*10/11,0),IF($H1353=8,$G1353,0)))))</f>
        <v/>
      </c>
      <c r="M1353" s="364" t="str">
        <f>IF($G1353="","",IF($H1353=1,ROUND($G1353/23,0),IF($H1353=3,ROUND($G1353/12,0),IF($H1353=6,$G1353,IF($H1353=7,$G1353-ROUND($G1353*10/11,0),0)))))</f>
        <v/>
      </c>
      <c r="N1353" s="364" t="str">
        <f>IF($G1353="","",K1353+L1353+M1353)</f>
        <v/>
      </c>
      <c r="O1353" s="365" t="str">
        <f>IF($G1353="","",IFERROR(VLOOKUP($D1353&amp;"|"&amp;$E1353,科目表!$A$5:$B$200,2,FALSE),"※未登録"))</f>
        <v/>
      </c>
      <c r="P1353" s="359" t="str">
        <f>IF(OR($G1353="",$C1353=""),"",IF($B1353="決算整理",13,MOD(MONTH($C1353)-4,12)+1))</f>
        <v/>
      </c>
      <c r="Q1353" s="366" t="str">
        <f>IF($G1353="","",TRIM(IF(J1353+K1353+L1353+M1353&lt;&gt;$G1353,"按分不一致 ","")&amp;IF(O1353="※未登録","科目未登録 ","")&amp;IF(OR($H1353="",ISERROR(MATCH($H1353,{1,2,3,4,5,6,7,8},0))),"経費区分? ","")&amp;IF($I1353="","状態未設定 ","")&amp;IF(AND(OR($I1353="確認済",$I1353="未確認"),$B1353="月例",OR($C1353="",$C1353&lt;DATE(年度+2018,4,1),$C1353&gt;DATE(年度+2019,3,31))),"年度外の日付 ","")&amp;IF(AND(OR($I1353="確認済",$I1353="未確認"),O1353="対象外"),"対象外の科目 ","")))</f>
        <v/>
      </c>
      <c r="R1353" s="366" t="n"/>
    </row>
    <row r="1354">
      <c r="A1354" s="359" t="n"/>
      <c r="B1354" s="360" t="n"/>
      <c r="C1354" s="361" t="n"/>
      <c r="D1354" s="362" t="n"/>
      <c r="E1354" s="362" t="n"/>
      <c r="F1354" s="362" t="n"/>
      <c r="G1354" s="363" t="n"/>
      <c r="H1354" s="360" t="n"/>
      <c r="I1354" s="360" t="n"/>
      <c r="J1354" s="364" t="str">
        <f>IF($G1354="","",IF($H1354=1,$G1354-ROUND($G1354*10/23,0)-2*ROUND($G1354/23,0),IF($H1354=2,$G1354,0)))</f>
        <v/>
      </c>
      <c r="K1354" s="364" t="str">
        <f>IF($G1354="","",IF($H1354=1,ROUND($G1354*10/23,0),IF($H1354=3,$G1354-2*ROUND($G1354/12,0),IF($H1354=4,$G1354,IF(OR($H1354=5,$H1354=7),ROUND($G1354*10/11,0),0)))))</f>
        <v/>
      </c>
      <c r="L1354" s="364" t="str">
        <f>IF($G1354="","",IF($H1354=1,ROUND($G1354/23,0),IF($H1354=3,ROUND($G1354/12,0),IF($H1354=5,$G1354-ROUND($G1354*10/11,0),IF($H1354=8,$G1354,0)))))</f>
        <v/>
      </c>
      <c r="M1354" s="364" t="str">
        <f>IF($G1354="","",IF($H1354=1,ROUND($G1354/23,0),IF($H1354=3,ROUND($G1354/12,0),IF($H1354=6,$G1354,IF($H1354=7,$G1354-ROUND($G1354*10/11,0),0)))))</f>
        <v/>
      </c>
      <c r="N1354" s="364" t="str">
        <f>IF($G1354="","",K1354+L1354+M1354)</f>
        <v/>
      </c>
      <c r="O1354" s="365" t="str">
        <f>IF($G1354="","",IFERROR(VLOOKUP($D1354&amp;"|"&amp;$E1354,科目表!$A$5:$B$200,2,FALSE),"※未登録"))</f>
        <v/>
      </c>
      <c r="P1354" s="359" t="str">
        <f>IF(OR($G1354="",$C1354=""),"",IF($B1354="決算整理",13,MOD(MONTH($C1354)-4,12)+1))</f>
        <v/>
      </c>
      <c r="Q1354" s="366" t="str">
        <f>IF($G1354="","",TRIM(IF(J1354+K1354+L1354+M1354&lt;&gt;$G1354,"按分不一致 ","")&amp;IF(O1354="※未登録","科目未登録 ","")&amp;IF(OR($H1354="",ISERROR(MATCH($H1354,{1,2,3,4,5,6,7,8},0))),"経費区分? ","")&amp;IF($I1354="","状態未設定 ","")&amp;IF(AND(OR($I1354="確認済",$I1354="未確認"),$B1354="月例",OR($C1354="",$C1354&lt;DATE(年度+2018,4,1),$C1354&gt;DATE(年度+2019,3,31))),"年度外の日付 ","")&amp;IF(AND(OR($I1354="確認済",$I1354="未確認"),O1354="対象外"),"対象外の科目 ","")))</f>
        <v/>
      </c>
      <c r="R1354" s="366" t="n"/>
    </row>
    <row r="1355">
      <c r="A1355" s="359" t="n"/>
      <c r="B1355" s="360" t="n"/>
      <c r="C1355" s="361" t="n"/>
      <c r="D1355" s="362" t="n"/>
      <c r="E1355" s="362" t="n"/>
      <c r="F1355" s="362" t="n"/>
      <c r="G1355" s="363" t="n"/>
      <c r="H1355" s="360" t="n"/>
      <c r="I1355" s="360" t="n"/>
      <c r="J1355" s="364" t="str">
        <f>IF($G1355="","",IF($H1355=1,$G1355-ROUND($G1355*10/23,0)-2*ROUND($G1355/23,0),IF($H1355=2,$G1355,0)))</f>
        <v/>
      </c>
      <c r="K1355" s="364" t="str">
        <f>IF($G1355="","",IF($H1355=1,ROUND($G1355*10/23,0),IF($H1355=3,$G1355-2*ROUND($G1355/12,0),IF($H1355=4,$G1355,IF(OR($H1355=5,$H1355=7),ROUND($G1355*10/11,0),0)))))</f>
        <v/>
      </c>
      <c r="L1355" s="364" t="str">
        <f>IF($G1355="","",IF($H1355=1,ROUND($G1355/23,0),IF($H1355=3,ROUND($G1355/12,0),IF($H1355=5,$G1355-ROUND($G1355*10/11,0),IF($H1355=8,$G1355,0)))))</f>
        <v/>
      </c>
      <c r="M1355" s="364" t="str">
        <f>IF($G1355="","",IF($H1355=1,ROUND($G1355/23,0),IF($H1355=3,ROUND($G1355/12,0),IF($H1355=6,$G1355,IF($H1355=7,$G1355-ROUND($G1355*10/11,0),0)))))</f>
        <v/>
      </c>
      <c r="N1355" s="364" t="str">
        <f>IF($G1355="","",K1355+L1355+M1355)</f>
        <v/>
      </c>
      <c r="O1355" s="365" t="str">
        <f>IF($G1355="","",IFERROR(VLOOKUP($D1355&amp;"|"&amp;$E1355,科目表!$A$5:$B$200,2,FALSE),"※未登録"))</f>
        <v/>
      </c>
      <c r="P1355" s="359" t="str">
        <f>IF(OR($G1355="",$C1355=""),"",IF($B1355="決算整理",13,MOD(MONTH($C1355)-4,12)+1))</f>
        <v/>
      </c>
      <c r="Q1355" s="366" t="str">
        <f>IF($G1355="","",TRIM(IF(J1355+K1355+L1355+M1355&lt;&gt;$G1355,"按分不一致 ","")&amp;IF(O1355="※未登録","科目未登録 ","")&amp;IF(OR($H1355="",ISERROR(MATCH($H1355,{1,2,3,4,5,6,7,8},0))),"経費区分? ","")&amp;IF($I1355="","状態未設定 ","")&amp;IF(AND(OR($I1355="確認済",$I1355="未確認"),$B1355="月例",OR($C1355="",$C1355&lt;DATE(年度+2018,4,1),$C1355&gt;DATE(年度+2019,3,31))),"年度外の日付 ","")&amp;IF(AND(OR($I1355="確認済",$I1355="未確認"),O1355="対象外"),"対象外の科目 ","")))</f>
        <v/>
      </c>
      <c r="R1355" s="366" t="n"/>
    </row>
    <row r="1356">
      <c r="A1356" s="359" t="n"/>
      <c r="B1356" s="360" t="n"/>
      <c r="C1356" s="361" t="n"/>
      <c r="D1356" s="362" t="n"/>
      <c r="E1356" s="362" t="n"/>
      <c r="F1356" s="362" t="n"/>
      <c r="G1356" s="363" t="n"/>
      <c r="H1356" s="360" t="n"/>
      <c r="I1356" s="360" t="n"/>
      <c r="J1356" s="364" t="str">
        <f>IF($G1356="","",IF($H1356=1,$G1356-ROUND($G1356*10/23,0)-2*ROUND($G1356/23,0),IF($H1356=2,$G1356,0)))</f>
        <v/>
      </c>
      <c r="K1356" s="364" t="str">
        <f>IF($G1356="","",IF($H1356=1,ROUND($G1356*10/23,0),IF($H1356=3,$G1356-2*ROUND($G1356/12,0),IF($H1356=4,$G1356,IF(OR($H1356=5,$H1356=7),ROUND($G1356*10/11,0),0)))))</f>
        <v/>
      </c>
      <c r="L1356" s="364" t="str">
        <f>IF($G1356="","",IF($H1356=1,ROUND($G1356/23,0),IF($H1356=3,ROUND($G1356/12,0),IF($H1356=5,$G1356-ROUND($G1356*10/11,0),IF($H1356=8,$G1356,0)))))</f>
        <v/>
      </c>
      <c r="M1356" s="364" t="str">
        <f>IF($G1356="","",IF($H1356=1,ROUND($G1356/23,0),IF($H1356=3,ROUND($G1356/12,0),IF($H1356=6,$G1356,IF($H1356=7,$G1356-ROUND($G1356*10/11,0),0)))))</f>
        <v/>
      </c>
      <c r="N1356" s="364" t="str">
        <f>IF($G1356="","",K1356+L1356+M1356)</f>
        <v/>
      </c>
      <c r="O1356" s="365" t="str">
        <f>IF($G1356="","",IFERROR(VLOOKUP($D1356&amp;"|"&amp;$E1356,科目表!$A$5:$B$200,2,FALSE),"※未登録"))</f>
        <v/>
      </c>
      <c r="P1356" s="359" t="str">
        <f>IF(OR($G1356="",$C1356=""),"",IF($B1356="決算整理",13,MOD(MONTH($C1356)-4,12)+1))</f>
        <v/>
      </c>
      <c r="Q1356" s="366" t="str">
        <f>IF($G1356="","",TRIM(IF(J1356+K1356+L1356+M1356&lt;&gt;$G1356,"按分不一致 ","")&amp;IF(O1356="※未登録","科目未登録 ","")&amp;IF(OR($H1356="",ISERROR(MATCH($H1356,{1,2,3,4,5,6,7,8},0))),"経費区分? ","")&amp;IF($I1356="","状態未設定 ","")&amp;IF(AND(OR($I1356="確認済",$I1356="未確認"),$B1356="月例",OR($C1356="",$C1356&lt;DATE(年度+2018,4,1),$C1356&gt;DATE(年度+2019,3,31))),"年度外の日付 ","")&amp;IF(AND(OR($I1356="確認済",$I1356="未確認"),O1356="対象外"),"対象外の科目 ","")))</f>
        <v/>
      </c>
      <c r="R1356" s="366" t="n"/>
    </row>
    <row r="1357">
      <c r="A1357" s="359" t="n"/>
      <c r="B1357" s="360" t="n"/>
      <c r="C1357" s="361" t="n"/>
      <c r="D1357" s="362" t="n"/>
      <c r="E1357" s="362" t="n"/>
      <c r="F1357" s="362" t="n"/>
      <c r="G1357" s="363" t="n"/>
      <c r="H1357" s="360" t="n"/>
      <c r="I1357" s="360" t="n"/>
      <c r="J1357" s="364" t="str">
        <f>IF($G1357="","",IF($H1357=1,$G1357-ROUND($G1357*10/23,0)-2*ROUND($G1357/23,0),IF($H1357=2,$G1357,0)))</f>
        <v/>
      </c>
      <c r="K1357" s="364" t="str">
        <f>IF($G1357="","",IF($H1357=1,ROUND($G1357*10/23,0),IF($H1357=3,$G1357-2*ROUND($G1357/12,0),IF($H1357=4,$G1357,IF(OR($H1357=5,$H1357=7),ROUND($G1357*10/11,0),0)))))</f>
        <v/>
      </c>
      <c r="L1357" s="364" t="str">
        <f>IF($G1357="","",IF($H1357=1,ROUND($G1357/23,0),IF($H1357=3,ROUND($G1357/12,0),IF($H1357=5,$G1357-ROUND($G1357*10/11,0),IF($H1357=8,$G1357,0)))))</f>
        <v/>
      </c>
      <c r="M1357" s="364" t="str">
        <f>IF($G1357="","",IF($H1357=1,ROUND($G1357/23,0),IF($H1357=3,ROUND($G1357/12,0),IF($H1357=6,$G1357,IF($H1357=7,$G1357-ROUND($G1357*10/11,0),0)))))</f>
        <v/>
      </c>
      <c r="N1357" s="364" t="str">
        <f>IF($G1357="","",K1357+L1357+M1357)</f>
        <v/>
      </c>
      <c r="O1357" s="365" t="str">
        <f>IF($G1357="","",IFERROR(VLOOKUP($D1357&amp;"|"&amp;$E1357,科目表!$A$5:$B$200,2,FALSE),"※未登録"))</f>
        <v/>
      </c>
      <c r="P1357" s="359" t="str">
        <f>IF(OR($G1357="",$C1357=""),"",IF($B1357="決算整理",13,MOD(MONTH($C1357)-4,12)+1))</f>
        <v/>
      </c>
      <c r="Q1357" s="366" t="str">
        <f>IF($G1357="","",TRIM(IF(J1357+K1357+L1357+M1357&lt;&gt;$G1357,"按分不一致 ","")&amp;IF(O1357="※未登録","科目未登録 ","")&amp;IF(OR($H1357="",ISERROR(MATCH($H1357,{1,2,3,4,5,6,7,8},0))),"経費区分? ","")&amp;IF($I1357="","状態未設定 ","")&amp;IF(AND(OR($I1357="確認済",$I1357="未確認"),$B1357="月例",OR($C1357="",$C1357&lt;DATE(年度+2018,4,1),$C1357&gt;DATE(年度+2019,3,31))),"年度外の日付 ","")&amp;IF(AND(OR($I1357="確認済",$I1357="未確認"),O1357="対象外"),"対象外の科目 ","")))</f>
        <v/>
      </c>
      <c r="R1357" s="366" t="n"/>
    </row>
    <row r="1358">
      <c r="A1358" s="359" t="n"/>
      <c r="B1358" s="360" t="n"/>
      <c r="C1358" s="361" t="n"/>
      <c r="D1358" s="362" t="n"/>
      <c r="E1358" s="362" t="n"/>
      <c r="F1358" s="362" t="n"/>
      <c r="G1358" s="363" t="n"/>
      <c r="H1358" s="360" t="n"/>
      <c r="I1358" s="360" t="n"/>
      <c r="J1358" s="364" t="str">
        <f>IF($G1358="","",IF($H1358=1,$G1358-ROUND($G1358*10/23,0)-2*ROUND($G1358/23,0),IF($H1358=2,$G1358,0)))</f>
        <v/>
      </c>
      <c r="K1358" s="364" t="str">
        <f>IF($G1358="","",IF($H1358=1,ROUND($G1358*10/23,0),IF($H1358=3,$G1358-2*ROUND($G1358/12,0),IF($H1358=4,$G1358,IF(OR($H1358=5,$H1358=7),ROUND($G1358*10/11,0),0)))))</f>
        <v/>
      </c>
      <c r="L1358" s="364" t="str">
        <f>IF($G1358="","",IF($H1358=1,ROUND($G1358/23,0),IF($H1358=3,ROUND($G1358/12,0),IF($H1358=5,$G1358-ROUND($G1358*10/11,0),IF($H1358=8,$G1358,0)))))</f>
        <v/>
      </c>
      <c r="M1358" s="364" t="str">
        <f>IF($G1358="","",IF($H1358=1,ROUND($G1358/23,0),IF($H1358=3,ROUND($G1358/12,0),IF($H1358=6,$G1358,IF($H1358=7,$G1358-ROUND($G1358*10/11,0),0)))))</f>
        <v/>
      </c>
      <c r="N1358" s="364" t="str">
        <f>IF($G1358="","",K1358+L1358+M1358)</f>
        <v/>
      </c>
      <c r="O1358" s="365" t="str">
        <f>IF($G1358="","",IFERROR(VLOOKUP($D1358&amp;"|"&amp;$E1358,科目表!$A$5:$B$200,2,FALSE),"※未登録"))</f>
        <v/>
      </c>
      <c r="P1358" s="359" t="str">
        <f>IF(OR($G1358="",$C1358=""),"",IF($B1358="決算整理",13,MOD(MONTH($C1358)-4,12)+1))</f>
        <v/>
      </c>
      <c r="Q1358" s="366" t="str">
        <f>IF($G1358="","",TRIM(IF(J1358+K1358+L1358+M1358&lt;&gt;$G1358,"按分不一致 ","")&amp;IF(O1358="※未登録","科目未登録 ","")&amp;IF(OR($H1358="",ISERROR(MATCH($H1358,{1,2,3,4,5,6,7,8},0))),"経費区分? ","")&amp;IF($I1358="","状態未設定 ","")&amp;IF(AND(OR($I1358="確認済",$I1358="未確認"),$B1358="月例",OR($C1358="",$C1358&lt;DATE(年度+2018,4,1),$C1358&gt;DATE(年度+2019,3,31))),"年度外の日付 ","")&amp;IF(AND(OR($I1358="確認済",$I1358="未確認"),O1358="対象外"),"対象外の科目 ","")))</f>
        <v/>
      </c>
      <c r="R1358" s="366" t="n"/>
    </row>
    <row r="1359">
      <c r="A1359" s="359" t="n"/>
      <c r="B1359" s="360" t="n"/>
      <c r="C1359" s="361" t="n"/>
      <c r="D1359" s="362" t="n"/>
      <c r="E1359" s="362" t="n"/>
      <c r="F1359" s="362" t="n"/>
      <c r="G1359" s="363" t="n"/>
      <c r="H1359" s="360" t="n"/>
      <c r="I1359" s="360" t="n"/>
      <c r="J1359" s="364" t="str">
        <f>IF($G1359="","",IF($H1359=1,$G1359-ROUND($G1359*10/23,0)-2*ROUND($G1359/23,0),IF($H1359=2,$G1359,0)))</f>
        <v/>
      </c>
      <c r="K1359" s="364" t="str">
        <f>IF($G1359="","",IF($H1359=1,ROUND($G1359*10/23,0),IF($H1359=3,$G1359-2*ROUND($G1359/12,0),IF($H1359=4,$G1359,IF(OR($H1359=5,$H1359=7),ROUND($G1359*10/11,0),0)))))</f>
        <v/>
      </c>
      <c r="L1359" s="364" t="str">
        <f>IF($G1359="","",IF($H1359=1,ROUND($G1359/23,0),IF($H1359=3,ROUND($G1359/12,0),IF($H1359=5,$G1359-ROUND($G1359*10/11,0),IF($H1359=8,$G1359,0)))))</f>
        <v/>
      </c>
      <c r="M1359" s="364" t="str">
        <f>IF($G1359="","",IF($H1359=1,ROUND($G1359/23,0),IF($H1359=3,ROUND($G1359/12,0),IF($H1359=6,$G1359,IF($H1359=7,$G1359-ROUND($G1359*10/11,0),0)))))</f>
        <v/>
      </c>
      <c r="N1359" s="364" t="str">
        <f>IF($G1359="","",K1359+L1359+M1359)</f>
        <v/>
      </c>
      <c r="O1359" s="365" t="str">
        <f>IF($G1359="","",IFERROR(VLOOKUP($D1359&amp;"|"&amp;$E1359,科目表!$A$5:$B$200,2,FALSE),"※未登録"))</f>
        <v/>
      </c>
      <c r="P1359" s="359" t="str">
        <f>IF(OR($G1359="",$C1359=""),"",IF($B1359="決算整理",13,MOD(MONTH($C1359)-4,12)+1))</f>
        <v/>
      </c>
      <c r="Q1359" s="366" t="str">
        <f>IF($G1359="","",TRIM(IF(J1359+K1359+L1359+M1359&lt;&gt;$G1359,"按分不一致 ","")&amp;IF(O1359="※未登録","科目未登録 ","")&amp;IF(OR($H1359="",ISERROR(MATCH($H1359,{1,2,3,4,5,6,7,8},0))),"経費区分? ","")&amp;IF($I1359="","状態未設定 ","")&amp;IF(AND(OR($I1359="確認済",$I1359="未確認"),$B1359="月例",OR($C1359="",$C1359&lt;DATE(年度+2018,4,1),$C1359&gt;DATE(年度+2019,3,31))),"年度外の日付 ","")&amp;IF(AND(OR($I1359="確認済",$I1359="未確認"),O1359="対象外"),"対象外の科目 ","")))</f>
        <v/>
      </c>
      <c r="R1359" s="366" t="n"/>
    </row>
    <row r="1360">
      <c r="A1360" s="359" t="n"/>
      <c r="B1360" s="360" t="n"/>
      <c r="C1360" s="361" t="n"/>
      <c r="D1360" s="362" t="n"/>
      <c r="E1360" s="362" t="n"/>
      <c r="F1360" s="362" t="n"/>
      <c r="G1360" s="363" t="n"/>
      <c r="H1360" s="360" t="n"/>
      <c r="I1360" s="360" t="n"/>
      <c r="J1360" s="364" t="str">
        <f>IF($G1360="","",IF($H1360=1,$G1360-ROUND($G1360*10/23,0)-2*ROUND($G1360/23,0),IF($H1360=2,$G1360,0)))</f>
        <v/>
      </c>
      <c r="K1360" s="364" t="str">
        <f>IF($G1360="","",IF($H1360=1,ROUND($G1360*10/23,0),IF($H1360=3,$G1360-2*ROUND($G1360/12,0),IF($H1360=4,$G1360,IF(OR($H1360=5,$H1360=7),ROUND($G1360*10/11,0),0)))))</f>
        <v/>
      </c>
      <c r="L1360" s="364" t="str">
        <f>IF($G1360="","",IF($H1360=1,ROUND($G1360/23,0),IF($H1360=3,ROUND($G1360/12,0),IF($H1360=5,$G1360-ROUND($G1360*10/11,0),IF($H1360=8,$G1360,0)))))</f>
        <v/>
      </c>
      <c r="M1360" s="364" t="str">
        <f>IF($G1360="","",IF($H1360=1,ROUND($G1360/23,0),IF($H1360=3,ROUND($G1360/12,0),IF($H1360=6,$G1360,IF($H1360=7,$G1360-ROUND($G1360*10/11,0),0)))))</f>
        <v/>
      </c>
      <c r="N1360" s="364" t="str">
        <f>IF($G1360="","",K1360+L1360+M1360)</f>
        <v/>
      </c>
      <c r="O1360" s="365" t="str">
        <f>IF($G1360="","",IFERROR(VLOOKUP($D1360&amp;"|"&amp;$E1360,科目表!$A$5:$B$200,2,FALSE),"※未登録"))</f>
        <v/>
      </c>
      <c r="P1360" s="359" t="str">
        <f>IF(OR($G1360="",$C1360=""),"",IF($B1360="決算整理",13,MOD(MONTH($C1360)-4,12)+1))</f>
        <v/>
      </c>
      <c r="Q1360" s="366" t="str">
        <f>IF($G1360="","",TRIM(IF(J1360+K1360+L1360+M1360&lt;&gt;$G1360,"按分不一致 ","")&amp;IF(O1360="※未登録","科目未登録 ","")&amp;IF(OR($H1360="",ISERROR(MATCH($H1360,{1,2,3,4,5,6,7,8},0))),"経費区分? ","")&amp;IF($I1360="","状態未設定 ","")&amp;IF(AND(OR($I1360="確認済",$I1360="未確認"),$B1360="月例",OR($C1360="",$C1360&lt;DATE(年度+2018,4,1),$C1360&gt;DATE(年度+2019,3,31))),"年度外の日付 ","")&amp;IF(AND(OR($I1360="確認済",$I1360="未確認"),O1360="対象外"),"対象外の科目 ","")))</f>
        <v/>
      </c>
      <c r="R1360" s="366" t="n"/>
    </row>
    <row r="1361">
      <c r="A1361" s="359" t="n"/>
      <c r="B1361" s="360" t="n"/>
      <c r="C1361" s="361" t="n"/>
      <c r="D1361" s="362" t="n"/>
      <c r="E1361" s="362" t="n"/>
      <c r="F1361" s="362" t="n"/>
      <c r="G1361" s="363" t="n"/>
      <c r="H1361" s="360" t="n"/>
      <c r="I1361" s="360" t="n"/>
      <c r="J1361" s="364" t="str">
        <f>IF($G1361="","",IF($H1361=1,$G1361-ROUND($G1361*10/23,0)-2*ROUND($G1361/23,0),IF($H1361=2,$G1361,0)))</f>
        <v/>
      </c>
      <c r="K1361" s="364" t="str">
        <f>IF($G1361="","",IF($H1361=1,ROUND($G1361*10/23,0),IF($H1361=3,$G1361-2*ROUND($G1361/12,0),IF($H1361=4,$G1361,IF(OR($H1361=5,$H1361=7),ROUND($G1361*10/11,0),0)))))</f>
        <v/>
      </c>
      <c r="L1361" s="364" t="str">
        <f>IF($G1361="","",IF($H1361=1,ROUND($G1361/23,0),IF($H1361=3,ROUND($G1361/12,0),IF($H1361=5,$G1361-ROUND($G1361*10/11,0),IF($H1361=8,$G1361,0)))))</f>
        <v/>
      </c>
      <c r="M1361" s="364" t="str">
        <f>IF($G1361="","",IF($H1361=1,ROUND($G1361/23,0),IF($H1361=3,ROUND($G1361/12,0),IF($H1361=6,$G1361,IF($H1361=7,$G1361-ROUND($G1361*10/11,0),0)))))</f>
        <v/>
      </c>
      <c r="N1361" s="364" t="str">
        <f>IF($G1361="","",K1361+L1361+M1361)</f>
        <v/>
      </c>
      <c r="O1361" s="365" t="str">
        <f>IF($G1361="","",IFERROR(VLOOKUP($D1361&amp;"|"&amp;$E1361,科目表!$A$5:$B$200,2,FALSE),"※未登録"))</f>
        <v/>
      </c>
      <c r="P1361" s="359" t="str">
        <f>IF(OR($G1361="",$C1361=""),"",IF($B1361="決算整理",13,MOD(MONTH($C1361)-4,12)+1))</f>
        <v/>
      </c>
      <c r="Q1361" s="366" t="str">
        <f>IF($G1361="","",TRIM(IF(J1361+K1361+L1361+M1361&lt;&gt;$G1361,"按分不一致 ","")&amp;IF(O1361="※未登録","科目未登録 ","")&amp;IF(OR($H1361="",ISERROR(MATCH($H1361,{1,2,3,4,5,6,7,8},0))),"経費区分? ","")&amp;IF($I1361="","状態未設定 ","")&amp;IF(AND(OR($I1361="確認済",$I1361="未確認"),$B1361="月例",OR($C1361="",$C1361&lt;DATE(年度+2018,4,1),$C1361&gt;DATE(年度+2019,3,31))),"年度外の日付 ","")&amp;IF(AND(OR($I1361="確認済",$I1361="未確認"),O1361="対象外"),"対象外の科目 ","")))</f>
        <v/>
      </c>
      <c r="R1361" s="366" t="n"/>
    </row>
    <row r="1362">
      <c r="A1362" s="359" t="n"/>
      <c r="B1362" s="360" t="n"/>
      <c r="C1362" s="361" t="n"/>
      <c r="D1362" s="362" t="n"/>
      <c r="E1362" s="362" t="n"/>
      <c r="F1362" s="362" t="n"/>
      <c r="G1362" s="363" t="n"/>
      <c r="H1362" s="360" t="n"/>
      <c r="I1362" s="360" t="n"/>
      <c r="J1362" s="364" t="str">
        <f>IF($G1362="","",IF($H1362=1,$G1362-ROUND($G1362*10/23,0)-2*ROUND($G1362/23,0),IF($H1362=2,$G1362,0)))</f>
        <v/>
      </c>
      <c r="K1362" s="364" t="str">
        <f>IF($G1362="","",IF($H1362=1,ROUND($G1362*10/23,0),IF($H1362=3,$G1362-2*ROUND($G1362/12,0),IF($H1362=4,$G1362,IF(OR($H1362=5,$H1362=7),ROUND($G1362*10/11,0),0)))))</f>
        <v/>
      </c>
      <c r="L1362" s="364" t="str">
        <f>IF($G1362="","",IF($H1362=1,ROUND($G1362/23,0),IF($H1362=3,ROUND($G1362/12,0),IF($H1362=5,$G1362-ROUND($G1362*10/11,0),IF($H1362=8,$G1362,0)))))</f>
        <v/>
      </c>
      <c r="M1362" s="364" t="str">
        <f>IF($G1362="","",IF($H1362=1,ROUND($G1362/23,0),IF($H1362=3,ROUND($G1362/12,0),IF($H1362=6,$G1362,IF($H1362=7,$G1362-ROUND($G1362*10/11,0),0)))))</f>
        <v/>
      </c>
      <c r="N1362" s="364" t="str">
        <f>IF($G1362="","",K1362+L1362+M1362)</f>
        <v/>
      </c>
      <c r="O1362" s="365" t="str">
        <f>IF($G1362="","",IFERROR(VLOOKUP($D1362&amp;"|"&amp;$E1362,科目表!$A$5:$B$200,2,FALSE),"※未登録"))</f>
        <v/>
      </c>
      <c r="P1362" s="359" t="str">
        <f>IF(OR($G1362="",$C1362=""),"",IF($B1362="決算整理",13,MOD(MONTH($C1362)-4,12)+1))</f>
        <v/>
      </c>
      <c r="Q1362" s="366" t="str">
        <f>IF($G1362="","",TRIM(IF(J1362+K1362+L1362+M1362&lt;&gt;$G1362,"按分不一致 ","")&amp;IF(O1362="※未登録","科目未登録 ","")&amp;IF(OR($H1362="",ISERROR(MATCH($H1362,{1,2,3,4,5,6,7,8},0))),"経費区分? ","")&amp;IF($I1362="","状態未設定 ","")&amp;IF(AND(OR($I1362="確認済",$I1362="未確認"),$B1362="月例",OR($C1362="",$C1362&lt;DATE(年度+2018,4,1),$C1362&gt;DATE(年度+2019,3,31))),"年度外の日付 ","")&amp;IF(AND(OR($I1362="確認済",$I1362="未確認"),O1362="対象外"),"対象外の科目 ","")))</f>
        <v/>
      </c>
      <c r="R1362" s="366" t="n"/>
    </row>
    <row r="1363">
      <c r="A1363" s="359" t="n"/>
      <c r="B1363" s="360" t="n"/>
      <c r="C1363" s="361" t="n"/>
      <c r="D1363" s="362" t="n"/>
      <c r="E1363" s="362" t="n"/>
      <c r="F1363" s="362" t="n"/>
      <c r="G1363" s="363" t="n"/>
      <c r="H1363" s="360" t="n"/>
      <c r="I1363" s="360" t="n"/>
      <c r="J1363" s="364" t="str">
        <f>IF($G1363="","",IF($H1363=1,$G1363-ROUND($G1363*10/23,0)-2*ROUND($G1363/23,0),IF($H1363=2,$G1363,0)))</f>
        <v/>
      </c>
      <c r="K1363" s="364" t="str">
        <f>IF($G1363="","",IF($H1363=1,ROUND($G1363*10/23,0),IF($H1363=3,$G1363-2*ROUND($G1363/12,0),IF($H1363=4,$G1363,IF(OR($H1363=5,$H1363=7),ROUND($G1363*10/11,0),0)))))</f>
        <v/>
      </c>
      <c r="L1363" s="364" t="str">
        <f>IF($G1363="","",IF($H1363=1,ROUND($G1363/23,0),IF($H1363=3,ROUND($G1363/12,0),IF($H1363=5,$G1363-ROUND($G1363*10/11,0),IF($H1363=8,$G1363,0)))))</f>
        <v/>
      </c>
      <c r="M1363" s="364" t="str">
        <f>IF($G1363="","",IF($H1363=1,ROUND($G1363/23,0),IF($H1363=3,ROUND($G1363/12,0),IF($H1363=6,$G1363,IF($H1363=7,$G1363-ROUND($G1363*10/11,0),0)))))</f>
        <v/>
      </c>
      <c r="N1363" s="364" t="str">
        <f>IF($G1363="","",K1363+L1363+M1363)</f>
        <v/>
      </c>
      <c r="O1363" s="365" t="str">
        <f>IF($G1363="","",IFERROR(VLOOKUP($D1363&amp;"|"&amp;$E1363,科目表!$A$5:$B$200,2,FALSE),"※未登録"))</f>
        <v/>
      </c>
      <c r="P1363" s="359" t="str">
        <f>IF(OR($G1363="",$C1363=""),"",IF($B1363="決算整理",13,MOD(MONTH($C1363)-4,12)+1))</f>
        <v/>
      </c>
      <c r="Q1363" s="366" t="str">
        <f>IF($G1363="","",TRIM(IF(J1363+K1363+L1363+M1363&lt;&gt;$G1363,"按分不一致 ","")&amp;IF(O1363="※未登録","科目未登録 ","")&amp;IF(OR($H1363="",ISERROR(MATCH($H1363,{1,2,3,4,5,6,7,8},0))),"経費区分? ","")&amp;IF($I1363="","状態未設定 ","")&amp;IF(AND(OR($I1363="確認済",$I1363="未確認"),$B1363="月例",OR($C1363="",$C1363&lt;DATE(年度+2018,4,1),$C1363&gt;DATE(年度+2019,3,31))),"年度外の日付 ","")&amp;IF(AND(OR($I1363="確認済",$I1363="未確認"),O1363="対象外"),"対象外の科目 ","")))</f>
        <v/>
      </c>
      <c r="R1363" s="366" t="n"/>
    </row>
    <row r="1364">
      <c r="A1364" s="359" t="n"/>
      <c r="B1364" s="360" t="n"/>
      <c r="C1364" s="361" t="n"/>
      <c r="D1364" s="362" t="n"/>
      <c r="E1364" s="362" t="n"/>
      <c r="F1364" s="362" t="n"/>
      <c r="G1364" s="363" t="n"/>
      <c r="H1364" s="360" t="n"/>
      <c r="I1364" s="360" t="n"/>
      <c r="J1364" s="364" t="str">
        <f>IF($G1364="","",IF($H1364=1,$G1364-ROUND($G1364*10/23,0)-2*ROUND($G1364/23,0),IF($H1364=2,$G1364,0)))</f>
        <v/>
      </c>
      <c r="K1364" s="364" t="str">
        <f>IF($G1364="","",IF($H1364=1,ROUND($G1364*10/23,0),IF($H1364=3,$G1364-2*ROUND($G1364/12,0),IF($H1364=4,$G1364,IF(OR($H1364=5,$H1364=7),ROUND($G1364*10/11,0),0)))))</f>
        <v/>
      </c>
      <c r="L1364" s="364" t="str">
        <f>IF($G1364="","",IF($H1364=1,ROUND($G1364/23,0),IF($H1364=3,ROUND($G1364/12,0),IF($H1364=5,$G1364-ROUND($G1364*10/11,0),IF($H1364=8,$G1364,0)))))</f>
        <v/>
      </c>
      <c r="M1364" s="364" t="str">
        <f>IF($G1364="","",IF($H1364=1,ROUND($G1364/23,0),IF($H1364=3,ROUND($G1364/12,0),IF($H1364=6,$G1364,IF($H1364=7,$G1364-ROUND($G1364*10/11,0),0)))))</f>
        <v/>
      </c>
      <c r="N1364" s="364" t="str">
        <f>IF($G1364="","",K1364+L1364+M1364)</f>
        <v/>
      </c>
      <c r="O1364" s="365" t="str">
        <f>IF($G1364="","",IFERROR(VLOOKUP($D1364&amp;"|"&amp;$E1364,科目表!$A$5:$B$200,2,FALSE),"※未登録"))</f>
        <v/>
      </c>
      <c r="P1364" s="359" t="str">
        <f>IF(OR($G1364="",$C1364=""),"",IF($B1364="決算整理",13,MOD(MONTH($C1364)-4,12)+1))</f>
        <v/>
      </c>
      <c r="Q1364" s="366" t="str">
        <f>IF($G1364="","",TRIM(IF(J1364+K1364+L1364+M1364&lt;&gt;$G1364,"按分不一致 ","")&amp;IF(O1364="※未登録","科目未登録 ","")&amp;IF(OR($H1364="",ISERROR(MATCH($H1364,{1,2,3,4,5,6,7,8},0))),"経費区分? ","")&amp;IF($I1364="","状態未設定 ","")&amp;IF(AND(OR($I1364="確認済",$I1364="未確認"),$B1364="月例",OR($C1364="",$C1364&lt;DATE(年度+2018,4,1),$C1364&gt;DATE(年度+2019,3,31))),"年度外の日付 ","")&amp;IF(AND(OR($I1364="確認済",$I1364="未確認"),O1364="対象外"),"対象外の科目 ","")))</f>
        <v/>
      </c>
      <c r="R1364" s="366" t="n"/>
    </row>
    <row r="1365">
      <c r="A1365" s="359" t="n"/>
      <c r="B1365" s="360" t="n"/>
      <c r="C1365" s="361" t="n"/>
      <c r="D1365" s="362" t="n"/>
      <c r="E1365" s="362" t="n"/>
      <c r="F1365" s="362" t="n"/>
      <c r="G1365" s="363" t="n"/>
      <c r="H1365" s="360" t="n"/>
      <c r="I1365" s="360" t="n"/>
      <c r="J1365" s="364" t="str">
        <f>IF($G1365="","",IF($H1365=1,$G1365-ROUND($G1365*10/23,0)-2*ROUND($G1365/23,0),IF($H1365=2,$G1365,0)))</f>
        <v/>
      </c>
      <c r="K1365" s="364" t="str">
        <f>IF($G1365="","",IF($H1365=1,ROUND($G1365*10/23,0),IF($H1365=3,$G1365-2*ROUND($G1365/12,0),IF($H1365=4,$G1365,IF(OR($H1365=5,$H1365=7),ROUND($G1365*10/11,0),0)))))</f>
        <v/>
      </c>
      <c r="L1365" s="364" t="str">
        <f>IF($G1365="","",IF($H1365=1,ROUND($G1365/23,0),IF($H1365=3,ROUND($G1365/12,0),IF($H1365=5,$G1365-ROUND($G1365*10/11,0),IF($H1365=8,$G1365,0)))))</f>
        <v/>
      </c>
      <c r="M1365" s="364" t="str">
        <f>IF($G1365="","",IF($H1365=1,ROUND($G1365/23,0),IF($H1365=3,ROUND($G1365/12,0),IF($H1365=6,$G1365,IF($H1365=7,$G1365-ROUND($G1365*10/11,0),0)))))</f>
        <v/>
      </c>
      <c r="N1365" s="364" t="str">
        <f>IF($G1365="","",K1365+L1365+M1365)</f>
        <v/>
      </c>
      <c r="O1365" s="365" t="str">
        <f>IF($G1365="","",IFERROR(VLOOKUP($D1365&amp;"|"&amp;$E1365,科目表!$A$5:$B$200,2,FALSE),"※未登録"))</f>
        <v/>
      </c>
      <c r="P1365" s="359" t="str">
        <f>IF(OR($G1365="",$C1365=""),"",IF($B1365="決算整理",13,MOD(MONTH($C1365)-4,12)+1))</f>
        <v/>
      </c>
      <c r="Q1365" s="366" t="str">
        <f>IF($G1365="","",TRIM(IF(J1365+K1365+L1365+M1365&lt;&gt;$G1365,"按分不一致 ","")&amp;IF(O1365="※未登録","科目未登録 ","")&amp;IF(OR($H1365="",ISERROR(MATCH($H1365,{1,2,3,4,5,6,7,8},0))),"経費区分? ","")&amp;IF($I1365="","状態未設定 ","")&amp;IF(AND(OR($I1365="確認済",$I1365="未確認"),$B1365="月例",OR($C1365="",$C1365&lt;DATE(年度+2018,4,1),$C1365&gt;DATE(年度+2019,3,31))),"年度外の日付 ","")&amp;IF(AND(OR($I1365="確認済",$I1365="未確認"),O1365="対象外"),"対象外の科目 ","")))</f>
        <v/>
      </c>
      <c r="R1365" s="366" t="n"/>
    </row>
    <row r="1366">
      <c r="A1366" s="359" t="n"/>
      <c r="B1366" s="360" t="n"/>
      <c r="C1366" s="361" t="n"/>
      <c r="D1366" s="362" t="n"/>
      <c r="E1366" s="362" t="n"/>
      <c r="F1366" s="362" t="n"/>
      <c r="G1366" s="363" t="n"/>
      <c r="H1366" s="360" t="n"/>
      <c r="I1366" s="360" t="n"/>
      <c r="J1366" s="364" t="str">
        <f>IF($G1366="","",IF($H1366=1,$G1366-ROUND($G1366*10/23,0)-2*ROUND($G1366/23,0),IF($H1366=2,$G1366,0)))</f>
        <v/>
      </c>
      <c r="K1366" s="364" t="str">
        <f>IF($G1366="","",IF($H1366=1,ROUND($G1366*10/23,0),IF($H1366=3,$G1366-2*ROUND($G1366/12,0),IF($H1366=4,$G1366,IF(OR($H1366=5,$H1366=7),ROUND($G1366*10/11,0),0)))))</f>
        <v/>
      </c>
      <c r="L1366" s="364" t="str">
        <f>IF($G1366="","",IF($H1366=1,ROUND($G1366/23,0),IF($H1366=3,ROUND($G1366/12,0),IF($H1366=5,$G1366-ROUND($G1366*10/11,0),IF($H1366=8,$G1366,0)))))</f>
        <v/>
      </c>
      <c r="M1366" s="364" t="str">
        <f>IF($G1366="","",IF($H1366=1,ROUND($G1366/23,0),IF($H1366=3,ROUND($G1366/12,0),IF($H1366=6,$G1366,IF($H1366=7,$G1366-ROUND($G1366*10/11,0),0)))))</f>
        <v/>
      </c>
      <c r="N1366" s="364" t="str">
        <f>IF($G1366="","",K1366+L1366+M1366)</f>
        <v/>
      </c>
      <c r="O1366" s="365" t="str">
        <f>IF($G1366="","",IFERROR(VLOOKUP($D1366&amp;"|"&amp;$E1366,科目表!$A$5:$B$200,2,FALSE),"※未登録"))</f>
        <v/>
      </c>
      <c r="P1366" s="359" t="str">
        <f>IF(OR($G1366="",$C1366=""),"",IF($B1366="決算整理",13,MOD(MONTH($C1366)-4,12)+1))</f>
        <v/>
      </c>
      <c r="Q1366" s="366" t="str">
        <f>IF($G1366="","",TRIM(IF(J1366+K1366+L1366+M1366&lt;&gt;$G1366,"按分不一致 ","")&amp;IF(O1366="※未登録","科目未登録 ","")&amp;IF(OR($H1366="",ISERROR(MATCH($H1366,{1,2,3,4,5,6,7,8},0))),"経費区分? ","")&amp;IF($I1366="","状態未設定 ","")&amp;IF(AND(OR($I1366="確認済",$I1366="未確認"),$B1366="月例",OR($C1366="",$C1366&lt;DATE(年度+2018,4,1),$C1366&gt;DATE(年度+2019,3,31))),"年度外の日付 ","")&amp;IF(AND(OR($I1366="確認済",$I1366="未確認"),O1366="対象外"),"対象外の科目 ","")))</f>
        <v/>
      </c>
      <c r="R1366" s="366" t="n"/>
    </row>
    <row r="1367">
      <c r="A1367" s="359" t="n"/>
      <c r="B1367" s="360" t="n"/>
      <c r="C1367" s="361" t="n"/>
      <c r="D1367" s="362" t="n"/>
      <c r="E1367" s="362" t="n"/>
      <c r="F1367" s="362" t="n"/>
      <c r="G1367" s="363" t="n"/>
      <c r="H1367" s="360" t="n"/>
      <c r="I1367" s="360" t="n"/>
      <c r="J1367" s="364" t="str">
        <f>IF($G1367="","",IF($H1367=1,$G1367-ROUND($G1367*10/23,0)-2*ROUND($G1367/23,0),IF($H1367=2,$G1367,0)))</f>
        <v/>
      </c>
      <c r="K1367" s="364" t="str">
        <f>IF($G1367="","",IF($H1367=1,ROUND($G1367*10/23,0),IF($H1367=3,$G1367-2*ROUND($G1367/12,0),IF($H1367=4,$G1367,IF(OR($H1367=5,$H1367=7),ROUND($G1367*10/11,0),0)))))</f>
        <v/>
      </c>
      <c r="L1367" s="364" t="str">
        <f>IF($G1367="","",IF($H1367=1,ROUND($G1367/23,0),IF($H1367=3,ROUND($G1367/12,0),IF($H1367=5,$G1367-ROUND($G1367*10/11,0),IF($H1367=8,$G1367,0)))))</f>
        <v/>
      </c>
      <c r="M1367" s="364" t="str">
        <f>IF($G1367="","",IF($H1367=1,ROUND($G1367/23,0),IF($H1367=3,ROUND($G1367/12,0),IF($H1367=6,$G1367,IF($H1367=7,$G1367-ROUND($G1367*10/11,0),0)))))</f>
        <v/>
      </c>
      <c r="N1367" s="364" t="str">
        <f>IF($G1367="","",K1367+L1367+M1367)</f>
        <v/>
      </c>
      <c r="O1367" s="365" t="str">
        <f>IF($G1367="","",IFERROR(VLOOKUP($D1367&amp;"|"&amp;$E1367,科目表!$A$5:$B$200,2,FALSE),"※未登録"))</f>
        <v/>
      </c>
      <c r="P1367" s="359" t="str">
        <f>IF(OR($G1367="",$C1367=""),"",IF($B1367="決算整理",13,MOD(MONTH($C1367)-4,12)+1))</f>
        <v/>
      </c>
      <c r="Q1367" s="366" t="str">
        <f>IF($G1367="","",TRIM(IF(J1367+K1367+L1367+M1367&lt;&gt;$G1367,"按分不一致 ","")&amp;IF(O1367="※未登録","科目未登録 ","")&amp;IF(OR($H1367="",ISERROR(MATCH($H1367,{1,2,3,4,5,6,7,8},0))),"経費区分? ","")&amp;IF($I1367="","状態未設定 ","")&amp;IF(AND(OR($I1367="確認済",$I1367="未確認"),$B1367="月例",OR($C1367="",$C1367&lt;DATE(年度+2018,4,1),$C1367&gt;DATE(年度+2019,3,31))),"年度外の日付 ","")&amp;IF(AND(OR($I1367="確認済",$I1367="未確認"),O1367="対象外"),"対象外の科目 ","")))</f>
        <v/>
      </c>
      <c r="R1367" s="366" t="n"/>
    </row>
    <row r="1368">
      <c r="A1368" s="359" t="n"/>
      <c r="B1368" s="360" t="n"/>
      <c r="C1368" s="361" t="n"/>
      <c r="D1368" s="362" t="n"/>
      <c r="E1368" s="362" t="n"/>
      <c r="F1368" s="362" t="n"/>
      <c r="G1368" s="363" t="n"/>
      <c r="H1368" s="360" t="n"/>
      <c r="I1368" s="360" t="n"/>
      <c r="J1368" s="364" t="str">
        <f>IF($G1368="","",IF($H1368=1,$G1368-ROUND($G1368*10/23,0)-2*ROUND($G1368/23,0),IF($H1368=2,$G1368,0)))</f>
        <v/>
      </c>
      <c r="K1368" s="364" t="str">
        <f>IF($G1368="","",IF($H1368=1,ROUND($G1368*10/23,0),IF($H1368=3,$G1368-2*ROUND($G1368/12,0),IF($H1368=4,$G1368,IF(OR($H1368=5,$H1368=7),ROUND($G1368*10/11,0),0)))))</f>
        <v/>
      </c>
      <c r="L1368" s="364" t="str">
        <f>IF($G1368="","",IF($H1368=1,ROUND($G1368/23,0),IF($H1368=3,ROUND($G1368/12,0),IF($H1368=5,$G1368-ROUND($G1368*10/11,0),IF($H1368=8,$G1368,0)))))</f>
        <v/>
      </c>
      <c r="M1368" s="364" t="str">
        <f>IF($G1368="","",IF($H1368=1,ROUND($G1368/23,0),IF($H1368=3,ROUND($G1368/12,0),IF($H1368=6,$G1368,IF($H1368=7,$G1368-ROUND($G1368*10/11,0),0)))))</f>
        <v/>
      </c>
      <c r="N1368" s="364" t="str">
        <f>IF($G1368="","",K1368+L1368+M1368)</f>
        <v/>
      </c>
      <c r="O1368" s="365" t="str">
        <f>IF($G1368="","",IFERROR(VLOOKUP($D1368&amp;"|"&amp;$E1368,科目表!$A$5:$B$200,2,FALSE),"※未登録"))</f>
        <v/>
      </c>
      <c r="P1368" s="359" t="str">
        <f>IF(OR($G1368="",$C1368=""),"",IF($B1368="決算整理",13,MOD(MONTH($C1368)-4,12)+1))</f>
        <v/>
      </c>
      <c r="Q1368" s="366" t="str">
        <f>IF($G1368="","",TRIM(IF(J1368+K1368+L1368+M1368&lt;&gt;$G1368,"按分不一致 ","")&amp;IF(O1368="※未登録","科目未登録 ","")&amp;IF(OR($H1368="",ISERROR(MATCH($H1368,{1,2,3,4,5,6,7,8},0))),"経費区分? ","")&amp;IF($I1368="","状態未設定 ","")&amp;IF(AND(OR($I1368="確認済",$I1368="未確認"),$B1368="月例",OR($C1368="",$C1368&lt;DATE(年度+2018,4,1),$C1368&gt;DATE(年度+2019,3,31))),"年度外の日付 ","")&amp;IF(AND(OR($I1368="確認済",$I1368="未確認"),O1368="対象外"),"対象外の科目 ","")))</f>
        <v/>
      </c>
      <c r="R1368" s="366" t="n"/>
    </row>
    <row r="1369">
      <c r="A1369" s="359" t="n"/>
      <c r="B1369" s="360" t="n"/>
      <c r="C1369" s="361" t="n"/>
      <c r="D1369" s="362" t="n"/>
      <c r="E1369" s="362" t="n"/>
      <c r="F1369" s="362" t="n"/>
      <c r="G1369" s="363" t="n"/>
      <c r="H1369" s="360" t="n"/>
      <c r="I1369" s="360" t="n"/>
      <c r="J1369" s="364" t="str">
        <f>IF($G1369="","",IF($H1369=1,$G1369-ROUND($G1369*10/23,0)-2*ROUND($G1369/23,0),IF($H1369=2,$G1369,0)))</f>
        <v/>
      </c>
      <c r="K1369" s="364" t="str">
        <f>IF($G1369="","",IF($H1369=1,ROUND($G1369*10/23,0),IF($H1369=3,$G1369-2*ROUND($G1369/12,0),IF($H1369=4,$G1369,IF(OR($H1369=5,$H1369=7),ROUND($G1369*10/11,0),0)))))</f>
        <v/>
      </c>
      <c r="L1369" s="364" t="str">
        <f>IF($G1369="","",IF($H1369=1,ROUND($G1369/23,0),IF($H1369=3,ROUND($G1369/12,0),IF($H1369=5,$G1369-ROUND($G1369*10/11,0),IF($H1369=8,$G1369,0)))))</f>
        <v/>
      </c>
      <c r="M1369" s="364" t="str">
        <f>IF($G1369="","",IF($H1369=1,ROUND($G1369/23,0),IF($H1369=3,ROUND($G1369/12,0),IF($H1369=6,$G1369,IF($H1369=7,$G1369-ROUND($G1369*10/11,0),0)))))</f>
        <v/>
      </c>
      <c r="N1369" s="364" t="str">
        <f>IF($G1369="","",K1369+L1369+M1369)</f>
        <v/>
      </c>
      <c r="O1369" s="365" t="str">
        <f>IF($G1369="","",IFERROR(VLOOKUP($D1369&amp;"|"&amp;$E1369,科目表!$A$5:$B$200,2,FALSE),"※未登録"))</f>
        <v/>
      </c>
      <c r="P1369" s="359" t="str">
        <f>IF(OR($G1369="",$C1369=""),"",IF($B1369="決算整理",13,MOD(MONTH($C1369)-4,12)+1))</f>
        <v/>
      </c>
      <c r="Q1369" s="366" t="str">
        <f>IF($G1369="","",TRIM(IF(J1369+K1369+L1369+M1369&lt;&gt;$G1369,"按分不一致 ","")&amp;IF(O1369="※未登録","科目未登録 ","")&amp;IF(OR($H1369="",ISERROR(MATCH($H1369,{1,2,3,4,5,6,7,8},0))),"経費区分? ","")&amp;IF($I1369="","状態未設定 ","")&amp;IF(AND(OR($I1369="確認済",$I1369="未確認"),$B1369="月例",OR($C1369="",$C1369&lt;DATE(年度+2018,4,1),$C1369&gt;DATE(年度+2019,3,31))),"年度外の日付 ","")&amp;IF(AND(OR($I1369="確認済",$I1369="未確認"),O1369="対象外"),"対象外の科目 ","")))</f>
        <v/>
      </c>
      <c r="R1369" s="366" t="n"/>
    </row>
    <row r="1370">
      <c r="A1370" s="359" t="n"/>
      <c r="B1370" s="360" t="n"/>
      <c r="C1370" s="361" t="n"/>
      <c r="D1370" s="362" t="n"/>
      <c r="E1370" s="362" t="n"/>
      <c r="F1370" s="362" t="n"/>
      <c r="G1370" s="363" t="n"/>
      <c r="H1370" s="360" t="n"/>
      <c r="I1370" s="360" t="n"/>
      <c r="J1370" s="364" t="str">
        <f>IF($G1370="","",IF($H1370=1,$G1370-ROUND($G1370*10/23,0)-2*ROUND($G1370/23,0),IF($H1370=2,$G1370,0)))</f>
        <v/>
      </c>
      <c r="K1370" s="364" t="str">
        <f>IF($G1370="","",IF($H1370=1,ROUND($G1370*10/23,0),IF($H1370=3,$G1370-2*ROUND($G1370/12,0),IF($H1370=4,$G1370,IF(OR($H1370=5,$H1370=7),ROUND($G1370*10/11,0),0)))))</f>
        <v/>
      </c>
      <c r="L1370" s="364" t="str">
        <f>IF($G1370="","",IF($H1370=1,ROUND($G1370/23,0),IF($H1370=3,ROUND($G1370/12,0),IF($H1370=5,$G1370-ROUND($G1370*10/11,0),IF($H1370=8,$G1370,0)))))</f>
        <v/>
      </c>
      <c r="M1370" s="364" t="str">
        <f>IF($G1370="","",IF($H1370=1,ROUND($G1370/23,0),IF($H1370=3,ROUND($G1370/12,0),IF($H1370=6,$G1370,IF($H1370=7,$G1370-ROUND($G1370*10/11,0),0)))))</f>
        <v/>
      </c>
      <c r="N1370" s="364" t="str">
        <f>IF($G1370="","",K1370+L1370+M1370)</f>
        <v/>
      </c>
      <c r="O1370" s="365" t="str">
        <f>IF($G1370="","",IFERROR(VLOOKUP($D1370&amp;"|"&amp;$E1370,科目表!$A$5:$B$200,2,FALSE),"※未登録"))</f>
        <v/>
      </c>
      <c r="P1370" s="359" t="str">
        <f>IF(OR($G1370="",$C1370=""),"",IF($B1370="決算整理",13,MOD(MONTH($C1370)-4,12)+1))</f>
        <v/>
      </c>
      <c r="Q1370" s="366" t="str">
        <f>IF($G1370="","",TRIM(IF(J1370+K1370+L1370+M1370&lt;&gt;$G1370,"按分不一致 ","")&amp;IF(O1370="※未登録","科目未登録 ","")&amp;IF(OR($H1370="",ISERROR(MATCH($H1370,{1,2,3,4,5,6,7,8},0))),"経費区分? ","")&amp;IF($I1370="","状態未設定 ","")&amp;IF(AND(OR($I1370="確認済",$I1370="未確認"),$B1370="月例",OR($C1370="",$C1370&lt;DATE(年度+2018,4,1),$C1370&gt;DATE(年度+2019,3,31))),"年度外の日付 ","")&amp;IF(AND(OR($I1370="確認済",$I1370="未確認"),O1370="対象外"),"対象外の科目 ","")))</f>
        <v/>
      </c>
      <c r="R1370" s="366" t="n"/>
    </row>
    <row r="1371">
      <c r="A1371" s="359" t="n"/>
      <c r="B1371" s="360" t="n"/>
      <c r="C1371" s="361" t="n"/>
      <c r="D1371" s="362" t="n"/>
      <c r="E1371" s="362" t="n"/>
      <c r="F1371" s="362" t="n"/>
      <c r="G1371" s="363" t="n"/>
      <c r="H1371" s="360" t="n"/>
      <c r="I1371" s="360" t="n"/>
      <c r="J1371" s="364" t="str">
        <f>IF($G1371="","",IF($H1371=1,$G1371-ROUND($G1371*10/23,0)-2*ROUND($G1371/23,0),IF($H1371=2,$G1371,0)))</f>
        <v/>
      </c>
      <c r="K1371" s="364" t="str">
        <f>IF($G1371="","",IF($H1371=1,ROUND($G1371*10/23,0),IF($H1371=3,$G1371-2*ROUND($G1371/12,0),IF($H1371=4,$G1371,IF(OR($H1371=5,$H1371=7),ROUND($G1371*10/11,0),0)))))</f>
        <v/>
      </c>
      <c r="L1371" s="364" t="str">
        <f>IF($G1371="","",IF($H1371=1,ROUND($G1371/23,0),IF($H1371=3,ROUND($G1371/12,0),IF($H1371=5,$G1371-ROUND($G1371*10/11,0),IF($H1371=8,$G1371,0)))))</f>
        <v/>
      </c>
      <c r="M1371" s="364" t="str">
        <f>IF($G1371="","",IF($H1371=1,ROUND($G1371/23,0),IF($H1371=3,ROUND($G1371/12,0),IF($H1371=6,$G1371,IF($H1371=7,$G1371-ROUND($G1371*10/11,0),0)))))</f>
        <v/>
      </c>
      <c r="N1371" s="364" t="str">
        <f>IF($G1371="","",K1371+L1371+M1371)</f>
        <v/>
      </c>
      <c r="O1371" s="365" t="str">
        <f>IF($G1371="","",IFERROR(VLOOKUP($D1371&amp;"|"&amp;$E1371,科目表!$A$5:$B$200,2,FALSE),"※未登録"))</f>
        <v/>
      </c>
      <c r="P1371" s="359" t="str">
        <f>IF(OR($G1371="",$C1371=""),"",IF($B1371="決算整理",13,MOD(MONTH($C1371)-4,12)+1))</f>
        <v/>
      </c>
      <c r="Q1371" s="366" t="str">
        <f>IF($G1371="","",TRIM(IF(J1371+K1371+L1371+M1371&lt;&gt;$G1371,"按分不一致 ","")&amp;IF(O1371="※未登録","科目未登録 ","")&amp;IF(OR($H1371="",ISERROR(MATCH($H1371,{1,2,3,4,5,6,7,8},0))),"経費区分? ","")&amp;IF($I1371="","状態未設定 ","")&amp;IF(AND(OR($I1371="確認済",$I1371="未確認"),$B1371="月例",OR($C1371="",$C1371&lt;DATE(年度+2018,4,1),$C1371&gt;DATE(年度+2019,3,31))),"年度外の日付 ","")&amp;IF(AND(OR($I1371="確認済",$I1371="未確認"),O1371="対象外"),"対象外の科目 ","")))</f>
        <v/>
      </c>
      <c r="R1371" s="366" t="n"/>
    </row>
    <row r="1372">
      <c r="A1372" s="359" t="n"/>
      <c r="B1372" s="360" t="n"/>
      <c r="C1372" s="361" t="n"/>
      <c r="D1372" s="362" t="n"/>
      <c r="E1372" s="362" t="n"/>
      <c r="F1372" s="362" t="n"/>
      <c r="G1372" s="363" t="n"/>
      <c r="H1372" s="360" t="n"/>
      <c r="I1372" s="360" t="n"/>
      <c r="J1372" s="364" t="str">
        <f>IF($G1372="","",IF($H1372=1,$G1372-ROUND($G1372*10/23,0)-2*ROUND($G1372/23,0),IF($H1372=2,$G1372,0)))</f>
        <v/>
      </c>
      <c r="K1372" s="364" t="str">
        <f>IF($G1372="","",IF($H1372=1,ROUND($G1372*10/23,0),IF($H1372=3,$G1372-2*ROUND($G1372/12,0),IF($H1372=4,$G1372,IF(OR($H1372=5,$H1372=7),ROUND($G1372*10/11,0),0)))))</f>
        <v/>
      </c>
      <c r="L1372" s="364" t="str">
        <f>IF($G1372="","",IF($H1372=1,ROUND($G1372/23,0),IF($H1372=3,ROUND($G1372/12,0),IF($H1372=5,$G1372-ROUND($G1372*10/11,0),IF($H1372=8,$G1372,0)))))</f>
        <v/>
      </c>
      <c r="M1372" s="364" t="str">
        <f>IF($G1372="","",IF($H1372=1,ROUND($G1372/23,0),IF($H1372=3,ROUND($G1372/12,0),IF($H1372=6,$G1372,IF($H1372=7,$G1372-ROUND($G1372*10/11,0),0)))))</f>
        <v/>
      </c>
      <c r="N1372" s="364" t="str">
        <f>IF($G1372="","",K1372+L1372+M1372)</f>
        <v/>
      </c>
      <c r="O1372" s="365" t="str">
        <f>IF($G1372="","",IFERROR(VLOOKUP($D1372&amp;"|"&amp;$E1372,科目表!$A$5:$B$200,2,FALSE),"※未登録"))</f>
        <v/>
      </c>
      <c r="P1372" s="359" t="str">
        <f>IF(OR($G1372="",$C1372=""),"",IF($B1372="決算整理",13,MOD(MONTH($C1372)-4,12)+1))</f>
        <v/>
      </c>
      <c r="Q1372" s="366" t="str">
        <f>IF($G1372="","",TRIM(IF(J1372+K1372+L1372+M1372&lt;&gt;$G1372,"按分不一致 ","")&amp;IF(O1372="※未登録","科目未登録 ","")&amp;IF(OR($H1372="",ISERROR(MATCH($H1372,{1,2,3,4,5,6,7,8},0))),"経費区分? ","")&amp;IF($I1372="","状態未設定 ","")&amp;IF(AND(OR($I1372="確認済",$I1372="未確認"),$B1372="月例",OR($C1372="",$C1372&lt;DATE(年度+2018,4,1),$C1372&gt;DATE(年度+2019,3,31))),"年度外の日付 ","")&amp;IF(AND(OR($I1372="確認済",$I1372="未確認"),O1372="対象外"),"対象外の科目 ","")))</f>
        <v/>
      </c>
      <c r="R1372" s="366" t="n"/>
    </row>
    <row r="1373">
      <c r="A1373" s="359" t="n"/>
      <c r="B1373" s="360" t="n"/>
      <c r="C1373" s="361" t="n"/>
      <c r="D1373" s="362" t="n"/>
      <c r="E1373" s="362" t="n"/>
      <c r="F1373" s="362" t="n"/>
      <c r="G1373" s="363" t="n"/>
      <c r="H1373" s="360" t="n"/>
      <c r="I1373" s="360" t="n"/>
      <c r="J1373" s="364" t="str">
        <f>IF($G1373="","",IF($H1373=1,$G1373-ROUND($G1373*10/23,0)-2*ROUND($G1373/23,0),IF($H1373=2,$G1373,0)))</f>
        <v/>
      </c>
      <c r="K1373" s="364" t="str">
        <f>IF($G1373="","",IF($H1373=1,ROUND($G1373*10/23,0),IF($H1373=3,$G1373-2*ROUND($G1373/12,0),IF($H1373=4,$G1373,IF(OR($H1373=5,$H1373=7),ROUND($G1373*10/11,0),0)))))</f>
        <v/>
      </c>
      <c r="L1373" s="364" t="str">
        <f>IF($G1373="","",IF($H1373=1,ROUND($G1373/23,0),IF($H1373=3,ROUND($G1373/12,0),IF($H1373=5,$G1373-ROUND($G1373*10/11,0),IF($H1373=8,$G1373,0)))))</f>
        <v/>
      </c>
      <c r="M1373" s="364" t="str">
        <f>IF($G1373="","",IF($H1373=1,ROUND($G1373/23,0),IF($H1373=3,ROUND($G1373/12,0),IF($H1373=6,$G1373,IF($H1373=7,$G1373-ROUND($G1373*10/11,0),0)))))</f>
        <v/>
      </c>
      <c r="N1373" s="364" t="str">
        <f>IF($G1373="","",K1373+L1373+M1373)</f>
        <v/>
      </c>
      <c r="O1373" s="365" t="str">
        <f>IF($G1373="","",IFERROR(VLOOKUP($D1373&amp;"|"&amp;$E1373,科目表!$A$5:$B$200,2,FALSE),"※未登録"))</f>
        <v/>
      </c>
      <c r="P1373" s="359" t="str">
        <f>IF(OR($G1373="",$C1373=""),"",IF($B1373="決算整理",13,MOD(MONTH($C1373)-4,12)+1))</f>
        <v/>
      </c>
      <c r="Q1373" s="366" t="str">
        <f>IF($G1373="","",TRIM(IF(J1373+K1373+L1373+M1373&lt;&gt;$G1373,"按分不一致 ","")&amp;IF(O1373="※未登録","科目未登録 ","")&amp;IF(OR($H1373="",ISERROR(MATCH($H1373,{1,2,3,4,5,6,7,8},0))),"経費区分? ","")&amp;IF($I1373="","状態未設定 ","")&amp;IF(AND(OR($I1373="確認済",$I1373="未確認"),$B1373="月例",OR($C1373="",$C1373&lt;DATE(年度+2018,4,1),$C1373&gt;DATE(年度+2019,3,31))),"年度外の日付 ","")&amp;IF(AND(OR($I1373="確認済",$I1373="未確認"),O1373="対象外"),"対象外の科目 ","")))</f>
        <v/>
      </c>
      <c r="R1373" s="366" t="n"/>
    </row>
    <row r="1374">
      <c r="A1374" s="359" t="n"/>
      <c r="B1374" s="360" t="n"/>
      <c r="C1374" s="361" t="n"/>
      <c r="D1374" s="362" t="n"/>
      <c r="E1374" s="362" t="n"/>
      <c r="F1374" s="362" t="n"/>
      <c r="G1374" s="363" t="n"/>
      <c r="H1374" s="360" t="n"/>
      <c r="I1374" s="360" t="n"/>
      <c r="J1374" s="364" t="str">
        <f>IF($G1374="","",IF($H1374=1,$G1374-ROUND($G1374*10/23,0)-2*ROUND($G1374/23,0),IF($H1374=2,$G1374,0)))</f>
        <v/>
      </c>
      <c r="K1374" s="364" t="str">
        <f>IF($G1374="","",IF($H1374=1,ROUND($G1374*10/23,0),IF($H1374=3,$G1374-2*ROUND($G1374/12,0),IF($H1374=4,$G1374,IF(OR($H1374=5,$H1374=7),ROUND($G1374*10/11,0),0)))))</f>
        <v/>
      </c>
      <c r="L1374" s="364" t="str">
        <f>IF($G1374="","",IF($H1374=1,ROUND($G1374/23,0),IF($H1374=3,ROUND($G1374/12,0),IF($H1374=5,$G1374-ROUND($G1374*10/11,0),IF($H1374=8,$G1374,0)))))</f>
        <v/>
      </c>
      <c r="M1374" s="364" t="str">
        <f>IF($G1374="","",IF($H1374=1,ROUND($G1374/23,0),IF($H1374=3,ROUND($G1374/12,0),IF($H1374=6,$G1374,IF($H1374=7,$G1374-ROUND($G1374*10/11,0),0)))))</f>
        <v/>
      </c>
      <c r="N1374" s="364" t="str">
        <f>IF($G1374="","",K1374+L1374+M1374)</f>
        <v/>
      </c>
      <c r="O1374" s="365" t="str">
        <f>IF($G1374="","",IFERROR(VLOOKUP($D1374&amp;"|"&amp;$E1374,科目表!$A$5:$B$200,2,FALSE),"※未登録"))</f>
        <v/>
      </c>
      <c r="P1374" s="359" t="str">
        <f>IF(OR($G1374="",$C1374=""),"",IF($B1374="決算整理",13,MOD(MONTH($C1374)-4,12)+1))</f>
        <v/>
      </c>
      <c r="Q1374" s="366" t="str">
        <f>IF($G1374="","",TRIM(IF(J1374+K1374+L1374+M1374&lt;&gt;$G1374,"按分不一致 ","")&amp;IF(O1374="※未登録","科目未登録 ","")&amp;IF(OR($H1374="",ISERROR(MATCH($H1374,{1,2,3,4,5,6,7,8},0))),"経費区分? ","")&amp;IF($I1374="","状態未設定 ","")&amp;IF(AND(OR($I1374="確認済",$I1374="未確認"),$B1374="月例",OR($C1374="",$C1374&lt;DATE(年度+2018,4,1),$C1374&gt;DATE(年度+2019,3,31))),"年度外の日付 ","")&amp;IF(AND(OR($I1374="確認済",$I1374="未確認"),O1374="対象外"),"対象外の科目 ","")))</f>
        <v/>
      </c>
      <c r="R1374" s="366" t="n"/>
    </row>
    <row r="1375">
      <c r="A1375" s="359" t="n"/>
      <c r="B1375" s="360" t="n"/>
      <c r="C1375" s="361" t="n"/>
      <c r="D1375" s="362" t="n"/>
      <c r="E1375" s="362" t="n"/>
      <c r="F1375" s="362" t="n"/>
      <c r="G1375" s="363" t="n"/>
      <c r="H1375" s="360" t="n"/>
      <c r="I1375" s="360" t="n"/>
      <c r="J1375" s="364" t="str">
        <f>IF($G1375="","",IF($H1375=1,$G1375-ROUND($G1375*10/23,0)-2*ROUND($G1375/23,0),IF($H1375=2,$G1375,0)))</f>
        <v/>
      </c>
      <c r="K1375" s="364" t="str">
        <f>IF($G1375="","",IF($H1375=1,ROUND($G1375*10/23,0),IF($H1375=3,$G1375-2*ROUND($G1375/12,0),IF($H1375=4,$G1375,IF(OR($H1375=5,$H1375=7),ROUND($G1375*10/11,0),0)))))</f>
        <v/>
      </c>
      <c r="L1375" s="364" t="str">
        <f>IF($G1375="","",IF($H1375=1,ROUND($G1375/23,0),IF($H1375=3,ROUND($G1375/12,0),IF($H1375=5,$G1375-ROUND($G1375*10/11,0),IF($H1375=8,$G1375,0)))))</f>
        <v/>
      </c>
      <c r="M1375" s="364" t="str">
        <f>IF($G1375="","",IF($H1375=1,ROUND($G1375/23,0),IF($H1375=3,ROUND($G1375/12,0),IF($H1375=6,$G1375,IF($H1375=7,$G1375-ROUND($G1375*10/11,0),0)))))</f>
        <v/>
      </c>
      <c r="N1375" s="364" t="str">
        <f>IF($G1375="","",K1375+L1375+M1375)</f>
        <v/>
      </c>
      <c r="O1375" s="365" t="str">
        <f>IF($G1375="","",IFERROR(VLOOKUP($D1375&amp;"|"&amp;$E1375,科目表!$A$5:$B$200,2,FALSE),"※未登録"))</f>
        <v/>
      </c>
      <c r="P1375" s="359" t="str">
        <f>IF(OR($G1375="",$C1375=""),"",IF($B1375="決算整理",13,MOD(MONTH($C1375)-4,12)+1))</f>
        <v/>
      </c>
      <c r="Q1375" s="366" t="str">
        <f>IF($G1375="","",TRIM(IF(J1375+K1375+L1375+M1375&lt;&gt;$G1375,"按分不一致 ","")&amp;IF(O1375="※未登録","科目未登録 ","")&amp;IF(OR($H1375="",ISERROR(MATCH($H1375,{1,2,3,4,5,6,7,8},0))),"経費区分? ","")&amp;IF($I1375="","状態未設定 ","")&amp;IF(AND(OR($I1375="確認済",$I1375="未確認"),$B1375="月例",OR($C1375="",$C1375&lt;DATE(年度+2018,4,1),$C1375&gt;DATE(年度+2019,3,31))),"年度外の日付 ","")&amp;IF(AND(OR($I1375="確認済",$I1375="未確認"),O1375="対象外"),"対象外の科目 ","")))</f>
        <v/>
      </c>
      <c r="R1375" s="366" t="n"/>
    </row>
    <row r="1376">
      <c r="A1376" s="359" t="n"/>
      <c r="B1376" s="360" t="n"/>
      <c r="C1376" s="361" t="n"/>
      <c r="D1376" s="362" t="n"/>
      <c r="E1376" s="362" t="n"/>
      <c r="F1376" s="362" t="n"/>
      <c r="G1376" s="363" t="n"/>
      <c r="H1376" s="360" t="n"/>
      <c r="I1376" s="360" t="n"/>
      <c r="J1376" s="364" t="str">
        <f>IF($G1376="","",IF($H1376=1,$G1376-ROUND($G1376*10/23,0)-2*ROUND($G1376/23,0),IF($H1376=2,$G1376,0)))</f>
        <v/>
      </c>
      <c r="K1376" s="364" t="str">
        <f>IF($G1376="","",IF($H1376=1,ROUND($G1376*10/23,0),IF($H1376=3,$G1376-2*ROUND($G1376/12,0),IF($H1376=4,$G1376,IF(OR($H1376=5,$H1376=7),ROUND($G1376*10/11,0),0)))))</f>
        <v/>
      </c>
      <c r="L1376" s="364" t="str">
        <f>IF($G1376="","",IF($H1376=1,ROUND($G1376/23,0),IF($H1376=3,ROUND($G1376/12,0),IF($H1376=5,$G1376-ROUND($G1376*10/11,0),IF($H1376=8,$G1376,0)))))</f>
        <v/>
      </c>
      <c r="M1376" s="364" t="str">
        <f>IF($G1376="","",IF($H1376=1,ROUND($G1376/23,0),IF($H1376=3,ROUND($G1376/12,0),IF($H1376=6,$G1376,IF($H1376=7,$G1376-ROUND($G1376*10/11,0),0)))))</f>
        <v/>
      </c>
      <c r="N1376" s="364" t="str">
        <f>IF($G1376="","",K1376+L1376+M1376)</f>
        <v/>
      </c>
      <c r="O1376" s="365" t="str">
        <f>IF($G1376="","",IFERROR(VLOOKUP($D1376&amp;"|"&amp;$E1376,科目表!$A$5:$B$200,2,FALSE),"※未登録"))</f>
        <v/>
      </c>
      <c r="P1376" s="359" t="str">
        <f>IF(OR($G1376="",$C1376=""),"",IF($B1376="決算整理",13,MOD(MONTH($C1376)-4,12)+1))</f>
        <v/>
      </c>
      <c r="Q1376" s="366" t="str">
        <f>IF($G1376="","",TRIM(IF(J1376+K1376+L1376+M1376&lt;&gt;$G1376,"按分不一致 ","")&amp;IF(O1376="※未登録","科目未登録 ","")&amp;IF(OR($H1376="",ISERROR(MATCH($H1376,{1,2,3,4,5,6,7,8},0))),"経費区分? ","")&amp;IF($I1376="","状態未設定 ","")&amp;IF(AND(OR($I1376="確認済",$I1376="未確認"),$B1376="月例",OR($C1376="",$C1376&lt;DATE(年度+2018,4,1),$C1376&gt;DATE(年度+2019,3,31))),"年度外の日付 ","")&amp;IF(AND(OR($I1376="確認済",$I1376="未確認"),O1376="対象外"),"対象外の科目 ","")))</f>
        <v/>
      </c>
      <c r="R1376" s="366" t="n"/>
    </row>
    <row r="1377">
      <c r="A1377" s="359" t="n"/>
      <c r="B1377" s="360" t="n"/>
      <c r="C1377" s="361" t="n"/>
      <c r="D1377" s="362" t="n"/>
      <c r="E1377" s="362" t="n"/>
      <c r="F1377" s="362" t="n"/>
      <c r="G1377" s="363" t="n"/>
      <c r="H1377" s="360" t="n"/>
      <c r="I1377" s="360" t="n"/>
      <c r="J1377" s="364" t="str">
        <f>IF($G1377="","",IF($H1377=1,$G1377-ROUND($G1377*10/23,0)-2*ROUND($G1377/23,0),IF($H1377=2,$G1377,0)))</f>
        <v/>
      </c>
      <c r="K1377" s="364" t="str">
        <f>IF($G1377="","",IF($H1377=1,ROUND($G1377*10/23,0),IF($H1377=3,$G1377-2*ROUND($G1377/12,0),IF($H1377=4,$G1377,IF(OR($H1377=5,$H1377=7),ROUND($G1377*10/11,0),0)))))</f>
        <v/>
      </c>
      <c r="L1377" s="364" t="str">
        <f>IF($G1377="","",IF($H1377=1,ROUND($G1377/23,0),IF($H1377=3,ROUND($G1377/12,0),IF($H1377=5,$G1377-ROUND($G1377*10/11,0),IF($H1377=8,$G1377,0)))))</f>
        <v/>
      </c>
      <c r="M1377" s="364" t="str">
        <f>IF($G1377="","",IF($H1377=1,ROUND($G1377/23,0),IF($H1377=3,ROUND($G1377/12,0),IF($H1377=6,$G1377,IF($H1377=7,$G1377-ROUND($G1377*10/11,0),0)))))</f>
        <v/>
      </c>
      <c r="N1377" s="364" t="str">
        <f>IF($G1377="","",K1377+L1377+M1377)</f>
        <v/>
      </c>
      <c r="O1377" s="365" t="str">
        <f>IF($G1377="","",IFERROR(VLOOKUP($D1377&amp;"|"&amp;$E1377,科目表!$A$5:$B$200,2,FALSE),"※未登録"))</f>
        <v/>
      </c>
      <c r="P1377" s="359" t="str">
        <f>IF(OR($G1377="",$C1377=""),"",IF($B1377="決算整理",13,MOD(MONTH($C1377)-4,12)+1))</f>
        <v/>
      </c>
      <c r="Q1377" s="366" t="str">
        <f>IF($G1377="","",TRIM(IF(J1377+K1377+L1377+M1377&lt;&gt;$G1377,"按分不一致 ","")&amp;IF(O1377="※未登録","科目未登録 ","")&amp;IF(OR($H1377="",ISERROR(MATCH($H1377,{1,2,3,4,5,6,7,8},0))),"経費区分? ","")&amp;IF($I1377="","状態未設定 ","")&amp;IF(AND(OR($I1377="確認済",$I1377="未確認"),$B1377="月例",OR($C1377="",$C1377&lt;DATE(年度+2018,4,1),$C1377&gt;DATE(年度+2019,3,31))),"年度外の日付 ","")&amp;IF(AND(OR($I1377="確認済",$I1377="未確認"),O1377="対象外"),"対象外の科目 ","")))</f>
        <v/>
      </c>
      <c r="R1377" s="366" t="n"/>
    </row>
    <row r="1378">
      <c r="A1378" s="359" t="n"/>
      <c r="B1378" s="360" t="n"/>
      <c r="C1378" s="361" t="n"/>
      <c r="D1378" s="362" t="n"/>
      <c r="E1378" s="362" t="n"/>
      <c r="F1378" s="362" t="n"/>
      <c r="G1378" s="363" t="n"/>
      <c r="H1378" s="360" t="n"/>
      <c r="I1378" s="360" t="n"/>
      <c r="J1378" s="364" t="str">
        <f>IF($G1378="","",IF($H1378=1,$G1378-ROUND($G1378*10/23,0)-2*ROUND($G1378/23,0),IF($H1378=2,$G1378,0)))</f>
        <v/>
      </c>
      <c r="K1378" s="364" t="str">
        <f>IF($G1378="","",IF($H1378=1,ROUND($G1378*10/23,0),IF($H1378=3,$G1378-2*ROUND($G1378/12,0),IF($H1378=4,$G1378,IF(OR($H1378=5,$H1378=7),ROUND($G1378*10/11,0),0)))))</f>
        <v/>
      </c>
      <c r="L1378" s="364" t="str">
        <f>IF($G1378="","",IF($H1378=1,ROUND($G1378/23,0),IF($H1378=3,ROUND($G1378/12,0),IF($H1378=5,$G1378-ROUND($G1378*10/11,0),IF($H1378=8,$G1378,0)))))</f>
        <v/>
      </c>
      <c r="M1378" s="364" t="str">
        <f>IF($G1378="","",IF($H1378=1,ROUND($G1378/23,0),IF($H1378=3,ROUND($G1378/12,0),IF($H1378=6,$G1378,IF($H1378=7,$G1378-ROUND($G1378*10/11,0),0)))))</f>
        <v/>
      </c>
      <c r="N1378" s="364" t="str">
        <f>IF($G1378="","",K1378+L1378+M1378)</f>
        <v/>
      </c>
      <c r="O1378" s="365" t="str">
        <f>IF($G1378="","",IFERROR(VLOOKUP($D1378&amp;"|"&amp;$E1378,科目表!$A$5:$B$200,2,FALSE),"※未登録"))</f>
        <v/>
      </c>
      <c r="P1378" s="359" t="str">
        <f>IF(OR($G1378="",$C1378=""),"",IF($B1378="決算整理",13,MOD(MONTH($C1378)-4,12)+1))</f>
        <v/>
      </c>
      <c r="Q1378" s="366" t="str">
        <f>IF($G1378="","",TRIM(IF(J1378+K1378+L1378+M1378&lt;&gt;$G1378,"按分不一致 ","")&amp;IF(O1378="※未登録","科目未登録 ","")&amp;IF(OR($H1378="",ISERROR(MATCH($H1378,{1,2,3,4,5,6,7,8},0))),"経費区分? ","")&amp;IF($I1378="","状態未設定 ","")&amp;IF(AND(OR($I1378="確認済",$I1378="未確認"),$B1378="月例",OR($C1378="",$C1378&lt;DATE(年度+2018,4,1),$C1378&gt;DATE(年度+2019,3,31))),"年度外の日付 ","")&amp;IF(AND(OR($I1378="確認済",$I1378="未確認"),O1378="対象外"),"対象外の科目 ","")))</f>
        <v/>
      </c>
      <c r="R1378" s="366" t="n"/>
    </row>
    <row r="1379">
      <c r="A1379" s="359" t="n"/>
      <c r="B1379" s="360" t="n"/>
      <c r="C1379" s="361" t="n"/>
      <c r="D1379" s="362" t="n"/>
      <c r="E1379" s="362" t="n"/>
      <c r="F1379" s="362" t="n"/>
      <c r="G1379" s="363" t="n"/>
      <c r="H1379" s="360" t="n"/>
      <c r="I1379" s="360" t="n"/>
      <c r="J1379" s="364" t="str">
        <f>IF($G1379="","",IF($H1379=1,$G1379-ROUND($G1379*10/23,0)-2*ROUND($G1379/23,0),IF($H1379=2,$G1379,0)))</f>
        <v/>
      </c>
      <c r="K1379" s="364" t="str">
        <f>IF($G1379="","",IF($H1379=1,ROUND($G1379*10/23,0),IF($H1379=3,$G1379-2*ROUND($G1379/12,0),IF($H1379=4,$G1379,IF(OR($H1379=5,$H1379=7),ROUND($G1379*10/11,0),0)))))</f>
        <v/>
      </c>
      <c r="L1379" s="364" t="str">
        <f>IF($G1379="","",IF($H1379=1,ROUND($G1379/23,0),IF($H1379=3,ROUND($G1379/12,0),IF($H1379=5,$G1379-ROUND($G1379*10/11,0),IF($H1379=8,$G1379,0)))))</f>
        <v/>
      </c>
      <c r="M1379" s="364" t="str">
        <f>IF($G1379="","",IF($H1379=1,ROUND($G1379/23,0),IF($H1379=3,ROUND($G1379/12,0),IF($H1379=6,$G1379,IF($H1379=7,$G1379-ROUND($G1379*10/11,0),0)))))</f>
        <v/>
      </c>
      <c r="N1379" s="364" t="str">
        <f>IF($G1379="","",K1379+L1379+M1379)</f>
        <v/>
      </c>
      <c r="O1379" s="365" t="str">
        <f>IF($G1379="","",IFERROR(VLOOKUP($D1379&amp;"|"&amp;$E1379,科目表!$A$5:$B$200,2,FALSE),"※未登録"))</f>
        <v/>
      </c>
      <c r="P1379" s="359" t="str">
        <f>IF(OR($G1379="",$C1379=""),"",IF($B1379="決算整理",13,MOD(MONTH($C1379)-4,12)+1))</f>
        <v/>
      </c>
      <c r="Q1379" s="366" t="str">
        <f>IF($G1379="","",TRIM(IF(J1379+K1379+L1379+M1379&lt;&gt;$G1379,"按分不一致 ","")&amp;IF(O1379="※未登録","科目未登録 ","")&amp;IF(OR($H1379="",ISERROR(MATCH($H1379,{1,2,3,4,5,6,7,8},0))),"経費区分? ","")&amp;IF($I1379="","状態未設定 ","")&amp;IF(AND(OR($I1379="確認済",$I1379="未確認"),$B1379="月例",OR($C1379="",$C1379&lt;DATE(年度+2018,4,1),$C1379&gt;DATE(年度+2019,3,31))),"年度外の日付 ","")&amp;IF(AND(OR($I1379="確認済",$I1379="未確認"),O1379="対象外"),"対象外の科目 ","")))</f>
        <v/>
      </c>
      <c r="R1379" s="366" t="n"/>
    </row>
    <row r="1380">
      <c r="A1380" s="359" t="n"/>
      <c r="B1380" s="360" t="n"/>
      <c r="C1380" s="361" t="n"/>
      <c r="D1380" s="362" t="n"/>
      <c r="E1380" s="362" t="n"/>
      <c r="F1380" s="362" t="n"/>
      <c r="G1380" s="363" t="n"/>
      <c r="H1380" s="360" t="n"/>
      <c r="I1380" s="360" t="n"/>
      <c r="J1380" s="364" t="str">
        <f>IF($G1380="","",IF($H1380=1,$G1380-ROUND($G1380*10/23,0)-2*ROUND($G1380/23,0),IF($H1380=2,$G1380,0)))</f>
        <v/>
      </c>
      <c r="K1380" s="364" t="str">
        <f>IF($G1380="","",IF($H1380=1,ROUND($G1380*10/23,0),IF($H1380=3,$G1380-2*ROUND($G1380/12,0),IF($H1380=4,$G1380,IF(OR($H1380=5,$H1380=7),ROUND($G1380*10/11,0),0)))))</f>
        <v/>
      </c>
      <c r="L1380" s="364" t="str">
        <f>IF($G1380="","",IF($H1380=1,ROUND($G1380/23,0),IF($H1380=3,ROUND($G1380/12,0),IF($H1380=5,$G1380-ROUND($G1380*10/11,0),IF($H1380=8,$G1380,0)))))</f>
        <v/>
      </c>
      <c r="M1380" s="364" t="str">
        <f>IF($G1380="","",IF($H1380=1,ROUND($G1380/23,0),IF($H1380=3,ROUND($G1380/12,0),IF($H1380=6,$G1380,IF($H1380=7,$G1380-ROUND($G1380*10/11,0),0)))))</f>
        <v/>
      </c>
      <c r="N1380" s="364" t="str">
        <f>IF($G1380="","",K1380+L1380+M1380)</f>
        <v/>
      </c>
      <c r="O1380" s="365" t="str">
        <f>IF($G1380="","",IFERROR(VLOOKUP($D1380&amp;"|"&amp;$E1380,科目表!$A$5:$B$200,2,FALSE),"※未登録"))</f>
        <v/>
      </c>
      <c r="P1380" s="359" t="str">
        <f>IF(OR($G1380="",$C1380=""),"",IF($B1380="決算整理",13,MOD(MONTH($C1380)-4,12)+1))</f>
        <v/>
      </c>
      <c r="Q1380" s="366" t="str">
        <f>IF($G1380="","",TRIM(IF(J1380+K1380+L1380+M1380&lt;&gt;$G1380,"按分不一致 ","")&amp;IF(O1380="※未登録","科目未登録 ","")&amp;IF(OR($H1380="",ISERROR(MATCH($H1380,{1,2,3,4,5,6,7,8},0))),"経費区分? ","")&amp;IF($I1380="","状態未設定 ","")&amp;IF(AND(OR($I1380="確認済",$I1380="未確認"),$B1380="月例",OR($C1380="",$C1380&lt;DATE(年度+2018,4,1),$C1380&gt;DATE(年度+2019,3,31))),"年度外の日付 ","")&amp;IF(AND(OR($I1380="確認済",$I1380="未確認"),O1380="対象外"),"対象外の科目 ","")))</f>
        <v/>
      </c>
      <c r="R1380" s="366" t="n"/>
    </row>
    <row r="1381">
      <c r="A1381" s="359" t="n"/>
      <c r="B1381" s="360" t="n"/>
      <c r="C1381" s="361" t="n"/>
      <c r="D1381" s="362" t="n"/>
      <c r="E1381" s="362" t="n"/>
      <c r="F1381" s="362" t="n"/>
      <c r="G1381" s="363" t="n"/>
      <c r="H1381" s="360" t="n"/>
      <c r="I1381" s="360" t="n"/>
      <c r="J1381" s="364" t="str">
        <f>IF($G1381="","",IF($H1381=1,$G1381-ROUND($G1381*10/23,0)-2*ROUND($G1381/23,0),IF($H1381=2,$G1381,0)))</f>
        <v/>
      </c>
      <c r="K1381" s="364" t="str">
        <f>IF($G1381="","",IF($H1381=1,ROUND($G1381*10/23,0),IF($H1381=3,$G1381-2*ROUND($G1381/12,0),IF($H1381=4,$G1381,IF(OR($H1381=5,$H1381=7),ROUND($G1381*10/11,0),0)))))</f>
        <v/>
      </c>
      <c r="L1381" s="364" t="str">
        <f>IF($G1381="","",IF($H1381=1,ROUND($G1381/23,0),IF($H1381=3,ROUND($G1381/12,0),IF($H1381=5,$G1381-ROUND($G1381*10/11,0),IF($H1381=8,$G1381,0)))))</f>
        <v/>
      </c>
      <c r="M1381" s="364" t="str">
        <f>IF($G1381="","",IF($H1381=1,ROUND($G1381/23,0),IF($H1381=3,ROUND($G1381/12,0),IF($H1381=6,$G1381,IF($H1381=7,$G1381-ROUND($G1381*10/11,0),0)))))</f>
        <v/>
      </c>
      <c r="N1381" s="364" t="str">
        <f>IF($G1381="","",K1381+L1381+M1381)</f>
        <v/>
      </c>
      <c r="O1381" s="365" t="str">
        <f>IF($G1381="","",IFERROR(VLOOKUP($D1381&amp;"|"&amp;$E1381,科目表!$A$5:$B$200,2,FALSE),"※未登録"))</f>
        <v/>
      </c>
      <c r="P1381" s="359" t="str">
        <f>IF(OR($G1381="",$C1381=""),"",IF($B1381="決算整理",13,MOD(MONTH($C1381)-4,12)+1))</f>
        <v/>
      </c>
      <c r="Q1381" s="366" t="str">
        <f>IF($G1381="","",TRIM(IF(J1381+K1381+L1381+M1381&lt;&gt;$G1381,"按分不一致 ","")&amp;IF(O1381="※未登録","科目未登録 ","")&amp;IF(OR($H1381="",ISERROR(MATCH($H1381,{1,2,3,4,5,6,7,8},0))),"経費区分? ","")&amp;IF($I1381="","状態未設定 ","")&amp;IF(AND(OR($I1381="確認済",$I1381="未確認"),$B1381="月例",OR($C1381="",$C1381&lt;DATE(年度+2018,4,1),$C1381&gt;DATE(年度+2019,3,31))),"年度外の日付 ","")&amp;IF(AND(OR($I1381="確認済",$I1381="未確認"),O1381="対象外"),"対象外の科目 ","")))</f>
        <v/>
      </c>
      <c r="R1381" s="366" t="n"/>
    </row>
    <row r="1382">
      <c r="A1382" s="359" t="n"/>
      <c r="B1382" s="360" t="n"/>
      <c r="C1382" s="361" t="n"/>
      <c r="D1382" s="362" t="n"/>
      <c r="E1382" s="362" t="n"/>
      <c r="F1382" s="362" t="n"/>
      <c r="G1382" s="363" t="n"/>
      <c r="H1382" s="360" t="n"/>
      <c r="I1382" s="360" t="n"/>
      <c r="J1382" s="364" t="str">
        <f>IF($G1382="","",IF($H1382=1,$G1382-ROUND($G1382*10/23,0)-2*ROUND($G1382/23,0),IF($H1382=2,$G1382,0)))</f>
        <v/>
      </c>
      <c r="K1382" s="364" t="str">
        <f>IF($G1382="","",IF($H1382=1,ROUND($G1382*10/23,0),IF($H1382=3,$G1382-2*ROUND($G1382/12,0),IF($H1382=4,$G1382,IF(OR($H1382=5,$H1382=7),ROUND($G1382*10/11,0),0)))))</f>
        <v/>
      </c>
      <c r="L1382" s="364" t="str">
        <f>IF($G1382="","",IF($H1382=1,ROUND($G1382/23,0),IF($H1382=3,ROUND($G1382/12,0),IF($H1382=5,$G1382-ROUND($G1382*10/11,0),IF($H1382=8,$G1382,0)))))</f>
        <v/>
      </c>
      <c r="M1382" s="364" t="str">
        <f>IF($G1382="","",IF($H1382=1,ROUND($G1382/23,0),IF($H1382=3,ROUND($G1382/12,0),IF($H1382=6,$G1382,IF($H1382=7,$G1382-ROUND($G1382*10/11,0),0)))))</f>
        <v/>
      </c>
      <c r="N1382" s="364" t="str">
        <f>IF($G1382="","",K1382+L1382+M1382)</f>
        <v/>
      </c>
      <c r="O1382" s="365" t="str">
        <f>IF($G1382="","",IFERROR(VLOOKUP($D1382&amp;"|"&amp;$E1382,科目表!$A$5:$B$200,2,FALSE),"※未登録"))</f>
        <v/>
      </c>
      <c r="P1382" s="359" t="str">
        <f>IF(OR($G1382="",$C1382=""),"",IF($B1382="決算整理",13,MOD(MONTH($C1382)-4,12)+1))</f>
        <v/>
      </c>
      <c r="Q1382" s="366" t="str">
        <f>IF($G1382="","",TRIM(IF(J1382+K1382+L1382+M1382&lt;&gt;$G1382,"按分不一致 ","")&amp;IF(O1382="※未登録","科目未登録 ","")&amp;IF(OR($H1382="",ISERROR(MATCH($H1382,{1,2,3,4,5,6,7,8},0))),"経費区分? ","")&amp;IF($I1382="","状態未設定 ","")&amp;IF(AND(OR($I1382="確認済",$I1382="未確認"),$B1382="月例",OR($C1382="",$C1382&lt;DATE(年度+2018,4,1),$C1382&gt;DATE(年度+2019,3,31))),"年度外の日付 ","")&amp;IF(AND(OR($I1382="確認済",$I1382="未確認"),O1382="対象外"),"対象外の科目 ","")))</f>
        <v/>
      </c>
      <c r="R1382" s="366" t="n"/>
    </row>
    <row r="1383">
      <c r="A1383" s="359" t="n"/>
      <c r="B1383" s="360" t="n"/>
      <c r="C1383" s="361" t="n"/>
      <c r="D1383" s="362" t="n"/>
      <c r="E1383" s="362" t="n"/>
      <c r="F1383" s="362" t="n"/>
      <c r="G1383" s="363" t="n"/>
      <c r="H1383" s="360" t="n"/>
      <c r="I1383" s="360" t="n"/>
      <c r="J1383" s="364" t="str">
        <f>IF($G1383="","",IF($H1383=1,$G1383-ROUND($G1383*10/23,0)-2*ROUND($G1383/23,0),IF($H1383=2,$G1383,0)))</f>
        <v/>
      </c>
      <c r="K1383" s="364" t="str">
        <f>IF($G1383="","",IF($H1383=1,ROUND($G1383*10/23,0),IF($H1383=3,$G1383-2*ROUND($G1383/12,0),IF($H1383=4,$G1383,IF(OR($H1383=5,$H1383=7),ROUND($G1383*10/11,0),0)))))</f>
        <v/>
      </c>
      <c r="L1383" s="364" t="str">
        <f>IF($G1383="","",IF($H1383=1,ROUND($G1383/23,0),IF($H1383=3,ROUND($G1383/12,0),IF($H1383=5,$G1383-ROUND($G1383*10/11,0),IF($H1383=8,$G1383,0)))))</f>
        <v/>
      </c>
      <c r="M1383" s="364" t="str">
        <f>IF($G1383="","",IF($H1383=1,ROUND($G1383/23,0),IF($H1383=3,ROUND($G1383/12,0),IF($H1383=6,$G1383,IF($H1383=7,$G1383-ROUND($G1383*10/11,0),0)))))</f>
        <v/>
      </c>
      <c r="N1383" s="364" t="str">
        <f>IF($G1383="","",K1383+L1383+M1383)</f>
        <v/>
      </c>
      <c r="O1383" s="365" t="str">
        <f>IF($G1383="","",IFERROR(VLOOKUP($D1383&amp;"|"&amp;$E1383,科目表!$A$5:$B$200,2,FALSE),"※未登録"))</f>
        <v/>
      </c>
      <c r="P1383" s="359" t="str">
        <f>IF(OR($G1383="",$C1383=""),"",IF($B1383="決算整理",13,MOD(MONTH($C1383)-4,12)+1))</f>
        <v/>
      </c>
      <c r="Q1383" s="366" t="str">
        <f>IF($G1383="","",TRIM(IF(J1383+K1383+L1383+M1383&lt;&gt;$G1383,"按分不一致 ","")&amp;IF(O1383="※未登録","科目未登録 ","")&amp;IF(OR($H1383="",ISERROR(MATCH($H1383,{1,2,3,4,5,6,7,8},0))),"経費区分? ","")&amp;IF($I1383="","状態未設定 ","")&amp;IF(AND(OR($I1383="確認済",$I1383="未確認"),$B1383="月例",OR($C1383="",$C1383&lt;DATE(年度+2018,4,1),$C1383&gt;DATE(年度+2019,3,31))),"年度外の日付 ","")&amp;IF(AND(OR($I1383="確認済",$I1383="未確認"),O1383="対象外"),"対象外の科目 ","")))</f>
        <v/>
      </c>
      <c r="R1383" s="366" t="n"/>
    </row>
    <row r="1384">
      <c r="A1384" s="359" t="n"/>
      <c r="B1384" s="360" t="n"/>
      <c r="C1384" s="361" t="n"/>
      <c r="D1384" s="362" t="n"/>
      <c r="E1384" s="362" t="n"/>
      <c r="F1384" s="362" t="n"/>
      <c r="G1384" s="363" t="n"/>
      <c r="H1384" s="360" t="n"/>
      <c r="I1384" s="360" t="n"/>
      <c r="J1384" s="364" t="str">
        <f>IF($G1384="","",IF($H1384=1,$G1384-ROUND($G1384*10/23,0)-2*ROUND($G1384/23,0),IF($H1384=2,$G1384,0)))</f>
        <v/>
      </c>
      <c r="K1384" s="364" t="str">
        <f>IF($G1384="","",IF($H1384=1,ROUND($G1384*10/23,0),IF($H1384=3,$G1384-2*ROUND($G1384/12,0),IF($H1384=4,$G1384,IF(OR($H1384=5,$H1384=7),ROUND($G1384*10/11,0),0)))))</f>
        <v/>
      </c>
      <c r="L1384" s="364" t="str">
        <f>IF($G1384="","",IF($H1384=1,ROUND($G1384/23,0),IF($H1384=3,ROUND($G1384/12,0),IF($H1384=5,$G1384-ROUND($G1384*10/11,0),IF($H1384=8,$G1384,0)))))</f>
        <v/>
      </c>
      <c r="M1384" s="364" t="str">
        <f>IF($G1384="","",IF($H1384=1,ROUND($G1384/23,0),IF($H1384=3,ROUND($G1384/12,0),IF($H1384=6,$G1384,IF($H1384=7,$G1384-ROUND($G1384*10/11,0),0)))))</f>
        <v/>
      </c>
      <c r="N1384" s="364" t="str">
        <f>IF($G1384="","",K1384+L1384+M1384)</f>
        <v/>
      </c>
      <c r="O1384" s="365" t="str">
        <f>IF($G1384="","",IFERROR(VLOOKUP($D1384&amp;"|"&amp;$E1384,科目表!$A$5:$B$200,2,FALSE),"※未登録"))</f>
        <v/>
      </c>
      <c r="P1384" s="359" t="str">
        <f>IF(OR($G1384="",$C1384=""),"",IF($B1384="決算整理",13,MOD(MONTH($C1384)-4,12)+1))</f>
        <v/>
      </c>
      <c r="Q1384" s="366" t="str">
        <f>IF($G1384="","",TRIM(IF(J1384+K1384+L1384+M1384&lt;&gt;$G1384,"按分不一致 ","")&amp;IF(O1384="※未登録","科目未登録 ","")&amp;IF(OR($H1384="",ISERROR(MATCH($H1384,{1,2,3,4,5,6,7,8},0))),"経費区分? ","")&amp;IF($I1384="","状態未設定 ","")&amp;IF(AND(OR($I1384="確認済",$I1384="未確認"),$B1384="月例",OR($C1384="",$C1384&lt;DATE(年度+2018,4,1),$C1384&gt;DATE(年度+2019,3,31))),"年度外の日付 ","")&amp;IF(AND(OR($I1384="確認済",$I1384="未確認"),O1384="対象外"),"対象外の科目 ","")))</f>
        <v/>
      </c>
      <c r="R1384" s="366" t="n"/>
    </row>
    <row r="1385">
      <c r="A1385" s="359" t="n"/>
      <c r="B1385" s="360" t="n"/>
      <c r="C1385" s="361" t="n"/>
      <c r="D1385" s="362" t="n"/>
      <c r="E1385" s="362" t="n"/>
      <c r="F1385" s="362" t="n"/>
      <c r="G1385" s="363" t="n"/>
      <c r="H1385" s="360" t="n"/>
      <c r="I1385" s="360" t="n"/>
      <c r="J1385" s="364" t="str">
        <f>IF($G1385="","",IF($H1385=1,$G1385-ROUND($G1385*10/23,0)-2*ROUND($G1385/23,0),IF($H1385=2,$G1385,0)))</f>
        <v/>
      </c>
      <c r="K1385" s="364" t="str">
        <f>IF($G1385="","",IF($H1385=1,ROUND($G1385*10/23,0),IF($H1385=3,$G1385-2*ROUND($G1385/12,0),IF($H1385=4,$G1385,IF(OR($H1385=5,$H1385=7),ROUND($G1385*10/11,0),0)))))</f>
        <v/>
      </c>
      <c r="L1385" s="364" t="str">
        <f>IF($G1385="","",IF($H1385=1,ROUND($G1385/23,0),IF($H1385=3,ROUND($G1385/12,0),IF($H1385=5,$G1385-ROUND($G1385*10/11,0),IF($H1385=8,$G1385,0)))))</f>
        <v/>
      </c>
      <c r="M1385" s="364" t="str">
        <f>IF($G1385="","",IF($H1385=1,ROUND($G1385/23,0),IF($H1385=3,ROUND($G1385/12,0),IF($H1385=6,$G1385,IF($H1385=7,$G1385-ROUND($G1385*10/11,0),0)))))</f>
        <v/>
      </c>
      <c r="N1385" s="364" t="str">
        <f>IF($G1385="","",K1385+L1385+M1385)</f>
        <v/>
      </c>
      <c r="O1385" s="365" t="str">
        <f>IF($G1385="","",IFERROR(VLOOKUP($D1385&amp;"|"&amp;$E1385,科目表!$A$5:$B$200,2,FALSE),"※未登録"))</f>
        <v/>
      </c>
      <c r="P1385" s="359" t="str">
        <f>IF(OR($G1385="",$C1385=""),"",IF($B1385="決算整理",13,MOD(MONTH($C1385)-4,12)+1))</f>
        <v/>
      </c>
      <c r="Q1385" s="366" t="str">
        <f>IF($G1385="","",TRIM(IF(J1385+K1385+L1385+M1385&lt;&gt;$G1385,"按分不一致 ","")&amp;IF(O1385="※未登録","科目未登録 ","")&amp;IF(OR($H1385="",ISERROR(MATCH($H1385,{1,2,3,4,5,6,7,8},0))),"経費区分? ","")&amp;IF($I1385="","状態未設定 ","")&amp;IF(AND(OR($I1385="確認済",$I1385="未確認"),$B1385="月例",OR($C1385="",$C1385&lt;DATE(年度+2018,4,1),$C1385&gt;DATE(年度+2019,3,31))),"年度外の日付 ","")&amp;IF(AND(OR($I1385="確認済",$I1385="未確認"),O1385="対象外"),"対象外の科目 ","")))</f>
        <v/>
      </c>
      <c r="R1385" s="366" t="n"/>
    </row>
    <row r="1386">
      <c r="A1386" s="359" t="n"/>
      <c r="B1386" s="360" t="n"/>
      <c r="C1386" s="361" t="n"/>
      <c r="D1386" s="362" t="n"/>
      <c r="E1386" s="362" t="n"/>
      <c r="F1386" s="362" t="n"/>
      <c r="G1386" s="363" t="n"/>
      <c r="H1386" s="360" t="n"/>
      <c r="I1386" s="360" t="n"/>
      <c r="J1386" s="364" t="str">
        <f>IF($G1386="","",IF($H1386=1,$G1386-ROUND($G1386*10/23,0)-2*ROUND($G1386/23,0),IF($H1386=2,$G1386,0)))</f>
        <v/>
      </c>
      <c r="K1386" s="364" t="str">
        <f>IF($G1386="","",IF($H1386=1,ROUND($G1386*10/23,0),IF($H1386=3,$G1386-2*ROUND($G1386/12,0),IF($H1386=4,$G1386,IF(OR($H1386=5,$H1386=7),ROUND($G1386*10/11,0),0)))))</f>
        <v/>
      </c>
      <c r="L1386" s="364" t="str">
        <f>IF($G1386="","",IF($H1386=1,ROUND($G1386/23,0),IF($H1386=3,ROUND($G1386/12,0),IF($H1386=5,$G1386-ROUND($G1386*10/11,0),IF($H1386=8,$G1386,0)))))</f>
        <v/>
      </c>
      <c r="M1386" s="364" t="str">
        <f>IF($G1386="","",IF($H1386=1,ROUND($G1386/23,0),IF($H1386=3,ROUND($G1386/12,0),IF($H1386=6,$G1386,IF($H1386=7,$G1386-ROUND($G1386*10/11,0),0)))))</f>
        <v/>
      </c>
      <c r="N1386" s="364" t="str">
        <f>IF($G1386="","",K1386+L1386+M1386)</f>
        <v/>
      </c>
      <c r="O1386" s="365" t="str">
        <f>IF($G1386="","",IFERROR(VLOOKUP($D1386&amp;"|"&amp;$E1386,科目表!$A$5:$B$200,2,FALSE),"※未登録"))</f>
        <v/>
      </c>
      <c r="P1386" s="359" t="str">
        <f>IF(OR($G1386="",$C1386=""),"",IF($B1386="決算整理",13,MOD(MONTH($C1386)-4,12)+1))</f>
        <v/>
      </c>
      <c r="Q1386" s="366" t="str">
        <f>IF($G1386="","",TRIM(IF(J1386+K1386+L1386+M1386&lt;&gt;$G1386,"按分不一致 ","")&amp;IF(O1386="※未登録","科目未登録 ","")&amp;IF(OR($H1386="",ISERROR(MATCH($H1386,{1,2,3,4,5,6,7,8},0))),"経費区分? ","")&amp;IF($I1386="","状態未設定 ","")&amp;IF(AND(OR($I1386="確認済",$I1386="未確認"),$B1386="月例",OR($C1386="",$C1386&lt;DATE(年度+2018,4,1),$C1386&gt;DATE(年度+2019,3,31))),"年度外の日付 ","")&amp;IF(AND(OR($I1386="確認済",$I1386="未確認"),O1386="対象外"),"対象外の科目 ","")))</f>
        <v/>
      </c>
      <c r="R1386" s="366" t="n"/>
    </row>
    <row r="1387">
      <c r="A1387" s="359" t="n"/>
      <c r="B1387" s="360" t="n"/>
      <c r="C1387" s="361" t="n"/>
      <c r="D1387" s="362" t="n"/>
      <c r="E1387" s="362" t="n"/>
      <c r="F1387" s="362" t="n"/>
      <c r="G1387" s="363" t="n"/>
      <c r="H1387" s="360" t="n"/>
      <c r="I1387" s="360" t="n"/>
      <c r="J1387" s="364" t="str">
        <f>IF($G1387="","",IF($H1387=1,$G1387-ROUND($G1387*10/23,0)-2*ROUND($G1387/23,0),IF($H1387=2,$G1387,0)))</f>
        <v/>
      </c>
      <c r="K1387" s="364" t="str">
        <f>IF($G1387="","",IF($H1387=1,ROUND($G1387*10/23,0),IF($H1387=3,$G1387-2*ROUND($G1387/12,0),IF($H1387=4,$G1387,IF(OR($H1387=5,$H1387=7),ROUND($G1387*10/11,0),0)))))</f>
        <v/>
      </c>
      <c r="L1387" s="364" t="str">
        <f>IF($G1387="","",IF($H1387=1,ROUND($G1387/23,0),IF($H1387=3,ROUND($G1387/12,0),IF($H1387=5,$G1387-ROUND($G1387*10/11,0),IF($H1387=8,$G1387,0)))))</f>
        <v/>
      </c>
      <c r="M1387" s="364" t="str">
        <f>IF($G1387="","",IF($H1387=1,ROUND($G1387/23,0),IF($H1387=3,ROUND($G1387/12,0),IF($H1387=6,$G1387,IF($H1387=7,$G1387-ROUND($G1387*10/11,0),0)))))</f>
        <v/>
      </c>
      <c r="N1387" s="364" t="str">
        <f>IF($G1387="","",K1387+L1387+M1387)</f>
        <v/>
      </c>
      <c r="O1387" s="365" t="str">
        <f>IF($G1387="","",IFERROR(VLOOKUP($D1387&amp;"|"&amp;$E1387,科目表!$A$5:$B$200,2,FALSE),"※未登録"))</f>
        <v/>
      </c>
      <c r="P1387" s="359" t="str">
        <f>IF(OR($G1387="",$C1387=""),"",IF($B1387="決算整理",13,MOD(MONTH($C1387)-4,12)+1))</f>
        <v/>
      </c>
      <c r="Q1387" s="366" t="str">
        <f>IF($G1387="","",TRIM(IF(J1387+K1387+L1387+M1387&lt;&gt;$G1387,"按分不一致 ","")&amp;IF(O1387="※未登録","科目未登録 ","")&amp;IF(OR($H1387="",ISERROR(MATCH($H1387,{1,2,3,4,5,6,7,8},0))),"経費区分? ","")&amp;IF($I1387="","状態未設定 ","")&amp;IF(AND(OR($I1387="確認済",$I1387="未確認"),$B1387="月例",OR($C1387="",$C1387&lt;DATE(年度+2018,4,1),$C1387&gt;DATE(年度+2019,3,31))),"年度外の日付 ","")&amp;IF(AND(OR($I1387="確認済",$I1387="未確認"),O1387="対象外"),"対象外の科目 ","")))</f>
        <v/>
      </c>
      <c r="R1387" s="366" t="n"/>
    </row>
    <row r="1388">
      <c r="A1388" s="359" t="n"/>
      <c r="B1388" s="360" t="n"/>
      <c r="C1388" s="361" t="n"/>
      <c r="D1388" s="362" t="n"/>
      <c r="E1388" s="362" t="n"/>
      <c r="F1388" s="362" t="n"/>
      <c r="G1388" s="363" t="n"/>
      <c r="H1388" s="360" t="n"/>
      <c r="I1388" s="360" t="n"/>
      <c r="J1388" s="364" t="str">
        <f>IF($G1388="","",IF($H1388=1,$G1388-ROUND($G1388*10/23,0)-2*ROUND($G1388/23,0),IF($H1388=2,$G1388,0)))</f>
        <v/>
      </c>
      <c r="K1388" s="364" t="str">
        <f>IF($G1388="","",IF($H1388=1,ROUND($G1388*10/23,0),IF($H1388=3,$G1388-2*ROUND($G1388/12,0),IF($H1388=4,$G1388,IF(OR($H1388=5,$H1388=7),ROUND($G1388*10/11,0),0)))))</f>
        <v/>
      </c>
      <c r="L1388" s="364" t="str">
        <f>IF($G1388="","",IF($H1388=1,ROUND($G1388/23,0),IF($H1388=3,ROUND($G1388/12,0),IF($H1388=5,$G1388-ROUND($G1388*10/11,0),IF($H1388=8,$G1388,0)))))</f>
        <v/>
      </c>
      <c r="M1388" s="364" t="str">
        <f>IF($G1388="","",IF($H1388=1,ROUND($G1388/23,0),IF($H1388=3,ROUND($G1388/12,0),IF($H1388=6,$G1388,IF($H1388=7,$G1388-ROUND($G1388*10/11,0),0)))))</f>
        <v/>
      </c>
      <c r="N1388" s="364" t="str">
        <f>IF($G1388="","",K1388+L1388+M1388)</f>
        <v/>
      </c>
      <c r="O1388" s="365" t="str">
        <f>IF($G1388="","",IFERROR(VLOOKUP($D1388&amp;"|"&amp;$E1388,科目表!$A$5:$B$200,2,FALSE),"※未登録"))</f>
        <v/>
      </c>
      <c r="P1388" s="359" t="str">
        <f>IF(OR($G1388="",$C1388=""),"",IF($B1388="決算整理",13,MOD(MONTH($C1388)-4,12)+1))</f>
        <v/>
      </c>
      <c r="Q1388" s="366" t="str">
        <f>IF($G1388="","",TRIM(IF(J1388+K1388+L1388+M1388&lt;&gt;$G1388,"按分不一致 ","")&amp;IF(O1388="※未登録","科目未登録 ","")&amp;IF(OR($H1388="",ISERROR(MATCH($H1388,{1,2,3,4,5,6,7,8},0))),"経費区分? ","")&amp;IF($I1388="","状態未設定 ","")&amp;IF(AND(OR($I1388="確認済",$I1388="未確認"),$B1388="月例",OR($C1388="",$C1388&lt;DATE(年度+2018,4,1),$C1388&gt;DATE(年度+2019,3,31))),"年度外の日付 ","")&amp;IF(AND(OR($I1388="確認済",$I1388="未確認"),O1388="対象外"),"対象外の科目 ","")))</f>
        <v/>
      </c>
      <c r="R1388" s="366" t="n"/>
    </row>
    <row r="1389">
      <c r="A1389" s="359" t="n"/>
      <c r="B1389" s="360" t="n"/>
      <c r="C1389" s="361" t="n"/>
      <c r="D1389" s="362" t="n"/>
      <c r="E1389" s="362" t="n"/>
      <c r="F1389" s="362" t="n"/>
      <c r="G1389" s="363" t="n"/>
      <c r="H1389" s="360" t="n"/>
      <c r="I1389" s="360" t="n"/>
      <c r="J1389" s="364" t="str">
        <f>IF($G1389="","",IF($H1389=1,$G1389-ROUND($G1389*10/23,0)-2*ROUND($G1389/23,0),IF($H1389=2,$G1389,0)))</f>
        <v/>
      </c>
      <c r="K1389" s="364" t="str">
        <f>IF($G1389="","",IF($H1389=1,ROUND($G1389*10/23,0),IF($H1389=3,$G1389-2*ROUND($G1389/12,0),IF($H1389=4,$G1389,IF(OR($H1389=5,$H1389=7),ROUND($G1389*10/11,0),0)))))</f>
        <v/>
      </c>
      <c r="L1389" s="364" t="str">
        <f>IF($G1389="","",IF($H1389=1,ROUND($G1389/23,0),IF($H1389=3,ROUND($G1389/12,0),IF($H1389=5,$G1389-ROUND($G1389*10/11,0),IF($H1389=8,$G1389,0)))))</f>
        <v/>
      </c>
      <c r="M1389" s="364" t="str">
        <f>IF($G1389="","",IF($H1389=1,ROUND($G1389/23,0),IF($H1389=3,ROUND($G1389/12,0),IF($H1389=6,$G1389,IF($H1389=7,$G1389-ROUND($G1389*10/11,0),0)))))</f>
        <v/>
      </c>
      <c r="N1389" s="364" t="str">
        <f>IF($G1389="","",K1389+L1389+M1389)</f>
        <v/>
      </c>
      <c r="O1389" s="365" t="str">
        <f>IF($G1389="","",IFERROR(VLOOKUP($D1389&amp;"|"&amp;$E1389,科目表!$A$5:$B$200,2,FALSE),"※未登録"))</f>
        <v/>
      </c>
      <c r="P1389" s="359" t="str">
        <f>IF(OR($G1389="",$C1389=""),"",IF($B1389="決算整理",13,MOD(MONTH($C1389)-4,12)+1))</f>
        <v/>
      </c>
      <c r="Q1389" s="366" t="str">
        <f>IF($G1389="","",TRIM(IF(J1389+K1389+L1389+M1389&lt;&gt;$G1389,"按分不一致 ","")&amp;IF(O1389="※未登録","科目未登録 ","")&amp;IF(OR($H1389="",ISERROR(MATCH($H1389,{1,2,3,4,5,6,7,8},0))),"経費区分? ","")&amp;IF($I1389="","状態未設定 ","")&amp;IF(AND(OR($I1389="確認済",$I1389="未確認"),$B1389="月例",OR($C1389="",$C1389&lt;DATE(年度+2018,4,1),$C1389&gt;DATE(年度+2019,3,31))),"年度外の日付 ","")&amp;IF(AND(OR($I1389="確認済",$I1389="未確認"),O1389="対象外"),"対象外の科目 ","")))</f>
        <v/>
      </c>
      <c r="R1389" s="366" t="n"/>
    </row>
    <row r="1390">
      <c r="A1390" s="359" t="n"/>
      <c r="B1390" s="360" t="n"/>
      <c r="C1390" s="361" t="n"/>
      <c r="D1390" s="362" t="n"/>
      <c r="E1390" s="362" t="n"/>
      <c r="F1390" s="362" t="n"/>
      <c r="G1390" s="363" t="n"/>
      <c r="H1390" s="360" t="n"/>
      <c r="I1390" s="360" t="n"/>
      <c r="J1390" s="364" t="str">
        <f>IF($G1390="","",IF($H1390=1,$G1390-ROUND($G1390*10/23,0)-2*ROUND($G1390/23,0),IF($H1390=2,$G1390,0)))</f>
        <v/>
      </c>
      <c r="K1390" s="364" t="str">
        <f>IF($G1390="","",IF($H1390=1,ROUND($G1390*10/23,0),IF($H1390=3,$G1390-2*ROUND($G1390/12,0),IF($H1390=4,$G1390,IF(OR($H1390=5,$H1390=7),ROUND($G1390*10/11,0),0)))))</f>
        <v/>
      </c>
      <c r="L1390" s="364" t="str">
        <f>IF($G1390="","",IF($H1390=1,ROUND($G1390/23,0),IF($H1390=3,ROUND($G1390/12,0),IF($H1390=5,$G1390-ROUND($G1390*10/11,0),IF($H1390=8,$G1390,0)))))</f>
        <v/>
      </c>
      <c r="M1390" s="364" t="str">
        <f>IF($G1390="","",IF($H1390=1,ROUND($G1390/23,0),IF($H1390=3,ROUND($G1390/12,0),IF($H1390=6,$G1390,IF($H1390=7,$G1390-ROUND($G1390*10/11,0),0)))))</f>
        <v/>
      </c>
      <c r="N1390" s="364" t="str">
        <f>IF($G1390="","",K1390+L1390+M1390)</f>
        <v/>
      </c>
      <c r="O1390" s="365" t="str">
        <f>IF($G1390="","",IFERROR(VLOOKUP($D1390&amp;"|"&amp;$E1390,科目表!$A$5:$B$200,2,FALSE),"※未登録"))</f>
        <v/>
      </c>
      <c r="P1390" s="359" t="str">
        <f>IF(OR($G1390="",$C1390=""),"",IF($B1390="決算整理",13,MOD(MONTH($C1390)-4,12)+1))</f>
        <v/>
      </c>
      <c r="Q1390" s="366" t="str">
        <f>IF($G1390="","",TRIM(IF(J1390+K1390+L1390+M1390&lt;&gt;$G1390,"按分不一致 ","")&amp;IF(O1390="※未登録","科目未登録 ","")&amp;IF(OR($H1390="",ISERROR(MATCH($H1390,{1,2,3,4,5,6,7,8},0))),"経費区分? ","")&amp;IF($I1390="","状態未設定 ","")&amp;IF(AND(OR($I1390="確認済",$I1390="未確認"),$B1390="月例",OR($C1390="",$C1390&lt;DATE(年度+2018,4,1),$C1390&gt;DATE(年度+2019,3,31))),"年度外の日付 ","")&amp;IF(AND(OR($I1390="確認済",$I1390="未確認"),O1390="対象外"),"対象外の科目 ","")))</f>
        <v/>
      </c>
      <c r="R1390" s="366" t="n"/>
    </row>
    <row r="1391">
      <c r="A1391" s="359" t="n"/>
      <c r="B1391" s="360" t="n"/>
      <c r="C1391" s="361" t="n"/>
      <c r="D1391" s="362" t="n"/>
      <c r="E1391" s="362" t="n"/>
      <c r="F1391" s="362" t="n"/>
      <c r="G1391" s="363" t="n"/>
      <c r="H1391" s="360" t="n"/>
      <c r="I1391" s="360" t="n"/>
      <c r="J1391" s="364" t="str">
        <f>IF($G1391="","",IF($H1391=1,$G1391-ROUND($G1391*10/23,0)-2*ROUND($G1391/23,0),IF($H1391=2,$G1391,0)))</f>
        <v/>
      </c>
      <c r="K1391" s="364" t="str">
        <f>IF($G1391="","",IF($H1391=1,ROUND($G1391*10/23,0),IF($H1391=3,$G1391-2*ROUND($G1391/12,0),IF($H1391=4,$G1391,IF(OR($H1391=5,$H1391=7),ROUND($G1391*10/11,0),0)))))</f>
        <v/>
      </c>
      <c r="L1391" s="364" t="str">
        <f>IF($G1391="","",IF($H1391=1,ROUND($G1391/23,0),IF($H1391=3,ROUND($G1391/12,0),IF($H1391=5,$G1391-ROUND($G1391*10/11,0),IF($H1391=8,$G1391,0)))))</f>
        <v/>
      </c>
      <c r="M1391" s="364" t="str">
        <f>IF($G1391="","",IF($H1391=1,ROUND($G1391/23,0),IF($H1391=3,ROUND($G1391/12,0),IF($H1391=6,$G1391,IF($H1391=7,$G1391-ROUND($G1391*10/11,0),0)))))</f>
        <v/>
      </c>
      <c r="N1391" s="364" t="str">
        <f>IF($G1391="","",K1391+L1391+M1391)</f>
        <v/>
      </c>
      <c r="O1391" s="365" t="str">
        <f>IF($G1391="","",IFERROR(VLOOKUP($D1391&amp;"|"&amp;$E1391,科目表!$A$5:$B$200,2,FALSE),"※未登録"))</f>
        <v/>
      </c>
      <c r="P1391" s="359" t="str">
        <f>IF(OR($G1391="",$C1391=""),"",IF($B1391="決算整理",13,MOD(MONTH($C1391)-4,12)+1))</f>
        <v/>
      </c>
      <c r="Q1391" s="366" t="str">
        <f>IF($G1391="","",TRIM(IF(J1391+K1391+L1391+M1391&lt;&gt;$G1391,"按分不一致 ","")&amp;IF(O1391="※未登録","科目未登録 ","")&amp;IF(OR($H1391="",ISERROR(MATCH($H1391,{1,2,3,4,5,6,7,8},0))),"経費区分? ","")&amp;IF($I1391="","状態未設定 ","")&amp;IF(AND(OR($I1391="確認済",$I1391="未確認"),$B1391="月例",OR($C1391="",$C1391&lt;DATE(年度+2018,4,1),$C1391&gt;DATE(年度+2019,3,31))),"年度外の日付 ","")&amp;IF(AND(OR($I1391="確認済",$I1391="未確認"),O1391="対象外"),"対象外の科目 ","")))</f>
        <v/>
      </c>
      <c r="R1391" s="366" t="n"/>
    </row>
    <row r="1392">
      <c r="A1392" s="359" t="n"/>
      <c r="B1392" s="360" t="n"/>
      <c r="C1392" s="361" t="n"/>
      <c r="D1392" s="362" t="n"/>
      <c r="E1392" s="362" t="n"/>
      <c r="F1392" s="362" t="n"/>
      <c r="G1392" s="363" t="n"/>
      <c r="H1392" s="360" t="n"/>
      <c r="I1392" s="360" t="n"/>
      <c r="J1392" s="364" t="str">
        <f>IF($G1392="","",IF($H1392=1,$G1392-ROUND($G1392*10/23,0)-2*ROUND($G1392/23,0),IF($H1392=2,$G1392,0)))</f>
        <v/>
      </c>
      <c r="K1392" s="364" t="str">
        <f>IF($G1392="","",IF($H1392=1,ROUND($G1392*10/23,0),IF($H1392=3,$G1392-2*ROUND($G1392/12,0),IF($H1392=4,$G1392,IF(OR($H1392=5,$H1392=7),ROUND($G1392*10/11,0),0)))))</f>
        <v/>
      </c>
      <c r="L1392" s="364" t="str">
        <f>IF($G1392="","",IF($H1392=1,ROUND($G1392/23,0),IF($H1392=3,ROUND($G1392/12,0),IF($H1392=5,$G1392-ROUND($G1392*10/11,0),IF($H1392=8,$G1392,0)))))</f>
        <v/>
      </c>
      <c r="M1392" s="364" t="str">
        <f>IF($G1392="","",IF($H1392=1,ROUND($G1392/23,0),IF($H1392=3,ROUND($G1392/12,0),IF($H1392=6,$G1392,IF($H1392=7,$G1392-ROUND($G1392*10/11,0),0)))))</f>
        <v/>
      </c>
      <c r="N1392" s="364" t="str">
        <f>IF($G1392="","",K1392+L1392+M1392)</f>
        <v/>
      </c>
      <c r="O1392" s="365" t="str">
        <f>IF($G1392="","",IFERROR(VLOOKUP($D1392&amp;"|"&amp;$E1392,科目表!$A$5:$B$200,2,FALSE),"※未登録"))</f>
        <v/>
      </c>
      <c r="P1392" s="359" t="str">
        <f>IF(OR($G1392="",$C1392=""),"",IF($B1392="決算整理",13,MOD(MONTH($C1392)-4,12)+1))</f>
        <v/>
      </c>
      <c r="Q1392" s="366" t="str">
        <f>IF($G1392="","",TRIM(IF(J1392+K1392+L1392+M1392&lt;&gt;$G1392,"按分不一致 ","")&amp;IF(O1392="※未登録","科目未登録 ","")&amp;IF(OR($H1392="",ISERROR(MATCH($H1392,{1,2,3,4,5,6,7,8},0))),"経費区分? ","")&amp;IF($I1392="","状態未設定 ","")&amp;IF(AND(OR($I1392="確認済",$I1392="未確認"),$B1392="月例",OR($C1392="",$C1392&lt;DATE(年度+2018,4,1),$C1392&gt;DATE(年度+2019,3,31))),"年度外の日付 ","")&amp;IF(AND(OR($I1392="確認済",$I1392="未確認"),O1392="対象外"),"対象外の科目 ","")))</f>
        <v/>
      </c>
      <c r="R1392" s="366" t="n"/>
    </row>
    <row r="1393">
      <c r="A1393" s="359" t="n"/>
      <c r="B1393" s="360" t="n"/>
      <c r="C1393" s="361" t="n"/>
      <c r="D1393" s="362" t="n"/>
      <c r="E1393" s="362" t="n"/>
      <c r="F1393" s="362" t="n"/>
      <c r="G1393" s="363" t="n"/>
      <c r="H1393" s="360" t="n"/>
      <c r="I1393" s="360" t="n"/>
      <c r="J1393" s="364" t="str">
        <f>IF($G1393="","",IF($H1393=1,$G1393-ROUND($G1393*10/23,0)-2*ROUND($G1393/23,0),IF($H1393=2,$G1393,0)))</f>
        <v/>
      </c>
      <c r="K1393" s="364" t="str">
        <f>IF($G1393="","",IF($H1393=1,ROUND($G1393*10/23,0),IF($H1393=3,$G1393-2*ROUND($G1393/12,0),IF($H1393=4,$G1393,IF(OR($H1393=5,$H1393=7),ROUND($G1393*10/11,0),0)))))</f>
        <v/>
      </c>
      <c r="L1393" s="364" t="str">
        <f>IF($G1393="","",IF($H1393=1,ROUND($G1393/23,0),IF($H1393=3,ROUND($G1393/12,0),IF($H1393=5,$G1393-ROUND($G1393*10/11,0),IF($H1393=8,$G1393,0)))))</f>
        <v/>
      </c>
      <c r="M1393" s="364" t="str">
        <f>IF($G1393="","",IF($H1393=1,ROUND($G1393/23,0),IF($H1393=3,ROUND($G1393/12,0),IF($H1393=6,$G1393,IF($H1393=7,$G1393-ROUND($G1393*10/11,0),0)))))</f>
        <v/>
      </c>
      <c r="N1393" s="364" t="str">
        <f>IF($G1393="","",K1393+L1393+M1393)</f>
        <v/>
      </c>
      <c r="O1393" s="365" t="str">
        <f>IF($G1393="","",IFERROR(VLOOKUP($D1393&amp;"|"&amp;$E1393,科目表!$A$5:$B$200,2,FALSE),"※未登録"))</f>
        <v/>
      </c>
      <c r="P1393" s="359" t="str">
        <f>IF(OR($G1393="",$C1393=""),"",IF($B1393="決算整理",13,MOD(MONTH($C1393)-4,12)+1))</f>
        <v/>
      </c>
      <c r="Q1393" s="366" t="str">
        <f>IF($G1393="","",TRIM(IF(J1393+K1393+L1393+M1393&lt;&gt;$G1393,"按分不一致 ","")&amp;IF(O1393="※未登録","科目未登録 ","")&amp;IF(OR($H1393="",ISERROR(MATCH($H1393,{1,2,3,4,5,6,7,8},0))),"経費区分? ","")&amp;IF($I1393="","状態未設定 ","")&amp;IF(AND(OR($I1393="確認済",$I1393="未確認"),$B1393="月例",OR($C1393="",$C1393&lt;DATE(年度+2018,4,1),$C1393&gt;DATE(年度+2019,3,31))),"年度外の日付 ","")&amp;IF(AND(OR($I1393="確認済",$I1393="未確認"),O1393="対象外"),"対象外の科目 ","")))</f>
        <v/>
      </c>
      <c r="R1393" s="366" t="n"/>
    </row>
    <row r="1394">
      <c r="A1394" s="359" t="n"/>
      <c r="B1394" s="360" t="n"/>
      <c r="C1394" s="361" t="n"/>
      <c r="D1394" s="362" t="n"/>
      <c r="E1394" s="362" t="n"/>
      <c r="F1394" s="362" t="n"/>
      <c r="G1394" s="363" t="n"/>
      <c r="H1394" s="360" t="n"/>
      <c r="I1394" s="360" t="n"/>
      <c r="J1394" s="364" t="str">
        <f>IF($G1394="","",IF($H1394=1,$G1394-ROUND($G1394*10/23,0)-2*ROUND($G1394/23,0),IF($H1394=2,$G1394,0)))</f>
        <v/>
      </c>
      <c r="K1394" s="364" t="str">
        <f>IF($G1394="","",IF($H1394=1,ROUND($G1394*10/23,0),IF($H1394=3,$G1394-2*ROUND($G1394/12,0),IF($H1394=4,$G1394,IF(OR($H1394=5,$H1394=7),ROUND($G1394*10/11,0),0)))))</f>
        <v/>
      </c>
      <c r="L1394" s="364" t="str">
        <f>IF($G1394="","",IF($H1394=1,ROUND($G1394/23,0),IF($H1394=3,ROUND($G1394/12,0),IF($H1394=5,$G1394-ROUND($G1394*10/11,0),IF($H1394=8,$G1394,0)))))</f>
        <v/>
      </c>
      <c r="M1394" s="364" t="str">
        <f>IF($G1394="","",IF($H1394=1,ROUND($G1394/23,0),IF($H1394=3,ROUND($G1394/12,0),IF($H1394=6,$G1394,IF($H1394=7,$G1394-ROUND($G1394*10/11,0),0)))))</f>
        <v/>
      </c>
      <c r="N1394" s="364" t="str">
        <f>IF($G1394="","",K1394+L1394+M1394)</f>
        <v/>
      </c>
      <c r="O1394" s="365" t="str">
        <f>IF($G1394="","",IFERROR(VLOOKUP($D1394&amp;"|"&amp;$E1394,科目表!$A$5:$B$200,2,FALSE),"※未登録"))</f>
        <v/>
      </c>
      <c r="P1394" s="359" t="str">
        <f>IF(OR($G1394="",$C1394=""),"",IF($B1394="決算整理",13,MOD(MONTH($C1394)-4,12)+1))</f>
        <v/>
      </c>
      <c r="Q1394" s="366" t="str">
        <f>IF($G1394="","",TRIM(IF(J1394+K1394+L1394+M1394&lt;&gt;$G1394,"按分不一致 ","")&amp;IF(O1394="※未登録","科目未登録 ","")&amp;IF(OR($H1394="",ISERROR(MATCH($H1394,{1,2,3,4,5,6,7,8},0))),"経費区分? ","")&amp;IF($I1394="","状態未設定 ","")&amp;IF(AND(OR($I1394="確認済",$I1394="未確認"),$B1394="月例",OR($C1394="",$C1394&lt;DATE(年度+2018,4,1),$C1394&gt;DATE(年度+2019,3,31))),"年度外の日付 ","")&amp;IF(AND(OR($I1394="確認済",$I1394="未確認"),O1394="対象外"),"対象外の科目 ","")))</f>
        <v/>
      </c>
      <c r="R1394" s="366" t="n"/>
    </row>
    <row r="1395">
      <c r="A1395" s="359" t="n"/>
      <c r="B1395" s="360" t="n"/>
      <c r="C1395" s="361" t="n"/>
      <c r="D1395" s="362" t="n"/>
      <c r="E1395" s="362" t="n"/>
      <c r="F1395" s="362" t="n"/>
      <c r="G1395" s="363" t="n"/>
      <c r="H1395" s="360" t="n"/>
      <c r="I1395" s="360" t="n"/>
      <c r="J1395" s="364" t="str">
        <f>IF($G1395="","",IF($H1395=1,$G1395-ROUND($G1395*10/23,0)-2*ROUND($G1395/23,0),IF($H1395=2,$G1395,0)))</f>
        <v/>
      </c>
      <c r="K1395" s="364" t="str">
        <f>IF($G1395="","",IF($H1395=1,ROUND($G1395*10/23,0),IF($H1395=3,$G1395-2*ROUND($G1395/12,0),IF($H1395=4,$G1395,IF(OR($H1395=5,$H1395=7),ROUND($G1395*10/11,0),0)))))</f>
        <v/>
      </c>
      <c r="L1395" s="364" t="str">
        <f>IF($G1395="","",IF($H1395=1,ROUND($G1395/23,0),IF($H1395=3,ROUND($G1395/12,0),IF($H1395=5,$G1395-ROUND($G1395*10/11,0),IF($H1395=8,$G1395,0)))))</f>
        <v/>
      </c>
      <c r="M1395" s="364" t="str">
        <f>IF($G1395="","",IF($H1395=1,ROUND($G1395/23,0),IF($H1395=3,ROUND($G1395/12,0),IF($H1395=6,$G1395,IF($H1395=7,$G1395-ROUND($G1395*10/11,0),0)))))</f>
        <v/>
      </c>
      <c r="N1395" s="364" t="str">
        <f>IF($G1395="","",K1395+L1395+M1395)</f>
        <v/>
      </c>
      <c r="O1395" s="365" t="str">
        <f>IF($G1395="","",IFERROR(VLOOKUP($D1395&amp;"|"&amp;$E1395,科目表!$A$5:$B$200,2,FALSE),"※未登録"))</f>
        <v/>
      </c>
      <c r="P1395" s="359" t="str">
        <f>IF(OR($G1395="",$C1395=""),"",IF($B1395="決算整理",13,MOD(MONTH($C1395)-4,12)+1))</f>
        <v/>
      </c>
      <c r="Q1395" s="366" t="str">
        <f>IF($G1395="","",TRIM(IF(J1395+K1395+L1395+M1395&lt;&gt;$G1395,"按分不一致 ","")&amp;IF(O1395="※未登録","科目未登録 ","")&amp;IF(OR($H1395="",ISERROR(MATCH($H1395,{1,2,3,4,5,6,7,8},0))),"経費区分? ","")&amp;IF($I1395="","状態未設定 ","")&amp;IF(AND(OR($I1395="確認済",$I1395="未確認"),$B1395="月例",OR($C1395="",$C1395&lt;DATE(年度+2018,4,1),$C1395&gt;DATE(年度+2019,3,31))),"年度外の日付 ","")&amp;IF(AND(OR($I1395="確認済",$I1395="未確認"),O1395="対象外"),"対象外の科目 ","")))</f>
        <v/>
      </c>
      <c r="R1395" s="366" t="n"/>
    </row>
    <row r="1396">
      <c r="A1396" s="359" t="n"/>
      <c r="B1396" s="360" t="n"/>
      <c r="C1396" s="361" t="n"/>
      <c r="D1396" s="362" t="n"/>
      <c r="E1396" s="362" t="n"/>
      <c r="F1396" s="362" t="n"/>
      <c r="G1396" s="363" t="n"/>
      <c r="H1396" s="360" t="n"/>
      <c r="I1396" s="360" t="n"/>
      <c r="J1396" s="364" t="str">
        <f>IF($G1396="","",IF($H1396=1,$G1396-ROUND($G1396*10/23,0)-2*ROUND($G1396/23,0),IF($H1396=2,$G1396,0)))</f>
        <v/>
      </c>
      <c r="K1396" s="364" t="str">
        <f>IF($G1396="","",IF($H1396=1,ROUND($G1396*10/23,0),IF($H1396=3,$G1396-2*ROUND($G1396/12,0),IF($H1396=4,$G1396,IF(OR($H1396=5,$H1396=7),ROUND($G1396*10/11,0),0)))))</f>
        <v/>
      </c>
      <c r="L1396" s="364" t="str">
        <f>IF($G1396="","",IF($H1396=1,ROUND($G1396/23,0),IF($H1396=3,ROUND($G1396/12,0),IF($H1396=5,$G1396-ROUND($G1396*10/11,0),IF($H1396=8,$G1396,0)))))</f>
        <v/>
      </c>
      <c r="M1396" s="364" t="str">
        <f>IF($G1396="","",IF($H1396=1,ROUND($G1396/23,0),IF($H1396=3,ROUND($G1396/12,0),IF($H1396=6,$G1396,IF($H1396=7,$G1396-ROUND($G1396*10/11,0),0)))))</f>
        <v/>
      </c>
      <c r="N1396" s="364" t="str">
        <f>IF($G1396="","",K1396+L1396+M1396)</f>
        <v/>
      </c>
      <c r="O1396" s="365" t="str">
        <f>IF($G1396="","",IFERROR(VLOOKUP($D1396&amp;"|"&amp;$E1396,科目表!$A$5:$B$200,2,FALSE),"※未登録"))</f>
        <v/>
      </c>
      <c r="P1396" s="359" t="str">
        <f>IF(OR($G1396="",$C1396=""),"",IF($B1396="決算整理",13,MOD(MONTH($C1396)-4,12)+1))</f>
        <v/>
      </c>
      <c r="Q1396" s="366" t="str">
        <f>IF($G1396="","",TRIM(IF(J1396+K1396+L1396+M1396&lt;&gt;$G1396,"按分不一致 ","")&amp;IF(O1396="※未登録","科目未登録 ","")&amp;IF(OR($H1396="",ISERROR(MATCH($H1396,{1,2,3,4,5,6,7,8},0))),"経費区分? ","")&amp;IF($I1396="","状態未設定 ","")&amp;IF(AND(OR($I1396="確認済",$I1396="未確認"),$B1396="月例",OR($C1396="",$C1396&lt;DATE(年度+2018,4,1),$C1396&gt;DATE(年度+2019,3,31))),"年度外の日付 ","")&amp;IF(AND(OR($I1396="確認済",$I1396="未確認"),O1396="対象外"),"対象外の科目 ","")))</f>
        <v/>
      </c>
      <c r="R1396" s="366" t="n"/>
    </row>
    <row r="1397">
      <c r="A1397" s="359" t="n"/>
      <c r="B1397" s="360" t="n"/>
      <c r="C1397" s="361" t="n"/>
      <c r="D1397" s="362" t="n"/>
      <c r="E1397" s="362" t="n"/>
      <c r="F1397" s="362" t="n"/>
      <c r="G1397" s="363" t="n"/>
      <c r="H1397" s="360" t="n"/>
      <c r="I1397" s="360" t="n"/>
      <c r="J1397" s="364" t="str">
        <f>IF($G1397="","",IF($H1397=1,$G1397-ROUND($G1397*10/23,0)-2*ROUND($G1397/23,0),IF($H1397=2,$G1397,0)))</f>
        <v/>
      </c>
      <c r="K1397" s="364" t="str">
        <f>IF($G1397="","",IF($H1397=1,ROUND($G1397*10/23,0),IF($H1397=3,$G1397-2*ROUND($G1397/12,0),IF($H1397=4,$G1397,IF(OR($H1397=5,$H1397=7),ROUND($G1397*10/11,0),0)))))</f>
        <v/>
      </c>
      <c r="L1397" s="364" t="str">
        <f>IF($G1397="","",IF($H1397=1,ROUND($G1397/23,0),IF($H1397=3,ROUND($G1397/12,0),IF($H1397=5,$G1397-ROUND($G1397*10/11,0),IF($H1397=8,$G1397,0)))))</f>
        <v/>
      </c>
      <c r="M1397" s="364" t="str">
        <f>IF($G1397="","",IF($H1397=1,ROUND($G1397/23,0),IF($H1397=3,ROUND($G1397/12,0),IF($H1397=6,$G1397,IF($H1397=7,$G1397-ROUND($G1397*10/11,0),0)))))</f>
        <v/>
      </c>
      <c r="N1397" s="364" t="str">
        <f>IF($G1397="","",K1397+L1397+M1397)</f>
        <v/>
      </c>
      <c r="O1397" s="365" t="str">
        <f>IF($G1397="","",IFERROR(VLOOKUP($D1397&amp;"|"&amp;$E1397,科目表!$A$5:$B$200,2,FALSE),"※未登録"))</f>
        <v/>
      </c>
      <c r="P1397" s="359" t="str">
        <f>IF(OR($G1397="",$C1397=""),"",IF($B1397="決算整理",13,MOD(MONTH($C1397)-4,12)+1))</f>
        <v/>
      </c>
      <c r="Q1397" s="366" t="str">
        <f>IF($G1397="","",TRIM(IF(J1397+K1397+L1397+M1397&lt;&gt;$G1397,"按分不一致 ","")&amp;IF(O1397="※未登録","科目未登録 ","")&amp;IF(OR($H1397="",ISERROR(MATCH($H1397,{1,2,3,4,5,6,7,8},0))),"経費区分? ","")&amp;IF($I1397="","状態未設定 ","")&amp;IF(AND(OR($I1397="確認済",$I1397="未確認"),$B1397="月例",OR($C1397="",$C1397&lt;DATE(年度+2018,4,1),$C1397&gt;DATE(年度+2019,3,31))),"年度外の日付 ","")&amp;IF(AND(OR($I1397="確認済",$I1397="未確認"),O1397="対象外"),"対象外の科目 ","")))</f>
        <v/>
      </c>
      <c r="R1397" s="366" t="n"/>
    </row>
    <row r="1398">
      <c r="A1398" s="359" t="n"/>
      <c r="B1398" s="360" t="n"/>
      <c r="C1398" s="361" t="n"/>
      <c r="D1398" s="362" t="n"/>
      <c r="E1398" s="362" t="n"/>
      <c r="F1398" s="362" t="n"/>
      <c r="G1398" s="363" t="n"/>
      <c r="H1398" s="360" t="n"/>
      <c r="I1398" s="360" t="n"/>
      <c r="J1398" s="364" t="str">
        <f>IF($G1398="","",IF($H1398=1,$G1398-ROUND($G1398*10/23,0)-2*ROUND($G1398/23,0),IF($H1398=2,$G1398,0)))</f>
        <v/>
      </c>
      <c r="K1398" s="364" t="str">
        <f>IF($G1398="","",IF($H1398=1,ROUND($G1398*10/23,0),IF($H1398=3,$G1398-2*ROUND($G1398/12,0),IF($H1398=4,$G1398,IF(OR($H1398=5,$H1398=7),ROUND($G1398*10/11,0),0)))))</f>
        <v/>
      </c>
      <c r="L1398" s="364" t="str">
        <f>IF($G1398="","",IF($H1398=1,ROUND($G1398/23,0),IF($H1398=3,ROUND($G1398/12,0),IF($H1398=5,$G1398-ROUND($G1398*10/11,0),IF($H1398=8,$G1398,0)))))</f>
        <v/>
      </c>
      <c r="M1398" s="364" t="str">
        <f>IF($G1398="","",IF($H1398=1,ROUND($G1398/23,0),IF($H1398=3,ROUND($G1398/12,0),IF($H1398=6,$G1398,IF($H1398=7,$G1398-ROUND($G1398*10/11,0),0)))))</f>
        <v/>
      </c>
      <c r="N1398" s="364" t="str">
        <f>IF($G1398="","",K1398+L1398+M1398)</f>
        <v/>
      </c>
      <c r="O1398" s="365" t="str">
        <f>IF($G1398="","",IFERROR(VLOOKUP($D1398&amp;"|"&amp;$E1398,科目表!$A$5:$B$200,2,FALSE),"※未登録"))</f>
        <v/>
      </c>
      <c r="P1398" s="359" t="str">
        <f>IF(OR($G1398="",$C1398=""),"",IF($B1398="決算整理",13,MOD(MONTH($C1398)-4,12)+1))</f>
        <v/>
      </c>
      <c r="Q1398" s="366" t="str">
        <f>IF($G1398="","",TRIM(IF(J1398+K1398+L1398+M1398&lt;&gt;$G1398,"按分不一致 ","")&amp;IF(O1398="※未登録","科目未登録 ","")&amp;IF(OR($H1398="",ISERROR(MATCH($H1398,{1,2,3,4,5,6,7,8},0))),"経費区分? ","")&amp;IF($I1398="","状態未設定 ","")&amp;IF(AND(OR($I1398="確認済",$I1398="未確認"),$B1398="月例",OR($C1398="",$C1398&lt;DATE(年度+2018,4,1),$C1398&gt;DATE(年度+2019,3,31))),"年度外の日付 ","")&amp;IF(AND(OR($I1398="確認済",$I1398="未確認"),O1398="対象外"),"対象外の科目 ","")))</f>
        <v/>
      </c>
      <c r="R1398" s="366" t="n"/>
    </row>
    <row r="1399">
      <c r="A1399" s="359" t="n"/>
      <c r="B1399" s="360" t="n"/>
      <c r="C1399" s="361" t="n"/>
      <c r="D1399" s="362" t="n"/>
      <c r="E1399" s="362" t="n"/>
      <c r="F1399" s="362" t="n"/>
      <c r="G1399" s="363" t="n"/>
      <c r="H1399" s="360" t="n"/>
      <c r="I1399" s="360" t="n"/>
      <c r="J1399" s="364" t="str">
        <f>IF($G1399="","",IF($H1399=1,$G1399-ROUND($G1399*10/23,0)-2*ROUND($G1399/23,0),IF($H1399=2,$G1399,0)))</f>
        <v/>
      </c>
      <c r="K1399" s="364" t="str">
        <f>IF($G1399="","",IF($H1399=1,ROUND($G1399*10/23,0),IF($H1399=3,$G1399-2*ROUND($G1399/12,0),IF($H1399=4,$G1399,IF(OR($H1399=5,$H1399=7),ROUND($G1399*10/11,0),0)))))</f>
        <v/>
      </c>
      <c r="L1399" s="364" t="str">
        <f>IF($G1399="","",IF($H1399=1,ROUND($G1399/23,0),IF($H1399=3,ROUND($G1399/12,0),IF($H1399=5,$G1399-ROUND($G1399*10/11,0),IF($H1399=8,$G1399,0)))))</f>
        <v/>
      </c>
      <c r="M1399" s="364" t="str">
        <f>IF($G1399="","",IF($H1399=1,ROUND($G1399/23,0),IF($H1399=3,ROUND($G1399/12,0),IF($H1399=6,$G1399,IF($H1399=7,$G1399-ROUND($G1399*10/11,0),0)))))</f>
        <v/>
      </c>
      <c r="N1399" s="364" t="str">
        <f>IF($G1399="","",K1399+L1399+M1399)</f>
        <v/>
      </c>
      <c r="O1399" s="365" t="str">
        <f>IF($G1399="","",IFERROR(VLOOKUP($D1399&amp;"|"&amp;$E1399,科目表!$A$5:$B$200,2,FALSE),"※未登録"))</f>
        <v/>
      </c>
      <c r="P1399" s="359" t="str">
        <f>IF(OR($G1399="",$C1399=""),"",IF($B1399="決算整理",13,MOD(MONTH($C1399)-4,12)+1))</f>
        <v/>
      </c>
      <c r="Q1399" s="366" t="str">
        <f>IF($G1399="","",TRIM(IF(J1399+K1399+L1399+M1399&lt;&gt;$G1399,"按分不一致 ","")&amp;IF(O1399="※未登録","科目未登録 ","")&amp;IF(OR($H1399="",ISERROR(MATCH($H1399,{1,2,3,4,5,6,7,8},0))),"経費区分? ","")&amp;IF($I1399="","状態未設定 ","")&amp;IF(AND(OR($I1399="確認済",$I1399="未確認"),$B1399="月例",OR($C1399="",$C1399&lt;DATE(年度+2018,4,1),$C1399&gt;DATE(年度+2019,3,31))),"年度外の日付 ","")&amp;IF(AND(OR($I1399="確認済",$I1399="未確認"),O1399="対象外"),"対象外の科目 ","")))</f>
        <v/>
      </c>
      <c r="R1399" s="366" t="n"/>
    </row>
    <row r="1400">
      <c r="A1400" s="359" t="n"/>
      <c r="B1400" s="360" t="n"/>
      <c r="C1400" s="361" t="n"/>
      <c r="D1400" s="362" t="n"/>
      <c r="E1400" s="362" t="n"/>
      <c r="F1400" s="362" t="n"/>
      <c r="G1400" s="363" t="n"/>
      <c r="H1400" s="360" t="n"/>
      <c r="I1400" s="360" t="n"/>
      <c r="J1400" s="364" t="str">
        <f>IF($G1400="","",IF($H1400=1,$G1400-ROUND($G1400*10/23,0)-2*ROUND($G1400/23,0),IF($H1400=2,$G1400,0)))</f>
        <v/>
      </c>
      <c r="K1400" s="364" t="str">
        <f>IF($G1400="","",IF($H1400=1,ROUND($G1400*10/23,0),IF($H1400=3,$G1400-2*ROUND($G1400/12,0),IF($H1400=4,$G1400,IF(OR($H1400=5,$H1400=7),ROUND($G1400*10/11,0),0)))))</f>
        <v/>
      </c>
      <c r="L1400" s="364" t="str">
        <f>IF($G1400="","",IF($H1400=1,ROUND($G1400/23,0),IF($H1400=3,ROUND($G1400/12,0),IF($H1400=5,$G1400-ROUND($G1400*10/11,0),IF($H1400=8,$G1400,0)))))</f>
        <v/>
      </c>
      <c r="M1400" s="364" t="str">
        <f>IF($G1400="","",IF($H1400=1,ROUND($G1400/23,0),IF($H1400=3,ROUND($G1400/12,0),IF($H1400=6,$G1400,IF($H1400=7,$G1400-ROUND($G1400*10/11,0),0)))))</f>
        <v/>
      </c>
      <c r="N1400" s="364" t="str">
        <f>IF($G1400="","",K1400+L1400+M1400)</f>
        <v/>
      </c>
      <c r="O1400" s="365" t="str">
        <f>IF($G1400="","",IFERROR(VLOOKUP($D1400&amp;"|"&amp;$E1400,科目表!$A$5:$B$200,2,FALSE),"※未登録"))</f>
        <v/>
      </c>
      <c r="P1400" s="359" t="str">
        <f>IF(OR($G1400="",$C1400=""),"",IF($B1400="決算整理",13,MOD(MONTH($C1400)-4,12)+1))</f>
        <v/>
      </c>
      <c r="Q1400" s="366" t="str">
        <f>IF($G1400="","",TRIM(IF(J1400+K1400+L1400+M1400&lt;&gt;$G1400,"按分不一致 ","")&amp;IF(O1400="※未登録","科目未登録 ","")&amp;IF(OR($H1400="",ISERROR(MATCH($H1400,{1,2,3,4,5,6,7,8},0))),"経費区分? ","")&amp;IF($I1400="","状態未設定 ","")&amp;IF(AND(OR($I1400="確認済",$I1400="未確認"),$B1400="月例",OR($C1400="",$C1400&lt;DATE(年度+2018,4,1),$C1400&gt;DATE(年度+2019,3,31))),"年度外の日付 ","")&amp;IF(AND(OR($I1400="確認済",$I1400="未確認"),O1400="対象外"),"対象外の科目 ","")))</f>
        <v/>
      </c>
      <c r="R1400" s="366" t="n"/>
    </row>
    <row r="1401">
      <c r="A1401" s="359" t="n"/>
      <c r="B1401" s="360" t="n"/>
      <c r="C1401" s="361" t="n"/>
      <c r="D1401" s="362" t="n"/>
      <c r="E1401" s="362" t="n"/>
      <c r="F1401" s="362" t="n"/>
      <c r="G1401" s="363" t="n"/>
      <c r="H1401" s="360" t="n"/>
      <c r="I1401" s="360" t="n"/>
      <c r="J1401" s="364" t="str">
        <f>IF($G1401="","",IF($H1401=1,$G1401-ROUND($G1401*10/23,0)-2*ROUND($G1401/23,0),IF($H1401=2,$G1401,0)))</f>
        <v/>
      </c>
      <c r="K1401" s="364" t="str">
        <f>IF($G1401="","",IF($H1401=1,ROUND($G1401*10/23,0),IF($H1401=3,$G1401-2*ROUND($G1401/12,0),IF($H1401=4,$G1401,IF(OR($H1401=5,$H1401=7),ROUND($G1401*10/11,0),0)))))</f>
        <v/>
      </c>
      <c r="L1401" s="364" t="str">
        <f>IF($G1401="","",IF($H1401=1,ROUND($G1401/23,0),IF($H1401=3,ROUND($G1401/12,0),IF($H1401=5,$G1401-ROUND($G1401*10/11,0),IF($H1401=8,$G1401,0)))))</f>
        <v/>
      </c>
      <c r="M1401" s="364" t="str">
        <f>IF($G1401="","",IF($H1401=1,ROUND($G1401/23,0),IF($H1401=3,ROUND($G1401/12,0),IF($H1401=6,$G1401,IF($H1401=7,$G1401-ROUND($G1401*10/11,0),0)))))</f>
        <v/>
      </c>
      <c r="N1401" s="364" t="str">
        <f>IF($G1401="","",K1401+L1401+M1401)</f>
        <v/>
      </c>
      <c r="O1401" s="365" t="str">
        <f>IF($G1401="","",IFERROR(VLOOKUP($D1401&amp;"|"&amp;$E1401,科目表!$A$5:$B$200,2,FALSE),"※未登録"))</f>
        <v/>
      </c>
      <c r="P1401" s="359" t="str">
        <f>IF(OR($G1401="",$C1401=""),"",IF($B1401="決算整理",13,MOD(MONTH($C1401)-4,12)+1))</f>
        <v/>
      </c>
      <c r="Q1401" s="366" t="str">
        <f>IF($G1401="","",TRIM(IF(J1401+K1401+L1401+M1401&lt;&gt;$G1401,"按分不一致 ","")&amp;IF(O1401="※未登録","科目未登録 ","")&amp;IF(OR($H1401="",ISERROR(MATCH($H1401,{1,2,3,4,5,6,7,8},0))),"経費区分? ","")&amp;IF($I1401="","状態未設定 ","")&amp;IF(AND(OR($I1401="確認済",$I1401="未確認"),$B1401="月例",OR($C1401="",$C1401&lt;DATE(年度+2018,4,1),$C1401&gt;DATE(年度+2019,3,31))),"年度外の日付 ","")&amp;IF(AND(OR($I1401="確認済",$I1401="未確認"),O1401="対象外"),"対象外の科目 ","")))</f>
        <v/>
      </c>
      <c r="R1401" s="366" t="n"/>
    </row>
    <row r="1402">
      <c r="A1402" s="359" t="n"/>
      <c r="B1402" s="360" t="n"/>
      <c r="C1402" s="361" t="n"/>
      <c r="D1402" s="362" t="n"/>
      <c r="E1402" s="362" t="n"/>
      <c r="F1402" s="362" t="n"/>
      <c r="G1402" s="363" t="n"/>
      <c r="H1402" s="360" t="n"/>
      <c r="I1402" s="360" t="n"/>
      <c r="J1402" s="364" t="str">
        <f>IF($G1402="","",IF($H1402=1,$G1402-ROUND($G1402*10/23,0)-2*ROUND($G1402/23,0),IF($H1402=2,$G1402,0)))</f>
        <v/>
      </c>
      <c r="K1402" s="364" t="str">
        <f>IF($G1402="","",IF($H1402=1,ROUND($G1402*10/23,0),IF($H1402=3,$G1402-2*ROUND($G1402/12,0),IF($H1402=4,$G1402,IF(OR($H1402=5,$H1402=7),ROUND($G1402*10/11,0),0)))))</f>
        <v/>
      </c>
      <c r="L1402" s="364" t="str">
        <f>IF($G1402="","",IF($H1402=1,ROUND($G1402/23,0),IF($H1402=3,ROUND($G1402/12,0),IF($H1402=5,$G1402-ROUND($G1402*10/11,0),IF($H1402=8,$G1402,0)))))</f>
        <v/>
      </c>
      <c r="M1402" s="364" t="str">
        <f>IF($G1402="","",IF($H1402=1,ROUND($G1402/23,0),IF($H1402=3,ROUND($G1402/12,0),IF($H1402=6,$G1402,IF($H1402=7,$G1402-ROUND($G1402*10/11,0),0)))))</f>
        <v/>
      </c>
      <c r="N1402" s="364" t="str">
        <f>IF($G1402="","",K1402+L1402+M1402)</f>
        <v/>
      </c>
      <c r="O1402" s="365" t="str">
        <f>IF($G1402="","",IFERROR(VLOOKUP($D1402&amp;"|"&amp;$E1402,科目表!$A$5:$B$200,2,FALSE),"※未登録"))</f>
        <v/>
      </c>
      <c r="P1402" s="359" t="str">
        <f>IF(OR($G1402="",$C1402=""),"",IF($B1402="決算整理",13,MOD(MONTH($C1402)-4,12)+1))</f>
        <v/>
      </c>
      <c r="Q1402" s="366" t="str">
        <f>IF($G1402="","",TRIM(IF(J1402+K1402+L1402+M1402&lt;&gt;$G1402,"按分不一致 ","")&amp;IF(O1402="※未登録","科目未登録 ","")&amp;IF(OR($H1402="",ISERROR(MATCH($H1402,{1,2,3,4,5,6,7,8},0))),"経費区分? ","")&amp;IF($I1402="","状態未設定 ","")&amp;IF(AND(OR($I1402="確認済",$I1402="未確認"),$B1402="月例",OR($C1402="",$C1402&lt;DATE(年度+2018,4,1),$C1402&gt;DATE(年度+2019,3,31))),"年度外の日付 ","")&amp;IF(AND(OR($I1402="確認済",$I1402="未確認"),O1402="対象外"),"対象外の科目 ","")))</f>
        <v/>
      </c>
      <c r="R1402" s="366" t="n"/>
    </row>
    <row r="1403">
      <c r="A1403" s="359" t="n"/>
      <c r="B1403" s="360" t="n"/>
      <c r="C1403" s="361" t="n"/>
      <c r="D1403" s="362" t="n"/>
      <c r="E1403" s="362" t="n"/>
      <c r="F1403" s="362" t="n"/>
      <c r="G1403" s="363" t="n"/>
      <c r="H1403" s="360" t="n"/>
      <c r="I1403" s="360" t="n"/>
      <c r="J1403" s="364" t="str">
        <f>IF($G1403="","",IF($H1403=1,$G1403-ROUND($G1403*10/23,0)-2*ROUND($G1403/23,0),IF($H1403=2,$G1403,0)))</f>
        <v/>
      </c>
      <c r="K1403" s="364" t="str">
        <f>IF($G1403="","",IF($H1403=1,ROUND($G1403*10/23,0),IF($H1403=3,$G1403-2*ROUND($G1403/12,0),IF($H1403=4,$G1403,IF(OR($H1403=5,$H1403=7),ROUND($G1403*10/11,0),0)))))</f>
        <v/>
      </c>
      <c r="L1403" s="364" t="str">
        <f>IF($G1403="","",IF($H1403=1,ROUND($G1403/23,0),IF($H1403=3,ROUND($G1403/12,0),IF($H1403=5,$G1403-ROUND($G1403*10/11,0),IF($H1403=8,$G1403,0)))))</f>
        <v/>
      </c>
      <c r="M1403" s="364" t="str">
        <f>IF($G1403="","",IF($H1403=1,ROUND($G1403/23,0),IF($H1403=3,ROUND($G1403/12,0),IF($H1403=6,$G1403,IF($H1403=7,$G1403-ROUND($G1403*10/11,0),0)))))</f>
        <v/>
      </c>
      <c r="N1403" s="364" t="str">
        <f>IF($G1403="","",K1403+L1403+M1403)</f>
        <v/>
      </c>
      <c r="O1403" s="365" t="str">
        <f>IF($G1403="","",IFERROR(VLOOKUP($D1403&amp;"|"&amp;$E1403,科目表!$A$5:$B$200,2,FALSE),"※未登録"))</f>
        <v/>
      </c>
      <c r="P1403" s="359" t="str">
        <f>IF(OR($G1403="",$C1403=""),"",IF($B1403="決算整理",13,MOD(MONTH($C1403)-4,12)+1))</f>
        <v/>
      </c>
      <c r="Q1403" s="366" t="str">
        <f>IF($G1403="","",TRIM(IF(J1403+K1403+L1403+M1403&lt;&gt;$G1403,"按分不一致 ","")&amp;IF(O1403="※未登録","科目未登録 ","")&amp;IF(OR($H1403="",ISERROR(MATCH($H1403,{1,2,3,4,5,6,7,8},0))),"経費区分? ","")&amp;IF($I1403="","状態未設定 ","")&amp;IF(AND(OR($I1403="確認済",$I1403="未確認"),$B1403="月例",OR($C1403="",$C1403&lt;DATE(年度+2018,4,1),$C1403&gt;DATE(年度+2019,3,31))),"年度外の日付 ","")&amp;IF(AND(OR($I1403="確認済",$I1403="未確認"),O1403="対象外"),"対象外の科目 ","")))</f>
        <v/>
      </c>
      <c r="R1403" s="366" t="n"/>
    </row>
    <row r="1404">
      <c r="A1404" s="359" t="n"/>
      <c r="B1404" s="360" t="n"/>
      <c r="C1404" s="361" t="n"/>
      <c r="D1404" s="362" t="n"/>
      <c r="E1404" s="362" t="n"/>
      <c r="F1404" s="362" t="n"/>
      <c r="G1404" s="363" t="n"/>
      <c r="H1404" s="360" t="n"/>
      <c r="I1404" s="360" t="n"/>
      <c r="J1404" s="364" t="str">
        <f>IF($G1404="","",IF($H1404=1,$G1404-ROUND($G1404*10/23,0)-2*ROUND($G1404/23,0),IF($H1404=2,$G1404,0)))</f>
        <v/>
      </c>
      <c r="K1404" s="364" t="str">
        <f>IF($G1404="","",IF($H1404=1,ROUND($G1404*10/23,0),IF($H1404=3,$G1404-2*ROUND($G1404/12,0),IF($H1404=4,$G1404,IF(OR($H1404=5,$H1404=7),ROUND($G1404*10/11,0),0)))))</f>
        <v/>
      </c>
      <c r="L1404" s="364" t="str">
        <f>IF($G1404="","",IF($H1404=1,ROUND($G1404/23,0),IF($H1404=3,ROUND($G1404/12,0),IF($H1404=5,$G1404-ROUND($G1404*10/11,0),IF($H1404=8,$G1404,0)))))</f>
        <v/>
      </c>
      <c r="M1404" s="364" t="str">
        <f>IF($G1404="","",IF($H1404=1,ROUND($G1404/23,0),IF($H1404=3,ROUND($G1404/12,0),IF($H1404=6,$G1404,IF($H1404=7,$G1404-ROUND($G1404*10/11,0),0)))))</f>
        <v/>
      </c>
      <c r="N1404" s="364" t="str">
        <f>IF($G1404="","",K1404+L1404+M1404)</f>
        <v/>
      </c>
      <c r="O1404" s="365" t="str">
        <f>IF($G1404="","",IFERROR(VLOOKUP($D1404&amp;"|"&amp;$E1404,科目表!$A$5:$B$200,2,FALSE),"※未登録"))</f>
        <v/>
      </c>
      <c r="P1404" s="359" t="str">
        <f>IF(OR($G1404="",$C1404=""),"",IF($B1404="決算整理",13,MOD(MONTH($C1404)-4,12)+1))</f>
        <v/>
      </c>
      <c r="Q1404" s="366" t="str">
        <f>IF($G1404="","",TRIM(IF(J1404+K1404+L1404+M1404&lt;&gt;$G1404,"按分不一致 ","")&amp;IF(O1404="※未登録","科目未登録 ","")&amp;IF(OR($H1404="",ISERROR(MATCH($H1404,{1,2,3,4,5,6,7,8},0))),"経費区分? ","")&amp;IF($I1404="","状態未設定 ","")&amp;IF(AND(OR($I1404="確認済",$I1404="未確認"),$B1404="月例",OR($C1404="",$C1404&lt;DATE(年度+2018,4,1),$C1404&gt;DATE(年度+2019,3,31))),"年度外の日付 ","")&amp;IF(AND(OR($I1404="確認済",$I1404="未確認"),O1404="対象外"),"対象外の科目 ","")))</f>
        <v/>
      </c>
      <c r="R1404" s="366" t="n"/>
    </row>
    <row r="1405">
      <c r="A1405" s="359" t="n"/>
      <c r="B1405" s="360" t="n"/>
      <c r="C1405" s="361" t="n"/>
      <c r="D1405" s="362" t="n"/>
      <c r="E1405" s="362" t="n"/>
      <c r="F1405" s="362" t="n"/>
      <c r="G1405" s="363" t="n"/>
      <c r="H1405" s="360" t="n"/>
      <c r="I1405" s="360" t="n"/>
      <c r="J1405" s="364" t="str">
        <f>IF($G1405="","",IF($H1405=1,$G1405-ROUND($G1405*10/23,0)-2*ROUND($G1405/23,0),IF($H1405=2,$G1405,0)))</f>
        <v/>
      </c>
      <c r="K1405" s="364" t="str">
        <f>IF($G1405="","",IF($H1405=1,ROUND($G1405*10/23,0),IF($H1405=3,$G1405-2*ROUND($G1405/12,0),IF($H1405=4,$G1405,IF(OR($H1405=5,$H1405=7),ROUND($G1405*10/11,0),0)))))</f>
        <v/>
      </c>
      <c r="L1405" s="364" t="str">
        <f>IF($G1405="","",IF($H1405=1,ROUND($G1405/23,0),IF($H1405=3,ROUND($G1405/12,0),IF($H1405=5,$G1405-ROUND($G1405*10/11,0),IF($H1405=8,$G1405,0)))))</f>
        <v/>
      </c>
      <c r="M1405" s="364" t="str">
        <f>IF($G1405="","",IF($H1405=1,ROUND($G1405/23,0),IF($H1405=3,ROUND($G1405/12,0),IF($H1405=6,$G1405,IF($H1405=7,$G1405-ROUND($G1405*10/11,0),0)))))</f>
        <v/>
      </c>
      <c r="N1405" s="364" t="str">
        <f>IF($G1405="","",K1405+L1405+M1405)</f>
        <v/>
      </c>
      <c r="O1405" s="365" t="str">
        <f>IF($G1405="","",IFERROR(VLOOKUP($D1405&amp;"|"&amp;$E1405,科目表!$A$5:$B$200,2,FALSE),"※未登録"))</f>
        <v/>
      </c>
      <c r="P1405" s="359" t="str">
        <f>IF(OR($G1405="",$C1405=""),"",IF($B1405="決算整理",13,MOD(MONTH($C1405)-4,12)+1))</f>
        <v/>
      </c>
      <c r="Q1405" s="366" t="str">
        <f>IF($G1405="","",TRIM(IF(J1405+K1405+L1405+M1405&lt;&gt;$G1405,"按分不一致 ","")&amp;IF(O1405="※未登録","科目未登録 ","")&amp;IF(OR($H1405="",ISERROR(MATCH($H1405,{1,2,3,4,5,6,7,8},0))),"経費区分? ","")&amp;IF($I1405="","状態未設定 ","")&amp;IF(AND(OR($I1405="確認済",$I1405="未確認"),$B1405="月例",OR($C1405="",$C1405&lt;DATE(年度+2018,4,1),$C1405&gt;DATE(年度+2019,3,31))),"年度外の日付 ","")&amp;IF(AND(OR($I1405="確認済",$I1405="未確認"),O1405="対象外"),"対象外の科目 ","")))</f>
        <v/>
      </c>
      <c r="R1405" s="366" t="n"/>
    </row>
    <row r="1406">
      <c r="A1406" s="359" t="n"/>
      <c r="B1406" s="360" t="n"/>
      <c r="C1406" s="361" t="n"/>
      <c r="D1406" s="362" t="n"/>
      <c r="E1406" s="362" t="n"/>
      <c r="F1406" s="362" t="n"/>
      <c r="G1406" s="363" t="n"/>
      <c r="H1406" s="360" t="n"/>
      <c r="I1406" s="360" t="n"/>
      <c r="J1406" s="364" t="str">
        <f>IF($G1406="","",IF($H1406=1,$G1406-ROUND($G1406*10/23,0)-2*ROUND($G1406/23,0),IF($H1406=2,$G1406,0)))</f>
        <v/>
      </c>
      <c r="K1406" s="364" t="str">
        <f>IF($G1406="","",IF($H1406=1,ROUND($G1406*10/23,0),IF($H1406=3,$G1406-2*ROUND($G1406/12,0),IF($H1406=4,$G1406,IF(OR($H1406=5,$H1406=7),ROUND($G1406*10/11,0),0)))))</f>
        <v/>
      </c>
      <c r="L1406" s="364" t="str">
        <f>IF($G1406="","",IF($H1406=1,ROUND($G1406/23,0),IF($H1406=3,ROUND($G1406/12,0),IF($H1406=5,$G1406-ROUND($G1406*10/11,0),IF($H1406=8,$G1406,0)))))</f>
        <v/>
      </c>
      <c r="M1406" s="364" t="str">
        <f>IF($G1406="","",IF($H1406=1,ROUND($G1406/23,0),IF($H1406=3,ROUND($G1406/12,0),IF($H1406=6,$G1406,IF($H1406=7,$G1406-ROUND($G1406*10/11,0),0)))))</f>
        <v/>
      </c>
      <c r="N1406" s="364" t="str">
        <f>IF($G1406="","",K1406+L1406+M1406)</f>
        <v/>
      </c>
      <c r="O1406" s="365" t="str">
        <f>IF($G1406="","",IFERROR(VLOOKUP($D1406&amp;"|"&amp;$E1406,科目表!$A$5:$B$200,2,FALSE),"※未登録"))</f>
        <v/>
      </c>
      <c r="P1406" s="359" t="str">
        <f>IF(OR($G1406="",$C1406=""),"",IF($B1406="決算整理",13,MOD(MONTH($C1406)-4,12)+1))</f>
        <v/>
      </c>
      <c r="Q1406" s="366" t="str">
        <f>IF($G1406="","",TRIM(IF(J1406+K1406+L1406+M1406&lt;&gt;$G1406,"按分不一致 ","")&amp;IF(O1406="※未登録","科目未登録 ","")&amp;IF(OR($H1406="",ISERROR(MATCH($H1406,{1,2,3,4,5,6,7,8},0))),"経費区分? ","")&amp;IF($I1406="","状態未設定 ","")&amp;IF(AND(OR($I1406="確認済",$I1406="未確認"),$B1406="月例",OR($C1406="",$C1406&lt;DATE(年度+2018,4,1),$C1406&gt;DATE(年度+2019,3,31))),"年度外の日付 ","")&amp;IF(AND(OR($I1406="確認済",$I1406="未確認"),O1406="対象外"),"対象外の科目 ","")))</f>
        <v/>
      </c>
      <c r="R1406" s="366" t="n"/>
    </row>
    <row r="1407">
      <c r="A1407" s="359" t="n"/>
      <c r="B1407" s="360" t="n"/>
      <c r="C1407" s="361" t="n"/>
      <c r="D1407" s="362" t="n"/>
      <c r="E1407" s="362" t="n"/>
      <c r="F1407" s="362" t="n"/>
      <c r="G1407" s="363" t="n"/>
      <c r="H1407" s="360" t="n"/>
      <c r="I1407" s="360" t="n"/>
      <c r="J1407" s="364" t="str">
        <f>IF($G1407="","",IF($H1407=1,$G1407-ROUND($G1407*10/23,0)-2*ROUND($G1407/23,0),IF($H1407=2,$G1407,0)))</f>
        <v/>
      </c>
      <c r="K1407" s="364" t="str">
        <f>IF($G1407="","",IF($H1407=1,ROUND($G1407*10/23,0),IF($H1407=3,$G1407-2*ROUND($G1407/12,0),IF($H1407=4,$G1407,IF(OR($H1407=5,$H1407=7),ROUND($G1407*10/11,0),0)))))</f>
        <v/>
      </c>
      <c r="L1407" s="364" t="str">
        <f>IF($G1407="","",IF($H1407=1,ROUND($G1407/23,0),IF($H1407=3,ROUND($G1407/12,0),IF($H1407=5,$G1407-ROUND($G1407*10/11,0),IF($H1407=8,$G1407,0)))))</f>
        <v/>
      </c>
      <c r="M1407" s="364" t="str">
        <f>IF($G1407="","",IF($H1407=1,ROUND($G1407/23,0),IF($H1407=3,ROUND($G1407/12,0),IF($H1407=6,$G1407,IF($H1407=7,$G1407-ROUND($G1407*10/11,0),0)))))</f>
        <v/>
      </c>
      <c r="N1407" s="364" t="str">
        <f>IF($G1407="","",K1407+L1407+M1407)</f>
        <v/>
      </c>
      <c r="O1407" s="365" t="str">
        <f>IF($G1407="","",IFERROR(VLOOKUP($D1407&amp;"|"&amp;$E1407,科目表!$A$5:$B$200,2,FALSE),"※未登録"))</f>
        <v/>
      </c>
      <c r="P1407" s="359" t="str">
        <f>IF(OR($G1407="",$C1407=""),"",IF($B1407="決算整理",13,MOD(MONTH($C1407)-4,12)+1))</f>
        <v/>
      </c>
      <c r="Q1407" s="366" t="str">
        <f>IF($G1407="","",TRIM(IF(J1407+K1407+L1407+M1407&lt;&gt;$G1407,"按分不一致 ","")&amp;IF(O1407="※未登録","科目未登録 ","")&amp;IF(OR($H1407="",ISERROR(MATCH($H1407,{1,2,3,4,5,6,7,8},0))),"経費区分? ","")&amp;IF($I1407="","状態未設定 ","")&amp;IF(AND(OR($I1407="確認済",$I1407="未確認"),$B1407="月例",OR($C1407="",$C1407&lt;DATE(年度+2018,4,1),$C1407&gt;DATE(年度+2019,3,31))),"年度外の日付 ","")&amp;IF(AND(OR($I1407="確認済",$I1407="未確認"),O1407="対象外"),"対象外の科目 ","")))</f>
        <v/>
      </c>
      <c r="R1407" s="366" t="n"/>
    </row>
    <row r="1408">
      <c r="A1408" s="359" t="n"/>
      <c r="B1408" s="360" t="n"/>
      <c r="C1408" s="361" t="n"/>
      <c r="D1408" s="362" t="n"/>
      <c r="E1408" s="362" t="n"/>
      <c r="F1408" s="362" t="n"/>
      <c r="G1408" s="363" t="n"/>
      <c r="H1408" s="360" t="n"/>
      <c r="I1408" s="360" t="n"/>
      <c r="J1408" s="364" t="str">
        <f>IF($G1408="","",IF($H1408=1,$G1408-ROUND($G1408*10/23,0)-2*ROUND($G1408/23,0),IF($H1408=2,$G1408,0)))</f>
        <v/>
      </c>
      <c r="K1408" s="364" t="str">
        <f>IF($G1408="","",IF($H1408=1,ROUND($G1408*10/23,0),IF($H1408=3,$G1408-2*ROUND($G1408/12,0),IF($H1408=4,$G1408,IF(OR($H1408=5,$H1408=7),ROUND($G1408*10/11,0),0)))))</f>
        <v/>
      </c>
      <c r="L1408" s="364" t="str">
        <f>IF($G1408="","",IF($H1408=1,ROUND($G1408/23,0),IF($H1408=3,ROUND($G1408/12,0),IF($H1408=5,$G1408-ROUND($G1408*10/11,0),IF($H1408=8,$G1408,0)))))</f>
        <v/>
      </c>
      <c r="M1408" s="364" t="str">
        <f>IF($G1408="","",IF($H1408=1,ROUND($G1408/23,0),IF($H1408=3,ROUND($G1408/12,0),IF($H1408=6,$G1408,IF($H1408=7,$G1408-ROUND($G1408*10/11,0),0)))))</f>
        <v/>
      </c>
      <c r="N1408" s="364" t="str">
        <f>IF($G1408="","",K1408+L1408+M1408)</f>
        <v/>
      </c>
      <c r="O1408" s="365" t="str">
        <f>IF($G1408="","",IFERROR(VLOOKUP($D1408&amp;"|"&amp;$E1408,科目表!$A$5:$B$200,2,FALSE),"※未登録"))</f>
        <v/>
      </c>
      <c r="P1408" s="359" t="str">
        <f>IF(OR($G1408="",$C1408=""),"",IF($B1408="決算整理",13,MOD(MONTH($C1408)-4,12)+1))</f>
        <v/>
      </c>
      <c r="Q1408" s="366" t="str">
        <f>IF($G1408="","",TRIM(IF(J1408+K1408+L1408+M1408&lt;&gt;$G1408,"按分不一致 ","")&amp;IF(O1408="※未登録","科目未登録 ","")&amp;IF(OR($H1408="",ISERROR(MATCH($H1408,{1,2,3,4,5,6,7,8},0))),"経費区分? ","")&amp;IF($I1408="","状態未設定 ","")&amp;IF(AND(OR($I1408="確認済",$I1408="未確認"),$B1408="月例",OR($C1408="",$C1408&lt;DATE(年度+2018,4,1),$C1408&gt;DATE(年度+2019,3,31))),"年度外の日付 ","")&amp;IF(AND(OR($I1408="確認済",$I1408="未確認"),O1408="対象外"),"対象外の科目 ","")))</f>
        <v/>
      </c>
      <c r="R1408" s="366" t="n"/>
    </row>
    <row r="1409">
      <c r="A1409" s="359" t="n"/>
      <c r="B1409" s="360" t="n"/>
      <c r="C1409" s="361" t="n"/>
      <c r="D1409" s="362" t="n"/>
      <c r="E1409" s="362" t="n"/>
      <c r="F1409" s="362" t="n"/>
      <c r="G1409" s="363" t="n"/>
      <c r="H1409" s="360" t="n"/>
      <c r="I1409" s="360" t="n"/>
      <c r="J1409" s="364" t="str">
        <f>IF($G1409="","",IF($H1409=1,$G1409-ROUND($G1409*10/23,0)-2*ROUND($G1409/23,0),IF($H1409=2,$G1409,0)))</f>
        <v/>
      </c>
      <c r="K1409" s="364" t="str">
        <f>IF($G1409="","",IF($H1409=1,ROUND($G1409*10/23,0),IF($H1409=3,$G1409-2*ROUND($G1409/12,0),IF($H1409=4,$G1409,IF(OR($H1409=5,$H1409=7),ROUND($G1409*10/11,0),0)))))</f>
        <v/>
      </c>
      <c r="L1409" s="364" t="str">
        <f>IF($G1409="","",IF($H1409=1,ROUND($G1409/23,0),IF($H1409=3,ROUND($G1409/12,0),IF($H1409=5,$G1409-ROUND($G1409*10/11,0),IF($H1409=8,$G1409,0)))))</f>
        <v/>
      </c>
      <c r="M1409" s="364" t="str">
        <f>IF($G1409="","",IF($H1409=1,ROUND($G1409/23,0),IF($H1409=3,ROUND($G1409/12,0),IF($H1409=6,$G1409,IF($H1409=7,$G1409-ROUND($G1409*10/11,0),0)))))</f>
        <v/>
      </c>
      <c r="N1409" s="364" t="str">
        <f>IF($G1409="","",K1409+L1409+M1409)</f>
        <v/>
      </c>
      <c r="O1409" s="365" t="str">
        <f>IF($G1409="","",IFERROR(VLOOKUP($D1409&amp;"|"&amp;$E1409,科目表!$A$5:$B$200,2,FALSE),"※未登録"))</f>
        <v/>
      </c>
      <c r="P1409" s="359" t="str">
        <f>IF(OR($G1409="",$C1409=""),"",IF($B1409="決算整理",13,MOD(MONTH($C1409)-4,12)+1))</f>
        <v/>
      </c>
      <c r="Q1409" s="366" t="str">
        <f>IF($G1409="","",TRIM(IF(J1409+K1409+L1409+M1409&lt;&gt;$G1409,"按分不一致 ","")&amp;IF(O1409="※未登録","科目未登録 ","")&amp;IF(OR($H1409="",ISERROR(MATCH($H1409,{1,2,3,4,5,6,7,8},0))),"経費区分? ","")&amp;IF($I1409="","状態未設定 ","")&amp;IF(AND(OR($I1409="確認済",$I1409="未確認"),$B1409="月例",OR($C1409="",$C1409&lt;DATE(年度+2018,4,1),$C1409&gt;DATE(年度+2019,3,31))),"年度外の日付 ","")&amp;IF(AND(OR($I1409="確認済",$I1409="未確認"),O1409="対象外"),"対象外の科目 ","")))</f>
        <v/>
      </c>
      <c r="R1409" s="366" t="n"/>
    </row>
    <row r="1410">
      <c r="A1410" s="359" t="n"/>
      <c r="B1410" s="360" t="n"/>
      <c r="C1410" s="361" t="n"/>
      <c r="D1410" s="362" t="n"/>
      <c r="E1410" s="362" t="n"/>
      <c r="F1410" s="362" t="n"/>
      <c r="G1410" s="363" t="n"/>
      <c r="H1410" s="360" t="n"/>
      <c r="I1410" s="360" t="n"/>
      <c r="J1410" s="364" t="str">
        <f>IF($G1410="","",IF($H1410=1,$G1410-ROUND($G1410*10/23,0)-2*ROUND($G1410/23,0),IF($H1410=2,$G1410,0)))</f>
        <v/>
      </c>
      <c r="K1410" s="364" t="str">
        <f>IF($G1410="","",IF($H1410=1,ROUND($G1410*10/23,0),IF($H1410=3,$G1410-2*ROUND($G1410/12,0),IF($H1410=4,$G1410,IF(OR($H1410=5,$H1410=7),ROUND($G1410*10/11,0),0)))))</f>
        <v/>
      </c>
      <c r="L1410" s="364" t="str">
        <f>IF($G1410="","",IF($H1410=1,ROUND($G1410/23,0),IF($H1410=3,ROUND($G1410/12,0),IF($H1410=5,$G1410-ROUND($G1410*10/11,0),IF($H1410=8,$G1410,0)))))</f>
        <v/>
      </c>
      <c r="M1410" s="364" t="str">
        <f>IF($G1410="","",IF($H1410=1,ROUND($G1410/23,0),IF($H1410=3,ROUND($G1410/12,0),IF($H1410=6,$G1410,IF($H1410=7,$G1410-ROUND($G1410*10/11,0),0)))))</f>
        <v/>
      </c>
      <c r="N1410" s="364" t="str">
        <f>IF($G1410="","",K1410+L1410+M1410)</f>
        <v/>
      </c>
      <c r="O1410" s="365" t="str">
        <f>IF($G1410="","",IFERROR(VLOOKUP($D1410&amp;"|"&amp;$E1410,科目表!$A$5:$B$200,2,FALSE),"※未登録"))</f>
        <v/>
      </c>
      <c r="P1410" s="359" t="str">
        <f>IF(OR($G1410="",$C1410=""),"",IF($B1410="決算整理",13,MOD(MONTH($C1410)-4,12)+1))</f>
        <v/>
      </c>
      <c r="Q1410" s="366" t="str">
        <f>IF($G1410="","",TRIM(IF(J1410+K1410+L1410+M1410&lt;&gt;$G1410,"按分不一致 ","")&amp;IF(O1410="※未登録","科目未登録 ","")&amp;IF(OR($H1410="",ISERROR(MATCH($H1410,{1,2,3,4,5,6,7,8},0))),"経費区分? ","")&amp;IF($I1410="","状態未設定 ","")&amp;IF(AND(OR($I1410="確認済",$I1410="未確認"),$B1410="月例",OR($C1410="",$C1410&lt;DATE(年度+2018,4,1),$C1410&gt;DATE(年度+2019,3,31))),"年度外の日付 ","")&amp;IF(AND(OR($I1410="確認済",$I1410="未確認"),O1410="対象外"),"対象外の科目 ","")))</f>
        <v/>
      </c>
      <c r="R1410" s="366" t="n"/>
    </row>
    <row r="1411">
      <c r="A1411" s="359" t="n"/>
      <c r="B1411" s="360" t="n"/>
      <c r="C1411" s="361" t="n"/>
      <c r="D1411" s="362" t="n"/>
      <c r="E1411" s="362" t="n"/>
      <c r="F1411" s="362" t="n"/>
      <c r="G1411" s="363" t="n"/>
      <c r="H1411" s="360" t="n"/>
      <c r="I1411" s="360" t="n"/>
      <c r="J1411" s="364" t="str">
        <f>IF($G1411="","",IF($H1411=1,$G1411-ROUND($G1411*10/23,0)-2*ROUND($G1411/23,0),IF($H1411=2,$G1411,0)))</f>
        <v/>
      </c>
      <c r="K1411" s="364" t="str">
        <f>IF($G1411="","",IF($H1411=1,ROUND($G1411*10/23,0),IF($H1411=3,$G1411-2*ROUND($G1411/12,0),IF($H1411=4,$G1411,IF(OR($H1411=5,$H1411=7),ROUND($G1411*10/11,0),0)))))</f>
        <v/>
      </c>
      <c r="L1411" s="364" t="str">
        <f>IF($G1411="","",IF($H1411=1,ROUND($G1411/23,0),IF($H1411=3,ROUND($G1411/12,0),IF($H1411=5,$G1411-ROUND($G1411*10/11,0),IF($H1411=8,$G1411,0)))))</f>
        <v/>
      </c>
      <c r="M1411" s="364" t="str">
        <f>IF($G1411="","",IF($H1411=1,ROUND($G1411/23,0),IF($H1411=3,ROUND($G1411/12,0),IF($H1411=6,$G1411,IF($H1411=7,$G1411-ROUND($G1411*10/11,0),0)))))</f>
        <v/>
      </c>
      <c r="N1411" s="364" t="str">
        <f>IF($G1411="","",K1411+L1411+M1411)</f>
        <v/>
      </c>
      <c r="O1411" s="365" t="str">
        <f>IF($G1411="","",IFERROR(VLOOKUP($D1411&amp;"|"&amp;$E1411,科目表!$A$5:$B$200,2,FALSE),"※未登録"))</f>
        <v/>
      </c>
      <c r="P1411" s="359" t="str">
        <f>IF(OR($G1411="",$C1411=""),"",IF($B1411="決算整理",13,MOD(MONTH($C1411)-4,12)+1))</f>
        <v/>
      </c>
      <c r="Q1411" s="366" t="str">
        <f>IF($G1411="","",TRIM(IF(J1411+K1411+L1411+M1411&lt;&gt;$G1411,"按分不一致 ","")&amp;IF(O1411="※未登録","科目未登録 ","")&amp;IF(OR($H1411="",ISERROR(MATCH($H1411,{1,2,3,4,5,6,7,8},0))),"経費区分? ","")&amp;IF($I1411="","状態未設定 ","")&amp;IF(AND(OR($I1411="確認済",$I1411="未確認"),$B1411="月例",OR($C1411="",$C1411&lt;DATE(年度+2018,4,1),$C1411&gt;DATE(年度+2019,3,31))),"年度外の日付 ","")&amp;IF(AND(OR($I1411="確認済",$I1411="未確認"),O1411="対象外"),"対象外の科目 ","")))</f>
        <v/>
      </c>
      <c r="R1411" s="366" t="n"/>
    </row>
    <row r="1412">
      <c r="A1412" s="359" t="n"/>
      <c r="B1412" s="360" t="n"/>
      <c r="C1412" s="361" t="n"/>
      <c r="D1412" s="362" t="n"/>
      <c r="E1412" s="362" t="n"/>
      <c r="F1412" s="362" t="n"/>
      <c r="G1412" s="363" t="n"/>
      <c r="H1412" s="360" t="n"/>
      <c r="I1412" s="360" t="n"/>
      <c r="J1412" s="364" t="str">
        <f>IF($G1412="","",IF($H1412=1,$G1412-ROUND($G1412*10/23,0)-2*ROUND($G1412/23,0),IF($H1412=2,$G1412,0)))</f>
        <v/>
      </c>
      <c r="K1412" s="364" t="str">
        <f>IF($G1412="","",IF($H1412=1,ROUND($G1412*10/23,0),IF($H1412=3,$G1412-2*ROUND($G1412/12,0),IF($H1412=4,$G1412,IF(OR($H1412=5,$H1412=7),ROUND($G1412*10/11,0),0)))))</f>
        <v/>
      </c>
      <c r="L1412" s="364" t="str">
        <f>IF($G1412="","",IF($H1412=1,ROUND($G1412/23,0),IF($H1412=3,ROUND($G1412/12,0),IF($H1412=5,$G1412-ROUND($G1412*10/11,0),IF($H1412=8,$G1412,0)))))</f>
        <v/>
      </c>
      <c r="M1412" s="364" t="str">
        <f>IF($G1412="","",IF($H1412=1,ROUND($G1412/23,0),IF($H1412=3,ROUND($G1412/12,0),IF($H1412=6,$G1412,IF($H1412=7,$G1412-ROUND($G1412*10/11,0),0)))))</f>
        <v/>
      </c>
      <c r="N1412" s="364" t="str">
        <f>IF($G1412="","",K1412+L1412+M1412)</f>
        <v/>
      </c>
      <c r="O1412" s="365" t="str">
        <f>IF($G1412="","",IFERROR(VLOOKUP($D1412&amp;"|"&amp;$E1412,科目表!$A$5:$B$200,2,FALSE),"※未登録"))</f>
        <v/>
      </c>
      <c r="P1412" s="359" t="str">
        <f>IF(OR($G1412="",$C1412=""),"",IF($B1412="決算整理",13,MOD(MONTH($C1412)-4,12)+1))</f>
        <v/>
      </c>
      <c r="Q1412" s="366" t="str">
        <f>IF($G1412="","",TRIM(IF(J1412+K1412+L1412+M1412&lt;&gt;$G1412,"按分不一致 ","")&amp;IF(O1412="※未登録","科目未登録 ","")&amp;IF(OR($H1412="",ISERROR(MATCH($H1412,{1,2,3,4,5,6,7,8},0))),"経費区分? ","")&amp;IF($I1412="","状態未設定 ","")&amp;IF(AND(OR($I1412="確認済",$I1412="未確認"),$B1412="月例",OR($C1412="",$C1412&lt;DATE(年度+2018,4,1),$C1412&gt;DATE(年度+2019,3,31))),"年度外の日付 ","")&amp;IF(AND(OR($I1412="確認済",$I1412="未確認"),O1412="対象外"),"対象外の科目 ","")))</f>
        <v/>
      </c>
      <c r="R1412" s="366" t="n"/>
    </row>
    <row r="1413">
      <c r="A1413" s="359" t="n"/>
      <c r="B1413" s="360" t="n"/>
      <c r="C1413" s="361" t="n"/>
      <c r="D1413" s="362" t="n"/>
      <c r="E1413" s="362" t="n"/>
      <c r="F1413" s="362" t="n"/>
      <c r="G1413" s="363" t="n"/>
      <c r="H1413" s="360" t="n"/>
      <c r="I1413" s="360" t="n"/>
      <c r="J1413" s="364" t="str">
        <f>IF($G1413="","",IF($H1413=1,$G1413-ROUND($G1413*10/23,0)-2*ROUND($G1413/23,0),IF($H1413=2,$G1413,0)))</f>
        <v/>
      </c>
      <c r="K1413" s="364" t="str">
        <f>IF($G1413="","",IF($H1413=1,ROUND($G1413*10/23,0),IF($H1413=3,$G1413-2*ROUND($G1413/12,0),IF($H1413=4,$G1413,IF(OR($H1413=5,$H1413=7),ROUND($G1413*10/11,0),0)))))</f>
        <v/>
      </c>
      <c r="L1413" s="364" t="str">
        <f>IF($G1413="","",IF($H1413=1,ROUND($G1413/23,0),IF($H1413=3,ROUND($G1413/12,0),IF($H1413=5,$G1413-ROUND($G1413*10/11,0),IF($H1413=8,$G1413,0)))))</f>
        <v/>
      </c>
      <c r="M1413" s="364" t="str">
        <f>IF($G1413="","",IF($H1413=1,ROUND($G1413/23,0),IF($H1413=3,ROUND($G1413/12,0),IF($H1413=6,$G1413,IF($H1413=7,$G1413-ROUND($G1413*10/11,0),0)))))</f>
        <v/>
      </c>
      <c r="N1413" s="364" t="str">
        <f>IF($G1413="","",K1413+L1413+M1413)</f>
        <v/>
      </c>
      <c r="O1413" s="365" t="str">
        <f>IF($G1413="","",IFERROR(VLOOKUP($D1413&amp;"|"&amp;$E1413,科目表!$A$5:$B$200,2,FALSE),"※未登録"))</f>
        <v/>
      </c>
      <c r="P1413" s="359" t="str">
        <f>IF(OR($G1413="",$C1413=""),"",IF($B1413="決算整理",13,MOD(MONTH($C1413)-4,12)+1))</f>
        <v/>
      </c>
      <c r="Q1413" s="366" t="str">
        <f>IF($G1413="","",TRIM(IF(J1413+K1413+L1413+M1413&lt;&gt;$G1413,"按分不一致 ","")&amp;IF(O1413="※未登録","科目未登録 ","")&amp;IF(OR($H1413="",ISERROR(MATCH($H1413,{1,2,3,4,5,6,7,8},0))),"経費区分? ","")&amp;IF($I1413="","状態未設定 ","")&amp;IF(AND(OR($I1413="確認済",$I1413="未確認"),$B1413="月例",OR($C1413="",$C1413&lt;DATE(年度+2018,4,1),$C1413&gt;DATE(年度+2019,3,31))),"年度外の日付 ","")&amp;IF(AND(OR($I1413="確認済",$I1413="未確認"),O1413="対象外"),"対象外の科目 ","")))</f>
        <v/>
      </c>
      <c r="R1413" s="366" t="n"/>
    </row>
    <row r="1414">
      <c r="A1414" s="359" t="n"/>
      <c r="B1414" s="360" t="n"/>
      <c r="C1414" s="361" t="n"/>
      <c r="D1414" s="362" t="n"/>
      <c r="E1414" s="362" t="n"/>
      <c r="F1414" s="362" t="n"/>
      <c r="G1414" s="363" t="n"/>
      <c r="H1414" s="360" t="n"/>
      <c r="I1414" s="360" t="n"/>
      <c r="J1414" s="364" t="str">
        <f>IF($G1414="","",IF($H1414=1,$G1414-ROUND($G1414*10/23,0)-2*ROUND($G1414/23,0),IF($H1414=2,$G1414,0)))</f>
        <v/>
      </c>
      <c r="K1414" s="364" t="str">
        <f>IF($G1414="","",IF($H1414=1,ROUND($G1414*10/23,0),IF($H1414=3,$G1414-2*ROUND($G1414/12,0),IF($H1414=4,$G1414,IF(OR($H1414=5,$H1414=7),ROUND($G1414*10/11,0),0)))))</f>
        <v/>
      </c>
      <c r="L1414" s="364" t="str">
        <f>IF($G1414="","",IF($H1414=1,ROUND($G1414/23,0),IF($H1414=3,ROUND($G1414/12,0),IF($H1414=5,$G1414-ROUND($G1414*10/11,0),IF($H1414=8,$G1414,0)))))</f>
        <v/>
      </c>
      <c r="M1414" s="364" t="str">
        <f>IF($G1414="","",IF($H1414=1,ROUND($G1414/23,0),IF($H1414=3,ROUND($G1414/12,0),IF($H1414=6,$G1414,IF($H1414=7,$G1414-ROUND($G1414*10/11,0),0)))))</f>
        <v/>
      </c>
      <c r="N1414" s="364" t="str">
        <f>IF($G1414="","",K1414+L1414+M1414)</f>
        <v/>
      </c>
      <c r="O1414" s="365" t="str">
        <f>IF($G1414="","",IFERROR(VLOOKUP($D1414&amp;"|"&amp;$E1414,科目表!$A$5:$B$200,2,FALSE),"※未登録"))</f>
        <v/>
      </c>
      <c r="P1414" s="359" t="str">
        <f>IF(OR($G1414="",$C1414=""),"",IF($B1414="決算整理",13,MOD(MONTH($C1414)-4,12)+1))</f>
        <v/>
      </c>
      <c r="Q1414" s="366" t="str">
        <f>IF($G1414="","",TRIM(IF(J1414+K1414+L1414+M1414&lt;&gt;$G1414,"按分不一致 ","")&amp;IF(O1414="※未登録","科目未登録 ","")&amp;IF(OR($H1414="",ISERROR(MATCH($H1414,{1,2,3,4,5,6,7,8},0))),"経費区分? ","")&amp;IF($I1414="","状態未設定 ","")&amp;IF(AND(OR($I1414="確認済",$I1414="未確認"),$B1414="月例",OR($C1414="",$C1414&lt;DATE(年度+2018,4,1),$C1414&gt;DATE(年度+2019,3,31))),"年度外の日付 ","")&amp;IF(AND(OR($I1414="確認済",$I1414="未確認"),O1414="対象外"),"対象外の科目 ","")))</f>
        <v/>
      </c>
      <c r="R1414" s="366" t="n"/>
    </row>
    <row r="1415">
      <c r="A1415" s="359" t="n"/>
      <c r="B1415" s="360" t="n"/>
      <c r="C1415" s="361" t="n"/>
      <c r="D1415" s="362" t="n"/>
      <c r="E1415" s="362" t="n"/>
      <c r="F1415" s="362" t="n"/>
      <c r="G1415" s="363" t="n"/>
      <c r="H1415" s="360" t="n"/>
      <c r="I1415" s="360" t="n"/>
      <c r="J1415" s="364" t="str">
        <f>IF($G1415="","",IF($H1415=1,$G1415-ROUND($G1415*10/23,0)-2*ROUND($G1415/23,0),IF($H1415=2,$G1415,0)))</f>
        <v/>
      </c>
      <c r="K1415" s="364" t="str">
        <f>IF($G1415="","",IF($H1415=1,ROUND($G1415*10/23,0),IF($H1415=3,$G1415-2*ROUND($G1415/12,0),IF($H1415=4,$G1415,IF(OR($H1415=5,$H1415=7),ROUND($G1415*10/11,0),0)))))</f>
        <v/>
      </c>
      <c r="L1415" s="364" t="str">
        <f>IF($G1415="","",IF($H1415=1,ROUND($G1415/23,0),IF($H1415=3,ROUND($G1415/12,0),IF($H1415=5,$G1415-ROUND($G1415*10/11,0),IF($H1415=8,$G1415,0)))))</f>
        <v/>
      </c>
      <c r="M1415" s="364" t="str">
        <f>IF($G1415="","",IF($H1415=1,ROUND($G1415/23,0),IF($H1415=3,ROUND($G1415/12,0),IF($H1415=6,$G1415,IF($H1415=7,$G1415-ROUND($G1415*10/11,0),0)))))</f>
        <v/>
      </c>
      <c r="N1415" s="364" t="str">
        <f>IF($G1415="","",K1415+L1415+M1415)</f>
        <v/>
      </c>
      <c r="O1415" s="365" t="str">
        <f>IF($G1415="","",IFERROR(VLOOKUP($D1415&amp;"|"&amp;$E1415,科目表!$A$5:$B$200,2,FALSE),"※未登録"))</f>
        <v/>
      </c>
      <c r="P1415" s="359" t="str">
        <f>IF(OR($G1415="",$C1415=""),"",IF($B1415="決算整理",13,MOD(MONTH($C1415)-4,12)+1))</f>
        <v/>
      </c>
      <c r="Q1415" s="366" t="str">
        <f>IF($G1415="","",TRIM(IF(J1415+K1415+L1415+M1415&lt;&gt;$G1415,"按分不一致 ","")&amp;IF(O1415="※未登録","科目未登録 ","")&amp;IF(OR($H1415="",ISERROR(MATCH($H1415,{1,2,3,4,5,6,7,8},0))),"経費区分? ","")&amp;IF($I1415="","状態未設定 ","")&amp;IF(AND(OR($I1415="確認済",$I1415="未確認"),$B1415="月例",OR($C1415="",$C1415&lt;DATE(年度+2018,4,1),$C1415&gt;DATE(年度+2019,3,31))),"年度外の日付 ","")&amp;IF(AND(OR($I1415="確認済",$I1415="未確認"),O1415="対象外"),"対象外の科目 ","")))</f>
        <v/>
      </c>
      <c r="R1415" s="366" t="n"/>
    </row>
    <row r="1416">
      <c r="A1416" s="359" t="n"/>
      <c r="B1416" s="360" t="n"/>
      <c r="C1416" s="361" t="n"/>
      <c r="D1416" s="362" t="n"/>
      <c r="E1416" s="362" t="n"/>
      <c r="F1416" s="362" t="n"/>
      <c r="G1416" s="363" t="n"/>
      <c r="H1416" s="360" t="n"/>
      <c r="I1416" s="360" t="n"/>
      <c r="J1416" s="364" t="str">
        <f>IF($G1416="","",IF($H1416=1,$G1416-ROUND($G1416*10/23,0)-2*ROUND($G1416/23,0),IF($H1416=2,$G1416,0)))</f>
        <v/>
      </c>
      <c r="K1416" s="364" t="str">
        <f>IF($G1416="","",IF($H1416=1,ROUND($G1416*10/23,0),IF($H1416=3,$G1416-2*ROUND($G1416/12,0),IF($H1416=4,$G1416,IF(OR($H1416=5,$H1416=7),ROUND($G1416*10/11,0),0)))))</f>
        <v/>
      </c>
      <c r="L1416" s="364" t="str">
        <f>IF($G1416="","",IF($H1416=1,ROUND($G1416/23,0),IF($H1416=3,ROUND($G1416/12,0),IF($H1416=5,$G1416-ROUND($G1416*10/11,0),IF($H1416=8,$G1416,0)))))</f>
        <v/>
      </c>
      <c r="M1416" s="364" t="str">
        <f>IF($G1416="","",IF($H1416=1,ROUND($G1416/23,0),IF($H1416=3,ROUND($G1416/12,0),IF($H1416=6,$G1416,IF($H1416=7,$G1416-ROUND($G1416*10/11,0),0)))))</f>
        <v/>
      </c>
      <c r="N1416" s="364" t="str">
        <f>IF($G1416="","",K1416+L1416+M1416)</f>
        <v/>
      </c>
      <c r="O1416" s="365" t="str">
        <f>IF($G1416="","",IFERROR(VLOOKUP($D1416&amp;"|"&amp;$E1416,科目表!$A$5:$B$200,2,FALSE),"※未登録"))</f>
        <v/>
      </c>
      <c r="P1416" s="359" t="str">
        <f>IF(OR($G1416="",$C1416=""),"",IF($B1416="決算整理",13,MOD(MONTH($C1416)-4,12)+1))</f>
        <v/>
      </c>
      <c r="Q1416" s="366" t="str">
        <f>IF($G1416="","",TRIM(IF(J1416+K1416+L1416+M1416&lt;&gt;$G1416,"按分不一致 ","")&amp;IF(O1416="※未登録","科目未登録 ","")&amp;IF(OR($H1416="",ISERROR(MATCH($H1416,{1,2,3,4,5,6,7,8},0))),"経費区分? ","")&amp;IF($I1416="","状態未設定 ","")&amp;IF(AND(OR($I1416="確認済",$I1416="未確認"),$B1416="月例",OR($C1416="",$C1416&lt;DATE(年度+2018,4,1),$C1416&gt;DATE(年度+2019,3,31))),"年度外の日付 ","")&amp;IF(AND(OR($I1416="確認済",$I1416="未確認"),O1416="対象外"),"対象外の科目 ","")))</f>
        <v/>
      </c>
      <c r="R1416" s="366" t="n"/>
    </row>
    <row r="1417">
      <c r="A1417" s="359" t="n"/>
      <c r="B1417" s="360" t="n"/>
      <c r="C1417" s="361" t="n"/>
      <c r="D1417" s="362" t="n"/>
      <c r="E1417" s="362" t="n"/>
      <c r="F1417" s="362" t="n"/>
      <c r="G1417" s="363" t="n"/>
      <c r="H1417" s="360" t="n"/>
      <c r="I1417" s="360" t="n"/>
      <c r="J1417" s="364" t="str">
        <f>IF($G1417="","",IF($H1417=1,$G1417-ROUND($G1417*10/23,0)-2*ROUND($G1417/23,0),IF($H1417=2,$G1417,0)))</f>
        <v/>
      </c>
      <c r="K1417" s="364" t="str">
        <f>IF($G1417="","",IF($H1417=1,ROUND($G1417*10/23,0),IF($H1417=3,$G1417-2*ROUND($G1417/12,0),IF($H1417=4,$G1417,IF(OR($H1417=5,$H1417=7),ROUND($G1417*10/11,0),0)))))</f>
        <v/>
      </c>
      <c r="L1417" s="364" t="str">
        <f>IF($G1417="","",IF($H1417=1,ROUND($G1417/23,0),IF($H1417=3,ROUND($G1417/12,0),IF($H1417=5,$G1417-ROUND($G1417*10/11,0),IF($H1417=8,$G1417,0)))))</f>
        <v/>
      </c>
      <c r="M1417" s="364" t="str">
        <f>IF($G1417="","",IF($H1417=1,ROUND($G1417/23,0),IF($H1417=3,ROUND($G1417/12,0),IF($H1417=6,$G1417,IF($H1417=7,$G1417-ROUND($G1417*10/11,0),0)))))</f>
        <v/>
      </c>
      <c r="N1417" s="364" t="str">
        <f>IF($G1417="","",K1417+L1417+M1417)</f>
        <v/>
      </c>
      <c r="O1417" s="365" t="str">
        <f>IF($G1417="","",IFERROR(VLOOKUP($D1417&amp;"|"&amp;$E1417,科目表!$A$5:$B$200,2,FALSE),"※未登録"))</f>
        <v/>
      </c>
      <c r="P1417" s="359" t="str">
        <f>IF(OR($G1417="",$C1417=""),"",IF($B1417="決算整理",13,MOD(MONTH($C1417)-4,12)+1))</f>
        <v/>
      </c>
      <c r="Q1417" s="366" t="str">
        <f>IF($G1417="","",TRIM(IF(J1417+K1417+L1417+M1417&lt;&gt;$G1417,"按分不一致 ","")&amp;IF(O1417="※未登録","科目未登録 ","")&amp;IF(OR($H1417="",ISERROR(MATCH($H1417,{1,2,3,4,5,6,7,8},0))),"経費区分? ","")&amp;IF($I1417="","状態未設定 ","")&amp;IF(AND(OR($I1417="確認済",$I1417="未確認"),$B1417="月例",OR($C1417="",$C1417&lt;DATE(年度+2018,4,1),$C1417&gt;DATE(年度+2019,3,31))),"年度外の日付 ","")&amp;IF(AND(OR($I1417="確認済",$I1417="未確認"),O1417="対象外"),"対象外の科目 ","")))</f>
        <v/>
      </c>
      <c r="R1417" s="366" t="n"/>
    </row>
    <row r="1418">
      <c r="A1418" s="359" t="n"/>
      <c r="B1418" s="360" t="n"/>
      <c r="C1418" s="361" t="n"/>
      <c r="D1418" s="362" t="n"/>
      <c r="E1418" s="362" t="n"/>
      <c r="F1418" s="362" t="n"/>
      <c r="G1418" s="363" t="n"/>
      <c r="H1418" s="360" t="n"/>
      <c r="I1418" s="360" t="n"/>
      <c r="J1418" s="364" t="str">
        <f>IF($G1418="","",IF($H1418=1,$G1418-ROUND($G1418*10/23,0)-2*ROUND($G1418/23,0),IF($H1418=2,$G1418,0)))</f>
        <v/>
      </c>
      <c r="K1418" s="364" t="str">
        <f>IF($G1418="","",IF($H1418=1,ROUND($G1418*10/23,0),IF($H1418=3,$G1418-2*ROUND($G1418/12,0),IF($H1418=4,$G1418,IF(OR($H1418=5,$H1418=7),ROUND($G1418*10/11,0),0)))))</f>
        <v/>
      </c>
      <c r="L1418" s="364" t="str">
        <f>IF($G1418="","",IF($H1418=1,ROUND($G1418/23,0),IF($H1418=3,ROUND($G1418/12,0),IF($H1418=5,$G1418-ROUND($G1418*10/11,0),IF($H1418=8,$G1418,0)))))</f>
        <v/>
      </c>
      <c r="M1418" s="364" t="str">
        <f>IF($G1418="","",IF($H1418=1,ROUND($G1418/23,0),IF($H1418=3,ROUND($G1418/12,0),IF($H1418=6,$G1418,IF($H1418=7,$G1418-ROUND($G1418*10/11,0),0)))))</f>
        <v/>
      </c>
      <c r="N1418" s="364" t="str">
        <f>IF($G1418="","",K1418+L1418+M1418)</f>
        <v/>
      </c>
      <c r="O1418" s="365" t="str">
        <f>IF($G1418="","",IFERROR(VLOOKUP($D1418&amp;"|"&amp;$E1418,科目表!$A$5:$B$200,2,FALSE),"※未登録"))</f>
        <v/>
      </c>
      <c r="P1418" s="359" t="str">
        <f>IF(OR($G1418="",$C1418=""),"",IF($B1418="決算整理",13,MOD(MONTH($C1418)-4,12)+1))</f>
        <v/>
      </c>
      <c r="Q1418" s="366" t="str">
        <f>IF($G1418="","",TRIM(IF(J1418+K1418+L1418+M1418&lt;&gt;$G1418,"按分不一致 ","")&amp;IF(O1418="※未登録","科目未登録 ","")&amp;IF(OR($H1418="",ISERROR(MATCH($H1418,{1,2,3,4,5,6,7,8},0))),"経費区分? ","")&amp;IF($I1418="","状態未設定 ","")&amp;IF(AND(OR($I1418="確認済",$I1418="未確認"),$B1418="月例",OR($C1418="",$C1418&lt;DATE(年度+2018,4,1),$C1418&gt;DATE(年度+2019,3,31))),"年度外の日付 ","")&amp;IF(AND(OR($I1418="確認済",$I1418="未確認"),O1418="対象外"),"対象外の科目 ","")))</f>
        <v/>
      </c>
      <c r="R1418" s="366" t="n"/>
    </row>
    <row r="1419">
      <c r="A1419" s="359" t="n"/>
      <c r="B1419" s="360" t="n"/>
      <c r="C1419" s="361" t="n"/>
      <c r="D1419" s="362" t="n"/>
      <c r="E1419" s="362" t="n"/>
      <c r="F1419" s="362" t="n"/>
      <c r="G1419" s="363" t="n"/>
      <c r="H1419" s="360" t="n"/>
      <c r="I1419" s="360" t="n"/>
      <c r="J1419" s="364" t="str">
        <f>IF($G1419="","",IF($H1419=1,$G1419-ROUND($G1419*10/23,0)-2*ROUND($G1419/23,0),IF($H1419=2,$G1419,0)))</f>
        <v/>
      </c>
      <c r="K1419" s="364" t="str">
        <f>IF($G1419="","",IF($H1419=1,ROUND($G1419*10/23,0),IF($H1419=3,$G1419-2*ROUND($G1419/12,0),IF($H1419=4,$G1419,IF(OR($H1419=5,$H1419=7),ROUND($G1419*10/11,0),0)))))</f>
        <v/>
      </c>
      <c r="L1419" s="364" t="str">
        <f>IF($G1419="","",IF($H1419=1,ROUND($G1419/23,0),IF($H1419=3,ROUND($G1419/12,0),IF($H1419=5,$G1419-ROUND($G1419*10/11,0),IF($H1419=8,$G1419,0)))))</f>
        <v/>
      </c>
      <c r="M1419" s="364" t="str">
        <f>IF($G1419="","",IF($H1419=1,ROUND($G1419/23,0),IF($H1419=3,ROUND($G1419/12,0),IF($H1419=6,$G1419,IF($H1419=7,$G1419-ROUND($G1419*10/11,0),0)))))</f>
        <v/>
      </c>
      <c r="N1419" s="364" t="str">
        <f>IF($G1419="","",K1419+L1419+M1419)</f>
        <v/>
      </c>
      <c r="O1419" s="365" t="str">
        <f>IF($G1419="","",IFERROR(VLOOKUP($D1419&amp;"|"&amp;$E1419,科目表!$A$5:$B$200,2,FALSE),"※未登録"))</f>
        <v/>
      </c>
      <c r="P1419" s="359" t="str">
        <f>IF(OR($G1419="",$C1419=""),"",IF($B1419="決算整理",13,MOD(MONTH($C1419)-4,12)+1))</f>
        <v/>
      </c>
      <c r="Q1419" s="366" t="str">
        <f>IF($G1419="","",TRIM(IF(J1419+K1419+L1419+M1419&lt;&gt;$G1419,"按分不一致 ","")&amp;IF(O1419="※未登録","科目未登録 ","")&amp;IF(OR($H1419="",ISERROR(MATCH($H1419,{1,2,3,4,5,6,7,8},0))),"経費区分? ","")&amp;IF($I1419="","状態未設定 ","")&amp;IF(AND(OR($I1419="確認済",$I1419="未確認"),$B1419="月例",OR($C1419="",$C1419&lt;DATE(年度+2018,4,1),$C1419&gt;DATE(年度+2019,3,31))),"年度外の日付 ","")&amp;IF(AND(OR($I1419="確認済",$I1419="未確認"),O1419="対象外"),"対象外の科目 ","")))</f>
        <v/>
      </c>
      <c r="R1419" s="366" t="n"/>
    </row>
    <row r="1420">
      <c r="A1420" s="359" t="n"/>
      <c r="B1420" s="360" t="n"/>
      <c r="C1420" s="361" t="n"/>
      <c r="D1420" s="362" t="n"/>
      <c r="E1420" s="362" t="n"/>
      <c r="F1420" s="362" t="n"/>
      <c r="G1420" s="363" t="n"/>
      <c r="H1420" s="360" t="n"/>
      <c r="I1420" s="360" t="n"/>
      <c r="J1420" s="364" t="str">
        <f>IF($G1420="","",IF($H1420=1,$G1420-ROUND($G1420*10/23,0)-2*ROUND($G1420/23,0),IF($H1420=2,$G1420,0)))</f>
        <v/>
      </c>
      <c r="K1420" s="364" t="str">
        <f>IF($G1420="","",IF($H1420=1,ROUND($G1420*10/23,0),IF($H1420=3,$G1420-2*ROUND($G1420/12,0),IF($H1420=4,$G1420,IF(OR($H1420=5,$H1420=7),ROUND($G1420*10/11,0),0)))))</f>
        <v/>
      </c>
      <c r="L1420" s="364" t="str">
        <f>IF($G1420="","",IF($H1420=1,ROUND($G1420/23,0),IF($H1420=3,ROUND($G1420/12,0),IF($H1420=5,$G1420-ROUND($G1420*10/11,0),IF($H1420=8,$G1420,0)))))</f>
        <v/>
      </c>
      <c r="M1420" s="364" t="str">
        <f>IF($G1420="","",IF($H1420=1,ROUND($G1420/23,0),IF($H1420=3,ROUND($G1420/12,0),IF($H1420=6,$G1420,IF($H1420=7,$G1420-ROUND($G1420*10/11,0),0)))))</f>
        <v/>
      </c>
      <c r="N1420" s="364" t="str">
        <f>IF($G1420="","",K1420+L1420+M1420)</f>
        <v/>
      </c>
      <c r="O1420" s="365" t="str">
        <f>IF($G1420="","",IFERROR(VLOOKUP($D1420&amp;"|"&amp;$E1420,科目表!$A$5:$B$200,2,FALSE),"※未登録"))</f>
        <v/>
      </c>
      <c r="P1420" s="359" t="str">
        <f>IF(OR($G1420="",$C1420=""),"",IF($B1420="決算整理",13,MOD(MONTH($C1420)-4,12)+1))</f>
        <v/>
      </c>
      <c r="Q1420" s="366" t="str">
        <f>IF($G1420="","",TRIM(IF(J1420+K1420+L1420+M1420&lt;&gt;$G1420,"按分不一致 ","")&amp;IF(O1420="※未登録","科目未登録 ","")&amp;IF(OR($H1420="",ISERROR(MATCH($H1420,{1,2,3,4,5,6,7,8},0))),"経費区分? ","")&amp;IF($I1420="","状態未設定 ","")&amp;IF(AND(OR($I1420="確認済",$I1420="未確認"),$B1420="月例",OR($C1420="",$C1420&lt;DATE(年度+2018,4,1),$C1420&gt;DATE(年度+2019,3,31))),"年度外の日付 ","")&amp;IF(AND(OR($I1420="確認済",$I1420="未確認"),O1420="対象外"),"対象外の科目 ","")))</f>
        <v/>
      </c>
      <c r="R1420" s="366" t="n"/>
    </row>
    <row r="1421">
      <c r="A1421" s="359" t="n"/>
      <c r="B1421" s="360" t="n"/>
      <c r="C1421" s="361" t="n"/>
      <c r="D1421" s="362" t="n"/>
      <c r="E1421" s="362" t="n"/>
      <c r="F1421" s="362" t="n"/>
      <c r="G1421" s="363" t="n"/>
      <c r="H1421" s="360" t="n"/>
      <c r="I1421" s="360" t="n"/>
      <c r="J1421" s="364" t="str">
        <f>IF($G1421="","",IF($H1421=1,$G1421-ROUND($G1421*10/23,0)-2*ROUND($G1421/23,0),IF($H1421=2,$G1421,0)))</f>
        <v/>
      </c>
      <c r="K1421" s="364" t="str">
        <f>IF($G1421="","",IF($H1421=1,ROUND($G1421*10/23,0),IF($H1421=3,$G1421-2*ROUND($G1421/12,0),IF($H1421=4,$G1421,IF(OR($H1421=5,$H1421=7),ROUND($G1421*10/11,0),0)))))</f>
        <v/>
      </c>
      <c r="L1421" s="364" t="str">
        <f>IF($G1421="","",IF($H1421=1,ROUND($G1421/23,0),IF($H1421=3,ROUND($G1421/12,0),IF($H1421=5,$G1421-ROUND($G1421*10/11,0),IF($H1421=8,$G1421,0)))))</f>
        <v/>
      </c>
      <c r="M1421" s="364" t="str">
        <f>IF($G1421="","",IF($H1421=1,ROUND($G1421/23,0),IF($H1421=3,ROUND($G1421/12,0),IF($H1421=6,$G1421,IF($H1421=7,$G1421-ROUND($G1421*10/11,0),0)))))</f>
        <v/>
      </c>
      <c r="N1421" s="364" t="str">
        <f>IF($G1421="","",K1421+L1421+M1421)</f>
        <v/>
      </c>
      <c r="O1421" s="365" t="str">
        <f>IF($G1421="","",IFERROR(VLOOKUP($D1421&amp;"|"&amp;$E1421,科目表!$A$5:$B$200,2,FALSE),"※未登録"))</f>
        <v/>
      </c>
      <c r="P1421" s="359" t="str">
        <f>IF(OR($G1421="",$C1421=""),"",IF($B1421="決算整理",13,MOD(MONTH($C1421)-4,12)+1))</f>
        <v/>
      </c>
      <c r="Q1421" s="366" t="str">
        <f>IF($G1421="","",TRIM(IF(J1421+K1421+L1421+M1421&lt;&gt;$G1421,"按分不一致 ","")&amp;IF(O1421="※未登録","科目未登録 ","")&amp;IF(OR($H1421="",ISERROR(MATCH($H1421,{1,2,3,4,5,6,7,8},0))),"経費区分? ","")&amp;IF($I1421="","状態未設定 ","")&amp;IF(AND(OR($I1421="確認済",$I1421="未確認"),$B1421="月例",OR($C1421="",$C1421&lt;DATE(年度+2018,4,1),$C1421&gt;DATE(年度+2019,3,31))),"年度外の日付 ","")&amp;IF(AND(OR($I1421="確認済",$I1421="未確認"),O1421="対象外"),"対象外の科目 ","")))</f>
        <v/>
      </c>
      <c r="R1421" s="366" t="n"/>
    </row>
    <row r="1422">
      <c r="A1422" s="359" t="n"/>
      <c r="B1422" s="360" t="n"/>
      <c r="C1422" s="361" t="n"/>
      <c r="D1422" s="362" t="n"/>
      <c r="E1422" s="362" t="n"/>
      <c r="F1422" s="362" t="n"/>
      <c r="G1422" s="363" t="n"/>
      <c r="H1422" s="360" t="n"/>
      <c r="I1422" s="360" t="n"/>
      <c r="J1422" s="364" t="str">
        <f>IF($G1422="","",IF($H1422=1,$G1422-ROUND($G1422*10/23,0)-2*ROUND($G1422/23,0),IF($H1422=2,$G1422,0)))</f>
        <v/>
      </c>
      <c r="K1422" s="364" t="str">
        <f>IF($G1422="","",IF($H1422=1,ROUND($G1422*10/23,0),IF($H1422=3,$G1422-2*ROUND($G1422/12,0),IF($H1422=4,$G1422,IF(OR($H1422=5,$H1422=7),ROUND($G1422*10/11,0),0)))))</f>
        <v/>
      </c>
      <c r="L1422" s="364" t="str">
        <f>IF($G1422="","",IF($H1422=1,ROUND($G1422/23,0),IF($H1422=3,ROUND($G1422/12,0),IF($H1422=5,$G1422-ROUND($G1422*10/11,0),IF($H1422=8,$G1422,0)))))</f>
        <v/>
      </c>
      <c r="M1422" s="364" t="str">
        <f>IF($G1422="","",IF($H1422=1,ROUND($G1422/23,0),IF($H1422=3,ROUND($G1422/12,0),IF($H1422=6,$G1422,IF($H1422=7,$G1422-ROUND($G1422*10/11,0),0)))))</f>
        <v/>
      </c>
      <c r="N1422" s="364" t="str">
        <f>IF($G1422="","",K1422+L1422+M1422)</f>
        <v/>
      </c>
      <c r="O1422" s="365" t="str">
        <f>IF($G1422="","",IFERROR(VLOOKUP($D1422&amp;"|"&amp;$E1422,科目表!$A$5:$B$200,2,FALSE),"※未登録"))</f>
        <v/>
      </c>
      <c r="P1422" s="359" t="str">
        <f>IF(OR($G1422="",$C1422=""),"",IF($B1422="決算整理",13,MOD(MONTH($C1422)-4,12)+1))</f>
        <v/>
      </c>
      <c r="Q1422" s="366" t="str">
        <f>IF($G1422="","",TRIM(IF(J1422+K1422+L1422+M1422&lt;&gt;$G1422,"按分不一致 ","")&amp;IF(O1422="※未登録","科目未登録 ","")&amp;IF(OR($H1422="",ISERROR(MATCH($H1422,{1,2,3,4,5,6,7,8},0))),"経費区分? ","")&amp;IF($I1422="","状態未設定 ","")&amp;IF(AND(OR($I1422="確認済",$I1422="未確認"),$B1422="月例",OR($C1422="",$C1422&lt;DATE(年度+2018,4,1),$C1422&gt;DATE(年度+2019,3,31))),"年度外の日付 ","")&amp;IF(AND(OR($I1422="確認済",$I1422="未確認"),O1422="対象外"),"対象外の科目 ","")))</f>
        <v/>
      </c>
      <c r="R1422" s="366" t="n"/>
    </row>
    <row r="1423">
      <c r="A1423" s="359" t="n"/>
      <c r="B1423" s="360" t="n"/>
      <c r="C1423" s="361" t="n"/>
      <c r="D1423" s="362" t="n"/>
      <c r="E1423" s="362" t="n"/>
      <c r="F1423" s="362" t="n"/>
      <c r="G1423" s="363" t="n"/>
      <c r="H1423" s="360" t="n"/>
      <c r="I1423" s="360" t="n"/>
      <c r="J1423" s="364" t="str">
        <f>IF($G1423="","",IF($H1423=1,$G1423-ROUND($G1423*10/23,0)-2*ROUND($G1423/23,0),IF($H1423=2,$G1423,0)))</f>
        <v/>
      </c>
      <c r="K1423" s="364" t="str">
        <f>IF($G1423="","",IF($H1423=1,ROUND($G1423*10/23,0),IF($H1423=3,$G1423-2*ROUND($G1423/12,0),IF($H1423=4,$G1423,IF(OR($H1423=5,$H1423=7),ROUND($G1423*10/11,0),0)))))</f>
        <v/>
      </c>
      <c r="L1423" s="364" t="str">
        <f>IF($G1423="","",IF($H1423=1,ROUND($G1423/23,0),IF($H1423=3,ROUND($G1423/12,0),IF($H1423=5,$G1423-ROUND($G1423*10/11,0),IF($H1423=8,$G1423,0)))))</f>
        <v/>
      </c>
      <c r="M1423" s="364" t="str">
        <f>IF($G1423="","",IF($H1423=1,ROUND($G1423/23,0),IF($H1423=3,ROUND($G1423/12,0),IF($H1423=6,$G1423,IF($H1423=7,$G1423-ROUND($G1423*10/11,0),0)))))</f>
        <v/>
      </c>
      <c r="N1423" s="364" t="str">
        <f>IF($G1423="","",K1423+L1423+M1423)</f>
        <v/>
      </c>
      <c r="O1423" s="365" t="str">
        <f>IF($G1423="","",IFERROR(VLOOKUP($D1423&amp;"|"&amp;$E1423,科目表!$A$5:$B$200,2,FALSE),"※未登録"))</f>
        <v/>
      </c>
      <c r="P1423" s="359" t="str">
        <f>IF(OR($G1423="",$C1423=""),"",IF($B1423="決算整理",13,MOD(MONTH($C1423)-4,12)+1))</f>
        <v/>
      </c>
      <c r="Q1423" s="366" t="str">
        <f>IF($G1423="","",TRIM(IF(J1423+K1423+L1423+M1423&lt;&gt;$G1423,"按分不一致 ","")&amp;IF(O1423="※未登録","科目未登録 ","")&amp;IF(OR($H1423="",ISERROR(MATCH($H1423,{1,2,3,4,5,6,7,8},0))),"経費区分? ","")&amp;IF($I1423="","状態未設定 ","")&amp;IF(AND(OR($I1423="確認済",$I1423="未確認"),$B1423="月例",OR($C1423="",$C1423&lt;DATE(年度+2018,4,1),$C1423&gt;DATE(年度+2019,3,31))),"年度外の日付 ","")&amp;IF(AND(OR($I1423="確認済",$I1423="未確認"),O1423="対象外"),"対象外の科目 ","")))</f>
        <v/>
      </c>
      <c r="R1423" s="366" t="n"/>
    </row>
    <row r="1424">
      <c r="A1424" s="359" t="n"/>
      <c r="B1424" s="360" t="n"/>
      <c r="C1424" s="361" t="n"/>
      <c r="D1424" s="362" t="n"/>
      <c r="E1424" s="362" t="n"/>
      <c r="F1424" s="362" t="n"/>
      <c r="G1424" s="363" t="n"/>
      <c r="H1424" s="360" t="n"/>
      <c r="I1424" s="360" t="n"/>
      <c r="J1424" s="364" t="str">
        <f>IF($G1424="","",IF($H1424=1,$G1424-ROUND($G1424*10/23,0)-2*ROUND($G1424/23,0),IF($H1424=2,$G1424,0)))</f>
        <v/>
      </c>
      <c r="K1424" s="364" t="str">
        <f>IF($G1424="","",IF($H1424=1,ROUND($G1424*10/23,0),IF($H1424=3,$G1424-2*ROUND($G1424/12,0),IF($H1424=4,$G1424,IF(OR($H1424=5,$H1424=7),ROUND($G1424*10/11,0),0)))))</f>
        <v/>
      </c>
      <c r="L1424" s="364" t="str">
        <f>IF($G1424="","",IF($H1424=1,ROUND($G1424/23,0),IF($H1424=3,ROUND($G1424/12,0),IF($H1424=5,$G1424-ROUND($G1424*10/11,0),IF($H1424=8,$G1424,0)))))</f>
        <v/>
      </c>
      <c r="M1424" s="364" t="str">
        <f>IF($G1424="","",IF($H1424=1,ROUND($G1424/23,0),IF($H1424=3,ROUND($G1424/12,0),IF($H1424=6,$G1424,IF($H1424=7,$G1424-ROUND($G1424*10/11,0),0)))))</f>
        <v/>
      </c>
      <c r="N1424" s="364" t="str">
        <f>IF($G1424="","",K1424+L1424+M1424)</f>
        <v/>
      </c>
      <c r="O1424" s="365" t="str">
        <f>IF($G1424="","",IFERROR(VLOOKUP($D1424&amp;"|"&amp;$E1424,科目表!$A$5:$B$200,2,FALSE),"※未登録"))</f>
        <v/>
      </c>
      <c r="P1424" s="359" t="str">
        <f>IF(OR($G1424="",$C1424=""),"",IF($B1424="決算整理",13,MOD(MONTH($C1424)-4,12)+1))</f>
        <v/>
      </c>
      <c r="Q1424" s="366" t="str">
        <f>IF($G1424="","",TRIM(IF(J1424+K1424+L1424+M1424&lt;&gt;$G1424,"按分不一致 ","")&amp;IF(O1424="※未登録","科目未登録 ","")&amp;IF(OR($H1424="",ISERROR(MATCH($H1424,{1,2,3,4,5,6,7,8},0))),"経費区分? ","")&amp;IF($I1424="","状態未設定 ","")&amp;IF(AND(OR($I1424="確認済",$I1424="未確認"),$B1424="月例",OR($C1424="",$C1424&lt;DATE(年度+2018,4,1),$C1424&gt;DATE(年度+2019,3,31))),"年度外の日付 ","")&amp;IF(AND(OR($I1424="確認済",$I1424="未確認"),O1424="対象外"),"対象外の科目 ","")))</f>
        <v/>
      </c>
      <c r="R1424" s="366" t="n"/>
    </row>
    <row r="1425">
      <c r="A1425" s="359" t="n"/>
      <c r="B1425" s="360" t="n"/>
      <c r="C1425" s="361" t="n"/>
      <c r="D1425" s="362" t="n"/>
      <c r="E1425" s="362" t="n"/>
      <c r="F1425" s="362" t="n"/>
      <c r="G1425" s="363" t="n"/>
      <c r="H1425" s="360" t="n"/>
      <c r="I1425" s="360" t="n"/>
      <c r="J1425" s="364" t="str">
        <f>IF($G1425="","",IF($H1425=1,$G1425-ROUND($G1425*10/23,0)-2*ROUND($G1425/23,0),IF($H1425=2,$G1425,0)))</f>
        <v/>
      </c>
      <c r="K1425" s="364" t="str">
        <f>IF($G1425="","",IF($H1425=1,ROUND($G1425*10/23,0),IF($H1425=3,$G1425-2*ROUND($G1425/12,0),IF($H1425=4,$G1425,IF(OR($H1425=5,$H1425=7),ROUND($G1425*10/11,0),0)))))</f>
        <v/>
      </c>
      <c r="L1425" s="364" t="str">
        <f>IF($G1425="","",IF($H1425=1,ROUND($G1425/23,0),IF($H1425=3,ROUND($G1425/12,0),IF($H1425=5,$G1425-ROUND($G1425*10/11,0),IF($H1425=8,$G1425,0)))))</f>
        <v/>
      </c>
      <c r="M1425" s="364" t="str">
        <f>IF($G1425="","",IF($H1425=1,ROUND($G1425/23,0),IF($H1425=3,ROUND($G1425/12,0),IF($H1425=6,$G1425,IF($H1425=7,$G1425-ROUND($G1425*10/11,0),0)))))</f>
        <v/>
      </c>
      <c r="N1425" s="364" t="str">
        <f>IF($G1425="","",K1425+L1425+M1425)</f>
        <v/>
      </c>
      <c r="O1425" s="365" t="str">
        <f>IF($G1425="","",IFERROR(VLOOKUP($D1425&amp;"|"&amp;$E1425,科目表!$A$5:$B$200,2,FALSE),"※未登録"))</f>
        <v/>
      </c>
      <c r="P1425" s="359" t="str">
        <f>IF(OR($G1425="",$C1425=""),"",IF($B1425="決算整理",13,MOD(MONTH($C1425)-4,12)+1))</f>
        <v/>
      </c>
      <c r="Q1425" s="366" t="str">
        <f>IF($G1425="","",TRIM(IF(J1425+K1425+L1425+M1425&lt;&gt;$G1425,"按分不一致 ","")&amp;IF(O1425="※未登録","科目未登録 ","")&amp;IF(OR($H1425="",ISERROR(MATCH($H1425,{1,2,3,4,5,6,7,8},0))),"経費区分? ","")&amp;IF($I1425="","状態未設定 ","")&amp;IF(AND(OR($I1425="確認済",$I1425="未確認"),$B1425="月例",OR($C1425="",$C1425&lt;DATE(年度+2018,4,1),$C1425&gt;DATE(年度+2019,3,31))),"年度外の日付 ","")&amp;IF(AND(OR($I1425="確認済",$I1425="未確認"),O1425="対象外"),"対象外の科目 ","")))</f>
        <v/>
      </c>
      <c r="R1425" s="366" t="n"/>
    </row>
    <row r="1426">
      <c r="A1426" s="359" t="n"/>
      <c r="B1426" s="360" t="n"/>
      <c r="C1426" s="361" t="n"/>
      <c r="D1426" s="362" t="n"/>
      <c r="E1426" s="362" t="n"/>
      <c r="F1426" s="362" t="n"/>
      <c r="G1426" s="363" t="n"/>
      <c r="H1426" s="360" t="n"/>
      <c r="I1426" s="360" t="n"/>
      <c r="J1426" s="364" t="str">
        <f>IF($G1426="","",IF($H1426=1,$G1426-ROUND($G1426*10/23,0)-2*ROUND($G1426/23,0),IF($H1426=2,$G1426,0)))</f>
        <v/>
      </c>
      <c r="K1426" s="364" t="str">
        <f>IF($G1426="","",IF($H1426=1,ROUND($G1426*10/23,0),IF($H1426=3,$G1426-2*ROUND($G1426/12,0),IF($H1426=4,$G1426,IF(OR($H1426=5,$H1426=7),ROUND($G1426*10/11,0),0)))))</f>
        <v/>
      </c>
      <c r="L1426" s="364" t="str">
        <f>IF($G1426="","",IF($H1426=1,ROUND($G1426/23,0),IF($H1426=3,ROUND($G1426/12,0),IF($H1426=5,$G1426-ROUND($G1426*10/11,0),IF($H1426=8,$G1426,0)))))</f>
        <v/>
      </c>
      <c r="M1426" s="364" t="str">
        <f>IF($G1426="","",IF($H1426=1,ROUND($G1426/23,0),IF($H1426=3,ROUND($G1426/12,0),IF($H1426=6,$G1426,IF($H1426=7,$G1426-ROUND($G1426*10/11,0),0)))))</f>
        <v/>
      </c>
      <c r="N1426" s="364" t="str">
        <f>IF($G1426="","",K1426+L1426+M1426)</f>
        <v/>
      </c>
      <c r="O1426" s="365" t="str">
        <f>IF($G1426="","",IFERROR(VLOOKUP($D1426&amp;"|"&amp;$E1426,科目表!$A$5:$B$200,2,FALSE),"※未登録"))</f>
        <v/>
      </c>
      <c r="P1426" s="359" t="str">
        <f>IF(OR($G1426="",$C1426=""),"",IF($B1426="決算整理",13,MOD(MONTH($C1426)-4,12)+1))</f>
        <v/>
      </c>
      <c r="Q1426" s="366" t="str">
        <f>IF($G1426="","",TRIM(IF(J1426+K1426+L1426+M1426&lt;&gt;$G1426,"按分不一致 ","")&amp;IF(O1426="※未登録","科目未登録 ","")&amp;IF(OR($H1426="",ISERROR(MATCH($H1426,{1,2,3,4,5,6,7,8},0))),"経費区分? ","")&amp;IF($I1426="","状態未設定 ","")&amp;IF(AND(OR($I1426="確認済",$I1426="未確認"),$B1426="月例",OR($C1426="",$C1426&lt;DATE(年度+2018,4,1),$C1426&gt;DATE(年度+2019,3,31))),"年度外の日付 ","")&amp;IF(AND(OR($I1426="確認済",$I1426="未確認"),O1426="対象外"),"対象外の科目 ","")))</f>
        <v/>
      </c>
      <c r="R1426" s="366" t="n"/>
    </row>
    <row r="1427">
      <c r="A1427" s="359" t="n"/>
      <c r="B1427" s="360" t="n"/>
      <c r="C1427" s="361" t="n"/>
      <c r="D1427" s="362" t="n"/>
      <c r="E1427" s="362" t="n"/>
      <c r="F1427" s="362" t="n"/>
      <c r="G1427" s="363" t="n"/>
      <c r="H1427" s="360" t="n"/>
      <c r="I1427" s="360" t="n"/>
      <c r="J1427" s="364" t="str">
        <f>IF($G1427="","",IF($H1427=1,$G1427-ROUND($G1427*10/23,0)-2*ROUND($G1427/23,0),IF($H1427=2,$G1427,0)))</f>
        <v/>
      </c>
      <c r="K1427" s="364" t="str">
        <f>IF($G1427="","",IF($H1427=1,ROUND($G1427*10/23,0),IF($H1427=3,$G1427-2*ROUND($G1427/12,0),IF($H1427=4,$G1427,IF(OR($H1427=5,$H1427=7),ROUND($G1427*10/11,0),0)))))</f>
        <v/>
      </c>
      <c r="L1427" s="364" t="str">
        <f>IF($G1427="","",IF($H1427=1,ROUND($G1427/23,0),IF($H1427=3,ROUND($G1427/12,0),IF($H1427=5,$G1427-ROUND($G1427*10/11,0),IF($H1427=8,$G1427,0)))))</f>
        <v/>
      </c>
      <c r="M1427" s="364" t="str">
        <f>IF($G1427="","",IF($H1427=1,ROUND($G1427/23,0),IF($H1427=3,ROUND($G1427/12,0),IF($H1427=6,$G1427,IF($H1427=7,$G1427-ROUND($G1427*10/11,0),0)))))</f>
        <v/>
      </c>
      <c r="N1427" s="364" t="str">
        <f>IF($G1427="","",K1427+L1427+M1427)</f>
        <v/>
      </c>
      <c r="O1427" s="365" t="str">
        <f>IF($G1427="","",IFERROR(VLOOKUP($D1427&amp;"|"&amp;$E1427,科目表!$A$5:$B$200,2,FALSE),"※未登録"))</f>
        <v/>
      </c>
      <c r="P1427" s="359" t="str">
        <f>IF(OR($G1427="",$C1427=""),"",IF($B1427="決算整理",13,MOD(MONTH($C1427)-4,12)+1))</f>
        <v/>
      </c>
      <c r="Q1427" s="366" t="str">
        <f>IF($G1427="","",TRIM(IF(J1427+K1427+L1427+M1427&lt;&gt;$G1427,"按分不一致 ","")&amp;IF(O1427="※未登録","科目未登録 ","")&amp;IF(OR($H1427="",ISERROR(MATCH($H1427,{1,2,3,4,5,6,7,8},0))),"経費区分? ","")&amp;IF($I1427="","状態未設定 ","")&amp;IF(AND(OR($I1427="確認済",$I1427="未確認"),$B1427="月例",OR($C1427="",$C1427&lt;DATE(年度+2018,4,1),$C1427&gt;DATE(年度+2019,3,31))),"年度外の日付 ","")&amp;IF(AND(OR($I1427="確認済",$I1427="未確認"),O1427="対象外"),"対象外の科目 ","")))</f>
        <v/>
      </c>
      <c r="R1427" s="366" t="n"/>
    </row>
    <row r="1428">
      <c r="A1428" s="359" t="n"/>
      <c r="B1428" s="360" t="n"/>
      <c r="C1428" s="361" t="n"/>
      <c r="D1428" s="362" t="n"/>
      <c r="E1428" s="362" t="n"/>
      <c r="F1428" s="362" t="n"/>
      <c r="G1428" s="363" t="n"/>
      <c r="H1428" s="360" t="n"/>
      <c r="I1428" s="360" t="n"/>
      <c r="J1428" s="364" t="str">
        <f>IF($G1428="","",IF($H1428=1,$G1428-ROUND($G1428*10/23,0)-2*ROUND($G1428/23,0),IF($H1428=2,$G1428,0)))</f>
        <v/>
      </c>
      <c r="K1428" s="364" t="str">
        <f>IF($G1428="","",IF($H1428=1,ROUND($G1428*10/23,0),IF($H1428=3,$G1428-2*ROUND($G1428/12,0),IF($H1428=4,$G1428,IF(OR($H1428=5,$H1428=7),ROUND($G1428*10/11,0),0)))))</f>
        <v/>
      </c>
      <c r="L1428" s="364" t="str">
        <f>IF($G1428="","",IF($H1428=1,ROUND($G1428/23,0),IF($H1428=3,ROUND($G1428/12,0),IF($H1428=5,$G1428-ROUND($G1428*10/11,0),IF($H1428=8,$G1428,0)))))</f>
        <v/>
      </c>
      <c r="M1428" s="364" t="str">
        <f>IF($G1428="","",IF($H1428=1,ROUND($G1428/23,0),IF($H1428=3,ROUND($G1428/12,0),IF($H1428=6,$G1428,IF($H1428=7,$G1428-ROUND($G1428*10/11,0),0)))))</f>
        <v/>
      </c>
      <c r="N1428" s="364" t="str">
        <f>IF($G1428="","",K1428+L1428+M1428)</f>
        <v/>
      </c>
      <c r="O1428" s="365" t="str">
        <f>IF($G1428="","",IFERROR(VLOOKUP($D1428&amp;"|"&amp;$E1428,科目表!$A$5:$B$200,2,FALSE),"※未登録"))</f>
        <v/>
      </c>
      <c r="P1428" s="359" t="str">
        <f>IF(OR($G1428="",$C1428=""),"",IF($B1428="決算整理",13,MOD(MONTH($C1428)-4,12)+1))</f>
        <v/>
      </c>
      <c r="Q1428" s="366" t="str">
        <f>IF($G1428="","",TRIM(IF(J1428+K1428+L1428+M1428&lt;&gt;$G1428,"按分不一致 ","")&amp;IF(O1428="※未登録","科目未登録 ","")&amp;IF(OR($H1428="",ISERROR(MATCH($H1428,{1,2,3,4,5,6,7,8},0))),"経費区分? ","")&amp;IF($I1428="","状態未設定 ","")&amp;IF(AND(OR($I1428="確認済",$I1428="未確認"),$B1428="月例",OR($C1428="",$C1428&lt;DATE(年度+2018,4,1),$C1428&gt;DATE(年度+2019,3,31))),"年度外の日付 ","")&amp;IF(AND(OR($I1428="確認済",$I1428="未確認"),O1428="対象外"),"対象外の科目 ","")))</f>
        <v/>
      </c>
      <c r="R1428" s="366" t="n"/>
    </row>
    <row r="1429">
      <c r="A1429" s="359" t="n"/>
      <c r="B1429" s="360" t="n"/>
      <c r="C1429" s="361" t="n"/>
      <c r="D1429" s="362" t="n"/>
      <c r="E1429" s="362" t="n"/>
      <c r="F1429" s="362" t="n"/>
      <c r="G1429" s="363" t="n"/>
      <c r="H1429" s="360" t="n"/>
      <c r="I1429" s="360" t="n"/>
      <c r="J1429" s="364" t="str">
        <f>IF($G1429="","",IF($H1429=1,$G1429-ROUND($G1429*10/23,0)-2*ROUND($G1429/23,0),IF($H1429=2,$G1429,0)))</f>
        <v/>
      </c>
      <c r="K1429" s="364" t="str">
        <f>IF($G1429="","",IF($H1429=1,ROUND($G1429*10/23,0),IF($H1429=3,$G1429-2*ROUND($G1429/12,0),IF($H1429=4,$G1429,IF(OR($H1429=5,$H1429=7),ROUND($G1429*10/11,0),0)))))</f>
        <v/>
      </c>
      <c r="L1429" s="364" t="str">
        <f>IF($G1429="","",IF($H1429=1,ROUND($G1429/23,0),IF($H1429=3,ROUND($G1429/12,0),IF($H1429=5,$G1429-ROUND($G1429*10/11,0),IF($H1429=8,$G1429,0)))))</f>
        <v/>
      </c>
      <c r="M1429" s="364" t="str">
        <f>IF($G1429="","",IF($H1429=1,ROUND($G1429/23,0),IF($H1429=3,ROUND($G1429/12,0),IF($H1429=6,$G1429,IF($H1429=7,$G1429-ROUND($G1429*10/11,0),0)))))</f>
        <v/>
      </c>
      <c r="N1429" s="364" t="str">
        <f>IF($G1429="","",K1429+L1429+M1429)</f>
        <v/>
      </c>
      <c r="O1429" s="365" t="str">
        <f>IF($G1429="","",IFERROR(VLOOKUP($D1429&amp;"|"&amp;$E1429,科目表!$A$5:$B$200,2,FALSE),"※未登録"))</f>
        <v/>
      </c>
      <c r="P1429" s="359" t="str">
        <f>IF(OR($G1429="",$C1429=""),"",IF($B1429="決算整理",13,MOD(MONTH($C1429)-4,12)+1))</f>
        <v/>
      </c>
      <c r="Q1429" s="366" t="str">
        <f>IF($G1429="","",TRIM(IF(J1429+K1429+L1429+M1429&lt;&gt;$G1429,"按分不一致 ","")&amp;IF(O1429="※未登録","科目未登録 ","")&amp;IF(OR($H1429="",ISERROR(MATCH($H1429,{1,2,3,4,5,6,7,8},0))),"経費区分? ","")&amp;IF($I1429="","状態未設定 ","")&amp;IF(AND(OR($I1429="確認済",$I1429="未確認"),$B1429="月例",OR($C1429="",$C1429&lt;DATE(年度+2018,4,1),$C1429&gt;DATE(年度+2019,3,31))),"年度外の日付 ","")&amp;IF(AND(OR($I1429="確認済",$I1429="未確認"),O1429="対象外"),"対象外の科目 ","")))</f>
        <v/>
      </c>
      <c r="R1429" s="366" t="n"/>
    </row>
    <row r="1430">
      <c r="A1430" s="359" t="n"/>
      <c r="B1430" s="360" t="n"/>
      <c r="C1430" s="361" t="n"/>
      <c r="D1430" s="362" t="n"/>
      <c r="E1430" s="362" t="n"/>
      <c r="F1430" s="362" t="n"/>
      <c r="G1430" s="363" t="n"/>
      <c r="H1430" s="360" t="n"/>
      <c r="I1430" s="360" t="n"/>
      <c r="J1430" s="364" t="str">
        <f>IF($G1430="","",IF($H1430=1,$G1430-ROUND($G1430*10/23,0)-2*ROUND($G1430/23,0),IF($H1430=2,$G1430,0)))</f>
        <v/>
      </c>
      <c r="K1430" s="364" t="str">
        <f>IF($G1430="","",IF($H1430=1,ROUND($G1430*10/23,0),IF($H1430=3,$G1430-2*ROUND($G1430/12,0),IF($H1430=4,$G1430,IF(OR($H1430=5,$H1430=7),ROUND($G1430*10/11,0),0)))))</f>
        <v/>
      </c>
      <c r="L1430" s="364" t="str">
        <f>IF($G1430="","",IF($H1430=1,ROUND($G1430/23,0),IF($H1430=3,ROUND($G1430/12,0),IF($H1430=5,$G1430-ROUND($G1430*10/11,0),IF($H1430=8,$G1430,0)))))</f>
        <v/>
      </c>
      <c r="M1430" s="364" t="str">
        <f>IF($G1430="","",IF($H1430=1,ROUND($G1430/23,0),IF($H1430=3,ROUND($G1430/12,0),IF($H1430=6,$G1430,IF($H1430=7,$G1430-ROUND($G1430*10/11,0),0)))))</f>
        <v/>
      </c>
      <c r="N1430" s="364" t="str">
        <f>IF($G1430="","",K1430+L1430+M1430)</f>
        <v/>
      </c>
      <c r="O1430" s="365" t="str">
        <f>IF($G1430="","",IFERROR(VLOOKUP($D1430&amp;"|"&amp;$E1430,科目表!$A$5:$B$200,2,FALSE),"※未登録"))</f>
        <v/>
      </c>
      <c r="P1430" s="359" t="str">
        <f>IF(OR($G1430="",$C1430=""),"",IF($B1430="決算整理",13,MOD(MONTH($C1430)-4,12)+1))</f>
        <v/>
      </c>
      <c r="Q1430" s="366" t="str">
        <f>IF($G1430="","",TRIM(IF(J1430+K1430+L1430+M1430&lt;&gt;$G1430,"按分不一致 ","")&amp;IF(O1430="※未登録","科目未登録 ","")&amp;IF(OR($H1430="",ISERROR(MATCH($H1430,{1,2,3,4,5,6,7,8},0))),"経費区分? ","")&amp;IF($I1430="","状態未設定 ","")&amp;IF(AND(OR($I1430="確認済",$I1430="未確認"),$B1430="月例",OR($C1430="",$C1430&lt;DATE(年度+2018,4,1),$C1430&gt;DATE(年度+2019,3,31))),"年度外の日付 ","")&amp;IF(AND(OR($I1430="確認済",$I1430="未確認"),O1430="対象外"),"対象外の科目 ","")))</f>
        <v/>
      </c>
      <c r="R1430" s="366" t="n"/>
    </row>
    <row r="1431">
      <c r="A1431" s="359" t="n"/>
      <c r="B1431" s="360" t="n"/>
      <c r="C1431" s="361" t="n"/>
      <c r="D1431" s="362" t="n"/>
      <c r="E1431" s="362" t="n"/>
      <c r="F1431" s="362" t="n"/>
      <c r="G1431" s="363" t="n"/>
      <c r="H1431" s="360" t="n"/>
      <c r="I1431" s="360" t="n"/>
      <c r="J1431" s="364" t="str">
        <f>IF($G1431="","",IF($H1431=1,$G1431-ROUND($G1431*10/23,0)-2*ROUND($G1431/23,0),IF($H1431=2,$G1431,0)))</f>
        <v/>
      </c>
      <c r="K1431" s="364" t="str">
        <f>IF($G1431="","",IF($H1431=1,ROUND($G1431*10/23,0),IF($H1431=3,$G1431-2*ROUND($G1431/12,0),IF($H1431=4,$G1431,IF(OR($H1431=5,$H1431=7),ROUND($G1431*10/11,0),0)))))</f>
        <v/>
      </c>
      <c r="L1431" s="364" t="str">
        <f>IF($G1431="","",IF($H1431=1,ROUND($G1431/23,0),IF($H1431=3,ROUND($G1431/12,0),IF($H1431=5,$G1431-ROUND($G1431*10/11,0),IF($H1431=8,$G1431,0)))))</f>
        <v/>
      </c>
      <c r="M1431" s="364" t="str">
        <f>IF($G1431="","",IF($H1431=1,ROUND($G1431/23,0),IF($H1431=3,ROUND($G1431/12,0),IF($H1431=6,$G1431,IF($H1431=7,$G1431-ROUND($G1431*10/11,0),0)))))</f>
        <v/>
      </c>
      <c r="N1431" s="364" t="str">
        <f>IF($G1431="","",K1431+L1431+M1431)</f>
        <v/>
      </c>
      <c r="O1431" s="365" t="str">
        <f>IF($G1431="","",IFERROR(VLOOKUP($D1431&amp;"|"&amp;$E1431,科目表!$A$5:$B$200,2,FALSE),"※未登録"))</f>
        <v/>
      </c>
      <c r="P1431" s="359" t="str">
        <f>IF(OR($G1431="",$C1431=""),"",IF($B1431="決算整理",13,MOD(MONTH($C1431)-4,12)+1))</f>
        <v/>
      </c>
      <c r="Q1431" s="366" t="str">
        <f>IF($G1431="","",TRIM(IF(J1431+K1431+L1431+M1431&lt;&gt;$G1431,"按分不一致 ","")&amp;IF(O1431="※未登録","科目未登録 ","")&amp;IF(OR($H1431="",ISERROR(MATCH($H1431,{1,2,3,4,5,6,7,8},0))),"経費区分? ","")&amp;IF($I1431="","状態未設定 ","")&amp;IF(AND(OR($I1431="確認済",$I1431="未確認"),$B1431="月例",OR($C1431="",$C1431&lt;DATE(年度+2018,4,1),$C1431&gt;DATE(年度+2019,3,31))),"年度外の日付 ","")&amp;IF(AND(OR($I1431="確認済",$I1431="未確認"),O1431="対象外"),"対象外の科目 ","")))</f>
        <v/>
      </c>
      <c r="R1431" s="366" t="n"/>
    </row>
    <row r="1432">
      <c r="A1432" s="359" t="n"/>
      <c r="B1432" s="360" t="n"/>
      <c r="C1432" s="361" t="n"/>
      <c r="D1432" s="362" t="n"/>
      <c r="E1432" s="362" t="n"/>
      <c r="F1432" s="362" t="n"/>
      <c r="G1432" s="363" t="n"/>
      <c r="H1432" s="360" t="n"/>
      <c r="I1432" s="360" t="n"/>
      <c r="J1432" s="364" t="str">
        <f>IF($G1432="","",IF($H1432=1,$G1432-ROUND($G1432*10/23,0)-2*ROUND($G1432/23,0),IF($H1432=2,$G1432,0)))</f>
        <v/>
      </c>
      <c r="K1432" s="364" t="str">
        <f>IF($G1432="","",IF($H1432=1,ROUND($G1432*10/23,0),IF($H1432=3,$G1432-2*ROUND($G1432/12,0),IF($H1432=4,$G1432,IF(OR($H1432=5,$H1432=7),ROUND($G1432*10/11,0),0)))))</f>
        <v/>
      </c>
      <c r="L1432" s="364" t="str">
        <f>IF($G1432="","",IF($H1432=1,ROUND($G1432/23,0),IF($H1432=3,ROUND($G1432/12,0),IF($H1432=5,$G1432-ROUND($G1432*10/11,0),IF($H1432=8,$G1432,0)))))</f>
        <v/>
      </c>
      <c r="M1432" s="364" t="str">
        <f>IF($G1432="","",IF($H1432=1,ROUND($G1432/23,0),IF($H1432=3,ROUND($G1432/12,0),IF($H1432=6,$G1432,IF($H1432=7,$G1432-ROUND($G1432*10/11,0),0)))))</f>
        <v/>
      </c>
      <c r="N1432" s="364" t="str">
        <f>IF($G1432="","",K1432+L1432+M1432)</f>
        <v/>
      </c>
      <c r="O1432" s="365" t="str">
        <f>IF($G1432="","",IFERROR(VLOOKUP($D1432&amp;"|"&amp;$E1432,科目表!$A$5:$B$200,2,FALSE),"※未登録"))</f>
        <v/>
      </c>
      <c r="P1432" s="359" t="str">
        <f>IF(OR($G1432="",$C1432=""),"",IF($B1432="決算整理",13,MOD(MONTH($C1432)-4,12)+1))</f>
        <v/>
      </c>
      <c r="Q1432" s="366" t="str">
        <f>IF($G1432="","",TRIM(IF(J1432+K1432+L1432+M1432&lt;&gt;$G1432,"按分不一致 ","")&amp;IF(O1432="※未登録","科目未登録 ","")&amp;IF(OR($H1432="",ISERROR(MATCH($H1432,{1,2,3,4,5,6,7,8},0))),"経費区分? ","")&amp;IF($I1432="","状態未設定 ","")&amp;IF(AND(OR($I1432="確認済",$I1432="未確認"),$B1432="月例",OR($C1432="",$C1432&lt;DATE(年度+2018,4,1),$C1432&gt;DATE(年度+2019,3,31))),"年度外の日付 ","")&amp;IF(AND(OR($I1432="確認済",$I1432="未確認"),O1432="対象外"),"対象外の科目 ","")))</f>
        <v/>
      </c>
      <c r="R1432" s="366" t="n"/>
    </row>
    <row r="1433">
      <c r="A1433" s="359" t="n"/>
      <c r="B1433" s="360" t="n"/>
      <c r="C1433" s="361" t="n"/>
      <c r="D1433" s="362" t="n"/>
      <c r="E1433" s="362" t="n"/>
      <c r="F1433" s="362" t="n"/>
      <c r="G1433" s="363" t="n"/>
      <c r="H1433" s="360" t="n"/>
      <c r="I1433" s="360" t="n"/>
      <c r="J1433" s="364" t="str">
        <f>IF($G1433="","",IF($H1433=1,$G1433-ROUND($G1433*10/23,0)-2*ROUND($G1433/23,0),IF($H1433=2,$G1433,0)))</f>
        <v/>
      </c>
      <c r="K1433" s="364" t="str">
        <f>IF($G1433="","",IF($H1433=1,ROUND($G1433*10/23,0),IF($H1433=3,$G1433-2*ROUND($G1433/12,0),IF($H1433=4,$G1433,IF(OR($H1433=5,$H1433=7),ROUND($G1433*10/11,0),0)))))</f>
        <v/>
      </c>
      <c r="L1433" s="364" t="str">
        <f>IF($G1433="","",IF($H1433=1,ROUND($G1433/23,0),IF($H1433=3,ROUND($G1433/12,0),IF($H1433=5,$G1433-ROUND($G1433*10/11,0),IF($H1433=8,$G1433,0)))))</f>
        <v/>
      </c>
      <c r="M1433" s="364" t="str">
        <f>IF($G1433="","",IF($H1433=1,ROUND($G1433/23,0),IF($H1433=3,ROUND($G1433/12,0),IF($H1433=6,$G1433,IF($H1433=7,$G1433-ROUND($G1433*10/11,0),0)))))</f>
        <v/>
      </c>
      <c r="N1433" s="364" t="str">
        <f>IF($G1433="","",K1433+L1433+M1433)</f>
        <v/>
      </c>
      <c r="O1433" s="365" t="str">
        <f>IF($G1433="","",IFERROR(VLOOKUP($D1433&amp;"|"&amp;$E1433,科目表!$A$5:$B$200,2,FALSE),"※未登録"))</f>
        <v/>
      </c>
      <c r="P1433" s="359" t="str">
        <f>IF(OR($G1433="",$C1433=""),"",IF($B1433="決算整理",13,MOD(MONTH($C1433)-4,12)+1))</f>
        <v/>
      </c>
      <c r="Q1433" s="366" t="str">
        <f>IF($G1433="","",TRIM(IF(J1433+K1433+L1433+M1433&lt;&gt;$G1433,"按分不一致 ","")&amp;IF(O1433="※未登録","科目未登録 ","")&amp;IF(OR($H1433="",ISERROR(MATCH($H1433,{1,2,3,4,5,6,7,8},0))),"経費区分? ","")&amp;IF($I1433="","状態未設定 ","")&amp;IF(AND(OR($I1433="確認済",$I1433="未確認"),$B1433="月例",OR($C1433="",$C1433&lt;DATE(年度+2018,4,1),$C1433&gt;DATE(年度+2019,3,31))),"年度外の日付 ","")&amp;IF(AND(OR($I1433="確認済",$I1433="未確認"),O1433="対象外"),"対象外の科目 ","")))</f>
        <v/>
      </c>
      <c r="R1433" s="366" t="n"/>
    </row>
    <row r="1434">
      <c r="A1434" s="359" t="n"/>
      <c r="B1434" s="360" t="n"/>
      <c r="C1434" s="361" t="n"/>
      <c r="D1434" s="362" t="n"/>
      <c r="E1434" s="362" t="n"/>
      <c r="F1434" s="362" t="n"/>
      <c r="G1434" s="363" t="n"/>
      <c r="H1434" s="360" t="n"/>
      <c r="I1434" s="360" t="n"/>
      <c r="J1434" s="364" t="str">
        <f>IF($G1434="","",IF($H1434=1,$G1434-ROUND($G1434*10/23,0)-2*ROUND($G1434/23,0),IF($H1434=2,$G1434,0)))</f>
        <v/>
      </c>
      <c r="K1434" s="364" t="str">
        <f>IF($G1434="","",IF($H1434=1,ROUND($G1434*10/23,0),IF($H1434=3,$G1434-2*ROUND($G1434/12,0),IF($H1434=4,$G1434,IF(OR($H1434=5,$H1434=7),ROUND($G1434*10/11,0),0)))))</f>
        <v/>
      </c>
      <c r="L1434" s="364" t="str">
        <f>IF($G1434="","",IF($H1434=1,ROUND($G1434/23,0),IF($H1434=3,ROUND($G1434/12,0),IF($H1434=5,$G1434-ROUND($G1434*10/11,0),IF($H1434=8,$G1434,0)))))</f>
        <v/>
      </c>
      <c r="M1434" s="364" t="str">
        <f>IF($G1434="","",IF($H1434=1,ROUND($G1434/23,0),IF($H1434=3,ROUND($G1434/12,0),IF($H1434=6,$G1434,IF($H1434=7,$G1434-ROUND($G1434*10/11,0),0)))))</f>
        <v/>
      </c>
      <c r="N1434" s="364" t="str">
        <f>IF($G1434="","",K1434+L1434+M1434)</f>
        <v/>
      </c>
      <c r="O1434" s="365" t="str">
        <f>IF($G1434="","",IFERROR(VLOOKUP($D1434&amp;"|"&amp;$E1434,科目表!$A$5:$B$200,2,FALSE),"※未登録"))</f>
        <v/>
      </c>
      <c r="P1434" s="359" t="str">
        <f>IF(OR($G1434="",$C1434=""),"",IF($B1434="決算整理",13,MOD(MONTH($C1434)-4,12)+1))</f>
        <v/>
      </c>
      <c r="Q1434" s="366" t="str">
        <f>IF($G1434="","",TRIM(IF(J1434+K1434+L1434+M1434&lt;&gt;$G1434,"按分不一致 ","")&amp;IF(O1434="※未登録","科目未登録 ","")&amp;IF(OR($H1434="",ISERROR(MATCH($H1434,{1,2,3,4,5,6,7,8},0))),"経費区分? ","")&amp;IF($I1434="","状態未設定 ","")&amp;IF(AND(OR($I1434="確認済",$I1434="未確認"),$B1434="月例",OR($C1434="",$C1434&lt;DATE(年度+2018,4,1),$C1434&gt;DATE(年度+2019,3,31))),"年度外の日付 ","")&amp;IF(AND(OR($I1434="確認済",$I1434="未確認"),O1434="対象外"),"対象外の科目 ","")))</f>
        <v/>
      </c>
      <c r="R1434" s="366" t="n"/>
    </row>
    <row r="1435">
      <c r="A1435" s="359" t="n"/>
      <c r="B1435" s="360" t="n"/>
      <c r="C1435" s="361" t="n"/>
      <c r="D1435" s="362" t="n"/>
      <c r="E1435" s="362" t="n"/>
      <c r="F1435" s="362" t="n"/>
      <c r="G1435" s="363" t="n"/>
      <c r="H1435" s="360" t="n"/>
      <c r="I1435" s="360" t="n"/>
      <c r="J1435" s="364" t="str">
        <f>IF($G1435="","",IF($H1435=1,$G1435-ROUND($G1435*10/23,0)-2*ROUND($G1435/23,0),IF($H1435=2,$G1435,0)))</f>
        <v/>
      </c>
      <c r="K1435" s="364" t="str">
        <f>IF($G1435="","",IF($H1435=1,ROUND($G1435*10/23,0),IF($H1435=3,$G1435-2*ROUND($G1435/12,0),IF($H1435=4,$G1435,IF(OR($H1435=5,$H1435=7),ROUND($G1435*10/11,0),0)))))</f>
        <v/>
      </c>
      <c r="L1435" s="364" t="str">
        <f>IF($G1435="","",IF($H1435=1,ROUND($G1435/23,0),IF($H1435=3,ROUND($G1435/12,0),IF($H1435=5,$G1435-ROUND($G1435*10/11,0),IF($H1435=8,$G1435,0)))))</f>
        <v/>
      </c>
      <c r="M1435" s="364" t="str">
        <f>IF($G1435="","",IF($H1435=1,ROUND($G1435/23,0),IF($H1435=3,ROUND($G1435/12,0),IF($H1435=6,$G1435,IF($H1435=7,$G1435-ROUND($G1435*10/11,0),0)))))</f>
        <v/>
      </c>
      <c r="N1435" s="364" t="str">
        <f>IF($G1435="","",K1435+L1435+M1435)</f>
        <v/>
      </c>
      <c r="O1435" s="365" t="str">
        <f>IF($G1435="","",IFERROR(VLOOKUP($D1435&amp;"|"&amp;$E1435,科目表!$A$5:$B$200,2,FALSE),"※未登録"))</f>
        <v/>
      </c>
      <c r="P1435" s="359" t="str">
        <f>IF(OR($G1435="",$C1435=""),"",IF($B1435="決算整理",13,MOD(MONTH($C1435)-4,12)+1))</f>
        <v/>
      </c>
      <c r="Q1435" s="366" t="str">
        <f>IF($G1435="","",TRIM(IF(J1435+K1435+L1435+M1435&lt;&gt;$G1435,"按分不一致 ","")&amp;IF(O1435="※未登録","科目未登録 ","")&amp;IF(OR($H1435="",ISERROR(MATCH($H1435,{1,2,3,4,5,6,7,8},0))),"経費区分? ","")&amp;IF($I1435="","状態未設定 ","")&amp;IF(AND(OR($I1435="確認済",$I1435="未確認"),$B1435="月例",OR($C1435="",$C1435&lt;DATE(年度+2018,4,1),$C1435&gt;DATE(年度+2019,3,31))),"年度外の日付 ","")&amp;IF(AND(OR($I1435="確認済",$I1435="未確認"),O1435="対象外"),"対象外の科目 ","")))</f>
        <v/>
      </c>
      <c r="R1435" s="366" t="n"/>
    </row>
    <row r="1436">
      <c r="A1436" s="359" t="n"/>
      <c r="B1436" s="360" t="n"/>
      <c r="C1436" s="361" t="n"/>
      <c r="D1436" s="362" t="n"/>
      <c r="E1436" s="362" t="n"/>
      <c r="F1436" s="362" t="n"/>
      <c r="G1436" s="363" t="n"/>
      <c r="H1436" s="360" t="n"/>
      <c r="I1436" s="360" t="n"/>
      <c r="J1436" s="364" t="str">
        <f>IF($G1436="","",IF($H1436=1,$G1436-ROUND($G1436*10/23,0)-2*ROUND($G1436/23,0),IF($H1436=2,$G1436,0)))</f>
        <v/>
      </c>
      <c r="K1436" s="364" t="str">
        <f>IF($G1436="","",IF($H1436=1,ROUND($G1436*10/23,0),IF($H1436=3,$G1436-2*ROUND($G1436/12,0),IF($H1436=4,$G1436,IF(OR($H1436=5,$H1436=7),ROUND($G1436*10/11,0),0)))))</f>
        <v/>
      </c>
      <c r="L1436" s="364" t="str">
        <f>IF($G1436="","",IF($H1436=1,ROUND($G1436/23,0),IF($H1436=3,ROUND($G1436/12,0),IF($H1436=5,$G1436-ROUND($G1436*10/11,0),IF($H1436=8,$G1436,0)))))</f>
        <v/>
      </c>
      <c r="M1436" s="364" t="str">
        <f>IF($G1436="","",IF($H1436=1,ROUND($G1436/23,0),IF($H1436=3,ROUND($G1436/12,0),IF($H1436=6,$G1436,IF($H1436=7,$G1436-ROUND($G1436*10/11,0),0)))))</f>
        <v/>
      </c>
      <c r="N1436" s="364" t="str">
        <f>IF($G1436="","",K1436+L1436+M1436)</f>
        <v/>
      </c>
      <c r="O1436" s="365" t="str">
        <f>IF($G1436="","",IFERROR(VLOOKUP($D1436&amp;"|"&amp;$E1436,科目表!$A$5:$B$200,2,FALSE),"※未登録"))</f>
        <v/>
      </c>
      <c r="P1436" s="359" t="str">
        <f>IF(OR($G1436="",$C1436=""),"",IF($B1436="決算整理",13,MOD(MONTH($C1436)-4,12)+1))</f>
        <v/>
      </c>
      <c r="Q1436" s="366" t="str">
        <f>IF($G1436="","",TRIM(IF(J1436+K1436+L1436+M1436&lt;&gt;$G1436,"按分不一致 ","")&amp;IF(O1436="※未登録","科目未登録 ","")&amp;IF(OR($H1436="",ISERROR(MATCH($H1436,{1,2,3,4,5,6,7,8},0))),"経費区分? ","")&amp;IF($I1436="","状態未設定 ","")&amp;IF(AND(OR($I1436="確認済",$I1436="未確認"),$B1436="月例",OR($C1436="",$C1436&lt;DATE(年度+2018,4,1),$C1436&gt;DATE(年度+2019,3,31))),"年度外の日付 ","")&amp;IF(AND(OR($I1436="確認済",$I1436="未確認"),O1436="対象外"),"対象外の科目 ","")))</f>
        <v/>
      </c>
      <c r="R1436" s="366" t="n"/>
    </row>
    <row r="1437">
      <c r="A1437" s="359" t="n"/>
      <c r="B1437" s="360" t="n"/>
      <c r="C1437" s="361" t="n"/>
      <c r="D1437" s="362" t="n"/>
      <c r="E1437" s="362" t="n"/>
      <c r="F1437" s="362" t="n"/>
      <c r="G1437" s="363" t="n"/>
      <c r="H1437" s="360" t="n"/>
      <c r="I1437" s="360" t="n"/>
      <c r="J1437" s="364" t="str">
        <f>IF($G1437="","",IF($H1437=1,$G1437-ROUND($G1437*10/23,0)-2*ROUND($G1437/23,0),IF($H1437=2,$G1437,0)))</f>
        <v/>
      </c>
      <c r="K1437" s="364" t="str">
        <f>IF($G1437="","",IF($H1437=1,ROUND($G1437*10/23,0),IF($H1437=3,$G1437-2*ROUND($G1437/12,0),IF($H1437=4,$G1437,IF(OR($H1437=5,$H1437=7),ROUND($G1437*10/11,0),0)))))</f>
        <v/>
      </c>
      <c r="L1437" s="364" t="str">
        <f>IF($G1437="","",IF($H1437=1,ROUND($G1437/23,0),IF($H1437=3,ROUND($G1437/12,0),IF($H1437=5,$G1437-ROUND($G1437*10/11,0),IF($H1437=8,$G1437,0)))))</f>
        <v/>
      </c>
      <c r="M1437" s="364" t="str">
        <f>IF($G1437="","",IF($H1437=1,ROUND($G1437/23,0),IF($H1437=3,ROUND($G1437/12,0),IF($H1437=6,$G1437,IF($H1437=7,$G1437-ROUND($G1437*10/11,0),0)))))</f>
        <v/>
      </c>
      <c r="N1437" s="364" t="str">
        <f>IF($G1437="","",K1437+L1437+M1437)</f>
        <v/>
      </c>
      <c r="O1437" s="365" t="str">
        <f>IF($G1437="","",IFERROR(VLOOKUP($D1437&amp;"|"&amp;$E1437,科目表!$A$5:$B$200,2,FALSE),"※未登録"))</f>
        <v/>
      </c>
      <c r="P1437" s="359" t="str">
        <f>IF(OR($G1437="",$C1437=""),"",IF($B1437="決算整理",13,MOD(MONTH($C1437)-4,12)+1))</f>
        <v/>
      </c>
      <c r="Q1437" s="366" t="str">
        <f>IF($G1437="","",TRIM(IF(J1437+K1437+L1437+M1437&lt;&gt;$G1437,"按分不一致 ","")&amp;IF(O1437="※未登録","科目未登録 ","")&amp;IF(OR($H1437="",ISERROR(MATCH($H1437,{1,2,3,4,5,6,7,8},0))),"経費区分? ","")&amp;IF($I1437="","状態未設定 ","")&amp;IF(AND(OR($I1437="確認済",$I1437="未確認"),$B1437="月例",OR($C1437="",$C1437&lt;DATE(年度+2018,4,1),$C1437&gt;DATE(年度+2019,3,31))),"年度外の日付 ","")&amp;IF(AND(OR($I1437="確認済",$I1437="未確認"),O1437="対象外"),"対象外の科目 ","")))</f>
        <v/>
      </c>
      <c r="R1437" s="366" t="n"/>
    </row>
    <row r="1438">
      <c r="A1438" s="359" t="n"/>
      <c r="B1438" s="360" t="n"/>
      <c r="C1438" s="361" t="n"/>
      <c r="D1438" s="362" t="n"/>
      <c r="E1438" s="362" t="n"/>
      <c r="F1438" s="362" t="n"/>
      <c r="G1438" s="363" t="n"/>
      <c r="H1438" s="360" t="n"/>
      <c r="I1438" s="360" t="n"/>
      <c r="J1438" s="364" t="str">
        <f>IF($G1438="","",IF($H1438=1,$G1438-ROUND($G1438*10/23,0)-2*ROUND($G1438/23,0),IF($H1438=2,$G1438,0)))</f>
        <v/>
      </c>
      <c r="K1438" s="364" t="str">
        <f>IF($G1438="","",IF($H1438=1,ROUND($G1438*10/23,0),IF($H1438=3,$G1438-2*ROUND($G1438/12,0),IF($H1438=4,$G1438,IF(OR($H1438=5,$H1438=7),ROUND($G1438*10/11,0),0)))))</f>
        <v/>
      </c>
      <c r="L1438" s="364" t="str">
        <f>IF($G1438="","",IF($H1438=1,ROUND($G1438/23,0),IF($H1438=3,ROUND($G1438/12,0),IF($H1438=5,$G1438-ROUND($G1438*10/11,0),IF($H1438=8,$G1438,0)))))</f>
        <v/>
      </c>
      <c r="M1438" s="364" t="str">
        <f>IF($G1438="","",IF($H1438=1,ROUND($G1438/23,0),IF($H1438=3,ROUND($G1438/12,0),IF($H1438=6,$G1438,IF($H1438=7,$G1438-ROUND($G1438*10/11,0),0)))))</f>
        <v/>
      </c>
      <c r="N1438" s="364" t="str">
        <f>IF($G1438="","",K1438+L1438+M1438)</f>
        <v/>
      </c>
      <c r="O1438" s="365" t="str">
        <f>IF($G1438="","",IFERROR(VLOOKUP($D1438&amp;"|"&amp;$E1438,科目表!$A$5:$B$200,2,FALSE),"※未登録"))</f>
        <v/>
      </c>
      <c r="P1438" s="359" t="str">
        <f>IF(OR($G1438="",$C1438=""),"",IF($B1438="決算整理",13,MOD(MONTH($C1438)-4,12)+1))</f>
        <v/>
      </c>
      <c r="Q1438" s="366" t="str">
        <f>IF($G1438="","",TRIM(IF(J1438+K1438+L1438+M1438&lt;&gt;$G1438,"按分不一致 ","")&amp;IF(O1438="※未登録","科目未登録 ","")&amp;IF(OR($H1438="",ISERROR(MATCH($H1438,{1,2,3,4,5,6,7,8},0))),"経費区分? ","")&amp;IF($I1438="","状態未設定 ","")&amp;IF(AND(OR($I1438="確認済",$I1438="未確認"),$B1438="月例",OR($C1438="",$C1438&lt;DATE(年度+2018,4,1),$C1438&gt;DATE(年度+2019,3,31))),"年度外の日付 ","")&amp;IF(AND(OR($I1438="確認済",$I1438="未確認"),O1438="対象外"),"対象外の科目 ","")))</f>
        <v/>
      </c>
      <c r="R1438" s="366" t="n"/>
    </row>
    <row r="1439">
      <c r="A1439" s="359" t="n"/>
      <c r="B1439" s="360" t="n"/>
      <c r="C1439" s="361" t="n"/>
      <c r="D1439" s="362" t="n"/>
      <c r="E1439" s="362" t="n"/>
      <c r="F1439" s="362" t="n"/>
      <c r="G1439" s="363" t="n"/>
      <c r="H1439" s="360" t="n"/>
      <c r="I1439" s="360" t="n"/>
      <c r="J1439" s="364" t="str">
        <f>IF($G1439="","",IF($H1439=1,$G1439-ROUND($G1439*10/23,0)-2*ROUND($G1439/23,0),IF($H1439=2,$G1439,0)))</f>
        <v/>
      </c>
      <c r="K1439" s="364" t="str">
        <f>IF($G1439="","",IF($H1439=1,ROUND($G1439*10/23,0),IF($H1439=3,$G1439-2*ROUND($G1439/12,0),IF($H1439=4,$G1439,IF(OR($H1439=5,$H1439=7),ROUND($G1439*10/11,0),0)))))</f>
        <v/>
      </c>
      <c r="L1439" s="364" t="str">
        <f>IF($G1439="","",IF($H1439=1,ROUND($G1439/23,0),IF($H1439=3,ROUND($G1439/12,0),IF($H1439=5,$G1439-ROUND($G1439*10/11,0),IF($H1439=8,$G1439,0)))))</f>
        <v/>
      </c>
      <c r="M1439" s="364" t="str">
        <f>IF($G1439="","",IF($H1439=1,ROUND($G1439/23,0),IF($H1439=3,ROUND($G1439/12,0),IF($H1439=6,$G1439,IF($H1439=7,$G1439-ROUND($G1439*10/11,0),0)))))</f>
        <v/>
      </c>
      <c r="N1439" s="364" t="str">
        <f>IF($G1439="","",K1439+L1439+M1439)</f>
        <v/>
      </c>
      <c r="O1439" s="365" t="str">
        <f>IF($G1439="","",IFERROR(VLOOKUP($D1439&amp;"|"&amp;$E1439,科目表!$A$5:$B$200,2,FALSE),"※未登録"))</f>
        <v/>
      </c>
      <c r="P1439" s="359" t="str">
        <f>IF(OR($G1439="",$C1439=""),"",IF($B1439="決算整理",13,MOD(MONTH($C1439)-4,12)+1))</f>
        <v/>
      </c>
      <c r="Q1439" s="366" t="str">
        <f>IF($G1439="","",TRIM(IF(J1439+K1439+L1439+M1439&lt;&gt;$G1439,"按分不一致 ","")&amp;IF(O1439="※未登録","科目未登録 ","")&amp;IF(OR($H1439="",ISERROR(MATCH($H1439,{1,2,3,4,5,6,7,8},0))),"経費区分? ","")&amp;IF($I1439="","状態未設定 ","")&amp;IF(AND(OR($I1439="確認済",$I1439="未確認"),$B1439="月例",OR($C1439="",$C1439&lt;DATE(年度+2018,4,1),$C1439&gt;DATE(年度+2019,3,31))),"年度外の日付 ","")&amp;IF(AND(OR($I1439="確認済",$I1439="未確認"),O1439="対象外"),"対象外の科目 ","")))</f>
        <v/>
      </c>
      <c r="R1439" s="366" t="n"/>
    </row>
    <row r="1440">
      <c r="A1440" s="359" t="n"/>
      <c r="B1440" s="360" t="n"/>
      <c r="C1440" s="361" t="n"/>
      <c r="D1440" s="362" t="n"/>
      <c r="E1440" s="362" t="n"/>
      <c r="F1440" s="362" t="n"/>
      <c r="G1440" s="363" t="n"/>
      <c r="H1440" s="360" t="n"/>
      <c r="I1440" s="360" t="n"/>
      <c r="J1440" s="364" t="str">
        <f>IF($G1440="","",IF($H1440=1,$G1440-ROUND($G1440*10/23,0)-2*ROUND($G1440/23,0),IF($H1440=2,$G1440,0)))</f>
        <v/>
      </c>
      <c r="K1440" s="364" t="str">
        <f>IF($G1440="","",IF($H1440=1,ROUND($G1440*10/23,0),IF($H1440=3,$G1440-2*ROUND($G1440/12,0),IF($H1440=4,$G1440,IF(OR($H1440=5,$H1440=7),ROUND($G1440*10/11,0),0)))))</f>
        <v/>
      </c>
      <c r="L1440" s="364" t="str">
        <f>IF($G1440="","",IF($H1440=1,ROUND($G1440/23,0),IF($H1440=3,ROUND($G1440/12,0),IF($H1440=5,$G1440-ROUND($G1440*10/11,0),IF($H1440=8,$G1440,0)))))</f>
        <v/>
      </c>
      <c r="M1440" s="364" t="str">
        <f>IF($G1440="","",IF($H1440=1,ROUND($G1440/23,0),IF($H1440=3,ROUND($G1440/12,0),IF($H1440=6,$G1440,IF($H1440=7,$G1440-ROUND($G1440*10/11,0),0)))))</f>
        <v/>
      </c>
      <c r="N1440" s="364" t="str">
        <f>IF($G1440="","",K1440+L1440+M1440)</f>
        <v/>
      </c>
      <c r="O1440" s="365" t="str">
        <f>IF($G1440="","",IFERROR(VLOOKUP($D1440&amp;"|"&amp;$E1440,科目表!$A$5:$B$200,2,FALSE),"※未登録"))</f>
        <v/>
      </c>
      <c r="P1440" s="359" t="str">
        <f>IF(OR($G1440="",$C1440=""),"",IF($B1440="決算整理",13,MOD(MONTH($C1440)-4,12)+1))</f>
        <v/>
      </c>
      <c r="Q1440" s="366" t="str">
        <f>IF($G1440="","",TRIM(IF(J1440+K1440+L1440+M1440&lt;&gt;$G1440,"按分不一致 ","")&amp;IF(O1440="※未登録","科目未登録 ","")&amp;IF(OR($H1440="",ISERROR(MATCH($H1440,{1,2,3,4,5,6,7,8},0))),"経費区分? ","")&amp;IF($I1440="","状態未設定 ","")&amp;IF(AND(OR($I1440="確認済",$I1440="未確認"),$B1440="月例",OR($C1440="",$C1440&lt;DATE(年度+2018,4,1),$C1440&gt;DATE(年度+2019,3,31))),"年度外の日付 ","")&amp;IF(AND(OR($I1440="確認済",$I1440="未確認"),O1440="対象外"),"対象外の科目 ","")))</f>
        <v/>
      </c>
      <c r="R1440" s="366" t="n"/>
    </row>
    <row r="1441">
      <c r="A1441" s="359" t="n"/>
      <c r="B1441" s="360" t="n"/>
      <c r="C1441" s="361" t="n"/>
      <c r="D1441" s="362" t="n"/>
      <c r="E1441" s="362" t="n"/>
      <c r="F1441" s="362" t="n"/>
      <c r="G1441" s="363" t="n"/>
      <c r="H1441" s="360" t="n"/>
      <c r="I1441" s="360" t="n"/>
      <c r="J1441" s="364" t="str">
        <f>IF($G1441="","",IF($H1441=1,$G1441-ROUND($G1441*10/23,0)-2*ROUND($G1441/23,0),IF($H1441=2,$G1441,0)))</f>
        <v/>
      </c>
      <c r="K1441" s="364" t="str">
        <f>IF($G1441="","",IF($H1441=1,ROUND($G1441*10/23,0),IF($H1441=3,$G1441-2*ROUND($G1441/12,0),IF($H1441=4,$G1441,IF(OR($H1441=5,$H1441=7),ROUND($G1441*10/11,0),0)))))</f>
        <v/>
      </c>
      <c r="L1441" s="364" t="str">
        <f>IF($G1441="","",IF($H1441=1,ROUND($G1441/23,0),IF($H1441=3,ROUND($G1441/12,0),IF($H1441=5,$G1441-ROUND($G1441*10/11,0),IF($H1441=8,$G1441,0)))))</f>
        <v/>
      </c>
      <c r="M1441" s="364" t="str">
        <f>IF($G1441="","",IF($H1441=1,ROUND($G1441/23,0),IF($H1441=3,ROUND($G1441/12,0),IF($H1441=6,$G1441,IF($H1441=7,$G1441-ROUND($G1441*10/11,0),0)))))</f>
        <v/>
      </c>
      <c r="N1441" s="364" t="str">
        <f>IF($G1441="","",K1441+L1441+M1441)</f>
        <v/>
      </c>
      <c r="O1441" s="365" t="str">
        <f>IF($G1441="","",IFERROR(VLOOKUP($D1441&amp;"|"&amp;$E1441,科目表!$A$5:$B$200,2,FALSE),"※未登録"))</f>
        <v/>
      </c>
      <c r="P1441" s="359" t="str">
        <f>IF(OR($G1441="",$C1441=""),"",IF($B1441="決算整理",13,MOD(MONTH($C1441)-4,12)+1))</f>
        <v/>
      </c>
      <c r="Q1441" s="366" t="str">
        <f>IF($G1441="","",TRIM(IF(J1441+K1441+L1441+M1441&lt;&gt;$G1441,"按分不一致 ","")&amp;IF(O1441="※未登録","科目未登録 ","")&amp;IF(OR($H1441="",ISERROR(MATCH($H1441,{1,2,3,4,5,6,7,8},0))),"経費区分? ","")&amp;IF($I1441="","状態未設定 ","")&amp;IF(AND(OR($I1441="確認済",$I1441="未確認"),$B1441="月例",OR($C1441="",$C1441&lt;DATE(年度+2018,4,1),$C1441&gt;DATE(年度+2019,3,31))),"年度外の日付 ","")&amp;IF(AND(OR($I1441="確認済",$I1441="未確認"),O1441="対象外"),"対象外の科目 ","")))</f>
        <v/>
      </c>
      <c r="R1441" s="366" t="n"/>
    </row>
    <row r="1442">
      <c r="A1442" s="359" t="n"/>
      <c r="B1442" s="360" t="n"/>
      <c r="C1442" s="361" t="n"/>
      <c r="D1442" s="362" t="n"/>
      <c r="E1442" s="362" t="n"/>
      <c r="F1442" s="362" t="n"/>
      <c r="G1442" s="363" t="n"/>
      <c r="H1442" s="360" t="n"/>
      <c r="I1442" s="360" t="n"/>
      <c r="J1442" s="364" t="str">
        <f>IF($G1442="","",IF($H1442=1,$G1442-ROUND($G1442*10/23,0)-2*ROUND($G1442/23,0),IF($H1442=2,$G1442,0)))</f>
        <v/>
      </c>
      <c r="K1442" s="364" t="str">
        <f>IF($G1442="","",IF($H1442=1,ROUND($G1442*10/23,0),IF($H1442=3,$G1442-2*ROUND($G1442/12,0),IF($H1442=4,$G1442,IF(OR($H1442=5,$H1442=7),ROUND($G1442*10/11,0),0)))))</f>
        <v/>
      </c>
      <c r="L1442" s="364" t="str">
        <f>IF($G1442="","",IF($H1442=1,ROUND($G1442/23,0),IF($H1442=3,ROUND($G1442/12,0),IF($H1442=5,$G1442-ROUND($G1442*10/11,0),IF($H1442=8,$G1442,0)))))</f>
        <v/>
      </c>
      <c r="M1442" s="364" t="str">
        <f>IF($G1442="","",IF($H1442=1,ROUND($G1442/23,0),IF($H1442=3,ROUND($G1442/12,0),IF($H1442=6,$G1442,IF($H1442=7,$G1442-ROUND($G1442*10/11,0),0)))))</f>
        <v/>
      </c>
      <c r="N1442" s="364" t="str">
        <f>IF($G1442="","",K1442+L1442+M1442)</f>
        <v/>
      </c>
      <c r="O1442" s="365" t="str">
        <f>IF($G1442="","",IFERROR(VLOOKUP($D1442&amp;"|"&amp;$E1442,科目表!$A$5:$B$200,2,FALSE),"※未登録"))</f>
        <v/>
      </c>
      <c r="P1442" s="359" t="str">
        <f>IF(OR($G1442="",$C1442=""),"",IF($B1442="決算整理",13,MOD(MONTH($C1442)-4,12)+1))</f>
        <v/>
      </c>
      <c r="Q1442" s="366" t="str">
        <f>IF($G1442="","",TRIM(IF(J1442+K1442+L1442+M1442&lt;&gt;$G1442,"按分不一致 ","")&amp;IF(O1442="※未登録","科目未登録 ","")&amp;IF(OR($H1442="",ISERROR(MATCH($H1442,{1,2,3,4,5,6,7,8},0))),"経費区分? ","")&amp;IF($I1442="","状態未設定 ","")&amp;IF(AND(OR($I1442="確認済",$I1442="未確認"),$B1442="月例",OR($C1442="",$C1442&lt;DATE(年度+2018,4,1),$C1442&gt;DATE(年度+2019,3,31))),"年度外の日付 ","")&amp;IF(AND(OR($I1442="確認済",$I1442="未確認"),O1442="対象外"),"対象外の科目 ","")))</f>
        <v/>
      </c>
      <c r="R1442" s="366" t="n"/>
    </row>
    <row r="1443">
      <c r="A1443" s="359" t="n"/>
      <c r="B1443" s="360" t="n"/>
      <c r="C1443" s="361" t="n"/>
      <c r="D1443" s="362" t="n"/>
      <c r="E1443" s="362" t="n"/>
      <c r="F1443" s="362" t="n"/>
      <c r="G1443" s="363" t="n"/>
      <c r="H1443" s="360" t="n"/>
      <c r="I1443" s="360" t="n"/>
      <c r="J1443" s="364" t="str">
        <f>IF($G1443="","",IF($H1443=1,$G1443-ROUND($G1443*10/23,0)-2*ROUND($G1443/23,0),IF($H1443=2,$G1443,0)))</f>
        <v/>
      </c>
      <c r="K1443" s="364" t="str">
        <f>IF($G1443="","",IF($H1443=1,ROUND($G1443*10/23,0),IF($H1443=3,$G1443-2*ROUND($G1443/12,0),IF($H1443=4,$G1443,IF(OR($H1443=5,$H1443=7),ROUND($G1443*10/11,0),0)))))</f>
        <v/>
      </c>
      <c r="L1443" s="364" t="str">
        <f>IF($G1443="","",IF($H1443=1,ROUND($G1443/23,0),IF($H1443=3,ROUND($G1443/12,0),IF($H1443=5,$G1443-ROUND($G1443*10/11,0),IF($H1443=8,$G1443,0)))))</f>
        <v/>
      </c>
      <c r="M1443" s="364" t="str">
        <f>IF($G1443="","",IF($H1443=1,ROUND($G1443/23,0),IF($H1443=3,ROUND($G1443/12,0),IF($H1443=6,$G1443,IF($H1443=7,$G1443-ROUND($G1443*10/11,0),0)))))</f>
        <v/>
      </c>
      <c r="N1443" s="364" t="str">
        <f>IF($G1443="","",K1443+L1443+M1443)</f>
        <v/>
      </c>
      <c r="O1443" s="365" t="str">
        <f>IF($G1443="","",IFERROR(VLOOKUP($D1443&amp;"|"&amp;$E1443,科目表!$A$5:$B$200,2,FALSE),"※未登録"))</f>
        <v/>
      </c>
      <c r="P1443" s="359" t="str">
        <f>IF(OR($G1443="",$C1443=""),"",IF($B1443="決算整理",13,MOD(MONTH($C1443)-4,12)+1))</f>
        <v/>
      </c>
      <c r="Q1443" s="366" t="str">
        <f>IF($G1443="","",TRIM(IF(J1443+K1443+L1443+M1443&lt;&gt;$G1443,"按分不一致 ","")&amp;IF(O1443="※未登録","科目未登録 ","")&amp;IF(OR($H1443="",ISERROR(MATCH($H1443,{1,2,3,4,5,6,7,8},0))),"経費区分? ","")&amp;IF($I1443="","状態未設定 ","")&amp;IF(AND(OR($I1443="確認済",$I1443="未確認"),$B1443="月例",OR($C1443="",$C1443&lt;DATE(年度+2018,4,1),$C1443&gt;DATE(年度+2019,3,31))),"年度外の日付 ","")&amp;IF(AND(OR($I1443="確認済",$I1443="未確認"),O1443="対象外"),"対象外の科目 ","")))</f>
        <v/>
      </c>
      <c r="R1443" s="366" t="n"/>
    </row>
    <row r="1444">
      <c r="A1444" s="359" t="n"/>
      <c r="B1444" s="360" t="n"/>
      <c r="C1444" s="361" t="n"/>
      <c r="D1444" s="362" t="n"/>
      <c r="E1444" s="362" t="n"/>
      <c r="F1444" s="362" t="n"/>
      <c r="G1444" s="363" t="n"/>
      <c r="H1444" s="360" t="n"/>
      <c r="I1444" s="360" t="n"/>
      <c r="J1444" s="364" t="str">
        <f>IF($G1444="","",IF($H1444=1,$G1444-ROUND($G1444*10/23,0)-2*ROUND($G1444/23,0),IF($H1444=2,$G1444,0)))</f>
        <v/>
      </c>
      <c r="K1444" s="364" t="str">
        <f>IF($G1444="","",IF($H1444=1,ROUND($G1444*10/23,0),IF($H1444=3,$G1444-2*ROUND($G1444/12,0),IF($H1444=4,$G1444,IF(OR($H1444=5,$H1444=7),ROUND($G1444*10/11,0),0)))))</f>
        <v/>
      </c>
      <c r="L1444" s="364" t="str">
        <f>IF($G1444="","",IF($H1444=1,ROUND($G1444/23,0),IF($H1444=3,ROUND($G1444/12,0),IF($H1444=5,$G1444-ROUND($G1444*10/11,0),IF($H1444=8,$G1444,0)))))</f>
        <v/>
      </c>
      <c r="M1444" s="364" t="str">
        <f>IF($G1444="","",IF($H1444=1,ROUND($G1444/23,0),IF($H1444=3,ROUND($G1444/12,0),IF($H1444=6,$G1444,IF($H1444=7,$G1444-ROUND($G1444*10/11,0),0)))))</f>
        <v/>
      </c>
      <c r="N1444" s="364" t="str">
        <f>IF($G1444="","",K1444+L1444+M1444)</f>
        <v/>
      </c>
      <c r="O1444" s="365" t="str">
        <f>IF($G1444="","",IFERROR(VLOOKUP($D1444&amp;"|"&amp;$E1444,科目表!$A$5:$B$200,2,FALSE),"※未登録"))</f>
        <v/>
      </c>
      <c r="P1444" s="359" t="str">
        <f>IF(OR($G1444="",$C1444=""),"",IF($B1444="決算整理",13,MOD(MONTH($C1444)-4,12)+1))</f>
        <v/>
      </c>
      <c r="Q1444" s="366" t="str">
        <f>IF($G1444="","",TRIM(IF(J1444+K1444+L1444+M1444&lt;&gt;$G1444,"按分不一致 ","")&amp;IF(O1444="※未登録","科目未登録 ","")&amp;IF(OR($H1444="",ISERROR(MATCH($H1444,{1,2,3,4,5,6,7,8},0))),"経費区分? ","")&amp;IF($I1444="","状態未設定 ","")&amp;IF(AND(OR($I1444="確認済",$I1444="未確認"),$B1444="月例",OR($C1444="",$C1444&lt;DATE(年度+2018,4,1),$C1444&gt;DATE(年度+2019,3,31))),"年度外の日付 ","")&amp;IF(AND(OR($I1444="確認済",$I1444="未確認"),O1444="対象外"),"対象外の科目 ","")))</f>
        <v/>
      </c>
      <c r="R1444" s="366" t="n"/>
    </row>
    <row r="1445">
      <c r="A1445" s="359" t="n"/>
      <c r="B1445" s="360" t="n"/>
      <c r="C1445" s="361" t="n"/>
      <c r="D1445" s="362" t="n"/>
      <c r="E1445" s="362" t="n"/>
      <c r="F1445" s="362" t="n"/>
      <c r="G1445" s="363" t="n"/>
      <c r="H1445" s="360" t="n"/>
      <c r="I1445" s="360" t="n"/>
      <c r="J1445" s="364" t="str">
        <f>IF($G1445="","",IF($H1445=1,$G1445-ROUND($G1445*10/23,0)-2*ROUND($G1445/23,0),IF($H1445=2,$G1445,0)))</f>
        <v/>
      </c>
      <c r="K1445" s="364" t="str">
        <f>IF($G1445="","",IF($H1445=1,ROUND($G1445*10/23,0),IF($H1445=3,$G1445-2*ROUND($G1445/12,0),IF($H1445=4,$G1445,IF(OR($H1445=5,$H1445=7),ROUND($G1445*10/11,0),0)))))</f>
        <v/>
      </c>
      <c r="L1445" s="364" t="str">
        <f>IF($G1445="","",IF($H1445=1,ROUND($G1445/23,0),IF($H1445=3,ROUND($G1445/12,0),IF($H1445=5,$G1445-ROUND($G1445*10/11,0),IF($H1445=8,$G1445,0)))))</f>
        <v/>
      </c>
      <c r="M1445" s="364" t="str">
        <f>IF($G1445="","",IF($H1445=1,ROUND($G1445/23,0),IF($H1445=3,ROUND($G1445/12,0),IF($H1445=6,$G1445,IF($H1445=7,$G1445-ROUND($G1445*10/11,0),0)))))</f>
        <v/>
      </c>
      <c r="N1445" s="364" t="str">
        <f>IF($G1445="","",K1445+L1445+M1445)</f>
        <v/>
      </c>
      <c r="O1445" s="365" t="str">
        <f>IF($G1445="","",IFERROR(VLOOKUP($D1445&amp;"|"&amp;$E1445,科目表!$A$5:$B$200,2,FALSE),"※未登録"))</f>
        <v/>
      </c>
      <c r="P1445" s="359" t="str">
        <f>IF(OR($G1445="",$C1445=""),"",IF($B1445="決算整理",13,MOD(MONTH($C1445)-4,12)+1))</f>
        <v/>
      </c>
      <c r="Q1445" s="366" t="str">
        <f>IF($G1445="","",TRIM(IF(J1445+K1445+L1445+M1445&lt;&gt;$G1445,"按分不一致 ","")&amp;IF(O1445="※未登録","科目未登録 ","")&amp;IF(OR($H1445="",ISERROR(MATCH($H1445,{1,2,3,4,5,6,7,8},0))),"経費区分? ","")&amp;IF($I1445="","状態未設定 ","")&amp;IF(AND(OR($I1445="確認済",$I1445="未確認"),$B1445="月例",OR($C1445="",$C1445&lt;DATE(年度+2018,4,1),$C1445&gt;DATE(年度+2019,3,31))),"年度外の日付 ","")&amp;IF(AND(OR($I1445="確認済",$I1445="未確認"),O1445="対象外"),"対象外の科目 ","")))</f>
        <v/>
      </c>
      <c r="R1445" s="366" t="n"/>
    </row>
    <row r="1446">
      <c r="A1446" s="359" t="n"/>
      <c r="B1446" s="360" t="n"/>
      <c r="C1446" s="361" t="n"/>
      <c r="D1446" s="362" t="n"/>
      <c r="E1446" s="362" t="n"/>
      <c r="F1446" s="362" t="n"/>
      <c r="G1446" s="363" t="n"/>
      <c r="H1446" s="360" t="n"/>
      <c r="I1446" s="360" t="n"/>
      <c r="J1446" s="364" t="str">
        <f>IF($G1446="","",IF($H1446=1,$G1446-ROUND($G1446*10/23,0)-2*ROUND($G1446/23,0),IF($H1446=2,$G1446,0)))</f>
        <v/>
      </c>
      <c r="K1446" s="364" t="str">
        <f>IF($G1446="","",IF($H1446=1,ROUND($G1446*10/23,0),IF($H1446=3,$G1446-2*ROUND($G1446/12,0),IF($H1446=4,$G1446,IF(OR($H1446=5,$H1446=7),ROUND($G1446*10/11,0),0)))))</f>
        <v/>
      </c>
      <c r="L1446" s="364" t="str">
        <f>IF($G1446="","",IF($H1446=1,ROUND($G1446/23,0),IF($H1446=3,ROUND($G1446/12,0),IF($H1446=5,$G1446-ROUND($G1446*10/11,0),IF($H1446=8,$G1446,0)))))</f>
        <v/>
      </c>
      <c r="M1446" s="364" t="str">
        <f>IF($G1446="","",IF($H1446=1,ROUND($G1446/23,0),IF($H1446=3,ROUND($G1446/12,0),IF($H1446=6,$G1446,IF($H1446=7,$G1446-ROUND($G1446*10/11,0),0)))))</f>
        <v/>
      </c>
      <c r="N1446" s="364" t="str">
        <f>IF($G1446="","",K1446+L1446+M1446)</f>
        <v/>
      </c>
      <c r="O1446" s="365" t="str">
        <f>IF($G1446="","",IFERROR(VLOOKUP($D1446&amp;"|"&amp;$E1446,科目表!$A$5:$B$200,2,FALSE),"※未登録"))</f>
        <v/>
      </c>
      <c r="P1446" s="359" t="str">
        <f>IF(OR($G1446="",$C1446=""),"",IF($B1446="決算整理",13,MOD(MONTH($C1446)-4,12)+1))</f>
        <v/>
      </c>
      <c r="Q1446" s="366" t="str">
        <f>IF($G1446="","",TRIM(IF(J1446+K1446+L1446+M1446&lt;&gt;$G1446,"按分不一致 ","")&amp;IF(O1446="※未登録","科目未登録 ","")&amp;IF(OR($H1446="",ISERROR(MATCH($H1446,{1,2,3,4,5,6,7,8},0))),"経費区分? ","")&amp;IF($I1446="","状態未設定 ","")&amp;IF(AND(OR($I1446="確認済",$I1446="未確認"),$B1446="月例",OR($C1446="",$C1446&lt;DATE(年度+2018,4,1),$C1446&gt;DATE(年度+2019,3,31))),"年度外の日付 ","")&amp;IF(AND(OR($I1446="確認済",$I1446="未確認"),O1446="対象外"),"対象外の科目 ","")))</f>
        <v/>
      </c>
      <c r="R1446" s="366" t="n"/>
    </row>
    <row r="1447">
      <c r="A1447" s="359" t="n"/>
      <c r="B1447" s="360" t="n"/>
      <c r="C1447" s="361" t="n"/>
      <c r="D1447" s="362" t="n"/>
      <c r="E1447" s="362" t="n"/>
      <c r="F1447" s="362" t="n"/>
      <c r="G1447" s="363" t="n"/>
      <c r="H1447" s="360" t="n"/>
      <c r="I1447" s="360" t="n"/>
      <c r="J1447" s="364" t="str">
        <f>IF($G1447="","",IF($H1447=1,$G1447-ROUND($G1447*10/23,0)-2*ROUND($G1447/23,0),IF($H1447=2,$G1447,0)))</f>
        <v/>
      </c>
      <c r="K1447" s="364" t="str">
        <f>IF($G1447="","",IF($H1447=1,ROUND($G1447*10/23,0),IF($H1447=3,$G1447-2*ROUND($G1447/12,0),IF($H1447=4,$G1447,IF(OR($H1447=5,$H1447=7),ROUND($G1447*10/11,0),0)))))</f>
        <v/>
      </c>
      <c r="L1447" s="364" t="str">
        <f>IF($G1447="","",IF($H1447=1,ROUND($G1447/23,0),IF($H1447=3,ROUND($G1447/12,0),IF($H1447=5,$G1447-ROUND($G1447*10/11,0),IF($H1447=8,$G1447,0)))))</f>
        <v/>
      </c>
      <c r="M1447" s="364" t="str">
        <f>IF($G1447="","",IF($H1447=1,ROUND($G1447/23,0),IF($H1447=3,ROUND($G1447/12,0),IF($H1447=6,$G1447,IF($H1447=7,$G1447-ROUND($G1447*10/11,0),0)))))</f>
        <v/>
      </c>
      <c r="N1447" s="364" t="str">
        <f>IF($G1447="","",K1447+L1447+M1447)</f>
        <v/>
      </c>
      <c r="O1447" s="365" t="str">
        <f>IF($G1447="","",IFERROR(VLOOKUP($D1447&amp;"|"&amp;$E1447,科目表!$A$5:$B$200,2,FALSE),"※未登録"))</f>
        <v/>
      </c>
      <c r="P1447" s="359" t="str">
        <f>IF(OR($G1447="",$C1447=""),"",IF($B1447="決算整理",13,MOD(MONTH($C1447)-4,12)+1))</f>
        <v/>
      </c>
      <c r="Q1447" s="366" t="str">
        <f>IF($G1447="","",TRIM(IF(J1447+K1447+L1447+M1447&lt;&gt;$G1447,"按分不一致 ","")&amp;IF(O1447="※未登録","科目未登録 ","")&amp;IF(OR($H1447="",ISERROR(MATCH($H1447,{1,2,3,4,5,6,7,8},0))),"経費区分? ","")&amp;IF($I1447="","状態未設定 ","")&amp;IF(AND(OR($I1447="確認済",$I1447="未確認"),$B1447="月例",OR($C1447="",$C1447&lt;DATE(年度+2018,4,1),$C1447&gt;DATE(年度+2019,3,31))),"年度外の日付 ","")&amp;IF(AND(OR($I1447="確認済",$I1447="未確認"),O1447="対象外"),"対象外の科目 ","")))</f>
        <v/>
      </c>
      <c r="R1447" s="366" t="n"/>
    </row>
    <row r="1448">
      <c r="A1448" s="359" t="n"/>
      <c r="B1448" s="360" t="n"/>
      <c r="C1448" s="361" t="n"/>
      <c r="D1448" s="362" t="n"/>
      <c r="E1448" s="362" t="n"/>
      <c r="F1448" s="362" t="n"/>
      <c r="G1448" s="363" t="n"/>
      <c r="H1448" s="360" t="n"/>
      <c r="I1448" s="360" t="n"/>
      <c r="J1448" s="364" t="str">
        <f>IF($G1448="","",IF($H1448=1,$G1448-ROUND($G1448*10/23,0)-2*ROUND($G1448/23,0),IF($H1448=2,$G1448,0)))</f>
        <v/>
      </c>
      <c r="K1448" s="364" t="str">
        <f>IF($G1448="","",IF($H1448=1,ROUND($G1448*10/23,0),IF($H1448=3,$G1448-2*ROUND($G1448/12,0),IF($H1448=4,$G1448,IF(OR($H1448=5,$H1448=7),ROUND($G1448*10/11,0),0)))))</f>
        <v/>
      </c>
      <c r="L1448" s="364" t="str">
        <f>IF($G1448="","",IF($H1448=1,ROUND($G1448/23,0),IF($H1448=3,ROUND($G1448/12,0),IF($H1448=5,$G1448-ROUND($G1448*10/11,0),IF($H1448=8,$G1448,0)))))</f>
        <v/>
      </c>
      <c r="M1448" s="364" t="str">
        <f>IF($G1448="","",IF($H1448=1,ROUND($G1448/23,0),IF($H1448=3,ROUND($G1448/12,0),IF($H1448=6,$G1448,IF($H1448=7,$G1448-ROUND($G1448*10/11,0),0)))))</f>
        <v/>
      </c>
      <c r="N1448" s="364" t="str">
        <f>IF($G1448="","",K1448+L1448+M1448)</f>
        <v/>
      </c>
      <c r="O1448" s="365" t="str">
        <f>IF($G1448="","",IFERROR(VLOOKUP($D1448&amp;"|"&amp;$E1448,科目表!$A$5:$B$200,2,FALSE),"※未登録"))</f>
        <v/>
      </c>
      <c r="P1448" s="359" t="str">
        <f>IF(OR($G1448="",$C1448=""),"",IF($B1448="決算整理",13,MOD(MONTH($C1448)-4,12)+1))</f>
        <v/>
      </c>
      <c r="Q1448" s="366" t="str">
        <f>IF($G1448="","",TRIM(IF(J1448+K1448+L1448+M1448&lt;&gt;$G1448,"按分不一致 ","")&amp;IF(O1448="※未登録","科目未登録 ","")&amp;IF(OR($H1448="",ISERROR(MATCH($H1448,{1,2,3,4,5,6,7,8},0))),"経費区分? ","")&amp;IF($I1448="","状態未設定 ","")&amp;IF(AND(OR($I1448="確認済",$I1448="未確認"),$B1448="月例",OR($C1448="",$C1448&lt;DATE(年度+2018,4,1),$C1448&gt;DATE(年度+2019,3,31))),"年度外の日付 ","")&amp;IF(AND(OR($I1448="確認済",$I1448="未確認"),O1448="対象外"),"対象外の科目 ","")))</f>
        <v/>
      </c>
      <c r="R1448" s="366" t="n"/>
    </row>
    <row r="1449">
      <c r="A1449" s="359" t="n"/>
      <c r="B1449" s="360" t="n"/>
      <c r="C1449" s="361" t="n"/>
      <c r="D1449" s="362" t="n"/>
      <c r="E1449" s="362" t="n"/>
      <c r="F1449" s="362" t="n"/>
      <c r="G1449" s="363" t="n"/>
      <c r="H1449" s="360" t="n"/>
      <c r="I1449" s="360" t="n"/>
      <c r="J1449" s="364" t="str">
        <f>IF($G1449="","",IF($H1449=1,$G1449-ROUND($G1449*10/23,0)-2*ROUND($G1449/23,0),IF($H1449=2,$G1449,0)))</f>
        <v/>
      </c>
      <c r="K1449" s="364" t="str">
        <f>IF($G1449="","",IF($H1449=1,ROUND($G1449*10/23,0),IF($H1449=3,$G1449-2*ROUND($G1449/12,0),IF($H1449=4,$G1449,IF(OR($H1449=5,$H1449=7),ROUND($G1449*10/11,0),0)))))</f>
        <v/>
      </c>
      <c r="L1449" s="364" t="str">
        <f>IF($G1449="","",IF($H1449=1,ROUND($G1449/23,0),IF($H1449=3,ROUND($G1449/12,0),IF($H1449=5,$G1449-ROUND($G1449*10/11,0),IF($H1449=8,$G1449,0)))))</f>
        <v/>
      </c>
      <c r="M1449" s="364" t="str">
        <f>IF($G1449="","",IF($H1449=1,ROUND($G1449/23,0),IF($H1449=3,ROUND($G1449/12,0),IF($H1449=6,$G1449,IF($H1449=7,$G1449-ROUND($G1449*10/11,0),0)))))</f>
        <v/>
      </c>
      <c r="N1449" s="364" t="str">
        <f>IF($G1449="","",K1449+L1449+M1449)</f>
        <v/>
      </c>
      <c r="O1449" s="365" t="str">
        <f>IF($G1449="","",IFERROR(VLOOKUP($D1449&amp;"|"&amp;$E1449,科目表!$A$5:$B$200,2,FALSE),"※未登録"))</f>
        <v/>
      </c>
      <c r="P1449" s="359" t="str">
        <f>IF(OR($G1449="",$C1449=""),"",IF($B1449="決算整理",13,MOD(MONTH($C1449)-4,12)+1))</f>
        <v/>
      </c>
      <c r="Q1449" s="366" t="str">
        <f>IF($G1449="","",TRIM(IF(J1449+K1449+L1449+M1449&lt;&gt;$G1449,"按分不一致 ","")&amp;IF(O1449="※未登録","科目未登録 ","")&amp;IF(OR($H1449="",ISERROR(MATCH($H1449,{1,2,3,4,5,6,7,8},0))),"経費区分? ","")&amp;IF($I1449="","状態未設定 ","")&amp;IF(AND(OR($I1449="確認済",$I1449="未確認"),$B1449="月例",OR($C1449="",$C1449&lt;DATE(年度+2018,4,1),$C1449&gt;DATE(年度+2019,3,31))),"年度外の日付 ","")&amp;IF(AND(OR($I1449="確認済",$I1449="未確認"),O1449="対象外"),"対象外の科目 ","")))</f>
        <v/>
      </c>
      <c r="R1449" s="366" t="n"/>
    </row>
    <row r="1450">
      <c r="A1450" s="359" t="n"/>
      <c r="B1450" s="360" t="n"/>
      <c r="C1450" s="361" t="n"/>
      <c r="D1450" s="362" t="n"/>
      <c r="E1450" s="362" t="n"/>
      <c r="F1450" s="362" t="n"/>
      <c r="G1450" s="363" t="n"/>
      <c r="H1450" s="360" t="n"/>
      <c r="I1450" s="360" t="n"/>
      <c r="J1450" s="364" t="str">
        <f>IF($G1450="","",IF($H1450=1,$G1450-ROUND($G1450*10/23,0)-2*ROUND($G1450/23,0),IF($H1450=2,$G1450,0)))</f>
        <v/>
      </c>
      <c r="K1450" s="364" t="str">
        <f>IF($G1450="","",IF($H1450=1,ROUND($G1450*10/23,0),IF($H1450=3,$G1450-2*ROUND($G1450/12,0),IF($H1450=4,$G1450,IF(OR($H1450=5,$H1450=7),ROUND($G1450*10/11,0),0)))))</f>
        <v/>
      </c>
      <c r="L1450" s="364" t="str">
        <f>IF($G1450="","",IF($H1450=1,ROUND($G1450/23,0),IF($H1450=3,ROUND($G1450/12,0),IF($H1450=5,$G1450-ROUND($G1450*10/11,0),IF($H1450=8,$G1450,0)))))</f>
        <v/>
      </c>
      <c r="M1450" s="364" t="str">
        <f>IF($G1450="","",IF($H1450=1,ROUND($G1450/23,0),IF($H1450=3,ROUND($G1450/12,0),IF($H1450=6,$G1450,IF($H1450=7,$G1450-ROUND($G1450*10/11,0),0)))))</f>
        <v/>
      </c>
      <c r="N1450" s="364" t="str">
        <f>IF($G1450="","",K1450+L1450+M1450)</f>
        <v/>
      </c>
      <c r="O1450" s="365" t="str">
        <f>IF($G1450="","",IFERROR(VLOOKUP($D1450&amp;"|"&amp;$E1450,科目表!$A$5:$B$200,2,FALSE),"※未登録"))</f>
        <v/>
      </c>
      <c r="P1450" s="359" t="str">
        <f>IF(OR($G1450="",$C1450=""),"",IF($B1450="決算整理",13,MOD(MONTH($C1450)-4,12)+1))</f>
        <v/>
      </c>
      <c r="Q1450" s="366" t="str">
        <f>IF($G1450="","",TRIM(IF(J1450+K1450+L1450+M1450&lt;&gt;$G1450,"按分不一致 ","")&amp;IF(O1450="※未登録","科目未登録 ","")&amp;IF(OR($H1450="",ISERROR(MATCH($H1450,{1,2,3,4,5,6,7,8},0))),"経費区分? ","")&amp;IF($I1450="","状態未設定 ","")&amp;IF(AND(OR($I1450="確認済",$I1450="未確認"),$B1450="月例",OR($C1450="",$C1450&lt;DATE(年度+2018,4,1),$C1450&gt;DATE(年度+2019,3,31))),"年度外の日付 ","")&amp;IF(AND(OR($I1450="確認済",$I1450="未確認"),O1450="対象外"),"対象外の科目 ","")))</f>
        <v/>
      </c>
      <c r="R1450" s="366" t="n"/>
    </row>
    <row r="1451">
      <c r="A1451" s="359" t="n"/>
      <c r="B1451" s="360" t="n"/>
      <c r="C1451" s="361" t="n"/>
      <c r="D1451" s="362" t="n"/>
      <c r="E1451" s="362" t="n"/>
      <c r="F1451" s="362" t="n"/>
      <c r="G1451" s="363" t="n"/>
      <c r="H1451" s="360" t="n"/>
      <c r="I1451" s="360" t="n"/>
      <c r="J1451" s="364" t="str">
        <f>IF($G1451="","",IF($H1451=1,$G1451-ROUND($G1451*10/23,0)-2*ROUND($G1451/23,0),IF($H1451=2,$G1451,0)))</f>
        <v/>
      </c>
      <c r="K1451" s="364" t="str">
        <f>IF($G1451="","",IF($H1451=1,ROUND($G1451*10/23,0),IF($H1451=3,$G1451-2*ROUND($G1451/12,0),IF($H1451=4,$G1451,IF(OR($H1451=5,$H1451=7),ROUND($G1451*10/11,0),0)))))</f>
        <v/>
      </c>
      <c r="L1451" s="364" t="str">
        <f>IF($G1451="","",IF($H1451=1,ROUND($G1451/23,0),IF($H1451=3,ROUND($G1451/12,0),IF($H1451=5,$G1451-ROUND($G1451*10/11,0),IF($H1451=8,$G1451,0)))))</f>
        <v/>
      </c>
      <c r="M1451" s="364" t="str">
        <f>IF($G1451="","",IF($H1451=1,ROUND($G1451/23,0),IF($H1451=3,ROUND($G1451/12,0),IF($H1451=6,$G1451,IF($H1451=7,$G1451-ROUND($G1451*10/11,0),0)))))</f>
        <v/>
      </c>
      <c r="N1451" s="364" t="str">
        <f>IF($G1451="","",K1451+L1451+M1451)</f>
        <v/>
      </c>
      <c r="O1451" s="365" t="str">
        <f>IF($G1451="","",IFERROR(VLOOKUP($D1451&amp;"|"&amp;$E1451,科目表!$A$5:$B$200,2,FALSE),"※未登録"))</f>
        <v/>
      </c>
      <c r="P1451" s="359" t="str">
        <f>IF(OR($G1451="",$C1451=""),"",IF($B1451="決算整理",13,MOD(MONTH($C1451)-4,12)+1))</f>
        <v/>
      </c>
      <c r="Q1451" s="366" t="str">
        <f>IF($G1451="","",TRIM(IF(J1451+K1451+L1451+M1451&lt;&gt;$G1451,"按分不一致 ","")&amp;IF(O1451="※未登録","科目未登録 ","")&amp;IF(OR($H1451="",ISERROR(MATCH($H1451,{1,2,3,4,5,6,7,8},0))),"経費区分? ","")&amp;IF($I1451="","状態未設定 ","")&amp;IF(AND(OR($I1451="確認済",$I1451="未確認"),$B1451="月例",OR($C1451="",$C1451&lt;DATE(年度+2018,4,1),$C1451&gt;DATE(年度+2019,3,31))),"年度外の日付 ","")&amp;IF(AND(OR($I1451="確認済",$I1451="未確認"),O1451="対象外"),"対象外の科目 ","")))</f>
        <v/>
      </c>
      <c r="R1451" s="366" t="n"/>
    </row>
    <row r="1452">
      <c r="A1452" s="359" t="n"/>
      <c r="B1452" s="360" t="n"/>
      <c r="C1452" s="361" t="n"/>
      <c r="D1452" s="362" t="n"/>
      <c r="E1452" s="362" t="n"/>
      <c r="F1452" s="362" t="n"/>
      <c r="G1452" s="363" t="n"/>
      <c r="H1452" s="360" t="n"/>
      <c r="I1452" s="360" t="n"/>
      <c r="J1452" s="364" t="str">
        <f>IF($G1452="","",IF($H1452=1,$G1452-ROUND($G1452*10/23,0)-2*ROUND($G1452/23,0),IF($H1452=2,$G1452,0)))</f>
        <v/>
      </c>
      <c r="K1452" s="364" t="str">
        <f>IF($G1452="","",IF($H1452=1,ROUND($G1452*10/23,0),IF($H1452=3,$G1452-2*ROUND($G1452/12,0),IF($H1452=4,$G1452,IF(OR($H1452=5,$H1452=7),ROUND($G1452*10/11,0),0)))))</f>
        <v/>
      </c>
      <c r="L1452" s="364" t="str">
        <f>IF($G1452="","",IF($H1452=1,ROUND($G1452/23,0),IF($H1452=3,ROUND($G1452/12,0),IF($H1452=5,$G1452-ROUND($G1452*10/11,0),IF($H1452=8,$G1452,0)))))</f>
        <v/>
      </c>
      <c r="M1452" s="364" t="str">
        <f>IF($G1452="","",IF($H1452=1,ROUND($G1452/23,0),IF($H1452=3,ROUND($G1452/12,0),IF($H1452=6,$G1452,IF($H1452=7,$G1452-ROUND($G1452*10/11,0),0)))))</f>
        <v/>
      </c>
      <c r="N1452" s="364" t="str">
        <f>IF($G1452="","",K1452+L1452+M1452)</f>
        <v/>
      </c>
      <c r="O1452" s="365" t="str">
        <f>IF($G1452="","",IFERROR(VLOOKUP($D1452&amp;"|"&amp;$E1452,科目表!$A$5:$B$200,2,FALSE),"※未登録"))</f>
        <v/>
      </c>
      <c r="P1452" s="359" t="str">
        <f>IF(OR($G1452="",$C1452=""),"",IF($B1452="決算整理",13,MOD(MONTH($C1452)-4,12)+1))</f>
        <v/>
      </c>
      <c r="Q1452" s="366" t="str">
        <f>IF($G1452="","",TRIM(IF(J1452+K1452+L1452+M1452&lt;&gt;$G1452,"按分不一致 ","")&amp;IF(O1452="※未登録","科目未登録 ","")&amp;IF(OR($H1452="",ISERROR(MATCH($H1452,{1,2,3,4,5,6,7,8},0))),"経費区分? ","")&amp;IF($I1452="","状態未設定 ","")&amp;IF(AND(OR($I1452="確認済",$I1452="未確認"),$B1452="月例",OR($C1452="",$C1452&lt;DATE(年度+2018,4,1),$C1452&gt;DATE(年度+2019,3,31))),"年度外の日付 ","")&amp;IF(AND(OR($I1452="確認済",$I1452="未確認"),O1452="対象外"),"対象外の科目 ","")))</f>
        <v/>
      </c>
      <c r="R1452" s="366" t="n"/>
    </row>
    <row r="1453">
      <c r="A1453" s="359" t="n"/>
      <c r="B1453" s="360" t="n"/>
      <c r="C1453" s="361" t="n"/>
      <c r="D1453" s="362" t="n"/>
      <c r="E1453" s="362" t="n"/>
      <c r="F1453" s="362" t="n"/>
      <c r="G1453" s="363" t="n"/>
      <c r="H1453" s="360" t="n"/>
      <c r="I1453" s="360" t="n"/>
      <c r="J1453" s="364" t="str">
        <f>IF($G1453="","",IF($H1453=1,$G1453-ROUND($G1453*10/23,0)-2*ROUND($G1453/23,0),IF($H1453=2,$G1453,0)))</f>
        <v/>
      </c>
      <c r="K1453" s="364" t="str">
        <f>IF($G1453="","",IF($H1453=1,ROUND($G1453*10/23,0),IF($H1453=3,$G1453-2*ROUND($G1453/12,0),IF($H1453=4,$G1453,IF(OR($H1453=5,$H1453=7),ROUND($G1453*10/11,0),0)))))</f>
        <v/>
      </c>
      <c r="L1453" s="364" t="str">
        <f>IF($G1453="","",IF($H1453=1,ROUND($G1453/23,0),IF($H1453=3,ROUND($G1453/12,0),IF($H1453=5,$G1453-ROUND($G1453*10/11,0),IF($H1453=8,$G1453,0)))))</f>
        <v/>
      </c>
      <c r="M1453" s="364" t="str">
        <f>IF($G1453="","",IF($H1453=1,ROUND($G1453/23,0),IF($H1453=3,ROUND($G1453/12,0),IF($H1453=6,$G1453,IF($H1453=7,$G1453-ROUND($G1453*10/11,0),0)))))</f>
        <v/>
      </c>
      <c r="N1453" s="364" t="str">
        <f>IF($G1453="","",K1453+L1453+M1453)</f>
        <v/>
      </c>
      <c r="O1453" s="365" t="str">
        <f>IF($G1453="","",IFERROR(VLOOKUP($D1453&amp;"|"&amp;$E1453,科目表!$A$5:$B$200,2,FALSE),"※未登録"))</f>
        <v/>
      </c>
      <c r="P1453" s="359" t="str">
        <f>IF(OR($G1453="",$C1453=""),"",IF($B1453="決算整理",13,MOD(MONTH($C1453)-4,12)+1))</f>
        <v/>
      </c>
      <c r="Q1453" s="366" t="str">
        <f>IF($G1453="","",TRIM(IF(J1453+K1453+L1453+M1453&lt;&gt;$G1453,"按分不一致 ","")&amp;IF(O1453="※未登録","科目未登録 ","")&amp;IF(OR($H1453="",ISERROR(MATCH($H1453,{1,2,3,4,5,6,7,8},0))),"経費区分? ","")&amp;IF($I1453="","状態未設定 ","")&amp;IF(AND(OR($I1453="確認済",$I1453="未確認"),$B1453="月例",OR($C1453="",$C1453&lt;DATE(年度+2018,4,1),$C1453&gt;DATE(年度+2019,3,31))),"年度外の日付 ","")&amp;IF(AND(OR($I1453="確認済",$I1453="未確認"),O1453="対象外"),"対象外の科目 ","")))</f>
        <v/>
      </c>
      <c r="R1453" s="366" t="n"/>
    </row>
    <row r="1454">
      <c r="A1454" s="359" t="n"/>
      <c r="B1454" s="360" t="n"/>
      <c r="C1454" s="361" t="n"/>
      <c r="D1454" s="362" t="n"/>
      <c r="E1454" s="362" t="n"/>
      <c r="F1454" s="362" t="n"/>
      <c r="G1454" s="363" t="n"/>
      <c r="H1454" s="360" t="n"/>
      <c r="I1454" s="360" t="n"/>
      <c r="J1454" s="364" t="str">
        <f>IF($G1454="","",IF($H1454=1,$G1454-ROUND($G1454*10/23,0)-2*ROUND($G1454/23,0),IF($H1454=2,$G1454,0)))</f>
        <v/>
      </c>
      <c r="K1454" s="364" t="str">
        <f>IF($G1454="","",IF($H1454=1,ROUND($G1454*10/23,0),IF($H1454=3,$G1454-2*ROUND($G1454/12,0),IF($H1454=4,$G1454,IF(OR($H1454=5,$H1454=7),ROUND($G1454*10/11,0),0)))))</f>
        <v/>
      </c>
      <c r="L1454" s="364" t="str">
        <f>IF($G1454="","",IF($H1454=1,ROUND($G1454/23,0),IF($H1454=3,ROUND($G1454/12,0),IF($H1454=5,$G1454-ROUND($G1454*10/11,0),IF($H1454=8,$G1454,0)))))</f>
        <v/>
      </c>
      <c r="M1454" s="364" t="str">
        <f>IF($G1454="","",IF($H1454=1,ROUND($G1454/23,0),IF($H1454=3,ROUND($G1454/12,0),IF($H1454=6,$G1454,IF($H1454=7,$G1454-ROUND($G1454*10/11,0),0)))))</f>
        <v/>
      </c>
      <c r="N1454" s="364" t="str">
        <f>IF($G1454="","",K1454+L1454+M1454)</f>
        <v/>
      </c>
      <c r="O1454" s="365" t="str">
        <f>IF($G1454="","",IFERROR(VLOOKUP($D1454&amp;"|"&amp;$E1454,科目表!$A$5:$B$200,2,FALSE),"※未登録"))</f>
        <v/>
      </c>
      <c r="P1454" s="359" t="str">
        <f>IF(OR($G1454="",$C1454=""),"",IF($B1454="決算整理",13,MOD(MONTH($C1454)-4,12)+1))</f>
        <v/>
      </c>
      <c r="Q1454" s="366" t="str">
        <f>IF($G1454="","",TRIM(IF(J1454+K1454+L1454+M1454&lt;&gt;$G1454,"按分不一致 ","")&amp;IF(O1454="※未登録","科目未登録 ","")&amp;IF(OR($H1454="",ISERROR(MATCH($H1454,{1,2,3,4,5,6,7,8},0))),"経費区分? ","")&amp;IF($I1454="","状態未設定 ","")&amp;IF(AND(OR($I1454="確認済",$I1454="未確認"),$B1454="月例",OR($C1454="",$C1454&lt;DATE(年度+2018,4,1),$C1454&gt;DATE(年度+2019,3,31))),"年度外の日付 ","")&amp;IF(AND(OR($I1454="確認済",$I1454="未確認"),O1454="対象外"),"対象外の科目 ","")))</f>
        <v/>
      </c>
      <c r="R1454" s="366" t="n"/>
    </row>
    <row r="1455">
      <c r="A1455" s="359" t="n"/>
      <c r="B1455" s="360" t="n"/>
      <c r="C1455" s="361" t="n"/>
      <c r="D1455" s="362" t="n"/>
      <c r="E1455" s="362" t="n"/>
      <c r="F1455" s="362" t="n"/>
      <c r="G1455" s="363" t="n"/>
      <c r="H1455" s="360" t="n"/>
      <c r="I1455" s="360" t="n"/>
      <c r="J1455" s="364" t="str">
        <f>IF($G1455="","",IF($H1455=1,$G1455-ROUND($G1455*10/23,0)-2*ROUND($G1455/23,0),IF($H1455=2,$G1455,0)))</f>
        <v/>
      </c>
      <c r="K1455" s="364" t="str">
        <f>IF($G1455="","",IF($H1455=1,ROUND($G1455*10/23,0),IF($H1455=3,$G1455-2*ROUND($G1455/12,0),IF($H1455=4,$G1455,IF(OR($H1455=5,$H1455=7),ROUND($G1455*10/11,0),0)))))</f>
        <v/>
      </c>
      <c r="L1455" s="364" t="str">
        <f>IF($G1455="","",IF($H1455=1,ROUND($G1455/23,0),IF($H1455=3,ROUND($G1455/12,0),IF($H1455=5,$G1455-ROUND($G1455*10/11,0),IF($H1455=8,$G1455,0)))))</f>
        <v/>
      </c>
      <c r="M1455" s="364" t="str">
        <f>IF($G1455="","",IF($H1455=1,ROUND($G1455/23,0),IF($H1455=3,ROUND($G1455/12,0),IF($H1455=6,$G1455,IF($H1455=7,$G1455-ROUND($G1455*10/11,0),0)))))</f>
        <v/>
      </c>
      <c r="N1455" s="364" t="str">
        <f>IF($G1455="","",K1455+L1455+M1455)</f>
        <v/>
      </c>
      <c r="O1455" s="365" t="str">
        <f>IF($G1455="","",IFERROR(VLOOKUP($D1455&amp;"|"&amp;$E1455,科目表!$A$5:$B$200,2,FALSE),"※未登録"))</f>
        <v/>
      </c>
      <c r="P1455" s="359" t="str">
        <f>IF(OR($G1455="",$C1455=""),"",IF($B1455="決算整理",13,MOD(MONTH($C1455)-4,12)+1))</f>
        <v/>
      </c>
      <c r="Q1455" s="366" t="str">
        <f>IF($G1455="","",TRIM(IF(J1455+K1455+L1455+M1455&lt;&gt;$G1455,"按分不一致 ","")&amp;IF(O1455="※未登録","科目未登録 ","")&amp;IF(OR($H1455="",ISERROR(MATCH($H1455,{1,2,3,4,5,6,7,8},0))),"経費区分? ","")&amp;IF($I1455="","状態未設定 ","")&amp;IF(AND(OR($I1455="確認済",$I1455="未確認"),$B1455="月例",OR($C1455="",$C1455&lt;DATE(年度+2018,4,1),$C1455&gt;DATE(年度+2019,3,31))),"年度外の日付 ","")&amp;IF(AND(OR($I1455="確認済",$I1455="未確認"),O1455="対象外"),"対象外の科目 ","")))</f>
        <v/>
      </c>
      <c r="R1455" s="366" t="n"/>
    </row>
    <row r="1456">
      <c r="A1456" s="359" t="n"/>
      <c r="B1456" s="360" t="n"/>
      <c r="C1456" s="361" t="n"/>
      <c r="D1456" s="362" t="n"/>
      <c r="E1456" s="362" t="n"/>
      <c r="F1456" s="362" t="n"/>
      <c r="G1456" s="363" t="n"/>
      <c r="H1456" s="360" t="n"/>
      <c r="I1456" s="360" t="n"/>
      <c r="J1456" s="364" t="str">
        <f>IF($G1456="","",IF($H1456=1,$G1456-ROUND($G1456*10/23,0)-2*ROUND($G1456/23,0),IF($H1456=2,$G1456,0)))</f>
        <v/>
      </c>
      <c r="K1456" s="364" t="str">
        <f>IF($G1456="","",IF($H1456=1,ROUND($G1456*10/23,0),IF($H1456=3,$G1456-2*ROUND($G1456/12,0),IF($H1456=4,$G1456,IF(OR($H1456=5,$H1456=7),ROUND($G1456*10/11,0),0)))))</f>
        <v/>
      </c>
      <c r="L1456" s="364" t="str">
        <f>IF($G1456="","",IF($H1456=1,ROUND($G1456/23,0),IF($H1456=3,ROUND($G1456/12,0),IF($H1456=5,$G1456-ROUND($G1456*10/11,0),IF($H1456=8,$G1456,0)))))</f>
        <v/>
      </c>
      <c r="M1456" s="364" t="str">
        <f>IF($G1456="","",IF($H1456=1,ROUND($G1456/23,0),IF($H1456=3,ROUND($G1456/12,0),IF($H1456=6,$G1456,IF($H1456=7,$G1456-ROUND($G1456*10/11,0),0)))))</f>
        <v/>
      </c>
      <c r="N1456" s="364" t="str">
        <f>IF($G1456="","",K1456+L1456+M1456)</f>
        <v/>
      </c>
      <c r="O1456" s="365" t="str">
        <f>IF($G1456="","",IFERROR(VLOOKUP($D1456&amp;"|"&amp;$E1456,科目表!$A$5:$B$200,2,FALSE),"※未登録"))</f>
        <v/>
      </c>
      <c r="P1456" s="359" t="str">
        <f>IF(OR($G1456="",$C1456=""),"",IF($B1456="決算整理",13,MOD(MONTH($C1456)-4,12)+1))</f>
        <v/>
      </c>
      <c r="Q1456" s="366" t="str">
        <f>IF($G1456="","",TRIM(IF(J1456+K1456+L1456+M1456&lt;&gt;$G1456,"按分不一致 ","")&amp;IF(O1456="※未登録","科目未登録 ","")&amp;IF(OR($H1456="",ISERROR(MATCH($H1456,{1,2,3,4,5,6,7,8},0))),"経費区分? ","")&amp;IF($I1456="","状態未設定 ","")&amp;IF(AND(OR($I1456="確認済",$I1456="未確認"),$B1456="月例",OR($C1456="",$C1456&lt;DATE(年度+2018,4,1),$C1456&gt;DATE(年度+2019,3,31))),"年度外の日付 ","")&amp;IF(AND(OR($I1456="確認済",$I1456="未確認"),O1456="対象外"),"対象外の科目 ","")))</f>
        <v/>
      </c>
      <c r="R1456" s="366" t="n"/>
    </row>
    <row r="1457">
      <c r="A1457" s="359" t="n"/>
      <c r="B1457" s="360" t="n"/>
      <c r="C1457" s="361" t="n"/>
      <c r="D1457" s="362" t="n"/>
      <c r="E1457" s="362" t="n"/>
      <c r="F1457" s="362" t="n"/>
      <c r="G1457" s="363" t="n"/>
      <c r="H1457" s="360" t="n"/>
      <c r="I1457" s="360" t="n"/>
      <c r="J1457" s="364" t="str">
        <f>IF($G1457="","",IF($H1457=1,$G1457-ROUND($G1457*10/23,0)-2*ROUND($G1457/23,0),IF($H1457=2,$G1457,0)))</f>
        <v/>
      </c>
      <c r="K1457" s="364" t="str">
        <f>IF($G1457="","",IF($H1457=1,ROUND($G1457*10/23,0),IF($H1457=3,$G1457-2*ROUND($G1457/12,0),IF($H1457=4,$G1457,IF(OR($H1457=5,$H1457=7),ROUND($G1457*10/11,0),0)))))</f>
        <v/>
      </c>
      <c r="L1457" s="364" t="str">
        <f>IF($G1457="","",IF($H1457=1,ROUND($G1457/23,0),IF($H1457=3,ROUND($G1457/12,0),IF($H1457=5,$G1457-ROUND($G1457*10/11,0),IF($H1457=8,$G1457,0)))))</f>
        <v/>
      </c>
      <c r="M1457" s="364" t="str">
        <f>IF($G1457="","",IF($H1457=1,ROUND($G1457/23,0),IF($H1457=3,ROUND($G1457/12,0),IF($H1457=6,$G1457,IF($H1457=7,$G1457-ROUND($G1457*10/11,0),0)))))</f>
        <v/>
      </c>
      <c r="N1457" s="364" t="str">
        <f>IF($G1457="","",K1457+L1457+M1457)</f>
        <v/>
      </c>
      <c r="O1457" s="365" t="str">
        <f>IF($G1457="","",IFERROR(VLOOKUP($D1457&amp;"|"&amp;$E1457,科目表!$A$5:$B$200,2,FALSE),"※未登録"))</f>
        <v/>
      </c>
      <c r="P1457" s="359" t="str">
        <f>IF(OR($G1457="",$C1457=""),"",IF($B1457="決算整理",13,MOD(MONTH($C1457)-4,12)+1))</f>
        <v/>
      </c>
      <c r="Q1457" s="366" t="str">
        <f>IF($G1457="","",TRIM(IF(J1457+K1457+L1457+M1457&lt;&gt;$G1457,"按分不一致 ","")&amp;IF(O1457="※未登録","科目未登録 ","")&amp;IF(OR($H1457="",ISERROR(MATCH($H1457,{1,2,3,4,5,6,7,8},0))),"経費区分? ","")&amp;IF($I1457="","状態未設定 ","")&amp;IF(AND(OR($I1457="確認済",$I1457="未確認"),$B1457="月例",OR($C1457="",$C1457&lt;DATE(年度+2018,4,1),$C1457&gt;DATE(年度+2019,3,31))),"年度外の日付 ","")&amp;IF(AND(OR($I1457="確認済",$I1457="未確認"),O1457="対象外"),"対象外の科目 ","")))</f>
        <v/>
      </c>
      <c r="R1457" s="366" t="n"/>
    </row>
    <row r="1458">
      <c r="A1458" s="359" t="n"/>
      <c r="B1458" s="360" t="n"/>
      <c r="C1458" s="361" t="n"/>
      <c r="D1458" s="362" t="n"/>
      <c r="E1458" s="362" t="n"/>
      <c r="F1458" s="362" t="n"/>
      <c r="G1458" s="363" t="n"/>
      <c r="H1458" s="360" t="n"/>
      <c r="I1458" s="360" t="n"/>
      <c r="J1458" s="364" t="str">
        <f>IF($G1458="","",IF($H1458=1,$G1458-ROUND($G1458*10/23,0)-2*ROUND($G1458/23,0),IF($H1458=2,$G1458,0)))</f>
        <v/>
      </c>
      <c r="K1458" s="364" t="str">
        <f>IF($G1458="","",IF($H1458=1,ROUND($G1458*10/23,0),IF($H1458=3,$G1458-2*ROUND($G1458/12,0),IF($H1458=4,$G1458,IF(OR($H1458=5,$H1458=7),ROUND($G1458*10/11,0),0)))))</f>
        <v/>
      </c>
      <c r="L1458" s="364" t="str">
        <f>IF($G1458="","",IF($H1458=1,ROUND($G1458/23,0),IF($H1458=3,ROUND($G1458/12,0),IF($H1458=5,$G1458-ROUND($G1458*10/11,0),IF($H1458=8,$G1458,0)))))</f>
        <v/>
      </c>
      <c r="M1458" s="364" t="str">
        <f>IF($G1458="","",IF($H1458=1,ROUND($G1458/23,0),IF($H1458=3,ROUND($G1458/12,0),IF($H1458=6,$G1458,IF($H1458=7,$G1458-ROUND($G1458*10/11,0),0)))))</f>
        <v/>
      </c>
      <c r="N1458" s="364" t="str">
        <f>IF($G1458="","",K1458+L1458+M1458)</f>
        <v/>
      </c>
      <c r="O1458" s="365" t="str">
        <f>IF($G1458="","",IFERROR(VLOOKUP($D1458&amp;"|"&amp;$E1458,科目表!$A$5:$B$200,2,FALSE),"※未登録"))</f>
        <v/>
      </c>
      <c r="P1458" s="359" t="str">
        <f>IF(OR($G1458="",$C1458=""),"",IF($B1458="決算整理",13,MOD(MONTH($C1458)-4,12)+1))</f>
        <v/>
      </c>
      <c r="Q1458" s="366" t="str">
        <f>IF($G1458="","",TRIM(IF(J1458+K1458+L1458+M1458&lt;&gt;$G1458,"按分不一致 ","")&amp;IF(O1458="※未登録","科目未登録 ","")&amp;IF(OR($H1458="",ISERROR(MATCH($H1458,{1,2,3,4,5,6,7,8},0))),"経費区分? ","")&amp;IF($I1458="","状態未設定 ","")&amp;IF(AND(OR($I1458="確認済",$I1458="未確認"),$B1458="月例",OR($C1458="",$C1458&lt;DATE(年度+2018,4,1),$C1458&gt;DATE(年度+2019,3,31))),"年度外の日付 ","")&amp;IF(AND(OR($I1458="確認済",$I1458="未確認"),O1458="対象外"),"対象外の科目 ","")))</f>
        <v/>
      </c>
      <c r="R1458" s="366" t="n"/>
    </row>
    <row r="1459">
      <c r="A1459" s="359" t="n"/>
      <c r="B1459" s="360" t="n"/>
      <c r="C1459" s="361" t="n"/>
      <c r="D1459" s="362" t="n"/>
      <c r="E1459" s="362" t="n"/>
      <c r="F1459" s="362" t="n"/>
      <c r="G1459" s="363" t="n"/>
      <c r="H1459" s="360" t="n"/>
      <c r="I1459" s="360" t="n"/>
      <c r="J1459" s="364" t="str">
        <f>IF($G1459="","",IF($H1459=1,$G1459-ROUND($G1459*10/23,0)-2*ROUND($G1459/23,0),IF($H1459=2,$G1459,0)))</f>
        <v/>
      </c>
      <c r="K1459" s="364" t="str">
        <f>IF($G1459="","",IF($H1459=1,ROUND($G1459*10/23,0),IF($H1459=3,$G1459-2*ROUND($G1459/12,0),IF($H1459=4,$G1459,IF(OR($H1459=5,$H1459=7),ROUND($G1459*10/11,0),0)))))</f>
        <v/>
      </c>
      <c r="L1459" s="364" t="str">
        <f>IF($G1459="","",IF($H1459=1,ROUND($G1459/23,0),IF($H1459=3,ROUND($G1459/12,0),IF($H1459=5,$G1459-ROUND($G1459*10/11,0),IF($H1459=8,$G1459,0)))))</f>
        <v/>
      </c>
      <c r="M1459" s="364" t="str">
        <f>IF($G1459="","",IF($H1459=1,ROUND($G1459/23,0),IF($H1459=3,ROUND($G1459/12,0),IF($H1459=6,$G1459,IF($H1459=7,$G1459-ROUND($G1459*10/11,0),0)))))</f>
        <v/>
      </c>
      <c r="N1459" s="364" t="str">
        <f>IF($G1459="","",K1459+L1459+M1459)</f>
        <v/>
      </c>
      <c r="O1459" s="365" t="str">
        <f>IF($G1459="","",IFERROR(VLOOKUP($D1459&amp;"|"&amp;$E1459,科目表!$A$5:$B$200,2,FALSE),"※未登録"))</f>
        <v/>
      </c>
      <c r="P1459" s="359" t="str">
        <f>IF(OR($G1459="",$C1459=""),"",IF($B1459="決算整理",13,MOD(MONTH($C1459)-4,12)+1))</f>
        <v/>
      </c>
      <c r="Q1459" s="366" t="str">
        <f>IF($G1459="","",TRIM(IF(J1459+K1459+L1459+M1459&lt;&gt;$G1459,"按分不一致 ","")&amp;IF(O1459="※未登録","科目未登録 ","")&amp;IF(OR($H1459="",ISERROR(MATCH($H1459,{1,2,3,4,5,6,7,8},0))),"経費区分? ","")&amp;IF($I1459="","状態未設定 ","")&amp;IF(AND(OR($I1459="確認済",$I1459="未確認"),$B1459="月例",OR($C1459="",$C1459&lt;DATE(年度+2018,4,1),$C1459&gt;DATE(年度+2019,3,31))),"年度外の日付 ","")&amp;IF(AND(OR($I1459="確認済",$I1459="未確認"),O1459="対象外"),"対象外の科目 ","")))</f>
        <v/>
      </c>
      <c r="R1459" s="366" t="n"/>
    </row>
    <row r="1460">
      <c r="A1460" s="359" t="n"/>
      <c r="B1460" s="360" t="n"/>
      <c r="C1460" s="361" t="n"/>
      <c r="D1460" s="362" t="n"/>
      <c r="E1460" s="362" t="n"/>
      <c r="F1460" s="362" t="n"/>
      <c r="G1460" s="363" t="n"/>
      <c r="H1460" s="360" t="n"/>
      <c r="I1460" s="360" t="n"/>
      <c r="J1460" s="364" t="str">
        <f>IF($G1460="","",IF($H1460=1,$G1460-ROUND($G1460*10/23,0)-2*ROUND($G1460/23,0),IF($H1460=2,$G1460,0)))</f>
        <v/>
      </c>
      <c r="K1460" s="364" t="str">
        <f>IF($G1460="","",IF($H1460=1,ROUND($G1460*10/23,0),IF($H1460=3,$G1460-2*ROUND($G1460/12,0),IF($H1460=4,$G1460,IF(OR($H1460=5,$H1460=7),ROUND($G1460*10/11,0),0)))))</f>
        <v/>
      </c>
      <c r="L1460" s="364" t="str">
        <f>IF($G1460="","",IF($H1460=1,ROUND($G1460/23,0),IF($H1460=3,ROUND($G1460/12,0),IF($H1460=5,$G1460-ROUND($G1460*10/11,0),IF($H1460=8,$G1460,0)))))</f>
        <v/>
      </c>
      <c r="M1460" s="364" t="str">
        <f>IF($G1460="","",IF($H1460=1,ROUND($G1460/23,0),IF($H1460=3,ROUND($G1460/12,0),IF($H1460=6,$G1460,IF($H1460=7,$G1460-ROUND($G1460*10/11,0),0)))))</f>
        <v/>
      </c>
      <c r="N1460" s="364" t="str">
        <f>IF($G1460="","",K1460+L1460+M1460)</f>
        <v/>
      </c>
      <c r="O1460" s="365" t="str">
        <f>IF($G1460="","",IFERROR(VLOOKUP($D1460&amp;"|"&amp;$E1460,科目表!$A$5:$B$200,2,FALSE),"※未登録"))</f>
        <v/>
      </c>
      <c r="P1460" s="359" t="str">
        <f>IF(OR($G1460="",$C1460=""),"",IF($B1460="決算整理",13,MOD(MONTH($C1460)-4,12)+1))</f>
        <v/>
      </c>
      <c r="Q1460" s="366" t="str">
        <f>IF($G1460="","",TRIM(IF(J1460+K1460+L1460+M1460&lt;&gt;$G1460,"按分不一致 ","")&amp;IF(O1460="※未登録","科目未登録 ","")&amp;IF(OR($H1460="",ISERROR(MATCH($H1460,{1,2,3,4,5,6,7,8},0))),"経費区分? ","")&amp;IF($I1460="","状態未設定 ","")&amp;IF(AND(OR($I1460="確認済",$I1460="未確認"),$B1460="月例",OR($C1460="",$C1460&lt;DATE(年度+2018,4,1),$C1460&gt;DATE(年度+2019,3,31))),"年度外の日付 ","")&amp;IF(AND(OR($I1460="確認済",$I1460="未確認"),O1460="対象外"),"対象外の科目 ","")))</f>
        <v/>
      </c>
      <c r="R1460" s="366" t="n"/>
    </row>
    <row r="1461">
      <c r="A1461" s="359" t="n"/>
      <c r="B1461" s="360" t="n"/>
      <c r="C1461" s="361" t="n"/>
      <c r="D1461" s="362" t="n"/>
      <c r="E1461" s="362" t="n"/>
      <c r="F1461" s="362" t="n"/>
      <c r="G1461" s="363" t="n"/>
      <c r="H1461" s="360" t="n"/>
      <c r="I1461" s="360" t="n"/>
      <c r="J1461" s="364" t="str">
        <f>IF($G1461="","",IF($H1461=1,$G1461-ROUND($G1461*10/23,0)-2*ROUND($G1461/23,0),IF($H1461=2,$G1461,0)))</f>
        <v/>
      </c>
      <c r="K1461" s="364" t="str">
        <f>IF($G1461="","",IF($H1461=1,ROUND($G1461*10/23,0),IF($H1461=3,$G1461-2*ROUND($G1461/12,0),IF($H1461=4,$G1461,IF(OR($H1461=5,$H1461=7),ROUND($G1461*10/11,0),0)))))</f>
        <v/>
      </c>
      <c r="L1461" s="364" t="str">
        <f>IF($G1461="","",IF($H1461=1,ROUND($G1461/23,0),IF($H1461=3,ROUND($G1461/12,0),IF($H1461=5,$G1461-ROUND($G1461*10/11,0),IF($H1461=8,$G1461,0)))))</f>
        <v/>
      </c>
      <c r="M1461" s="364" t="str">
        <f>IF($G1461="","",IF($H1461=1,ROUND($G1461/23,0),IF($H1461=3,ROUND($G1461/12,0),IF($H1461=6,$G1461,IF($H1461=7,$G1461-ROUND($G1461*10/11,0),0)))))</f>
        <v/>
      </c>
      <c r="N1461" s="364" t="str">
        <f>IF($G1461="","",K1461+L1461+M1461)</f>
        <v/>
      </c>
      <c r="O1461" s="365" t="str">
        <f>IF($G1461="","",IFERROR(VLOOKUP($D1461&amp;"|"&amp;$E1461,科目表!$A$5:$B$200,2,FALSE),"※未登録"))</f>
        <v/>
      </c>
      <c r="P1461" s="359" t="str">
        <f>IF(OR($G1461="",$C1461=""),"",IF($B1461="決算整理",13,MOD(MONTH($C1461)-4,12)+1))</f>
        <v/>
      </c>
      <c r="Q1461" s="366" t="str">
        <f>IF($G1461="","",TRIM(IF(J1461+K1461+L1461+M1461&lt;&gt;$G1461,"按分不一致 ","")&amp;IF(O1461="※未登録","科目未登録 ","")&amp;IF(OR($H1461="",ISERROR(MATCH($H1461,{1,2,3,4,5,6,7,8},0))),"経費区分? ","")&amp;IF($I1461="","状態未設定 ","")&amp;IF(AND(OR($I1461="確認済",$I1461="未確認"),$B1461="月例",OR($C1461="",$C1461&lt;DATE(年度+2018,4,1),$C1461&gt;DATE(年度+2019,3,31))),"年度外の日付 ","")&amp;IF(AND(OR($I1461="確認済",$I1461="未確認"),O1461="対象外"),"対象外の科目 ","")))</f>
        <v/>
      </c>
      <c r="R1461" s="366" t="n"/>
    </row>
    <row r="1462">
      <c r="A1462" s="359" t="n"/>
      <c r="B1462" s="360" t="n"/>
      <c r="C1462" s="361" t="n"/>
      <c r="D1462" s="362" t="n"/>
      <c r="E1462" s="362" t="n"/>
      <c r="F1462" s="362" t="n"/>
      <c r="G1462" s="363" t="n"/>
      <c r="H1462" s="360" t="n"/>
      <c r="I1462" s="360" t="n"/>
      <c r="J1462" s="364" t="str">
        <f>IF($G1462="","",IF($H1462=1,$G1462-ROUND($G1462*10/23,0)-2*ROUND($G1462/23,0),IF($H1462=2,$G1462,0)))</f>
        <v/>
      </c>
      <c r="K1462" s="364" t="str">
        <f>IF($G1462="","",IF($H1462=1,ROUND($G1462*10/23,0),IF($H1462=3,$G1462-2*ROUND($G1462/12,0),IF($H1462=4,$G1462,IF(OR($H1462=5,$H1462=7),ROUND($G1462*10/11,0),0)))))</f>
        <v/>
      </c>
      <c r="L1462" s="364" t="str">
        <f>IF($G1462="","",IF($H1462=1,ROUND($G1462/23,0),IF($H1462=3,ROUND($G1462/12,0),IF($H1462=5,$G1462-ROUND($G1462*10/11,0),IF($H1462=8,$G1462,0)))))</f>
        <v/>
      </c>
      <c r="M1462" s="364" t="str">
        <f>IF($G1462="","",IF($H1462=1,ROUND($G1462/23,0),IF($H1462=3,ROUND($G1462/12,0),IF($H1462=6,$G1462,IF($H1462=7,$G1462-ROUND($G1462*10/11,0),0)))))</f>
        <v/>
      </c>
      <c r="N1462" s="364" t="str">
        <f>IF($G1462="","",K1462+L1462+M1462)</f>
        <v/>
      </c>
      <c r="O1462" s="365" t="str">
        <f>IF($G1462="","",IFERROR(VLOOKUP($D1462&amp;"|"&amp;$E1462,科目表!$A$5:$B$200,2,FALSE),"※未登録"))</f>
        <v/>
      </c>
      <c r="P1462" s="359" t="str">
        <f>IF(OR($G1462="",$C1462=""),"",IF($B1462="決算整理",13,MOD(MONTH($C1462)-4,12)+1))</f>
        <v/>
      </c>
      <c r="Q1462" s="366" t="str">
        <f>IF($G1462="","",TRIM(IF(J1462+K1462+L1462+M1462&lt;&gt;$G1462,"按分不一致 ","")&amp;IF(O1462="※未登録","科目未登録 ","")&amp;IF(OR($H1462="",ISERROR(MATCH($H1462,{1,2,3,4,5,6,7,8},0))),"経費区分? ","")&amp;IF($I1462="","状態未設定 ","")&amp;IF(AND(OR($I1462="確認済",$I1462="未確認"),$B1462="月例",OR($C1462="",$C1462&lt;DATE(年度+2018,4,1),$C1462&gt;DATE(年度+2019,3,31))),"年度外の日付 ","")&amp;IF(AND(OR($I1462="確認済",$I1462="未確認"),O1462="対象外"),"対象外の科目 ","")))</f>
        <v/>
      </c>
      <c r="R1462" s="366" t="n"/>
    </row>
    <row r="1463">
      <c r="A1463" s="359" t="n"/>
      <c r="B1463" s="360" t="n"/>
      <c r="C1463" s="361" t="n"/>
      <c r="D1463" s="362" t="n"/>
      <c r="E1463" s="362" t="n"/>
      <c r="F1463" s="362" t="n"/>
      <c r="G1463" s="363" t="n"/>
      <c r="H1463" s="360" t="n"/>
      <c r="I1463" s="360" t="n"/>
      <c r="J1463" s="364" t="str">
        <f>IF($G1463="","",IF($H1463=1,$G1463-ROUND($G1463*10/23,0)-2*ROUND($G1463/23,0),IF($H1463=2,$G1463,0)))</f>
        <v/>
      </c>
      <c r="K1463" s="364" t="str">
        <f>IF($G1463="","",IF($H1463=1,ROUND($G1463*10/23,0),IF($H1463=3,$G1463-2*ROUND($G1463/12,0),IF($H1463=4,$G1463,IF(OR($H1463=5,$H1463=7),ROUND($G1463*10/11,0),0)))))</f>
        <v/>
      </c>
      <c r="L1463" s="364" t="str">
        <f>IF($G1463="","",IF($H1463=1,ROUND($G1463/23,0),IF($H1463=3,ROUND($G1463/12,0),IF($H1463=5,$G1463-ROUND($G1463*10/11,0),IF($H1463=8,$G1463,0)))))</f>
        <v/>
      </c>
      <c r="M1463" s="364" t="str">
        <f>IF($G1463="","",IF($H1463=1,ROUND($G1463/23,0),IF($H1463=3,ROUND($G1463/12,0),IF($H1463=6,$G1463,IF($H1463=7,$G1463-ROUND($G1463*10/11,0),0)))))</f>
        <v/>
      </c>
      <c r="N1463" s="364" t="str">
        <f>IF($G1463="","",K1463+L1463+M1463)</f>
        <v/>
      </c>
      <c r="O1463" s="365" t="str">
        <f>IF($G1463="","",IFERROR(VLOOKUP($D1463&amp;"|"&amp;$E1463,科目表!$A$5:$B$200,2,FALSE),"※未登録"))</f>
        <v/>
      </c>
      <c r="P1463" s="359" t="str">
        <f>IF(OR($G1463="",$C1463=""),"",IF($B1463="決算整理",13,MOD(MONTH($C1463)-4,12)+1))</f>
        <v/>
      </c>
      <c r="Q1463" s="366" t="str">
        <f>IF($G1463="","",TRIM(IF(J1463+K1463+L1463+M1463&lt;&gt;$G1463,"按分不一致 ","")&amp;IF(O1463="※未登録","科目未登録 ","")&amp;IF(OR($H1463="",ISERROR(MATCH($H1463,{1,2,3,4,5,6,7,8},0))),"経費区分? ","")&amp;IF($I1463="","状態未設定 ","")&amp;IF(AND(OR($I1463="確認済",$I1463="未確認"),$B1463="月例",OR($C1463="",$C1463&lt;DATE(年度+2018,4,1),$C1463&gt;DATE(年度+2019,3,31))),"年度外の日付 ","")&amp;IF(AND(OR($I1463="確認済",$I1463="未確認"),O1463="対象外"),"対象外の科目 ","")))</f>
        <v/>
      </c>
      <c r="R1463" s="366" t="n"/>
    </row>
    <row r="1464">
      <c r="A1464" s="359" t="n"/>
      <c r="B1464" s="360" t="n"/>
      <c r="C1464" s="361" t="n"/>
      <c r="D1464" s="362" t="n"/>
      <c r="E1464" s="362" t="n"/>
      <c r="F1464" s="362" t="n"/>
      <c r="G1464" s="363" t="n"/>
      <c r="H1464" s="360" t="n"/>
      <c r="I1464" s="360" t="n"/>
      <c r="J1464" s="364" t="str">
        <f>IF($G1464="","",IF($H1464=1,$G1464-ROUND($G1464*10/23,0)-2*ROUND($G1464/23,0),IF($H1464=2,$G1464,0)))</f>
        <v/>
      </c>
      <c r="K1464" s="364" t="str">
        <f>IF($G1464="","",IF($H1464=1,ROUND($G1464*10/23,0),IF($H1464=3,$G1464-2*ROUND($G1464/12,0),IF($H1464=4,$G1464,IF(OR($H1464=5,$H1464=7),ROUND($G1464*10/11,0),0)))))</f>
        <v/>
      </c>
      <c r="L1464" s="364" t="str">
        <f>IF($G1464="","",IF($H1464=1,ROUND($G1464/23,0),IF($H1464=3,ROUND($G1464/12,0),IF($H1464=5,$G1464-ROUND($G1464*10/11,0),IF($H1464=8,$G1464,0)))))</f>
        <v/>
      </c>
      <c r="M1464" s="364" t="str">
        <f>IF($G1464="","",IF($H1464=1,ROUND($G1464/23,0),IF($H1464=3,ROUND($G1464/12,0),IF($H1464=6,$G1464,IF($H1464=7,$G1464-ROUND($G1464*10/11,0),0)))))</f>
        <v/>
      </c>
      <c r="N1464" s="364" t="str">
        <f>IF($G1464="","",K1464+L1464+M1464)</f>
        <v/>
      </c>
      <c r="O1464" s="365" t="str">
        <f>IF($G1464="","",IFERROR(VLOOKUP($D1464&amp;"|"&amp;$E1464,科目表!$A$5:$B$200,2,FALSE),"※未登録"))</f>
        <v/>
      </c>
      <c r="P1464" s="359" t="str">
        <f>IF(OR($G1464="",$C1464=""),"",IF($B1464="決算整理",13,MOD(MONTH($C1464)-4,12)+1))</f>
        <v/>
      </c>
      <c r="Q1464" s="366" t="str">
        <f>IF($G1464="","",TRIM(IF(J1464+K1464+L1464+M1464&lt;&gt;$G1464,"按分不一致 ","")&amp;IF(O1464="※未登録","科目未登録 ","")&amp;IF(OR($H1464="",ISERROR(MATCH($H1464,{1,2,3,4,5,6,7,8},0))),"経費区分? ","")&amp;IF($I1464="","状態未設定 ","")&amp;IF(AND(OR($I1464="確認済",$I1464="未確認"),$B1464="月例",OR($C1464="",$C1464&lt;DATE(年度+2018,4,1),$C1464&gt;DATE(年度+2019,3,31))),"年度外の日付 ","")&amp;IF(AND(OR($I1464="確認済",$I1464="未確認"),O1464="対象外"),"対象外の科目 ","")))</f>
        <v/>
      </c>
      <c r="R1464" s="366" t="n"/>
    </row>
    <row r="1465">
      <c r="A1465" s="359" t="n"/>
      <c r="B1465" s="360" t="n"/>
      <c r="C1465" s="361" t="n"/>
      <c r="D1465" s="362" t="n"/>
      <c r="E1465" s="362" t="n"/>
      <c r="F1465" s="362" t="n"/>
      <c r="G1465" s="363" t="n"/>
      <c r="H1465" s="360" t="n"/>
      <c r="I1465" s="360" t="n"/>
      <c r="J1465" s="364" t="str">
        <f>IF($G1465="","",IF($H1465=1,$G1465-ROUND($G1465*10/23,0)-2*ROUND($G1465/23,0),IF($H1465=2,$G1465,0)))</f>
        <v/>
      </c>
      <c r="K1465" s="364" t="str">
        <f>IF($G1465="","",IF($H1465=1,ROUND($G1465*10/23,0),IF($H1465=3,$G1465-2*ROUND($G1465/12,0),IF($H1465=4,$G1465,IF(OR($H1465=5,$H1465=7),ROUND($G1465*10/11,0),0)))))</f>
        <v/>
      </c>
      <c r="L1465" s="364" t="str">
        <f>IF($G1465="","",IF($H1465=1,ROUND($G1465/23,0),IF($H1465=3,ROUND($G1465/12,0),IF($H1465=5,$G1465-ROUND($G1465*10/11,0),IF($H1465=8,$G1465,0)))))</f>
        <v/>
      </c>
      <c r="M1465" s="364" t="str">
        <f>IF($G1465="","",IF($H1465=1,ROUND($G1465/23,0),IF($H1465=3,ROUND($G1465/12,0),IF($H1465=6,$G1465,IF($H1465=7,$G1465-ROUND($G1465*10/11,0),0)))))</f>
        <v/>
      </c>
      <c r="N1465" s="364" t="str">
        <f>IF($G1465="","",K1465+L1465+M1465)</f>
        <v/>
      </c>
      <c r="O1465" s="365" t="str">
        <f>IF($G1465="","",IFERROR(VLOOKUP($D1465&amp;"|"&amp;$E1465,科目表!$A$5:$B$200,2,FALSE),"※未登録"))</f>
        <v/>
      </c>
      <c r="P1465" s="359" t="str">
        <f>IF(OR($G1465="",$C1465=""),"",IF($B1465="決算整理",13,MOD(MONTH($C1465)-4,12)+1))</f>
        <v/>
      </c>
      <c r="Q1465" s="366" t="str">
        <f>IF($G1465="","",TRIM(IF(J1465+K1465+L1465+M1465&lt;&gt;$G1465,"按分不一致 ","")&amp;IF(O1465="※未登録","科目未登録 ","")&amp;IF(OR($H1465="",ISERROR(MATCH($H1465,{1,2,3,4,5,6,7,8},0))),"経費区分? ","")&amp;IF($I1465="","状態未設定 ","")&amp;IF(AND(OR($I1465="確認済",$I1465="未確認"),$B1465="月例",OR($C1465="",$C1465&lt;DATE(年度+2018,4,1),$C1465&gt;DATE(年度+2019,3,31))),"年度外の日付 ","")&amp;IF(AND(OR($I1465="確認済",$I1465="未確認"),O1465="対象外"),"対象外の科目 ","")))</f>
        <v/>
      </c>
      <c r="R1465" s="366" t="n"/>
    </row>
    <row r="1466">
      <c r="A1466" s="359" t="n"/>
      <c r="B1466" s="360" t="n"/>
      <c r="C1466" s="361" t="n"/>
      <c r="D1466" s="362" t="n"/>
      <c r="E1466" s="362" t="n"/>
      <c r="F1466" s="362" t="n"/>
      <c r="G1466" s="363" t="n"/>
      <c r="H1466" s="360" t="n"/>
      <c r="I1466" s="360" t="n"/>
      <c r="J1466" s="364" t="str">
        <f>IF($G1466="","",IF($H1466=1,$G1466-ROUND($G1466*10/23,0)-2*ROUND($G1466/23,0),IF($H1466=2,$G1466,0)))</f>
        <v/>
      </c>
      <c r="K1466" s="364" t="str">
        <f>IF($G1466="","",IF($H1466=1,ROUND($G1466*10/23,0),IF($H1466=3,$G1466-2*ROUND($G1466/12,0),IF($H1466=4,$G1466,IF(OR($H1466=5,$H1466=7),ROUND($G1466*10/11,0),0)))))</f>
        <v/>
      </c>
      <c r="L1466" s="364" t="str">
        <f>IF($G1466="","",IF($H1466=1,ROUND($G1466/23,0),IF($H1466=3,ROUND($G1466/12,0),IF($H1466=5,$G1466-ROUND($G1466*10/11,0),IF($H1466=8,$G1466,0)))))</f>
        <v/>
      </c>
      <c r="M1466" s="364" t="str">
        <f>IF($G1466="","",IF($H1466=1,ROUND($G1466/23,0),IF($H1466=3,ROUND($G1466/12,0),IF($H1466=6,$G1466,IF($H1466=7,$G1466-ROUND($G1466*10/11,0),0)))))</f>
        <v/>
      </c>
      <c r="N1466" s="364" t="str">
        <f>IF($G1466="","",K1466+L1466+M1466)</f>
        <v/>
      </c>
      <c r="O1466" s="365" t="str">
        <f>IF($G1466="","",IFERROR(VLOOKUP($D1466&amp;"|"&amp;$E1466,科目表!$A$5:$B$200,2,FALSE),"※未登録"))</f>
        <v/>
      </c>
      <c r="P1466" s="359" t="str">
        <f>IF(OR($G1466="",$C1466=""),"",IF($B1466="決算整理",13,MOD(MONTH($C1466)-4,12)+1))</f>
        <v/>
      </c>
      <c r="Q1466" s="366" t="str">
        <f>IF($G1466="","",TRIM(IF(J1466+K1466+L1466+M1466&lt;&gt;$G1466,"按分不一致 ","")&amp;IF(O1466="※未登録","科目未登録 ","")&amp;IF(OR($H1466="",ISERROR(MATCH($H1466,{1,2,3,4,5,6,7,8},0))),"経費区分? ","")&amp;IF($I1466="","状態未設定 ","")&amp;IF(AND(OR($I1466="確認済",$I1466="未確認"),$B1466="月例",OR($C1466="",$C1466&lt;DATE(年度+2018,4,1),$C1466&gt;DATE(年度+2019,3,31))),"年度外の日付 ","")&amp;IF(AND(OR($I1466="確認済",$I1466="未確認"),O1466="対象外"),"対象外の科目 ","")))</f>
        <v/>
      </c>
      <c r="R1466" s="366" t="n"/>
    </row>
    <row r="1467">
      <c r="A1467" s="359" t="n"/>
      <c r="B1467" s="360" t="n"/>
      <c r="C1467" s="361" t="n"/>
      <c r="D1467" s="362" t="n"/>
      <c r="E1467" s="362" t="n"/>
      <c r="F1467" s="362" t="n"/>
      <c r="G1467" s="363" t="n"/>
      <c r="H1467" s="360" t="n"/>
      <c r="I1467" s="360" t="n"/>
      <c r="J1467" s="364" t="str">
        <f>IF($G1467="","",IF($H1467=1,$G1467-ROUND($G1467*10/23,0)-2*ROUND($G1467/23,0),IF($H1467=2,$G1467,0)))</f>
        <v/>
      </c>
      <c r="K1467" s="364" t="str">
        <f>IF($G1467="","",IF($H1467=1,ROUND($G1467*10/23,0),IF($H1467=3,$G1467-2*ROUND($G1467/12,0),IF($H1467=4,$G1467,IF(OR($H1467=5,$H1467=7),ROUND($G1467*10/11,0),0)))))</f>
        <v/>
      </c>
      <c r="L1467" s="364" t="str">
        <f>IF($G1467="","",IF($H1467=1,ROUND($G1467/23,0),IF($H1467=3,ROUND($G1467/12,0),IF($H1467=5,$G1467-ROUND($G1467*10/11,0),IF($H1467=8,$G1467,0)))))</f>
        <v/>
      </c>
      <c r="M1467" s="364" t="str">
        <f>IF($G1467="","",IF($H1467=1,ROUND($G1467/23,0),IF($H1467=3,ROUND($G1467/12,0),IF($H1467=6,$G1467,IF($H1467=7,$G1467-ROUND($G1467*10/11,0),0)))))</f>
        <v/>
      </c>
      <c r="N1467" s="364" t="str">
        <f>IF($G1467="","",K1467+L1467+M1467)</f>
        <v/>
      </c>
      <c r="O1467" s="365" t="str">
        <f>IF($G1467="","",IFERROR(VLOOKUP($D1467&amp;"|"&amp;$E1467,科目表!$A$5:$B$200,2,FALSE),"※未登録"))</f>
        <v/>
      </c>
      <c r="P1467" s="359" t="str">
        <f>IF(OR($G1467="",$C1467=""),"",IF($B1467="決算整理",13,MOD(MONTH($C1467)-4,12)+1))</f>
        <v/>
      </c>
      <c r="Q1467" s="366" t="str">
        <f>IF($G1467="","",TRIM(IF(J1467+K1467+L1467+M1467&lt;&gt;$G1467,"按分不一致 ","")&amp;IF(O1467="※未登録","科目未登録 ","")&amp;IF(OR($H1467="",ISERROR(MATCH($H1467,{1,2,3,4,5,6,7,8},0))),"経費区分? ","")&amp;IF($I1467="","状態未設定 ","")&amp;IF(AND(OR($I1467="確認済",$I1467="未確認"),$B1467="月例",OR($C1467="",$C1467&lt;DATE(年度+2018,4,1),$C1467&gt;DATE(年度+2019,3,31))),"年度外の日付 ","")&amp;IF(AND(OR($I1467="確認済",$I1467="未確認"),O1467="対象外"),"対象外の科目 ","")))</f>
        <v/>
      </c>
      <c r="R1467" s="366" t="n"/>
    </row>
    <row r="1468">
      <c r="A1468" s="359" t="n"/>
      <c r="B1468" s="360" t="n"/>
      <c r="C1468" s="361" t="n"/>
      <c r="D1468" s="362" t="n"/>
      <c r="E1468" s="362" t="n"/>
      <c r="F1468" s="362" t="n"/>
      <c r="G1468" s="363" t="n"/>
      <c r="H1468" s="360" t="n"/>
      <c r="I1468" s="360" t="n"/>
      <c r="J1468" s="364" t="str">
        <f>IF($G1468="","",IF($H1468=1,$G1468-ROUND($G1468*10/23,0)-2*ROUND($G1468/23,0),IF($H1468=2,$G1468,0)))</f>
        <v/>
      </c>
      <c r="K1468" s="364" t="str">
        <f>IF($G1468="","",IF($H1468=1,ROUND($G1468*10/23,0),IF($H1468=3,$G1468-2*ROUND($G1468/12,0),IF($H1468=4,$G1468,IF(OR($H1468=5,$H1468=7),ROUND($G1468*10/11,0),0)))))</f>
        <v/>
      </c>
      <c r="L1468" s="364" t="str">
        <f>IF($G1468="","",IF($H1468=1,ROUND($G1468/23,0),IF($H1468=3,ROUND($G1468/12,0),IF($H1468=5,$G1468-ROUND($G1468*10/11,0),IF($H1468=8,$G1468,0)))))</f>
        <v/>
      </c>
      <c r="M1468" s="364" t="str">
        <f>IF($G1468="","",IF($H1468=1,ROUND($G1468/23,0),IF($H1468=3,ROUND($G1468/12,0),IF($H1468=6,$G1468,IF($H1468=7,$G1468-ROUND($G1468*10/11,0),0)))))</f>
        <v/>
      </c>
      <c r="N1468" s="364" t="str">
        <f>IF($G1468="","",K1468+L1468+M1468)</f>
        <v/>
      </c>
      <c r="O1468" s="365" t="str">
        <f>IF($G1468="","",IFERROR(VLOOKUP($D1468&amp;"|"&amp;$E1468,科目表!$A$5:$B$200,2,FALSE),"※未登録"))</f>
        <v/>
      </c>
      <c r="P1468" s="359" t="str">
        <f>IF(OR($G1468="",$C1468=""),"",IF($B1468="決算整理",13,MOD(MONTH($C1468)-4,12)+1))</f>
        <v/>
      </c>
      <c r="Q1468" s="366" t="str">
        <f>IF($G1468="","",TRIM(IF(J1468+K1468+L1468+M1468&lt;&gt;$G1468,"按分不一致 ","")&amp;IF(O1468="※未登録","科目未登録 ","")&amp;IF(OR($H1468="",ISERROR(MATCH($H1468,{1,2,3,4,5,6,7,8},0))),"経費区分? ","")&amp;IF($I1468="","状態未設定 ","")&amp;IF(AND(OR($I1468="確認済",$I1468="未確認"),$B1468="月例",OR($C1468="",$C1468&lt;DATE(年度+2018,4,1),$C1468&gt;DATE(年度+2019,3,31))),"年度外の日付 ","")&amp;IF(AND(OR($I1468="確認済",$I1468="未確認"),O1468="対象外"),"対象外の科目 ","")))</f>
        <v/>
      </c>
      <c r="R1468" s="366" t="n"/>
    </row>
    <row r="1469">
      <c r="A1469" s="359" t="n"/>
      <c r="B1469" s="360" t="n"/>
      <c r="C1469" s="361" t="n"/>
      <c r="D1469" s="362" t="n"/>
      <c r="E1469" s="362" t="n"/>
      <c r="F1469" s="362" t="n"/>
      <c r="G1469" s="363" t="n"/>
      <c r="H1469" s="360" t="n"/>
      <c r="I1469" s="360" t="n"/>
      <c r="J1469" s="364" t="str">
        <f>IF($G1469="","",IF($H1469=1,$G1469-ROUND($G1469*10/23,0)-2*ROUND($G1469/23,0),IF($H1469=2,$G1469,0)))</f>
        <v/>
      </c>
      <c r="K1469" s="364" t="str">
        <f>IF($G1469="","",IF($H1469=1,ROUND($G1469*10/23,0),IF($H1469=3,$G1469-2*ROUND($G1469/12,0),IF($H1469=4,$G1469,IF(OR($H1469=5,$H1469=7),ROUND($G1469*10/11,0),0)))))</f>
        <v/>
      </c>
      <c r="L1469" s="364" t="str">
        <f>IF($G1469="","",IF($H1469=1,ROUND($G1469/23,0),IF($H1469=3,ROUND($G1469/12,0),IF($H1469=5,$G1469-ROUND($G1469*10/11,0),IF($H1469=8,$G1469,0)))))</f>
        <v/>
      </c>
      <c r="M1469" s="364" t="str">
        <f>IF($G1469="","",IF($H1469=1,ROUND($G1469/23,0),IF($H1469=3,ROUND($G1469/12,0),IF($H1469=6,$G1469,IF($H1469=7,$G1469-ROUND($G1469*10/11,0),0)))))</f>
        <v/>
      </c>
      <c r="N1469" s="364" t="str">
        <f>IF($G1469="","",K1469+L1469+M1469)</f>
        <v/>
      </c>
      <c r="O1469" s="365" t="str">
        <f>IF($G1469="","",IFERROR(VLOOKUP($D1469&amp;"|"&amp;$E1469,科目表!$A$5:$B$200,2,FALSE),"※未登録"))</f>
        <v/>
      </c>
      <c r="P1469" s="359" t="str">
        <f>IF(OR($G1469="",$C1469=""),"",IF($B1469="決算整理",13,MOD(MONTH($C1469)-4,12)+1))</f>
        <v/>
      </c>
      <c r="Q1469" s="366" t="str">
        <f>IF($G1469="","",TRIM(IF(J1469+K1469+L1469+M1469&lt;&gt;$G1469,"按分不一致 ","")&amp;IF(O1469="※未登録","科目未登録 ","")&amp;IF(OR($H1469="",ISERROR(MATCH($H1469,{1,2,3,4,5,6,7,8},0))),"経費区分? ","")&amp;IF($I1469="","状態未設定 ","")&amp;IF(AND(OR($I1469="確認済",$I1469="未確認"),$B1469="月例",OR($C1469="",$C1469&lt;DATE(年度+2018,4,1),$C1469&gt;DATE(年度+2019,3,31))),"年度外の日付 ","")&amp;IF(AND(OR($I1469="確認済",$I1469="未確認"),O1469="対象外"),"対象外の科目 ","")))</f>
        <v/>
      </c>
      <c r="R1469" s="366" t="n"/>
    </row>
    <row r="1470">
      <c r="A1470" s="359" t="n"/>
      <c r="B1470" s="360" t="n"/>
      <c r="C1470" s="361" t="n"/>
      <c r="D1470" s="362" t="n"/>
      <c r="E1470" s="362" t="n"/>
      <c r="F1470" s="362" t="n"/>
      <c r="G1470" s="363" t="n"/>
      <c r="H1470" s="360" t="n"/>
      <c r="I1470" s="360" t="n"/>
      <c r="J1470" s="364" t="str">
        <f>IF($G1470="","",IF($H1470=1,$G1470-ROUND($G1470*10/23,0)-2*ROUND($G1470/23,0),IF($H1470=2,$G1470,0)))</f>
        <v/>
      </c>
      <c r="K1470" s="364" t="str">
        <f>IF($G1470="","",IF($H1470=1,ROUND($G1470*10/23,0),IF($H1470=3,$G1470-2*ROUND($G1470/12,0),IF($H1470=4,$G1470,IF(OR($H1470=5,$H1470=7),ROUND($G1470*10/11,0),0)))))</f>
        <v/>
      </c>
      <c r="L1470" s="364" t="str">
        <f>IF($G1470="","",IF($H1470=1,ROUND($G1470/23,0),IF($H1470=3,ROUND($G1470/12,0),IF($H1470=5,$G1470-ROUND($G1470*10/11,0),IF($H1470=8,$G1470,0)))))</f>
        <v/>
      </c>
      <c r="M1470" s="364" t="str">
        <f>IF($G1470="","",IF($H1470=1,ROUND($G1470/23,0),IF($H1470=3,ROUND($G1470/12,0),IF($H1470=6,$G1470,IF($H1470=7,$G1470-ROUND($G1470*10/11,0),0)))))</f>
        <v/>
      </c>
      <c r="N1470" s="364" t="str">
        <f>IF($G1470="","",K1470+L1470+M1470)</f>
        <v/>
      </c>
      <c r="O1470" s="365" t="str">
        <f>IF($G1470="","",IFERROR(VLOOKUP($D1470&amp;"|"&amp;$E1470,科目表!$A$5:$B$200,2,FALSE),"※未登録"))</f>
        <v/>
      </c>
      <c r="P1470" s="359" t="str">
        <f>IF(OR($G1470="",$C1470=""),"",IF($B1470="決算整理",13,MOD(MONTH($C1470)-4,12)+1))</f>
        <v/>
      </c>
      <c r="Q1470" s="366" t="str">
        <f>IF($G1470="","",TRIM(IF(J1470+K1470+L1470+M1470&lt;&gt;$G1470,"按分不一致 ","")&amp;IF(O1470="※未登録","科目未登録 ","")&amp;IF(OR($H1470="",ISERROR(MATCH($H1470,{1,2,3,4,5,6,7,8},0))),"経費区分? ","")&amp;IF($I1470="","状態未設定 ","")&amp;IF(AND(OR($I1470="確認済",$I1470="未確認"),$B1470="月例",OR($C1470="",$C1470&lt;DATE(年度+2018,4,1),$C1470&gt;DATE(年度+2019,3,31))),"年度外の日付 ","")&amp;IF(AND(OR($I1470="確認済",$I1470="未確認"),O1470="対象外"),"対象外の科目 ","")))</f>
        <v/>
      </c>
      <c r="R1470" s="366" t="n"/>
    </row>
    <row r="1471">
      <c r="A1471" s="359" t="n"/>
      <c r="B1471" s="360" t="n"/>
      <c r="C1471" s="361" t="n"/>
      <c r="D1471" s="362" t="n"/>
      <c r="E1471" s="362" t="n"/>
      <c r="F1471" s="362" t="n"/>
      <c r="G1471" s="363" t="n"/>
      <c r="H1471" s="360" t="n"/>
      <c r="I1471" s="360" t="n"/>
      <c r="J1471" s="364" t="str">
        <f>IF($G1471="","",IF($H1471=1,$G1471-ROUND($G1471*10/23,0)-2*ROUND($G1471/23,0),IF($H1471=2,$G1471,0)))</f>
        <v/>
      </c>
      <c r="K1471" s="364" t="str">
        <f>IF($G1471="","",IF($H1471=1,ROUND($G1471*10/23,0),IF($H1471=3,$G1471-2*ROUND($G1471/12,0),IF($H1471=4,$G1471,IF(OR($H1471=5,$H1471=7),ROUND($G1471*10/11,0),0)))))</f>
        <v/>
      </c>
      <c r="L1471" s="364" t="str">
        <f>IF($G1471="","",IF($H1471=1,ROUND($G1471/23,0),IF($H1471=3,ROUND($G1471/12,0),IF($H1471=5,$G1471-ROUND($G1471*10/11,0),IF($H1471=8,$G1471,0)))))</f>
        <v/>
      </c>
      <c r="M1471" s="364" t="str">
        <f>IF($G1471="","",IF($H1471=1,ROUND($G1471/23,0),IF($H1471=3,ROUND($G1471/12,0),IF($H1471=6,$G1471,IF($H1471=7,$G1471-ROUND($G1471*10/11,0),0)))))</f>
        <v/>
      </c>
      <c r="N1471" s="364" t="str">
        <f>IF($G1471="","",K1471+L1471+M1471)</f>
        <v/>
      </c>
      <c r="O1471" s="365" t="str">
        <f>IF($G1471="","",IFERROR(VLOOKUP($D1471&amp;"|"&amp;$E1471,科目表!$A$5:$B$200,2,FALSE),"※未登録"))</f>
        <v/>
      </c>
      <c r="P1471" s="359" t="str">
        <f>IF(OR($G1471="",$C1471=""),"",IF($B1471="決算整理",13,MOD(MONTH($C1471)-4,12)+1))</f>
        <v/>
      </c>
      <c r="Q1471" s="366" t="str">
        <f>IF($G1471="","",TRIM(IF(J1471+K1471+L1471+M1471&lt;&gt;$G1471,"按分不一致 ","")&amp;IF(O1471="※未登録","科目未登録 ","")&amp;IF(OR($H1471="",ISERROR(MATCH($H1471,{1,2,3,4,5,6,7,8},0))),"経費区分? ","")&amp;IF($I1471="","状態未設定 ","")&amp;IF(AND(OR($I1471="確認済",$I1471="未確認"),$B1471="月例",OR($C1471="",$C1471&lt;DATE(年度+2018,4,1),$C1471&gt;DATE(年度+2019,3,31))),"年度外の日付 ","")&amp;IF(AND(OR($I1471="確認済",$I1471="未確認"),O1471="対象外"),"対象外の科目 ","")))</f>
        <v/>
      </c>
      <c r="R1471" s="366" t="n"/>
    </row>
    <row r="1472">
      <c r="A1472" s="359" t="n"/>
      <c r="B1472" s="360" t="n"/>
      <c r="C1472" s="361" t="n"/>
      <c r="D1472" s="362" t="n"/>
      <c r="E1472" s="362" t="n"/>
      <c r="F1472" s="362" t="n"/>
      <c r="G1472" s="363" t="n"/>
      <c r="H1472" s="360" t="n"/>
      <c r="I1472" s="360" t="n"/>
      <c r="J1472" s="364" t="str">
        <f>IF($G1472="","",IF($H1472=1,$G1472-ROUND($G1472*10/23,0)-2*ROUND($G1472/23,0),IF($H1472=2,$G1472,0)))</f>
        <v/>
      </c>
      <c r="K1472" s="364" t="str">
        <f>IF($G1472="","",IF($H1472=1,ROUND($G1472*10/23,0),IF($H1472=3,$G1472-2*ROUND($G1472/12,0),IF($H1472=4,$G1472,IF(OR($H1472=5,$H1472=7),ROUND($G1472*10/11,0),0)))))</f>
        <v/>
      </c>
      <c r="L1472" s="364" t="str">
        <f>IF($G1472="","",IF($H1472=1,ROUND($G1472/23,0),IF($H1472=3,ROUND($G1472/12,0),IF($H1472=5,$G1472-ROUND($G1472*10/11,0),IF($H1472=8,$G1472,0)))))</f>
        <v/>
      </c>
      <c r="M1472" s="364" t="str">
        <f>IF($G1472="","",IF($H1472=1,ROUND($G1472/23,0),IF($H1472=3,ROUND($G1472/12,0),IF($H1472=6,$G1472,IF($H1472=7,$G1472-ROUND($G1472*10/11,0),0)))))</f>
        <v/>
      </c>
      <c r="N1472" s="364" t="str">
        <f>IF($G1472="","",K1472+L1472+M1472)</f>
        <v/>
      </c>
      <c r="O1472" s="365" t="str">
        <f>IF($G1472="","",IFERROR(VLOOKUP($D1472&amp;"|"&amp;$E1472,科目表!$A$5:$B$200,2,FALSE),"※未登録"))</f>
        <v/>
      </c>
      <c r="P1472" s="359" t="str">
        <f>IF(OR($G1472="",$C1472=""),"",IF($B1472="決算整理",13,MOD(MONTH($C1472)-4,12)+1))</f>
        <v/>
      </c>
      <c r="Q1472" s="366" t="str">
        <f>IF($G1472="","",TRIM(IF(J1472+K1472+L1472+M1472&lt;&gt;$G1472,"按分不一致 ","")&amp;IF(O1472="※未登録","科目未登録 ","")&amp;IF(OR($H1472="",ISERROR(MATCH($H1472,{1,2,3,4,5,6,7,8},0))),"経費区分? ","")&amp;IF($I1472="","状態未設定 ","")&amp;IF(AND(OR($I1472="確認済",$I1472="未確認"),$B1472="月例",OR($C1472="",$C1472&lt;DATE(年度+2018,4,1),$C1472&gt;DATE(年度+2019,3,31))),"年度外の日付 ","")&amp;IF(AND(OR($I1472="確認済",$I1472="未確認"),O1472="対象外"),"対象外の科目 ","")))</f>
        <v/>
      </c>
      <c r="R1472" s="366" t="n"/>
    </row>
    <row r="1473">
      <c r="A1473" s="359" t="n"/>
      <c r="B1473" s="360" t="n"/>
      <c r="C1473" s="361" t="n"/>
      <c r="D1473" s="362" t="n"/>
      <c r="E1473" s="362" t="n"/>
      <c r="F1473" s="362" t="n"/>
      <c r="G1473" s="363" t="n"/>
      <c r="H1473" s="360" t="n"/>
      <c r="I1473" s="360" t="n"/>
      <c r="J1473" s="364" t="str">
        <f>IF($G1473="","",IF($H1473=1,$G1473-ROUND($G1473*10/23,0)-2*ROUND($G1473/23,0),IF($H1473=2,$G1473,0)))</f>
        <v/>
      </c>
      <c r="K1473" s="364" t="str">
        <f>IF($G1473="","",IF($H1473=1,ROUND($G1473*10/23,0),IF($H1473=3,$G1473-2*ROUND($G1473/12,0),IF($H1473=4,$G1473,IF(OR($H1473=5,$H1473=7),ROUND($G1473*10/11,0),0)))))</f>
        <v/>
      </c>
      <c r="L1473" s="364" t="str">
        <f>IF($G1473="","",IF($H1473=1,ROUND($G1473/23,0),IF($H1473=3,ROUND($G1473/12,0),IF($H1473=5,$G1473-ROUND($G1473*10/11,0),IF($H1473=8,$G1473,0)))))</f>
        <v/>
      </c>
      <c r="M1473" s="364" t="str">
        <f>IF($G1473="","",IF($H1473=1,ROUND($G1473/23,0),IF($H1473=3,ROUND($G1473/12,0),IF($H1473=6,$G1473,IF($H1473=7,$G1473-ROUND($G1473*10/11,0),0)))))</f>
        <v/>
      </c>
      <c r="N1473" s="364" t="str">
        <f>IF($G1473="","",K1473+L1473+M1473)</f>
        <v/>
      </c>
      <c r="O1473" s="365" t="str">
        <f>IF($G1473="","",IFERROR(VLOOKUP($D1473&amp;"|"&amp;$E1473,科目表!$A$5:$B$200,2,FALSE),"※未登録"))</f>
        <v/>
      </c>
      <c r="P1473" s="359" t="str">
        <f>IF(OR($G1473="",$C1473=""),"",IF($B1473="決算整理",13,MOD(MONTH($C1473)-4,12)+1))</f>
        <v/>
      </c>
      <c r="Q1473" s="366" t="str">
        <f>IF($G1473="","",TRIM(IF(J1473+K1473+L1473+M1473&lt;&gt;$G1473,"按分不一致 ","")&amp;IF(O1473="※未登録","科目未登録 ","")&amp;IF(OR($H1473="",ISERROR(MATCH($H1473,{1,2,3,4,5,6,7,8},0))),"経費区分? ","")&amp;IF($I1473="","状態未設定 ","")&amp;IF(AND(OR($I1473="確認済",$I1473="未確認"),$B1473="月例",OR($C1473="",$C1473&lt;DATE(年度+2018,4,1),$C1473&gt;DATE(年度+2019,3,31))),"年度外の日付 ","")&amp;IF(AND(OR($I1473="確認済",$I1473="未確認"),O1473="対象外"),"対象外の科目 ","")))</f>
        <v/>
      </c>
      <c r="R1473" s="366" t="n"/>
    </row>
    <row r="1474">
      <c r="A1474" s="359" t="n"/>
      <c r="B1474" s="360" t="n"/>
      <c r="C1474" s="361" t="n"/>
      <c r="D1474" s="362" t="n"/>
      <c r="E1474" s="362" t="n"/>
      <c r="F1474" s="362" t="n"/>
      <c r="G1474" s="363" t="n"/>
      <c r="H1474" s="360" t="n"/>
      <c r="I1474" s="360" t="n"/>
      <c r="J1474" s="364" t="str">
        <f>IF($G1474="","",IF($H1474=1,$G1474-ROUND($G1474*10/23,0)-2*ROUND($G1474/23,0),IF($H1474=2,$G1474,0)))</f>
        <v/>
      </c>
      <c r="K1474" s="364" t="str">
        <f>IF($G1474="","",IF($H1474=1,ROUND($G1474*10/23,0),IF($H1474=3,$G1474-2*ROUND($G1474/12,0),IF($H1474=4,$G1474,IF(OR($H1474=5,$H1474=7),ROUND($G1474*10/11,0),0)))))</f>
        <v/>
      </c>
      <c r="L1474" s="364" t="str">
        <f>IF($G1474="","",IF($H1474=1,ROUND($G1474/23,0),IF($H1474=3,ROUND($G1474/12,0),IF($H1474=5,$G1474-ROUND($G1474*10/11,0),IF($H1474=8,$G1474,0)))))</f>
        <v/>
      </c>
      <c r="M1474" s="364" t="str">
        <f>IF($G1474="","",IF($H1474=1,ROUND($G1474/23,0),IF($H1474=3,ROUND($G1474/12,0),IF($H1474=6,$G1474,IF($H1474=7,$G1474-ROUND($G1474*10/11,0),0)))))</f>
        <v/>
      </c>
      <c r="N1474" s="364" t="str">
        <f>IF($G1474="","",K1474+L1474+M1474)</f>
        <v/>
      </c>
      <c r="O1474" s="365" t="str">
        <f>IF($G1474="","",IFERROR(VLOOKUP($D1474&amp;"|"&amp;$E1474,科目表!$A$5:$B$200,2,FALSE),"※未登録"))</f>
        <v/>
      </c>
      <c r="P1474" s="359" t="str">
        <f>IF(OR($G1474="",$C1474=""),"",IF($B1474="決算整理",13,MOD(MONTH($C1474)-4,12)+1))</f>
        <v/>
      </c>
      <c r="Q1474" s="366" t="str">
        <f>IF($G1474="","",TRIM(IF(J1474+K1474+L1474+M1474&lt;&gt;$G1474,"按分不一致 ","")&amp;IF(O1474="※未登録","科目未登録 ","")&amp;IF(OR($H1474="",ISERROR(MATCH($H1474,{1,2,3,4,5,6,7,8},0))),"経費区分? ","")&amp;IF($I1474="","状態未設定 ","")&amp;IF(AND(OR($I1474="確認済",$I1474="未確認"),$B1474="月例",OR($C1474="",$C1474&lt;DATE(年度+2018,4,1),$C1474&gt;DATE(年度+2019,3,31))),"年度外の日付 ","")&amp;IF(AND(OR($I1474="確認済",$I1474="未確認"),O1474="対象外"),"対象外の科目 ","")))</f>
        <v/>
      </c>
      <c r="R1474" s="366" t="n"/>
    </row>
    <row r="1475">
      <c r="A1475" s="359" t="n"/>
      <c r="B1475" s="360" t="n"/>
      <c r="C1475" s="361" t="n"/>
      <c r="D1475" s="362" t="n"/>
      <c r="E1475" s="362" t="n"/>
      <c r="F1475" s="362" t="n"/>
      <c r="G1475" s="363" t="n"/>
      <c r="H1475" s="360" t="n"/>
      <c r="I1475" s="360" t="n"/>
      <c r="J1475" s="364" t="str">
        <f>IF($G1475="","",IF($H1475=1,$G1475-ROUND($G1475*10/23,0)-2*ROUND($G1475/23,0),IF($H1475=2,$G1475,0)))</f>
        <v/>
      </c>
      <c r="K1475" s="364" t="str">
        <f>IF($G1475="","",IF($H1475=1,ROUND($G1475*10/23,0),IF($H1475=3,$G1475-2*ROUND($G1475/12,0),IF($H1475=4,$G1475,IF(OR($H1475=5,$H1475=7),ROUND($G1475*10/11,0),0)))))</f>
        <v/>
      </c>
      <c r="L1475" s="364" t="str">
        <f>IF($G1475="","",IF($H1475=1,ROUND($G1475/23,0),IF($H1475=3,ROUND($G1475/12,0),IF($H1475=5,$G1475-ROUND($G1475*10/11,0),IF($H1475=8,$G1475,0)))))</f>
        <v/>
      </c>
      <c r="M1475" s="364" t="str">
        <f>IF($G1475="","",IF($H1475=1,ROUND($G1475/23,0),IF($H1475=3,ROUND($G1475/12,0),IF($H1475=6,$G1475,IF($H1475=7,$G1475-ROUND($G1475*10/11,0),0)))))</f>
        <v/>
      </c>
      <c r="N1475" s="364" t="str">
        <f>IF($G1475="","",K1475+L1475+M1475)</f>
        <v/>
      </c>
      <c r="O1475" s="365" t="str">
        <f>IF($G1475="","",IFERROR(VLOOKUP($D1475&amp;"|"&amp;$E1475,科目表!$A$5:$B$200,2,FALSE),"※未登録"))</f>
        <v/>
      </c>
      <c r="P1475" s="359" t="str">
        <f>IF(OR($G1475="",$C1475=""),"",IF($B1475="決算整理",13,MOD(MONTH($C1475)-4,12)+1))</f>
        <v/>
      </c>
      <c r="Q1475" s="366" t="str">
        <f>IF($G1475="","",TRIM(IF(J1475+K1475+L1475+M1475&lt;&gt;$G1475,"按分不一致 ","")&amp;IF(O1475="※未登録","科目未登録 ","")&amp;IF(OR($H1475="",ISERROR(MATCH($H1475,{1,2,3,4,5,6,7,8},0))),"経費区分? ","")&amp;IF($I1475="","状態未設定 ","")&amp;IF(AND(OR($I1475="確認済",$I1475="未確認"),$B1475="月例",OR($C1475="",$C1475&lt;DATE(年度+2018,4,1),$C1475&gt;DATE(年度+2019,3,31))),"年度外の日付 ","")&amp;IF(AND(OR($I1475="確認済",$I1475="未確認"),O1475="対象外"),"対象外の科目 ","")))</f>
        <v/>
      </c>
      <c r="R1475" s="366" t="n"/>
    </row>
    <row r="1476">
      <c r="A1476" s="359" t="n"/>
      <c r="B1476" s="360" t="n"/>
      <c r="C1476" s="361" t="n"/>
      <c r="D1476" s="362" t="n"/>
      <c r="E1476" s="362" t="n"/>
      <c r="F1476" s="362" t="n"/>
      <c r="G1476" s="363" t="n"/>
      <c r="H1476" s="360" t="n"/>
      <c r="I1476" s="360" t="n"/>
      <c r="J1476" s="364" t="str">
        <f>IF($G1476="","",IF($H1476=1,$G1476-ROUND($G1476*10/23,0)-2*ROUND($G1476/23,0),IF($H1476=2,$G1476,0)))</f>
        <v/>
      </c>
      <c r="K1476" s="364" t="str">
        <f>IF($G1476="","",IF($H1476=1,ROUND($G1476*10/23,0),IF($H1476=3,$G1476-2*ROUND($G1476/12,0),IF($H1476=4,$G1476,IF(OR($H1476=5,$H1476=7),ROUND($G1476*10/11,0),0)))))</f>
        <v/>
      </c>
      <c r="L1476" s="364" t="str">
        <f>IF($G1476="","",IF($H1476=1,ROUND($G1476/23,0),IF($H1476=3,ROUND($G1476/12,0),IF($H1476=5,$G1476-ROUND($G1476*10/11,0),IF($H1476=8,$G1476,0)))))</f>
        <v/>
      </c>
      <c r="M1476" s="364" t="str">
        <f>IF($G1476="","",IF($H1476=1,ROUND($G1476/23,0),IF($H1476=3,ROUND($G1476/12,0),IF($H1476=6,$G1476,IF($H1476=7,$G1476-ROUND($G1476*10/11,0),0)))))</f>
        <v/>
      </c>
      <c r="N1476" s="364" t="str">
        <f>IF($G1476="","",K1476+L1476+M1476)</f>
        <v/>
      </c>
      <c r="O1476" s="365" t="str">
        <f>IF($G1476="","",IFERROR(VLOOKUP($D1476&amp;"|"&amp;$E1476,科目表!$A$5:$B$200,2,FALSE),"※未登録"))</f>
        <v/>
      </c>
      <c r="P1476" s="359" t="str">
        <f>IF(OR($G1476="",$C1476=""),"",IF($B1476="決算整理",13,MOD(MONTH($C1476)-4,12)+1))</f>
        <v/>
      </c>
      <c r="Q1476" s="366" t="str">
        <f>IF($G1476="","",TRIM(IF(J1476+K1476+L1476+M1476&lt;&gt;$G1476,"按分不一致 ","")&amp;IF(O1476="※未登録","科目未登録 ","")&amp;IF(OR($H1476="",ISERROR(MATCH($H1476,{1,2,3,4,5,6,7,8},0))),"経費区分? ","")&amp;IF($I1476="","状態未設定 ","")&amp;IF(AND(OR($I1476="確認済",$I1476="未確認"),$B1476="月例",OR($C1476="",$C1476&lt;DATE(年度+2018,4,1),$C1476&gt;DATE(年度+2019,3,31))),"年度外の日付 ","")&amp;IF(AND(OR($I1476="確認済",$I1476="未確認"),O1476="対象外"),"対象外の科目 ","")))</f>
        <v/>
      </c>
      <c r="R1476" s="366" t="n"/>
    </row>
    <row r="1477">
      <c r="A1477" s="359" t="n"/>
      <c r="B1477" s="360" t="n"/>
      <c r="C1477" s="361" t="n"/>
      <c r="D1477" s="362" t="n"/>
      <c r="E1477" s="362" t="n"/>
      <c r="F1477" s="362" t="n"/>
      <c r="G1477" s="363" t="n"/>
      <c r="H1477" s="360" t="n"/>
      <c r="I1477" s="360" t="n"/>
      <c r="J1477" s="364" t="str">
        <f>IF($G1477="","",IF($H1477=1,$G1477-ROUND($G1477*10/23,0)-2*ROUND($G1477/23,0),IF($H1477=2,$G1477,0)))</f>
        <v/>
      </c>
      <c r="K1477" s="364" t="str">
        <f>IF($G1477="","",IF($H1477=1,ROUND($G1477*10/23,0),IF($H1477=3,$G1477-2*ROUND($G1477/12,0),IF($H1477=4,$G1477,IF(OR($H1477=5,$H1477=7),ROUND($G1477*10/11,0),0)))))</f>
        <v/>
      </c>
      <c r="L1477" s="364" t="str">
        <f>IF($G1477="","",IF($H1477=1,ROUND($G1477/23,0),IF($H1477=3,ROUND($G1477/12,0),IF($H1477=5,$G1477-ROUND($G1477*10/11,0),IF($H1477=8,$G1477,0)))))</f>
        <v/>
      </c>
      <c r="M1477" s="364" t="str">
        <f>IF($G1477="","",IF($H1477=1,ROUND($G1477/23,0),IF($H1477=3,ROUND($G1477/12,0),IF($H1477=6,$G1477,IF($H1477=7,$G1477-ROUND($G1477*10/11,0),0)))))</f>
        <v/>
      </c>
      <c r="N1477" s="364" t="str">
        <f>IF($G1477="","",K1477+L1477+M1477)</f>
        <v/>
      </c>
      <c r="O1477" s="365" t="str">
        <f>IF($G1477="","",IFERROR(VLOOKUP($D1477&amp;"|"&amp;$E1477,科目表!$A$5:$B$200,2,FALSE),"※未登録"))</f>
        <v/>
      </c>
      <c r="P1477" s="359" t="str">
        <f>IF(OR($G1477="",$C1477=""),"",IF($B1477="決算整理",13,MOD(MONTH($C1477)-4,12)+1))</f>
        <v/>
      </c>
      <c r="Q1477" s="366" t="str">
        <f>IF($G1477="","",TRIM(IF(J1477+K1477+L1477+M1477&lt;&gt;$G1477,"按分不一致 ","")&amp;IF(O1477="※未登録","科目未登録 ","")&amp;IF(OR($H1477="",ISERROR(MATCH($H1477,{1,2,3,4,5,6,7,8},0))),"経費区分? ","")&amp;IF($I1477="","状態未設定 ","")&amp;IF(AND(OR($I1477="確認済",$I1477="未確認"),$B1477="月例",OR($C1477="",$C1477&lt;DATE(年度+2018,4,1),$C1477&gt;DATE(年度+2019,3,31))),"年度外の日付 ","")&amp;IF(AND(OR($I1477="確認済",$I1477="未確認"),O1477="対象外"),"対象外の科目 ","")))</f>
        <v/>
      </c>
      <c r="R1477" s="366" t="n"/>
    </row>
    <row r="1478">
      <c r="A1478" s="359" t="n"/>
      <c r="B1478" s="360" t="n"/>
      <c r="C1478" s="361" t="n"/>
      <c r="D1478" s="362" t="n"/>
      <c r="E1478" s="362" t="n"/>
      <c r="F1478" s="362" t="n"/>
      <c r="G1478" s="363" t="n"/>
      <c r="H1478" s="360" t="n"/>
      <c r="I1478" s="360" t="n"/>
      <c r="J1478" s="364" t="str">
        <f>IF($G1478="","",IF($H1478=1,$G1478-ROUND($G1478*10/23,0)-2*ROUND($G1478/23,0),IF($H1478=2,$G1478,0)))</f>
        <v/>
      </c>
      <c r="K1478" s="364" t="str">
        <f>IF($G1478="","",IF($H1478=1,ROUND($G1478*10/23,0),IF($H1478=3,$G1478-2*ROUND($G1478/12,0),IF($H1478=4,$G1478,IF(OR($H1478=5,$H1478=7),ROUND($G1478*10/11,0),0)))))</f>
        <v/>
      </c>
      <c r="L1478" s="364" t="str">
        <f>IF($G1478="","",IF($H1478=1,ROUND($G1478/23,0),IF($H1478=3,ROUND($G1478/12,0),IF($H1478=5,$G1478-ROUND($G1478*10/11,0),IF($H1478=8,$G1478,0)))))</f>
        <v/>
      </c>
      <c r="M1478" s="364" t="str">
        <f>IF($G1478="","",IF($H1478=1,ROUND($G1478/23,0),IF($H1478=3,ROUND($G1478/12,0),IF($H1478=6,$G1478,IF($H1478=7,$G1478-ROUND($G1478*10/11,0),0)))))</f>
        <v/>
      </c>
      <c r="N1478" s="364" t="str">
        <f>IF($G1478="","",K1478+L1478+M1478)</f>
        <v/>
      </c>
      <c r="O1478" s="365" t="str">
        <f>IF($G1478="","",IFERROR(VLOOKUP($D1478&amp;"|"&amp;$E1478,科目表!$A$5:$B$200,2,FALSE),"※未登録"))</f>
        <v/>
      </c>
      <c r="P1478" s="359" t="str">
        <f>IF(OR($G1478="",$C1478=""),"",IF($B1478="決算整理",13,MOD(MONTH($C1478)-4,12)+1))</f>
        <v/>
      </c>
      <c r="Q1478" s="366" t="str">
        <f>IF($G1478="","",TRIM(IF(J1478+K1478+L1478+M1478&lt;&gt;$G1478,"按分不一致 ","")&amp;IF(O1478="※未登録","科目未登録 ","")&amp;IF(OR($H1478="",ISERROR(MATCH($H1478,{1,2,3,4,5,6,7,8},0))),"経費区分? ","")&amp;IF($I1478="","状態未設定 ","")&amp;IF(AND(OR($I1478="確認済",$I1478="未確認"),$B1478="月例",OR($C1478="",$C1478&lt;DATE(年度+2018,4,1),$C1478&gt;DATE(年度+2019,3,31))),"年度外の日付 ","")&amp;IF(AND(OR($I1478="確認済",$I1478="未確認"),O1478="対象外"),"対象外の科目 ","")))</f>
        <v/>
      </c>
      <c r="R1478" s="366" t="n"/>
    </row>
    <row r="1479">
      <c r="A1479" s="359" t="n"/>
      <c r="B1479" s="360" t="n"/>
      <c r="C1479" s="361" t="n"/>
      <c r="D1479" s="362" t="n"/>
      <c r="E1479" s="362" t="n"/>
      <c r="F1479" s="362" t="n"/>
      <c r="G1479" s="363" t="n"/>
      <c r="H1479" s="360" t="n"/>
      <c r="I1479" s="360" t="n"/>
      <c r="J1479" s="364" t="str">
        <f>IF($G1479="","",IF($H1479=1,$G1479-ROUND($G1479*10/23,0)-2*ROUND($G1479/23,0),IF($H1479=2,$G1479,0)))</f>
        <v/>
      </c>
      <c r="K1479" s="364" t="str">
        <f>IF($G1479="","",IF($H1479=1,ROUND($G1479*10/23,0),IF($H1479=3,$G1479-2*ROUND($G1479/12,0),IF($H1479=4,$G1479,IF(OR($H1479=5,$H1479=7),ROUND($G1479*10/11,0),0)))))</f>
        <v/>
      </c>
      <c r="L1479" s="364" t="str">
        <f>IF($G1479="","",IF($H1479=1,ROUND($G1479/23,0),IF($H1479=3,ROUND($G1479/12,0),IF($H1479=5,$G1479-ROUND($G1479*10/11,0),IF($H1479=8,$G1479,0)))))</f>
        <v/>
      </c>
      <c r="M1479" s="364" t="str">
        <f>IF($G1479="","",IF($H1479=1,ROUND($G1479/23,0),IF($H1479=3,ROUND($G1479/12,0),IF($H1479=6,$G1479,IF($H1479=7,$G1479-ROUND($G1479*10/11,0),0)))))</f>
        <v/>
      </c>
      <c r="N1479" s="364" t="str">
        <f>IF($G1479="","",K1479+L1479+M1479)</f>
        <v/>
      </c>
      <c r="O1479" s="365" t="str">
        <f>IF($G1479="","",IFERROR(VLOOKUP($D1479&amp;"|"&amp;$E1479,科目表!$A$5:$B$200,2,FALSE),"※未登録"))</f>
        <v/>
      </c>
      <c r="P1479" s="359" t="str">
        <f>IF(OR($G1479="",$C1479=""),"",IF($B1479="決算整理",13,MOD(MONTH($C1479)-4,12)+1))</f>
        <v/>
      </c>
      <c r="Q1479" s="366" t="str">
        <f>IF($G1479="","",TRIM(IF(J1479+K1479+L1479+M1479&lt;&gt;$G1479,"按分不一致 ","")&amp;IF(O1479="※未登録","科目未登録 ","")&amp;IF(OR($H1479="",ISERROR(MATCH($H1479,{1,2,3,4,5,6,7,8},0))),"経費区分? ","")&amp;IF($I1479="","状態未設定 ","")&amp;IF(AND(OR($I1479="確認済",$I1479="未確認"),$B1479="月例",OR($C1479="",$C1479&lt;DATE(年度+2018,4,1),$C1479&gt;DATE(年度+2019,3,31))),"年度外の日付 ","")&amp;IF(AND(OR($I1479="確認済",$I1479="未確認"),O1479="対象外"),"対象外の科目 ","")))</f>
        <v/>
      </c>
      <c r="R1479" s="366" t="n"/>
    </row>
    <row r="1480">
      <c r="A1480" s="359" t="n"/>
      <c r="B1480" s="360" t="n"/>
      <c r="C1480" s="361" t="n"/>
      <c r="D1480" s="362" t="n"/>
      <c r="E1480" s="362" t="n"/>
      <c r="F1480" s="362" t="n"/>
      <c r="G1480" s="363" t="n"/>
      <c r="H1480" s="360" t="n"/>
      <c r="I1480" s="360" t="n"/>
      <c r="J1480" s="364" t="str">
        <f>IF($G1480="","",IF($H1480=1,$G1480-ROUND($G1480*10/23,0)-2*ROUND($G1480/23,0),IF($H1480=2,$G1480,0)))</f>
        <v/>
      </c>
      <c r="K1480" s="364" t="str">
        <f>IF($G1480="","",IF($H1480=1,ROUND($G1480*10/23,0),IF($H1480=3,$G1480-2*ROUND($G1480/12,0),IF($H1480=4,$G1480,IF(OR($H1480=5,$H1480=7),ROUND($G1480*10/11,0),0)))))</f>
        <v/>
      </c>
      <c r="L1480" s="364" t="str">
        <f>IF($G1480="","",IF($H1480=1,ROUND($G1480/23,0),IF($H1480=3,ROUND($G1480/12,0),IF($H1480=5,$G1480-ROUND($G1480*10/11,0),IF($H1480=8,$G1480,0)))))</f>
        <v/>
      </c>
      <c r="M1480" s="364" t="str">
        <f>IF($G1480="","",IF($H1480=1,ROUND($G1480/23,0),IF($H1480=3,ROUND($G1480/12,0),IF($H1480=6,$G1480,IF($H1480=7,$G1480-ROUND($G1480*10/11,0),0)))))</f>
        <v/>
      </c>
      <c r="N1480" s="364" t="str">
        <f>IF($G1480="","",K1480+L1480+M1480)</f>
        <v/>
      </c>
      <c r="O1480" s="365" t="str">
        <f>IF($G1480="","",IFERROR(VLOOKUP($D1480&amp;"|"&amp;$E1480,科目表!$A$5:$B$200,2,FALSE),"※未登録"))</f>
        <v/>
      </c>
      <c r="P1480" s="359" t="str">
        <f>IF(OR($G1480="",$C1480=""),"",IF($B1480="決算整理",13,MOD(MONTH($C1480)-4,12)+1))</f>
        <v/>
      </c>
      <c r="Q1480" s="366" t="str">
        <f>IF($G1480="","",TRIM(IF(J1480+K1480+L1480+M1480&lt;&gt;$G1480,"按分不一致 ","")&amp;IF(O1480="※未登録","科目未登録 ","")&amp;IF(OR($H1480="",ISERROR(MATCH($H1480,{1,2,3,4,5,6,7,8},0))),"経費区分? ","")&amp;IF($I1480="","状態未設定 ","")&amp;IF(AND(OR($I1480="確認済",$I1480="未確認"),$B1480="月例",OR($C1480="",$C1480&lt;DATE(年度+2018,4,1),$C1480&gt;DATE(年度+2019,3,31))),"年度外の日付 ","")&amp;IF(AND(OR($I1480="確認済",$I1480="未確認"),O1480="対象外"),"対象外の科目 ","")))</f>
        <v/>
      </c>
      <c r="R1480" s="366" t="n"/>
    </row>
    <row r="1481">
      <c r="A1481" s="359" t="n"/>
      <c r="B1481" s="360" t="n"/>
      <c r="C1481" s="361" t="n"/>
      <c r="D1481" s="362" t="n"/>
      <c r="E1481" s="362" t="n"/>
      <c r="F1481" s="362" t="n"/>
      <c r="G1481" s="363" t="n"/>
      <c r="H1481" s="360" t="n"/>
      <c r="I1481" s="360" t="n"/>
      <c r="J1481" s="364" t="str">
        <f>IF($G1481="","",IF($H1481=1,$G1481-ROUND($G1481*10/23,0)-2*ROUND($G1481/23,0),IF($H1481=2,$G1481,0)))</f>
        <v/>
      </c>
      <c r="K1481" s="364" t="str">
        <f>IF($G1481="","",IF($H1481=1,ROUND($G1481*10/23,0),IF($H1481=3,$G1481-2*ROUND($G1481/12,0),IF($H1481=4,$G1481,IF(OR($H1481=5,$H1481=7),ROUND($G1481*10/11,0),0)))))</f>
        <v/>
      </c>
      <c r="L1481" s="364" t="str">
        <f>IF($G1481="","",IF($H1481=1,ROUND($G1481/23,0),IF($H1481=3,ROUND($G1481/12,0),IF($H1481=5,$G1481-ROUND($G1481*10/11,0),IF($H1481=8,$G1481,0)))))</f>
        <v/>
      </c>
      <c r="M1481" s="364" t="str">
        <f>IF($G1481="","",IF($H1481=1,ROUND($G1481/23,0),IF($H1481=3,ROUND($G1481/12,0),IF($H1481=6,$G1481,IF($H1481=7,$G1481-ROUND($G1481*10/11,0),0)))))</f>
        <v/>
      </c>
      <c r="N1481" s="364" t="str">
        <f>IF($G1481="","",K1481+L1481+M1481)</f>
        <v/>
      </c>
      <c r="O1481" s="365" t="str">
        <f>IF($G1481="","",IFERROR(VLOOKUP($D1481&amp;"|"&amp;$E1481,科目表!$A$5:$B$200,2,FALSE),"※未登録"))</f>
        <v/>
      </c>
      <c r="P1481" s="359" t="str">
        <f>IF(OR($G1481="",$C1481=""),"",IF($B1481="決算整理",13,MOD(MONTH($C1481)-4,12)+1))</f>
        <v/>
      </c>
      <c r="Q1481" s="366" t="str">
        <f>IF($G1481="","",TRIM(IF(J1481+K1481+L1481+M1481&lt;&gt;$G1481,"按分不一致 ","")&amp;IF(O1481="※未登録","科目未登録 ","")&amp;IF(OR($H1481="",ISERROR(MATCH($H1481,{1,2,3,4,5,6,7,8},0))),"経費区分? ","")&amp;IF($I1481="","状態未設定 ","")&amp;IF(AND(OR($I1481="確認済",$I1481="未確認"),$B1481="月例",OR($C1481="",$C1481&lt;DATE(年度+2018,4,1),$C1481&gt;DATE(年度+2019,3,31))),"年度外の日付 ","")&amp;IF(AND(OR($I1481="確認済",$I1481="未確認"),O1481="対象外"),"対象外の科目 ","")))</f>
        <v/>
      </c>
      <c r="R1481" s="366" t="n"/>
    </row>
    <row r="1482">
      <c r="A1482" s="359" t="n"/>
      <c r="B1482" s="360" t="n"/>
      <c r="C1482" s="361" t="n"/>
      <c r="D1482" s="362" t="n"/>
      <c r="E1482" s="362" t="n"/>
      <c r="F1482" s="362" t="n"/>
      <c r="G1482" s="363" t="n"/>
      <c r="H1482" s="360" t="n"/>
      <c r="I1482" s="360" t="n"/>
      <c r="J1482" s="364" t="str">
        <f>IF($G1482="","",IF($H1482=1,$G1482-ROUND($G1482*10/23,0)-2*ROUND($G1482/23,0),IF($H1482=2,$G1482,0)))</f>
        <v/>
      </c>
      <c r="K1482" s="364" t="str">
        <f>IF($G1482="","",IF($H1482=1,ROUND($G1482*10/23,0),IF($H1482=3,$G1482-2*ROUND($G1482/12,0),IF($H1482=4,$G1482,IF(OR($H1482=5,$H1482=7),ROUND($G1482*10/11,0),0)))))</f>
        <v/>
      </c>
      <c r="L1482" s="364" t="str">
        <f>IF($G1482="","",IF($H1482=1,ROUND($G1482/23,0),IF($H1482=3,ROUND($G1482/12,0),IF($H1482=5,$G1482-ROUND($G1482*10/11,0),IF($H1482=8,$G1482,0)))))</f>
        <v/>
      </c>
      <c r="M1482" s="364" t="str">
        <f>IF($G1482="","",IF($H1482=1,ROUND($G1482/23,0),IF($H1482=3,ROUND($G1482/12,0),IF($H1482=6,$G1482,IF($H1482=7,$G1482-ROUND($G1482*10/11,0),0)))))</f>
        <v/>
      </c>
      <c r="N1482" s="364" t="str">
        <f>IF($G1482="","",K1482+L1482+M1482)</f>
        <v/>
      </c>
      <c r="O1482" s="365" t="str">
        <f>IF($G1482="","",IFERROR(VLOOKUP($D1482&amp;"|"&amp;$E1482,科目表!$A$5:$B$200,2,FALSE),"※未登録"))</f>
        <v/>
      </c>
      <c r="P1482" s="359" t="str">
        <f>IF(OR($G1482="",$C1482=""),"",IF($B1482="決算整理",13,MOD(MONTH($C1482)-4,12)+1))</f>
        <v/>
      </c>
      <c r="Q1482" s="366" t="str">
        <f>IF($G1482="","",TRIM(IF(J1482+K1482+L1482+M1482&lt;&gt;$G1482,"按分不一致 ","")&amp;IF(O1482="※未登録","科目未登録 ","")&amp;IF(OR($H1482="",ISERROR(MATCH($H1482,{1,2,3,4,5,6,7,8},0))),"経費区分? ","")&amp;IF($I1482="","状態未設定 ","")&amp;IF(AND(OR($I1482="確認済",$I1482="未確認"),$B1482="月例",OR($C1482="",$C1482&lt;DATE(年度+2018,4,1),$C1482&gt;DATE(年度+2019,3,31))),"年度外の日付 ","")&amp;IF(AND(OR($I1482="確認済",$I1482="未確認"),O1482="対象外"),"対象外の科目 ","")))</f>
        <v/>
      </c>
      <c r="R1482" s="366" t="n"/>
    </row>
    <row r="1483">
      <c r="A1483" s="359" t="n"/>
      <c r="B1483" s="360" t="n"/>
      <c r="C1483" s="361" t="n"/>
      <c r="D1483" s="362" t="n"/>
      <c r="E1483" s="362" t="n"/>
      <c r="F1483" s="362" t="n"/>
      <c r="G1483" s="363" t="n"/>
      <c r="H1483" s="360" t="n"/>
      <c r="I1483" s="360" t="n"/>
      <c r="J1483" s="364" t="str">
        <f>IF($G1483="","",IF($H1483=1,$G1483-ROUND($G1483*10/23,0)-2*ROUND($G1483/23,0),IF($H1483=2,$G1483,0)))</f>
        <v/>
      </c>
      <c r="K1483" s="364" t="str">
        <f>IF($G1483="","",IF($H1483=1,ROUND($G1483*10/23,0),IF($H1483=3,$G1483-2*ROUND($G1483/12,0),IF($H1483=4,$G1483,IF(OR($H1483=5,$H1483=7),ROUND($G1483*10/11,0),0)))))</f>
        <v/>
      </c>
      <c r="L1483" s="364" t="str">
        <f>IF($G1483="","",IF($H1483=1,ROUND($G1483/23,0),IF($H1483=3,ROUND($G1483/12,0),IF($H1483=5,$G1483-ROUND($G1483*10/11,0),IF($H1483=8,$G1483,0)))))</f>
        <v/>
      </c>
      <c r="M1483" s="364" t="str">
        <f>IF($G1483="","",IF($H1483=1,ROUND($G1483/23,0),IF($H1483=3,ROUND($G1483/12,0),IF($H1483=6,$G1483,IF($H1483=7,$G1483-ROUND($G1483*10/11,0),0)))))</f>
        <v/>
      </c>
      <c r="N1483" s="364" t="str">
        <f>IF($G1483="","",K1483+L1483+M1483)</f>
        <v/>
      </c>
      <c r="O1483" s="365" t="str">
        <f>IF($G1483="","",IFERROR(VLOOKUP($D1483&amp;"|"&amp;$E1483,科目表!$A$5:$B$200,2,FALSE),"※未登録"))</f>
        <v/>
      </c>
      <c r="P1483" s="359" t="str">
        <f>IF(OR($G1483="",$C1483=""),"",IF($B1483="決算整理",13,MOD(MONTH($C1483)-4,12)+1))</f>
        <v/>
      </c>
      <c r="Q1483" s="366" t="str">
        <f>IF($G1483="","",TRIM(IF(J1483+K1483+L1483+M1483&lt;&gt;$G1483,"按分不一致 ","")&amp;IF(O1483="※未登録","科目未登録 ","")&amp;IF(OR($H1483="",ISERROR(MATCH($H1483,{1,2,3,4,5,6,7,8},0))),"経費区分? ","")&amp;IF($I1483="","状態未設定 ","")&amp;IF(AND(OR($I1483="確認済",$I1483="未確認"),$B1483="月例",OR($C1483="",$C1483&lt;DATE(年度+2018,4,1),$C1483&gt;DATE(年度+2019,3,31))),"年度外の日付 ","")&amp;IF(AND(OR($I1483="確認済",$I1483="未確認"),O1483="対象外"),"対象外の科目 ","")))</f>
        <v/>
      </c>
      <c r="R1483" s="366" t="n"/>
    </row>
    <row r="1484">
      <c r="A1484" s="359" t="n"/>
      <c r="B1484" s="360" t="n"/>
      <c r="C1484" s="361" t="n"/>
      <c r="D1484" s="362" t="n"/>
      <c r="E1484" s="362" t="n"/>
      <c r="F1484" s="362" t="n"/>
      <c r="G1484" s="363" t="n"/>
      <c r="H1484" s="360" t="n"/>
      <c r="I1484" s="360" t="n"/>
      <c r="J1484" s="364" t="str">
        <f>IF($G1484="","",IF($H1484=1,$G1484-ROUND($G1484*10/23,0)-2*ROUND($G1484/23,0),IF($H1484=2,$G1484,0)))</f>
        <v/>
      </c>
      <c r="K1484" s="364" t="str">
        <f>IF($G1484="","",IF($H1484=1,ROUND($G1484*10/23,0),IF($H1484=3,$G1484-2*ROUND($G1484/12,0),IF($H1484=4,$G1484,IF(OR($H1484=5,$H1484=7),ROUND($G1484*10/11,0),0)))))</f>
        <v/>
      </c>
      <c r="L1484" s="364" t="str">
        <f>IF($G1484="","",IF($H1484=1,ROUND($G1484/23,0),IF($H1484=3,ROUND($G1484/12,0),IF($H1484=5,$G1484-ROUND($G1484*10/11,0),IF($H1484=8,$G1484,0)))))</f>
        <v/>
      </c>
      <c r="M1484" s="364" t="str">
        <f>IF($G1484="","",IF($H1484=1,ROUND($G1484/23,0),IF($H1484=3,ROUND($G1484/12,0),IF($H1484=6,$G1484,IF($H1484=7,$G1484-ROUND($G1484*10/11,0),0)))))</f>
        <v/>
      </c>
      <c r="N1484" s="364" t="str">
        <f>IF($G1484="","",K1484+L1484+M1484)</f>
        <v/>
      </c>
      <c r="O1484" s="365" t="str">
        <f>IF($G1484="","",IFERROR(VLOOKUP($D1484&amp;"|"&amp;$E1484,科目表!$A$5:$B$200,2,FALSE),"※未登録"))</f>
        <v/>
      </c>
      <c r="P1484" s="359" t="str">
        <f>IF(OR($G1484="",$C1484=""),"",IF($B1484="決算整理",13,MOD(MONTH($C1484)-4,12)+1))</f>
        <v/>
      </c>
      <c r="Q1484" s="366" t="str">
        <f>IF($G1484="","",TRIM(IF(J1484+K1484+L1484+M1484&lt;&gt;$G1484,"按分不一致 ","")&amp;IF(O1484="※未登録","科目未登録 ","")&amp;IF(OR($H1484="",ISERROR(MATCH($H1484,{1,2,3,4,5,6,7,8},0))),"経費区分? ","")&amp;IF($I1484="","状態未設定 ","")&amp;IF(AND(OR($I1484="確認済",$I1484="未確認"),$B1484="月例",OR($C1484="",$C1484&lt;DATE(年度+2018,4,1),$C1484&gt;DATE(年度+2019,3,31))),"年度外の日付 ","")&amp;IF(AND(OR($I1484="確認済",$I1484="未確認"),O1484="対象外"),"対象外の科目 ","")))</f>
        <v/>
      </c>
      <c r="R1484" s="366" t="n"/>
    </row>
    <row r="1485">
      <c r="A1485" s="359" t="n"/>
      <c r="B1485" s="360" t="n"/>
      <c r="C1485" s="361" t="n"/>
      <c r="D1485" s="362" t="n"/>
      <c r="E1485" s="362" t="n"/>
      <c r="F1485" s="362" t="n"/>
      <c r="G1485" s="363" t="n"/>
      <c r="H1485" s="360" t="n"/>
      <c r="I1485" s="360" t="n"/>
      <c r="J1485" s="364" t="str">
        <f>IF($G1485="","",IF($H1485=1,$G1485-ROUND($G1485*10/23,0)-2*ROUND($G1485/23,0),IF($H1485=2,$G1485,0)))</f>
        <v/>
      </c>
      <c r="K1485" s="364" t="str">
        <f>IF($G1485="","",IF($H1485=1,ROUND($G1485*10/23,0),IF($H1485=3,$G1485-2*ROUND($G1485/12,0),IF($H1485=4,$G1485,IF(OR($H1485=5,$H1485=7),ROUND($G1485*10/11,0),0)))))</f>
        <v/>
      </c>
      <c r="L1485" s="364" t="str">
        <f>IF($G1485="","",IF($H1485=1,ROUND($G1485/23,0),IF($H1485=3,ROUND($G1485/12,0),IF($H1485=5,$G1485-ROUND($G1485*10/11,0),IF($H1485=8,$G1485,0)))))</f>
        <v/>
      </c>
      <c r="M1485" s="364" t="str">
        <f>IF($G1485="","",IF($H1485=1,ROUND($G1485/23,0),IF($H1485=3,ROUND($G1485/12,0),IF($H1485=6,$G1485,IF($H1485=7,$G1485-ROUND($G1485*10/11,0),0)))))</f>
        <v/>
      </c>
      <c r="N1485" s="364" t="str">
        <f>IF($G1485="","",K1485+L1485+M1485)</f>
        <v/>
      </c>
      <c r="O1485" s="365" t="str">
        <f>IF($G1485="","",IFERROR(VLOOKUP($D1485&amp;"|"&amp;$E1485,科目表!$A$5:$B$200,2,FALSE),"※未登録"))</f>
        <v/>
      </c>
      <c r="P1485" s="359" t="str">
        <f>IF(OR($G1485="",$C1485=""),"",IF($B1485="決算整理",13,MOD(MONTH($C1485)-4,12)+1))</f>
        <v/>
      </c>
      <c r="Q1485" s="366" t="str">
        <f>IF($G1485="","",TRIM(IF(J1485+K1485+L1485+M1485&lt;&gt;$G1485,"按分不一致 ","")&amp;IF(O1485="※未登録","科目未登録 ","")&amp;IF(OR($H1485="",ISERROR(MATCH($H1485,{1,2,3,4,5,6,7,8},0))),"経費区分? ","")&amp;IF($I1485="","状態未設定 ","")&amp;IF(AND(OR($I1485="確認済",$I1485="未確認"),$B1485="月例",OR($C1485="",$C1485&lt;DATE(年度+2018,4,1),$C1485&gt;DATE(年度+2019,3,31))),"年度外の日付 ","")&amp;IF(AND(OR($I1485="確認済",$I1485="未確認"),O1485="対象外"),"対象外の科目 ","")))</f>
        <v/>
      </c>
      <c r="R1485" s="366" t="n"/>
    </row>
    <row r="1486">
      <c r="A1486" s="359" t="n"/>
      <c r="B1486" s="360" t="n"/>
      <c r="C1486" s="361" t="n"/>
      <c r="D1486" s="362" t="n"/>
      <c r="E1486" s="362" t="n"/>
      <c r="F1486" s="362" t="n"/>
      <c r="G1486" s="363" t="n"/>
      <c r="H1486" s="360" t="n"/>
      <c r="I1486" s="360" t="n"/>
      <c r="J1486" s="364" t="str">
        <f>IF($G1486="","",IF($H1486=1,$G1486-ROUND($G1486*10/23,0)-2*ROUND($G1486/23,0),IF($H1486=2,$G1486,0)))</f>
        <v/>
      </c>
      <c r="K1486" s="364" t="str">
        <f>IF($G1486="","",IF($H1486=1,ROUND($G1486*10/23,0),IF($H1486=3,$G1486-2*ROUND($G1486/12,0),IF($H1486=4,$G1486,IF(OR($H1486=5,$H1486=7),ROUND($G1486*10/11,0),0)))))</f>
        <v/>
      </c>
      <c r="L1486" s="364" t="str">
        <f>IF($G1486="","",IF($H1486=1,ROUND($G1486/23,0),IF($H1486=3,ROUND($G1486/12,0),IF($H1486=5,$G1486-ROUND($G1486*10/11,0),IF($H1486=8,$G1486,0)))))</f>
        <v/>
      </c>
      <c r="M1486" s="364" t="str">
        <f>IF($G1486="","",IF($H1486=1,ROUND($G1486/23,0),IF($H1486=3,ROUND($G1486/12,0),IF($H1486=6,$G1486,IF($H1486=7,$G1486-ROUND($G1486*10/11,0),0)))))</f>
        <v/>
      </c>
      <c r="N1486" s="364" t="str">
        <f>IF($G1486="","",K1486+L1486+M1486)</f>
        <v/>
      </c>
      <c r="O1486" s="365" t="str">
        <f>IF($G1486="","",IFERROR(VLOOKUP($D1486&amp;"|"&amp;$E1486,科目表!$A$5:$B$200,2,FALSE),"※未登録"))</f>
        <v/>
      </c>
      <c r="P1486" s="359" t="str">
        <f>IF(OR($G1486="",$C1486=""),"",IF($B1486="決算整理",13,MOD(MONTH($C1486)-4,12)+1))</f>
        <v/>
      </c>
      <c r="Q1486" s="366" t="str">
        <f>IF($G1486="","",TRIM(IF(J1486+K1486+L1486+M1486&lt;&gt;$G1486,"按分不一致 ","")&amp;IF(O1486="※未登録","科目未登録 ","")&amp;IF(OR($H1486="",ISERROR(MATCH($H1486,{1,2,3,4,5,6,7,8},0))),"経費区分? ","")&amp;IF($I1486="","状態未設定 ","")&amp;IF(AND(OR($I1486="確認済",$I1486="未確認"),$B1486="月例",OR($C1486="",$C1486&lt;DATE(年度+2018,4,1),$C1486&gt;DATE(年度+2019,3,31))),"年度外の日付 ","")&amp;IF(AND(OR($I1486="確認済",$I1486="未確認"),O1486="対象外"),"対象外の科目 ","")))</f>
        <v/>
      </c>
      <c r="R1486" s="366" t="n"/>
    </row>
    <row r="1487">
      <c r="A1487" s="359" t="n"/>
      <c r="B1487" s="360" t="n"/>
      <c r="C1487" s="361" t="n"/>
      <c r="D1487" s="362" t="n"/>
      <c r="E1487" s="362" t="n"/>
      <c r="F1487" s="362" t="n"/>
      <c r="G1487" s="363" t="n"/>
      <c r="H1487" s="360" t="n"/>
      <c r="I1487" s="360" t="n"/>
      <c r="J1487" s="364" t="str">
        <f>IF($G1487="","",IF($H1487=1,$G1487-ROUND($G1487*10/23,0)-2*ROUND($G1487/23,0),IF($H1487=2,$G1487,0)))</f>
        <v/>
      </c>
      <c r="K1487" s="364" t="str">
        <f>IF($G1487="","",IF($H1487=1,ROUND($G1487*10/23,0),IF($H1487=3,$G1487-2*ROUND($G1487/12,0),IF($H1487=4,$G1487,IF(OR($H1487=5,$H1487=7),ROUND($G1487*10/11,0),0)))))</f>
        <v/>
      </c>
      <c r="L1487" s="364" t="str">
        <f>IF($G1487="","",IF($H1487=1,ROUND($G1487/23,0),IF($H1487=3,ROUND($G1487/12,0),IF($H1487=5,$G1487-ROUND($G1487*10/11,0),IF($H1487=8,$G1487,0)))))</f>
        <v/>
      </c>
      <c r="M1487" s="364" t="str">
        <f>IF($G1487="","",IF($H1487=1,ROUND($G1487/23,0),IF($H1487=3,ROUND($G1487/12,0),IF($H1487=6,$G1487,IF($H1487=7,$G1487-ROUND($G1487*10/11,0),0)))))</f>
        <v/>
      </c>
      <c r="N1487" s="364" t="str">
        <f>IF($G1487="","",K1487+L1487+M1487)</f>
        <v/>
      </c>
      <c r="O1487" s="365" t="str">
        <f>IF($G1487="","",IFERROR(VLOOKUP($D1487&amp;"|"&amp;$E1487,科目表!$A$5:$B$200,2,FALSE),"※未登録"))</f>
        <v/>
      </c>
      <c r="P1487" s="359" t="str">
        <f>IF(OR($G1487="",$C1487=""),"",IF($B1487="決算整理",13,MOD(MONTH($C1487)-4,12)+1))</f>
        <v/>
      </c>
      <c r="Q1487" s="366" t="str">
        <f>IF($G1487="","",TRIM(IF(J1487+K1487+L1487+M1487&lt;&gt;$G1487,"按分不一致 ","")&amp;IF(O1487="※未登録","科目未登録 ","")&amp;IF(OR($H1487="",ISERROR(MATCH($H1487,{1,2,3,4,5,6,7,8},0))),"経費区分? ","")&amp;IF($I1487="","状態未設定 ","")&amp;IF(AND(OR($I1487="確認済",$I1487="未確認"),$B1487="月例",OR($C1487="",$C1487&lt;DATE(年度+2018,4,1),$C1487&gt;DATE(年度+2019,3,31))),"年度外の日付 ","")&amp;IF(AND(OR($I1487="確認済",$I1487="未確認"),O1487="対象外"),"対象外の科目 ","")))</f>
        <v/>
      </c>
      <c r="R1487" s="366" t="n"/>
    </row>
    <row r="1488">
      <c r="A1488" s="359" t="n"/>
      <c r="B1488" s="360" t="n"/>
      <c r="C1488" s="361" t="n"/>
      <c r="D1488" s="362" t="n"/>
      <c r="E1488" s="362" t="n"/>
      <c r="F1488" s="362" t="n"/>
      <c r="G1488" s="363" t="n"/>
      <c r="H1488" s="360" t="n"/>
      <c r="I1488" s="360" t="n"/>
      <c r="J1488" s="364" t="str">
        <f>IF($G1488="","",IF($H1488=1,$G1488-ROUND($G1488*10/23,0)-2*ROUND($G1488/23,0),IF($H1488=2,$G1488,0)))</f>
        <v/>
      </c>
      <c r="K1488" s="364" t="str">
        <f>IF($G1488="","",IF($H1488=1,ROUND($G1488*10/23,0),IF($H1488=3,$G1488-2*ROUND($G1488/12,0),IF($H1488=4,$G1488,IF(OR($H1488=5,$H1488=7),ROUND($G1488*10/11,0),0)))))</f>
        <v/>
      </c>
      <c r="L1488" s="364" t="str">
        <f>IF($G1488="","",IF($H1488=1,ROUND($G1488/23,0),IF($H1488=3,ROUND($G1488/12,0),IF($H1488=5,$G1488-ROUND($G1488*10/11,0),IF($H1488=8,$G1488,0)))))</f>
        <v/>
      </c>
      <c r="M1488" s="364" t="str">
        <f>IF($G1488="","",IF($H1488=1,ROUND($G1488/23,0),IF($H1488=3,ROUND($G1488/12,0),IF($H1488=6,$G1488,IF($H1488=7,$G1488-ROUND($G1488*10/11,0),0)))))</f>
        <v/>
      </c>
      <c r="N1488" s="364" t="str">
        <f>IF($G1488="","",K1488+L1488+M1488)</f>
        <v/>
      </c>
      <c r="O1488" s="365" t="str">
        <f>IF($G1488="","",IFERROR(VLOOKUP($D1488&amp;"|"&amp;$E1488,科目表!$A$5:$B$200,2,FALSE),"※未登録"))</f>
        <v/>
      </c>
      <c r="P1488" s="359" t="str">
        <f>IF(OR($G1488="",$C1488=""),"",IF($B1488="決算整理",13,MOD(MONTH($C1488)-4,12)+1))</f>
        <v/>
      </c>
      <c r="Q1488" s="366" t="str">
        <f>IF($G1488="","",TRIM(IF(J1488+K1488+L1488+M1488&lt;&gt;$G1488,"按分不一致 ","")&amp;IF(O1488="※未登録","科目未登録 ","")&amp;IF(OR($H1488="",ISERROR(MATCH($H1488,{1,2,3,4,5,6,7,8},0))),"経費区分? ","")&amp;IF($I1488="","状態未設定 ","")&amp;IF(AND(OR($I1488="確認済",$I1488="未確認"),$B1488="月例",OR($C1488="",$C1488&lt;DATE(年度+2018,4,1),$C1488&gt;DATE(年度+2019,3,31))),"年度外の日付 ","")&amp;IF(AND(OR($I1488="確認済",$I1488="未確認"),O1488="対象外"),"対象外の科目 ","")))</f>
        <v/>
      </c>
      <c r="R1488" s="366" t="n"/>
    </row>
    <row r="1489">
      <c r="A1489" s="359" t="n"/>
      <c r="B1489" s="360" t="n"/>
      <c r="C1489" s="361" t="n"/>
      <c r="D1489" s="362" t="n"/>
      <c r="E1489" s="362" t="n"/>
      <c r="F1489" s="362" t="n"/>
      <c r="G1489" s="363" t="n"/>
      <c r="H1489" s="360" t="n"/>
      <c r="I1489" s="360" t="n"/>
      <c r="J1489" s="364" t="str">
        <f>IF($G1489="","",IF($H1489=1,$G1489-ROUND($G1489*10/23,0)-2*ROUND($G1489/23,0),IF($H1489=2,$G1489,0)))</f>
        <v/>
      </c>
      <c r="K1489" s="364" t="str">
        <f>IF($G1489="","",IF($H1489=1,ROUND($G1489*10/23,0),IF($H1489=3,$G1489-2*ROUND($G1489/12,0),IF($H1489=4,$G1489,IF(OR($H1489=5,$H1489=7),ROUND($G1489*10/11,0),0)))))</f>
        <v/>
      </c>
      <c r="L1489" s="364" t="str">
        <f>IF($G1489="","",IF($H1489=1,ROUND($G1489/23,0),IF($H1489=3,ROUND($G1489/12,0),IF($H1489=5,$G1489-ROUND($G1489*10/11,0),IF($H1489=8,$G1489,0)))))</f>
        <v/>
      </c>
      <c r="M1489" s="364" t="str">
        <f>IF($G1489="","",IF($H1489=1,ROUND($G1489/23,0),IF($H1489=3,ROUND($G1489/12,0),IF($H1489=6,$G1489,IF($H1489=7,$G1489-ROUND($G1489*10/11,0),0)))))</f>
        <v/>
      </c>
      <c r="N1489" s="364" t="str">
        <f>IF($G1489="","",K1489+L1489+M1489)</f>
        <v/>
      </c>
      <c r="O1489" s="365" t="str">
        <f>IF($G1489="","",IFERROR(VLOOKUP($D1489&amp;"|"&amp;$E1489,科目表!$A$5:$B$200,2,FALSE),"※未登録"))</f>
        <v/>
      </c>
      <c r="P1489" s="359" t="str">
        <f>IF(OR($G1489="",$C1489=""),"",IF($B1489="決算整理",13,MOD(MONTH($C1489)-4,12)+1))</f>
        <v/>
      </c>
      <c r="Q1489" s="366" t="str">
        <f>IF($G1489="","",TRIM(IF(J1489+K1489+L1489+M1489&lt;&gt;$G1489,"按分不一致 ","")&amp;IF(O1489="※未登録","科目未登録 ","")&amp;IF(OR($H1489="",ISERROR(MATCH($H1489,{1,2,3,4,5,6,7,8},0))),"経費区分? ","")&amp;IF($I1489="","状態未設定 ","")&amp;IF(AND(OR($I1489="確認済",$I1489="未確認"),$B1489="月例",OR($C1489="",$C1489&lt;DATE(年度+2018,4,1),$C1489&gt;DATE(年度+2019,3,31))),"年度外の日付 ","")&amp;IF(AND(OR($I1489="確認済",$I1489="未確認"),O1489="対象外"),"対象外の科目 ","")))</f>
        <v/>
      </c>
      <c r="R1489" s="366" t="n"/>
    </row>
    <row r="1490">
      <c r="A1490" s="359" t="n"/>
      <c r="B1490" s="360" t="n"/>
      <c r="C1490" s="361" t="n"/>
      <c r="D1490" s="362" t="n"/>
      <c r="E1490" s="362" t="n"/>
      <c r="F1490" s="362" t="n"/>
      <c r="G1490" s="363" t="n"/>
      <c r="H1490" s="360" t="n"/>
      <c r="I1490" s="360" t="n"/>
      <c r="J1490" s="364" t="str">
        <f>IF($G1490="","",IF($H1490=1,$G1490-ROUND($G1490*10/23,0)-2*ROUND($G1490/23,0),IF($H1490=2,$G1490,0)))</f>
        <v/>
      </c>
      <c r="K1490" s="364" t="str">
        <f>IF($G1490="","",IF($H1490=1,ROUND($G1490*10/23,0),IF($H1490=3,$G1490-2*ROUND($G1490/12,0),IF($H1490=4,$G1490,IF(OR($H1490=5,$H1490=7),ROUND($G1490*10/11,0),0)))))</f>
        <v/>
      </c>
      <c r="L1490" s="364" t="str">
        <f>IF($G1490="","",IF($H1490=1,ROUND($G1490/23,0),IF($H1490=3,ROUND($G1490/12,0),IF($H1490=5,$G1490-ROUND($G1490*10/11,0),IF($H1490=8,$G1490,0)))))</f>
        <v/>
      </c>
      <c r="M1490" s="364" t="str">
        <f>IF($G1490="","",IF($H1490=1,ROUND($G1490/23,0),IF($H1490=3,ROUND($G1490/12,0),IF($H1490=6,$G1490,IF($H1490=7,$G1490-ROUND($G1490*10/11,0),0)))))</f>
        <v/>
      </c>
      <c r="N1490" s="364" t="str">
        <f>IF($G1490="","",K1490+L1490+M1490)</f>
        <v/>
      </c>
      <c r="O1490" s="365" t="str">
        <f>IF($G1490="","",IFERROR(VLOOKUP($D1490&amp;"|"&amp;$E1490,科目表!$A$5:$B$200,2,FALSE),"※未登録"))</f>
        <v/>
      </c>
      <c r="P1490" s="359" t="str">
        <f>IF(OR($G1490="",$C1490=""),"",IF($B1490="決算整理",13,MOD(MONTH($C1490)-4,12)+1))</f>
        <v/>
      </c>
      <c r="Q1490" s="366" t="str">
        <f>IF($G1490="","",TRIM(IF(J1490+K1490+L1490+M1490&lt;&gt;$G1490,"按分不一致 ","")&amp;IF(O1490="※未登録","科目未登録 ","")&amp;IF(OR($H1490="",ISERROR(MATCH($H1490,{1,2,3,4,5,6,7,8},0))),"経費区分? ","")&amp;IF($I1490="","状態未設定 ","")&amp;IF(AND(OR($I1490="確認済",$I1490="未確認"),$B1490="月例",OR($C1490="",$C1490&lt;DATE(年度+2018,4,1),$C1490&gt;DATE(年度+2019,3,31))),"年度外の日付 ","")&amp;IF(AND(OR($I1490="確認済",$I1490="未確認"),O1490="対象外"),"対象外の科目 ","")))</f>
        <v/>
      </c>
      <c r="R1490" s="366" t="n"/>
    </row>
    <row r="1491">
      <c r="A1491" s="359" t="n"/>
      <c r="B1491" s="360" t="n"/>
      <c r="C1491" s="361" t="n"/>
      <c r="D1491" s="362" t="n"/>
      <c r="E1491" s="362" t="n"/>
      <c r="F1491" s="362" t="n"/>
      <c r="G1491" s="363" t="n"/>
      <c r="H1491" s="360" t="n"/>
      <c r="I1491" s="360" t="n"/>
      <c r="J1491" s="364" t="str">
        <f>IF($G1491="","",IF($H1491=1,$G1491-ROUND($G1491*10/23,0)-2*ROUND($G1491/23,0),IF($H1491=2,$G1491,0)))</f>
        <v/>
      </c>
      <c r="K1491" s="364" t="str">
        <f>IF($G1491="","",IF($H1491=1,ROUND($G1491*10/23,0),IF($H1491=3,$G1491-2*ROUND($G1491/12,0),IF($H1491=4,$G1491,IF(OR($H1491=5,$H1491=7),ROUND($G1491*10/11,0),0)))))</f>
        <v/>
      </c>
      <c r="L1491" s="364" t="str">
        <f>IF($G1491="","",IF($H1491=1,ROUND($G1491/23,0),IF($H1491=3,ROUND($G1491/12,0),IF($H1491=5,$G1491-ROUND($G1491*10/11,0),IF($H1491=8,$G1491,0)))))</f>
        <v/>
      </c>
      <c r="M1491" s="364" t="str">
        <f>IF($G1491="","",IF($H1491=1,ROUND($G1491/23,0),IF($H1491=3,ROUND($G1491/12,0),IF($H1491=6,$G1491,IF($H1491=7,$G1491-ROUND($G1491*10/11,0),0)))))</f>
        <v/>
      </c>
      <c r="N1491" s="364" t="str">
        <f>IF($G1491="","",K1491+L1491+M1491)</f>
        <v/>
      </c>
      <c r="O1491" s="365" t="str">
        <f>IF($G1491="","",IFERROR(VLOOKUP($D1491&amp;"|"&amp;$E1491,科目表!$A$5:$B$200,2,FALSE),"※未登録"))</f>
        <v/>
      </c>
      <c r="P1491" s="359" t="str">
        <f>IF(OR($G1491="",$C1491=""),"",IF($B1491="決算整理",13,MOD(MONTH($C1491)-4,12)+1))</f>
        <v/>
      </c>
      <c r="Q1491" s="366" t="str">
        <f>IF($G1491="","",TRIM(IF(J1491+K1491+L1491+M1491&lt;&gt;$G1491,"按分不一致 ","")&amp;IF(O1491="※未登録","科目未登録 ","")&amp;IF(OR($H1491="",ISERROR(MATCH($H1491,{1,2,3,4,5,6,7,8},0))),"経費区分? ","")&amp;IF($I1491="","状態未設定 ","")&amp;IF(AND(OR($I1491="確認済",$I1491="未確認"),$B1491="月例",OR($C1491="",$C1491&lt;DATE(年度+2018,4,1),$C1491&gt;DATE(年度+2019,3,31))),"年度外の日付 ","")&amp;IF(AND(OR($I1491="確認済",$I1491="未確認"),O1491="対象外"),"対象外の科目 ","")))</f>
        <v/>
      </c>
      <c r="R1491" s="366" t="n"/>
    </row>
    <row r="1492">
      <c r="A1492" s="359" t="n"/>
      <c r="B1492" s="360" t="n"/>
      <c r="C1492" s="361" t="n"/>
      <c r="D1492" s="362" t="n"/>
      <c r="E1492" s="362" t="n"/>
      <c r="F1492" s="362" t="n"/>
      <c r="G1492" s="363" t="n"/>
      <c r="H1492" s="360" t="n"/>
      <c r="I1492" s="360" t="n"/>
      <c r="J1492" s="364" t="str">
        <f>IF($G1492="","",IF($H1492=1,$G1492-ROUND($G1492*10/23,0)-2*ROUND($G1492/23,0),IF($H1492=2,$G1492,0)))</f>
        <v/>
      </c>
      <c r="K1492" s="364" t="str">
        <f>IF($G1492="","",IF($H1492=1,ROUND($G1492*10/23,0),IF($H1492=3,$G1492-2*ROUND($G1492/12,0),IF($H1492=4,$G1492,IF(OR($H1492=5,$H1492=7),ROUND($G1492*10/11,0),0)))))</f>
        <v/>
      </c>
      <c r="L1492" s="364" t="str">
        <f>IF($G1492="","",IF($H1492=1,ROUND($G1492/23,0),IF($H1492=3,ROUND($G1492/12,0),IF($H1492=5,$G1492-ROUND($G1492*10/11,0),IF($H1492=8,$G1492,0)))))</f>
        <v/>
      </c>
      <c r="M1492" s="364" t="str">
        <f>IF($G1492="","",IF($H1492=1,ROUND($G1492/23,0),IF($H1492=3,ROUND($G1492/12,0),IF($H1492=6,$G1492,IF($H1492=7,$G1492-ROUND($G1492*10/11,0),0)))))</f>
        <v/>
      </c>
      <c r="N1492" s="364" t="str">
        <f>IF($G1492="","",K1492+L1492+M1492)</f>
        <v/>
      </c>
      <c r="O1492" s="365" t="str">
        <f>IF($G1492="","",IFERROR(VLOOKUP($D1492&amp;"|"&amp;$E1492,科目表!$A$5:$B$200,2,FALSE),"※未登録"))</f>
        <v/>
      </c>
      <c r="P1492" s="359" t="str">
        <f>IF(OR($G1492="",$C1492=""),"",IF($B1492="決算整理",13,MOD(MONTH($C1492)-4,12)+1))</f>
        <v/>
      </c>
      <c r="Q1492" s="366" t="str">
        <f>IF($G1492="","",TRIM(IF(J1492+K1492+L1492+M1492&lt;&gt;$G1492,"按分不一致 ","")&amp;IF(O1492="※未登録","科目未登録 ","")&amp;IF(OR($H1492="",ISERROR(MATCH($H1492,{1,2,3,4,5,6,7,8},0))),"経費区分? ","")&amp;IF($I1492="","状態未設定 ","")&amp;IF(AND(OR($I1492="確認済",$I1492="未確認"),$B1492="月例",OR($C1492="",$C1492&lt;DATE(年度+2018,4,1),$C1492&gt;DATE(年度+2019,3,31))),"年度外の日付 ","")&amp;IF(AND(OR($I1492="確認済",$I1492="未確認"),O1492="対象外"),"対象外の科目 ","")))</f>
        <v/>
      </c>
      <c r="R1492" s="366" t="n"/>
    </row>
    <row r="1493">
      <c r="A1493" s="359" t="n"/>
      <c r="B1493" s="360" t="n"/>
      <c r="C1493" s="361" t="n"/>
      <c r="D1493" s="362" t="n"/>
      <c r="E1493" s="362" t="n"/>
      <c r="F1493" s="362" t="n"/>
      <c r="G1493" s="363" t="n"/>
      <c r="H1493" s="360" t="n"/>
      <c r="I1493" s="360" t="n"/>
      <c r="J1493" s="364" t="str">
        <f>IF($G1493="","",IF($H1493=1,$G1493-ROUND($G1493*10/23,0)-2*ROUND($G1493/23,0),IF($H1493=2,$G1493,0)))</f>
        <v/>
      </c>
      <c r="K1493" s="364" t="str">
        <f>IF($G1493="","",IF($H1493=1,ROUND($G1493*10/23,0),IF($H1493=3,$G1493-2*ROUND($G1493/12,0),IF($H1493=4,$G1493,IF(OR($H1493=5,$H1493=7),ROUND($G1493*10/11,0),0)))))</f>
        <v/>
      </c>
      <c r="L1493" s="364" t="str">
        <f>IF($G1493="","",IF($H1493=1,ROUND($G1493/23,0),IF($H1493=3,ROUND($G1493/12,0),IF($H1493=5,$G1493-ROUND($G1493*10/11,0),IF($H1493=8,$G1493,0)))))</f>
        <v/>
      </c>
      <c r="M1493" s="364" t="str">
        <f>IF($G1493="","",IF($H1493=1,ROUND($G1493/23,0),IF($H1493=3,ROUND($G1493/12,0),IF($H1493=6,$G1493,IF($H1493=7,$G1493-ROUND($G1493*10/11,0),0)))))</f>
        <v/>
      </c>
      <c r="N1493" s="364" t="str">
        <f>IF($G1493="","",K1493+L1493+M1493)</f>
        <v/>
      </c>
      <c r="O1493" s="365" t="str">
        <f>IF($G1493="","",IFERROR(VLOOKUP($D1493&amp;"|"&amp;$E1493,科目表!$A$5:$B$200,2,FALSE),"※未登録"))</f>
        <v/>
      </c>
      <c r="P1493" s="359" t="str">
        <f>IF(OR($G1493="",$C1493=""),"",IF($B1493="決算整理",13,MOD(MONTH($C1493)-4,12)+1))</f>
        <v/>
      </c>
      <c r="Q1493" s="366" t="str">
        <f>IF($G1493="","",TRIM(IF(J1493+K1493+L1493+M1493&lt;&gt;$G1493,"按分不一致 ","")&amp;IF(O1493="※未登録","科目未登録 ","")&amp;IF(OR($H1493="",ISERROR(MATCH($H1493,{1,2,3,4,5,6,7,8},0))),"経費区分? ","")&amp;IF($I1493="","状態未設定 ","")&amp;IF(AND(OR($I1493="確認済",$I1493="未確認"),$B1493="月例",OR($C1493="",$C1493&lt;DATE(年度+2018,4,1),$C1493&gt;DATE(年度+2019,3,31))),"年度外の日付 ","")&amp;IF(AND(OR($I1493="確認済",$I1493="未確認"),O1493="対象外"),"対象外の科目 ","")))</f>
        <v/>
      </c>
      <c r="R1493" s="366" t="n"/>
    </row>
    <row r="1494">
      <c r="A1494" s="359" t="n"/>
      <c r="B1494" s="360" t="n"/>
      <c r="C1494" s="361" t="n"/>
      <c r="D1494" s="362" t="n"/>
      <c r="E1494" s="362" t="n"/>
      <c r="F1494" s="362" t="n"/>
      <c r="G1494" s="363" t="n"/>
      <c r="H1494" s="360" t="n"/>
      <c r="I1494" s="360" t="n"/>
      <c r="J1494" s="364" t="str">
        <f>IF($G1494="","",IF($H1494=1,$G1494-ROUND($G1494*10/23,0)-2*ROUND($G1494/23,0),IF($H1494=2,$G1494,0)))</f>
        <v/>
      </c>
      <c r="K1494" s="364" t="str">
        <f>IF($G1494="","",IF($H1494=1,ROUND($G1494*10/23,0),IF($H1494=3,$G1494-2*ROUND($G1494/12,0),IF($H1494=4,$G1494,IF(OR($H1494=5,$H1494=7),ROUND($G1494*10/11,0),0)))))</f>
        <v/>
      </c>
      <c r="L1494" s="364" t="str">
        <f>IF($G1494="","",IF($H1494=1,ROUND($G1494/23,0),IF($H1494=3,ROUND($G1494/12,0),IF($H1494=5,$G1494-ROUND($G1494*10/11,0),IF($H1494=8,$G1494,0)))))</f>
        <v/>
      </c>
      <c r="M1494" s="364" t="str">
        <f>IF($G1494="","",IF($H1494=1,ROUND($G1494/23,0),IF($H1494=3,ROUND($G1494/12,0),IF($H1494=6,$G1494,IF($H1494=7,$G1494-ROUND($G1494*10/11,0),0)))))</f>
        <v/>
      </c>
      <c r="N1494" s="364" t="str">
        <f>IF($G1494="","",K1494+L1494+M1494)</f>
        <v/>
      </c>
      <c r="O1494" s="365" t="str">
        <f>IF($G1494="","",IFERROR(VLOOKUP($D1494&amp;"|"&amp;$E1494,科目表!$A$5:$B$200,2,FALSE),"※未登録"))</f>
        <v/>
      </c>
      <c r="P1494" s="359" t="str">
        <f>IF(OR($G1494="",$C1494=""),"",IF($B1494="決算整理",13,MOD(MONTH($C1494)-4,12)+1))</f>
        <v/>
      </c>
      <c r="Q1494" s="366" t="str">
        <f>IF($G1494="","",TRIM(IF(J1494+K1494+L1494+M1494&lt;&gt;$G1494,"按分不一致 ","")&amp;IF(O1494="※未登録","科目未登録 ","")&amp;IF(OR($H1494="",ISERROR(MATCH($H1494,{1,2,3,4,5,6,7,8},0))),"経費区分? ","")&amp;IF($I1494="","状態未設定 ","")&amp;IF(AND(OR($I1494="確認済",$I1494="未確認"),$B1494="月例",OR($C1494="",$C1494&lt;DATE(年度+2018,4,1),$C1494&gt;DATE(年度+2019,3,31))),"年度外の日付 ","")&amp;IF(AND(OR($I1494="確認済",$I1494="未確認"),O1494="対象外"),"対象外の科目 ","")))</f>
        <v/>
      </c>
      <c r="R1494" s="366" t="n"/>
    </row>
    <row r="1495">
      <c r="A1495" s="359" t="n"/>
      <c r="B1495" s="360" t="n"/>
      <c r="C1495" s="361" t="n"/>
      <c r="D1495" s="362" t="n"/>
      <c r="E1495" s="362" t="n"/>
      <c r="F1495" s="362" t="n"/>
      <c r="G1495" s="363" t="n"/>
      <c r="H1495" s="360" t="n"/>
      <c r="I1495" s="360" t="n"/>
      <c r="J1495" s="364" t="str">
        <f>IF($G1495="","",IF($H1495=1,$G1495-ROUND($G1495*10/23,0)-2*ROUND($G1495/23,0),IF($H1495=2,$G1495,0)))</f>
        <v/>
      </c>
      <c r="K1495" s="364" t="str">
        <f>IF($G1495="","",IF($H1495=1,ROUND($G1495*10/23,0),IF($H1495=3,$G1495-2*ROUND($G1495/12,0),IF($H1495=4,$G1495,IF(OR($H1495=5,$H1495=7),ROUND($G1495*10/11,0),0)))))</f>
        <v/>
      </c>
      <c r="L1495" s="364" t="str">
        <f>IF($G1495="","",IF($H1495=1,ROUND($G1495/23,0),IF($H1495=3,ROUND($G1495/12,0),IF($H1495=5,$G1495-ROUND($G1495*10/11,0),IF($H1495=8,$G1495,0)))))</f>
        <v/>
      </c>
      <c r="M1495" s="364" t="str">
        <f>IF($G1495="","",IF($H1495=1,ROUND($G1495/23,0),IF($H1495=3,ROUND($G1495/12,0),IF($H1495=6,$G1495,IF($H1495=7,$G1495-ROUND($G1495*10/11,0),0)))))</f>
        <v/>
      </c>
      <c r="N1495" s="364" t="str">
        <f>IF($G1495="","",K1495+L1495+M1495)</f>
        <v/>
      </c>
      <c r="O1495" s="365" t="str">
        <f>IF($G1495="","",IFERROR(VLOOKUP($D1495&amp;"|"&amp;$E1495,科目表!$A$5:$B$200,2,FALSE),"※未登録"))</f>
        <v/>
      </c>
      <c r="P1495" s="359" t="str">
        <f>IF(OR($G1495="",$C1495=""),"",IF($B1495="決算整理",13,MOD(MONTH($C1495)-4,12)+1))</f>
        <v/>
      </c>
      <c r="Q1495" s="366" t="str">
        <f>IF($G1495="","",TRIM(IF(J1495+K1495+L1495+M1495&lt;&gt;$G1495,"按分不一致 ","")&amp;IF(O1495="※未登録","科目未登録 ","")&amp;IF(OR($H1495="",ISERROR(MATCH($H1495,{1,2,3,4,5,6,7,8},0))),"経費区分? ","")&amp;IF($I1495="","状態未設定 ","")&amp;IF(AND(OR($I1495="確認済",$I1495="未確認"),$B1495="月例",OR($C1495="",$C1495&lt;DATE(年度+2018,4,1),$C1495&gt;DATE(年度+2019,3,31))),"年度外の日付 ","")&amp;IF(AND(OR($I1495="確認済",$I1495="未確認"),O1495="対象外"),"対象外の科目 ","")))</f>
        <v/>
      </c>
      <c r="R1495" s="366" t="n"/>
    </row>
    <row r="1496">
      <c r="A1496" s="359" t="n"/>
      <c r="B1496" s="360" t="n"/>
      <c r="C1496" s="361" t="n"/>
      <c r="D1496" s="362" t="n"/>
      <c r="E1496" s="362" t="n"/>
      <c r="F1496" s="362" t="n"/>
      <c r="G1496" s="363" t="n"/>
      <c r="H1496" s="360" t="n"/>
      <c r="I1496" s="360" t="n"/>
      <c r="J1496" s="364" t="str">
        <f>IF($G1496="","",IF($H1496=1,$G1496-ROUND($G1496*10/23,0)-2*ROUND($G1496/23,0),IF($H1496=2,$G1496,0)))</f>
        <v/>
      </c>
      <c r="K1496" s="364" t="str">
        <f>IF($G1496="","",IF($H1496=1,ROUND($G1496*10/23,0),IF($H1496=3,$G1496-2*ROUND($G1496/12,0),IF($H1496=4,$G1496,IF(OR($H1496=5,$H1496=7),ROUND($G1496*10/11,0),0)))))</f>
        <v/>
      </c>
      <c r="L1496" s="364" t="str">
        <f>IF($G1496="","",IF($H1496=1,ROUND($G1496/23,0),IF($H1496=3,ROUND($G1496/12,0),IF($H1496=5,$G1496-ROUND($G1496*10/11,0),IF($H1496=8,$G1496,0)))))</f>
        <v/>
      </c>
      <c r="M1496" s="364" t="str">
        <f>IF($G1496="","",IF($H1496=1,ROUND($G1496/23,0),IF($H1496=3,ROUND($G1496/12,0),IF($H1496=6,$G1496,IF($H1496=7,$G1496-ROUND($G1496*10/11,0),0)))))</f>
        <v/>
      </c>
      <c r="N1496" s="364" t="str">
        <f>IF($G1496="","",K1496+L1496+M1496)</f>
        <v/>
      </c>
      <c r="O1496" s="365" t="str">
        <f>IF($G1496="","",IFERROR(VLOOKUP($D1496&amp;"|"&amp;$E1496,科目表!$A$5:$B$200,2,FALSE),"※未登録"))</f>
        <v/>
      </c>
      <c r="P1496" s="359" t="str">
        <f>IF(OR($G1496="",$C1496=""),"",IF($B1496="決算整理",13,MOD(MONTH($C1496)-4,12)+1))</f>
        <v/>
      </c>
      <c r="Q1496" s="366" t="str">
        <f>IF($G1496="","",TRIM(IF(J1496+K1496+L1496+M1496&lt;&gt;$G1496,"按分不一致 ","")&amp;IF(O1496="※未登録","科目未登録 ","")&amp;IF(OR($H1496="",ISERROR(MATCH($H1496,{1,2,3,4,5,6,7,8},0))),"経費区分? ","")&amp;IF($I1496="","状態未設定 ","")&amp;IF(AND(OR($I1496="確認済",$I1496="未確認"),$B1496="月例",OR($C1496="",$C1496&lt;DATE(年度+2018,4,1),$C1496&gt;DATE(年度+2019,3,31))),"年度外の日付 ","")&amp;IF(AND(OR($I1496="確認済",$I1496="未確認"),O1496="対象外"),"対象外の科目 ","")))</f>
        <v/>
      </c>
      <c r="R1496" s="366" t="n"/>
    </row>
    <row r="1497">
      <c r="A1497" s="359" t="n"/>
      <c r="B1497" s="360" t="n"/>
      <c r="C1497" s="361" t="n"/>
      <c r="D1497" s="362" t="n"/>
      <c r="E1497" s="362" t="n"/>
      <c r="F1497" s="362" t="n"/>
      <c r="G1497" s="363" t="n"/>
      <c r="H1497" s="360" t="n"/>
      <c r="I1497" s="360" t="n"/>
      <c r="J1497" s="364" t="str">
        <f>IF($G1497="","",IF($H1497=1,$G1497-ROUND($G1497*10/23,0)-2*ROUND($G1497/23,0),IF($H1497=2,$G1497,0)))</f>
        <v/>
      </c>
      <c r="K1497" s="364" t="str">
        <f>IF($G1497="","",IF($H1497=1,ROUND($G1497*10/23,0),IF($H1497=3,$G1497-2*ROUND($G1497/12,0),IF($H1497=4,$G1497,IF(OR($H1497=5,$H1497=7),ROUND($G1497*10/11,0),0)))))</f>
        <v/>
      </c>
      <c r="L1497" s="364" t="str">
        <f>IF($G1497="","",IF($H1497=1,ROUND($G1497/23,0),IF($H1497=3,ROUND($G1497/12,0),IF($H1497=5,$G1497-ROUND($G1497*10/11,0),IF($H1497=8,$G1497,0)))))</f>
        <v/>
      </c>
      <c r="M1497" s="364" t="str">
        <f>IF($G1497="","",IF($H1497=1,ROUND($G1497/23,0),IF($H1497=3,ROUND($G1497/12,0),IF($H1497=6,$G1497,IF($H1497=7,$G1497-ROUND($G1497*10/11,0),0)))))</f>
        <v/>
      </c>
      <c r="N1497" s="364" t="str">
        <f>IF($G1497="","",K1497+L1497+M1497)</f>
        <v/>
      </c>
      <c r="O1497" s="365" t="str">
        <f>IF($G1497="","",IFERROR(VLOOKUP($D1497&amp;"|"&amp;$E1497,科目表!$A$5:$B$200,2,FALSE),"※未登録"))</f>
        <v/>
      </c>
      <c r="P1497" s="359" t="str">
        <f>IF(OR($G1497="",$C1497=""),"",IF($B1497="決算整理",13,MOD(MONTH($C1497)-4,12)+1))</f>
        <v/>
      </c>
      <c r="Q1497" s="366" t="str">
        <f>IF($G1497="","",TRIM(IF(J1497+K1497+L1497+M1497&lt;&gt;$G1497,"按分不一致 ","")&amp;IF(O1497="※未登録","科目未登録 ","")&amp;IF(OR($H1497="",ISERROR(MATCH($H1497,{1,2,3,4,5,6,7,8},0))),"経費区分? ","")&amp;IF($I1497="","状態未設定 ","")&amp;IF(AND(OR($I1497="確認済",$I1497="未確認"),$B1497="月例",OR($C1497="",$C1497&lt;DATE(年度+2018,4,1),$C1497&gt;DATE(年度+2019,3,31))),"年度外の日付 ","")&amp;IF(AND(OR($I1497="確認済",$I1497="未確認"),O1497="対象外"),"対象外の科目 ","")))</f>
        <v/>
      </c>
      <c r="R1497" s="366" t="n"/>
    </row>
    <row r="1498">
      <c r="A1498" s="359" t="n"/>
      <c r="B1498" s="360" t="n"/>
      <c r="C1498" s="361" t="n"/>
      <c r="D1498" s="362" t="n"/>
      <c r="E1498" s="362" t="n"/>
      <c r="F1498" s="362" t="n"/>
      <c r="G1498" s="363" t="n"/>
      <c r="H1498" s="360" t="n"/>
      <c r="I1498" s="360" t="n"/>
      <c r="J1498" s="364" t="str">
        <f>IF($G1498="","",IF($H1498=1,$G1498-ROUND($G1498*10/23,0)-2*ROUND($G1498/23,0),IF($H1498=2,$G1498,0)))</f>
        <v/>
      </c>
      <c r="K1498" s="364" t="str">
        <f>IF($G1498="","",IF($H1498=1,ROUND($G1498*10/23,0),IF($H1498=3,$G1498-2*ROUND($G1498/12,0),IF($H1498=4,$G1498,IF(OR($H1498=5,$H1498=7),ROUND($G1498*10/11,0),0)))))</f>
        <v/>
      </c>
      <c r="L1498" s="364" t="str">
        <f>IF($G1498="","",IF($H1498=1,ROUND($G1498/23,0),IF($H1498=3,ROUND($G1498/12,0),IF($H1498=5,$G1498-ROUND($G1498*10/11,0),IF($H1498=8,$G1498,0)))))</f>
        <v/>
      </c>
      <c r="M1498" s="364" t="str">
        <f>IF($G1498="","",IF($H1498=1,ROUND($G1498/23,0),IF($H1498=3,ROUND($G1498/12,0),IF($H1498=6,$G1498,IF($H1498=7,$G1498-ROUND($G1498*10/11,0),0)))))</f>
        <v/>
      </c>
      <c r="N1498" s="364" t="str">
        <f>IF($G1498="","",K1498+L1498+M1498)</f>
        <v/>
      </c>
      <c r="O1498" s="365" t="str">
        <f>IF($G1498="","",IFERROR(VLOOKUP($D1498&amp;"|"&amp;$E1498,科目表!$A$5:$B$200,2,FALSE),"※未登録"))</f>
        <v/>
      </c>
      <c r="P1498" s="359" t="str">
        <f>IF(OR($G1498="",$C1498=""),"",IF($B1498="決算整理",13,MOD(MONTH($C1498)-4,12)+1))</f>
        <v/>
      </c>
      <c r="Q1498" s="366" t="str">
        <f>IF($G1498="","",TRIM(IF(J1498+K1498+L1498+M1498&lt;&gt;$G1498,"按分不一致 ","")&amp;IF(O1498="※未登録","科目未登録 ","")&amp;IF(OR($H1498="",ISERROR(MATCH($H1498,{1,2,3,4,5,6,7,8},0))),"経費区分? ","")&amp;IF($I1498="","状態未設定 ","")&amp;IF(AND(OR($I1498="確認済",$I1498="未確認"),$B1498="月例",OR($C1498="",$C1498&lt;DATE(年度+2018,4,1),$C1498&gt;DATE(年度+2019,3,31))),"年度外の日付 ","")&amp;IF(AND(OR($I1498="確認済",$I1498="未確認"),O1498="対象外"),"対象外の科目 ","")))</f>
        <v/>
      </c>
      <c r="R1498" s="366" t="n"/>
    </row>
    <row r="1499">
      <c r="A1499" s="359" t="n"/>
      <c r="B1499" s="360" t="n"/>
      <c r="C1499" s="361" t="n"/>
      <c r="D1499" s="362" t="n"/>
      <c r="E1499" s="362" t="n"/>
      <c r="F1499" s="362" t="n"/>
      <c r="G1499" s="363" t="n"/>
      <c r="H1499" s="360" t="n"/>
      <c r="I1499" s="360" t="n"/>
      <c r="J1499" s="364" t="str">
        <f>IF($G1499="","",IF($H1499=1,$G1499-ROUND($G1499*10/23,0)-2*ROUND($G1499/23,0),IF($H1499=2,$G1499,0)))</f>
        <v/>
      </c>
      <c r="K1499" s="364" t="str">
        <f>IF($G1499="","",IF($H1499=1,ROUND($G1499*10/23,0),IF($H1499=3,$G1499-2*ROUND($G1499/12,0),IF($H1499=4,$G1499,IF(OR($H1499=5,$H1499=7),ROUND($G1499*10/11,0),0)))))</f>
        <v/>
      </c>
      <c r="L1499" s="364" t="str">
        <f>IF($G1499="","",IF($H1499=1,ROUND($G1499/23,0),IF($H1499=3,ROUND($G1499/12,0),IF($H1499=5,$G1499-ROUND($G1499*10/11,0),IF($H1499=8,$G1499,0)))))</f>
        <v/>
      </c>
      <c r="M1499" s="364" t="str">
        <f>IF($G1499="","",IF($H1499=1,ROUND($G1499/23,0),IF($H1499=3,ROUND($G1499/12,0),IF($H1499=6,$G1499,IF($H1499=7,$G1499-ROUND($G1499*10/11,0),0)))))</f>
        <v/>
      </c>
      <c r="N1499" s="364" t="str">
        <f>IF($G1499="","",K1499+L1499+M1499)</f>
        <v/>
      </c>
      <c r="O1499" s="365" t="str">
        <f>IF($G1499="","",IFERROR(VLOOKUP($D1499&amp;"|"&amp;$E1499,科目表!$A$5:$B$200,2,FALSE),"※未登録"))</f>
        <v/>
      </c>
      <c r="P1499" s="359" t="str">
        <f>IF(OR($G1499="",$C1499=""),"",IF($B1499="決算整理",13,MOD(MONTH($C1499)-4,12)+1))</f>
        <v/>
      </c>
      <c r="Q1499" s="366" t="str">
        <f>IF($G1499="","",TRIM(IF(J1499+K1499+L1499+M1499&lt;&gt;$G1499,"按分不一致 ","")&amp;IF(O1499="※未登録","科目未登録 ","")&amp;IF(OR($H1499="",ISERROR(MATCH($H1499,{1,2,3,4,5,6,7,8},0))),"経費区分? ","")&amp;IF($I1499="","状態未設定 ","")&amp;IF(AND(OR($I1499="確認済",$I1499="未確認"),$B1499="月例",OR($C1499="",$C1499&lt;DATE(年度+2018,4,1),$C1499&gt;DATE(年度+2019,3,31))),"年度外の日付 ","")&amp;IF(AND(OR($I1499="確認済",$I1499="未確認"),O1499="対象外"),"対象外の科目 ","")))</f>
        <v/>
      </c>
      <c r="R1499" s="366" t="n"/>
    </row>
    <row r="1500">
      <c r="A1500" s="359" t="n"/>
      <c r="B1500" s="360" t="n"/>
      <c r="C1500" s="361" t="n"/>
      <c r="D1500" s="362" t="n"/>
      <c r="E1500" s="362" t="n"/>
      <c r="F1500" s="362" t="n"/>
      <c r="G1500" s="363" t="n"/>
      <c r="H1500" s="360" t="n"/>
      <c r="I1500" s="360" t="n"/>
      <c r="J1500" s="364" t="str">
        <f>IF($G1500="","",IF($H1500=1,$G1500-ROUND($G1500*10/23,0)-2*ROUND($G1500/23,0),IF($H1500=2,$G1500,0)))</f>
        <v/>
      </c>
      <c r="K1500" s="364" t="str">
        <f>IF($G1500="","",IF($H1500=1,ROUND($G1500*10/23,0),IF($H1500=3,$G1500-2*ROUND($G1500/12,0),IF($H1500=4,$G1500,IF(OR($H1500=5,$H1500=7),ROUND($G1500*10/11,0),0)))))</f>
        <v/>
      </c>
      <c r="L1500" s="364" t="str">
        <f>IF($G1500="","",IF($H1500=1,ROUND($G1500/23,0),IF($H1500=3,ROUND($G1500/12,0),IF($H1500=5,$G1500-ROUND($G1500*10/11,0),IF($H1500=8,$G1500,0)))))</f>
        <v/>
      </c>
      <c r="M1500" s="364" t="str">
        <f>IF($G1500="","",IF($H1500=1,ROUND($G1500/23,0),IF($H1500=3,ROUND($G1500/12,0),IF($H1500=6,$G1500,IF($H1500=7,$G1500-ROUND($G1500*10/11,0),0)))))</f>
        <v/>
      </c>
      <c r="N1500" s="364" t="str">
        <f>IF($G1500="","",K1500+L1500+M1500)</f>
        <v/>
      </c>
      <c r="O1500" s="365" t="str">
        <f>IF($G1500="","",IFERROR(VLOOKUP($D1500&amp;"|"&amp;$E1500,科目表!$A$5:$B$200,2,FALSE),"※未登録"))</f>
        <v/>
      </c>
      <c r="P1500" s="359" t="str">
        <f>IF(OR($G1500="",$C1500=""),"",IF($B1500="決算整理",13,MOD(MONTH($C1500)-4,12)+1))</f>
        <v/>
      </c>
      <c r="Q1500" s="366" t="str">
        <f>IF($G1500="","",TRIM(IF(J1500+K1500+L1500+M1500&lt;&gt;$G1500,"按分不一致 ","")&amp;IF(O1500="※未登録","科目未登録 ","")&amp;IF(OR($H1500="",ISERROR(MATCH($H1500,{1,2,3,4,5,6,7,8},0))),"経費区分? ","")&amp;IF($I1500="","状態未設定 ","")&amp;IF(AND(OR($I1500="確認済",$I1500="未確認"),$B1500="月例",OR($C1500="",$C1500&lt;DATE(年度+2018,4,1),$C1500&gt;DATE(年度+2019,3,31))),"年度外の日付 ","")&amp;IF(AND(OR($I1500="確認済",$I1500="未確認"),O1500="対象外"),"対象外の科目 ","")))</f>
        <v/>
      </c>
      <c r="R1500" s="366" t="n"/>
    </row>
    <row r="1501">
      <c r="A1501" s="359" t="n"/>
      <c r="B1501" s="360" t="n"/>
      <c r="C1501" s="361" t="n"/>
      <c r="D1501" s="362" t="n"/>
      <c r="E1501" s="362" t="n"/>
      <c r="F1501" s="362" t="n"/>
      <c r="G1501" s="363" t="n"/>
      <c r="H1501" s="360" t="n"/>
      <c r="I1501" s="360" t="n"/>
      <c r="J1501" s="364" t="str">
        <f>IF($G1501="","",IF($H1501=1,$G1501-ROUND($G1501*10/23,0)-2*ROUND($G1501/23,0),IF($H1501=2,$G1501,0)))</f>
        <v/>
      </c>
      <c r="K1501" s="364" t="str">
        <f>IF($G1501="","",IF($H1501=1,ROUND($G1501*10/23,0),IF($H1501=3,$G1501-2*ROUND($G1501/12,0),IF($H1501=4,$G1501,IF(OR($H1501=5,$H1501=7),ROUND($G1501*10/11,0),0)))))</f>
        <v/>
      </c>
      <c r="L1501" s="364" t="str">
        <f>IF($G1501="","",IF($H1501=1,ROUND($G1501/23,0),IF($H1501=3,ROUND($G1501/12,0),IF($H1501=5,$G1501-ROUND($G1501*10/11,0),IF($H1501=8,$G1501,0)))))</f>
        <v/>
      </c>
      <c r="M1501" s="364" t="str">
        <f>IF($G1501="","",IF($H1501=1,ROUND($G1501/23,0),IF($H1501=3,ROUND($G1501/12,0),IF($H1501=6,$G1501,IF($H1501=7,$G1501-ROUND($G1501*10/11,0),0)))))</f>
        <v/>
      </c>
      <c r="N1501" s="364" t="str">
        <f>IF($G1501="","",K1501+L1501+M1501)</f>
        <v/>
      </c>
      <c r="O1501" s="365" t="str">
        <f>IF($G1501="","",IFERROR(VLOOKUP($D1501&amp;"|"&amp;$E1501,科目表!$A$5:$B$200,2,FALSE),"※未登録"))</f>
        <v/>
      </c>
      <c r="P1501" s="359" t="str">
        <f>IF(OR($G1501="",$C1501=""),"",IF($B1501="決算整理",13,MOD(MONTH($C1501)-4,12)+1))</f>
        <v/>
      </c>
      <c r="Q1501" s="366" t="str">
        <f>IF($G1501="","",TRIM(IF(J1501+K1501+L1501+M1501&lt;&gt;$G1501,"按分不一致 ","")&amp;IF(O1501="※未登録","科目未登録 ","")&amp;IF(OR($H1501="",ISERROR(MATCH($H1501,{1,2,3,4,5,6,7,8},0))),"経費区分? ","")&amp;IF($I1501="","状態未設定 ","")&amp;IF(AND(OR($I1501="確認済",$I1501="未確認"),$B1501="月例",OR($C1501="",$C1501&lt;DATE(年度+2018,4,1),$C1501&gt;DATE(年度+2019,3,31))),"年度外の日付 ","")&amp;IF(AND(OR($I1501="確認済",$I1501="未確認"),O1501="対象外"),"対象外の科目 ","")))</f>
        <v/>
      </c>
      <c r="R1501" s="366" t="n"/>
    </row>
    <row r="1502">
      <c r="A1502" s="359" t="n"/>
      <c r="B1502" s="360" t="n"/>
      <c r="C1502" s="361" t="n"/>
      <c r="D1502" s="362" t="n"/>
      <c r="E1502" s="362" t="n"/>
      <c r="F1502" s="362" t="n"/>
      <c r="G1502" s="363" t="n"/>
      <c r="H1502" s="360" t="n"/>
      <c r="I1502" s="360" t="n"/>
      <c r="J1502" s="364" t="str">
        <f>IF($G1502="","",IF($H1502=1,$G1502-ROUND($G1502*10/23,0)-2*ROUND($G1502/23,0),IF($H1502=2,$G1502,0)))</f>
        <v/>
      </c>
      <c r="K1502" s="364" t="str">
        <f>IF($G1502="","",IF($H1502=1,ROUND($G1502*10/23,0),IF($H1502=3,$G1502-2*ROUND($G1502/12,0),IF($H1502=4,$G1502,IF(OR($H1502=5,$H1502=7),ROUND($G1502*10/11,0),0)))))</f>
        <v/>
      </c>
      <c r="L1502" s="364" t="str">
        <f>IF($G1502="","",IF($H1502=1,ROUND($G1502/23,0),IF($H1502=3,ROUND($G1502/12,0),IF($H1502=5,$G1502-ROUND($G1502*10/11,0),IF($H1502=8,$G1502,0)))))</f>
        <v/>
      </c>
      <c r="M1502" s="364" t="str">
        <f>IF($G1502="","",IF($H1502=1,ROUND($G1502/23,0),IF($H1502=3,ROUND($G1502/12,0),IF($H1502=6,$G1502,IF($H1502=7,$G1502-ROUND($G1502*10/11,0),0)))))</f>
        <v/>
      </c>
      <c r="N1502" s="364" t="str">
        <f>IF($G1502="","",K1502+L1502+M1502)</f>
        <v/>
      </c>
      <c r="O1502" s="365" t="str">
        <f>IF($G1502="","",IFERROR(VLOOKUP($D1502&amp;"|"&amp;$E1502,科目表!$A$5:$B$200,2,FALSE),"※未登録"))</f>
        <v/>
      </c>
      <c r="P1502" s="359" t="str">
        <f>IF(OR($G1502="",$C1502=""),"",IF($B1502="決算整理",13,MOD(MONTH($C1502)-4,12)+1))</f>
        <v/>
      </c>
      <c r="Q1502" s="366" t="str">
        <f>IF($G1502="","",TRIM(IF(J1502+K1502+L1502+M1502&lt;&gt;$G1502,"按分不一致 ","")&amp;IF(O1502="※未登録","科目未登録 ","")&amp;IF(OR($H1502="",ISERROR(MATCH($H1502,{1,2,3,4,5,6,7,8},0))),"経費区分? ","")&amp;IF($I1502="","状態未設定 ","")&amp;IF(AND(OR($I1502="確認済",$I1502="未確認"),$B1502="月例",OR($C1502="",$C1502&lt;DATE(年度+2018,4,1),$C1502&gt;DATE(年度+2019,3,31))),"年度外の日付 ","")&amp;IF(AND(OR($I1502="確認済",$I1502="未確認"),O1502="対象外"),"対象外の科目 ","")))</f>
        <v/>
      </c>
      <c r="R1502" s="366" t="n"/>
    </row>
    <row r="1503">
      <c r="A1503" s="359" t="n"/>
      <c r="B1503" s="360" t="n"/>
      <c r="C1503" s="361" t="n"/>
      <c r="D1503" s="362" t="n"/>
      <c r="E1503" s="362" t="n"/>
      <c r="F1503" s="362" t="n"/>
      <c r="G1503" s="363" t="n"/>
      <c r="H1503" s="360" t="n"/>
      <c r="I1503" s="360" t="n"/>
      <c r="J1503" s="364" t="str">
        <f>IF($G1503="","",IF($H1503=1,$G1503-ROUND($G1503*10/23,0)-2*ROUND($G1503/23,0),IF($H1503=2,$G1503,0)))</f>
        <v/>
      </c>
      <c r="K1503" s="364" t="str">
        <f>IF($G1503="","",IF($H1503=1,ROUND($G1503*10/23,0),IF($H1503=3,$G1503-2*ROUND($G1503/12,0),IF($H1503=4,$G1503,IF(OR($H1503=5,$H1503=7),ROUND($G1503*10/11,0),0)))))</f>
        <v/>
      </c>
      <c r="L1503" s="364" t="str">
        <f>IF($G1503="","",IF($H1503=1,ROUND($G1503/23,0),IF($H1503=3,ROUND($G1503/12,0),IF($H1503=5,$G1503-ROUND($G1503*10/11,0),IF($H1503=8,$G1503,0)))))</f>
        <v/>
      </c>
      <c r="M1503" s="364" t="str">
        <f>IF($G1503="","",IF($H1503=1,ROUND($G1503/23,0),IF($H1503=3,ROUND($G1503/12,0),IF($H1503=6,$G1503,IF($H1503=7,$G1503-ROUND($G1503*10/11,0),0)))))</f>
        <v/>
      </c>
      <c r="N1503" s="364" t="str">
        <f>IF($G1503="","",K1503+L1503+M1503)</f>
        <v/>
      </c>
      <c r="O1503" s="365" t="str">
        <f>IF($G1503="","",IFERROR(VLOOKUP($D1503&amp;"|"&amp;$E1503,科目表!$A$5:$B$200,2,FALSE),"※未登録"))</f>
        <v/>
      </c>
      <c r="P1503" s="359" t="str">
        <f>IF(OR($G1503="",$C1503=""),"",IF($B1503="決算整理",13,MOD(MONTH($C1503)-4,12)+1))</f>
        <v/>
      </c>
      <c r="Q1503" s="366" t="str">
        <f>IF($G1503="","",TRIM(IF(J1503+K1503+L1503+M1503&lt;&gt;$G1503,"按分不一致 ","")&amp;IF(O1503="※未登録","科目未登録 ","")&amp;IF(OR($H1503="",ISERROR(MATCH($H1503,{1,2,3,4,5,6,7,8},0))),"経費区分? ","")&amp;IF($I1503="","状態未設定 ","")&amp;IF(AND(OR($I1503="確認済",$I1503="未確認"),$B1503="月例",OR($C1503="",$C1503&lt;DATE(年度+2018,4,1),$C1503&gt;DATE(年度+2019,3,31))),"年度外の日付 ","")&amp;IF(AND(OR($I1503="確認済",$I1503="未確認"),O1503="対象外"),"対象外の科目 ","")))</f>
        <v/>
      </c>
      <c r="R1503" s="366" t="n"/>
    </row>
    <row r="1504">
      <c r="A1504" s="359" t="n"/>
      <c r="B1504" s="360" t="n"/>
      <c r="C1504" s="361" t="n"/>
      <c r="D1504" s="362" t="n"/>
      <c r="E1504" s="362" t="n"/>
      <c r="F1504" s="362" t="n"/>
      <c r="G1504" s="363" t="n"/>
      <c r="H1504" s="360" t="n"/>
      <c r="I1504" s="360" t="n"/>
      <c r="J1504" s="364" t="str">
        <f>IF($G1504="","",IF($H1504=1,$G1504-ROUND($G1504*10/23,0)-2*ROUND($G1504/23,0),IF($H1504=2,$G1504,0)))</f>
        <v/>
      </c>
      <c r="K1504" s="364" t="str">
        <f>IF($G1504="","",IF($H1504=1,ROUND($G1504*10/23,0),IF($H1504=3,$G1504-2*ROUND($G1504/12,0),IF($H1504=4,$G1504,IF(OR($H1504=5,$H1504=7),ROUND($G1504*10/11,0),0)))))</f>
        <v/>
      </c>
      <c r="L1504" s="364" t="str">
        <f>IF($G1504="","",IF($H1504=1,ROUND($G1504/23,0),IF($H1504=3,ROUND($G1504/12,0),IF($H1504=5,$G1504-ROUND($G1504*10/11,0),IF($H1504=8,$G1504,0)))))</f>
        <v/>
      </c>
      <c r="M1504" s="364" t="str">
        <f>IF($G1504="","",IF($H1504=1,ROUND($G1504/23,0),IF($H1504=3,ROUND($G1504/12,0),IF($H1504=6,$G1504,IF($H1504=7,$G1504-ROUND($G1504*10/11,0),0)))))</f>
        <v/>
      </c>
      <c r="N1504" s="364" t="str">
        <f>IF($G1504="","",K1504+L1504+M1504)</f>
        <v/>
      </c>
      <c r="O1504" s="365" t="str">
        <f>IF($G1504="","",IFERROR(VLOOKUP($D1504&amp;"|"&amp;$E1504,科目表!$A$5:$B$200,2,FALSE),"※未登録"))</f>
        <v/>
      </c>
      <c r="P1504" s="359" t="str">
        <f>IF(OR($G1504="",$C1504=""),"",IF($B1504="決算整理",13,MOD(MONTH($C1504)-4,12)+1))</f>
        <v/>
      </c>
      <c r="Q1504" s="366" t="str">
        <f>IF($G1504="","",TRIM(IF(J1504+K1504+L1504+M1504&lt;&gt;$G1504,"按分不一致 ","")&amp;IF(O1504="※未登録","科目未登録 ","")&amp;IF(OR($H1504="",ISERROR(MATCH($H1504,{1,2,3,4,5,6,7,8},0))),"経費区分? ","")&amp;IF($I1504="","状態未設定 ","")&amp;IF(AND(OR($I1504="確認済",$I1504="未確認"),$B1504="月例",OR($C1504="",$C1504&lt;DATE(年度+2018,4,1),$C1504&gt;DATE(年度+2019,3,31))),"年度外の日付 ","")&amp;IF(AND(OR($I1504="確認済",$I1504="未確認"),O1504="対象外"),"対象外の科目 ","")))</f>
        <v/>
      </c>
      <c r="R1504" s="366" t="n"/>
    </row>
    <row r="1505">
      <c r="A1505" s="359" t="n"/>
      <c r="B1505" s="360" t="n"/>
      <c r="C1505" s="361" t="n"/>
      <c r="D1505" s="362" t="n"/>
      <c r="E1505" s="362" t="n"/>
      <c r="F1505" s="362" t="n"/>
      <c r="G1505" s="363" t="n"/>
      <c r="H1505" s="360" t="n"/>
      <c r="I1505" s="360" t="n"/>
      <c r="J1505" s="364" t="str">
        <f>IF($G1505="","",IF($H1505=1,$G1505-ROUND($G1505*10/23,0)-2*ROUND($G1505/23,0),IF($H1505=2,$G1505,0)))</f>
        <v/>
      </c>
      <c r="K1505" s="364" t="str">
        <f>IF($G1505="","",IF($H1505=1,ROUND($G1505*10/23,0),IF($H1505=3,$G1505-2*ROUND($G1505/12,0),IF($H1505=4,$G1505,IF(OR($H1505=5,$H1505=7),ROUND($G1505*10/11,0),0)))))</f>
        <v/>
      </c>
      <c r="L1505" s="364" t="str">
        <f>IF($G1505="","",IF($H1505=1,ROUND($G1505/23,0),IF($H1505=3,ROUND($G1505/12,0),IF($H1505=5,$G1505-ROUND($G1505*10/11,0),IF($H1505=8,$G1505,0)))))</f>
        <v/>
      </c>
      <c r="M1505" s="364" t="str">
        <f>IF($G1505="","",IF($H1505=1,ROUND($G1505/23,0),IF($H1505=3,ROUND($G1505/12,0),IF($H1505=6,$G1505,IF($H1505=7,$G1505-ROUND($G1505*10/11,0),0)))))</f>
        <v/>
      </c>
      <c r="N1505" s="364" t="str">
        <f>IF($G1505="","",K1505+L1505+M1505)</f>
        <v/>
      </c>
      <c r="O1505" s="365" t="str">
        <f>IF($G1505="","",IFERROR(VLOOKUP($D1505&amp;"|"&amp;$E1505,科目表!$A$5:$B$200,2,FALSE),"※未登録"))</f>
        <v/>
      </c>
      <c r="P1505" s="359" t="str">
        <f>IF(OR($G1505="",$C1505=""),"",IF($B1505="決算整理",13,MOD(MONTH($C1505)-4,12)+1))</f>
        <v/>
      </c>
      <c r="Q1505" s="366" t="str">
        <f>IF($G1505="","",TRIM(IF(J1505+K1505+L1505+M1505&lt;&gt;$G1505,"按分不一致 ","")&amp;IF(O1505="※未登録","科目未登録 ","")&amp;IF(OR($H1505="",ISERROR(MATCH($H1505,{1,2,3,4,5,6,7,8},0))),"経費区分? ","")&amp;IF($I1505="","状態未設定 ","")&amp;IF(AND(OR($I1505="確認済",$I1505="未確認"),$B1505="月例",OR($C1505="",$C1505&lt;DATE(年度+2018,4,1),$C1505&gt;DATE(年度+2019,3,31))),"年度外の日付 ","")&amp;IF(AND(OR($I1505="確認済",$I1505="未確認"),O1505="対象外"),"対象外の科目 ","")))</f>
        <v/>
      </c>
      <c r="R1505" s="366" t="n"/>
    </row>
    <row r="1506">
      <c r="A1506" s="359" t="n"/>
      <c r="B1506" s="360" t="n"/>
      <c r="C1506" s="361" t="n"/>
      <c r="D1506" s="362" t="n"/>
      <c r="E1506" s="362" t="n"/>
      <c r="F1506" s="362" t="n"/>
      <c r="G1506" s="363" t="n"/>
      <c r="H1506" s="360" t="n"/>
      <c r="I1506" s="360" t="n"/>
      <c r="J1506" s="364" t="str">
        <f>IF($G1506="","",IF($H1506=1,$G1506-ROUND($G1506*10/23,0)-2*ROUND($G1506/23,0),IF($H1506=2,$G1506,0)))</f>
        <v/>
      </c>
      <c r="K1506" s="364" t="str">
        <f>IF($G1506="","",IF($H1506=1,ROUND($G1506*10/23,0),IF($H1506=3,$G1506-2*ROUND($G1506/12,0),IF($H1506=4,$G1506,IF(OR($H1506=5,$H1506=7),ROUND($G1506*10/11,0),0)))))</f>
        <v/>
      </c>
      <c r="L1506" s="364" t="str">
        <f>IF($G1506="","",IF($H1506=1,ROUND($G1506/23,0),IF($H1506=3,ROUND($G1506/12,0),IF($H1506=5,$G1506-ROUND($G1506*10/11,0),IF($H1506=8,$G1506,0)))))</f>
        <v/>
      </c>
      <c r="M1506" s="364" t="str">
        <f>IF($G1506="","",IF($H1506=1,ROUND($G1506/23,0),IF($H1506=3,ROUND($G1506/12,0),IF($H1506=6,$G1506,IF($H1506=7,$G1506-ROUND($G1506*10/11,0),0)))))</f>
        <v/>
      </c>
      <c r="N1506" s="364" t="str">
        <f>IF($G1506="","",K1506+L1506+M1506)</f>
        <v/>
      </c>
      <c r="O1506" s="365" t="str">
        <f>IF($G1506="","",IFERROR(VLOOKUP($D1506&amp;"|"&amp;$E1506,科目表!$A$5:$B$200,2,FALSE),"※未登録"))</f>
        <v/>
      </c>
      <c r="P1506" s="359" t="str">
        <f>IF(OR($G1506="",$C1506=""),"",IF($B1506="決算整理",13,MOD(MONTH($C1506)-4,12)+1))</f>
        <v/>
      </c>
      <c r="Q1506" s="366" t="str">
        <f>IF($G1506="","",TRIM(IF(J1506+K1506+L1506+M1506&lt;&gt;$G1506,"按分不一致 ","")&amp;IF(O1506="※未登録","科目未登録 ","")&amp;IF(OR($H1506="",ISERROR(MATCH($H1506,{1,2,3,4,5,6,7,8},0))),"経費区分? ","")&amp;IF($I1506="","状態未設定 ","")&amp;IF(AND(OR($I1506="確認済",$I1506="未確認"),$B1506="月例",OR($C1506="",$C1506&lt;DATE(年度+2018,4,1),$C1506&gt;DATE(年度+2019,3,31))),"年度外の日付 ","")&amp;IF(AND(OR($I1506="確認済",$I1506="未確認"),O1506="対象外"),"対象外の科目 ","")))</f>
        <v/>
      </c>
      <c r="R1506" s="366" t="n"/>
    </row>
    <row r="1507">
      <c r="A1507" s="359" t="n"/>
      <c r="B1507" s="360" t="n"/>
      <c r="C1507" s="361" t="n"/>
      <c r="D1507" s="362" t="n"/>
      <c r="E1507" s="362" t="n"/>
      <c r="F1507" s="362" t="n"/>
      <c r="G1507" s="363" t="n"/>
      <c r="H1507" s="360" t="n"/>
      <c r="I1507" s="360" t="n"/>
      <c r="J1507" s="364" t="str">
        <f>IF($G1507="","",IF($H1507=1,$G1507-ROUND($G1507*10/23,0)-2*ROUND($G1507/23,0),IF($H1507=2,$G1507,0)))</f>
        <v/>
      </c>
      <c r="K1507" s="364" t="str">
        <f>IF($G1507="","",IF($H1507=1,ROUND($G1507*10/23,0),IF($H1507=3,$G1507-2*ROUND($G1507/12,0),IF($H1507=4,$G1507,IF(OR($H1507=5,$H1507=7),ROUND($G1507*10/11,0),0)))))</f>
        <v/>
      </c>
      <c r="L1507" s="364" t="str">
        <f>IF($G1507="","",IF($H1507=1,ROUND($G1507/23,0),IF($H1507=3,ROUND($G1507/12,0),IF($H1507=5,$G1507-ROUND($G1507*10/11,0),IF($H1507=8,$G1507,0)))))</f>
        <v/>
      </c>
      <c r="M1507" s="364" t="str">
        <f>IF($G1507="","",IF($H1507=1,ROUND($G1507/23,0),IF($H1507=3,ROUND($G1507/12,0),IF($H1507=6,$G1507,IF($H1507=7,$G1507-ROUND($G1507*10/11,0),0)))))</f>
        <v/>
      </c>
      <c r="N1507" s="364" t="str">
        <f>IF($G1507="","",K1507+L1507+M1507)</f>
        <v/>
      </c>
      <c r="O1507" s="365" t="str">
        <f>IF($G1507="","",IFERROR(VLOOKUP($D1507&amp;"|"&amp;$E1507,科目表!$A$5:$B$200,2,FALSE),"※未登録"))</f>
        <v/>
      </c>
      <c r="P1507" s="359" t="str">
        <f>IF(OR($G1507="",$C1507=""),"",IF($B1507="決算整理",13,MOD(MONTH($C1507)-4,12)+1))</f>
        <v/>
      </c>
      <c r="Q1507" s="366" t="str">
        <f>IF($G1507="","",TRIM(IF(J1507+K1507+L1507+M1507&lt;&gt;$G1507,"按分不一致 ","")&amp;IF(O1507="※未登録","科目未登録 ","")&amp;IF(OR($H1507="",ISERROR(MATCH($H1507,{1,2,3,4,5,6,7,8},0))),"経費区分? ","")&amp;IF($I1507="","状態未設定 ","")&amp;IF(AND(OR($I1507="確認済",$I1507="未確認"),$B1507="月例",OR($C1507="",$C1507&lt;DATE(年度+2018,4,1),$C1507&gt;DATE(年度+2019,3,31))),"年度外の日付 ","")&amp;IF(AND(OR($I1507="確認済",$I1507="未確認"),O1507="対象外"),"対象外の科目 ","")))</f>
        <v/>
      </c>
      <c r="R1507" s="366" t="n"/>
    </row>
    <row r="1508">
      <c r="A1508" s="359" t="n"/>
      <c r="B1508" s="360" t="n"/>
      <c r="C1508" s="361" t="n"/>
      <c r="D1508" s="362" t="n"/>
      <c r="E1508" s="362" t="n"/>
      <c r="F1508" s="362" t="n"/>
      <c r="G1508" s="363" t="n"/>
      <c r="H1508" s="360" t="n"/>
      <c r="I1508" s="360" t="n"/>
      <c r="J1508" s="364" t="str">
        <f>IF($G1508="","",IF($H1508=1,$G1508-ROUND($G1508*10/23,0)-2*ROUND($G1508/23,0),IF($H1508=2,$G1508,0)))</f>
        <v/>
      </c>
      <c r="K1508" s="364" t="str">
        <f>IF($G1508="","",IF($H1508=1,ROUND($G1508*10/23,0),IF($H1508=3,$G1508-2*ROUND($G1508/12,0),IF($H1508=4,$G1508,IF(OR($H1508=5,$H1508=7),ROUND($G1508*10/11,0),0)))))</f>
        <v/>
      </c>
      <c r="L1508" s="364" t="str">
        <f>IF($G1508="","",IF($H1508=1,ROUND($G1508/23,0),IF($H1508=3,ROUND($G1508/12,0),IF($H1508=5,$G1508-ROUND($G1508*10/11,0),IF($H1508=8,$G1508,0)))))</f>
        <v/>
      </c>
      <c r="M1508" s="364" t="str">
        <f>IF($G1508="","",IF($H1508=1,ROUND($G1508/23,0),IF($H1508=3,ROUND($G1508/12,0),IF($H1508=6,$G1508,IF($H1508=7,$G1508-ROUND($G1508*10/11,0),0)))))</f>
        <v/>
      </c>
      <c r="N1508" s="364" t="str">
        <f>IF($G1508="","",K1508+L1508+M1508)</f>
        <v/>
      </c>
      <c r="O1508" s="365" t="str">
        <f>IF($G1508="","",IFERROR(VLOOKUP($D1508&amp;"|"&amp;$E1508,科目表!$A$5:$B$200,2,FALSE),"※未登録"))</f>
        <v/>
      </c>
      <c r="P1508" s="359" t="str">
        <f>IF(OR($G1508="",$C1508=""),"",IF($B1508="決算整理",13,MOD(MONTH($C1508)-4,12)+1))</f>
        <v/>
      </c>
      <c r="Q1508" s="366" t="str">
        <f>IF($G1508="","",TRIM(IF(J1508+K1508+L1508+M1508&lt;&gt;$G1508,"按分不一致 ","")&amp;IF(O1508="※未登録","科目未登録 ","")&amp;IF(OR($H1508="",ISERROR(MATCH($H1508,{1,2,3,4,5,6,7,8},0))),"経費区分? ","")&amp;IF($I1508="","状態未設定 ","")&amp;IF(AND(OR($I1508="確認済",$I1508="未確認"),$B1508="月例",OR($C1508="",$C1508&lt;DATE(年度+2018,4,1),$C1508&gt;DATE(年度+2019,3,31))),"年度外の日付 ","")&amp;IF(AND(OR($I1508="確認済",$I1508="未確認"),O1508="対象外"),"対象外の科目 ","")))</f>
        <v/>
      </c>
      <c r="R1508" s="366" t="n"/>
    </row>
    <row r="1509">
      <c r="A1509" s="359" t="n"/>
      <c r="B1509" s="360" t="n"/>
      <c r="C1509" s="361" t="n"/>
      <c r="D1509" s="362" t="n"/>
      <c r="E1509" s="362" t="n"/>
      <c r="F1509" s="362" t="n"/>
      <c r="G1509" s="363" t="n"/>
      <c r="H1509" s="360" t="n"/>
      <c r="I1509" s="360" t="n"/>
      <c r="J1509" s="364" t="str">
        <f>IF($G1509="","",IF($H1509=1,$G1509-ROUND($G1509*10/23,0)-2*ROUND($G1509/23,0),IF($H1509=2,$G1509,0)))</f>
        <v/>
      </c>
      <c r="K1509" s="364" t="str">
        <f>IF($G1509="","",IF($H1509=1,ROUND($G1509*10/23,0),IF($H1509=3,$G1509-2*ROUND($G1509/12,0),IF($H1509=4,$G1509,IF(OR($H1509=5,$H1509=7),ROUND($G1509*10/11,0),0)))))</f>
        <v/>
      </c>
      <c r="L1509" s="364" t="str">
        <f>IF($G1509="","",IF($H1509=1,ROUND($G1509/23,0),IF($H1509=3,ROUND($G1509/12,0),IF($H1509=5,$G1509-ROUND($G1509*10/11,0),IF($H1509=8,$G1509,0)))))</f>
        <v/>
      </c>
      <c r="M1509" s="364" t="str">
        <f>IF($G1509="","",IF($H1509=1,ROUND($G1509/23,0),IF($H1509=3,ROUND($G1509/12,0),IF($H1509=6,$G1509,IF($H1509=7,$G1509-ROUND($G1509*10/11,0),0)))))</f>
        <v/>
      </c>
      <c r="N1509" s="364" t="str">
        <f>IF($G1509="","",K1509+L1509+M1509)</f>
        <v/>
      </c>
      <c r="O1509" s="365" t="str">
        <f>IF($G1509="","",IFERROR(VLOOKUP($D1509&amp;"|"&amp;$E1509,科目表!$A$5:$B$200,2,FALSE),"※未登録"))</f>
        <v/>
      </c>
      <c r="P1509" s="359" t="str">
        <f>IF(OR($G1509="",$C1509=""),"",IF($B1509="決算整理",13,MOD(MONTH($C1509)-4,12)+1))</f>
        <v/>
      </c>
      <c r="Q1509" s="366" t="str">
        <f>IF($G1509="","",TRIM(IF(J1509+K1509+L1509+M1509&lt;&gt;$G1509,"按分不一致 ","")&amp;IF(O1509="※未登録","科目未登録 ","")&amp;IF(OR($H1509="",ISERROR(MATCH($H1509,{1,2,3,4,5,6,7,8},0))),"経費区分? ","")&amp;IF($I1509="","状態未設定 ","")&amp;IF(AND(OR($I1509="確認済",$I1509="未確認"),$B1509="月例",OR($C1509="",$C1509&lt;DATE(年度+2018,4,1),$C1509&gt;DATE(年度+2019,3,31))),"年度外の日付 ","")&amp;IF(AND(OR($I1509="確認済",$I1509="未確認"),O1509="対象外"),"対象外の科目 ","")))</f>
        <v/>
      </c>
      <c r="R1509" s="366" t="n"/>
    </row>
    <row r="1510">
      <c r="A1510" s="359" t="n"/>
      <c r="B1510" s="360" t="n"/>
      <c r="C1510" s="361" t="n"/>
      <c r="D1510" s="362" t="n"/>
      <c r="E1510" s="362" t="n"/>
      <c r="F1510" s="362" t="n"/>
      <c r="G1510" s="363" t="n"/>
      <c r="H1510" s="360" t="n"/>
      <c r="I1510" s="360" t="n"/>
      <c r="J1510" s="364" t="str">
        <f>IF($G1510="","",IF($H1510=1,$G1510-ROUND($G1510*10/23,0)-2*ROUND($G1510/23,0),IF($H1510=2,$G1510,0)))</f>
        <v/>
      </c>
      <c r="K1510" s="364" t="str">
        <f>IF($G1510="","",IF($H1510=1,ROUND($G1510*10/23,0),IF($H1510=3,$G1510-2*ROUND($G1510/12,0),IF($H1510=4,$G1510,IF(OR($H1510=5,$H1510=7),ROUND($G1510*10/11,0),0)))))</f>
        <v/>
      </c>
      <c r="L1510" s="364" t="str">
        <f>IF($G1510="","",IF($H1510=1,ROUND($G1510/23,0),IF($H1510=3,ROUND($G1510/12,0),IF($H1510=5,$G1510-ROUND($G1510*10/11,0),IF($H1510=8,$G1510,0)))))</f>
        <v/>
      </c>
      <c r="M1510" s="364" t="str">
        <f>IF($G1510="","",IF($H1510=1,ROUND($G1510/23,0),IF($H1510=3,ROUND($G1510/12,0),IF($H1510=6,$G1510,IF($H1510=7,$G1510-ROUND($G1510*10/11,0),0)))))</f>
        <v/>
      </c>
      <c r="N1510" s="364" t="str">
        <f>IF($G1510="","",K1510+L1510+M1510)</f>
        <v/>
      </c>
      <c r="O1510" s="365" t="str">
        <f>IF($G1510="","",IFERROR(VLOOKUP($D1510&amp;"|"&amp;$E1510,科目表!$A$5:$B$200,2,FALSE),"※未登録"))</f>
        <v/>
      </c>
      <c r="P1510" s="359" t="str">
        <f>IF(OR($G1510="",$C1510=""),"",IF($B1510="決算整理",13,MOD(MONTH($C1510)-4,12)+1))</f>
        <v/>
      </c>
      <c r="Q1510" s="366" t="str">
        <f>IF($G1510="","",TRIM(IF(J1510+K1510+L1510+M1510&lt;&gt;$G1510,"按分不一致 ","")&amp;IF(O1510="※未登録","科目未登録 ","")&amp;IF(OR($H1510="",ISERROR(MATCH($H1510,{1,2,3,4,5,6,7,8},0))),"経費区分? ","")&amp;IF($I1510="","状態未設定 ","")&amp;IF(AND(OR($I1510="確認済",$I1510="未確認"),$B1510="月例",OR($C1510="",$C1510&lt;DATE(年度+2018,4,1),$C1510&gt;DATE(年度+2019,3,31))),"年度外の日付 ","")&amp;IF(AND(OR($I1510="確認済",$I1510="未確認"),O1510="対象外"),"対象外の科目 ","")))</f>
        <v/>
      </c>
      <c r="R1510" s="366" t="n"/>
    </row>
    <row r="1511">
      <c r="A1511" s="359" t="n"/>
      <c r="B1511" s="360" t="n"/>
      <c r="C1511" s="361" t="n"/>
      <c r="D1511" s="362" t="n"/>
      <c r="E1511" s="362" t="n"/>
      <c r="F1511" s="362" t="n"/>
      <c r="G1511" s="363" t="n"/>
      <c r="H1511" s="360" t="n"/>
      <c r="I1511" s="360" t="n"/>
      <c r="J1511" s="364" t="str">
        <f>IF($G1511="","",IF($H1511=1,$G1511-ROUND($G1511*10/23,0)-2*ROUND($G1511/23,0),IF($H1511=2,$G1511,0)))</f>
        <v/>
      </c>
      <c r="K1511" s="364" t="str">
        <f>IF($G1511="","",IF($H1511=1,ROUND($G1511*10/23,0),IF($H1511=3,$G1511-2*ROUND($G1511/12,0),IF($H1511=4,$G1511,IF(OR($H1511=5,$H1511=7),ROUND($G1511*10/11,0),0)))))</f>
        <v/>
      </c>
      <c r="L1511" s="364" t="str">
        <f>IF($G1511="","",IF($H1511=1,ROUND($G1511/23,0),IF($H1511=3,ROUND($G1511/12,0),IF($H1511=5,$G1511-ROUND($G1511*10/11,0),IF($H1511=8,$G1511,0)))))</f>
        <v/>
      </c>
      <c r="M1511" s="364" t="str">
        <f>IF($G1511="","",IF($H1511=1,ROUND($G1511/23,0),IF($H1511=3,ROUND($G1511/12,0),IF($H1511=6,$G1511,IF($H1511=7,$G1511-ROUND($G1511*10/11,0),0)))))</f>
        <v/>
      </c>
      <c r="N1511" s="364" t="str">
        <f>IF($G1511="","",K1511+L1511+M1511)</f>
        <v/>
      </c>
      <c r="O1511" s="365" t="str">
        <f>IF($G1511="","",IFERROR(VLOOKUP($D1511&amp;"|"&amp;$E1511,科目表!$A$5:$B$200,2,FALSE),"※未登録"))</f>
        <v/>
      </c>
      <c r="P1511" s="359" t="str">
        <f>IF(OR($G1511="",$C1511=""),"",IF($B1511="決算整理",13,MOD(MONTH($C1511)-4,12)+1))</f>
        <v/>
      </c>
      <c r="Q1511" s="366" t="str">
        <f>IF($G1511="","",TRIM(IF(J1511+K1511+L1511+M1511&lt;&gt;$G1511,"按分不一致 ","")&amp;IF(O1511="※未登録","科目未登録 ","")&amp;IF(OR($H1511="",ISERROR(MATCH($H1511,{1,2,3,4,5,6,7,8},0))),"経費区分? ","")&amp;IF($I1511="","状態未設定 ","")&amp;IF(AND(OR($I1511="確認済",$I1511="未確認"),$B1511="月例",OR($C1511="",$C1511&lt;DATE(年度+2018,4,1),$C1511&gt;DATE(年度+2019,3,31))),"年度外の日付 ","")&amp;IF(AND(OR($I1511="確認済",$I1511="未確認"),O1511="対象外"),"対象外の科目 ","")))</f>
        <v/>
      </c>
      <c r="R1511" s="366" t="n"/>
    </row>
    <row r="1512">
      <c r="A1512" s="359" t="n"/>
      <c r="B1512" s="360" t="n"/>
      <c r="C1512" s="361" t="n"/>
      <c r="D1512" s="362" t="n"/>
      <c r="E1512" s="362" t="n"/>
      <c r="F1512" s="362" t="n"/>
      <c r="G1512" s="363" t="n"/>
      <c r="H1512" s="360" t="n"/>
      <c r="I1512" s="360" t="n"/>
      <c r="J1512" s="364" t="str">
        <f>IF($G1512="","",IF($H1512=1,$G1512-ROUND($G1512*10/23,0)-2*ROUND($G1512/23,0),IF($H1512=2,$G1512,0)))</f>
        <v/>
      </c>
      <c r="K1512" s="364" t="str">
        <f>IF($G1512="","",IF($H1512=1,ROUND($G1512*10/23,0),IF($H1512=3,$G1512-2*ROUND($G1512/12,0),IF($H1512=4,$G1512,IF(OR($H1512=5,$H1512=7),ROUND($G1512*10/11,0),0)))))</f>
        <v/>
      </c>
      <c r="L1512" s="364" t="str">
        <f>IF($G1512="","",IF($H1512=1,ROUND($G1512/23,0),IF($H1512=3,ROUND($G1512/12,0),IF($H1512=5,$G1512-ROUND($G1512*10/11,0),IF($H1512=8,$G1512,0)))))</f>
        <v/>
      </c>
      <c r="M1512" s="364" t="str">
        <f>IF($G1512="","",IF($H1512=1,ROUND($G1512/23,0),IF($H1512=3,ROUND($G1512/12,0),IF($H1512=6,$G1512,IF($H1512=7,$G1512-ROUND($G1512*10/11,0),0)))))</f>
        <v/>
      </c>
      <c r="N1512" s="364" t="str">
        <f>IF($G1512="","",K1512+L1512+M1512)</f>
        <v/>
      </c>
      <c r="O1512" s="365" t="str">
        <f>IF($G1512="","",IFERROR(VLOOKUP($D1512&amp;"|"&amp;$E1512,科目表!$A$5:$B$200,2,FALSE),"※未登録"))</f>
        <v/>
      </c>
      <c r="P1512" s="359" t="str">
        <f>IF(OR($G1512="",$C1512=""),"",IF($B1512="決算整理",13,MOD(MONTH($C1512)-4,12)+1))</f>
        <v/>
      </c>
      <c r="Q1512" s="366" t="str">
        <f>IF($G1512="","",TRIM(IF(J1512+K1512+L1512+M1512&lt;&gt;$G1512,"按分不一致 ","")&amp;IF(O1512="※未登録","科目未登録 ","")&amp;IF(OR($H1512="",ISERROR(MATCH($H1512,{1,2,3,4,5,6,7,8},0))),"経費区分? ","")&amp;IF($I1512="","状態未設定 ","")&amp;IF(AND(OR($I1512="確認済",$I1512="未確認"),$B1512="月例",OR($C1512="",$C1512&lt;DATE(年度+2018,4,1),$C1512&gt;DATE(年度+2019,3,31))),"年度外の日付 ","")&amp;IF(AND(OR($I1512="確認済",$I1512="未確認"),O1512="対象外"),"対象外の科目 ","")))</f>
        <v/>
      </c>
      <c r="R1512" s="366" t="n"/>
    </row>
    <row r="1513">
      <c r="A1513" s="359" t="n"/>
      <c r="B1513" s="360" t="n"/>
      <c r="C1513" s="361" t="n"/>
      <c r="D1513" s="362" t="n"/>
      <c r="E1513" s="362" t="n"/>
      <c r="F1513" s="362" t="n"/>
      <c r="G1513" s="363" t="n"/>
      <c r="H1513" s="360" t="n"/>
      <c r="I1513" s="360" t="n"/>
      <c r="J1513" s="364" t="str">
        <f>IF($G1513="","",IF($H1513=1,$G1513-ROUND($G1513*10/23,0)-2*ROUND($G1513/23,0),IF($H1513=2,$G1513,0)))</f>
        <v/>
      </c>
      <c r="K1513" s="364" t="str">
        <f>IF($G1513="","",IF($H1513=1,ROUND($G1513*10/23,0),IF($H1513=3,$G1513-2*ROUND($G1513/12,0),IF($H1513=4,$G1513,IF(OR($H1513=5,$H1513=7),ROUND($G1513*10/11,0),0)))))</f>
        <v/>
      </c>
      <c r="L1513" s="364" t="str">
        <f>IF($G1513="","",IF($H1513=1,ROUND($G1513/23,0),IF($H1513=3,ROUND($G1513/12,0),IF($H1513=5,$G1513-ROUND($G1513*10/11,0),IF($H1513=8,$G1513,0)))))</f>
        <v/>
      </c>
      <c r="M1513" s="364" t="str">
        <f>IF($G1513="","",IF($H1513=1,ROUND($G1513/23,0),IF($H1513=3,ROUND($G1513/12,0),IF($H1513=6,$G1513,IF($H1513=7,$G1513-ROUND($G1513*10/11,0),0)))))</f>
        <v/>
      </c>
      <c r="N1513" s="364" t="str">
        <f>IF($G1513="","",K1513+L1513+M1513)</f>
        <v/>
      </c>
      <c r="O1513" s="365" t="str">
        <f>IF($G1513="","",IFERROR(VLOOKUP($D1513&amp;"|"&amp;$E1513,科目表!$A$5:$B$200,2,FALSE),"※未登録"))</f>
        <v/>
      </c>
      <c r="P1513" s="359" t="str">
        <f>IF(OR($G1513="",$C1513=""),"",IF($B1513="決算整理",13,MOD(MONTH($C1513)-4,12)+1))</f>
        <v/>
      </c>
      <c r="Q1513" s="366" t="str">
        <f>IF($G1513="","",TRIM(IF(J1513+K1513+L1513+M1513&lt;&gt;$G1513,"按分不一致 ","")&amp;IF(O1513="※未登録","科目未登録 ","")&amp;IF(OR($H1513="",ISERROR(MATCH($H1513,{1,2,3,4,5,6,7,8},0))),"経費区分? ","")&amp;IF($I1513="","状態未設定 ","")&amp;IF(AND(OR($I1513="確認済",$I1513="未確認"),$B1513="月例",OR($C1513="",$C1513&lt;DATE(年度+2018,4,1),$C1513&gt;DATE(年度+2019,3,31))),"年度外の日付 ","")&amp;IF(AND(OR($I1513="確認済",$I1513="未確認"),O1513="対象外"),"対象外の科目 ","")))</f>
        <v/>
      </c>
      <c r="R1513" s="366" t="n"/>
    </row>
    <row r="1514">
      <c r="A1514" s="359" t="n"/>
      <c r="B1514" s="360" t="n"/>
      <c r="C1514" s="361" t="n"/>
      <c r="D1514" s="362" t="n"/>
      <c r="E1514" s="362" t="n"/>
      <c r="F1514" s="362" t="n"/>
      <c r="G1514" s="363" t="n"/>
      <c r="H1514" s="360" t="n"/>
      <c r="I1514" s="360" t="n"/>
      <c r="J1514" s="364" t="str">
        <f>IF($G1514="","",IF($H1514=1,$G1514-ROUND($G1514*10/23,0)-2*ROUND($G1514/23,0),IF($H1514=2,$G1514,0)))</f>
        <v/>
      </c>
      <c r="K1514" s="364" t="str">
        <f>IF($G1514="","",IF($H1514=1,ROUND($G1514*10/23,0),IF($H1514=3,$G1514-2*ROUND($G1514/12,0),IF($H1514=4,$G1514,IF(OR($H1514=5,$H1514=7),ROUND($G1514*10/11,0),0)))))</f>
        <v/>
      </c>
      <c r="L1514" s="364" t="str">
        <f>IF($G1514="","",IF($H1514=1,ROUND($G1514/23,0),IF($H1514=3,ROUND($G1514/12,0),IF($H1514=5,$G1514-ROUND($G1514*10/11,0),IF($H1514=8,$G1514,0)))))</f>
        <v/>
      </c>
      <c r="M1514" s="364" t="str">
        <f>IF($G1514="","",IF($H1514=1,ROUND($G1514/23,0),IF($H1514=3,ROUND($G1514/12,0),IF($H1514=6,$G1514,IF($H1514=7,$G1514-ROUND($G1514*10/11,0),0)))))</f>
        <v/>
      </c>
      <c r="N1514" s="364" t="str">
        <f>IF($G1514="","",K1514+L1514+M1514)</f>
        <v/>
      </c>
      <c r="O1514" s="365" t="str">
        <f>IF($G1514="","",IFERROR(VLOOKUP($D1514&amp;"|"&amp;$E1514,科目表!$A$5:$B$200,2,FALSE),"※未登録"))</f>
        <v/>
      </c>
      <c r="P1514" s="359" t="str">
        <f>IF(OR($G1514="",$C1514=""),"",IF($B1514="決算整理",13,MOD(MONTH($C1514)-4,12)+1))</f>
        <v/>
      </c>
      <c r="Q1514" s="366" t="str">
        <f>IF($G1514="","",TRIM(IF(J1514+K1514+L1514+M1514&lt;&gt;$G1514,"按分不一致 ","")&amp;IF(O1514="※未登録","科目未登録 ","")&amp;IF(OR($H1514="",ISERROR(MATCH($H1514,{1,2,3,4,5,6,7,8},0))),"経費区分? ","")&amp;IF($I1514="","状態未設定 ","")&amp;IF(AND(OR($I1514="確認済",$I1514="未確認"),$B1514="月例",OR($C1514="",$C1514&lt;DATE(年度+2018,4,1),$C1514&gt;DATE(年度+2019,3,31))),"年度外の日付 ","")&amp;IF(AND(OR($I1514="確認済",$I1514="未確認"),O1514="対象外"),"対象外の科目 ","")))</f>
        <v/>
      </c>
      <c r="R1514" s="366" t="n"/>
    </row>
    <row r="1515">
      <c r="A1515" s="359" t="n"/>
      <c r="B1515" s="360" t="n"/>
      <c r="C1515" s="361" t="n"/>
      <c r="D1515" s="362" t="n"/>
      <c r="E1515" s="362" t="n"/>
      <c r="F1515" s="362" t="n"/>
      <c r="G1515" s="363" t="n"/>
      <c r="H1515" s="360" t="n"/>
      <c r="I1515" s="360" t="n"/>
      <c r="J1515" s="364" t="str">
        <f>IF($G1515="","",IF($H1515=1,$G1515-ROUND($G1515*10/23,0)-2*ROUND($G1515/23,0),IF($H1515=2,$G1515,0)))</f>
        <v/>
      </c>
      <c r="K1515" s="364" t="str">
        <f>IF($G1515="","",IF($H1515=1,ROUND($G1515*10/23,0),IF($H1515=3,$G1515-2*ROUND($G1515/12,0),IF($H1515=4,$G1515,IF(OR($H1515=5,$H1515=7),ROUND($G1515*10/11,0),0)))))</f>
        <v/>
      </c>
      <c r="L1515" s="364" t="str">
        <f>IF($G1515="","",IF($H1515=1,ROUND($G1515/23,0),IF($H1515=3,ROUND($G1515/12,0),IF($H1515=5,$G1515-ROUND($G1515*10/11,0),IF($H1515=8,$G1515,0)))))</f>
        <v/>
      </c>
      <c r="M1515" s="364" t="str">
        <f>IF($G1515="","",IF($H1515=1,ROUND($G1515/23,0),IF($H1515=3,ROUND($G1515/12,0),IF($H1515=6,$G1515,IF($H1515=7,$G1515-ROUND($G1515*10/11,0),0)))))</f>
        <v/>
      </c>
      <c r="N1515" s="364" t="str">
        <f>IF($G1515="","",K1515+L1515+M1515)</f>
        <v/>
      </c>
      <c r="O1515" s="365" t="str">
        <f>IF($G1515="","",IFERROR(VLOOKUP($D1515&amp;"|"&amp;$E1515,科目表!$A$5:$B$200,2,FALSE),"※未登録"))</f>
        <v/>
      </c>
      <c r="P1515" s="359" t="str">
        <f>IF(OR($G1515="",$C1515=""),"",IF($B1515="決算整理",13,MOD(MONTH($C1515)-4,12)+1))</f>
        <v/>
      </c>
      <c r="Q1515" s="366" t="str">
        <f>IF($G1515="","",TRIM(IF(J1515+K1515+L1515+M1515&lt;&gt;$G1515,"按分不一致 ","")&amp;IF(O1515="※未登録","科目未登録 ","")&amp;IF(OR($H1515="",ISERROR(MATCH($H1515,{1,2,3,4,5,6,7,8},0))),"経費区分? ","")&amp;IF($I1515="","状態未設定 ","")&amp;IF(AND(OR($I1515="確認済",$I1515="未確認"),$B1515="月例",OR($C1515="",$C1515&lt;DATE(年度+2018,4,1),$C1515&gt;DATE(年度+2019,3,31))),"年度外の日付 ","")&amp;IF(AND(OR($I1515="確認済",$I1515="未確認"),O1515="対象外"),"対象外の科目 ","")))</f>
        <v/>
      </c>
      <c r="R1515" s="366" t="n"/>
    </row>
    <row r="1516">
      <c r="A1516" s="359" t="n"/>
      <c r="B1516" s="360" t="n"/>
      <c r="C1516" s="361" t="n"/>
      <c r="D1516" s="362" t="n"/>
      <c r="E1516" s="362" t="n"/>
      <c r="F1516" s="362" t="n"/>
      <c r="G1516" s="363" t="n"/>
      <c r="H1516" s="360" t="n"/>
      <c r="I1516" s="360" t="n"/>
      <c r="J1516" s="364" t="str">
        <f>IF($G1516="","",IF($H1516=1,$G1516-ROUND($G1516*10/23,0)-2*ROUND($G1516/23,0),IF($H1516=2,$G1516,0)))</f>
        <v/>
      </c>
      <c r="K1516" s="364" t="str">
        <f>IF($G1516="","",IF($H1516=1,ROUND($G1516*10/23,0),IF($H1516=3,$G1516-2*ROUND($G1516/12,0),IF($H1516=4,$G1516,IF(OR($H1516=5,$H1516=7),ROUND($G1516*10/11,0),0)))))</f>
        <v/>
      </c>
      <c r="L1516" s="364" t="str">
        <f>IF($G1516="","",IF($H1516=1,ROUND($G1516/23,0),IF($H1516=3,ROUND($G1516/12,0),IF($H1516=5,$G1516-ROUND($G1516*10/11,0),IF($H1516=8,$G1516,0)))))</f>
        <v/>
      </c>
      <c r="M1516" s="364" t="str">
        <f>IF($G1516="","",IF($H1516=1,ROUND($G1516/23,0),IF($H1516=3,ROUND($G1516/12,0),IF($H1516=6,$G1516,IF($H1516=7,$G1516-ROUND($G1516*10/11,0),0)))))</f>
        <v/>
      </c>
      <c r="N1516" s="364" t="str">
        <f>IF($G1516="","",K1516+L1516+M1516)</f>
        <v/>
      </c>
      <c r="O1516" s="365" t="str">
        <f>IF($G1516="","",IFERROR(VLOOKUP($D1516&amp;"|"&amp;$E1516,科目表!$A$5:$B$200,2,FALSE),"※未登録"))</f>
        <v/>
      </c>
      <c r="P1516" s="359" t="str">
        <f>IF(OR($G1516="",$C1516=""),"",IF($B1516="決算整理",13,MOD(MONTH($C1516)-4,12)+1))</f>
        <v/>
      </c>
      <c r="Q1516" s="366" t="str">
        <f>IF($G1516="","",TRIM(IF(J1516+K1516+L1516+M1516&lt;&gt;$G1516,"按分不一致 ","")&amp;IF(O1516="※未登録","科目未登録 ","")&amp;IF(OR($H1516="",ISERROR(MATCH($H1516,{1,2,3,4,5,6,7,8},0))),"経費区分? ","")&amp;IF($I1516="","状態未設定 ","")&amp;IF(AND(OR($I1516="確認済",$I1516="未確認"),$B1516="月例",OR($C1516="",$C1516&lt;DATE(年度+2018,4,1),$C1516&gt;DATE(年度+2019,3,31))),"年度外の日付 ","")&amp;IF(AND(OR($I1516="確認済",$I1516="未確認"),O1516="対象外"),"対象外の科目 ","")))</f>
        <v/>
      </c>
      <c r="R1516" s="366" t="n"/>
    </row>
    <row r="1517">
      <c r="A1517" s="359" t="n"/>
      <c r="B1517" s="360" t="n"/>
      <c r="C1517" s="361" t="n"/>
      <c r="D1517" s="362" t="n"/>
      <c r="E1517" s="362" t="n"/>
      <c r="F1517" s="362" t="n"/>
      <c r="G1517" s="363" t="n"/>
      <c r="H1517" s="360" t="n"/>
      <c r="I1517" s="360" t="n"/>
      <c r="J1517" s="364" t="str">
        <f>IF($G1517="","",IF($H1517=1,$G1517-ROUND($G1517*10/23,0)-2*ROUND($G1517/23,0),IF($H1517=2,$G1517,0)))</f>
        <v/>
      </c>
      <c r="K1517" s="364" t="str">
        <f>IF($G1517="","",IF($H1517=1,ROUND($G1517*10/23,0),IF($H1517=3,$G1517-2*ROUND($G1517/12,0),IF($H1517=4,$G1517,IF(OR($H1517=5,$H1517=7),ROUND($G1517*10/11,0),0)))))</f>
        <v/>
      </c>
      <c r="L1517" s="364" t="str">
        <f>IF($G1517="","",IF($H1517=1,ROUND($G1517/23,0),IF($H1517=3,ROUND($G1517/12,0),IF($H1517=5,$G1517-ROUND($G1517*10/11,0),IF($H1517=8,$G1517,0)))))</f>
        <v/>
      </c>
      <c r="M1517" s="364" t="str">
        <f>IF($G1517="","",IF($H1517=1,ROUND($G1517/23,0),IF($H1517=3,ROUND($G1517/12,0),IF($H1517=6,$G1517,IF($H1517=7,$G1517-ROUND($G1517*10/11,0),0)))))</f>
        <v/>
      </c>
      <c r="N1517" s="364" t="str">
        <f>IF($G1517="","",K1517+L1517+M1517)</f>
        <v/>
      </c>
      <c r="O1517" s="365" t="str">
        <f>IF($G1517="","",IFERROR(VLOOKUP($D1517&amp;"|"&amp;$E1517,科目表!$A$5:$B$200,2,FALSE),"※未登録"))</f>
        <v/>
      </c>
      <c r="P1517" s="359" t="str">
        <f>IF(OR($G1517="",$C1517=""),"",IF($B1517="決算整理",13,MOD(MONTH($C1517)-4,12)+1))</f>
        <v/>
      </c>
      <c r="Q1517" s="366" t="str">
        <f>IF($G1517="","",TRIM(IF(J1517+K1517+L1517+M1517&lt;&gt;$G1517,"按分不一致 ","")&amp;IF(O1517="※未登録","科目未登録 ","")&amp;IF(OR($H1517="",ISERROR(MATCH($H1517,{1,2,3,4,5,6,7,8},0))),"経費区分? ","")&amp;IF($I1517="","状態未設定 ","")&amp;IF(AND(OR($I1517="確認済",$I1517="未確認"),$B1517="月例",OR($C1517="",$C1517&lt;DATE(年度+2018,4,1),$C1517&gt;DATE(年度+2019,3,31))),"年度外の日付 ","")&amp;IF(AND(OR($I1517="確認済",$I1517="未確認"),O1517="対象外"),"対象外の科目 ","")))</f>
        <v/>
      </c>
      <c r="R1517" s="366" t="n"/>
    </row>
    <row r="1518">
      <c r="A1518" s="359" t="n"/>
      <c r="B1518" s="360" t="n"/>
      <c r="C1518" s="361" t="n"/>
      <c r="D1518" s="362" t="n"/>
      <c r="E1518" s="362" t="n"/>
      <c r="F1518" s="362" t="n"/>
      <c r="G1518" s="363" t="n"/>
      <c r="H1518" s="360" t="n"/>
      <c r="I1518" s="360" t="n"/>
      <c r="J1518" s="364" t="str">
        <f>IF($G1518="","",IF($H1518=1,$G1518-ROUND($G1518*10/23,0)-2*ROUND($G1518/23,0),IF($H1518=2,$G1518,0)))</f>
        <v/>
      </c>
      <c r="K1518" s="364" t="str">
        <f>IF($G1518="","",IF($H1518=1,ROUND($G1518*10/23,0),IF($H1518=3,$G1518-2*ROUND($G1518/12,0),IF($H1518=4,$G1518,IF(OR($H1518=5,$H1518=7),ROUND($G1518*10/11,0),0)))))</f>
        <v/>
      </c>
      <c r="L1518" s="364" t="str">
        <f>IF($G1518="","",IF($H1518=1,ROUND($G1518/23,0),IF($H1518=3,ROUND($G1518/12,0),IF($H1518=5,$G1518-ROUND($G1518*10/11,0),IF($H1518=8,$G1518,0)))))</f>
        <v/>
      </c>
      <c r="M1518" s="364" t="str">
        <f>IF($G1518="","",IF($H1518=1,ROUND($G1518/23,0),IF($H1518=3,ROUND($G1518/12,0),IF($H1518=6,$G1518,IF($H1518=7,$G1518-ROUND($G1518*10/11,0),0)))))</f>
        <v/>
      </c>
      <c r="N1518" s="364" t="str">
        <f>IF($G1518="","",K1518+L1518+M1518)</f>
        <v/>
      </c>
      <c r="O1518" s="365" t="str">
        <f>IF($G1518="","",IFERROR(VLOOKUP($D1518&amp;"|"&amp;$E1518,科目表!$A$5:$B$200,2,FALSE),"※未登録"))</f>
        <v/>
      </c>
      <c r="P1518" s="359" t="str">
        <f>IF(OR($G1518="",$C1518=""),"",IF($B1518="決算整理",13,MOD(MONTH($C1518)-4,12)+1))</f>
        <v/>
      </c>
      <c r="Q1518" s="366" t="str">
        <f>IF($G1518="","",TRIM(IF(J1518+K1518+L1518+M1518&lt;&gt;$G1518,"按分不一致 ","")&amp;IF(O1518="※未登録","科目未登録 ","")&amp;IF(OR($H1518="",ISERROR(MATCH($H1518,{1,2,3,4,5,6,7,8},0))),"経費区分? ","")&amp;IF($I1518="","状態未設定 ","")&amp;IF(AND(OR($I1518="確認済",$I1518="未確認"),$B1518="月例",OR($C1518="",$C1518&lt;DATE(年度+2018,4,1),$C1518&gt;DATE(年度+2019,3,31))),"年度外の日付 ","")&amp;IF(AND(OR($I1518="確認済",$I1518="未確認"),O1518="対象外"),"対象外の科目 ","")))</f>
        <v/>
      </c>
      <c r="R1518" s="366" t="n"/>
    </row>
    <row r="1519">
      <c r="A1519" s="359" t="n"/>
      <c r="B1519" s="360" t="n"/>
      <c r="C1519" s="361" t="n"/>
      <c r="D1519" s="362" t="n"/>
      <c r="E1519" s="362" t="n"/>
      <c r="F1519" s="362" t="n"/>
      <c r="G1519" s="363" t="n"/>
      <c r="H1519" s="360" t="n"/>
      <c r="I1519" s="360" t="n"/>
      <c r="J1519" s="364" t="str">
        <f>IF($G1519="","",IF($H1519=1,$G1519-ROUND($G1519*10/23,0)-2*ROUND($G1519/23,0),IF($H1519=2,$G1519,0)))</f>
        <v/>
      </c>
      <c r="K1519" s="364" t="str">
        <f>IF($G1519="","",IF($H1519=1,ROUND($G1519*10/23,0),IF($H1519=3,$G1519-2*ROUND($G1519/12,0),IF($H1519=4,$G1519,IF(OR($H1519=5,$H1519=7),ROUND($G1519*10/11,0),0)))))</f>
        <v/>
      </c>
      <c r="L1519" s="364" t="str">
        <f>IF($G1519="","",IF($H1519=1,ROUND($G1519/23,0),IF($H1519=3,ROUND($G1519/12,0),IF($H1519=5,$G1519-ROUND($G1519*10/11,0),IF($H1519=8,$G1519,0)))))</f>
        <v/>
      </c>
      <c r="M1519" s="364" t="str">
        <f>IF($G1519="","",IF($H1519=1,ROUND($G1519/23,0),IF($H1519=3,ROUND($G1519/12,0),IF($H1519=6,$G1519,IF($H1519=7,$G1519-ROUND($G1519*10/11,0),0)))))</f>
        <v/>
      </c>
      <c r="N1519" s="364" t="str">
        <f>IF($G1519="","",K1519+L1519+M1519)</f>
        <v/>
      </c>
      <c r="O1519" s="365" t="str">
        <f>IF($G1519="","",IFERROR(VLOOKUP($D1519&amp;"|"&amp;$E1519,科目表!$A$5:$B$200,2,FALSE),"※未登録"))</f>
        <v/>
      </c>
      <c r="P1519" s="359" t="str">
        <f>IF(OR($G1519="",$C1519=""),"",IF($B1519="決算整理",13,MOD(MONTH($C1519)-4,12)+1))</f>
        <v/>
      </c>
      <c r="Q1519" s="366" t="str">
        <f>IF($G1519="","",TRIM(IF(J1519+K1519+L1519+M1519&lt;&gt;$G1519,"按分不一致 ","")&amp;IF(O1519="※未登録","科目未登録 ","")&amp;IF(OR($H1519="",ISERROR(MATCH($H1519,{1,2,3,4,5,6,7,8},0))),"経費区分? ","")&amp;IF($I1519="","状態未設定 ","")&amp;IF(AND(OR($I1519="確認済",$I1519="未確認"),$B1519="月例",OR($C1519="",$C1519&lt;DATE(年度+2018,4,1),$C1519&gt;DATE(年度+2019,3,31))),"年度外の日付 ","")&amp;IF(AND(OR($I1519="確認済",$I1519="未確認"),O1519="対象外"),"対象外の科目 ","")))</f>
        <v/>
      </c>
      <c r="R1519" s="366" t="n"/>
    </row>
    <row r="1520">
      <c r="A1520" s="359" t="n"/>
      <c r="B1520" s="360" t="n"/>
      <c r="C1520" s="361" t="n"/>
      <c r="D1520" s="362" t="n"/>
      <c r="E1520" s="362" t="n"/>
      <c r="F1520" s="362" t="n"/>
      <c r="G1520" s="363" t="n"/>
      <c r="H1520" s="360" t="n"/>
      <c r="I1520" s="360" t="n"/>
      <c r="J1520" s="364" t="str">
        <f>IF($G1520="","",IF($H1520=1,$G1520-ROUND($G1520*10/23,0)-2*ROUND($G1520/23,0),IF($H1520=2,$G1520,0)))</f>
        <v/>
      </c>
      <c r="K1520" s="364" t="str">
        <f>IF($G1520="","",IF($H1520=1,ROUND($G1520*10/23,0),IF($H1520=3,$G1520-2*ROUND($G1520/12,0),IF($H1520=4,$G1520,IF(OR($H1520=5,$H1520=7),ROUND($G1520*10/11,0),0)))))</f>
        <v/>
      </c>
      <c r="L1520" s="364" t="str">
        <f>IF($G1520="","",IF($H1520=1,ROUND($G1520/23,0),IF($H1520=3,ROUND($G1520/12,0),IF($H1520=5,$G1520-ROUND($G1520*10/11,0),IF($H1520=8,$G1520,0)))))</f>
        <v/>
      </c>
      <c r="M1520" s="364" t="str">
        <f>IF($G1520="","",IF($H1520=1,ROUND($G1520/23,0),IF($H1520=3,ROUND($G1520/12,0),IF($H1520=6,$G1520,IF($H1520=7,$G1520-ROUND($G1520*10/11,0),0)))))</f>
        <v/>
      </c>
      <c r="N1520" s="364" t="str">
        <f>IF($G1520="","",K1520+L1520+M1520)</f>
        <v/>
      </c>
      <c r="O1520" s="365" t="str">
        <f>IF($G1520="","",IFERROR(VLOOKUP($D1520&amp;"|"&amp;$E1520,科目表!$A$5:$B$200,2,FALSE),"※未登録"))</f>
        <v/>
      </c>
      <c r="P1520" s="359" t="str">
        <f>IF(OR($G1520="",$C1520=""),"",IF($B1520="決算整理",13,MOD(MONTH($C1520)-4,12)+1))</f>
        <v/>
      </c>
      <c r="Q1520" s="366" t="str">
        <f>IF($G1520="","",TRIM(IF(J1520+K1520+L1520+M1520&lt;&gt;$G1520,"按分不一致 ","")&amp;IF(O1520="※未登録","科目未登録 ","")&amp;IF(OR($H1520="",ISERROR(MATCH($H1520,{1,2,3,4,5,6,7,8},0))),"経費区分? ","")&amp;IF($I1520="","状態未設定 ","")&amp;IF(AND(OR($I1520="確認済",$I1520="未確認"),$B1520="月例",OR($C1520="",$C1520&lt;DATE(年度+2018,4,1),$C1520&gt;DATE(年度+2019,3,31))),"年度外の日付 ","")&amp;IF(AND(OR($I1520="確認済",$I1520="未確認"),O1520="対象外"),"対象外の科目 ","")))</f>
        <v/>
      </c>
      <c r="R1520" s="366" t="n"/>
    </row>
    <row r="1521">
      <c r="A1521" s="359" t="n"/>
      <c r="B1521" s="360" t="n"/>
      <c r="C1521" s="361" t="n"/>
      <c r="D1521" s="362" t="n"/>
      <c r="E1521" s="362" t="n"/>
      <c r="F1521" s="362" t="n"/>
      <c r="G1521" s="363" t="n"/>
      <c r="H1521" s="360" t="n"/>
      <c r="I1521" s="360" t="n"/>
      <c r="J1521" s="364" t="str">
        <f>IF($G1521="","",IF($H1521=1,$G1521-ROUND($G1521*10/23,0)-2*ROUND($G1521/23,0),IF($H1521=2,$G1521,0)))</f>
        <v/>
      </c>
      <c r="K1521" s="364" t="str">
        <f>IF($G1521="","",IF($H1521=1,ROUND($G1521*10/23,0),IF($H1521=3,$G1521-2*ROUND($G1521/12,0),IF($H1521=4,$G1521,IF(OR($H1521=5,$H1521=7),ROUND($G1521*10/11,0),0)))))</f>
        <v/>
      </c>
      <c r="L1521" s="364" t="str">
        <f>IF($G1521="","",IF($H1521=1,ROUND($G1521/23,0),IF($H1521=3,ROUND($G1521/12,0),IF($H1521=5,$G1521-ROUND($G1521*10/11,0),IF($H1521=8,$G1521,0)))))</f>
        <v/>
      </c>
      <c r="M1521" s="364" t="str">
        <f>IF($G1521="","",IF($H1521=1,ROUND($G1521/23,0),IF($H1521=3,ROUND($G1521/12,0),IF($H1521=6,$G1521,IF($H1521=7,$G1521-ROUND($G1521*10/11,0),0)))))</f>
        <v/>
      </c>
      <c r="N1521" s="364" t="str">
        <f>IF($G1521="","",K1521+L1521+M1521)</f>
        <v/>
      </c>
      <c r="O1521" s="365" t="str">
        <f>IF($G1521="","",IFERROR(VLOOKUP($D1521&amp;"|"&amp;$E1521,科目表!$A$5:$B$200,2,FALSE),"※未登録"))</f>
        <v/>
      </c>
      <c r="P1521" s="359" t="str">
        <f>IF(OR($G1521="",$C1521=""),"",IF($B1521="決算整理",13,MOD(MONTH($C1521)-4,12)+1))</f>
        <v/>
      </c>
      <c r="Q1521" s="366" t="str">
        <f>IF($G1521="","",TRIM(IF(J1521+K1521+L1521+M1521&lt;&gt;$G1521,"按分不一致 ","")&amp;IF(O1521="※未登録","科目未登録 ","")&amp;IF(OR($H1521="",ISERROR(MATCH($H1521,{1,2,3,4,5,6,7,8},0))),"経費区分? ","")&amp;IF($I1521="","状態未設定 ","")&amp;IF(AND(OR($I1521="確認済",$I1521="未確認"),$B1521="月例",OR($C1521="",$C1521&lt;DATE(年度+2018,4,1),$C1521&gt;DATE(年度+2019,3,31))),"年度外の日付 ","")&amp;IF(AND(OR($I1521="確認済",$I1521="未確認"),O1521="対象外"),"対象外の科目 ","")))</f>
        <v/>
      </c>
      <c r="R1521" s="366" t="n"/>
    </row>
    <row r="1522">
      <c r="A1522" s="359" t="n"/>
      <c r="B1522" s="360" t="n"/>
      <c r="C1522" s="361" t="n"/>
      <c r="D1522" s="362" t="n"/>
      <c r="E1522" s="362" t="n"/>
      <c r="F1522" s="362" t="n"/>
      <c r="G1522" s="363" t="n"/>
      <c r="H1522" s="360" t="n"/>
      <c r="I1522" s="360" t="n"/>
      <c r="J1522" s="364" t="str">
        <f>IF($G1522="","",IF($H1522=1,$G1522-ROUND($G1522*10/23,0)-2*ROUND($G1522/23,0),IF($H1522=2,$G1522,0)))</f>
        <v/>
      </c>
      <c r="K1522" s="364" t="str">
        <f>IF($G1522="","",IF($H1522=1,ROUND($G1522*10/23,0),IF($H1522=3,$G1522-2*ROUND($G1522/12,0),IF($H1522=4,$G1522,IF(OR($H1522=5,$H1522=7),ROUND($G1522*10/11,0),0)))))</f>
        <v/>
      </c>
      <c r="L1522" s="364" t="str">
        <f>IF($G1522="","",IF($H1522=1,ROUND($G1522/23,0),IF($H1522=3,ROUND($G1522/12,0),IF($H1522=5,$G1522-ROUND($G1522*10/11,0),IF($H1522=8,$G1522,0)))))</f>
        <v/>
      </c>
      <c r="M1522" s="364" t="str">
        <f>IF($G1522="","",IF($H1522=1,ROUND($G1522/23,0),IF($H1522=3,ROUND($G1522/12,0),IF($H1522=6,$G1522,IF($H1522=7,$G1522-ROUND($G1522*10/11,0),0)))))</f>
        <v/>
      </c>
      <c r="N1522" s="364" t="str">
        <f>IF($G1522="","",K1522+L1522+M1522)</f>
        <v/>
      </c>
      <c r="O1522" s="365" t="str">
        <f>IF($G1522="","",IFERROR(VLOOKUP($D1522&amp;"|"&amp;$E1522,科目表!$A$5:$B$200,2,FALSE),"※未登録"))</f>
        <v/>
      </c>
      <c r="P1522" s="359" t="str">
        <f>IF(OR($G1522="",$C1522=""),"",IF($B1522="決算整理",13,MOD(MONTH($C1522)-4,12)+1))</f>
        <v/>
      </c>
      <c r="Q1522" s="366" t="str">
        <f>IF($G1522="","",TRIM(IF(J1522+K1522+L1522+M1522&lt;&gt;$G1522,"按分不一致 ","")&amp;IF(O1522="※未登録","科目未登録 ","")&amp;IF(OR($H1522="",ISERROR(MATCH($H1522,{1,2,3,4,5,6,7,8},0))),"経費区分? ","")&amp;IF($I1522="","状態未設定 ","")&amp;IF(AND(OR($I1522="確認済",$I1522="未確認"),$B1522="月例",OR($C1522="",$C1522&lt;DATE(年度+2018,4,1),$C1522&gt;DATE(年度+2019,3,31))),"年度外の日付 ","")&amp;IF(AND(OR($I1522="確認済",$I1522="未確認"),O1522="対象外"),"対象外の科目 ","")))</f>
        <v/>
      </c>
      <c r="R1522" s="366" t="n"/>
    </row>
    <row r="1523">
      <c r="A1523" s="359" t="n"/>
      <c r="B1523" s="360" t="n"/>
      <c r="C1523" s="361" t="n"/>
      <c r="D1523" s="362" t="n"/>
      <c r="E1523" s="362" t="n"/>
      <c r="F1523" s="362" t="n"/>
      <c r="G1523" s="363" t="n"/>
      <c r="H1523" s="360" t="n"/>
      <c r="I1523" s="360" t="n"/>
      <c r="J1523" s="364" t="str">
        <f>IF($G1523="","",IF($H1523=1,$G1523-ROUND($G1523*10/23,0)-2*ROUND($G1523/23,0),IF($H1523=2,$G1523,0)))</f>
        <v/>
      </c>
      <c r="K1523" s="364" t="str">
        <f>IF($G1523="","",IF($H1523=1,ROUND($G1523*10/23,0),IF($H1523=3,$G1523-2*ROUND($G1523/12,0),IF($H1523=4,$G1523,IF(OR($H1523=5,$H1523=7),ROUND($G1523*10/11,0),0)))))</f>
        <v/>
      </c>
      <c r="L1523" s="364" t="str">
        <f>IF($G1523="","",IF($H1523=1,ROUND($G1523/23,0),IF($H1523=3,ROUND($G1523/12,0),IF($H1523=5,$G1523-ROUND($G1523*10/11,0),IF($H1523=8,$G1523,0)))))</f>
        <v/>
      </c>
      <c r="M1523" s="364" t="str">
        <f>IF($G1523="","",IF($H1523=1,ROUND($G1523/23,0),IF($H1523=3,ROUND($G1523/12,0),IF($H1523=6,$G1523,IF($H1523=7,$G1523-ROUND($G1523*10/11,0),0)))))</f>
        <v/>
      </c>
      <c r="N1523" s="364" t="str">
        <f>IF($G1523="","",K1523+L1523+M1523)</f>
        <v/>
      </c>
      <c r="O1523" s="365" t="str">
        <f>IF($G1523="","",IFERROR(VLOOKUP($D1523&amp;"|"&amp;$E1523,科目表!$A$5:$B$200,2,FALSE),"※未登録"))</f>
        <v/>
      </c>
      <c r="P1523" s="359" t="str">
        <f>IF(OR($G1523="",$C1523=""),"",IF($B1523="決算整理",13,MOD(MONTH($C1523)-4,12)+1))</f>
        <v/>
      </c>
      <c r="Q1523" s="366" t="str">
        <f>IF($G1523="","",TRIM(IF(J1523+K1523+L1523+M1523&lt;&gt;$G1523,"按分不一致 ","")&amp;IF(O1523="※未登録","科目未登録 ","")&amp;IF(OR($H1523="",ISERROR(MATCH($H1523,{1,2,3,4,5,6,7,8},0))),"経費区分? ","")&amp;IF($I1523="","状態未設定 ","")&amp;IF(AND(OR($I1523="確認済",$I1523="未確認"),$B1523="月例",OR($C1523="",$C1523&lt;DATE(年度+2018,4,1),$C1523&gt;DATE(年度+2019,3,31))),"年度外の日付 ","")&amp;IF(AND(OR($I1523="確認済",$I1523="未確認"),O1523="対象外"),"対象外の科目 ","")))</f>
        <v/>
      </c>
      <c r="R1523" s="366" t="n"/>
    </row>
    <row r="1524">
      <c r="A1524" s="359" t="n"/>
      <c r="B1524" s="360" t="n"/>
      <c r="C1524" s="361" t="n"/>
      <c r="D1524" s="362" t="n"/>
      <c r="E1524" s="362" t="n"/>
      <c r="F1524" s="362" t="n"/>
      <c r="G1524" s="363" t="n"/>
      <c r="H1524" s="360" t="n"/>
      <c r="I1524" s="360" t="n"/>
      <c r="J1524" s="364" t="str">
        <f>IF($G1524="","",IF($H1524=1,$G1524-ROUND($G1524*10/23,0)-2*ROUND($G1524/23,0),IF($H1524=2,$G1524,0)))</f>
        <v/>
      </c>
      <c r="K1524" s="364" t="str">
        <f>IF($G1524="","",IF($H1524=1,ROUND($G1524*10/23,0),IF($H1524=3,$G1524-2*ROUND($G1524/12,0),IF($H1524=4,$G1524,IF(OR($H1524=5,$H1524=7),ROUND($G1524*10/11,0),0)))))</f>
        <v/>
      </c>
      <c r="L1524" s="364" t="str">
        <f>IF($G1524="","",IF($H1524=1,ROUND($G1524/23,0),IF($H1524=3,ROUND($G1524/12,0),IF($H1524=5,$G1524-ROUND($G1524*10/11,0),IF($H1524=8,$G1524,0)))))</f>
        <v/>
      </c>
      <c r="M1524" s="364" t="str">
        <f>IF($G1524="","",IF($H1524=1,ROUND($G1524/23,0),IF($H1524=3,ROUND($G1524/12,0),IF($H1524=6,$G1524,IF($H1524=7,$G1524-ROUND($G1524*10/11,0),0)))))</f>
        <v/>
      </c>
      <c r="N1524" s="364" t="str">
        <f>IF($G1524="","",K1524+L1524+M1524)</f>
        <v/>
      </c>
      <c r="O1524" s="365" t="str">
        <f>IF($G1524="","",IFERROR(VLOOKUP($D1524&amp;"|"&amp;$E1524,科目表!$A$5:$B$200,2,FALSE),"※未登録"))</f>
        <v/>
      </c>
      <c r="P1524" s="359" t="str">
        <f>IF(OR($G1524="",$C1524=""),"",IF($B1524="決算整理",13,MOD(MONTH($C1524)-4,12)+1))</f>
        <v/>
      </c>
      <c r="Q1524" s="366" t="str">
        <f>IF($G1524="","",TRIM(IF(J1524+K1524+L1524+M1524&lt;&gt;$G1524,"按分不一致 ","")&amp;IF(O1524="※未登録","科目未登録 ","")&amp;IF(OR($H1524="",ISERROR(MATCH($H1524,{1,2,3,4,5,6,7,8},0))),"経費区分? ","")&amp;IF($I1524="","状態未設定 ","")&amp;IF(AND(OR($I1524="確認済",$I1524="未確認"),$B1524="月例",OR($C1524="",$C1524&lt;DATE(年度+2018,4,1),$C1524&gt;DATE(年度+2019,3,31))),"年度外の日付 ","")&amp;IF(AND(OR($I1524="確認済",$I1524="未確認"),O1524="対象外"),"対象外の科目 ","")))</f>
        <v/>
      </c>
      <c r="R1524" s="366" t="n"/>
    </row>
    <row r="1525">
      <c r="A1525" s="359" t="n"/>
      <c r="B1525" s="360" t="n"/>
      <c r="C1525" s="361" t="n"/>
      <c r="D1525" s="362" t="n"/>
      <c r="E1525" s="362" t="n"/>
      <c r="F1525" s="362" t="n"/>
      <c r="G1525" s="363" t="n"/>
      <c r="H1525" s="360" t="n"/>
      <c r="I1525" s="360" t="n"/>
      <c r="J1525" s="364" t="str">
        <f>IF($G1525="","",IF($H1525=1,$G1525-ROUND($G1525*10/23,0)-2*ROUND($G1525/23,0),IF($H1525=2,$G1525,0)))</f>
        <v/>
      </c>
      <c r="K1525" s="364" t="str">
        <f>IF($G1525="","",IF($H1525=1,ROUND($G1525*10/23,0),IF($H1525=3,$G1525-2*ROUND($G1525/12,0),IF($H1525=4,$G1525,IF(OR($H1525=5,$H1525=7),ROUND($G1525*10/11,0),0)))))</f>
        <v/>
      </c>
      <c r="L1525" s="364" t="str">
        <f>IF($G1525="","",IF($H1525=1,ROUND($G1525/23,0),IF($H1525=3,ROUND($G1525/12,0),IF($H1525=5,$G1525-ROUND($G1525*10/11,0),IF($H1525=8,$G1525,0)))))</f>
        <v/>
      </c>
      <c r="M1525" s="364" t="str">
        <f>IF($G1525="","",IF($H1525=1,ROUND($G1525/23,0),IF($H1525=3,ROUND($G1525/12,0),IF($H1525=6,$G1525,IF($H1525=7,$G1525-ROUND($G1525*10/11,0),0)))))</f>
        <v/>
      </c>
      <c r="N1525" s="364" t="str">
        <f>IF($G1525="","",K1525+L1525+M1525)</f>
        <v/>
      </c>
      <c r="O1525" s="365" t="str">
        <f>IF($G1525="","",IFERROR(VLOOKUP($D1525&amp;"|"&amp;$E1525,科目表!$A$5:$B$200,2,FALSE),"※未登録"))</f>
        <v/>
      </c>
      <c r="P1525" s="359" t="str">
        <f>IF(OR($G1525="",$C1525=""),"",IF($B1525="決算整理",13,MOD(MONTH($C1525)-4,12)+1))</f>
        <v/>
      </c>
      <c r="Q1525" s="366" t="str">
        <f>IF($G1525="","",TRIM(IF(J1525+K1525+L1525+M1525&lt;&gt;$G1525,"按分不一致 ","")&amp;IF(O1525="※未登録","科目未登録 ","")&amp;IF(OR($H1525="",ISERROR(MATCH($H1525,{1,2,3,4,5,6,7,8},0))),"経費区分? ","")&amp;IF($I1525="","状態未設定 ","")&amp;IF(AND(OR($I1525="確認済",$I1525="未確認"),$B1525="月例",OR($C1525="",$C1525&lt;DATE(年度+2018,4,1),$C1525&gt;DATE(年度+2019,3,31))),"年度外の日付 ","")&amp;IF(AND(OR($I1525="確認済",$I1525="未確認"),O1525="対象外"),"対象外の科目 ","")))</f>
        <v/>
      </c>
      <c r="R1525" s="366" t="n"/>
    </row>
    <row r="1526">
      <c r="A1526" s="359" t="n"/>
      <c r="B1526" s="360" t="n"/>
      <c r="C1526" s="361" t="n"/>
      <c r="D1526" s="362" t="n"/>
      <c r="E1526" s="362" t="n"/>
      <c r="F1526" s="362" t="n"/>
      <c r="G1526" s="363" t="n"/>
      <c r="H1526" s="360" t="n"/>
      <c r="I1526" s="360" t="n"/>
      <c r="J1526" s="364" t="str">
        <f>IF($G1526="","",IF($H1526=1,$G1526-ROUND($G1526*10/23,0)-2*ROUND($G1526/23,0),IF($H1526=2,$G1526,0)))</f>
        <v/>
      </c>
      <c r="K1526" s="364" t="str">
        <f>IF($G1526="","",IF($H1526=1,ROUND($G1526*10/23,0),IF($H1526=3,$G1526-2*ROUND($G1526/12,0),IF($H1526=4,$G1526,IF(OR($H1526=5,$H1526=7),ROUND($G1526*10/11,0),0)))))</f>
        <v/>
      </c>
      <c r="L1526" s="364" t="str">
        <f>IF($G1526="","",IF($H1526=1,ROUND($G1526/23,0),IF($H1526=3,ROUND($G1526/12,0),IF($H1526=5,$G1526-ROUND($G1526*10/11,0),IF($H1526=8,$G1526,0)))))</f>
        <v/>
      </c>
      <c r="M1526" s="364" t="str">
        <f>IF($G1526="","",IF($H1526=1,ROUND($G1526/23,0),IF($H1526=3,ROUND($G1526/12,0),IF($H1526=6,$G1526,IF($H1526=7,$G1526-ROUND($G1526*10/11,0),0)))))</f>
        <v/>
      </c>
      <c r="N1526" s="364" t="str">
        <f>IF($G1526="","",K1526+L1526+M1526)</f>
        <v/>
      </c>
      <c r="O1526" s="365" t="str">
        <f>IF($G1526="","",IFERROR(VLOOKUP($D1526&amp;"|"&amp;$E1526,科目表!$A$5:$B$200,2,FALSE),"※未登録"))</f>
        <v/>
      </c>
      <c r="P1526" s="359" t="str">
        <f>IF(OR($G1526="",$C1526=""),"",IF($B1526="決算整理",13,MOD(MONTH($C1526)-4,12)+1))</f>
        <v/>
      </c>
      <c r="Q1526" s="366" t="str">
        <f>IF($G1526="","",TRIM(IF(J1526+K1526+L1526+M1526&lt;&gt;$G1526,"按分不一致 ","")&amp;IF(O1526="※未登録","科目未登録 ","")&amp;IF(OR($H1526="",ISERROR(MATCH($H1526,{1,2,3,4,5,6,7,8},0))),"経費区分? ","")&amp;IF($I1526="","状態未設定 ","")&amp;IF(AND(OR($I1526="確認済",$I1526="未確認"),$B1526="月例",OR($C1526="",$C1526&lt;DATE(年度+2018,4,1),$C1526&gt;DATE(年度+2019,3,31))),"年度外の日付 ","")&amp;IF(AND(OR($I1526="確認済",$I1526="未確認"),O1526="対象外"),"対象外の科目 ","")))</f>
        <v/>
      </c>
      <c r="R1526" s="366" t="n"/>
    </row>
    <row r="1527">
      <c r="A1527" s="359" t="n"/>
      <c r="B1527" s="360" t="n"/>
      <c r="C1527" s="361" t="n"/>
      <c r="D1527" s="362" t="n"/>
      <c r="E1527" s="362" t="n"/>
      <c r="F1527" s="362" t="n"/>
      <c r="G1527" s="363" t="n"/>
      <c r="H1527" s="360" t="n"/>
      <c r="I1527" s="360" t="n"/>
      <c r="J1527" s="364" t="str">
        <f>IF($G1527="","",IF($H1527=1,$G1527-ROUND($G1527*10/23,0)-2*ROUND($G1527/23,0),IF($H1527=2,$G1527,0)))</f>
        <v/>
      </c>
      <c r="K1527" s="364" t="str">
        <f>IF($G1527="","",IF($H1527=1,ROUND($G1527*10/23,0),IF($H1527=3,$G1527-2*ROUND($G1527/12,0),IF($H1527=4,$G1527,IF(OR($H1527=5,$H1527=7),ROUND($G1527*10/11,0),0)))))</f>
        <v/>
      </c>
      <c r="L1527" s="364" t="str">
        <f>IF($G1527="","",IF($H1527=1,ROUND($G1527/23,0),IF($H1527=3,ROUND($G1527/12,0),IF($H1527=5,$G1527-ROUND($G1527*10/11,0),IF($H1527=8,$G1527,0)))))</f>
        <v/>
      </c>
      <c r="M1527" s="364" t="str">
        <f>IF($G1527="","",IF($H1527=1,ROUND($G1527/23,0),IF($H1527=3,ROUND($G1527/12,0),IF($H1527=6,$G1527,IF($H1527=7,$G1527-ROUND($G1527*10/11,0),0)))))</f>
        <v/>
      </c>
      <c r="N1527" s="364" t="str">
        <f>IF($G1527="","",K1527+L1527+M1527)</f>
        <v/>
      </c>
      <c r="O1527" s="365" t="str">
        <f>IF($G1527="","",IFERROR(VLOOKUP($D1527&amp;"|"&amp;$E1527,科目表!$A$5:$B$200,2,FALSE),"※未登録"))</f>
        <v/>
      </c>
      <c r="P1527" s="359" t="str">
        <f>IF(OR($G1527="",$C1527=""),"",IF($B1527="決算整理",13,MOD(MONTH($C1527)-4,12)+1))</f>
        <v/>
      </c>
      <c r="Q1527" s="366" t="str">
        <f>IF($G1527="","",TRIM(IF(J1527+K1527+L1527+M1527&lt;&gt;$G1527,"按分不一致 ","")&amp;IF(O1527="※未登録","科目未登録 ","")&amp;IF(OR($H1527="",ISERROR(MATCH($H1527,{1,2,3,4,5,6,7,8},0))),"経費区分? ","")&amp;IF($I1527="","状態未設定 ","")&amp;IF(AND(OR($I1527="確認済",$I1527="未確認"),$B1527="月例",OR($C1527="",$C1527&lt;DATE(年度+2018,4,1),$C1527&gt;DATE(年度+2019,3,31))),"年度外の日付 ","")&amp;IF(AND(OR($I1527="確認済",$I1527="未確認"),O1527="対象外"),"対象外の科目 ","")))</f>
        <v/>
      </c>
      <c r="R1527" s="366" t="n"/>
    </row>
    <row r="1528">
      <c r="A1528" s="359" t="n"/>
      <c r="B1528" s="360" t="n"/>
      <c r="C1528" s="361" t="n"/>
      <c r="D1528" s="362" t="n"/>
      <c r="E1528" s="362" t="n"/>
      <c r="F1528" s="362" t="n"/>
      <c r="G1528" s="363" t="n"/>
      <c r="H1528" s="360" t="n"/>
      <c r="I1528" s="360" t="n"/>
      <c r="J1528" s="364" t="str">
        <f>IF($G1528="","",IF($H1528=1,$G1528-ROUND($G1528*10/23,0)-2*ROUND($G1528/23,0),IF($H1528=2,$G1528,0)))</f>
        <v/>
      </c>
      <c r="K1528" s="364" t="str">
        <f>IF($G1528="","",IF($H1528=1,ROUND($G1528*10/23,0),IF($H1528=3,$G1528-2*ROUND($G1528/12,0),IF($H1528=4,$G1528,IF(OR($H1528=5,$H1528=7),ROUND($G1528*10/11,0),0)))))</f>
        <v/>
      </c>
      <c r="L1528" s="364" t="str">
        <f>IF($G1528="","",IF($H1528=1,ROUND($G1528/23,0),IF($H1528=3,ROUND($G1528/12,0),IF($H1528=5,$G1528-ROUND($G1528*10/11,0),IF($H1528=8,$G1528,0)))))</f>
        <v/>
      </c>
      <c r="M1528" s="364" t="str">
        <f>IF($G1528="","",IF($H1528=1,ROUND($G1528/23,0),IF($H1528=3,ROUND($G1528/12,0),IF($H1528=6,$G1528,IF($H1528=7,$G1528-ROUND($G1528*10/11,0),0)))))</f>
        <v/>
      </c>
      <c r="N1528" s="364" t="str">
        <f>IF($G1528="","",K1528+L1528+M1528)</f>
        <v/>
      </c>
      <c r="O1528" s="365" t="str">
        <f>IF($G1528="","",IFERROR(VLOOKUP($D1528&amp;"|"&amp;$E1528,科目表!$A$5:$B$200,2,FALSE),"※未登録"))</f>
        <v/>
      </c>
      <c r="P1528" s="359" t="str">
        <f>IF(OR($G1528="",$C1528=""),"",IF($B1528="決算整理",13,MOD(MONTH($C1528)-4,12)+1))</f>
        <v/>
      </c>
      <c r="Q1528" s="366" t="str">
        <f>IF($G1528="","",TRIM(IF(J1528+K1528+L1528+M1528&lt;&gt;$G1528,"按分不一致 ","")&amp;IF(O1528="※未登録","科目未登録 ","")&amp;IF(OR($H1528="",ISERROR(MATCH($H1528,{1,2,3,4,5,6,7,8},0))),"経費区分? ","")&amp;IF($I1528="","状態未設定 ","")&amp;IF(AND(OR($I1528="確認済",$I1528="未確認"),$B1528="月例",OR($C1528="",$C1528&lt;DATE(年度+2018,4,1),$C1528&gt;DATE(年度+2019,3,31))),"年度外の日付 ","")&amp;IF(AND(OR($I1528="確認済",$I1528="未確認"),O1528="対象外"),"対象外の科目 ","")))</f>
        <v/>
      </c>
      <c r="R1528" s="366" t="n"/>
    </row>
    <row r="1529">
      <c r="A1529" s="359" t="n"/>
      <c r="B1529" s="360" t="n"/>
      <c r="C1529" s="361" t="n"/>
      <c r="D1529" s="362" t="n"/>
      <c r="E1529" s="362" t="n"/>
      <c r="F1529" s="362" t="n"/>
      <c r="G1529" s="363" t="n"/>
      <c r="H1529" s="360" t="n"/>
      <c r="I1529" s="360" t="n"/>
      <c r="J1529" s="364" t="str">
        <f>IF($G1529="","",IF($H1529=1,$G1529-ROUND($G1529*10/23,0)-2*ROUND($G1529/23,0),IF($H1529=2,$G1529,0)))</f>
        <v/>
      </c>
      <c r="K1529" s="364" t="str">
        <f>IF($G1529="","",IF($H1529=1,ROUND($G1529*10/23,0),IF($H1529=3,$G1529-2*ROUND($G1529/12,0),IF($H1529=4,$G1529,IF(OR($H1529=5,$H1529=7),ROUND($G1529*10/11,0),0)))))</f>
        <v/>
      </c>
      <c r="L1529" s="364" t="str">
        <f>IF($G1529="","",IF($H1529=1,ROUND($G1529/23,0),IF($H1529=3,ROUND($G1529/12,0),IF($H1529=5,$G1529-ROUND($G1529*10/11,0),IF($H1529=8,$G1529,0)))))</f>
        <v/>
      </c>
      <c r="M1529" s="364" t="str">
        <f>IF($G1529="","",IF($H1529=1,ROUND($G1529/23,0),IF($H1529=3,ROUND($G1529/12,0),IF($H1529=6,$G1529,IF($H1529=7,$G1529-ROUND($G1529*10/11,0),0)))))</f>
        <v/>
      </c>
      <c r="N1529" s="364" t="str">
        <f>IF($G1529="","",K1529+L1529+M1529)</f>
        <v/>
      </c>
      <c r="O1529" s="365" t="str">
        <f>IF($G1529="","",IFERROR(VLOOKUP($D1529&amp;"|"&amp;$E1529,科目表!$A$5:$B$200,2,FALSE),"※未登録"))</f>
        <v/>
      </c>
      <c r="P1529" s="359" t="str">
        <f>IF(OR($G1529="",$C1529=""),"",IF($B1529="決算整理",13,MOD(MONTH($C1529)-4,12)+1))</f>
        <v/>
      </c>
      <c r="Q1529" s="366" t="str">
        <f>IF($G1529="","",TRIM(IF(J1529+K1529+L1529+M1529&lt;&gt;$G1529,"按分不一致 ","")&amp;IF(O1529="※未登録","科目未登録 ","")&amp;IF(OR($H1529="",ISERROR(MATCH($H1529,{1,2,3,4,5,6,7,8},0))),"経費区分? ","")&amp;IF($I1529="","状態未設定 ","")&amp;IF(AND(OR($I1529="確認済",$I1529="未確認"),$B1529="月例",OR($C1529="",$C1529&lt;DATE(年度+2018,4,1),$C1529&gt;DATE(年度+2019,3,31))),"年度外の日付 ","")&amp;IF(AND(OR($I1529="確認済",$I1529="未確認"),O1529="対象外"),"対象外の科目 ","")))</f>
        <v/>
      </c>
      <c r="R1529" s="366" t="n"/>
    </row>
    <row r="1530">
      <c r="A1530" s="359" t="n"/>
      <c r="B1530" s="360" t="n"/>
      <c r="C1530" s="361" t="n"/>
      <c r="D1530" s="362" t="n"/>
      <c r="E1530" s="362" t="n"/>
      <c r="F1530" s="362" t="n"/>
      <c r="G1530" s="363" t="n"/>
      <c r="H1530" s="360" t="n"/>
      <c r="I1530" s="360" t="n"/>
      <c r="J1530" s="364" t="str">
        <f>IF($G1530="","",IF($H1530=1,$G1530-ROUND($G1530*10/23,0)-2*ROUND($G1530/23,0),IF($H1530=2,$G1530,0)))</f>
        <v/>
      </c>
      <c r="K1530" s="364" t="str">
        <f>IF($G1530="","",IF($H1530=1,ROUND($G1530*10/23,0),IF($H1530=3,$G1530-2*ROUND($G1530/12,0),IF($H1530=4,$G1530,IF(OR($H1530=5,$H1530=7),ROUND($G1530*10/11,0),0)))))</f>
        <v/>
      </c>
      <c r="L1530" s="364" t="str">
        <f>IF($G1530="","",IF($H1530=1,ROUND($G1530/23,0),IF($H1530=3,ROUND($G1530/12,0),IF($H1530=5,$G1530-ROUND($G1530*10/11,0),IF($H1530=8,$G1530,0)))))</f>
        <v/>
      </c>
      <c r="M1530" s="364" t="str">
        <f>IF($G1530="","",IF($H1530=1,ROUND($G1530/23,0),IF($H1530=3,ROUND($G1530/12,0),IF($H1530=6,$G1530,IF($H1530=7,$G1530-ROUND($G1530*10/11,0),0)))))</f>
        <v/>
      </c>
      <c r="N1530" s="364" t="str">
        <f>IF($G1530="","",K1530+L1530+M1530)</f>
        <v/>
      </c>
      <c r="O1530" s="365" t="str">
        <f>IF($G1530="","",IFERROR(VLOOKUP($D1530&amp;"|"&amp;$E1530,科目表!$A$5:$B$200,2,FALSE),"※未登録"))</f>
        <v/>
      </c>
      <c r="P1530" s="359" t="str">
        <f>IF(OR($G1530="",$C1530=""),"",IF($B1530="決算整理",13,MOD(MONTH($C1530)-4,12)+1))</f>
        <v/>
      </c>
      <c r="Q1530" s="366" t="str">
        <f>IF($G1530="","",TRIM(IF(J1530+K1530+L1530+M1530&lt;&gt;$G1530,"按分不一致 ","")&amp;IF(O1530="※未登録","科目未登録 ","")&amp;IF(OR($H1530="",ISERROR(MATCH($H1530,{1,2,3,4,5,6,7,8},0))),"経費区分? ","")&amp;IF($I1530="","状態未設定 ","")&amp;IF(AND(OR($I1530="確認済",$I1530="未確認"),$B1530="月例",OR($C1530="",$C1530&lt;DATE(年度+2018,4,1),$C1530&gt;DATE(年度+2019,3,31))),"年度外の日付 ","")&amp;IF(AND(OR($I1530="確認済",$I1530="未確認"),O1530="対象外"),"対象外の科目 ","")))</f>
        <v/>
      </c>
      <c r="R1530" s="366" t="n"/>
    </row>
    <row r="1531">
      <c r="A1531" s="359" t="n"/>
      <c r="B1531" s="360" t="n"/>
      <c r="C1531" s="361" t="n"/>
      <c r="D1531" s="362" t="n"/>
      <c r="E1531" s="362" t="n"/>
      <c r="F1531" s="362" t="n"/>
      <c r="G1531" s="363" t="n"/>
      <c r="H1531" s="360" t="n"/>
      <c r="I1531" s="360" t="n"/>
      <c r="J1531" s="364" t="str">
        <f>IF($G1531="","",IF($H1531=1,$G1531-ROUND($G1531*10/23,0)-2*ROUND($G1531/23,0),IF($H1531=2,$G1531,0)))</f>
        <v/>
      </c>
      <c r="K1531" s="364" t="str">
        <f>IF($G1531="","",IF($H1531=1,ROUND($G1531*10/23,0),IF($H1531=3,$G1531-2*ROUND($G1531/12,0),IF($H1531=4,$G1531,IF(OR($H1531=5,$H1531=7),ROUND($G1531*10/11,0),0)))))</f>
        <v/>
      </c>
      <c r="L1531" s="364" t="str">
        <f>IF($G1531="","",IF($H1531=1,ROUND($G1531/23,0),IF($H1531=3,ROUND($G1531/12,0),IF($H1531=5,$G1531-ROUND($G1531*10/11,0),IF($H1531=8,$G1531,0)))))</f>
        <v/>
      </c>
      <c r="M1531" s="364" t="str">
        <f>IF($G1531="","",IF($H1531=1,ROUND($G1531/23,0),IF($H1531=3,ROUND($G1531/12,0),IF($H1531=6,$G1531,IF($H1531=7,$G1531-ROUND($G1531*10/11,0),0)))))</f>
        <v/>
      </c>
      <c r="N1531" s="364" t="str">
        <f>IF($G1531="","",K1531+L1531+M1531)</f>
        <v/>
      </c>
      <c r="O1531" s="365" t="str">
        <f>IF($G1531="","",IFERROR(VLOOKUP($D1531&amp;"|"&amp;$E1531,科目表!$A$5:$B$200,2,FALSE),"※未登録"))</f>
        <v/>
      </c>
      <c r="P1531" s="359" t="str">
        <f>IF(OR($G1531="",$C1531=""),"",IF($B1531="決算整理",13,MOD(MONTH($C1531)-4,12)+1))</f>
        <v/>
      </c>
      <c r="Q1531" s="366" t="str">
        <f>IF($G1531="","",TRIM(IF(J1531+K1531+L1531+M1531&lt;&gt;$G1531,"按分不一致 ","")&amp;IF(O1531="※未登録","科目未登録 ","")&amp;IF(OR($H1531="",ISERROR(MATCH($H1531,{1,2,3,4,5,6,7,8},0))),"経費区分? ","")&amp;IF($I1531="","状態未設定 ","")&amp;IF(AND(OR($I1531="確認済",$I1531="未確認"),$B1531="月例",OR($C1531="",$C1531&lt;DATE(年度+2018,4,1),$C1531&gt;DATE(年度+2019,3,31))),"年度外の日付 ","")&amp;IF(AND(OR($I1531="確認済",$I1531="未確認"),O1531="対象外"),"対象外の科目 ","")))</f>
        <v/>
      </c>
      <c r="R1531" s="366" t="n"/>
    </row>
    <row r="1532">
      <c r="A1532" s="359" t="n"/>
      <c r="B1532" s="360" t="n"/>
      <c r="C1532" s="361" t="n"/>
      <c r="D1532" s="362" t="n"/>
      <c r="E1532" s="362" t="n"/>
      <c r="F1532" s="362" t="n"/>
      <c r="G1532" s="363" t="n"/>
      <c r="H1532" s="360" t="n"/>
      <c r="I1532" s="360" t="n"/>
      <c r="J1532" s="364" t="str">
        <f>IF($G1532="","",IF($H1532=1,$G1532-ROUND($G1532*10/23,0)-2*ROUND($G1532/23,0),IF($H1532=2,$G1532,0)))</f>
        <v/>
      </c>
      <c r="K1532" s="364" t="str">
        <f>IF($G1532="","",IF($H1532=1,ROUND($G1532*10/23,0),IF($H1532=3,$G1532-2*ROUND($G1532/12,0),IF($H1532=4,$G1532,IF(OR($H1532=5,$H1532=7),ROUND($G1532*10/11,0),0)))))</f>
        <v/>
      </c>
      <c r="L1532" s="364" t="str">
        <f>IF($G1532="","",IF($H1532=1,ROUND($G1532/23,0),IF($H1532=3,ROUND($G1532/12,0),IF($H1532=5,$G1532-ROUND($G1532*10/11,0),IF($H1532=8,$G1532,0)))))</f>
        <v/>
      </c>
      <c r="M1532" s="364" t="str">
        <f>IF($G1532="","",IF($H1532=1,ROUND($G1532/23,0),IF($H1532=3,ROUND($G1532/12,0),IF($H1532=6,$G1532,IF($H1532=7,$G1532-ROUND($G1532*10/11,0),0)))))</f>
        <v/>
      </c>
      <c r="N1532" s="364" t="str">
        <f>IF($G1532="","",K1532+L1532+M1532)</f>
        <v/>
      </c>
      <c r="O1532" s="365" t="str">
        <f>IF($G1532="","",IFERROR(VLOOKUP($D1532&amp;"|"&amp;$E1532,科目表!$A$5:$B$200,2,FALSE),"※未登録"))</f>
        <v/>
      </c>
      <c r="P1532" s="359" t="str">
        <f>IF(OR($G1532="",$C1532=""),"",IF($B1532="決算整理",13,MOD(MONTH($C1532)-4,12)+1))</f>
        <v/>
      </c>
      <c r="Q1532" s="366" t="str">
        <f>IF($G1532="","",TRIM(IF(J1532+K1532+L1532+M1532&lt;&gt;$G1532,"按分不一致 ","")&amp;IF(O1532="※未登録","科目未登録 ","")&amp;IF(OR($H1532="",ISERROR(MATCH($H1532,{1,2,3,4,5,6,7,8},0))),"経費区分? ","")&amp;IF($I1532="","状態未設定 ","")&amp;IF(AND(OR($I1532="確認済",$I1532="未確認"),$B1532="月例",OR($C1532="",$C1532&lt;DATE(年度+2018,4,1),$C1532&gt;DATE(年度+2019,3,31))),"年度外の日付 ","")&amp;IF(AND(OR($I1532="確認済",$I1532="未確認"),O1532="対象外"),"対象外の科目 ","")))</f>
        <v/>
      </c>
      <c r="R1532" s="366" t="n"/>
    </row>
    <row r="1533">
      <c r="A1533" s="359" t="n"/>
      <c r="B1533" s="360" t="n"/>
      <c r="C1533" s="361" t="n"/>
      <c r="D1533" s="362" t="n"/>
      <c r="E1533" s="362" t="n"/>
      <c r="F1533" s="362" t="n"/>
      <c r="G1533" s="363" t="n"/>
      <c r="H1533" s="360" t="n"/>
      <c r="I1533" s="360" t="n"/>
      <c r="J1533" s="364" t="str">
        <f>IF($G1533="","",IF($H1533=1,$G1533-ROUND($G1533*10/23,0)-2*ROUND($G1533/23,0),IF($H1533=2,$G1533,0)))</f>
        <v/>
      </c>
      <c r="K1533" s="364" t="str">
        <f>IF($G1533="","",IF($H1533=1,ROUND($G1533*10/23,0),IF($H1533=3,$G1533-2*ROUND($G1533/12,0),IF($H1533=4,$G1533,IF(OR($H1533=5,$H1533=7),ROUND($G1533*10/11,0),0)))))</f>
        <v/>
      </c>
      <c r="L1533" s="364" t="str">
        <f>IF($G1533="","",IF($H1533=1,ROUND($G1533/23,0),IF($H1533=3,ROUND($G1533/12,0),IF($H1533=5,$G1533-ROUND($G1533*10/11,0),IF($H1533=8,$G1533,0)))))</f>
        <v/>
      </c>
      <c r="M1533" s="364" t="str">
        <f>IF($G1533="","",IF($H1533=1,ROUND($G1533/23,0),IF($H1533=3,ROUND($G1533/12,0),IF($H1533=6,$G1533,IF($H1533=7,$G1533-ROUND($G1533*10/11,0),0)))))</f>
        <v/>
      </c>
      <c r="N1533" s="364" t="str">
        <f>IF($G1533="","",K1533+L1533+M1533)</f>
        <v/>
      </c>
      <c r="O1533" s="365" t="str">
        <f>IF($G1533="","",IFERROR(VLOOKUP($D1533&amp;"|"&amp;$E1533,科目表!$A$5:$B$200,2,FALSE),"※未登録"))</f>
        <v/>
      </c>
      <c r="P1533" s="359" t="str">
        <f>IF(OR($G1533="",$C1533=""),"",IF($B1533="決算整理",13,MOD(MONTH($C1533)-4,12)+1))</f>
        <v/>
      </c>
      <c r="Q1533" s="366" t="str">
        <f>IF($G1533="","",TRIM(IF(J1533+K1533+L1533+M1533&lt;&gt;$G1533,"按分不一致 ","")&amp;IF(O1533="※未登録","科目未登録 ","")&amp;IF(OR($H1533="",ISERROR(MATCH($H1533,{1,2,3,4,5,6,7,8},0))),"経費区分? ","")&amp;IF($I1533="","状態未設定 ","")&amp;IF(AND(OR($I1533="確認済",$I1533="未確認"),$B1533="月例",OR($C1533="",$C1533&lt;DATE(年度+2018,4,1),$C1533&gt;DATE(年度+2019,3,31))),"年度外の日付 ","")&amp;IF(AND(OR($I1533="確認済",$I1533="未確認"),O1533="対象外"),"対象外の科目 ","")))</f>
        <v/>
      </c>
      <c r="R1533" s="366" t="n"/>
    </row>
    <row r="1534">
      <c r="A1534" s="359" t="n"/>
      <c r="B1534" s="360" t="n"/>
      <c r="C1534" s="361" t="n"/>
      <c r="D1534" s="362" t="n"/>
      <c r="E1534" s="362" t="n"/>
      <c r="F1534" s="362" t="n"/>
      <c r="G1534" s="363" t="n"/>
      <c r="H1534" s="360" t="n"/>
      <c r="I1534" s="360" t="n"/>
      <c r="J1534" s="364" t="str">
        <f>IF($G1534="","",IF($H1534=1,$G1534-ROUND($G1534*10/23,0)-2*ROUND($G1534/23,0),IF($H1534=2,$G1534,0)))</f>
        <v/>
      </c>
      <c r="K1534" s="364" t="str">
        <f>IF($G1534="","",IF($H1534=1,ROUND($G1534*10/23,0),IF($H1534=3,$G1534-2*ROUND($G1534/12,0),IF($H1534=4,$G1534,IF(OR($H1534=5,$H1534=7),ROUND($G1534*10/11,0),0)))))</f>
        <v/>
      </c>
      <c r="L1534" s="364" t="str">
        <f>IF($G1534="","",IF($H1534=1,ROUND($G1534/23,0),IF($H1534=3,ROUND($G1534/12,0),IF($H1534=5,$G1534-ROUND($G1534*10/11,0),IF($H1534=8,$G1534,0)))))</f>
        <v/>
      </c>
      <c r="M1534" s="364" t="str">
        <f>IF($G1534="","",IF($H1534=1,ROUND($G1534/23,0),IF($H1534=3,ROUND($G1534/12,0),IF($H1534=6,$G1534,IF($H1534=7,$G1534-ROUND($G1534*10/11,0),0)))))</f>
        <v/>
      </c>
      <c r="N1534" s="364" t="str">
        <f>IF($G1534="","",K1534+L1534+M1534)</f>
        <v/>
      </c>
      <c r="O1534" s="365" t="str">
        <f>IF($G1534="","",IFERROR(VLOOKUP($D1534&amp;"|"&amp;$E1534,科目表!$A$5:$B$200,2,FALSE),"※未登録"))</f>
        <v/>
      </c>
      <c r="P1534" s="359" t="str">
        <f>IF(OR($G1534="",$C1534=""),"",IF($B1534="決算整理",13,MOD(MONTH($C1534)-4,12)+1))</f>
        <v/>
      </c>
      <c r="Q1534" s="366" t="str">
        <f>IF($G1534="","",TRIM(IF(J1534+K1534+L1534+M1534&lt;&gt;$G1534,"按分不一致 ","")&amp;IF(O1534="※未登録","科目未登録 ","")&amp;IF(OR($H1534="",ISERROR(MATCH($H1534,{1,2,3,4,5,6,7,8},0))),"経費区分? ","")&amp;IF($I1534="","状態未設定 ","")&amp;IF(AND(OR($I1534="確認済",$I1534="未確認"),$B1534="月例",OR($C1534="",$C1534&lt;DATE(年度+2018,4,1),$C1534&gt;DATE(年度+2019,3,31))),"年度外の日付 ","")&amp;IF(AND(OR($I1534="確認済",$I1534="未確認"),O1534="対象外"),"対象外の科目 ","")))</f>
        <v/>
      </c>
      <c r="R1534" s="366" t="n"/>
    </row>
    <row r="1535">
      <c r="A1535" s="359" t="n"/>
      <c r="B1535" s="360" t="n"/>
      <c r="C1535" s="361" t="n"/>
      <c r="D1535" s="362" t="n"/>
      <c r="E1535" s="362" t="n"/>
      <c r="F1535" s="362" t="n"/>
      <c r="G1535" s="363" t="n"/>
      <c r="H1535" s="360" t="n"/>
      <c r="I1535" s="360" t="n"/>
      <c r="J1535" s="364" t="str">
        <f>IF($G1535="","",IF($H1535=1,$G1535-ROUND($G1535*10/23,0)-2*ROUND($G1535/23,0),IF($H1535=2,$G1535,0)))</f>
        <v/>
      </c>
      <c r="K1535" s="364" t="str">
        <f>IF($G1535="","",IF($H1535=1,ROUND($G1535*10/23,0),IF($H1535=3,$G1535-2*ROUND($G1535/12,0),IF($H1535=4,$G1535,IF(OR($H1535=5,$H1535=7),ROUND($G1535*10/11,0),0)))))</f>
        <v/>
      </c>
      <c r="L1535" s="364" t="str">
        <f>IF($G1535="","",IF($H1535=1,ROUND($G1535/23,0),IF($H1535=3,ROUND($G1535/12,0),IF($H1535=5,$G1535-ROUND($G1535*10/11,0),IF($H1535=8,$G1535,0)))))</f>
        <v/>
      </c>
      <c r="M1535" s="364" t="str">
        <f>IF($G1535="","",IF($H1535=1,ROUND($G1535/23,0),IF($H1535=3,ROUND($G1535/12,0),IF($H1535=6,$G1535,IF($H1535=7,$G1535-ROUND($G1535*10/11,0),0)))))</f>
        <v/>
      </c>
      <c r="N1535" s="364" t="str">
        <f>IF($G1535="","",K1535+L1535+M1535)</f>
        <v/>
      </c>
      <c r="O1535" s="365" t="str">
        <f>IF($G1535="","",IFERROR(VLOOKUP($D1535&amp;"|"&amp;$E1535,科目表!$A$5:$B$200,2,FALSE),"※未登録"))</f>
        <v/>
      </c>
      <c r="P1535" s="359" t="str">
        <f>IF(OR($G1535="",$C1535=""),"",IF($B1535="決算整理",13,MOD(MONTH($C1535)-4,12)+1))</f>
        <v/>
      </c>
      <c r="Q1535" s="366" t="str">
        <f>IF($G1535="","",TRIM(IF(J1535+K1535+L1535+M1535&lt;&gt;$G1535,"按分不一致 ","")&amp;IF(O1535="※未登録","科目未登録 ","")&amp;IF(OR($H1535="",ISERROR(MATCH($H1535,{1,2,3,4,5,6,7,8},0))),"経費区分? ","")&amp;IF($I1535="","状態未設定 ","")&amp;IF(AND(OR($I1535="確認済",$I1535="未確認"),$B1535="月例",OR($C1535="",$C1535&lt;DATE(年度+2018,4,1),$C1535&gt;DATE(年度+2019,3,31))),"年度外の日付 ","")&amp;IF(AND(OR($I1535="確認済",$I1535="未確認"),O1535="対象外"),"対象外の科目 ","")))</f>
        <v/>
      </c>
      <c r="R1535" s="366" t="n"/>
    </row>
    <row r="1536">
      <c r="A1536" s="359" t="n"/>
      <c r="B1536" s="360" t="n"/>
      <c r="C1536" s="361" t="n"/>
      <c r="D1536" s="362" t="n"/>
      <c r="E1536" s="362" t="n"/>
      <c r="F1536" s="362" t="n"/>
      <c r="G1536" s="363" t="n"/>
      <c r="H1536" s="360" t="n"/>
      <c r="I1536" s="360" t="n"/>
      <c r="J1536" s="364" t="str">
        <f>IF($G1536="","",IF($H1536=1,$G1536-ROUND($G1536*10/23,0)-2*ROUND($G1536/23,0),IF($H1536=2,$G1536,0)))</f>
        <v/>
      </c>
      <c r="K1536" s="364" t="str">
        <f>IF($G1536="","",IF($H1536=1,ROUND($G1536*10/23,0),IF($H1536=3,$G1536-2*ROUND($G1536/12,0),IF($H1536=4,$G1536,IF(OR($H1536=5,$H1536=7),ROUND($G1536*10/11,0),0)))))</f>
        <v/>
      </c>
      <c r="L1536" s="364" t="str">
        <f>IF($G1536="","",IF($H1536=1,ROUND($G1536/23,0),IF($H1536=3,ROUND($G1536/12,0),IF($H1536=5,$G1536-ROUND($G1536*10/11,0),IF($H1536=8,$G1536,0)))))</f>
        <v/>
      </c>
      <c r="M1536" s="364" t="str">
        <f>IF($G1536="","",IF($H1536=1,ROUND($G1536/23,0),IF($H1536=3,ROUND($G1536/12,0),IF($H1536=6,$G1536,IF($H1536=7,$G1536-ROUND($G1536*10/11,0),0)))))</f>
        <v/>
      </c>
      <c r="N1536" s="364" t="str">
        <f>IF($G1536="","",K1536+L1536+M1536)</f>
        <v/>
      </c>
      <c r="O1536" s="365" t="str">
        <f>IF($G1536="","",IFERROR(VLOOKUP($D1536&amp;"|"&amp;$E1536,科目表!$A$5:$B$200,2,FALSE),"※未登録"))</f>
        <v/>
      </c>
      <c r="P1536" s="359" t="str">
        <f>IF(OR($G1536="",$C1536=""),"",IF($B1536="決算整理",13,MOD(MONTH($C1536)-4,12)+1))</f>
        <v/>
      </c>
      <c r="Q1536" s="366" t="str">
        <f>IF($G1536="","",TRIM(IF(J1536+K1536+L1536+M1536&lt;&gt;$G1536,"按分不一致 ","")&amp;IF(O1536="※未登録","科目未登録 ","")&amp;IF(OR($H1536="",ISERROR(MATCH($H1536,{1,2,3,4,5,6,7,8},0))),"経費区分? ","")&amp;IF($I1536="","状態未設定 ","")&amp;IF(AND(OR($I1536="確認済",$I1536="未確認"),$B1536="月例",OR($C1536="",$C1536&lt;DATE(年度+2018,4,1),$C1536&gt;DATE(年度+2019,3,31))),"年度外の日付 ","")&amp;IF(AND(OR($I1536="確認済",$I1536="未確認"),O1536="対象外"),"対象外の科目 ","")))</f>
        <v/>
      </c>
      <c r="R1536" s="366" t="n"/>
    </row>
    <row r="1537">
      <c r="A1537" s="359" t="n"/>
      <c r="B1537" s="360" t="n"/>
      <c r="C1537" s="361" t="n"/>
      <c r="D1537" s="362" t="n"/>
      <c r="E1537" s="362" t="n"/>
      <c r="F1537" s="362" t="n"/>
      <c r="G1537" s="363" t="n"/>
      <c r="H1537" s="360" t="n"/>
      <c r="I1537" s="360" t="n"/>
      <c r="J1537" s="364" t="str">
        <f>IF($G1537="","",IF($H1537=1,$G1537-ROUND($G1537*10/23,0)-2*ROUND($G1537/23,0),IF($H1537=2,$G1537,0)))</f>
        <v/>
      </c>
      <c r="K1537" s="364" t="str">
        <f>IF($G1537="","",IF($H1537=1,ROUND($G1537*10/23,0),IF($H1537=3,$G1537-2*ROUND($G1537/12,0),IF($H1537=4,$G1537,IF(OR($H1537=5,$H1537=7),ROUND($G1537*10/11,0),0)))))</f>
        <v/>
      </c>
      <c r="L1537" s="364" t="str">
        <f>IF($G1537="","",IF($H1537=1,ROUND($G1537/23,0),IF($H1537=3,ROUND($G1537/12,0),IF($H1537=5,$G1537-ROUND($G1537*10/11,0),IF($H1537=8,$G1537,0)))))</f>
        <v/>
      </c>
      <c r="M1537" s="364" t="str">
        <f>IF($G1537="","",IF($H1537=1,ROUND($G1537/23,0),IF($H1537=3,ROUND($G1537/12,0),IF($H1537=6,$G1537,IF($H1537=7,$G1537-ROUND($G1537*10/11,0),0)))))</f>
        <v/>
      </c>
      <c r="N1537" s="364" t="str">
        <f>IF($G1537="","",K1537+L1537+M1537)</f>
        <v/>
      </c>
      <c r="O1537" s="365" t="str">
        <f>IF($G1537="","",IFERROR(VLOOKUP($D1537&amp;"|"&amp;$E1537,科目表!$A$5:$B$200,2,FALSE),"※未登録"))</f>
        <v/>
      </c>
      <c r="P1537" s="359" t="str">
        <f>IF(OR($G1537="",$C1537=""),"",IF($B1537="決算整理",13,MOD(MONTH($C1537)-4,12)+1))</f>
        <v/>
      </c>
      <c r="Q1537" s="366" t="str">
        <f>IF($G1537="","",TRIM(IF(J1537+K1537+L1537+M1537&lt;&gt;$G1537,"按分不一致 ","")&amp;IF(O1537="※未登録","科目未登録 ","")&amp;IF(OR($H1537="",ISERROR(MATCH($H1537,{1,2,3,4,5,6,7,8},0))),"経費区分? ","")&amp;IF($I1537="","状態未設定 ","")&amp;IF(AND(OR($I1537="確認済",$I1537="未確認"),$B1537="月例",OR($C1537="",$C1537&lt;DATE(年度+2018,4,1),$C1537&gt;DATE(年度+2019,3,31))),"年度外の日付 ","")&amp;IF(AND(OR($I1537="確認済",$I1537="未確認"),O1537="対象外"),"対象外の科目 ","")))</f>
        <v/>
      </c>
      <c r="R1537" s="366" t="n"/>
    </row>
    <row r="1538">
      <c r="A1538" s="359" t="n"/>
      <c r="B1538" s="360" t="n"/>
      <c r="C1538" s="361" t="n"/>
      <c r="D1538" s="362" t="n"/>
      <c r="E1538" s="362" t="n"/>
      <c r="F1538" s="362" t="n"/>
      <c r="G1538" s="363" t="n"/>
      <c r="H1538" s="360" t="n"/>
      <c r="I1538" s="360" t="n"/>
      <c r="J1538" s="364" t="str">
        <f>IF($G1538="","",IF($H1538=1,$G1538-ROUND($G1538*10/23,0)-2*ROUND($G1538/23,0),IF($H1538=2,$G1538,0)))</f>
        <v/>
      </c>
      <c r="K1538" s="364" t="str">
        <f>IF($G1538="","",IF($H1538=1,ROUND($G1538*10/23,0),IF($H1538=3,$G1538-2*ROUND($G1538/12,0),IF($H1538=4,$G1538,IF(OR($H1538=5,$H1538=7),ROUND($G1538*10/11,0),0)))))</f>
        <v/>
      </c>
      <c r="L1538" s="364" t="str">
        <f>IF($G1538="","",IF($H1538=1,ROUND($G1538/23,0),IF($H1538=3,ROUND($G1538/12,0),IF($H1538=5,$G1538-ROUND($G1538*10/11,0),IF($H1538=8,$G1538,0)))))</f>
        <v/>
      </c>
      <c r="M1538" s="364" t="str">
        <f>IF($G1538="","",IF($H1538=1,ROUND($G1538/23,0),IF($H1538=3,ROUND($G1538/12,0),IF($H1538=6,$G1538,IF($H1538=7,$G1538-ROUND($G1538*10/11,0),0)))))</f>
        <v/>
      </c>
      <c r="N1538" s="364" t="str">
        <f>IF($G1538="","",K1538+L1538+M1538)</f>
        <v/>
      </c>
      <c r="O1538" s="365" t="str">
        <f>IF($G1538="","",IFERROR(VLOOKUP($D1538&amp;"|"&amp;$E1538,科目表!$A$5:$B$200,2,FALSE),"※未登録"))</f>
        <v/>
      </c>
      <c r="P1538" s="359" t="str">
        <f>IF(OR($G1538="",$C1538=""),"",IF($B1538="決算整理",13,MOD(MONTH($C1538)-4,12)+1))</f>
        <v/>
      </c>
      <c r="Q1538" s="366" t="str">
        <f>IF($G1538="","",TRIM(IF(J1538+K1538+L1538+M1538&lt;&gt;$G1538,"按分不一致 ","")&amp;IF(O1538="※未登録","科目未登録 ","")&amp;IF(OR($H1538="",ISERROR(MATCH($H1538,{1,2,3,4,5,6,7,8},0))),"経費区分? ","")&amp;IF($I1538="","状態未設定 ","")&amp;IF(AND(OR($I1538="確認済",$I1538="未確認"),$B1538="月例",OR($C1538="",$C1538&lt;DATE(年度+2018,4,1),$C1538&gt;DATE(年度+2019,3,31))),"年度外の日付 ","")&amp;IF(AND(OR($I1538="確認済",$I1538="未確認"),O1538="対象外"),"対象外の科目 ","")))</f>
        <v/>
      </c>
      <c r="R1538" s="366" t="n"/>
    </row>
    <row r="1539">
      <c r="A1539" s="359" t="n"/>
      <c r="B1539" s="360" t="n"/>
      <c r="C1539" s="361" t="n"/>
      <c r="D1539" s="362" t="n"/>
      <c r="E1539" s="362" t="n"/>
      <c r="F1539" s="362" t="n"/>
      <c r="G1539" s="363" t="n"/>
      <c r="H1539" s="360" t="n"/>
      <c r="I1539" s="360" t="n"/>
      <c r="J1539" s="364" t="str">
        <f>IF($G1539="","",IF($H1539=1,$G1539-ROUND($G1539*10/23,0)-2*ROUND($G1539/23,0),IF($H1539=2,$G1539,0)))</f>
        <v/>
      </c>
      <c r="K1539" s="364" t="str">
        <f>IF($G1539="","",IF($H1539=1,ROUND($G1539*10/23,0),IF($H1539=3,$G1539-2*ROUND($G1539/12,0),IF($H1539=4,$G1539,IF(OR($H1539=5,$H1539=7),ROUND($G1539*10/11,0),0)))))</f>
        <v/>
      </c>
      <c r="L1539" s="364" t="str">
        <f>IF($G1539="","",IF($H1539=1,ROUND($G1539/23,0),IF($H1539=3,ROUND($G1539/12,0),IF($H1539=5,$G1539-ROUND($G1539*10/11,0),IF($H1539=8,$G1539,0)))))</f>
        <v/>
      </c>
      <c r="M1539" s="364" t="str">
        <f>IF($G1539="","",IF($H1539=1,ROUND($G1539/23,0),IF($H1539=3,ROUND($G1539/12,0),IF($H1539=6,$G1539,IF($H1539=7,$G1539-ROUND($G1539*10/11,0),0)))))</f>
        <v/>
      </c>
      <c r="N1539" s="364" t="str">
        <f>IF($G1539="","",K1539+L1539+M1539)</f>
        <v/>
      </c>
      <c r="O1539" s="365" t="str">
        <f>IF($G1539="","",IFERROR(VLOOKUP($D1539&amp;"|"&amp;$E1539,科目表!$A$5:$B$200,2,FALSE),"※未登録"))</f>
        <v/>
      </c>
      <c r="P1539" s="359" t="str">
        <f>IF(OR($G1539="",$C1539=""),"",IF($B1539="決算整理",13,MOD(MONTH($C1539)-4,12)+1))</f>
        <v/>
      </c>
      <c r="Q1539" s="366" t="str">
        <f>IF($G1539="","",TRIM(IF(J1539+K1539+L1539+M1539&lt;&gt;$G1539,"按分不一致 ","")&amp;IF(O1539="※未登録","科目未登録 ","")&amp;IF(OR($H1539="",ISERROR(MATCH($H1539,{1,2,3,4,5,6,7,8},0))),"経費区分? ","")&amp;IF($I1539="","状態未設定 ","")&amp;IF(AND(OR($I1539="確認済",$I1539="未確認"),$B1539="月例",OR($C1539="",$C1539&lt;DATE(年度+2018,4,1),$C1539&gt;DATE(年度+2019,3,31))),"年度外の日付 ","")&amp;IF(AND(OR($I1539="確認済",$I1539="未確認"),O1539="対象外"),"対象外の科目 ","")))</f>
        <v/>
      </c>
      <c r="R1539" s="366" t="n"/>
    </row>
    <row r="1540">
      <c r="A1540" s="359" t="n"/>
      <c r="B1540" s="360" t="n"/>
      <c r="C1540" s="361" t="n"/>
      <c r="D1540" s="362" t="n"/>
      <c r="E1540" s="362" t="n"/>
      <c r="F1540" s="362" t="n"/>
      <c r="G1540" s="363" t="n"/>
      <c r="H1540" s="360" t="n"/>
      <c r="I1540" s="360" t="n"/>
      <c r="J1540" s="364" t="str">
        <f>IF($G1540="","",IF($H1540=1,$G1540-ROUND($G1540*10/23,0)-2*ROUND($G1540/23,0),IF($H1540=2,$G1540,0)))</f>
        <v/>
      </c>
      <c r="K1540" s="364" t="str">
        <f>IF($G1540="","",IF($H1540=1,ROUND($G1540*10/23,0),IF($H1540=3,$G1540-2*ROUND($G1540/12,0),IF($H1540=4,$G1540,IF(OR($H1540=5,$H1540=7),ROUND($G1540*10/11,0),0)))))</f>
        <v/>
      </c>
      <c r="L1540" s="364" t="str">
        <f>IF($G1540="","",IF($H1540=1,ROUND($G1540/23,0),IF($H1540=3,ROUND($G1540/12,0),IF($H1540=5,$G1540-ROUND($G1540*10/11,0),IF($H1540=8,$G1540,0)))))</f>
        <v/>
      </c>
      <c r="M1540" s="364" t="str">
        <f>IF($G1540="","",IF($H1540=1,ROUND($G1540/23,0),IF($H1540=3,ROUND($G1540/12,0),IF($H1540=6,$G1540,IF($H1540=7,$G1540-ROUND($G1540*10/11,0),0)))))</f>
        <v/>
      </c>
      <c r="N1540" s="364" t="str">
        <f>IF($G1540="","",K1540+L1540+M1540)</f>
        <v/>
      </c>
      <c r="O1540" s="365" t="str">
        <f>IF($G1540="","",IFERROR(VLOOKUP($D1540&amp;"|"&amp;$E1540,科目表!$A$5:$B$200,2,FALSE),"※未登録"))</f>
        <v/>
      </c>
      <c r="P1540" s="359" t="str">
        <f>IF(OR($G1540="",$C1540=""),"",IF($B1540="決算整理",13,MOD(MONTH($C1540)-4,12)+1))</f>
        <v/>
      </c>
      <c r="Q1540" s="366" t="str">
        <f>IF($G1540="","",TRIM(IF(J1540+K1540+L1540+M1540&lt;&gt;$G1540,"按分不一致 ","")&amp;IF(O1540="※未登録","科目未登録 ","")&amp;IF(OR($H1540="",ISERROR(MATCH($H1540,{1,2,3,4,5,6,7,8},0))),"経費区分? ","")&amp;IF($I1540="","状態未設定 ","")&amp;IF(AND(OR($I1540="確認済",$I1540="未確認"),$B1540="月例",OR($C1540="",$C1540&lt;DATE(年度+2018,4,1),$C1540&gt;DATE(年度+2019,3,31))),"年度外の日付 ","")&amp;IF(AND(OR($I1540="確認済",$I1540="未確認"),O1540="対象外"),"対象外の科目 ","")))</f>
        <v/>
      </c>
      <c r="R1540" s="366" t="n"/>
    </row>
    <row r="1541">
      <c r="A1541" s="359" t="n"/>
      <c r="B1541" s="360" t="n"/>
      <c r="C1541" s="361" t="n"/>
      <c r="D1541" s="362" t="n"/>
      <c r="E1541" s="362" t="n"/>
      <c r="F1541" s="362" t="n"/>
      <c r="G1541" s="363" t="n"/>
      <c r="H1541" s="360" t="n"/>
      <c r="I1541" s="360" t="n"/>
      <c r="J1541" s="364" t="str">
        <f>IF($G1541="","",IF($H1541=1,$G1541-ROUND($G1541*10/23,0)-2*ROUND($G1541/23,0),IF($H1541=2,$G1541,0)))</f>
        <v/>
      </c>
      <c r="K1541" s="364" t="str">
        <f>IF($G1541="","",IF($H1541=1,ROUND($G1541*10/23,0),IF($H1541=3,$G1541-2*ROUND($G1541/12,0),IF($H1541=4,$G1541,IF(OR($H1541=5,$H1541=7),ROUND($G1541*10/11,0),0)))))</f>
        <v/>
      </c>
      <c r="L1541" s="364" t="str">
        <f>IF($G1541="","",IF($H1541=1,ROUND($G1541/23,0),IF($H1541=3,ROUND($G1541/12,0),IF($H1541=5,$G1541-ROUND($G1541*10/11,0),IF($H1541=8,$G1541,0)))))</f>
        <v/>
      </c>
      <c r="M1541" s="364" t="str">
        <f>IF($G1541="","",IF($H1541=1,ROUND($G1541/23,0),IF($H1541=3,ROUND($G1541/12,0),IF($H1541=6,$G1541,IF($H1541=7,$G1541-ROUND($G1541*10/11,0),0)))))</f>
        <v/>
      </c>
      <c r="N1541" s="364" t="str">
        <f>IF($G1541="","",K1541+L1541+M1541)</f>
        <v/>
      </c>
      <c r="O1541" s="365" t="str">
        <f>IF($G1541="","",IFERROR(VLOOKUP($D1541&amp;"|"&amp;$E1541,科目表!$A$5:$B$200,2,FALSE),"※未登録"))</f>
        <v/>
      </c>
      <c r="P1541" s="359" t="str">
        <f>IF(OR($G1541="",$C1541=""),"",IF($B1541="決算整理",13,MOD(MONTH($C1541)-4,12)+1))</f>
        <v/>
      </c>
      <c r="Q1541" s="366" t="str">
        <f>IF($G1541="","",TRIM(IF(J1541+K1541+L1541+M1541&lt;&gt;$G1541,"按分不一致 ","")&amp;IF(O1541="※未登録","科目未登録 ","")&amp;IF(OR($H1541="",ISERROR(MATCH($H1541,{1,2,3,4,5,6,7,8},0))),"経費区分? ","")&amp;IF($I1541="","状態未設定 ","")&amp;IF(AND(OR($I1541="確認済",$I1541="未確認"),$B1541="月例",OR($C1541="",$C1541&lt;DATE(年度+2018,4,1),$C1541&gt;DATE(年度+2019,3,31))),"年度外の日付 ","")&amp;IF(AND(OR($I1541="確認済",$I1541="未確認"),O1541="対象外"),"対象外の科目 ","")))</f>
        <v/>
      </c>
      <c r="R1541" s="366" t="n"/>
    </row>
    <row r="1542">
      <c r="A1542" s="359" t="n"/>
      <c r="B1542" s="360" t="n"/>
      <c r="C1542" s="361" t="n"/>
      <c r="D1542" s="362" t="n"/>
      <c r="E1542" s="362" t="n"/>
      <c r="F1542" s="362" t="n"/>
      <c r="G1542" s="363" t="n"/>
      <c r="H1542" s="360" t="n"/>
      <c r="I1542" s="360" t="n"/>
      <c r="J1542" s="364" t="str">
        <f>IF($G1542="","",IF($H1542=1,$G1542-ROUND($G1542*10/23,0)-2*ROUND($G1542/23,0),IF($H1542=2,$G1542,0)))</f>
        <v/>
      </c>
      <c r="K1542" s="364" t="str">
        <f>IF($G1542="","",IF($H1542=1,ROUND($G1542*10/23,0),IF($H1542=3,$G1542-2*ROUND($G1542/12,0),IF($H1542=4,$G1542,IF(OR($H1542=5,$H1542=7),ROUND($G1542*10/11,0),0)))))</f>
        <v/>
      </c>
      <c r="L1542" s="364" t="str">
        <f>IF($G1542="","",IF($H1542=1,ROUND($G1542/23,0),IF($H1542=3,ROUND($G1542/12,0),IF($H1542=5,$G1542-ROUND($G1542*10/11,0),IF($H1542=8,$G1542,0)))))</f>
        <v/>
      </c>
      <c r="M1542" s="364" t="str">
        <f>IF($G1542="","",IF($H1542=1,ROUND($G1542/23,0),IF($H1542=3,ROUND($G1542/12,0),IF($H1542=6,$G1542,IF($H1542=7,$G1542-ROUND($G1542*10/11,0),0)))))</f>
        <v/>
      </c>
      <c r="N1542" s="364" t="str">
        <f>IF($G1542="","",K1542+L1542+M1542)</f>
        <v/>
      </c>
      <c r="O1542" s="365" t="str">
        <f>IF($G1542="","",IFERROR(VLOOKUP($D1542&amp;"|"&amp;$E1542,科目表!$A$5:$B$200,2,FALSE),"※未登録"))</f>
        <v/>
      </c>
      <c r="P1542" s="359" t="str">
        <f>IF(OR($G1542="",$C1542=""),"",IF($B1542="決算整理",13,MOD(MONTH($C1542)-4,12)+1))</f>
        <v/>
      </c>
      <c r="Q1542" s="366" t="str">
        <f>IF($G1542="","",TRIM(IF(J1542+K1542+L1542+M1542&lt;&gt;$G1542,"按分不一致 ","")&amp;IF(O1542="※未登録","科目未登録 ","")&amp;IF(OR($H1542="",ISERROR(MATCH($H1542,{1,2,3,4,5,6,7,8},0))),"経費区分? ","")&amp;IF($I1542="","状態未設定 ","")&amp;IF(AND(OR($I1542="確認済",$I1542="未確認"),$B1542="月例",OR($C1542="",$C1542&lt;DATE(年度+2018,4,1),$C1542&gt;DATE(年度+2019,3,31))),"年度外の日付 ","")&amp;IF(AND(OR($I1542="確認済",$I1542="未確認"),O1542="対象外"),"対象外の科目 ","")))</f>
        <v/>
      </c>
      <c r="R1542" s="366" t="n"/>
    </row>
    <row r="1543">
      <c r="A1543" s="359" t="n"/>
      <c r="B1543" s="360" t="n"/>
      <c r="C1543" s="361" t="n"/>
      <c r="D1543" s="362" t="n"/>
      <c r="E1543" s="362" t="n"/>
      <c r="F1543" s="362" t="n"/>
      <c r="G1543" s="363" t="n"/>
      <c r="H1543" s="360" t="n"/>
      <c r="I1543" s="360" t="n"/>
      <c r="J1543" s="364" t="str">
        <f>IF($G1543="","",IF($H1543=1,$G1543-ROUND($G1543*10/23,0)-2*ROUND($G1543/23,0),IF($H1543=2,$G1543,0)))</f>
        <v/>
      </c>
      <c r="K1543" s="364" t="str">
        <f>IF($G1543="","",IF($H1543=1,ROUND($G1543*10/23,0),IF($H1543=3,$G1543-2*ROUND($G1543/12,0),IF($H1543=4,$G1543,IF(OR($H1543=5,$H1543=7),ROUND($G1543*10/11,0),0)))))</f>
        <v/>
      </c>
      <c r="L1543" s="364" t="str">
        <f>IF($G1543="","",IF($H1543=1,ROUND($G1543/23,0),IF($H1543=3,ROUND($G1543/12,0),IF($H1543=5,$G1543-ROUND($G1543*10/11,0),IF($H1543=8,$G1543,0)))))</f>
        <v/>
      </c>
      <c r="M1543" s="364" t="str">
        <f>IF($G1543="","",IF($H1543=1,ROUND($G1543/23,0),IF($H1543=3,ROUND($G1543/12,0),IF($H1543=6,$G1543,IF($H1543=7,$G1543-ROUND($G1543*10/11,0),0)))))</f>
        <v/>
      </c>
      <c r="N1543" s="364" t="str">
        <f>IF($G1543="","",K1543+L1543+M1543)</f>
        <v/>
      </c>
      <c r="O1543" s="365" t="str">
        <f>IF($G1543="","",IFERROR(VLOOKUP($D1543&amp;"|"&amp;$E1543,科目表!$A$5:$B$200,2,FALSE),"※未登録"))</f>
        <v/>
      </c>
      <c r="P1543" s="359" t="str">
        <f>IF(OR($G1543="",$C1543=""),"",IF($B1543="決算整理",13,MOD(MONTH($C1543)-4,12)+1))</f>
        <v/>
      </c>
      <c r="Q1543" s="366" t="str">
        <f>IF($G1543="","",TRIM(IF(J1543+K1543+L1543+M1543&lt;&gt;$G1543,"按分不一致 ","")&amp;IF(O1543="※未登録","科目未登録 ","")&amp;IF(OR($H1543="",ISERROR(MATCH($H1543,{1,2,3,4,5,6,7,8},0))),"経費区分? ","")&amp;IF($I1543="","状態未設定 ","")&amp;IF(AND(OR($I1543="確認済",$I1543="未確認"),$B1543="月例",OR($C1543="",$C1543&lt;DATE(年度+2018,4,1),$C1543&gt;DATE(年度+2019,3,31))),"年度外の日付 ","")&amp;IF(AND(OR($I1543="確認済",$I1543="未確認"),O1543="対象外"),"対象外の科目 ","")))</f>
        <v/>
      </c>
      <c r="R1543" s="366" t="n"/>
    </row>
    <row r="1544">
      <c r="A1544" s="359" t="n"/>
      <c r="B1544" s="360" t="n"/>
      <c r="C1544" s="361" t="n"/>
      <c r="D1544" s="362" t="n"/>
      <c r="E1544" s="362" t="n"/>
      <c r="F1544" s="362" t="n"/>
      <c r="G1544" s="363" t="n"/>
      <c r="H1544" s="360" t="n"/>
      <c r="I1544" s="360" t="n"/>
      <c r="J1544" s="364" t="str">
        <f>IF($G1544="","",IF($H1544=1,$G1544-ROUND($G1544*10/23,0)-2*ROUND($G1544/23,0),IF($H1544=2,$G1544,0)))</f>
        <v/>
      </c>
      <c r="K1544" s="364" t="str">
        <f>IF($G1544="","",IF($H1544=1,ROUND($G1544*10/23,0),IF($H1544=3,$G1544-2*ROUND($G1544/12,0),IF($H1544=4,$G1544,IF(OR($H1544=5,$H1544=7),ROUND($G1544*10/11,0),0)))))</f>
        <v/>
      </c>
      <c r="L1544" s="364" t="str">
        <f>IF($G1544="","",IF($H1544=1,ROUND($G1544/23,0),IF($H1544=3,ROUND($G1544/12,0),IF($H1544=5,$G1544-ROUND($G1544*10/11,0),IF($H1544=8,$G1544,0)))))</f>
        <v/>
      </c>
      <c r="M1544" s="364" t="str">
        <f>IF($G1544="","",IF($H1544=1,ROUND($G1544/23,0),IF($H1544=3,ROUND($G1544/12,0),IF($H1544=6,$G1544,IF($H1544=7,$G1544-ROUND($G1544*10/11,0),0)))))</f>
        <v/>
      </c>
      <c r="N1544" s="364" t="str">
        <f>IF($G1544="","",K1544+L1544+M1544)</f>
        <v/>
      </c>
      <c r="O1544" s="365" t="str">
        <f>IF($G1544="","",IFERROR(VLOOKUP($D1544&amp;"|"&amp;$E1544,科目表!$A$5:$B$200,2,FALSE),"※未登録"))</f>
        <v/>
      </c>
      <c r="P1544" s="359" t="str">
        <f>IF(OR($G1544="",$C1544=""),"",IF($B1544="決算整理",13,MOD(MONTH($C1544)-4,12)+1))</f>
        <v/>
      </c>
      <c r="Q1544" s="366" t="str">
        <f>IF($G1544="","",TRIM(IF(J1544+K1544+L1544+M1544&lt;&gt;$G1544,"按分不一致 ","")&amp;IF(O1544="※未登録","科目未登録 ","")&amp;IF(OR($H1544="",ISERROR(MATCH($H1544,{1,2,3,4,5,6,7,8},0))),"経費区分? ","")&amp;IF($I1544="","状態未設定 ","")&amp;IF(AND(OR($I1544="確認済",$I1544="未確認"),$B1544="月例",OR($C1544="",$C1544&lt;DATE(年度+2018,4,1),$C1544&gt;DATE(年度+2019,3,31))),"年度外の日付 ","")&amp;IF(AND(OR($I1544="確認済",$I1544="未確認"),O1544="対象外"),"対象外の科目 ","")))</f>
        <v/>
      </c>
      <c r="R1544" s="366" t="n"/>
    </row>
    <row r="1545">
      <c r="A1545" s="359" t="n"/>
      <c r="B1545" s="360" t="n"/>
      <c r="C1545" s="361" t="n"/>
      <c r="D1545" s="362" t="n"/>
      <c r="E1545" s="362" t="n"/>
      <c r="F1545" s="362" t="n"/>
      <c r="G1545" s="363" t="n"/>
      <c r="H1545" s="360" t="n"/>
      <c r="I1545" s="360" t="n"/>
      <c r="J1545" s="364" t="str">
        <f>IF($G1545="","",IF($H1545=1,$G1545-ROUND($G1545*10/23,0)-2*ROUND($G1545/23,0),IF($H1545=2,$G1545,0)))</f>
        <v/>
      </c>
      <c r="K1545" s="364" t="str">
        <f>IF($G1545="","",IF($H1545=1,ROUND($G1545*10/23,0),IF($H1545=3,$G1545-2*ROUND($G1545/12,0),IF($H1545=4,$G1545,IF(OR($H1545=5,$H1545=7),ROUND($G1545*10/11,0),0)))))</f>
        <v/>
      </c>
      <c r="L1545" s="364" t="str">
        <f>IF($G1545="","",IF($H1545=1,ROUND($G1545/23,0),IF($H1545=3,ROUND($G1545/12,0),IF($H1545=5,$G1545-ROUND($G1545*10/11,0),IF($H1545=8,$G1545,0)))))</f>
        <v/>
      </c>
      <c r="M1545" s="364" t="str">
        <f>IF($G1545="","",IF($H1545=1,ROUND($G1545/23,0),IF($H1545=3,ROUND($G1545/12,0),IF($H1545=6,$G1545,IF($H1545=7,$G1545-ROUND($G1545*10/11,0),0)))))</f>
        <v/>
      </c>
      <c r="N1545" s="364" t="str">
        <f>IF($G1545="","",K1545+L1545+M1545)</f>
        <v/>
      </c>
      <c r="O1545" s="365" t="str">
        <f>IF($G1545="","",IFERROR(VLOOKUP($D1545&amp;"|"&amp;$E1545,科目表!$A$5:$B$200,2,FALSE),"※未登録"))</f>
        <v/>
      </c>
      <c r="P1545" s="359" t="str">
        <f>IF(OR($G1545="",$C1545=""),"",IF($B1545="決算整理",13,MOD(MONTH($C1545)-4,12)+1))</f>
        <v/>
      </c>
      <c r="Q1545" s="366" t="str">
        <f>IF($G1545="","",TRIM(IF(J1545+K1545+L1545+M1545&lt;&gt;$G1545,"按分不一致 ","")&amp;IF(O1545="※未登録","科目未登録 ","")&amp;IF(OR($H1545="",ISERROR(MATCH($H1545,{1,2,3,4,5,6,7,8},0))),"経費区分? ","")&amp;IF($I1545="","状態未設定 ","")&amp;IF(AND(OR($I1545="確認済",$I1545="未確認"),$B1545="月例",OR($C1545="",$C1545&lt;DATE(年度+2018,4,1),$C1545&gt;DATE(年度+2019,3,31))),"年度外の日付 ","")&amp;IF(AND(OR($I1545="確認済",$I1545="未確認"),O1545="対象外"),"対象外の科目 ","")))</f>
        <v/>
      </c>
      <c r="R1545" s="366" t="n"/>
    </row>
    <row r="1546">
      <c r="A1546" s="359" t="n"/>
      <c r="B1546" s="360" t="n"/>
      <c r="C1546" s="361" t="n"/>
      <c r="D1546" s="362" t="n"/>
      <c r="E1546" s="362" t="n"/>
      <c r="F1546" s="362" t="n"/>
      <c r="G1546" s="363" t="n"/>
      <c r="H1546" s="360" t="n"/>
      <c r="I1546" s="360" t="n"/>
      <c r="J1546" s="364" t="str">
        <f>IF($G1546="","",IF($H1546=1,$G1546-ROUND($G1546*10/23,0)-2*ROUND($G1546/23,0),IF($H1546=2,$G1546,0)))</f>
        <v/>
      </c>
      <c r="K1546" s="364" t="str">
        <f>IF($G1546="","",IF($H1546=1,ROUND($G1546*10/23,0),IF($H1546=3,$G1546-2*ROUND($G1546/12,0),IF($H1546=4,$G1546,IF(OR($H1546=5,$H1546=7),ROUND($G1546*10/11,0),0)))))</f>
        <v/>
      </c>
      <c r="L1546" s="364" t="str">
        <f>IF($G1546="","",IF($H1546=1,ROUND($G1546/23,0),IF($H1546=3,ROUND($G1546/12,0),IF($H1546=5,$G1546-ROUND($G1546*10/11,0),IF($H1546=8,$G1546,0)))))</f>
        <v/>
      </c>
      <c r="M1546" s="364" t="str">
        <f>IF($G1546="","",IF($H1546=1,ROUND($G1546/23,0),IF($H1546=3,ROUND($G1546/12,0),IF($H1546=6,$G1546,IF($H1546=7,$G1546-ROUND($G1546*10/11,0),0)))))</f>
        <v/>
      </c>
      <c r="N1546" s="364" t="str">
        <f>IF($G1546="","",K1546+L1546+M1546)</f>
        <v/>
      </c>
      <c r="O1546" s="365" t="str">
        <f>IF($G1546="","",IFERROR(VLOOKUP($D1546&amp;"|"&amp;$E1546,科目表!$A$5:$B$200,2,FALSE),"※未登録"))</f>
        <v/>
      </c>
      <c r="P1546" s="359" t="str">
        <f>IF(OR($G1546="",$C1546=""),"",IF($B1546="決算整理",13,MOD(MONTH($C1546)-4,12)+1))</f>
        <v/>
      </c>
      <c r="Q1546" s="366" t="str">
        <f>IF($G1546="","",TRIM(IF(J1546+K1546+L1546+M1546&lt;&gt;$G1546,"按分不一致 ","")&amp;IF(O1546="※未登録","科目未登録 ","")&amp;IF(OR($H1546="",ISERROR(MATCH($H1546,{1,2,3,4,5,6,7,8},0))),"経費区分? ","")&amp;IF($I1546="","状態未設定 ","")&amp;IF(AND(OR($I1546="確認済",$I1546="未確認"),$B1546="月例",OR($C1546="",$C1546&lt;DATE(年度+2018,4,1),$C1546&gt;DATE(年度+2019,3,31))),"年度外の日付 ","")&amp;IF(AND(OR($I1546="確認済",$I1546="未確認"),O1546="対象外"),"対象外の科目 ","")))</f>
        <v/>
      </c>
      <c r="R1546" s="366" t="n"/>
    </row>
    <row r="1547">
      <c r="A1547" s="359" t="n"/>
      <c r="B1547" s="360" t="n"/>
      <c r="C1547" s="361" t="n"/>
      <c r="D1547" s="362" t="n"/>
      <c r="E1547" s="362" t="n"/>
      <c r="F1547" s="362" t="n"/>
      <c r="G1547" s="363" t="n"/>
      <c r="H1547" s="360" t="n"/>
      <c r="I1547" s="360" t="n"/>
      <c r="J1547" s="364" t="str">
        <f>IF($G1547="","",IF($H1547=1,$G1547-ROUND($G1547*10/23,0)-2*ROUND($G1547/23,0),IF($H1547=2,$G1547,0)))</f>
        <v/>
      </c>
      <c r="K1547" s="364" t="str">
        <f>IF($G1547="","",IF($H1547=1,ROUND($G1547*10/23,0),IF($H1547=3,$G1547-2*ROUND($G1547/12,0),IF($H1547=4,$G1547,IF(OR($H1547=5,$H1547=7),ROUND($G1547*10/11,0),0)))))</f>
        <v/>
      </c>
      <c r="L1547" s="364" t="str">
        <f>IF($G1547="","",IF($H1547=1,ROUND($G1547/23,0),IF($H1547=3,ROUND($G1547/12,0),IF($H1547=5,$G1547-ROUND($G1547*10/11,0),IF($H1547=8,$G1547,0)))))</f>
        <v/>
      </c>
      <c r="M1547" s="364" t="str">
        <f>IF($G1547="","",IF($H1547=1,ROUND($G1547/23,0),IF($H1547=3,ROUND($G1547/12,0),IF($H1547=6,$G1547,IF($H1547=7,$G1547-ROUND($G1547*10/11,0),0)))))</f>
        <v/>
      </c>
      <c r="N1547" s="364" t="str">
        <f>IF($G1547="","",K1547+L1547+M1547)</f>
        <v/>
      </c>
      <c r="O1547" s="365" t="str">
        <f>IF($G1547="","",IFERROR(VLOOKUP($D1547&amp;"|"&amp;$E1547,科目表!$A$5:$B$200,2,FALSE),"※未登録"))</f>
        <v/>
      </c>
      <c r="P1547" s="359" t="str">
        <f>IF(OR($G1547="",$C1547=""),"",IF($B1547="決算整理",13,MOD(MONTH($C1547)-4,12)+1))</f>
        <v/>
      </c>
      <c r="Q1547" s="366" t="str">
        <f>IF($G1547="","",TRIM(IF(J1547+K1547+L1547+M1547&lt;&gt;$G1547,"按分不一致 ","")&amp;IF(O1547="※未登録","科目未登録 ","")&amp;IF(OR($H1547="",ISERROR(MATCH($H1547,{1,2,3,4,5,6,7,8},0))),"経費区分? ","")&amp;IF($I1547="","状態未設定 ","")&amp;IF(AND(OR($I1547="確認済",$I1547="未確認"),$B1547="月例",OR($C1547="",$C1547&lt;DATE(年度+2018,4,1),$C1547&gt;DATE(年度+2019,3,31))),"年度外の日付 ","")&amp;IF(AND(OR($I1547="確認済",$I1547="未確認"),O1547="対象外"),"対象外の科目 ","")))</f>
        <v/>
      </c>
      <c r="R1547" s="366" t="n"/>
    </row>
    <row r="1548">
      <c r="A1548" s="359" t="n"/>
      <c r="B1548" s="360" t="n"/>
      <c r="C1548" s="361" t="n"/>
      <c r="D1548" s="362" t="n"/>
      <c r="E1548" s="362" t="n"/>
      <c r="F1548" s="362" t="n"/>
      <c r="G1548" s="363" t="n"/>
      <c r="H1548" s="360" t="n"/>
      <c r="I1548" s="360" t="n"/>
      <c r="J1548" s="364" t="str">
        <f>IF($G1548="","",IF($H1548=1,$G1548-ROUND($G1548*10/23,0)-2*ROUND($G1548/23,0),IF($H1548=2,$G1548,0)))</f>
        <v/>
      </c>
      <c r="K1548" s="364" t="str">
        <f>IF($G1548="","",IF($H1548=1,ROUND($G1548*10/23,0),IF($H1548=3,$G1548-2*ROUND($G1548/12,0),IF($H1548=4,$G1548,IF(OR($H1548=5,$H1548=7),ROUND($G1548*10/11,0),0)))))</f>
        <v/>
      </c>
      <c r="L1548" s="364" t="str">
        <f>IF($G1548="","",IF($H1548=1,ROUND($G1548/23,0),IF($H1548=3,ROUND($G1548/12,0),IF($H1548=5,$G1548-ROUND($G1548*10/11,0),IF($H1548=8,$G1548,0)))))</f>
        <v/>
      </c>
      <c r="M1548" s="364" t="str">
        <f>IF($G1548="","",IF($H1548=1,ROUND($G1548/23,0),IF($H1548=3,ROUND($G1548/12,0),IF($H1548=6,$G1548,IF($H1548=7,$G1548-ROUND($G1548*10/11,0),0)))))</f>
        <v/>
      </c>
      <c r="N1548" s="364" t="str">
        <f>IF($G1548="","",K1548+L1548+M1548)</f>
        <v/>
      </c>
      <c r="O1548" s="365" t="str">
        <f>IF($G1548="","",IFERROR(VLOOKUP($D1548&amp;"|"&amp;$E1548,科目表!$A$5:$B$200,2,FALSE),"※未登録"))</f>
        <v/>
      </c>
      <c r="P1548" s="359" t="str">
        <f>IF(OR($G1548="",$C1548=""),"",IF($B1548="決算整理",13,MOD(MONTH($C1548)-4,12)+1))</f>
        <v/>
      </c>
      <c r="Q1548" s="366" t="str">
        <f>IF($G1548="","",TRIM(IF(J1548+K1548+L1548+M1548&lt;&gt;$G1548,"按分不一致 ","")&amp;IF(O1548="※未登録","科目未登録 ","")&amp;IF(OR($H1548="",ISERROR(MATCH($H1548,{1,2,3,4,5,6,7,8},0))),"経費区分? ","")&amp;IF($I1548="","状態未設定 ","")&amp;IF(AND(OR($I1548="確認済",$I1548="未確認"),$B1548="月例",OR($C1548="",$C1548&lt;DATE(年度+2018,4,1),$C1548&gt;DATE(年度+2019,3,31))),"年度外の日付 ","")&amp;IF(AND(OR($I1548="確認済",$I1548="未確認"),O1548="対象外"),"対象外の科目 ","")))</f>
        <v/>
      </c>
      <c r="R1548" s="366" t="n"/>
    </row>
    <row r="1549">
      <c r="A1549" s="359" t="n"/>
      <c r="B1549" s="360" t="n"/>
      <c r="C1549" s="361" t="n"/>
      <c r="D1549" s="362" t="n"/>
      <c r="E1549" s="362" t="n"/>
      <c r="F1549" s="362" t="n"/>
      <c r="G1549" s="363" t="n"/>
      <c r="H1549" s="360" t="n"/>
      <c r="I1549" s="360" t="n"/>
      <c r="J1549" s="364" t="str">
        <f>IF($G1549="","",IF($H1549=1,$G1549-ROUND($G1549*10/23,0)-2*ROUND($G1549/23,0),IF($H1549=2,$G1549,0)))</f>
        <v/>
      </c>
      <c r="K1549" s="364" t="str">
        <f>IF($G1549="","",IF($H1549=1,ROUND($G1549*10/23,0),IF($H1549=3,$G1549-2*ROUND($G1549/12,0),IF($H1549=4,$G1549,IF(OR($H1549=5,$H1549=7),ROUND($G1549*10/11,0),0)))))</f>
        <v/>
      </c>
      <c r="L1549" s="364" t="str">
        <f>IF($G1549="","",IF($H1549=1,ROUND($G1549/23,0),IF($H1549=3,ROUND($G1549/12,0),IF($H1549=5,$G1549-ROUND($G1549*10/11,0),IF($H1549=8,$G1549,0)))))</f>
        <v/>
      </c>
      <c r="M1549" s="364" t="str">
        <f>IF($G1549="","",IF($H1549=1,ROUND($G1549/23,0),IF($H1549=3,ROUND($G1549/12,0),IF($H1549=6,$G1549,IF($H1549=7,$G1549-ROUND($G1549*10/11,0),0)))))</f>
        <v/>
      </c>
      <c r="N1549" s="364" t="str">
        <f>IF($G1549="","",K1549+L1549+M1549)</f>
        <v/>
      </c>
      <c r="O1549" s="365" t="str">
        <f>IF($G1549="","",IFERROR(VLOOKUP($D1549&amp;"|"&amp;$E1549,科目表!$A$5:$B$200,2,FALSE),"※未登録"))</f>
        <v/>
      </c>
      <c r="P1549" s="359" t="str">
        <f>IF(OR($G1549="",$C1549=""),"",IF($B1549="決算整理",13,MOD(MONTH($C1549)-4,12)+1))</f>
        <v/>
      </c>
      <c r="Q1549" s="366" t="str">
        <f>IF($G1549="","",TRIM(IF(J1549+K1549+L1549+M1549&lt;&gt;$G1549,"按分不一致 ","")&amp;IF(O1549="※未登録","科目未登録 ","")&amp;IF(OR($H1549="",ISERROR(MATCH($H1549,{1,2,3,4,5,6,7,8},0))),"経費区分? ","")&amp;IF($I1549="","状態未設定 ","")&amp;IF(AND(OR($I1549="確認済",$I1549="未確認"),$B1549="月例",OR($C1549="",$C1549&lt;DATE(年度+2018,4,1),$C1549&gt;DATE(年度+2019,3,31))),"年度外の日付 ","")&amp;IF(AND(OR($I1549="確認済",$I1549="未確認"),O1549="対象外"),"対象外の科目 ","")))</f>
        <v/>
      </c>
      <c r="R1549" s="366" t="n"/>
    </row>
    <row r="1550">
      <c r="A1550" s="359" t="n"/>
      <c r="B1550" s="360" t="n"/>
      <c r="C1550" s="361" t="n"/>
      <c r="D1550" s="362" t="n"/>
      <c r="E1550" s="362" t="n"/>
      <c r="F1550" s="362" t="n"/>
      <c r="G1550" s="363" t="n"/>
      <c r="H1550" s="360" t="n"/>
      <c r="I1550" s="360" t="n"/>
      <c r="J1550" s="364" t="str">
        <f>IF($G1550="","",IF($H1550=1,$G1550-ROUND($G1550*10/23,0)-2*ROUND($G1550/23,0),IF($H1550=2,$G1550,0)))</f>
        <v/>
      </c>
      <c r="K1550" s="364" t="str">
        <f>IF($G1550="","",IF($H1550=1,ROUND($G1550*10/23,0),IF($H1550=3,$G1550-2*ROUND($G1550/12,0),IF($H1550=4,$G1550,IF(OR($H1550=5,$H1550=7),ROUND($G1550*10/11,0),0)))))</f>
        <v/>
      </c>
      <c r="L1550" s="364" t="str">
        <f>IF($G1550="","",IF($H1550=1,ROUND($G1550/23,0),IF($H1550=3,ROUND($G1550/12,0),IF($H1550=5,$G1550-ROUND($G1550*10/11,0),IF($H1550=8,$G1550,0)))))</f>
        <v/>
      </c>
      <c r="M1550" s="364" t="str">
        <f>IF($G1550="","",IF($H1550=1,ROUND($G1550/23,0),IF($H1550=3,ROUND($G1550/12,0),IF($H1550=6,$G1550,IF($H1550=7,$G1550-ROUND($G1550*10/11,0),0)))))</f>
        <v/>
      </c>
      <c r="N1550" s="364" t="str">
        <f>IF($G1550="","",K1550+L1550+M1550)</f>
        <v/>
      </c>
      <c r="O1550" s="365" t="str">
        <f>IF($G1550="","",IFERROR(VLOOKUP($D1550&amp;"|"&amp;$E1550,科目表!$A$5:$B$200,2,FALSE),"※未登録"))</f>
        <v/>
      </c>
      <c r="P1550" s="359" t="str">
        <f>IF(OR($G1550="",$C1550=""),"",IF($B1550="決算整理",13,MOD(MONTH($C1550)-4,12)+1))</f>
        <v/>
      </c>
      <c r="Q1550" s="366" t="str">
        <f>IF($G1550="","",TRIM(IF(J1550+K1550+L1550+M1550&lt;&gt;$G1550,"按分不一致 ","")&amp;IF(O1550="※未登録","科目未登録 ","")&amp;IF(OR($H1550="",ISERROR(MATCH($H1550,{1,2,3,4,5,6,7,8},0))),"経費区分? ","")&amp;IF($I1550="","状態未設定 ","")&amp;IF(AND(OR($I1550="確認済",$I1550="未確認"),$B1550="月例",OR($C1550="",$C1550&lt;DATE(年度+2018,4,1),$C1550&gt;DATE(年度+2019,3,31))),"年度外の日付 ","")&amp;IF(AND(OR($I1550="確認済",$I1550="未確認"),O1550="対象外"),"対象外の科目 ","")))</f>
        <v/>
      </c>
      <c r="R1550" s="366" t="n"/>
    </row>
    <row r="1551">
      <c r="A1551" s="359" t="n"/>
      <c r="B1551" s="360" t="n"/>
      <c r="C1551" s="361" t="n"/>
      <c r="D1551" s="362" t="n"/>
      <c r="E1551" s="362" t="n"/>
      <c r="F1551" s="362" t="n"/>
      <c r="G1551" s="363" t="n"/>
      <c r="H1551" s="360" t="n"/>
      <c r="I1551" s="360" t="n"/>
      <c r="J1551" s="364" t="str">
        <f>IF($G1551="","",IF($H1551=1,$G1551-ROUND($G1551*10/23,0)-2*ROUND($G1551/23,0),IF($H1551=2,$G1551,0)))</f>
        <v/>
      </c>
      <c r="K1551" s="364" t="str">
        <f>IF($G1551="","",IF($H1551=1,ROUND($G1551*10/23,0),IF($H1551=3,$G1551-2*ROUND($G1551/12,0),IF($H1551=4,$G1551,IF(OR($H1551=5,$H1551=7),ROUND($G1551*10/11,0),0)))))</f>
        <v/>
      </c>
      <c r="L1551" s="364" t="str">
        <f>IF($G1551="","",IF($H1551=1,ROUND($G1551/23,0),IF($H1551=3,ROUND($G1551/12,0),IF($H1551=5,$G1551-ROUND($G1551*10/11,0),IF($H1551=8,$G1551,0)))))</f>
        <v/>
      </c>
      <c r="M1551" s="364" t="str">
        <f>IF($G1551="","",IF($H1551=1,ROUND($G1551/23,0),IF($H1551=3,ROUND($G1551/12,0),IF($H1551=6,$G1551,IF($H1551=7,$G1551-ROUND($G1551*10/11,0),0)))))</f>
        <v/>
      </c>
      <c r="N1551" s="364" t="str">
        <f>IF($G1551="","",K1551+L1551+M1551)</f>
        <v/>
      </c>
      <c r="O1551" s="365" t="str">
        <f>IF($G1551="","",IFERROR(VLOOKUP($D1551&amp;"|"&amp;$E1551,科目表!$A$5:$B$200,2,FALSE),"※未登録"))</f>
        <v/>
      </c>
      <c r="P1551" s="359" t="str">
        <f>IF(OR($G1551="",$C1551=""),"",IF($B1551="決算整理",13,MOD(MONTH($C1551)-4,12)+1))</f>
        <v/>
      </c>
      <c r="Q1551" s="366" t="str">
        <f>IF($G1551="","",TRIM(IF(J1551+K1551+L1551+M1551&lt;&gt;$G1551,"按分不一致 ","")&amp;IF(O1551="※未登録","科目未登録 ","")&amp;IF(OR($H1551="",ISERROR(MATCH($H1551,{1,2,3,4,5,6,7,8},0))),"経費区分? ","")&amp;IF($I1551="","状態未設定 ","")&amp;IF(AND(OR($I1551="確認済",$I1551="未確認"),$B1551="月例",OR($C1551="",$C1551&lt;DATE(年度+2018,4,1),$C1551&gt;DATE(年度+2019,3,31))),"年度外の日付 ","")&amp;IF(AND(OR($I1551="確認済",$I1551="未確認"),O1551="対象外"),"対象外の科目 ","")))</f>
        <v/>
      </c>
      <c r="R1551" s="366" t="n"/>
    </row>
    <row r="1552">
      <c r="A1552" s="359" t="n"/>
      <c r="B1552" s="360" t="n"/>
      <c r="C1552" s="361" t="n"/>
      <c r="D1552" s="362" t="n"/>
      <c r="E1552" s="362" t="n"/>
      <c r="F1552" s="362" t="n"/>
      <c r="G1552" s="363" t="n"/>
      <c r="H1552" s="360" t="n"/>
      <c r="I1552" s="360" t="n"/>
      <c r="J1552" s="364" t="str">
        <f>IF($G1552="","",IF($H1552=1,$G1552-ROUND($G1552*10/23,0)-2*ROUND($G1552/23,0),IF($H1552=2,$G1552,0)))</f>
        <v/>
      </c>
      <c r="K1552" s="364" t="str">
        <f>IF($G1552="","",IF($H1552=1,ROUND($G1552*10/23,0),IF($H1552=3,$G1552-2*ROUND($G1552/12,0),IF($H1552=4,$G1552,IF(OR($H1552=5,$H1552=7),ROUND($G1552*10/11,0),0)))))</f>
        <v/>
      </c>
      <c r="L1552" s="364" t="str">
        <f>IF($G1552="","",IF($H1552=1,ROUND($G1552/23,0),IF($H1552=3,ROUND($G1552/12,0),IF($H1552=5,$G1552-ROUND($G1552*10/11,0),IF($H1552=8,$G1552,0)))))</f>
        <v/>
      </c>
      <c r="M1552" s="364" t="str">
        <f>IF($G1552="","",IF($H1552=1,ROUND($G1552/23,0),IF($H1552=3,ROUND($G1552/12,0),IF($H1552=6,$G1552,IF($H1552=7,$G1552-ROUND($G1552*10/11,0),0)))))</f>
        <v/>
      </c>
      <c r="N1552" s="364" t="str">
        <f>IF($G1552="","",K1552+L1552+M1552)</f>
        <v/>
      </c>
      <c r="O1552" s="365" t="str">
        <f>IF($G1552="","",IFERROR(VLOOKUP($D1552&amp;"|"&amp;$E1552,科目表!$A$5:$B$200,2,FALSE),"※未登録"))</f>
        <v/>
      </c>
      <c r="P1552" s="359" t="str">
        <f>IF(OR($G1552="",$C1552=""),"",IF($B1552="決算整理",13,MOD(MONTH($C1552)-4,12)+1))</f>
        <v/>
      </c>
      <c r="Q1552" s="366" t="str">
        <f>IF($G1552="","",TRIM(IF(J1552+K1552+L1552+M1552&lt;&gt;$G1552,"按分不一致 ","")&amp;IF(O1552="※未登録","科目未登録 ","")&amp;IF(OR($H1552="",ISERROR(MATCH($H1552,{1,2,3,4,5,6,7,8},0))),"経費区分? ","")&amp;IF($I1552="","状態未設定 ","")&amp;IF(AND(OR($I1552="確認済",$I1552="未確認"),$B1552="月例",OR($C1552="",$C1552&lt;DATE(年度+2018,4,1),$C1552&gt;DATE(年度+2019,3,31))),"年度外の日付 ","")&amp;IF(AND(OR($I1552="確認済",$I1552="未確認"),O1552="対象外"),"対象外の科目 ","")))</f>
        <v/>
      </c>
      <c r="R1552" s="366" t="n"/>
    </row>
    <row r="1553">
      <c r="A1553" s="359" t="n"/>
      <c r="B1553" s="360" t="n"/>
      <c r="C1553" s="361" t="n"/>
      <c r="D1553" s="362" t="n"/>
      <c r="E1553" s="362" t="n"/>
      <c r="F1553" s="362" t="n"/>
      <c r="G1553" s="363" t="n"/>
      <c r="H1553" s="360" t="n"/>
      <c r="I1553" s="360" t="n"/>
      <c r="J1553" s="364" t="str">
        <f>IF($G1553="","",IF($H1553=1,$G1553-ROUND($G1553*10/23,0)-2*ROUND($G1553/23,0),IF($H1553=2,$G1553,0)))</f>
        <v/>
      </c>
      <c r="K1553" s="364" t="str">
        <f>IF($G1553="","",IF($H1553=1,ROUND($G1553*10/23,0),IF($H1553=3,$G1553-2*ROUND($G1553/12,0),IF($H1553=4,$G1553,IF(OR($H1553=5,$H1553=7),ROUND($G1553*10/11,0),0)))))</f>
        <v/>
      </c>
      <c r="L1553" s="364" t="str">
        <f>IF($G1553="","",IF($H1553=1,ROUND($G1553/23,0),IF($H1553=3,ROUND($G1553/12,0),IF($H1553=5,$G1553-ROUND($G1553*10/11,0),IF($H1553=8,$G1553,0)))))</f>
        <v/>
      </c>
      <c r="M1553" s="364" t="str">
        <f>IF($G1553="","",IF($H1553=1,ROUND($G1553/23,0),IF($H1553=3,ROUND($G1553/12,0),IF($H1553=6,$G1553,IF($H1553=7,$G1553-ROUND($G1553*10/11,0),0)))))</f>
        <v/>
      </c>
      <c r="N1553" s="364" t="str">
        <f>IF($G1553="","",K1553+L1553+M1553)</f>
        <v/>
      </c>
      <c r="O1553" s="365" t="str">
        <f>IF($G1553="","",IFERROR(VLOOKUP($D1553&amp;"|"&amp;$E1553,科目表!$A$5:$B$200,2,FALSE),"※未登録"))</f>
        <v/>
      </c>
      <c r="P1553" s="359" t="str">
        <f>IF(OR($G1553="",$C1553=""),"",IF($B1553="決算整理",13,MOD(MONTH($C1553)-4,12)+1))</f>
        <v/>
      </c>
      <c r="Q1553" s="366" t="str">
        <f>IF($G1553="","",TRIM(IF(J1553+K1553+L1553+M1553&lt;&gt;$G1553,"按分不一致 ","")&amp;IF(O1553="※未登録","科目未登録 ","")&amp;IF(OR($H1553="",ISERROR(MATCH($H1553,{1,2,3,4,5,6,7,8},0))),"経費区分? ","")&amp;IF($I1553="","状態未設定 ","")&amp;IF(AND(OR($I1553="確認済",$I1553="未確認"),$B1553="月例",OR($C1553="",$C1553&lt;DATE(年度+2018,4,1),$C1553&gt;DATE(年度+2019,3,31))),"年度外の日付 ","")&amp;IF(AND(OR($I1553="確認済",$I1553="未確認"),O1553="対象外"),"対象外の科目 ","")))</f>
        <v/>
      </c>
      <c r="R1553" s="366" t="n"/>
    </row>
    <row r="1554">
      <c r="A1554" s="359" t="n"/>
      <c r="B1554" s="360" t="n"/>
      <c r="C1554" s="361" t="n"/>
      <c r="D1554" s="362" t="n"/>
      <c r="E1554" s="362" t="n"/>
      <c r="F1554" s="362" t="n"/>
      <c r="G1554" s="363" t="n"/>
      <c r="H1554" s="360" t="n"/>
      <c r="I1554" s="360" t="n"/>
      <c r="J1554" s="364" t="str">
        <f>IF($G1554="","",IF($H1554=1,$G1554-ROUND($G1554*10/23,0)-2*ROUND($G1554/23,0),IF($H1554=2,$G1554,0)))</f>
        <v/>
      </c>
      <c r="K1554" s="364" t="str">
        <f>IF($G1554="","",IF($H1554=1,ROUND($G1554*10/23,0),IF($H1554=3,$G1554-2*ROUND($G1554/12,0),IF($H1554=4,$G1554,IF(OR($H1554=5,$H1554=7),ROUND($G1554*10/11,0),0)))))</f>
        <v/>
      </c>
      <c r="L1554" s="364" t="str">
        <f>IF($G1554="","",IF($H1554=1,ROUND($G1554/23,0),IF($H1554=3,ROUND($G1554/12,0),IF($H1554=5,$G1554-ROUND($G1554*10/11,0),IF($H1554=8,$G1554,0)))))</f>
        <v/>
      </c>
      <c r="M1554" s="364" t="str">
        <f>IF($G1554="","",IF($H1554=1,ROUND($G1554/23,0),IF($H1554=3,ROUND($G1554/12,0),IF($H1554=6,$G1554,IF($H1554=7,$G1554-ROUND($G1554*10/11,0),0)))))</f>
        <v/>
      </c>
      <c r="N1554" s="364" t="str">
        <f>IF($G1554="","",K1554+L1554+M1554)</f>
        <v/>
      </c>
      <c r="O1554" s="365" t="str">
        <f>IF($G1554="","",IFERROR(VLOOKUP($D1554&amp;"|"&amp;$E1554,科目表!$A$5:$B$200,2,FALSE),"※未登録"))</f>
        <v/>
      </c>
      <c r="P1554" s="359" t="str">
        <f>IF(OR($G1554="",$C1554=""),"",IF($B1554="決算整理",13,MOD(MONTH($C1554)-4,12)+1))</f>
        <v/>
      </c>
      <c r="Q1554" s="366" t="str">
        <f>IF($G1554="","",TRIM(IF(J1554+K1554+L1554+M1554&lt;&gt;$G1554,"按分不一致 ","")&amp;IF(O1554="※未登録","科目未登録 ","")&amp;IF(OR($H1554="",ISERROR(MATCH($H1554,{1,2,3,4,5,6,7,8},0))),"経費区分? ","")&amp;IF($I1554="","状態未設定 ","")&amp;IF(AND(OR($I1554="確認済",$I1554="未確認"),$B1554="月例",OR($C1554="",$C1554&lt;DATE(年度+2018,4,1),$C1554&gt;DATE(年度+2019,3,31))),"年度外の日付 ","")&amp;IF(AND(OR($I1554="確認済",$I1554="未確認"),O1554="対象外"),"対象外の科目 ","")))</f>
        <v/>
      </c>
      <c r="R1554" s="366" t="n"/>
    </row>
    <row r="1555">
      <c r="A1555" s="359" t="n"/>
      <c r="B1555" s="360" t="n"/>
      <c r="C1555" s="361" t="n"/>
      <c r="D1555" s="362" t="n"/>
      <c r="E1555" s="362" t="n"/>
      <c r="F1555" s="362" t="n"/>
      <c r="G1555" s="363" t="n"/>
      <c r="H1555" s="360" t="n"/>
      <c r="I1555" s="360" t="n"/>
      <c r="J1555" s="364" t="str">
        <f>IF($G1555="","",IF($H1555=1,$G1555-ROUND($G1555*10/23,0)-2*ROUND($G1555/23,0),IF($H1555=2,$G1555,0)))</f>
        <v/>
      </c>
      <c r="K1555" s="364" t="str">
        <f>IF($G1555="","",IF($H1555=1,ROUND($G1555*10/23,0),IF($H1555=3,$G1555-2*ROUND($G1555/12,0),IF($H1555=4,$G1555,IF(OR($H1555=5,$H1555=7),ROUND($G1555*10/11,0),0)))))</f>
        <v/>
      </c>
      <c r="L1555" s="364" t="str">
        <f>IF($G1555="","",IF($H1555=1,ROUND($G1555/23,0),IF($H1555=3,ROUND($G1555/12,0),IF($H1555=5,$G1555-ROUND($G1555*10/11,0),IF($H1555=8,$G1555,0)))))</f>
        <v/>
      </c>
      <c r="M1555" s="364" t="str">
        <f>IF($G1555="","",IF($H1555=1,ROUND($G1555/23,0),IF($H1555=3,ROUND($G1555/12,0),IF($H1555=6,$G1555,IF($H1555=7,$G1555-ROUND($G1555*10/11,0),0)))))</f>
        <v/>
      </c>
      <c r="N1555" s="364" t="str">
        <f>IF($G1555="","",K1555+L1555+M1555)</f>
        <v/>
      </c>
      <c r="O1555" s="365" t="str">
        <f>IF($G1555="","",IFERROR(VLOOKUP($D1555&amp;"|"&amp;$E1555,科目表!$A$5:$B$200,2,FALSE),"※未登録"))</f>
        <v/>
      </c>
      <c r="P1555" s="359" t="str">
        <f>IF(OR($G1555="",$C1555=""),"",IF($B1555="決算整理",13,MOD(MONTH($C1555)-4,12)+1))</f>
        <v/>
      </c>
      <c r="Q1555" s="366" t="str">
        <f>IF($G1555="","",TRIM(IF(J1555+K1555+L1555+M1555&lt;&gt;$G1555,"按分不一致 ","")&amp;IF(O1555="※未登録","科目未登録 ","")&amp;IF(OR($H1555="",ISERROR(MATCH($H1555,{1,2,3,4,5,6,7,8},0))),"経費区分? ","")&amp;IF($I1555="","状態未設定 ","")&amp;IF(AND(OR($I1555="確認済",$I1555="未確認"),$B1555="月例",OR($C1555="",$C1555&lt;DATE(年度+2018,4,1),$C1555&gt;DATE(年度+2019,3,31))),"年度外の日付 ","")&amp;IF(AND(OR($I1555="確認済",$I1555="未確認"),O1555="対象外"),"対象外の科目 ","")))</f>
        <v/>
      </c>
      <c r="R1555" s="366" t="n"/>
    </row>
    <row r="1556">
      <c r="A1556" s="359" t="n"/>
      <c r="B1556" s="360" t="n"/>
      <c r="C1556" s="361" t="n"/>
      <c r="D1556" s="362" t="n"/>
      <c r="E1556" s="362" t="n"/>
      <c r="F1556" s="362" t="n"/>
      <c r="G1556" s="363" t="n"/>
      <c r="H1556" s="360" t="n"/>
      <c r="I1556" s="360" t="n"/>
      <c r="J1556" s="364" t="str">
        <f>IF($G1556="","",IF($H1556=1,$G1556-ROUND($G1556*10/23,0)-2*ROUND($G1556/23,0),IF($H1556=2,$G1556,0)))</f>
        <v/>
      </c>
      <c r="K1556" s="364" t="str">
        <f>IF($G1556="","",IF($H1556=1,ROUND($G1556*10/23,0),IF($H1556=3,$G1556-2*ROUND($G1556/12,0),IF($H1556=4,$G1556,IF(OR($H1556=5,$H1556=7),ROUND($G1556*10/11,0),0)))))</f>
        <v/>
      </c>
      <c r="L1556" s="364" t="str">
        <f>IF($G1556="","",IF($H1556=1,ROUND($G1556/23,0),IF($H1556=3,ROUND($G1556/12,0),IF($H1556=5,$G1556-ROUND($G1556*10/11,0),IF($H1556=8,$G1556,0)))))</f>
        <v/>
      </c>
      <c r="M1556" s="364" t="str">
        <f>IF($G1556="","",IF($H1556=1,ROUND($G1556/23,0),IF($H1556=3,ROUND($G1556/12,0),IF($H1556=6,$G1556,IF($H1556=7,$G1556-ROUND($G1556*10/11,0),0)))))</f>
        <v/>
      </c>
      <c r="N1556" s="364" t="str">
        <f>IF($G1556="","",K1556+L1556+M1556)</f>
        <v/>
      </c>
      <c r="O1556" s="365" t="str">
        <f>IF($G1556="","",IFERROR(VLOOKUP($D1556&amp;"|"&amp;$E1556,科目表!$A$5:$B$200,2,FALSE),"※未登録"))</f>
        <v/>
      </c>
      <c r="P1556" s="359" t="str">
        <f>IF(OR($G1556="",$C1556=""),"",IF($B1556="決算整理",13,MOD(MONTH($C1556)-4,12)+1))</f>
        <v/>
      </c>
      <c r="Q1556" s="366" t="str">
        <f>IF($G1556="","",TRIM(IF(J1556+K1556+L1556+M1556&lt;&gt;$G1556,"按分不一致 ","")&amp;IF(O1556="※未登録","科目未登録 ","")&amp;IF(OR($H1556="",ISERROR(MATCH($H1556,{1,2,3,4,5,6,7,8},0))),"経費区分? ","")&amp;IF($I1556="","状態未設定 ","")&amp;IF(AND(OR($I1556="確認済",$I1556="未確認"),$B1556="月例",OR($C1556="",$C1556&lt;DATE(年度+2018,4,1),$C1556&gt;DATE(年度+2019,3,31))),"年度外の日付 ","")&amp;IF(AND(OR($I1556="確認済",$I1556="未確認"),O1556="対象外"),"対象外の科目 ","")))</f>
        <v/>
      </c>
      <c r="R1556" s="366" t="n"/>
    </row>
    <row r="1557">
      <c r="A1557" s="359" t="n"/>
      <c r="B1557" s="360" t="n"/>
      <c r="C1557" s="361" t="n"/>
      <c r="D1557" s="362" t="n"/>
      <c r="E1557" s="362" t="n"/>
      <c r="F1557" s="362" t="n"/>
      <c r="G1557" s="363" t="n"/>
      <c r="H1557" s="360" t="n"/>
      <c r="I1557" s="360" t="n"/>
      <c r="J1557" s="364" t="str">
        <f>IF($G1557="","",IF($H1557=1,$G1557-ROUND($G1557*10/23,0)-2*ROUND($G1557/23,0),IF($H1557=2,$G1557,0)))</f>
        <v/>
      </c>
      <c r="K1557" s="364" t="str">
        <f>IF($G1557="","",IF($H1557=1,ROUND($G1557*10/23,0),IF($H1557=3,$G1557-2*ROUND($G1557/12,0),IF($H1557=4,$G1557,IF(OR($H1557=5,$H1557=7),ROUND($G1557*10/11,0),0)))))</f>
        <v/>
      </c>
      <c r="L1557" s="364" t="str">
        <f>IF($G1557="","",IF($H1557=1,ROUND($G1557/23,0),IF($H1557=3,ROUND($G1557/12,0),IF($H1557=5,$G1557-ROUND($G1557*10/11,0),IF($H1557=8,$G1557,0)))))</f>
        <v/>
      </c>
      <c r="M1557" s="364" t="str">
        <f>IF($G1557="","",IF($H1557=1,ROUND($G1557/23,0),IF($H1557=3,ROUND($G1557/12,0),IF($H1557=6,$G1557,IF($H1557=7,$G1557-ROUND($G1557*10/11,0),0)))))</f>
        <v/>
      </c>
      <c r="N1557" s="364" t="str">
        <f>IF($G1557="","",K1557+L1557+M1557)</f>
        <v/>
      </c>
      <c r="O1557" s="365" t="str">
        <f>IF($G1557="","",IFERROR(VLOOKUP($D1557&amp;"|"&amp;$E1557,科目表!$A$5:$B$200,2,FALSE),"※未登録"))</f>
        <v/>
      </c>
      <c r="P1557" s="359" t="str">
        <f>IF(OR($G1557="",$C1557=""),"",IF($B1557="決算整理",13,MOD(MONTH($C1557)-4,12)+1))</f>
        <v/>
      </c>
      <c r="Q1557" s="366" t="str">
        <f>IF($G1557="","",TRIM(IF(J1557+K1557+L1557+M1557&lt;&gt;$G1557,"按分不一致 ","")&amp;IF(O1557="※未登録","科目未登録 ","")&amp;IF(OR($H1557="",ISERROR(MATCH($H1557,{1,2,3,4,5,6,7,8},0))),"経費区分? ","")&amp;IF($I1557="","状態未設定 ","")&amp;IF(AND(OR($I1557="確認済",$I1557="未確認"),$B1557="月例",OR($C1557="",$C1557&lt;DATE(年度+2018,4,1),$C1557&gt;DATE(年度+2019,3,31))),"年度外の日付 ","")&amp;IF(AND(OR($I1557="確認済",$I1557="未確認"),O1557="対象外"),"対象外の科目 ","")))</f>
        <v/>
      </c>
      <c r="R1557" s="366" t="n"/>
    </row>
    <row r="1558">
      <c r="A1558" s="359" t="n"/>
      <c r="B1558" s="360" t="n"/>
      <c r="C1558" s="361" t="n"/>
      <c r="D1558" s="362" t="n"/>
      <c r="E1558" s="362" t="n"/>
      <c r="F1558" s="362" t="n"/>
      <c r="G1558" s="363" t="n"/>
      <c r="H1558" s="360" t="n"/>
      <c r="I1558" s="360" t="n"/>
      <c r="J1558" s="364" t="str">
        <f>IF($G1558="","",IF($H1558=1,$G1558-ROUND($G1558*10/23,0)-2*ROUND($G1558/23,0),IF($H1558=2,$G1558,0)))</f>
        <v/>
      </c>
      <c r="K1558" s="364" t="str">
        <f>IF($G1558="","",IF($H1558=1,ROUND($G1558*10/23,0),IF($H1558=3,$G1558-2*ROUND($G1558/12,0),IF($H1558=4,$G1558,IF(OR($H1558=5,$H1558=7),ROUND($G1558*10/11,0),0)))))</f>
        <v/>
      </c>
      <c r="L1558" s="364" t="str">
        <f>IF($G1558="","",IF($H1558=1,ROUND($G1558/23,0),IF($H1558=3,ROUND($G1558/12,0),IF($H1558=5,$G1558-ROUND($G1558*10/11,0),IF($H1558=8,$G1558,0)))))</f>
        <v/>
      </c>
      <c r="M1558" s="364" t="str">
        <f>IF($G1558="","",IF($H1558=1,ROUND($G1558/23,0),IF($H1558=3,ROUND($G1558/12,0),IF($H1558=6,$G1558,IF($H1558=7,$G1558-ROUND($G1558*10/11,0),0)))))</f>
        <v/>
      </c>
      <c r="N1558" s="364" t="str">
        <f>IF($G1558="","",K1558+L1558+M1558)</f>
        <v/>
      </c>
      <c r="O1558" s="365" t="str">
        <f>IF($G1558="","",IFERROR(VLOOKUP($D1558&amp;"|"&amp;$E1558,科目表!$A$5:$B$200,2,FALSE),"※未登録"))</f>
        <v/>
      </c>
      <c r="P1558" s="359" t="str">
        <f>IF(OR($G1558="",$C1558=""),"",IF($B1558="決算整理",13,MOD(MONTH($C1558)-4,12)+1))</f>
        <v/>
      </c>
      <c r="Q1558" s="366" t="str">
        <f>IF($G1558="","",TRIM(IF(J1558+K1558+L1558+M1558&lt;&gt;$G1558,"按分不一致 ","")&amp;IF(O1558="※未登録","科目未登録 ","")&amp;IF(OR($H1558="",ISERROR(MATCH($H1558,{1,2,3,4,5,6,7,8},0))),"経費区分? ","")&amp;IF($I1558="","状態未設定 ","")&amp;IF(AND(OR($I1558="確認済",$I1558="未確認"),$B1558="月例",OR($C1558="",$C1558&lt;DATE(年度+2018,4,1),$C1558&gt;DATE(年度+2019,3,31))),"年度外の日付 ","")&amp;IF(AND(OR($I1558="確認済",$I1558="未確認"),O1558="対象外"),"対象外の科目 ","")))</f>
        <v/>
      </c>
      <c r="R1558" s="366" t="n"/>
    </row>
    <row r="1559">
      <c r="A1559" s="359" t="n"/>
      <c r="B1559" s="360" t="n"/>
      <c r="C1559" s="361" t="n"/>
      <c r="D1559" s="362" t="n"/>
      <c r="E1559" s="362" t="n"/>
      <c r="F1559" s="362" t="n"/>
      <c r="G1559" s="363" t="n"/>
      <c r="H1559" s="360" t="n"/>
      <c r="I1559" s="360" t="n"/>
      <c r="J1559" s="364" t="str">
        <f>IF($G1559="","",IF($H1559=1,$G1559-ROUND($G1559*10/23,0)-2*ROUND($G1559/23,0),IF($H1559=2,$G1559,0)))</f>
        <v/>
      </c>
      <c r="K1559" s="364" t="str">
        <f>IF($G1559="","",IF($H1559=1,ROUND($G1559*10/23,0),IF($H1559=3,$G1559-2*ROUND($G1559/12,0),IF($H1559=4,$G1559,IF(OR($H1559=5,$H1559=7),ROUND($G1559*10/11,0),0)))))</f>
        <v/>
      </c>
      <c r="L1559" s="364" t="str">
        <f>IF($G1559="","",IF($H1559=1,ROUND($G1559/23,0),IF($H1559=3,ROUND($G1559/12,0),IF($H1559=5,$G1559-ROUND($G1559*10/11,0),IF($H1559=8,$G1559,0)))))</f>
        <v/>
      </c>
      <c r="M1559" s="364" t="str">
        <f>IF($G1559="","",IF($H1559=1,ROUND($G1559/23,0),IF($H1559=3,ROUND($G1559/12,0),IF($H1559=6,$G1559,IF($H1559=7,$G1559-ROUND($G1559*10/11,0),0)))))</f>
        <v/>
      </c>
      <c r="N1559" s="364" t="str">
        <f>IF($G1559="","",K1559+L1559+M1559)</f>
        <v/>
      </c>
      <c r="O1559" s="365" t="str">
        <f>IF($G1559="","",IFERROR(VLOOKUP($D1559&amp;"|"&amp;$E1559,科目表!$A$5:$B$200,2,FALSE),"※未登録"))</f>
        <v/>
      </c>
      <c r="P1559" s="359" t="str">
        <f>IF(OR($G1559="",$C1559=""),"",IF($B1559="決算整理",13,MOD(MONTH($C1559)-4,12)+1))</f>
        <v/>
      </c>
      <c r="Q1559" s="366" t="str">
        <f>IF($G1559="","",TRIM(IF(J1559+K1559+L1559+M1559&lt;&gt;$G1559,"按分不一致 ","")&amp;IF(O1559="※未登録","科目未登録 ","")&amp;IF(OR($H1559="",ISERROR(MATCH($H1559,{1,2,3,4,5,6,7,8},0))),"経費区分? ","")&amp;IF($I1559="","状態未設定 ","")&amp;IF(AND(OR($I1559="確認済",$I1559="未確認"),$B1559="月例",OR($C1559="",$C1559&lt;DATE(年度+2018,4,1),$C1559&gt;DATE(年度+2019,3,31))),"年度外の日付 ","")&amp;IF(AND(OR($I1559="確認済",$I1559="未確認"),O1559="対象外"),"対象外の科目 ","")))</f>
        <v/>
      </c>
      <c r="R1559" s="366" t="n"/>
    </row>
    <row r="1560">
      <c r="A1560" s="359" t="n"/>
      <c r="B1560" s="360" t="n"/>
      <c r="C1560" s="361" t="n"/>
      <c r="D1560" s="362" t="n"/>
      <c r="E1560" s="362" t="n"/>
      <c r="F1560" s="362" t="n"/>
      <c r="G1560" s="363" t="n"/>
      <c r="H1560" s="360" t="n"/>
      <c r="I1560" s="360" t="n"/>
      <c r="J1560" s="364" t="str">
        <f>IF($G1560="","",IF($H1560=1,$G1560-ROUND($G1560*10/23,0)-2*ROUND($G1560/23,0),IF($H1560=2,$G1560,0)))</f>
        <v/>
      </c>
      <c r="K1560" s="364" t="str">
        <f>IF($G1560="","",IF($H1560=1,ROUND($G1560*10/23,0),IF($H1560=3,$G1560-2*ROUND($G1560/12,0),IF($H1560=4,$G1560,IF(OR($H1560=5,$H1560=7),ROUND($G1560*10/11,0),0)))))</f>
        <v/>
      </c>
      <c r="L1560" s="364" t="str">
        <f>IF($G1560="","",IF($H1560=1,ROUND($G1560/23,0),IF($H1560=3,ROUND($G1560/12,0),IF($H1560=5,$G1560-ROUND($G1560*10/11,0),IF($H1560=8,$G1560,0)))))</f>
        <v/>
      </c>
      <c r="M1560" s="364" t="str">
        <f>IF($G1560="","",IF($H1560=1,ROUND($G1560/23,0),IF($H1560=3,ROUND($G1560/12,0),IF($H1560=6,$G1560,IF($H1560=7,$G1560-ROUND($G1560*10/11,0),0)))))</f>
        <v/>
      </c>
      <c r="N1560" s="364" t="str">
        <f>IF($G1560="","",K1560+L1560+M1560)</f>
        <v/>
      </c>
      <c r="O1560" s="365" t="str">
        <f>IF($G1560="","",IFERROR(VLOOKUP($D1560&amp;"|"&amp;$E1560,科目表!$A$5:$B$200,2,FALSE),"※未登録"))</f>
        <v/>
      </c>
      <c r="P1560" s="359" t="str">
        <f>IF(OR($G1560="",$C1560=""),"",IF($B1560="決算整理",13,MOD(MONTH($C1560)-4,12)+1))</f>
        <v/>
      </c>
      <c r="Q1560" s="366" t="str">
        <f>IF($G1560="","",TRIM(IF(J1560+K1560+L1560+M1560&lt;&gt;$G1560,"按分不一致 ","")&amp;IF(O1560="※未登録","科目未登録 ","")&amp;IF(OR($H1560="",ISERROR(MATCH($H1560,{1,2,3,4,5,6,7,8},0))),"経費区分? ","")&amp;IF($I1560="","状態未設定 ","")&amp;IF(AND(OR($I1560="確認済",$I1560="未確認"),$B1560="月例",OR($C1560="",$C1560&lt;DATE(年度+2018,4,1),$C1560&gt;DATE(年度+2019,3,31))),"年度外の日付 ","")&amp;IF(AND(OR($I1560="確認済",$I1560="未確認"),O1560="対象外"),"対象外の科目 ","")))</f>
        <v/>
      </c>
      <c r="R1560" s="366" t="n"/>
    </row>
    <row r="1561">
      <c r="A1561" s="359" t="n"/>
      <c r="B1561" s="360" t="n"/>
      <c r="C1561" s="361" t="n"/>
      <c r="D1561" s="362" t="n"/>
      <c r="E1561" s="362" t="n"/>
      <c r="F1561" s="362" t="n"/>
      <c r="G1561" s="363" t="n"/>
      <c r="H1561" s="360" t="n"/>
      <c r="I1561" s="360" t="n"/>
      <c r="J1561" s="364" t="str">
        <f>IF($G1561="","",IF($H1561=1,$G1561-ROUND($G1561*10/23,0)-2*ROUND($G1561/23,0),IF($H1561=2,$G1561,0)))</f>
        <v/>
      </c>
      <c r="K1561" s="364" t="str">
        <f>IF($G1561="","",IF($H1561=1,ROUND($G1561*10/23,0),IF($H1561=3,$G1561-2*ROUND($G1561/12,0),IF($H1561=4,$G1561,IF(OR($H1561=5,$H1561=7),ROUND($G1561*10/11,0),0)))))</f>
        <v/>
      </c>
      <c r="L1561" s="364" t="str">
        <f>IF($G1561="","",IF($H1561=1,ROUND($G1561/23,0),IF($H1561=3,ROUND($G1561/12,0),IF($H1561=5,$G1561-ROUND($G1561*10/11,0),IF($H1561=8,$G1561,0)))))</f>
        <v/>
      </c>
      <c r="M1561" s="364" t="str">
        <f>IF($G1561="","",IF($H1561=1,ROUND($G1561/23,0),IF($H1561=3,ROUND($G1561/12,0),IF($H1561=6,$G1561,IF($H1561=7,$G1561-ROUND($G1561*10/11,0),0)))))</f>
        <v/>
      </c>
      <c r="N1561" s="364" t="str">
        <f>IF($G1561="","",K1561+L1561+M1561)</f>
        <v/>
      </c>
      <c r="O1561" s="365" t="str">
        <f>IF($G1561="","",IFERROR(VLOOKUP($D1561&amp;"|"&amp;$E1561,科目表!$A$5:$B$200,2,FALSE),"※未登録"))</f>
        <v/>
      </c>
      <c r="P1561" s="359" t="str">
        <f>IF(OR($G1561="",$C1561=""),"",IF($B1561="決算整理",13,MOD(MONTH($C1561)-4,12)+1))</f>
        <v/>
      </c>
      <c r="Q1561" s="366" t="str">
        <f>IF($G1561="","",TRIM(IF(J1561+K1561+L1561+M1561&lt;&gt;$G1561,"按分不一致 ","")&amp;IF(O1561="※未登録","科目未登録 ","")&amp;IF(OR($H1561="",ISERROR(MATCH($H1561,{1,2,3,4,5,6,7,8},0))),"経費区分? ","")&amp;IF($I1561="","状態未設定 ","")&amp;IF(AND(OR($I1561="確認済",$I1561="未確認"),$B1561="月例",OR($C1561="",$C1561&lt;DATE(年度+2018,4,1),$C1561&gt;DATE(年度+2019,3,31))),"年度外の日付 ","")&amp;IF(AND(OR($I1561="確認済",$I1561="未確認"),O1561="対象外"),"対象外の科目 ","")))</f>
        <v/>
      </c>
      <c r="R1561" s="366" t="n"/>
    </row>
    <row r="1562">
      <c r="A1562" s="359" t="n"/>
      <c r="B1562" s="360" t="n"/>
      <c r="C1562" s="361" t="n"/>
      <c r="D1562" s="362" t="n"/>
      <c r="E1562" s="362" t="n"/>
      <c r="F1562" s="362" t="n"/>
      <c r="G1562" s="363" t="n"/>
      <c r="H1562" s="360" t="n"/>
      <c r="I1562" s="360" t="n"/>
      <c r="J1562" s="364" t="str">
        <f>IF($G1562="","",IF($H1562=1,$G1562-ROUND($G1562*10/23,0)-2*ROUND($G1562/23,0),IF($H1562=2,$G1562,0)))</f>
        <v/>
      </c>
      <c r="K1562" s="364" t="str">
        <f>IF($G1562="","",IF($H1562=1,ROUND($G1562*10/23,0),IF($H1562=3,$G1562-2*ROUND($G1562/12,0),IF($H1562=4,$G1562,IF(OR($H1562=5,$H1562=7),ROUND($G1562*10/11,0),0)))))</f>
        <v/>
      </c>
      <c r="L1562" s="364" t="str">
        <f>IF($G1562="","",IF($H1562=1,ROUND($G1562/23,0),IF($H1562=3,ROUND($G1562/12,0),IF($H1562=5,$G1562-ROUND($G1562*10/11,0),IF($H1562=8,$G1562,0)))))</f>
        <v/>
      </c>
      <c r="M1562" s="364" t="str">
        <f>IF($G1562="","",IF($H1562=1,ROUND($G1562/23,0),IF($H1562=3,ROUND($G1562/12,0),IF($H1562=6,$G1562,IF($H1562=7,$G1562-ROUND($G1562*10/11,0),0)))))</f>
        <v/>
      </c>
      <c r="N1562" s="364" t="str">
        <f>IF($G1562="","",K1562+L1562+M1562)</f>
        <v/>
      </c>
      <c r="O1562" s="365" t="str">
        <f>IF($G1562="","",IFERROR(VLOOKUP($D1562&amp;"|"&amp;$E1562,科目表!$A$5:$B$200,2,FALSE),"※未登録"))</f>
        <v/>
      </c>
      <c r="P1562" s="359" t="str">
        <f>IF(OR($G1562="",$C1562=""),"",IF($B1562="決算整理",13,MOD(MONTH($C1562)-4,12)+1))</f>
        <v/>
      </c>
      <c r="Q1562" s="366" t="str">
        <f>IF($G1562="","",TRIM(IF(J1562+K1562+L1562+M1562&lt;&gt;$G1562,"按分不一致 ","")&amp;IF(O1562="※未登録","科目未登録 ","")&amp;IF(OR($H1562="",ISERROR(MATCH($H1562,{1,2,3,4,5,6,7,8},0))),"経費区分? ","")&amp;IF($I1562="","状態未設定 ","")&amp;IF(AND(OR($I1562="確認済",$I1562="未確認"),$B1562="月例",OR($C1562="",$C1562&lt;DATE(年度+2018,4,1),$C1562&gt;DATE(年度+2019,3,31))),"年度外の日付 ","")&amp;IF(AND(OR($I1562="確認済",$I1562="未確認"),O1562="対象外"),"対象外の科目 ","")))</f>
        <v/>
      </c>
      <c r="R1562" s="366" t="n"/>
    </row>
    <row r="1563">
      <c r="A1563" s="359" t="n"/>
      <c r="B1563" s="360" t="n"/>
      <c r="C1563" s="361" t="n"/>
      <c r="D1563" s="362" t="n"/>
      <c r="E1563" s="362" t="n"/>
      <c r="F1563" s="362" t="n"/>
      <c r="G1563" s="363" t="n"/>
      <c r="H1563" s="360" t="n"/>
      <c r="I1563" s="360" t="n"/>
      <c r="J1563" s="364" t="str">
        <f>IF($G1563="","",IF($H1563=1,$G1563-ROUND($G1563*10/23,0)-2*ROUND($G1563/23,0),IF($H1563=2,$G1563,0)))</f>
        <v/>
      </c>
      <c r="K1563" s="364" t="str">
        <f>IF($G1563="","",IF($H1563=1,ROUND($G1563*10/23,0),IF($H1563=3,$G1563-2*ROUND($G1563/12,0),IF($H1563=4,$G1563,IF(OR($H1563=5,$H1563=7),ROUND($G1563*10/11,0),0)))))</f>
        <v/>
      </c>
      <c r="L1563" s="364" t="str">
        <f>IF($G1563="","",IF($H1563=1,ROUND($G1563/23,0),IF($H1563=3,ROUND($G1563/12,0),IF($H1563=5,$G1563-ROUND($G1563*10/11,0),IF($H1563=8,$G1563,0)))))</f>
        <v/>
      </c>
      <c r="M1563" s="364" t="str">
        <f>IF($G1563="","",IF($H1563=1,ROUND($G1563/23,0),IF($H1563=3,ROUND($G1563/12,0),IF($H1563=6,$G1563,IF($H1563=7,$G1563-ROUND($G1563*10/11,0),0)))))</f>
        <v/>
      </c>
      <c r="N1563" s="364" t="str">
        <f>IF($G1563="","",K1563+L1563+M1563)</f>
        <v/>
      </c>
      <c r="O1563" s="365" t="str">
        <f>IF($G1563="","",IFERROR(VLOOKUP($D1563&amp;"|"&amp;$E1563,科目表!$A$5:$B$200,2,FALSE),"※未登録"))</f>
        <v/>
      </c>
      <c r="P1563" s="359" t="str">
        <f>IF(OR($G1563="",$C1563=""),"",IF($B1563="決算整理",13,MOD(MONTH($C1563)-4,12)+1))</f>
        <v/>
      </c>
      <c r="Q1563" s="366" t="str">
        <f>IF($G1563="","",TRIM(IF(J1563+K1563+L1563+M1563&lt;&gt;$G1563,"按分不一致 ","")&amp;IF(O1563="※未登録","科目未登録 ","")&amp;IF(OR($H1563="",ISERROR(MATCH($H1563,{1,2,3,4,5,6,7,8},0))),"経費区分? ","")&amp;IF($I1563="","状態未設定 ","")&amp;IF(AND(OR($I1563="確認済",$I1563="未確認"),$B1563="月例",OR($C1563="",$C1563&lt;DATE(年度+2018,4,1),$C1563&gt;DATE(年度+2019,3,31))),"年度外の日付 ","")&amp;IF(AND(OR($I1563="確認済",$I1563="未確認"),O1563="対象外"),"対象外の科目 ","")))</f>
        <v/>
      </c>
      <c r="R1563" s="366" t="n"/>
    </row>
    <row r="1564">
      <c r="A1564" s="359" t="n"/>
      <c r="B1564" s="360" t="n"/>
      <c r="C1564" s="361" t="n"/>
      <c r="D1564" s="362" t="n"/>
      <c r="E1564" s="362" t="n"/>
      <c r="F1564" s="362" t="n"/>
      <c r="G1564" s="363" t="n"/>
      <c r="H1564" s="360" t="n"/>
      <c r="I1564" s="360" t="n"/>
      <c r="J1564" s="364" t="str">
        <f>IF($G1564="","",IF($H1564=1,$G1564-ROUND($G1564*10/23,0)-2*ROUND($G1564/23,0),IF($H1564=2,$G1564,0)))</f>
        <v/>
      </c>
      <c r="K1564" s="364" t="str">
        <f>IF($G1564="","",IF($H1564=1,ROUND($G1564*10/23,0),IF($H1564=3,$G1564-2*ROUND($G1564/12,0),IF($H1564=4,$G1564,IF(OR($H1564=5,$H1564=7),ROUND($G1564*10/11,0),0)))))</f>
        <v/>
      </c>
      <c r="L1564" s="364" t="str">
        <f>IF($G1564="","",IF($H1564=1,ROUND($G1564/23,0),IF($H1564=3,ROUND($G1564/12,0),IF($H1564=5,$G1564-ROUND($G1564*10/11,0),IF($H1564=8,$G1564,0)))))</f>
        <v/>
      </c>
      <c r="M1564" s="364" t="str">
        <f>IF($G1564="","",IF($H1564=1,ROUND($G1564/23,0),IF($H1564=3,ROUND($G1564/12,0),IF($H1564=6,$G1564,IF($H1564=7,$G1564-ROUND($G1564*10/11,0),0)))))</f>
        <v/>
      </c>
      <c r="N1564" s="364" t="str">
        <f>IF($G1564="","",K1564+L1564+M1564)</f>
        <v/>
      </c>
      <c r="O1564" s="365" t="str">
        <f>IF($G1564="","",IFERROR(VLOOKUP($D1564&amp;"|"&amp;$E1564,科目表!$A$5:$B$200,2,FALSE),"※未登録"))</f>
        <v/>
      </c>
      <c r="P1564" s="359" t="str">
        <f>IF(OR($G1564="",$C1564=""),"",IF($B1564="決算整理",13,MOD(MONTH($C1564)-4,12)+1))</f>
        <v/>
      </c>
      <c r="Q1564" s="366" t="str">
        <f>IF($G1564="","",TRIM(IF(J1564+K1564+L1564+M1564&lt;&gt;$G1564,"按分不一致 ","")&amp;IF(O1564="※未登録","科目未登録 ","")&amp;IF(OR($H1564="",ISERROR(MATCH($H1564,{1,2,3,4,5,6,7,8},0))),"経費区分? ","")&amp;IF($I1564="","状態未設定 ","")&amp;IF(AND(OR($I1564="確認済",$I1564="未確認"),$B1564="月例",OR($C1564="",$C1564&lt;DATE(年度+2018,4,1),$C1564&gt;DATE(年度+2019,3,31))),"年度外の日付 ","")&amp;IF(AND(OR($I1564="確認済",$I1564="未確認"),O1564="対象外"),"対象外の科目 ","")))</f>
        <v/>
      </c>
      <c r="R1564" s="366" t="n"/>
    </row>
    <row r="1565">
      <c r="A1565" s="359" t="n"/>
      <c r="B1565" s="360" t="n"/>
      <c r="C1565" s="361" t="n"/>
      <c r="D1565" s="362" t="n"/>
      <c r="E1565" s="362" t="n"/>
      <c r="F1565" s="362" t="n"/>
      <c r="G1565" s="363" t="n"/>
      <c r="H1565" s="360" t="n"/>
      <c r="I1565" s="360" t="n"/>
      <c r="J1565" s="364" t="str">
        <f>IF($G1565="","",IF($H1565=1,$G1565-ROUND($G1565*10/23,0)-2*ROUND($G1565/23,0),IF($H1565=2,$G1565,0)))</f>
        <v/>
      </c>
      <c r="K1565" s="364" t="str">
        <f>IF($G1565="","",IF($H1565=1,ROUND($G1565*10/23,0),IF($H1565=3,$G1565-2*ROUND($G1565/12,0),IF($H1565=4,$G1565,IF(OR($H1565=5,$H1565=7),ROUND($G1565*10/11,0),0)))))</f>
        <v/>
      </c>
      <c r="L1565" s="364" t="str">
        <f>IF($G1565="","",IF($H1565=1,ROUND($G1565/23,0),IF($H1565=3,ROUND($G1565/12,0),IF($H1565=5,$G1565-ROUND($G1565*10/11,0),IF($H1565=8,$G1565,0)))))</f>
        <v/>
      </c>
      <c r="M1565" s="364" t="str">
        <f>IF($G1565="","",IF($H1565=1,ROUND($G1565/23,0),IF($H1565=3,ROUND($G1565/12,0),IF($H1565=6,$G1565,IF($H1565=7,$G1565-ROUND($G1565*10/11,0),0)))))</f>
        <v/>
      </c>
      <c r="N1565" s="364" t="str">
        <f>IF($G1565="","",K1565+L1565+M1565)</f>
        <v/>
      </c>
      <c r="O1565" s="365" t="str">
        <f>IF($G1565="","",IFERROR(VLOOKUP($D1565&amp;"|"&amp;$E1565,科目表!$A$5:$B$200,2,FALSE),"※未登録"))</f>
        <v/>
      </c>
      <c r="P1565" s="359" t="str">
        <f>IF(OR($G1565="",$C1565=""),"",IF($B1565="決算整理",13,MOD(MONTH($C1565)-4,12)+1))</f>
        <v/>
      </c>
      <c r="Q1565" s="366" t="str">
        <f>IF($G1565="","",TRIM(IF(J1565+K1565+L1565+M1565&lt;&gt;$G1565,"按分不一致 ","")&amp;IF(O1565="※未登録","科目未登録 ","")&amp;IF(OR($H1565="",ISERROR(MATCH($H1565,{1,2,3,4,5,6,7,8},0))),"経費区分? ","")&amp;IF($I1565="","状態未設定 ","")&amp;IF(AND(OR($I1565="確認済",$I1565="未確認"),$B1565="月例",OR($C1565="",$C1565&lt;DATE(年度+2018,4,1),$C1565&gt;DATE(年度+2019,3,31))),"年度外の日付 ","")&amp;IF(AND(OR($I1565="確認済",$I1565="未確認"),O1565="対象外"),"対象外の科目 ","")))</f>
        <v/>
      </c>
      <c r="R1565" s="366" t="n"/>
    </row>
    <row r="1566">
      <c r="A1566" s="359" t="n"/>
      <c r="B1566" s="360" t="n"/>
      <c r="C1566" s="361" t="n"/>
      <c r="D1566" s="362" t="n"/>
      <c r="E1566" s="362" t="n"/>
      <c r="F1566" s="362" t="n"/>
      <c r="G1566" s="363" t="n"/>
      <c r="H1566" s="360" t="n"/>
      <c r="I1566" s="360" t="n"/>
      <c r="J1566" s="364" t="str">
        <f>IF($G1566="","",IF($H1566=1,$G1566-ROUND($G1566*10/23,0)-2*ROUND($G1566/23,0),IF($H1566=2,$G1566,0)))</f>
        <v/>
      </c>
      <c r="K1566" s="364" t="str">
        <f>IF($G1566="","",IF($H1566=1,ROUND($G1566*10/23,0),IF($H1566=3,$G1566-2*ROUND($G1566/12,0),IF($H1566=4,$G1566,IF(OR($H1566=5,$H1566=7),ROUND($G1566*10/11,0),0)))))</f>
        <v/>
      </c>
      <c r="L1566" s="364" t="str">
        <f>IF($G1566="","",IF($H1566=1,ROUND($G1566/23,0),IF($H1566=3,ROUND($G1566/12,0),IF($H1566=5,$G1566-ROUND($G1566*10/11,0),IF($H1566=8,$G1566,0)))))</f>
        <v/>
      </c>
      <c r="M1566" s="364" t="str">
        <f>IF($G1566="","",IF($H1566=1,ROUND($G1566/23,0),IF($H1566=3,ROUND($G1566/12,0),IF($H1566=6,$G1566,IF($H1566=7,$G1566-ROUND($G1566*10/11,0),0)))))</f>
        <v/>
      </c>
      <c r="N1566" s="364" t="str">
        <f>IF($G1566="","",K1566+L1566+M1566)</f>
        <v/>
      </c>
      <c r="O1566" s="365" t="str">
        <f>IF($G1566="","",IFERROR(VLOOKUP($D1566&amp;"|"&amp;$E1566,科目表!$A$5:$B$200,2,FALSE),"※未登録"))</f>
        <v/>
      </c>
      <c r="P1566" s="359" t="str">
        <f>IF(OR($G1566="",$C1566=""),"",IF($B1566="決算整理",13,MOD(MONTH($C1566)-4,12)+1))</f>
        <v/>
      </c>
      <c r="Q1566" s="366" t="str">
        <f>IF($G1566="","",TRIM(IF(J1566+K1566+L1566+M1566&lt;&gt;$G1566,"按分不一致 ","")&amp;IF(O1566="※未登録","科目未登録 ","")&amp;IF(OR($H1566="",ISERROR(MATCH($H1566,{1,2,3,4,5,6,7,8},0))),"経費区分? ","")&amp;IF($I1566="","状態未設定 ","")&amp;IF(AND(OR($I1566="確認済",$I1566="未確認"),$B1566="月例",OR($C1566="",$C1566&lt;DATE(年度+2018,4,1),$C1566&gt;DATE(年度+2019,3,31))),"年度外の日付 ","")&amp;IF(AND(OR($I1566="確認済",$I1566="未確認"),O1566="対象外"),"対象外の科目 ","")))</f>
        <v/>
      </c>
      <c r="R1566" s="366" t="n"/>
    </row>
    <row r="1567">
      <c r="A1567" s="359" t="n"/>
      <c r="B1567" s="360" t="n"/>
      <c r="C1567" s="361" t="n"/>
      <c r="D1567" s="362" t="n"/>
      <c r="E1567" s="362" t="n"/>
      <c r="F1567" s="362" t="n"/>
      <c r="G1567" s="363" t="n"/>
      <c r="H1567" s="360" t="n"/>
      <c r="I1567" s="360" t="n"/>
      <c r="J1567" s="364" t="str">
        <f>IF($G1567="","",IF($H1567=1,$G1567-ROUND($G1567*10/23,0)-2*ROUND($G1567/23,0),IF($H1567=2,$G1567,0)))</f>
        <v/>
      </c>
      <c r="K1567" s="364" t="str">
        <f>IF($G1567="","",IF($H1567=1,ROUND($G1567*10/23,0),IF($H1567=3,$G1567-2*ROUND($G1567/12,0),IF($H1567=4,$G1567,IF(OR($H1567=5,$H1567=7),ROUND($G1567*10/11,0),0)))))</f>
        <v/>
      </c>
      <c r="L1567" s="364" t="str">
        <f>IF($G1567="","",IF($H1567=1,ROUND($G1567/23,0),IF($H1567=3,ROUND($G1567/12,0),IF($H1567=5,$G1567-ROUND($G1567*10/11,0),IF($H1567=8,$G1567,0)))))</f>
        <v/>
      </c>
      <c r="M1567" s="364" t="str">
        <f>IF($G1567="","",IF($H1567=1,ROUND($G1567/23,0),IF($H1567=3,ROUND($G1567/12,0),IF($H1567=6,$G1567,IF($H1567=7,$G1567-ROUND($G1567*10/11,0),0)))))</f>
        <v/>
      </c>
      <c r="N1567" s="364" t="str">
        <f>IF($G1567="","",K1567+L1567+M1567)</f>
        <v/>
      </c>
      <c r="O1567" s="365" t="str">
        <f>IF($G1567="","",IFERROR(VLOOKUP($D1567&amp;"|"&amp;$E1567,科目表!$A$5:$B$200,2,FALSE),"※未登録"))</f>
        <v/>
      </c>
      <c r="P1567" s="359" t="str">
        <f>IF(OR($G1567="",$C1567=""),"",IF($B1567="決算整理",13,MOD(MONTH($C1567)-4,12)+1))</f>
        <v/>
      </c>
      <c r="Q1567" s="366" t="str">
        <f>IF($G1567="","",TRIM(IF(J1567+K1567+L1567+M1567&lt;&gt;$G1567,"按分不一致 ","")&amp;IF(O1567="※未登録","科目未登録 ","")&amp;IF(OR($H1567="",ISERROR(MATCH($H1567,{1,2,3,4,5,6,7,8},0))),"経費区分? ","")&amp;IF($I1567="","状態未設定 ","")&amp;IF(AND(OR($I1567="確認済",$I1567="未確認"),$B1567="月例",OR($C1567="",$C1567&lt;DATE(年度+2018,4,1),$C1567&gt;DATE(年度+2019,3,31))),"年度外の日付 ","")&amp;IF(AND(OR($I1567="確認済",$I1567="未確認"),O1567="対象外"),"対象外の科目 ","")))</f>
        <v/>
      </c>
      <c r="R1567" s="366" t="n"/>
    </row>
    <row r="1568">
      <c r="A1568" s="359" t="n"/>
      <c r="B1568" s="360" t="n"/>
      <c r="C1568" s="361" t="n"/>
      <c r="D1568" s="362" t="n"/>
      <c r="E1568" s="362" t="n"/>
      <c r="F1568" s="362" t="n"/>
      <c r="G1568" s="363" t="n"/>
      <c r="H1568" s="360" t="n"/>
      <c r="I1568" s="360" t="n"/>
      <c r="J1568" s="364" t="str">
        <f>IF($G1568="","",IF($H1568=1,$G1568-ROUND($G1568*10/23,0)-2*ROUND($G1568/23,0),IF($H1568=2,$G1568,0)))</f>
        <v/>
      </c>
      <c r="K1568" s="364" t="str">
        <f>IF($G1568="","",IF($H1568=1,ROUND($G1568*10/23,0),IF($H1568=3,$G1568-2*ROUND($G1568/12,0),IF($H1568=4,$G1568,IF(OR($H1568=5,$H1568=7),ROUND($G1568*10/11,0),0)))))</f>
        <v/>
      </c>
      <c r="L1568" s="364" t="str">
        <f>IF($G1568="","",IF($H1568=1,ROUND($G1568/23,0),IF($H1568=3,ROUND($G1568/12,0),IF($H1568=5,$G1568-ROUND($G1568*10/11,0),IF($H1568=8,$G1568,0)))))</f>
        <v/>
      </c>
      <c r="M1568" s="364" t="str">
        <f>IF($G1568="","",IF($H1568=1,ROUND($G1568/23,0),IF($H1568=3,ROUND($G1568/12,0),IF($H1568=6,$G1568,IF($H1568=7,$G1568-ROUND($G1568*10/11,0),0)))))</f>
        <v/>
      </c>
      <c r="N1568" s="364" t="str">
        <f>IF($G1568="","",K1568+L1568+M1568)</f>
        <v/>
      </c>
      <c r="O1568" s="365" t="str">
        <f>IF($G1568="","",IFERROR(VLOOKUP($D1568&amp;"|"&amp;$E1568,科目表!$A$5:$B$200,2,FALSE),"※未登録"))</f>
        <v/>
      </c>
      <c r="P1568" s="359" t="str">
        <f>IF(OR($G1568="",$C1568=""),"",IF($B1568="決算整理",13,MOD(MONTH($C1568)-4,12)+1))</f>
        <v/>
      </c>
      <c r="Q1568" s="366" t="str">
        <f>IF($G1568="","",TRIM(IF(J1568+K1568+L1568+M1568&lt;&gt;$G1568,"按分不一致 ","")&amp;IF(O1568="※未登録","科目未登録 ","")&amp;IF(OR($H1568="",ISERROR(MATCH($H1568,{1,2,3,4,5,6,7,8},0))),"経費区分? ","")&amp;IF($I1568="","状態未設定 ","")&amp;IF(AND(OR($I1568="確認済",$I1568="未確認"),$B1568="月例",OR($C1568="",$C1568&lt;DATE(年度+2018,4,1),$C1568&gt;DATE(年度+2019,3,31))),"年度外の日付 ","")&amp;IF(AND(OR($I1568="確認済",$I1568="未確認"),O1568="対象外"),"対象外の科目 ","")))</f>
        <v/>
      </c>
      <c r="R1568" s="366" t="n"/>
    </row>
    <row r="1569">
      <c r="A1569" s="359" t="n"/>
      <c r="B1569" s="360" t="n"/>
      <c r="C1569" s="361" t="n"/>
      <c r="D1569" s="362" t="n"/>
      <c r="E1569" s="362" t="n"/>
      <c r="F1569" s="362" t="n"/>
      <c r="G1569" s="363" t="n"/>
      <c r="H1569" s="360" t="n"/>
      <c r="I1569" s="360" t="n"/>
      <c r="J1569" s="364" t="str">
        <f>IF($G1569="","",IF($H1569=1,$G1569-ROUND($G1569*10/23,0)-2*ROUND($G1569/23,0),IF($H1569=2,$G1569,0)))</f>
        <v/>
      </c>
      <c r="K1569" s="364" t="str">
        <f>IF($G1569="","",IF($H1569=1,ROUND($G1569*10/23,0),IF($H1569=3,$G1569-2*ROUND($G1569/12,0),IF($H1569=4,$G1569,IF(OR($H1569=5,$H1569=7),ROUND($G1569*10/11,0),0)))))</f>
        <v/>
      </c>
      <c r="L1569" s="364" t="str">
        <f>IF($G1569="","",IF($H1569=1,ROUND($G1569/23,0),IF($H1569=3,ROUND($G1569/12,0),IF($H1569=5,$G1569-ROUND($G1569*10/11,0),IF($H1569=8,$G1569,0)))))</f>
        <v/>
      </c>
      <c r="M1569" s="364" t="str">
        <f>IF($G1569="","",IF($H1569=1,ROUND($G1569/23,0),IF($H1569=3,ROUND($G1569/12,0),IF($H1569=6,$G1569,IF($H1569=7,$G1569-ROUND($G1569*10/11,0),0)))))</f>
        <v/>
      </c>
      <c r="N1569" s="364" t="str">
        <f>IF($G1569="","",K1569+L1569+M1569)</f>
        <v/>
      </c>
      <c r="O1569" s="365" t="str">
        <f>IF($G1569="","",IFERROR(VLOOKUP($D1569&amp;"|"&amp;$E1569,科目表!$A$5:$B$200,2,FALSE),"※未登録"))</f>
        <v/>
      </c>
      <c r="P1569" s="359" t="str">
        <f>IF(OR($G1569="",$C1569=""),"",IF($B1569="決算整理",13,MOD(MONTH($C1569)-4,12)+1))</f>
        <v/>
      </c>
      <c r="Q1569" s="366" t="str">
        <f>IF($G1569="","",TRIM(IF(J1569+K1569+L1569+M1569&lt;&gt;$G1569,"按分不一致 ","")&amp;IF(O1569="※未登録","科目未登録 ","")&amp;IF(OR($H1569="",ISERROR(MATCH($H1569,{1,2,3,4,5,6,7,8},0))),"経費区分? ","")&amp;IF($I1569="","状態未設定 ","")&amp;IF(AND(OR($I1569="確認済",$I1569="未確認"),$B1569="月例",OR($C1569="",$C1569&lt;DATE(年度+2018,4,1),$C1569&gt;DATE(年度+2019,3,31))),"年度外の日付 ","")&amp;IF(AND(OR($I1569="確認済",$I1569="未確認"),O1569="対象外"),"対象外の科目 ","")))</f>
        <v/>
      </c>
      <c r="R1569" s="366" t="n"/>
    </row>
    <row r="1570">
      <c r="A1570" s="359" t="n"/>
      <c r="B1570" s="360" t="n"/>
      <c r="C1570" s="361" t="n"/>
      <c r="D1570" s="362" t="n"/>
      <c r="E1570" s="362" t="n"/>
      <c r="F1570" s="362" t="n"/>
      <c r="G1570" s="363" t="n"/>
      <c r="H1570" s="360" t="n"/>
      <c r="I1570" s="360" t="n"/>
      <c r="J1570" s="364" t="str">
        <f>IF($G1570="","",IF($H1570=1,$G1570-ROUND($G1570*10/23,0)-2*ROUND($G1570/23,0),IF($H1570=2,$G1570,0)))</f>
        <v/>
      </c>
      <c r="K1570" s="364" t="str">
        <f>IF($G1570="","",IF($H1570=1,ROUND($G1570*10/23,0),IF($H1570=3,$G1570-2*ROUND($G1570/12,0),IF($H1570=4,$G1570,IF(OR($H1570=5,$H1570=7),ROUND($G1570*10/11,0),0)))))</f>
        <v/>
      </c>
      <c r="L1570" s="364" t="str">
        <f>IF($G1570="","",IF($H1570=1,ROUND($G1570/23,0),IF($H1570=3,ROUND($G1570/12,0),IF($H1570=5,$G1570-ROUND($G1570*10/11,0),IF($H1570=8,$G1570,0)))))</f>
        <v/>
      </c>
      <c r="M1570" s="364" t="str">
        <f>IF($G1570="","",IF($H1570=1,ROUND($G1570/23,0),IF($H1570=3,ROUND($G1570/12,0),IF($H1570=6,$G1570,IF($H1570=7,$G1570-ROUND($G1570*10/11,0),0)))))</f>
        <v/>
      </c>
      <c r="N1570" s="364" t="str">
        <f>IF($G1570="","",K1570+L1570+M1570)</f>
        <v/>
      </c>
      <c r="O1570" s="365" t="str">
        <f>IF($G1570="","",IFERROR(VLOOKUP($D1570&amp;"|"&amp;$E1570,科目表!$A$5:$B$200,2,FALSE),"※未登録"))</f>
        <v/>
      </c>
      <c r="P1570" s="359" t="str">
        <f>IF(OR($G1570="",$C1570=""),"",IF($B1570="決算整理",13,MOD(MONTH($C1570)-4,12)+1))</f>
        <v/>
      </c>
      <c r="Q1570" s="366" t="str">
        <f>IF($G1570="","",TRIM(IF(J1570+K1570+L1570+M1570&lt;&gt;$G1570,"按分不一致 ","")&amp;IF(O1570="※未登録","科目未登録 ","")&amp;IF(OR($H1570="",ISERROR(MATCH($H1570,{1,2,3,4,5,6,7,8},0))),"経費区分? ","")&amp;IF($I1570="","状態未設定 ","")&amp;IF(AND(OR($I1570="確認済",$I1570="未確認"),$B1570="月例",OR($C1570="",$C1570&lt;DATE(年度+2018,4,1),$C1570&gt;DATE(年度+2019,3,31))),"年度外の日付 ","")&amp;IF(AND(OR($I1570="確認済",$I1570="未確認"),O1570="対象外"),"対象外の科目 ","")))</f>
        <v/>
      </c>
      <c r="R1570" s="366" t="n"/>
    </row>
    <row r="1571">
      <c r="A1571" s="359" t="n"/>
      <c r="B1571" s="360" t="n"/>
      <c r="C1571" s="361" t="n"/>
      <c r="D1571" s="362" t="n"/>
      <c r="E1571" s="362" t="n"/>
      <c r="F1571" s="362" t="n"/>
      <c r="G1571" s="363" t="n"/>
      <c r="H1571" s="360" t="n"/>
      <c r="I1571" s="360" t="n"/>
      <c r="J1571" s="364" t="str">
        <f>IF($G1571="","",IF($H1571=1,$G1571-ROUND($G1571*10/23,0)-2*ROUND($G1571/23,0),IF($H1571=2,$G1571,0)))</f>
        <v/>
      </c>
      <c r="K1571" s="364" t="str">
        <f>IF($G1571="","",IF($H1571=1,ROUND($G1571*10/23,0),IF($H1571=3,$G1571-2*ROUND($G1571/12,0),IF($H1571=4,$G1571,IF(OR($H1571=5,$H1571=7),ROUND($G1571*10/11,0),0)))))</f>
        <v/>
      </c>
      <c r="L1571" s="364" t="str">
        <f>IF($G1571="","",IF($H1571=1,ROUND($G1571/23,0),IF($H1571=3,ROUND($G1571/12,0),IF($H1571=5,$G1571-ROUND($G1571*10/11,0),IF($H1571=8,$G1571,0)))))</f>
        <v/>
      </c>
      <c r="M1571" s="364" t="str">
        <f>IF($G1571="","",IF($H1571=1,ROUND($G1571/23,0),IF($H1571=3,ROUND($G1571/12,0),IF($H1571=6,$G1571,IF($H1571=7,$G1571-ROUND($G1571*10/11,0),0)))))</f>
        <v/>
      </c>
      <c r="N1571" s="364" t="str">
        <f>IF($G1571="","",K1571+L1571+M1571)</f>
        <v/>
      </c>
      <c r="O1571" s="365" t="str">
        <f>IF($G1571="","",IFERROR(VLOOKUP($D1571&amp;"|"&amp;$E1571,科目表!$A$5:$B$200,2,FALSE),"※未登録"))</f>
        <v/>
      </c>
      <c r="P1571" s="359" t="str">
        <f>IF(OR($G1571="",$C1571=""),"",IF($B1571="決算整理",13,MOD(MONTH($C1571)-4,12)+1))</f>
        <v/>
      </c>
      <c r="Q1571" s="366" t="str">
        <f>IF($G1571="","",TRIM(IF(J1571+K1571+L1571+M1571&lt;&gt;$G1571,"按分不一致 ","")&amp;IF(O1571="※未登録","科目未登録 ","")&amp;IF(OR($H1571="",ISERROR(MATCH($H1571,{1,2,3,4,5,6,7,8},0))),"経費区分? ","")&amp;IF($I1571="","状態未設定 ","")&amp;IF(AND(OR($I1571="確認済",$I1571="未確認"),$B1571="月例",OR($C1571="",$C1571&lt;DATE(年度+2018,4,1),$C1571&gt;DATE(年度+2019,3,31))),"年度外の日付 ","")&amp;IF(AND(OR($I1571="確認済",$I1571="未確認"),O1571="対象外"),"対象外の科目 ","")))</f>
        <v/>
      </c>
      <c r="R1571" s="366" t="n"/>
    </row>
    <row r="1572">
      <c r="A1572" s="359" t="n"/>
      <c r="B1572" s="360" t="n"/>
      <c r="C1572" s="361" t="n"/>
      <c r="D1572" s="362" t="n"/>
      <c r="E1572" s="362" t="n"/>
      <c r="F1572" s="362" t="n"/>
      <c r="G1572" s="363" t="n"/>
      <c r="H1572" s="360" t="n"/>
      <c r="I1572" s="360" t="n"/>
      <c r="J1572" s="364" t="str">
        <f>IF($G1572="","",IF($H1572=1,$G1572-ROUND($G1572*10/23,0)-2*ROUND($G1572/23,0),IF($H1572=2,$G1572,0)))</f>
        <v/>
      </c>
      <c r="K1572" s="364" t="str">
        <f>IF($G1572="","",IF($H1572=1,ROUND($G1572*10/23,0),IF($H1572=3,$G1572-2*ROUND($G1572/12,0),IF($H1572=4,$G1572,IF(OR($H1572=5,$H1572=7),ROUND($G1572*10/11,0),0)))))</f>
        <v/>
      </c>
      <c r="L1572" s="364" t="str">
        <f>IF($G1572="","",IF($H1572=1,ROUND($G1572/23,0),IF($H1572=3,ROUND($G1572/12,0),IF($H1572=5,$G1572-ROUND($G1572*10/11,0),IF($H1572=8,$G1572,0)))))</f>
        <v/>
      </c>
      <c r="M1572" s="364" t="str">
        <f>IF($G1572="","",IF($H1572=1,ROUND($G1572/23,0),IF($H1572=3,ROUND($G1572/12,0),IF($H1572=6,$G1572,IF($H1572=7,$G1572-ROUND($G1572*10/11,0),0)))))</f>
        <v/>
      </c>
      <c r="N1572" s="364" t="str">
        <f>IF($G1572="","",K1572+L1572+M1572)</f>
        <v/>
      </c>
      <c r="O1572" s="365" t="str">
        <f>IF($G1572="","",IFERROR(VLOOKUP($D1572&amp;"|"&amp;$E1572,科目表!$A$5:$B$200,2,FALSE),"※未登録"))</f>
        <v/>
      </c>
      <c r="P1572" s="359" t="str">
        <f>IF(OR($G1572="",$C1572=""),"",IF($B1572="決算整理",13,MOD(MONTH($C1572)-4,12)+1))</f>
        <v/>
      </c>
      <c r="Q1572" s="366" t="str">
        <f>IF($G1572="","",TRIM(IF(J1572+K1572+L1572+M1572&lt;&gt;$G1572,"按分不一致 ","")&amp;IF(O1572="※未登録","科目未登録 ","")&amp;IF(OR($H1572="",ISERROR(MATCH($H1572,{1,2,3,4,5,6,7,8},0))),"経費区分? ","")&amp;IF($I1572="","状態未設定 ","")&amp;IF(AND(OR($I1572="確認済",$I1572="未確認"),$B1572="月例",OR($C1572="",$C1572&lt;DATE(年度+2018,4,1),$C1572&gt;DATE(年度+2019,3,31))),"年度外の日付 ","")&amp;IF(AND(OR($I1572="確認済",$I1572="未確認"),O1572="対象外"),"対象外の科目 ","")))</f>
        <v/>
      </c>
      <c r="R1572" s="366" t="n"/>
    </row>
    <row r="1573">
      <c r="A1573" s="359" t="n"/>
      <c r="B1573" s="360" t="n"/>
      <c r="C1573" s="361" t="n"/>
      <c r="D1573" s="362" t="n"/>
      <c r="E1573" s="362" t="n"/>
      <c r="F1573" s="362" t="n"/>
      <c r="G1573" s="363" t="n"/>
      <c r="H1573" s="360" t="n"/>
      <c r="I1573" s="360" t="n"/>
      <c r="J1573" s="364" t="str">
        <f>IF($G1573="","",IF($H1573=1,$G1573-ROUND($G1573*10/23,0)-2*ROUND($G1573/23,0),IF($H1573=2,$G1573,0)))</f>
        <v/>
      </c>
      <c r="K1573" s="364" t="str">
        <f>IF($G1573="","",IF($H1573=1,ROUND($G1573*10/23,0),IF($H1573=3,$G1573-2*ROUND($G1573/12,0),IF($H1573=4,$G1573,IF(OR($H1573=5,$H1573=7),ROUND($G1573*10/11,0),0)))))</f>
        <v/>
      </c>
      <c r="L1573" s="364" t="str">
        <f>IF($G1573="","",IF($H1573=1,ROUND($G1573/23,0),IF($H1573=3,ROUND($G1573/12,0),IF($H1573=5,$G1573-ROUND($G1573*10/11,0),IF($H1573=8,$G1573,0)))))</f>
        <v/>
      </c>
      <c r="M1573" s="364" t="str">
        <f>IF($G1573="","",IF($H1573=1,ROUND($G1573/23,0),IF($H1573=3,ROUND($G1573/12,0),IF($H1573=6,$G1573,IF($H1573=7,$G1573-ROUND($G1573*10/11,0),0)))))</f>
        <v/>
      </c>
      <c r="N1573" s="364" t="str">
        <f>IF($G1573="","",K1573+L1573+M1573)</f>
        <v/>
      </c>
      <c r="O1573" s="365" t="str">
        <f>IF($G1573="","",IFERROR(VLOOKUP($D1573&amp;"|"&amp;$E1573,科目表!$A$5:$B$200,2,FALSE),"※未登録"))</f>
        <v/>
      </c>
      <c r="P1573" s="359" t="str">
        <f>IF(OR($G1573="",$C1573=""),"",IF($B1573="決算整理",13,MOD(MONTH($C1573)-4,12)+1))</f>
        <v/>
      </c>
      <c r="Q1573" s="366" t="str">
        <f>IF($G1573="","",TRIM(IF(J1573+K1573+L1573+M1573&lt;&gt;$G1573,"按分不一致 ","")&amp;IF(O1573="※未登録","科目未登録 ","")&amp;IF(OR($H1573="",ISERROR(MATCH($H1573,{1,2,3,4,5,6,7,8},0))),"経費区分? ","")&amp;IF($I1573="","状態未設定 ","")&amp;IF(AND(OR($I1573="確認済",$I1573="未確認"),$B1573="月例",OR($C1573="",$C1573&lt;DATE(年度+2018,4,1),$C1573&gt;DATE(年度+2019,3,31))),"年度外の日付 ","")&amp;IF(AND(OR($I1573="確認済",$I1573="未確認"),O1573="対象外"),"対象外の科目 ","")))</f>
        <v/>
      </c>
      <c r="R1573" s="366" t="n"/>
    </row>
    <row r="1574">
      <c r="A1574" s="359" t="n"/>
      <c r="B1574" s="360" t="n"/>
      <c r="C1574" s="361" t="n"/>
      <c r="D1574" s="362" t="n"/>
      <c r="E1574" s="362" t="n"/>
      <c r="F1574" s="362" t="n"/>
      <c r="G1574" s="363" t="n"/>
      <c r="H1574" s="360" t="n"/>
      <c r="I1574" s="360" t="n"/>
      <c r="J1574" s="364" t="str">
        <f>IF($G1574="","",IF($H1574=1,$G1574-ROUND($G1574*10/23,0)-2*ROUND($G1574/23,0),IF($H1574=2,$G1574,0)))</f>
        <v/>
      </c>
      <c r="K1574" s="364" t="str">
        <f>IF($G1574="","",IF($H1574=1,ROUND($G1574*10/23,0),IF($H1574=3,$G1574-2*ROUND($G1574/12,0),IF($H1574=4,$G1574,IF(OR($H1574=5,$H1574=7),ROUND($G1574*10/11,0),0)))))</f>
        <v/>
      </c>
      <c r="L1574" s="364" t="str">
        <f>IF($G1574="","",IF($H1574=1,ROUND($G1574/23,0),IF($H1574=3,ROUND($G1574/12,0),IF($H1574=5,$G1574-ROUND($G1574*10/11,0),IF($H1574=8,$G1574,0)))))</f>
        <v/>
      </c>
      <c r="M1574" s="364" t="str">
        <f>IF($G1574="","",IF($H1574=1,ROUND($G1574/23,0),IF($H1574=3,ROUND($G1574/12,0),IF($H1574=6,$G1574,IF($H1574=7,$G1574-ROUND($G1574*10/11,0),0)))))</f>
        <v/>
      </c>
      <c r="N1574" s="364" t="str">
        <f>IF($G1574="","",K1574+L1574+M1574)</f>
        <v/>
      </c>
      <c r="O1574" s="365" t="str">
        <f>IF($G1574="","",IFERROR(VLOOKUP($D1574&amp;"|"&amp;$E1574,科目表!$A$5:$B$200,2,FALSE),"※未登録"))</f>
        <v/>
      </c>
      <c r="P1574" s="359" t="str">
        <f>IF(OR($G1574="",$C1574=""),"",IF($B1574="決算整理",13,MOD(MONTH($C1574)-4,12)+1))</f>
        <v/>
      </c>
      <c r="Q1574" s="366" t="str">
        <f>IF($G1574="","",TRIM(IF(J1574+K1574+L1574+M1574&lt;&gt;$G1574,"按分不一致 ","")&amp;IF(O1574="※未登録","科目未登録 ","")&amp;IF(OR($H1574="",ISERROR(MATCH($H1574,{1,2,3,4,5,6,7,8},0))),"経費区分? ","")&amp;IF($I1574="","状態未設定 ","")&amp;IF(AND(OR($I1574="確認済",$I1574="未確認"),$B1574="月例",OR($C1574="",$C1574&lt;DATE(年度+2018,4,1),$C1574&gt;DATE(年度+2019,3,31))),"年度外の日付 ","")&amp;IF(AND(OR($I1574="確認済",$I1574="未確認"),O1574="対象外"),"対象外の科目 ","")))</f>
        <v/>
      </c>
      <c r="R1574" s="366" t="n"/>
    </row>
    <row r="1575">
      <c r="A1575" s="359" t="n"/>
      <c r="B1575" s="360" t="n"/>
      <c r="C1575" s="361" t="n"/>
      <c r="D1575" s="362" t="n"/>
      <c r="E1575" s="362" t="n"/>
      <c r="F1575" s="362" t="n"/>
      <c r="G1575" s="363" t="n"/>
      <c r="H1575" s="360" t="n"/>
      <c r="I1575" s="360" t="n"/>
      <c r="J1575" s="364" t="str">
        <f>IF($G1575="","",IF($H1575=1,$G1575-ROUND($G1575*10/23,0)-2*ROUND($G1575/23,0),IF($H1575=2,$G1575,0)))</f>
        <v/>
      </c>
      <c r="K1575" s="364" t="str">
        <f>IF($G1575="","",IF($H1575=1,ROUND($G1575*10/23,0),IF($H1575=3,$G1575-2*ROUND($G1575/12,0),IF($H1575=4,$G1575,IF(OR($H1575=5,$H1575=7),ROUND($G1575*10/11,0),0)))))</f>
        <v/>
      </c>
      <c r="L1575" s="364" t="str">
        <f>IF($G1575="","",IF($H1575=1,ROUND($G1575/23,0),IF($H1575=3,ROUND($G1575/12,0),IF($H1575=5,$G1575-ROUND($G1575*10/11,0),IF($H1575=8,$G1575,0)))))</f>
        <v/>
      </c>
      <c r="M1575" s="364" t="str">
        <f>IF($G1575="","",IF($H1575=1,ROUND($G1575/23,0),IF($H1575=3,ROUND($G1575/12,0),IF($H1575=6,$G1575,IF($H1575=7,$G1575-ROUND($G1575*10/11,0),0)))))</f>
        <v/>
      </c>
      <c r="N1575" s="364" t="str">
        <f>IF($G1575="","",K1575+L1575+M1575)</f>
        <v/>
      </c>
      <c r="O1575" s="365" t="str">
        <f>IF($G1575="","",IFERROR(VLOOKUP($D1575&amp;"|"&amp;$E1575,科目表!$A$5:$B$200,2,FALSE),"※未登録"))</f>
        <v/>
      </c>
      <c r="P1575" s="359" t="str">
        <f>IF(OR($G1575="",$C1575=""),"",IF($B1575="決算整理",13,MOD(MONTH($C1575)-4,12)+1))</f>
        <v/>
      </c>
      <c r="Q1575" s="366" t="str">
        <f>IF($G1575="","",TRIM(IF(J1575+K1575+L1575+M1575&lt;&gt;$G1575,"按分不一致 ","")&amp;IF(O1575="※未登録","科目未登録 ","")&amp;IF(OR($H1575="",ISERROR(MATCH($H1575,{1,2,3,4,5,6,7,8},0))),"経費区分? ","")&amp;IF($I1575="","状態未設定 ","")&amp;IF(AND(OR($I1575="確認済",$I1575="未確認"),$B1575="月例",OR($C1575="",$C1575&lt;DATE(年度+2018,4,1),$C1575&gt;DATE(年度+2019,3,31))),"年度外の日付 ","")&amp;IF(AND(OR($I1575="確認済",$I1575="未確認"),O1575="対象外"),"対象外の科目 ","")))</f>
        <v/>
      </c>
      <c r="R1575" s="366" t="n"/>
    </row>
    <row r="1576">
      <c r="A1576" s="359" t="n"/>
      <c r="B1576" s="360" t="n"/>
      <c r="C1576" s="361" t="n"/>
      <c r="D1576" s="362" t="n"/>
      <c r="E1576" s="362" t="n"/>
      <c r="F1576" s="362" t="n"/>
      <c r="G1576" s="363" t="n"/>
      <c r="H1576" s="360" t="n"/>
      <c r="I1576" s="360" t="n"/>
      <c r="J1576" s="364" t="str">
        <f>IF($G1576="","",IF($H1576=1,$G1576-ROUND($G1576*10/23,0)-2*ROUND($G1576/23,0),IF($H1576=2,$G1576,0)))</f>
        <v/>
      </c>
      <c r="K1576" s="364" t="str">
        <f>IF($G1576="","",IF($H1576=1,ROUND($G1576*10/23,0),IF($H1576=3,$G1576-2*ROUND($G1576/12,0),IF($H1576=4,$G1576,IF(OR($H1576=5,$H1576=7),ROUND($G1576*10/11,0),0)))))</f>
        <v/>
      </c>
      <c r="L1576" s="364" t="str">
        <f>IF($G1576="","",IF($H1576=1,ROUND($G1576/23,0),IF($H1576=3,ROUND($G1576/12,0),IF($H1576=5,$G1576-ROUND($G1576*10/11,0),IF($H1576=8,$G1576,0)))))</f>
        <v/>
      </c>
      <c r="M1576" s="364" t="str">
        <f>IF($G1576="","",IF($H1576=1,ROUND($G1576/23,0),IF($H1576=3,ROUND($G1576/12,0),IF($H1576=6,$G1576,IF($H1576=7,$G1576-ROUND($G1576*10/11,0),0)))))</f>
        <v/>
      </c>
      <c r="N1576" s="364" t="str">
        <f>IF($G1576="","",K1576+L1576+M1576)</f>
        <v/>
      </c>
      <c r="O1576" s="365" t="str">
        <f>IF($G1576="","",IFERROR(VLOOKUP($D1576&amp;"|"&amp;$E1576,科目表!$A$5:$B$200,2,FALSE),"※未登録"))</f>
        <v/>
      </c>
      <c r="P1576" s="359" t="str">
        <f>IF(OR($G1576="",$C1576=""),"",IF($B1576="決算整理",13,MOD(MONTH($C1576)-4,12)+1))</f>
        <v/>
      </c>
      <c r="Q1576" s="366" t="str">
        <f>IF($G1576="","",TRIM(IF(J1576+K1576+L1576+M1576&lt;&gt;$G1576,"按分不一致 ","")&amp;IF(O1576="※未登録","科目未登録 ","")&amp;IF(OR($H1576="",ISERROR(MATCH($H1576,{1,2,3,4,5,6,7,8},0))),"経費区分? ","")&amp;IF($I1576="","状態未設定 ","")&amp;IF(AND(OR($I1576="確認済",$I1576="未確認"),$B1576="月例",OR($C1576="",$C1576&lt;DATE(年度+2018,4,1),$C1576&gt;DATE(年度+2019,3,31))),"年度外の日付 ","")&amp;IF(AND(OR($I1576="確認済",$I1576="未確認"),O1576="対象外"),"対象外の科目 ","")))</f>
        <v/>
      </c>
      <c r="R1576" s="366" t="n"/>
    </row>
    <row r="1577">
      <c r="A1577" s="359" t="n"/>
      <c r="B1577" s="360" t="n"/>
      <c r="C1577" s="361" t="n"/>
      <c r="D1577" s="362" t="n"/>
      <c r="E1577" s="362" t="n"/>
      <c r="F1577" s="362" t="n"/>
      <c r="G1577" s="363" t="n"/>
      <c r="H1577" s="360" t="n"/>
      <c r="I1577" s="360" t="n"/>
      <c r="J1577" s="364" t="str">
        <f>IF($G1577="","",IF($H1577=1,$G1577-ROUND($G1577*10/23,0)-2*ROUND($G1577/23,0),IF($H1577=2,$G1577,0)))</f>
        <v/>
      </c>
      <c r="K1577" s="364" t="str">
        <f>IF($G1577="","",IF($H1577=1,ROUND($G1577*10/23,0),IF($H1577=3,$G1577-2*ROUND($G1577/12,0),IF($H1577=4,$G1577,IF(OR($H1577=5,$H1577=7),ROUND($G1577*10/11,0),0)))))</f>
        <v/>
      </c>
      <c r="L1577" s="364" t="str">
        <f>IF($G1577="","",IF($H1577=1,ROUND($G1577/23,0),IF($H1577=3,ROUND($G1577/12,0),IF($H1577=5,$G1577-ROUND($G1577*10/11,0),IF($H1577=8,$G1577,0)))))</f>
        <v/>
      </c>
      <c r="M1577" s="364" t="str">
        <f>IF($G1577="","",IF($H1577=1,ROUND($G1577/23,0),IF($H1577=3,ROUND($G1577/12,0),IF($H1577=6,$G1577,IF($H1577=7,$G1577-ROUND($G1577*10/11,0),0)))))</f>
        <v/>
      </c>
      <c r="N1577" s="364" t="str">
        <f>IF($G1577="","",K1577+L1577+M1577)</f>
        <v/>
      </c>
      <c r="O1577" s="365" t="str">
        <f>IF($G1577="","",IFERROR(VLOOKUP($D1577&amp;"|"&amp;$E1577,科目表!$A$5:$B$200,2,FALSE),"※未登録"))</f>
        <v/>
      </c>
      <c r="P1577" s="359" t="str">
        <f>IF(OR($G1577="",$C1577=""),"",IF($B1577="決算整理",13,MOD(MONTH($C1577)-4,12)+1))</f>
        <v/>
      </c>
      <c r="Q1577" s="366" t="str">
        <f>IF($G1577="","",TRIM(IF(J1577+K1577+L1577+M1577&lt;&gt;$G1577,"按分不一致 ","")&amp;IF(O1577="※未登録","科目未登録 ","")&amp;IF(OR($H1577="",ISERROR(MATCH($H1577,{1,2,3,4,5,6,7,8},0))),"経費区分? ","")&amp;IF($I1577="","状態未設定 ","")&amp;IF(AND(OR($I1577="確認済",$I1577="未確認"),$B1577="月例",OR($C1577="",$C1577&lt;DATE(年度+2018,4,1),$C1577&gt;DATE(年度+2019,3,31))),"年度外の日付 ","")&amp;IF(AND(OR($I1577="確認済",$I1577="未確認"),O1577="対象外"),"対象外の科目 ","")))</f>
        <v/>
      </c>
      <c r="R1577" s="366" t="n"/>
    </row>
    <row r="1578">
      <c r="A1578" s="359" t="n"/>
      <c r="B1578" s="360" t="n"/>
      <c r="C1578" s="361" t="n"/>
      <c r="D1578" s="362" t="n"/>
      <c r="E1578" s="362" t="n"/>
      <c r="F1578" s="362" t="n"/>
      <c r="G1578" s="363" t="n"/>
      <c r="H1578" s="360" t="n"/>
      <c r="I1578" s="360" t="n"/>
      <c r="J1578" s="364" t="str">
        <f>IF($G1578="","",IF($H1578=1,$G1578-ROUND($G1578*10/23,0)-2*ROUND($G1578/23,0),IF($H1578=2,$G1578,0)))</f>
        <v/>
      </c>
      <c r="K1578" s="364" t="str">
        <f>IF($G1578="","",IF($H1578=1,ROUND($G1578*10/23,0),IF($H1578=3,$G1578-2*ROUND($G1578/12,0),IF($H1578=4,$G1578,IF(OR($H1578=5,$H1578=7),ROUND($G1578*10/11,0),0)))))</f>
        <v/>
      </c>
      <c r="L1578" s="364" t="str">
        <f>IF($G1578="","",IF($H1578=1,ROUND($G1578/23,0),IF($H1578=3,ROUND($G1578/12,0),IF($H1578=5,$G1578-ROUND($G1578*10/11,0),IF($H1578=8,$G1578,0)))))</f>
        <v/>
      </c>
      <c r="M1578" s="364" t="str">
        <f>IF($G1578="","",IF($H1578=1,ROUND($G1578/23,0),IF($H1578=3,ROUND($G1578/12,0),IF($H1578=6,$G1578,IF($H1578=7,$G1578-ROUND($G1578*10/11,0),0)))))</f>
        <v/>
      </c>
      <c r="N1578" s="364" t="str">
        <f>IF($G1578="","",K1578+L1578+M1578)</f>
        <v/>
      </c>
      <c r="O1578" s="365" t="str">
        <f>IF($G1578="","",IFERROR(VLOOKUP($D1578&amp;"|"&amp;$E1578,科目表!$A$5:$B$200,2,FALSE),"※未登録"))</f>
        <v/>
      </c>
      <c r="P1578" s="359" t="str">
        <f>IF(OR($G1578="",$C1578=""),"",IF($B1578="決算整理",13,MOD(MONTH($C1578)-4,12)+1))</f>
        <v/>
      </c>
      <c r="Q1578" s="366" t="str">
        <f>IF($G1578="","",TRIM(IF(J1578+K1578+L1578+M1578&lt;&gt;$G1578,"按分不一致 ","")&amp;IF(O1578="※未登録","科目未登録 ","")&amp;IF(OR($H1578="",ISERROR(MATCH($H1578,{1,2,3,4,5,6,7,8},0))),"経費区分? ","")&amp;IF($I1578="","状態未設定 ","")&amp;IF(AND(OR($I1578="確認済",$I1578="未確認"),$B1578="月例",OR($C1578="",$C1578&lt;DATE(年度+2018,4,1),$C1578&gt;DATE(年度+2019,3,31))),"年度外の日付 ","")&amp;IF(AND(OR($I1578="確認済",$I1578="未確認"),O1578="対象外"),"対象外の科目 ","")))</f>
        <v/>
      </c>
      <c r="R1578" s="366" t="n"/>
    </row>
    <row r="1579">
      <c r="A1579" s="359" t="n"/>
      <c r="B1579" s="360" t="n"/>
      <c r="C1579" s="361" t="n"/>
      <c r="D1579" s="362" t="n"/>
      <c r="E1579" s="362" t="n"/>
      <c r="F1579" s="362" t="n"/>
      <c r="G1579" s="363" t="n"/>
      <c r="H1579" s="360" t="n"/>
      <c r="I1579" s="360" t="n"/>
      <c r="J1579" s="364" t="str">
        <f>IF($G1579="","",IF($H1579=1,$G1579-ROUND($G1579*10/23,0)-2*ROUND($G1579/23,0),IF($H1579=2,$G1579,0)))</f>
        <v/>
      </c>
      <c r="K1579" s="364" t="str">
        <f>IF($G1579="","",IF($H1579=1,ROUND($G1579*10/23,0),IF($H1579=3,$G1579-2*ROUND($G1579/12,0),IF($H1579=4,$G1579,IF(OR($H1579=5,$H1579=7),ROUND($G1579*10/11,0),0)))))</f>
        <v/>
      </c>
      <c r="L1579" s="364" t="str">
        <f>IF($G1579="","",IF($H1579=1,ROUND($G1579/23,0),IF($H1579=3,ROUND($G1579/12,0),IF($H1579=5,$G1579-ROUND($G1579*10/11,0),IF($H1579=8,$G1579,0)))))</f>
        <v/>
      </c>
      <c r="M1579" s="364" t="str">
        <f>IF($G1579="","",IF($H1579=1,ROUND($G1579/23,0),IF($H1579=3,ROUND($G1579/12,0),IF($H1579=6,$G1579,IF($H1579=7,$G1579-ROUND($G1579*10/11,0),0)))))</f>
        <v/>
      </c>
      <c r="N1579" s="364" t="str">
        <f>IF($G1579="","",K1579+L1579+M1579)</f>
        <v/>
      </c>
      <c r="O1579" s="365" t="str">
        <f>IF($G1579="","",IFERROR(VLOOKUP($D1579&amp;"|"&amp;$E1579,科目表!$A$5:$B$200,2,FALSE),"※未登録"))</f>
        <v/>
      </c>
      <c r="P1579" s="359" t="str">
        <f>IF(OR($G1579="",$C1579=""),"",IF($B1579="決算整理",13,MOD(MONTH($C1579)-4,12)+1))</f>
        <v/>
      </c>
      <c r="Q1579" s="366" t="str">
        <f>IF($G1579="","",TRIM(IF(J1579+K1579+L1579+M1579&lt;&gt;$G1579,"按分不一致 ","")&amp;IF(O1579="※未登録","科目未登録 ","")&amp;IF(OR($H1579="",ISERROR(MATCH($H1579,{1,2,3,4,5,6,7,8},0))),"経費区分? ","")&amp;IF($I1579="","状態未設定 ","")&amp;IF(AND(OR($I1579="確認済",$I1579="未確認"),$B1579="月例",OR($C1579="",$C1579&lt;DATE(年度+2018,4,1),$C1579&gt;DATE(年度+2019,3,31))),"年度外の日付 ","")&amp;IF(AND(OR($I1579="確認済",$I1579="未確認"),O1579="対象外"),"対象外の科目 ","")))</f>
        <v/>
      </c>
      <c r="R1579" s="366" t="n"/>
    </row>
    <row r="1580">
      <c r="A1580" s="359" t="n"/>
      <c r="B1580" s="360" t="n"/>
      <c r="C1580" s="361" t="n"/>
      <c r="D1580" s="362" t="n"/>
      <c r="E1580" s="362" t="n"/>
      <c r="F1580" s="362" t="n"/>
      <c r="G1580" s="363" t="n"/>
      <c r="H1580" s="360" t="n"/>
      <c r="I1580" s="360" t="n"/>
      <c r="J1580" s="364" t="str">
        <f>IF($G1580="","",IF($H1580=1,$G1580-ROUND($G1580*10/23,0)-2*ROUND($G1580/23,0),IF($H1580=2,$G1580,0)))</f>
        <v/>
      </c>
      <c r="K1580" s="364" t="str">
        <f>IF($G1580="","",IF($H1580=1,ROUND($G1580*10/23,0),IF($H1580=3,$G1580-2*ROUND($G1580/12,0),IF($H1580=4,$G1580,IF(OR($H1580=5,$H1580=7),ROUND($G1580*10/11,0),0)))))</f>
        <v/>
      </c>
      <c r="L1580" s="364" t="str">
        <f>IF($G1580="","",IF($H1580=1,ROUND($G1580/23,0),IF($H1580=3,ROUND($G1580/12,0),IF($H1580=5,$G1580-ROUND($G1580*10/11,0),IF($H1580=8,$G1580,0)))))</f>
        <v/>
      </c>
      <c r="M1580" s="364" t="str">
        <f>IF($G1580="","",IF($H1580=1,ROUND($G1580/23,0),IF($H1580=3,ROUND($G1580/12,0),IF($H1580=6,$G1580,IF($H1580=7,$G1580-ROUND($G1580*10/11,0),0)))))</f>
        <v/>
      </c>
      <c r="N1580" s="364" t="str">
        <f>IF($G1580="","",K1580+L1580+M1580)</f>
        <v/>
      </c>
      <c r="O1580" s="365" t="str">
        <f>IF($G1580="","",IFERROR(VLOOKUP($D1580&amp;"|"&amp;$E1580,科目表!$A$5:$B$200,2,FALSE),"※未登録"))</f>
        <v/>
      </c>
      <c r="P1580" s="359" t="str">
        <f>IF(OR($G1580="",$C1580=""),"",IF($B1580="決算整理",13,MOD(MONTH($C1580)-4,12)+1))</f>
        <v/>
      </c>
      <c r="Q1580" s="366" t="str">
        <f>IF($G1580="","",TRIM(IF(J1580+K1580+L1580+M1580&lt;&gt;$G1580,"按分不一致 ","")&amp;IF(O1580="※未登録","科目未登録 ","")&amp;IF(OR($H1580="",ISERROR(MATCH($H1580,{1,2,3,4,5,6,7,8},0))),"経費区分? ","")&amp;IF($I1580="","状態未設定 ","")&amp;IF(AND(OR($I1580="確認済",$I1580="未確認"),$B1580="月例",OR($C1580="",$C1580&lt;DATE(年度+2018,4,1),$C1580&gt;DATE(年度+2019,3,31))),"年度外の日付 ","")&amp;IF(AND(OR($I1580="確認済",$I1580="未確認"),O1580="対象外"),"対象外の科目 ","")))</f>
        <v/>
      </c>
      <c r="R1580" s="366" t="n"/>
    </row>
    <row r="1581">
      <c r="A1581" s="359" t="n"/>
      <c r="B1581" s="360" t="n"/>
      <c r="C1581" s="361" t="n"/>
      <c r="D1581" s="362" t="n"/>
      <c r="E1581" s="362" t="n"/>
      <c r="F1581" s="362" t="n"/>
      <c r="G1581" s="363" t="n"/>
      <c r="H1581" s="360" t="n"/>
      <c r="I1581" s="360" t="n"/>
      <c r="J1581" s="364" t="str">
        <f>IF($G1581="","",IF($H1581=1,$G1581-ROUND($G1581*10/23,0)-2*ROUND($G1581/23,0),IF($H1581=2,$G1581,0)))</f>
        <v/>
      </c>
      <c r="K1581" s="364" t="str">
        <f>IF($G1581="","",IF($H1581=1,ROUND($G1581*10/23,0),IF($H1581=3,$G1581-2*ROUND($G1581/12,0),IF($H1581=4,$G1581,IF(OR($H1581=5,$H1581=7),ROUND($G1581*10/11,0),0)))))</f>
        <v/>
      </c>
      <c r="L1581" s="364" t="str">
        <f>IF($G1581="","",IF($H1581=1,ROUND($G1581/23,0),IF($H1581=3,ROUND($G1581/12,0),IF($H1581=5,$G1581-ROUND($G1581*10/11,0),IF($H1581=8,$G1581,0)))))</f>
        <v/>
      </c>
      <c r="M1581" s="364" t="str">
        <f>IF($G1581="","",IF($H1581=1,ROUND($G1581/23,0),IF($H1581=3,ROUND($G1581/12,0),IF($H1581=6,$G1581,IF($H1581=7,$G1581-ROUND($G1581*10/11,0),0)))))</f>
        <v/>
      </c>
      <c r="N1581" s="364" t="str">
        <f>IF($G1581="","",K1581+L1581+M1581)</f>
        <v/>
      </c>
      <c r="O1581" s="365" t="str">
        <f>IF($G1581="","",IFERROR(VLOOKUP($D1581&amp;"|"&amp;$E1581,科目表!$A$5:$B$200,2,FALSE),"※未登録"))</f>
        <v/>
      </c>
      <c r="P1581" s="359" t="str">
        <f>IF(OR($G1581="",$C1581=""),"",IF($B1581="決算整理",13,MOD(MONTH($C1581)-4,12)+1))</f>
        <v/>
      </c>
      <c r="Q1581" s="366" t="str">
        <f>IF($G1581="","",TRIM(IF(J1581+K1581+L1581+M1581&lt;&gt;$G1581,"按分不一致 ","")&amp;IF(O1581="※未登録","科目未登録 ","")&amp;IF(OR($H1581="",ISERROR(MATCH($H1581,{1,2,3,4,5,6,7,8},0))),"経費区分? ","")&amp;IF($I1581="","状態未設定 ","")&amp;IF(AND(OR($I1581="確認済",$I1581="未確認"),$B1581="月例",OR($C1581="",$C1581&lt;DATE(年度+2018,4,1),$C1581&gt;DATE(年度+2019,3,31))),"年度外の日付 ","")&amp;IF(AND(OR($I1581="確認済",$I1581="未確認"),O1581="対象外"),"対象外の科目 ","")))</f>
        <v/>
      </c>
      <c r="R1581" s="366" t="n"/>
    </row>
    <row r="1582">
      <c r="A1582" s="359" t="n"/>
      <c r="B1582" s="360" t="n"/>
      <c r="C1582" s="361" t="n"/>
      <c r="D1582" s="362" t="n"/>
      <c r="E1582" s="362" t="n"/>
      <c r="F1582" s="362" t="n"/>
      <c r="G1582" s="363" t="n"/>
      <c r="H1582" s="360" t="n"/>
      <c r="I1582" s="360" t="n"/>
      <c r="J1582" s="364" t="str">
        <f>IF($G1582="","",IF($H1582=1,$G1582-ROUND($G1582*10/23,0)-2*ROUND($G1582/23,0),IF($H1582=2,$G1582,0)))</f>
        <v/>
      </c>
      <c r="K1582" s="364" t="str">
        <f>IF($G1582="","",IF($H1582=1,ROUND($G1582*10/23,0),IF($H1582=3,$G1582-2*ROUND($G1582/12,0),IF($H1582=4,$G1582,IF(OR($H1582=5,$H1582=7),ROUND($G1582*10/11,0),0)))))</f>
        <v/>
      </c>
      <c r="L1582" s="364" t="str">
        <f>IF($G1582="","",IF($H1582=1,ROUND($G1582/23,0),IF($H1582=3,ROUND($G1582/12,0),IF($H1582=5,$G1582-ROUND($G1582*10/11,0),IF($H1582=8,$G1582,0)))))</f>
        <v/>
      </c>
      <c r="M1582" s="364" t="str">
        <f>IF($G1582="","",IF($H1582=1,ROUND($G1582/23,0),IF($H1582=3,ROUND($G1582/12,0),IF($H1582=6,$G1582,IF($H1582=7,$G1582-ROUND($G1582*10/11,0),0)))))</f>
        <v/>
      </c>
      <c r="N1582" s="364" t="str">
        <f>IF($G1582="","",K1582+L1582+M1582)</f>
        <v/>
      </c>
      <c r="O1582" s="365" t="str">
        <f>IF($G1582="","",IFERROR(VLOOKUP($D1582&amp;"|"&amp;$E1582,科目表!$A$5:$B$200,2,FALSE),"※未登録"))</f>
        <v/>
      </c>
      <c r="P1582" s="359" t="str">
        <f>IF(OR($G1582="",$C1582=""),"",IF($B1582="決算整理",13,MOD(MONTH($C1582)-4,12)+1))</f>
        <v/>
      </c>
      <c r="Q1582" s="366" t="str">
        <f>IF($G1582="","",TRIM(IF(J1582+K1582+L1582+M1582&lt;&gt;$G1582,"按分不一致 ","")&amp;IF(O1582="※未登録","科目未登録 ","")&amp;IF(OR($H1582="",ISERROR(MATCH($H1582,{1,2,3,4,5,6,7,8},0))),"経費区分? ","")&amp;IF($I1582="","状態未設定 ","")&amp;IF(AND(OR($I1582="確認済",$I1582="未確認"),$B1582="月例",OR($C1582="",$C1582&lt;DATE(年度+2018,4,1),$C1582&gt;DATE(年度+2019,3,31))),"年度外の日付 ","")&amp;IF(AND(OR($I1582="確認済",$I1582="未確認"),O1582="対象外"),"対象外の科目 ","")))</f>
        <v/>
      </c>
      <c r="R1582" s="366" t="n"/>
    </row>
    <row r="1583">
      <c r="A1583" s="359" t="n"/>
      <c r="B1583" s="360" t="n"/>
      <c r="C1583" s="361" t="n"/>
      <c r="D1583" s="362" t="n"/>
      <c r="E1583" s="362" t="n"/>
      <c r="F1583" s="362" t="n"/>
      <c r="G1583" s="363" t="n"/>
      <c r="H1583" s="360" t="n"/>
      <c r="I1583" s="360" t="n"/>
      <c r="J1583" s="364" t="str">
        <f>IF($G1583="","",IF($H1583=1,$G1583-ROUND($G1583*10/23,0)-2*ROUND($G1583/23,0),IF($H1583=2,$G1583,0)))</f>
        <v/>
      </c>
      <c r="K1583" s="364" t="str">
        <f>IF($G1583="","",IF($H1583=1,ROUND($G1583*10/23,0),IF($H1583=3,$G1583-2*ROUND($G1583/12,0),IF($H1583=4,$G1583,IF(OR($H1583=5,$H1583=7),ROUND($G1583*10/11,0),0)))))</f>
        <v/>
      </c>
      <c r="L1583" s="364" t="str">
        <f>IF($G1583="","",IF($H1583=1,ROUND($G1583/23,0),IF($H1583=3,ROUND($G1583/12,0),IF($H1583=5,$G1583-ROUND($G1583*10/11,0),IF($H1583=8,$G1583,0)))))</f>
        <v/>
      </c>
      <c r="M1583" s="364" t="str">
        <f>IF($G1583="","",IF($H1583=1,ROUND($G1583/23,0),IF($H1583=3,ROUND($G1583/12,0),IF($H1583=6,$G1583,IF($H1583=7,$G1583-ROUND($G1583*10/11,0),0)))))</f>
        <v/>
      </c>
      <c r="N1583" s="364" t="str">
        <f>IF($G1583="","",K1583+L1583+M1583)</f>
        <v/>
      </c>
      <c r="O1583" s="365" t="str">
        <f>IF($G1583="","",IFERROR(VLOOKUP($D1583&amp;"|"&amp;$E1583,科目表!$A$5:$B$200,2,FALSE),"※未登録"))</f>
        <v/>
      </c>
      <c r="P1583" s="359" t="str">
        <f>IF(OR($G1583="",$C1583=""),"",IF($B1583="決算整理",13,MOD(MONTH($C1583)-4,12)+1))</f>
        <v/>
      </c>
      <c r="Q1583" s="366" t="str">
        <f>IF($G1583="","",TRIM(IF(J1583+K1583+L1583+M1583&lt;&gt;$G1583,"按分不一致 ","")&amp;IF(O1583="※未登録","科目未登録 ","")&amp;IF(OR($H1583="",ISERROR(MATCH($H1583,{1,2,3,4,5,6,7,8},0))),"経費区分? ","")&amp;IF($I1583="","状態未設定 ","")&amp;IF(AND(OR($I1583="確認済",$I1583="未確認"),$B1583="月例",OR($C1583="",$C1583&lt;DATE(年度+2018,4,1),$C1583&gt;DATE(年度+2019,3,31))),"年度外の日付 ","")&amp;IF(AND(OR($I1583="確認済",$I1583="未確認"),O1583="対象外"),"対象外の科目 ","")))</f>
        <v/>
      </c>
      <c r="R1583" s="366" t="n"/>
    </row>
    <row r="1584">
      <c r="A1584" s="359" t="n"/>
      <c r="B1584" s="360" t="n"/>
      <c r="C1584" s="361" t="n"/>
      <c r="D1584" s="362" t="n"/>
      <c r="E1584" s="362" t="n"/>
      <c r="F1584" s="362" t="n"/>
      <c r="G1584" s="363" t="n"/>
      <c r="H1584" s="360" t="n"/>
      <c r="I1584" s="360" t="n"/>
      <c r="J1584" s="364" t="str">
        <f>IF($G1584="","",IF($H1584=1,$G1584-ROUND($G1584*10/23,0)-2*ROUND($G1584/23,0),IF($H1584=2,$G1584,0)))</f>
        <v/>
      </c>
      <c r="K1584" s="364" t="str">
        <f>IF($G1584="","",IF($H1584=1,ROUND($G1584*10/23,0),IF($H1584=3,$G1584-2*ROUND($G1584/12,0),IF($H1584=4,$G1584,IF(OR($H1584=5,$H1584=7),ROUND($G1584*10/11,0),0)))))</f>
        <v/>
      </c>
      <c r="L1584" s="364" t="str">
        <f>IF($G1584="","",IF($H1584=1,ROUND($G1584/23,0),IF($H1584=3,ROUND($G1584/12,0),IF($H1584=5,$G1584-ROUND($G1584*10/11,0),IF($H1584=8,$G1584,0)))))</f>
        <v/>
      </c>
      <c r="M1584" s="364" t="str">
        <f>IF($G1584="","",IF($H1584=1,ROUND($G1584/23,0),IF($H1584=3,ROUND($G1584/12,0),IF($H1584=6,$G1584,IF($H1584=7,$G1584-ROUND($G1584*10/11,0),0)))))</f>
        <v/>
      </c>
      <c r="N1584" s="364" t="str">
        <f>IF($G1584="","",K1584+L1584+M1584)</f>
        <v/>
      </c>
      <c r="O1584" s="365" t="str">
        <f>IF($G1584="","",IFERROR(VLOOKUP($D1584&amp;"|"&amp;$E1584,科目表!$A$5:$B$200,2,FALSE),"※未登録"))</f>
        <v/>
      </c>
      <c r="P1584" s="359" t="str">
        <f>IF(OR($G1584="",$C1584=""),"",IF($B1584="決算整理",13,MOD(MONTH($C1584)-4,12)+1))</f>
        <v/>
      </c>
      <c r="Q1584" s="366" t="str">
        <f>IF($G1584="","",TRIM(IF(J1584+K1584+L1584+M1584&lt;&gt;$G1584,"按分不一致 ","")&amp;IF(O1584="※未登録","科目未登録 ","")&amp;IF(OR($H1584="",ISERROR(MATCH($H1584,{1,2,3,4,5,6,7,8},0))),"経費区分? ","")&amp;IF($I1584="","状態未設定 ","")&amp;IF(AND(OR($I1584="確認済",$I1584="未確認"),$B1584="月例",OR($C1584="",$C1584&lt;DATE(年度+2018,4,1),$C1584&gt;DATE(年度+2019,3,31))),"年度外の日付 ","")&amp;IF(AND(OR($I1584="確認済",$I1584="未確認"),O1584="対象外"),"対象外の科目 ","")))</f>
        <v/>
      </c>
      <c r="R1584" s="366" t="n"/>
    </row>
    <row r="1585">
      <c r="A1585" s="359" t="n"/>
      <c r="B1585" s="360" t="n"/>
      <c r="C1585" s="361" t="n"/>
      <c r="D1585" s="362" t="n"/>
      <c r="E1585" s="362" t="n"/>
      <c r="F1585" s="362" t="n"/>
      <c r="G1585" s="363" t="n"/>
      <c r="H1585" s="360" t="n"/>
      <c r="I1585" s="360" t="n"/>
      <c r="J1585" s="364" t="str">
        <f>IF($G1585="","",IF($H1585=1,$G1585-ROUND($G1585*10/23,0)-2*ROUND($G1585/23,0),IF($H1585=2,$G1585,0)))</f>
        <v/>
      </c>
      <c r="K1585" s="364" t="str">
        <f>IF($G1585="","",IF($H1585=1,ROUND($G1585*10/23,0),IF($H1585=3,$G1585-2*ROUND($G1585/12,0),IF($H1585=4,$G1585,IF(OR($H1585=5,$H1585=7),ROUND($G1585*10/11,0),0)))))</f>
        <v/>
      </c>
      <c r="L1585" s="364" t="str">
        <f>IF($G1585="","",IF($H1585=1,ROUND($G1585/23,0),IF($H1585=3,ROUND($G1585/12,0),IF($H1585=5,$G1585-ROUND($G1585*10/11,0),IF($H1585=8,$G1585,0)))))</f>
        <v/>
      </c>
      <c r="M1585" s="364" t="str">
        <f>IF($G1585="","",IF($H1585=1,ROUND($G1585/23,0),IF($H1585=3,ROUND($G1585/12,0),IF($H1585=6,$G1585,IF($H1585=7,$G1585-ROUND($G1585*10/11,0),0)))))</f>
        <v/>
      </c>
      <c r="N1585" s="364" t="str">
        <f>IF($G1585="","",K1585+L1585+M1585)</f>
        <v/>
      </c>
      <c r="O1585" s="365" t="str">
        <f>IF($G1585="","",IFERROR(VLOOKUP($D1585&amp;"|"&amp;$E1585,科目表!$A$5:$B$200,2,FALSE),"※未登録"))</f>
        <v/>
      </c>
      <c r="P1585" s="359" t="str">
        <f>IF(OR($G1585="",$C1585=""),"",IF($B1585="決算整理",13,MOD(MONTH($C1585)-4,12)+1))</f>
        <v/>
      </c>
      <c r="Q1585" s="366" t="str">
        <f>IF($G1585="","",TRIM(IF(J1585+K1585+L1585+M1585&lt;&gt;$G1585,"按分不一致 ","")&amp;IF(O1585="※未登録","科目未登録 ","")&amp;IF(OR($H1585="",ISERROR(MATCH($H1585,{1,2,3,4,5,6,7,8},0))),"経費区分? ","")&amp;IF($I1585="","状態未設定 ","")&amp;IF(AND(OR($I1585="確認済",$I1585="未確認"),$B1585="月例",OR($C1585="",$C1585&lt;DATE(年度+2018,4,1),$C1585&gt;DATE(年度+2019,3,31))),"年度外の日付 ","")&amp;IF(AND(OR($I1585="確認済",$I1585="未確認"),O1585="対象外"),"対象外の科目 ","")))</f>
        <v/>
      </c>
      <c r="R1585" s="366" t="n"/>
    </row>
    <row r="1586">
      <c r="A1586" s="359" t="n"/>
      <c r="B1586" s="360" t="n"/>
      <c r="C1586" s="361" t="n"/>
      <c r="D1586" s="362" t="n"/>
      <c r="E1586" s="362" t="n"/>
      <c r="F1586" s="362" t="n"/>
      <c r="G1586" s="363" t="n"/>
      <c r="H1586" s="360" t="n"/>
      <c r="I1586" s="360" t="n"/>
      <c r="J1586" s="364" t="str">
        <f>IF($G1586="","",IF($H1586=1,$G1586-ROUND($G1586*10/23,0)-2*ROUND($G1586/23,0),IF($H1586=2,$G1586,0)))</f>
        <v/>
      </c>
      <c r="K1586" s="364" t="str">
        <f>IF($G1586="","",IF($H1586=1,ROUND($G1586*10/23,0),IF($H1586=3,$G1586-2*ROUND($G1586/12,0),IF($H1586=4,$G1586,IF(OR($H1586=5,$H1586=7),ROUND($G1586*10/11,0),0)))))</f>
        <v/>
      </c>
      <c r="L1586" s="364" t="str">
        <f>IF($G1586="","",IF($H1586=1,ROUND($G1586/23,0),IF($H1586=3,ROUND($G1586/12,0),IF($H1586=5,$G1586-ROUND($G1586*10/11,0),IF($H1586=8,$G1586,0)))))</f>
        <v/>
      </c>
      <c r="M1586" s="364" t="str">
        <f>IF($G1586="","",IF($H1586=1,ROUND($G1586/23,0),IF($H1586=3,ROUND($G1586/12,0),IF($H1586=6,$G1586,IF($H1586=7,$G1586-ROUND($G1586*10/11,0),0)))))</f>
        <v/>
      </c>
      <c r="N1586" s="364" t="str">
        <f>IF($G1586="","",K1586+L1586+M1586)</f>
        <v/>
      </c>
      <c r="O1586" s="365" t="str">
        <f>IF($G1586="","",IFERROR(VLOOKUP($D1586&amp;"|"&amp;$E1586,科目表!$A$5:$B$200,2,FALSE),"※未登録"))</f>
        <v/>
      </c>
      <c r="P1586" s="359" t="str">
        <f>IF(OR($G1586="",$C1586=""),"",IF($B1586="決算整理",13,MOD(MONTH($C1586)-4,12)+1))</f>
        <v/>
      </c>
      <c r="Q1586" s="366" t="str">
        <f>IF($G1586="","",TRIM(IF(J1586+K1586+L1586+M1586&lt;&gt;$G1586,"按分不一致 ","")&amp;IF(O1586="※未登録","科目未登録 ","")&amp;IF(OR($H1586="",ISERROR(MATCH($H1586,{1,2,3,4,5,6,7,8},0))),"経費区分? ","")&amp;IF($I1586="","状態未設定 ","")&amp;IF(AND(OR($I1586="確認済",$I1586="未確認"),$B1586="月例",OR($C1586="",$C1586&lt;DATE(年度+2018,4,1),$C1586&gt;DATE(年度+2019,3,31))),"年度外の日付 ","")&amp;IF(AND(OR($I1586="確認済",$I1586="未確認"),O1586="対象外"),"対象外の科目 ","")))</f>
        <v/>
      </c>
      <c r="R1586" s="366" t="n"/>
    </row>
    <row r="1587">
      <c r="A1587" s="359" t="n"/>
      <c r="B1587" s="360" t="n"/>
      <c r="C1587" s="361" t="n"/>
      <c r="D1587" s="362" t="n"/>
      <c r="E1587" s="362" t="n"/>
      <c r="F1587" s="362" t="n"/>
      <c r="G1587" s="363" t="n"/>
      <c r="H1587" s="360" t="n"/>
      <c r="I1587" s="360" t="n"/>
      <c r="J1587" s="364" t="str">
        <f>IF($G1587="","",IF($H1587=1,$G1587-ROUND($G1587*10/23,0)-2*ROUND($G1587/23,0),IF($H1587=2,$G1587,0)))</f>
        <v/>
      </c>
      <c r="K1587" s="364" t="str">
        <f>IF($G1587="","",IF($H1587=1,ROUND($G1587*10/23,0),IF($H1587=3,$G1587-2*ROUND($G1587/12,0),IF($H1587=4,$G1587,IF(OR($H1587=5,$H1587=7),ROUND($G1587*10/11,0),0)))))</f>
        <v/>
      </c>
      <c r="L1587" s="364" t="str">
        <f>IF($G1587="","",IF($H1587=1,ROUND($G1587/23,0),IF($H1587=3,ROUND($G1587/12,0),IF($H1587=5,$G1587-ROUND($G1587*10/11,0),IF($H1587=8,$G1587,0)))))</f>
        <v/>
      </c>
      <c r="M1587" s="364" t="str">
        <f>IF($G1587="","",IF($H1587=1,ROUND($G1587/23,0),IF($H1587=3,ROUND($G1587/12,0),IF($H1587=6,$G1587,IF($H1587=7,$G1587-ROUND($G1587*10/11,0),0)))))</f>
        <v/>
      </c>
      <c r="N1587" s="364" t="str">
        <f>IF($G1587="","",K1587+L1587+M1587)</f>
        <v/>
      </c>
      <c r="O1587" s="365" t="str">
        <f>IF($G1587="","",IFERROR(VLOOKUP($D1587&amp;"|"&amp;$E1587,科目表!$A$5:$B$200,2,FALSE),"※未登録"))</f>
        <v/>
      </c>
      <c r="P1587" s="359" t="str">
        <f>IF(OR($G1587="",$C1587=""),"",IF($B1587="決算整理",13,MOD(MONTH($C1587)-4,12)+1))</f>
        <v/>
      </c>
      <c r="Q1587" s="366" t="str">
        <f>IF($G1587="","",TRIM(IF(J1587+K1587+L1587+M1587&lt;&gt;$G1587,"按分不一致 ","")&amp;IF(O1587="※未登録","科目未登録 ","")&amp;IF(OR($H1587="",ISERROR(MATCH($H1587,{1,2,3,4,5,6,7,8},0))),"経費区分? ","")&amp;IF($I1587="","状態未設定 ","")&amp;IF(AND(OR($I1587="確認済",$I1587="未確認"),$B1587="月例",OR($C1587="",$C1587&lt;DATE(年度+2018,4,1),$C1587&gt;DATE(年度+2019,3,31))),"年度外の日付 ","")&amp;IF(AND(OR($I1587="確認済",$I1587="未確認"),O1587="対象外"),"対象外の科目 ","")))</f>
        <v/>
      </c>
      <c r="R1587" s="366" t="n"/>
    </row>
    <row r="1588">
      <c r="A1588" s="359" t="n"/>
      <c r="B1588" s="360" t="n"/>
      <c r="C1588" s="361" t="n"/>
      <c r="D1588" s="362" t="n"/>
      <c r="E1588" s="362" t="n"/>
      <c r="F1588" s="362" t="n"/>
      <c r="G1588" s="363" t="n"/>
      <c r="H1588" s="360" t="n"/>
      <c r="I1588" s="360" t="n"/>
      <c r="J1588" s="364" t="str">
        <f>IF($G1588="","",IF($H1588=1,$G1588-ROUND($G1588*10/23,0)-2*ROUND($G1588/23,0),IF($H1588=2,$G1588,0)))</f>
        <v/>
      </c>
      <c r="K1588" s="364" t="str">
        <f>IF($G1588="","",IF($H1588=1,ROUND($G1588*10/23,0),IF($H1588=3,$G1588-2*ROUND($G1588/12,0),IF($H1588=4,$G1588,IF(OR($H1588=5,$H1588=7),ROUND($G1588*10/11,0),0)))))</f>
        <v/>
      </c>
      <c r="L1588" s="364" t="str">
        <f>IF($G1588="","",IF($H1588=1,ROUND($G1588/23,0),IF($H1588=3,ROUND($G1588/12,0),IF($H1588=5,$G1588-ROUND($G1588*10/11,0),IF($H1588=8,$G1588,0)))))</f>
        <v/>
      </c>
      <c r="M1588" s="364" t="str">
        <f>IF($G1588="","",IF($H1588=1,ROUND($G1588/23,0),IF($H1588=3,ROUND($G1588/12,0),IF($H1588=6,$G1588,IF($H1588=7,$G1588-ROUND($G1588*10/11,0),0)))))</f>
        <v/>
      </c>
      <c r="N1588" s="364" t="str">
        <f>IF($G1588="","",K1588+L1588+M1588)</f>
        <v/>
      </c>
      <c r="O1588" s="365" t="str">
        <f>IF($G1588="","",IFERROR(VLOOKUP($D1588&amp;"|"&amp;$E1588,科目表!$A$5:$B$200,2,FALSE),"※未登録"))</f>
        <v/>
      </c>
      <c r="P1588" s="359" t="str">
        <f>IF(OR($G1588="",$C1588=""),"",IF($B1588="決算整理",13,MOD(MONTH($C1588)-4,12)+1))</f>
        <v/>
      </c>
      <c r="Q1588" s="366" t="str">
        <f>IF($G1588="","",TRIM(IF(J1588+K1588+L1588+M1588&lt;&gt;$G1588,"按分不一致 ","")&amp;IF(O1588="※未登録","科目未登録 ","")&amp;IF(OR($H1588="",ISERROR(MATCH($H1588,{1,2,3,4,5,6,7,8},0))),"経費区分? ","")&amp;IF($I1588="","状態未設定 ","")&amp;IF(AND(OR($I1588="確認済",$I1588="未確認"),$B1588="月例",OR($C1588="",$C1588&lt;DATE(年度+2018,4,1),$C1588&gt;DATE(年度+2019,3,31))),"年度外の日付 ","")&amp;IF(AND(OR($I1588="確認済",$I1588="未確認"),O1588="対象外"),"対象外の科目 ","")))</f>
        <v/>
      </c>
      <c r="R1588" s="366" t="n"/>
    </row>
    <row r="1589">
      <c r="A1589" s="359" t="n"/>
      <c r="B1589" s="360" t="n"/>
      <c r="C1589" s="361" t="n"/>
      <c r="D1589" s="362" t="n"/>
      <c r="E1589" s="362" t="n"/>
      <c r="F1589" s="362" t="n"/>
      <c r="G1589" s="363" t="n"/>
      <c r="H1589" s="360" t="n"/>
      <c r="I1589" s="360" t="n"/>
      <c r="J1589" s="364" t="str">
        <f>IF($G1589="","",IF($H1589=1,$G1589-ROUND($G1589*10/23,0)-2*ROUND($G1589/23,0),IF($H1589=2,$G1589,0)))</f>
        <v/>
      </c>
      <c r="K1589" s="364" t="str">
        <f>IF($G1589="","",IF($H1589=1,ROUND($G1589*10/23,0),IF($H1589=3,$G1589-2*ROUND($G1589/12,0),IF($H1589=4,$G1589,IF(OR($H1589=5,$H1589=7),ROUND($G1589*10/11,0),0)))))</f>
        <v/>
      </c>
      <c r="L1589" s="364" t="str">
        <f>IF($G1589="","",IF($H1589=1,ROUND($G1589/23,0),IF($H1589=3,ROUND($G1589/12,0),IF($H1589=5,$G1589-ROUND($G1589*10/11,0),IF($H1589=8,$G1589,0)))))</f>
        <v/>
      </c>
      <c r="M1589" s="364" t="str">
        <f>IF($G1589="","",IF($H1589=1,ROUND($G1589/23,0),IF($H1589=3,ROUND($G1589/12,0),IF($H1589=6,$G1589,IF($H1589=7,$G1589-ROUND($G1589*10/11,0),0)))))</f>
        <v/>
      </c>
      <c r="N1589" s="364" t="str">
        <f>IF($G1589="","",K1589+L1589+M1589)</f>
        <v/>
      </c>
      <c r="O1589" s="365" t="str">
        <f>IF($G1589="","",IFERROR(VLOOKUP($D1589&amp;"|"&amp;$E1589,科目表!$A$5:$B$200,2,FALSE),"※未登録"))</f>
        <v/>
      </c>
      <c r="P1589" s="359" t="str">
        <f>IF(OR($G1589="",$C1589=""),"",IF($B1589="決算整理",13,MOD(MONTH($C1589)-4,12)+1))</f>
        <v/>
      </c>
      <c r="Q1589" s="366" t="str">
        <f>IF($G1589="","",TRIM(IF(J1589+K1589+L1589+M1589&lt;&gt;$G1589,"按分不一致 ","")&amp;IF(O1589="※未登録","科目未登録 ","")&amp;IF(OR($H1589="",ISERROR(MATCH($H1589,{1,2,3,4,5,6,7,8},0))),"経費区分? ","")&amp;IF($I1589="","状態未設定 ","")&amp;IF(AND(OR($I1589="確認済",$I1589="未確認"),$B1589="月例",OR($C1589="",$C1589&lt;DATE(年度+2018,4,1),$C1589&gt;DATE(年度+2019,3,31))),"年度外の日付 ","")&amp;IF(AND(OR($I1589="確認済",$I1589="未確認"),O1589="対象外"),"対象外の科目 ","")))</f>
        <v/>
      </c>
      <c r="R1589" s="366" t="n"/>
    </row>
    <row r="1590">
      <c r="A1590" s="359" t="n"/>
      <c r="B1590" s="360" t="n"/>
      <c r="C1590" s="361" t="n"/>
      <c r="D1590" s="362" t="n"/>
      <c r="E1590" s="362" t="n"/>
      <c r="F1590" s="362" t="n"/>
      <c r="G1590" s="363" t="n"/>
      <c r="H1590" s="360" t="n"/>
      <c r="I1590" s="360" t="n"/>
      <c r="J1590" s="364" t="str">
        <f>IF($G1590="","",IF($H1590=1,$G1590-ROUND($G1590*10/23,0)-2*ROUND($G1590/23,0),IF($H1590=2,$G1590,0)))</f>
        <v/>
      </c>
      <c r="K1590" s="364" t="str">
        <f>IF($G1590="","",IF($H1590=1,ROUND($G1590*10/23,0),IF($H1590=3,$G1590-2*ROUND($G1590/12,0),IF($H1590=4,$G1590,IF(OR($H1590=5,$H1590=7),ROUND($G1590*10/11,0),0)))))</f>
        <v/>
      </c>
      <c r="L1590" s="364" t="str">
        <f>IF($G1590="","",IF($H1590=1,ROUND($G1590/23,0),IF($H1590=3,ROUND($G1590/12,0),IF($H1590=5,$G1590-ROUND($G1590*10/11,0),IF($H1590=8,$G1590,0)))))</f>
        <v/>
      </c>
      <c r="M1590" s="364" t="str">
        <f>IF($G1590="","",IF($H1590=1,ROUND($G1590/23,0),IF($H1590=3,ROUND($G1590/12,0),IF($H1590=6,$G1590,IF($H1590=7,$G1590-ROUND($G1590*10/11,0),0)))))</f>
        <v/>
      </c>
      <c r="N1590" s="364" t="str">
        <f>IF($G1590="","",K1590+L1590+M1590)</f>
        <v/>
      </c>
      <c r="O1590" s="365" t="str">
        <f>IF($G1590="","",IFERROR(VLOOKUP($D1590&amp;"|"&amp;$E1590,科目表!$A$5:$B$200,2,FALSE),"※未登録"))</f>
        <v/>
      </c>
      <c r="P1590" s="359" t="str">
        <f>IF(OR($G1590="",$C1590=""),"",IF($B1590="決算整理",13,MOD(MONTH($C1590)-4,12)+1))</f>
        <v/>
      </c>
      <c r="Q1590" s="366" t="str">
        <f>IF($G1590="","",TRIM(IF(J1590+K1590+L1590+M1590&lt;&gt;$G1590,"按分不一致 ","")&amp;IF(O1590="※未登録","科目未登録 ","")&amp;IF(OR($H1590="",ISERROR(MATCH($H1590,{1,2,3,4,5,6,7,8},0))),"経費区分? ","")&amp;IF($I1590="","状態未設定 ","")&amp;IF(AND(OR($I1590="確認済",$I1590="未確認"),$B1590="月例",OR($C1590="",$C1590&lt;DATE(年度+2018,4,1),$C1590&gt;DATE(年度+2019,3,31))),"年度外の日付 ","")&amp;IF(AND(OR($I1590="確認済",$I1590="未確認"),O1590="対象外"),"対象外の科目 ","")))</f>
        <v/>
      </c>
      <c r="R1590" s="366" t="n"/>
    </row>
    <row r="1591">
      <c r="A1591" s="359" t="n"/>
      <c r="B1591" s="360" t="n"/>
      <c r="C1591" s="361" t="n"/>
      <c r="D1591" s="362" t="n"/>
      <c r="E1591" s="362" t="n"/>
      <c r="F1591" s="362" t="n"/>
      <c r="G1591" s="363" t="n"/>
      <c r="H1591" s="360" t="n"/>
      <c r="I1591" s="360" t="n"/>
      <c r="J1591" s="364" t="str">
        <f>IF($G1591="","",IF($H1591=1,$G1591-ROUND($G1591*10/23,0)-2*ROUND($G1591/23,0),IF($H1591=2,$G1591,0)))</f>
        <v/>
      </c>
      <c r="K1591" s="364" t="str">
        <f>IF($G1591="","",IF($H1591=1,ROUND($G1591*10/23,0),IF($H1591=3,$G1591-2*ROUND($G1591/12,0),IF($H1591=4,$G1591,IF(OR($H1591=5,$H1591=7),ROUND($G1591*10/11,0),0)))))</f>
        <v/>
      </c>
      <c r="L1591" s="364" t="str">
        <f>IF($G1591="","",IF($H1591=1,ROUND($G1591/23,0),IF($H1591=3,ROUND($G1591/12,0),IF($H1591=5,$G1591-ROUND($G1591*10/11,0),IF($H1591=8,$G1591,0)))))</f>
        <v/>
      </c>
      <c r="M1591" s="364" t="str">
        <f>IF($G1591="","",IF($H1591=1,ROUND($G1591/23,0),IF($H1591=3,ROUND($G1591/12,0),IF($H1591=6,$G1591,IF($H1591=7,$G1591-ROUND($G1591*10/11,0),0)))))</f>
        <v/>
      </c>
      <c r="N1591" s="364" t="str">
        <f>IF($G1591="","",K1591+L1591+M1591)</f>
        <v/>
      </c>
      <c r="O1591" s="365" t="str">
        <f>IF($G1591="","",IFERROR(VLOOKUP($D1591&amp;"|"&amp;$E1591,科目表!$A$5:$B$200,2,FALSE),"※未登録"))</f>
        <v/>
      </c>
      <c r="P1591" s="359" t="str">
        <f>IF(OR($G1591="",$C1591=""),"",IF($B1591="決算整理",13,MOD(MONTH($C1591)-4,12)+1))</f>
        <v/>
      </c>
      <c r="Q1591" s="366" t="str">
        <f>IF($G1591="","",TRIM(IF(J1591+K1591+L1591+M1591&lt;&gt;$G1591,"按分不一致 ","")&amp;IF(O1591="※未登録","科目未登録 ","")&amp;IF(OR($H1591="",ISERROR(MATCH($H1591,{1,2,3,4,5,6,7,8},0))),"経費区分? ","")&amp;IF($I1591="","状態未設定 ","")&amp;IF(AND(OR($I1591="確認済",$I1591="未確認"),$B1591="月例",OR($C1591="",$C1591&lt;DATE(年度+2018,4,1),$C1591&gt;DATE(年度+2019,3,31))),"年度外の日付 ","")&amp;IF(AND(OR($I1591="確認済",$I1591="未確認"),O1591="対象外"),"対象外の科目 ","")))</f>
        <v/>
      </c>
      <c r="R1591" s="366" t="n"/>
    </row>
    <row r="1592">
      <c r="A1592" s="359" t="n"/>
      <c r="B1592" s="360" t="n"/>
      <c r="C1592" s="361" t="n"/>
      <c r="D1592" s="362" t="n"/>
      <c r="E1592" s="362" t="n"/>
      <c r="F1592" s="362" t="n"/>
      <c r="G1592" s="363" t="n"/>
      <c r="H1592" s="360" t="n"/>
      <c r="I1592" s="360" t="n"/>
      <c r="J1592" s="364" t="str">
        <f>IF($G1592="","",IF($H1592=1,$G1592-ROUND($G1592*10/23,0)-2*ROUND($G1592/23,0),IF($H1592=2,$G1592,0)))</f>
        <v/>
      </c>
      <c r="K1592" s="364" t="str">
        <f>IF($G1592="","",IF($H1592=1,ROUND($G1592*10/23,0),IF($H1592=3,$G1592-2*ROUND($G1592/12,0),IF($H1592=4,$G1592,IF(OR($H1592=5,$H1592=7),ROUND($G1592*10/11,0),0)))))</f>
        <v/>
      </c>
      <c r="L1592" s="364" t="str">
        <f>IF($G1592="","",IF($H1592=1,ROUND($G1592/23,0),IF($H1592=3,ROUND($G1592/12,0),IF($H1592=5,$G1592-ROUND($G1592*10/11,0),IF($H1592=8,$G1592,0)))))</f>
        <v/>
      </c>
      <c r="M1592" s="364" t="str">
        <f>IF($G1592="","",IF($H1592=1,ROUND($G1592/23,0),IF($H1592=3,ROUND($G1592/12,0),IF($H1592=6,$G1592,IF($H1592=7,$G1592-ROUND($G1592*10/11,0),0)))))</f>
        <v/>
      </c>
      <c r="N1592" s="364" t="str">
        <f>IF($G1592="","",K1592+L1592+M1592)</f>
        <v/>
      </c>
      <c r="O1592" s="365" t="str">
        <f>IF($G1592="","",IFERROR(VLOOKUP($D1592&amp;"|"&amp;$E1592,科目表!$A$5:$B$200,2,FALSE),"※未登録"))</f>
        <v/>
      </c>
      <c r="P1592" s="359" t="str">
        <f>IF(OR($G1592="",$C1592=""),"",IF($B1592="決算整理",13,MOD(MONTH($C1592)-4,12)+1))</f>
        <v/>
      </c>
      <c r="Q1592" s="366" t="str">
        <f>IF($G1592="","",TRIM(IF(J1592+K1592+L1592+M1592&lt;&gt;$G1592,"按分不一致 ","")&amp;IF(O1592="※未登録","科目未登録 ","")&amp;IF(OR($H1592="",ISERROR(MATCH($H1592,{1,2,3,4,5,6,7,8},0))),"経費区分? ","")&amp;IF($I1592="","状態未設定 ","")&amp;IF(AND(OR($I1592="確認済",$I1592="未確認"),$B1592="月例",OR($C1592="",$C1592&lt;DATE(年度+2018,4,1),$C1592&gt;DATE(年度+2019,3,31))),"年度外の日付 ","")&amp;IF(AND(OR($I1592="確認済",$I1592="未確認"),O1592="対象外"),"対象外の科目 ","")))</f>
        <v/>
      </c>
      <c r="R1592" s="366" t="n"/>
    </row>
    <row r="1593">
      <c r="A1593" s="359" t="n"/>
      <c r="B1593" s="360" t="n"/>
      <c r="C1593" s="361" t="n"/>
      <c r="D1593" s="362" t="n"/>
      <c r="E1593" s="362" t="n"/>
      <c r="F1593" s="362" t="n"/>
      <c r="G1593" s="363" t="n"/>
      <c r="H1593" s="360" t="n"/>
      <c r="I1593" s="360" t="n"/>
      <c r="J1593" s="364" t="str">
        <f>IF($G1593="","",IF($H1593=1,$G1593-ROUND($G1593*10/23,0)-2*ROUND($G1593/23,0),IF($H1593=2,$G1593,0)))</f>
        <v/>
      </c>
      <c r="K1593" s="364" t="str">
        <f>IF($G1593="","",IF($H1593=1,ROUND($G1593*10/23,0),IF($H1593=3,$G1593-2*ROUND($G1593/12,0),IF($H1593=4,$G1593,IF(OR($H1593=5,$H1593=7),ROUND($G1593*10/11,0),0)))))</f>
        <v/>
      </c>
      <c r="L1593" s="364" t="str">
        <f>IF($G1593="","",IF($H1593=1,ROUND($G1593/23,0),IF($H1593=3,ROUND($G1593/12,0),IF($H1593=5,$G1593-ROUND($G1593*10/11,0),IF($H1593=8,$G1593,0)))))</f>
        <v/>
      </c>
      <c r="M1593" s="364" t="str">
        <f>IF($G1593="","",IF($H1593=1,ROUND($G1593/23,0),IF($H1593=3,ROUND($G1593/12,0),IF($H1593=6,$G1593,IF($H1593=7,$G1593-ROUND($G1593*10/11,0),0)))))</f>
        <v/>
      </c>
      <c r="N1593" s="364" t="str">
        <f>IF($G1593="","",K1593+L1593+M1593)</f>
        <v/>
      </c>
      <c r="O1593" s="365" t="str">
        <f>IF($G1593="","",IFERROR(VLOOKUP($D1593&amp;"|"&amp;$E1593,科目表!$A$5:$B$200,2,FALSE),"※未登録"))</f>
        <v/>
      </c>
      <c r="P1593" s="359" t="str">
        <f>IF(OR($G1593="",$C1593=""),"",IF($B1593="決算整理",13,MOD(MONTH($C1593)-4,12)+1))</f>
        <v/>
      </c>
      <c r="Q1593" s="366" t="str">
        <f>IF($G1593="","",TRIM(IF(J1593+K1593+L1593+M1593&lt;&gt;$G1593,"按分不一致 ","")&amp;IF(O1593="※未登録","科目未登録 ","")&amp;IF(OR($H1593="",ISERROR(MATCH($H1593,{1,2,3,4,5,6,7,8},0))),"経費区分? ","")&amp;IF($I1593="","状態未設定 ","")&amp;IF(AND(OR($I1593="確認済",$I1593="未確認"),$B1593="月例",OR($C1593="",$C1593&lt;DATE(年度+2018,4,1),$C1593&gt;DATE(年度+2019,3,31))),"年度外の日付 ","")&amp;IF(AND(OR($I1593="確認済",$I1593="未確認"),O1593="対象外"),"対象外の科目 ","")))</f>
        <v/>
      </c>
      <c r="R1593" s="366" t="n"/>
    </row>
    <row r="1594">
      <c r="A1594" s="359" t="n"/>
      <c r="B1594" s="360" t="n"/>
      <c r="C1594" s="361" t="n"/>
      <c r="D1594" s="362" t="n"/>
      <c r="E1594" s="362" t="n"/>
      <c r="F1594" s="362" t="n"/>
      <c r="G1594" s="363" t="n"/>
      <c r="H1594" s="360" t="n"/>
      <c r="I1594" s="360" t="n"/>
      <c r="J1594" s="364" t="str">
        <f>IF($G1594="","",IF($H1594=1,$G1594-ROUND($G1594*10/23,0)-2*ROUND($G1594/23,0),IF($H1594=2,$G1594,0)))</f>
        <v/>
      </c>
      <c r="K1594" s="364" t="str">
        <f>IF($G1594="","",IF($H1594=1,ROUND($G1594*10/23,0),IF($H1594=3,$G1594-2*ROUND($G1594/12,0),IF($H1594=4,$G1594,IF(OR($H1594=5,$H1594=7),ROUND($G1594*10/11,0),0)))))</f>
        <v/>
      </c>
      <c r="L1594" s="364" t="str">
        <f>IF($G1594="","",IF($H1594=1,ROUND($G1594/23,0),IF($H1594=3,ROUND($G1594/12,0),IF($H1594=5,$G1594-ROUND($G1594*10/11,0),IF($H1594=8,$G1594,0)))))</f>
        <v/>
      </c>
      <c r="M1594" s="364" t="str">
        <f>IF($G1594="","",IF($H1594=1,ROUND($G1594/23,0),IF($H1594=3,ROUND($G1594/12,0),IF($H1594=6,$G1594,IF($H1594=7,$G1594-ROUND($G1594*10/11,0),0)))))</f>
        <v/>
      </c>
      <c r="N1594" s="364" t="str">
        <f>IF($G1594="","",K1594+L1594+M1594)</f>
        <v/>
      </c>
      <c r="O1594" s="365" t="str">
        <f>IF($G1594="","",IFERROR(VLOOKUP($D1594&amp;"|"&amp;$E1594,科目表!$A$5:$B$200,2,FALSE),"※未登録"))</f>
        <v/>
      </c>
      <c r="P1594" s="359" t="str">
        <f>IF(OR($G1594="",$C1594=""),"",IF($B1594="決算整理",13,MOD(MONTH($C1594)-4,12)+1))</f>
        <v/>
      </c>
      <c r="Q1594" s="366" t="str">
        <f>IF($G1594="","",TRIM(IF(J1594+K1594+L1594+M1594&lt;&gt;$G1594,"按分不一致 ","")&amp;IF(O1594="※未登録","科目未登録 ","")&amp;IF(OR($H1594="",ISERROR(MATCH($H1594,{1,2,3,4,5,6,7,8},0))),"経費区分? ","")&amp;IF($I1594="","状態未設定 ","")&amp;IF(AND(OR($I1594="確認済",$I1594="未確認"),$B1594="月例",OR($C1594="",$C1594&lt;DATE(年度+2018,4,1),$C1594&gt;DATE(年度+2019,3,31))),"年度外の日付 ","")&amp;IF(AND(OR($I1594="確認済",$I1594="未確認"),O1594="対象外"),"対象外の科目 ","")))</f>
        <v/>
      </c>
      <c r="R1594" s="366" t="n"/>
    </row>
    <row r="1595">
      <c r="A1595" s="359" t="n"/>
      <c r="B1595" s="360" t="n"/>
      <c r="C1595" s="361" t="n"/>
      <c r="D1595" s="362" t="n"/>
      <c r="E1595" s="362" t="n"/>
      <c r="F1595" s="362" t="n"/>
      <c r="G1595" s="363" t="n"/>
      <c r="H1595" s="360" t="n"/>
      <c r="I1595" s="360" t="n"/>
      <c r="J1595" s="364" t="str">
        <f>IF($G1595="","",IF($H1595=1,$G1595-ROUND($G1595*10/23,0)-2*ROUND($G1595/23,0),IF($H1595=2,$G1595,0)))</f>
        <v/>
      </c>
      <c r="K1595" s="364" t="str">
        <f>IF($G1595="","",IF($H1595=1,ROUND($G1595*10/23,0),IF($H1595=3,$G1595-2*ROUND($G1595/12,0),IF($H1595=4,$G1595,IF(OR($H1595=5,$H1595=7),ROUND($G1595*10/11,0),0)))))</f>
        <v/>
      </c>
      <c r="L1595" s="364" t="str">
        <f>IF($G1595="","",IF($H1595=1,ROUND($G1595/23,0),IF($H1595=3,ROUND($G1595/12,0),IF($H1595=5,$G1595-ROUND($G1595*10/11,0),IF($H1595=8,$G1595,0)))))</f>
        <v/>
      </c>
      <c r="M1595" s="364" t="str">
        <f>IF($G1595="","",IF($H1595=1,ROUND($G1595/23,0),IF($H1595=3,ROUND($G1595/12,0),IF($H1595=6,$G1595,IF($H1595=7,$G1595-ROUND($G1595*10/11,0),0)))))</f>
        <v/>
      </c>
      <c r="N1595" s="364" t="str">
        <f>IF($G1595="","",K1595+L1595+M1595)</f>
        <v/>
      </c>
      <c r="O1595" s="365" t="str">
        <f>IF($G1595="","",IFERROR(VLOOKUP($D1595&amp;"|"&amp;$E1595,科目表!$A$5:$B$200,2,FALSE),"※未登録"))</f>
        <v/>
      </c>
      <c r="P1595" s="359" t="str">
        <f>IF(OR($G1595="",$C1595=""),"",IF($B1595="決算整理",13,MOD(MONTH($C1595)-4,12)+1))</f>
        <v/>
      </c>
      <c r="Q1595" s="366" t="str">
        <f>IF($G1595="","",TRIM(IF(J1595+K1595+L1595+M1595&lt;&gt;$G1595,"按分不一致 ","")&amp;IF(O1595="※未登録","科目未登録 ","")&amp;IF(OR($H1595="",ISERROR(MATCH($H1595,{1,2,3,4,5,6,7,8},0))),"経費区分? ","")&amp;IF($I1595="","状態未設定 ","")&amp;IF(AND(OR($I1595="確認済",$I1595="未確認"),$B1595="月例",OR($C1595="",$C1595&lt;DATE(年度+2018,4,1),$C1595&gt;DATE(年度+2019,3,31))),"年度外の日付 ","")&amp;IF(AND(OR($I1595="確認済",$I1595="未確認"),O1595="対象外"),"対象外の科目 ","")))</f>
        <v/>
      </c>
      <c r="R1595" s="366" t="n"/>
    </row>
    <row r="1596">
      <c r="A1596" s="359" t="n"/>
      <c r="B1596" s="360" t="n"/>
      <c r="C1596" s="361" t="n"/>
      <c r="D1596" s="362" t="n"/>
      <c r="E1596" s="362" t="n"/>
      <c r="F1596" s="362" t="n"/>
      <c r="G1596" s="363" t="n"/>
      <c r="H1596" s="360" t="n"/>
      <c r="I1596" s="360" t="n"/>
      <c r="J1596" s="364" t="str">
        <f>IF($G1596="","",IF($H1596=1,$G1596-ROUND($G1596*10/23,0)-2*ROUND($G1596/23,0),IF($H1596=2,$G1596,0)))</f>
        <v/>
      </c>
      <c r="K1596" s="364" t="str">
        <f>IF($G1596="","",IF($H1596=1,ROUND($G1596*10/23,0),IF($H1596=3,$G1596-2*ROUND($G1596/12,0),IF($H1596=4,$G1596,IF(OR($H1596=5,$H1596=7),ROUND($G1596*10/11,0),0)))))</f>
        <v/>
      </c>
      <c r="L1596" s="364" t="str">
        <f>IF($G1596="","",IF($H1596=1,ROUND($G1596/23,0),IF($H1596=3,ROUND($G1596/12,0),IF($H1596=5,$G1596-ROUND($G1596*10/11,0),IF($H1596=8,$G1596,0)))))</f>
        <v/>
      </c>
      <c r="M1596" s="364" t="str">
        <f>IF($G1596="","",IF($H1596=1,ROUND($G1596/23,0),IF($H1596=3,ROUND($G1596/12,0),IF($H1596=6,$G1596,IF($H1596=7,$G1596-ROUND($G1596*10/11,0),0)))))</f>
        <v/>
      </c>
      <c r="N1596" s="364" t="str">
        <f>IF($G1596="","",K1596+L1596+M1596)</f>
        <v/>
      </c>
      <c r="O1596" s="365" t="str">
        <f>IF($G1596="","",IFERROR(VLOOKUP($D1596&amp;"|"&amp;$E1596,科目表!$A$5:$B$200,2,FALSE),"※未登録"))</f>
        <v/>
      </c>
      <c r="P1596" s="359" t="str">
        <f>IF(OR($G1596="",$C1596=""),"",IF($B1596="決算整理",13,MOD(MONTH($C1596)-4,12)+1))</f>
        <v/>
      </c>
      <c r="Q1596" s="366" t="str">
        <f>IF($G1596="","",TRIM(IF(J1596+K1596+L1596+M1596&lt;&gt;$G1596,"按分不一致 ","")&amp;IF(O1596="※未登録","科目未登録 ","")&amp;IF(OR($H1596="",ISERROR(MATCH($H1596,{1,2,3,4,5,6,7,8},0))),"経費区分? ","")&amp;IF($I1596="","状態未設定 ","")&amp;IF(AND(OR($I1596="確認済",$I1596="未確認"),$B1596="月例",OR($C1596="",$C1596&lt;DATE(年度+2018,4,1),$C1596&gt;DATE(年度+2019,3,31))),"年度外の日付 ","")&amp;IF(AND(OR($I1596="確認済",$I1596="未確認"),O1596="対象外"),"対象外の科目 ","")))</f>
        <v/>
      </c>
      <c r="R1596" s="366" t="n"/>
    </row>
    <row r="1597">
      <c r="A1597" s="359" t="n"/>
      <c r="B1597" s="360" t="n"/>
      <c r="C1597" s="361" t="n"/>
      <c r="D1597" s="362" t="n"/>
      <c r="E1597" s="362" t="n"/>
      <c r="F1597" s="362" t="n"/>
      <c r="G1597" s="363" t="n"/>
      <c r="H1597" s="360" t="n"/>
      <c r="I1597" s="360" t="n"/>
      <c r="J1597" s="364" t="str">
        <f>IF($G1597="","",IF($H1597=1,$G1597-ROUND($G1597*10/23,0)-2*ROUND($G1597/23,0),IF($H1597=2,$G1597,0)))</f>
        <v/>
      </c>
      <c r="K1597" s="364" t="str">
        <f>IF($G1597="","",IF($H1597=1,ROUND($G1597*10/23,0),IF($H1597=3,$G1597-2*ROUND($G1597/12,0),IF($H1597=4,$G1597,IF(OR($H1597=5,$H1597=7),ROUND($G1597*10/11,0),0)))))</f>
        <v/>
      </c>
      <c r="L1597" s="364" t="str">
        <f>IF($G1597="","",IF($H1597=1,ROUND($G1597/23,0),IF($H1597=3,ROUND($G1597/12,0),IF($H1597=5,$G1597-ROUND($G1597*10/11,0),IF($H1597=8,$G1597,0)))))</f>
        <v/>
      </c>
      <c r="M1597" s="364" t="str">
        <f>IF($G1597="","",IF($H1597=1,ROUND($G1597/23,0),IF($H1597=3,ROUND($G1597/12,0),IF($H1597=6,$G1597,IF($H1597=7,$G1597-ROUND($G1597*10/11,0),0)))))</f>
        <v/>
      </c>
      <c r="N1597" s="364" t="str">
        <f>IF($G1597="","",K1597+L1597+M1597)</f>
        <v/>
      </c>
      <c r="O1597" s="365" t="str">
        <f>IF($G1597="","",IFERROR(VLOOKUP($D1597&amp;"|"&amp;$E1597,科目表!$A$5:$B$200,2,FALSE),"※未登録"))</f>
        <v/>
      </c>
      <c r="P1597" s="359" t="str">
        <f>IF(OR($G1597="",$C1597=""),"",IF($B1597="決算整理",13,MOD(MONTH($C1597)-4,12)+1))</f>
        <v/>
      </c>
      <c r="Q1597" s="366" t="str">
        <f>IF($G1597="","",TRIM(IF(J1597+K1597+L1597+M1597&lt;&gt;$G1597,"按分不一致 ","")&amp;IF(O1597="※未登録","科目未登録 ","")&amp;IF(OR($H1597="",ISERROR(MATCH($H1597,{1,2,3,4,5,6,7,8},0))),"経費区分? ","")&amp;IF($I1597="","状態未設定 ","")&amp;IF(AND(OR($I1597="確認済",$I1597="未確認"),$B1597="月例",OR($C1597="",$C1597&lt;DATE(年度+2018,4,1),$C1597&gt;DATE(年度+2019,3,31))),"年度外の日付 ","")&amp;IF(AND(OR($I1597="確認済",$I1597="未確認"),O1597="対象外"),"対象外の科目 ","")))</f>
        <v/>
      </c>
      <c r="R1597" s="366" t="n"/>
    </row>
    <row r="1598">
      <c r="A1598" s="359" t="n"/>
      <c r="B1598" s="360" t="n"/>
      <c r="C1598" s="361" t="n"/>
      <c r="D1598" s="362" t="n"/>
      <c r="E1598" s="362" t="n"/>
      <c r="F1598" s="362" t="n"/>
      <c r="G1598" s="363" t="n"/>
      <c r="H1598" s="360" t="n"/>
      <c r="I1598" s="360" t="n"/>
      <c r="J1598" s="364" t="str">
        <f>IF($G1598="","",IF($H1598=1,$G1598-ROUND($G1598*10/23,0)-2*ROUND($G1598/23,0),IF($H1598=2,$G1598,0)))</f>
        <v/>
      </c>
      <c r="K1598" s="364" t="str">
        <f>IF($G1598="","",IF($H1598=1,ROUND($G1598*10/23,0),IF($H1598=3,$G1598-2*ROUND($G1598/12,0),IF($H1598=4,$G1598,IF(OR($H1598=5,$H1598=7),ROUND($G1598*10/11,0),0)))))</f>
        <v/>
      </c>
      <c r="L1598" s="364" t="str">
        <f>IF($G1598="","",IF($H1598=1,ROUND($G1598/23,0),IF($H1598=3,ROUND($G1598/12,0),IF($H1598=5,$G1598-ROUND($G1598*10/11,0),IF($H1598=8,$G1598,0)))))</f>
        <v/>
      </c>
      <c r="M1598" s="364" t="str">
        <f>IF($G1598="","",IF($H1598=1,ROUND($G1598/23,0),IF($H1598=3,ROUND($G1598/12,0),IF($H1598=6,$G1598,IF($H1598=7,$G1598-ROUND($G1598*10/11,0),0)))))</f>
        <v/>
      </c>
      <c r="N1598" s="364" t="str">
        <f>IF($G1598="","",K1598+L1598+M1598)</f>
        <v/>
      </c>
      <c r="O1598" s="365" t="str">
        <f>IF($G1598="","",IFERROR(VLOOKUP($D1598&amp;"|"&amp;$E1598,科目表!$A$5:$B$200,2,FALSE),"※未登録"))</f>
        <v/>
      </c>
      <c r="P1598" s="359" t="str">
        <f>IF(OR($G1598="",$C1598=""),"",IF($B1598="決算整理",13,MOD(MONTH($C1598)-4,12)+1))</f>
        <v/>
      </c>
      <c r="Q1598" s="366" t="str">
        <f>IF($G1598="","",TRIM(IF(J1598+K1598+L1598+M1598&lt;&gt;$G1598,"按分不一致 ","")&amp;IF(O1598="※未登録","科目未登録 ","")&amp;IF(OR($H1598="",ISERROR(MATCH($H1598,{1,2,3,4,5,6,7,8},0))),"経費区分? ","")&amp;IF($I1598="","状態未設定 ","")&amp;IF(AND(OR($I1598="確認済",$I1598="未確認"),$B1598="月例",OR($C1598="",$C1598&lt;DATE(年度+2018,4,1),$C1598&gt;DATE(年度+2019,3,31))),"年度外の日付 ","")&amp;IF(AND(OR($I1598="確認済",$I1598="未確認"),O1598="対象外"),"対象外の科目 ","")))</f>
        <v/>
      </c>
      <c r="R1598" s="366" t="n"/>
    </row>
    <row r="1599">
      <c r="A1599" s="359" t="n"/>
      <c r="B1599" s="360" t="n"/>
      <c r="C1599" s="361" t="n"/>
      <c r="D1599" s="362" t="n"/>
      <c r="E1599" s="362" t="n"/>
      <c r="F1599" s="362" t="n"/>
      <c r="G1599" s="363" t="n"/>
      <c r="H1599" s="360" t="n"/>
      <c r="I1599" s="360" t="n"/>
      <c r="J1599" s="364" t="str">
        <f>IF($G1599="","",IF($H1599=1,$G1599-ROUND($G1599*10/23,0)-2*ROUND($G1599/23,0),IF($H1599=2,$G1599,0)))</f>
        <v/>
      </c>
      <c r="K1599" s="364" t="str">
        <f>IF($G1599="","",IF($H1599=1,ROUND($G1599*10/23,0),IF($H1599=3,$G1599-2*ROUND($G1599/12,0),IF($H1599=4,$G1599,IF(OR($H1599=5,$H1599=7),ROUND($G1599*10/11,0),0)))))</f>
        <v/>
      </c>
      <c r="L1599" s="364" t="str">
        <f>IF($G1599="","",IF($H1599=1,ROUND($G1599/23,0),IF($H1599=3,ROUND($G1599/12,0),IF($H1599=5,$G1599-ROUND($G1599*10/11,0),IF($H1599=8,$G1599,0)))))</f>
        <v/>
      </c>
      <c r="M1599" s="364" t="str">
        <f>IF($G1599="","",IF($H1599=1,ROUND($G1599/23,0),IF($H1599=3,ROUND($G1599/12,0),IF($H1599=6,$G1599,IF($H1599=7,$G1599-ROUND($G1599*10/11,0),0)))))</f>
        <v/>
      </c>
      <c r="N1599" s="364" t="str">
        <f>IF($G1599="","",K1599+L1599+M1599)</f>
        <v/>
      </c>
      <c r="O1599" s="365" t="str">
        <f>IF($G1599="","",IFERROR(VLOOKUP($D1599&amp;"|"&amp;$E1599,科目表!$A$5:$B$200,2,FALSE),"※未登録"))</f>
        <v/>
      </c>
      <c r="P1599" s="359" t="str">
        <f>IF(OR($G1599="",$C1599=""),"",IF($B1599="決算整理",13,MOD(MONTH($C1599)-4,12)+1))</f>
        <v/>
      </c>
      <c r="Q1599" s="366" t="str">
        <f>IF($G1599="","",TRIM(IF(J1599+K1599+L1599+M1599&lt;&gt;$G1599,"按分不一致 ","")&amp;IF(O1599="※未登録","科目未登録 ","")&amp;IF(OR($H1599="",ISERROR(MATCH($H1599,{1,2,3,4,5,6,7,8},0))),"経費区分? ","")&amp;IF($I1599="","状態未設定 ","")&amp;IF(AND(OR($I1599="確認済",$I1599="未確認"),$B1599="月例",OR($C1599="",$C1599&lt;DATE(年度+2018,4,1),$C1599&gt;DATE(年度+2019,3,31))),"年度外の日付 ","")&amp;IF(AND(OR($I1599="確認済",$I1599="未確認"),O1599="対象外"),"対象外の科目 ","")))</f>
        <v/>
      </c>
      <c r="R1599" s="366" t="n"/>
    </row>
    <row r="1600">
      <c r="A1600" s="359" t="n"/>
      <c r="B1600" s="360" t="n"/>
      <c r="C1600" s="361" t="n"/>
      <c r="D1600" s="362" t="n"/>
      <c r="E1600" s="362" t="n"/>
      <c r="F1600" s="362" t="n"/>
      <c r="G1600" s="363" t="n"/>
      <c r="H1600" s="360" t="n"/>
      <c r="I1600" s="360" t="n"/>
      <c r="J1600" s="364" t="str">
        <f>IF($G1600="","",IF($H1600=1,$G1600-ROUND($G1600*10/23,0)-2*ROUND($G1600/23,0),IF($H1600=2,$G1600,0)))</f>
        <v/>
      </c>
      <c r="K1600" s="364" t="str">
        <f>IF($G1600="","",IF($H1600=1,ROUND($G1600*10/23,0),IF($H1600=3,$G1600-2*ROUND($G1600/12,0),IF($H1600=4,$G1600,IF(OR($H1600=5,$H1600=7),ROUND($G1600*10/11,0),0)))))</f>
        <v/>
      </c>
      <c r="L1600" s="364" t="str">
        <f>IF($G1600="","",IF($H1600=1,ROUND($G1600/23,0),IF($H1600=3,ROUND($G1600/12,0),IF($H1600=5,$G1600-ROUND($G1600*10/11,0),IF($H1600=8,$G1600,0)))))</f>
        <v/>
      </c>
      <c r="M1600" s="364" t="str">
        <f>IF($G1600="","",IF($H1600=1,ROUND($G1600/23,0),IF($H1600=3,ROUND($G1600/12,0),IF($H1600=6,$G1600,IF($H1600=7,$G1600-ROUND($G1600*10/11,0),0)))))</f>
        <v/>
      </c>
      <c r="N1600" s="364" t="str">
        <f>IF($G1600="","",K1600+L1600+M1600)</f>
        <v/>
      </c>
      <c r="O1600" s="365" t="str">
        <f>IF($G1600="","",IFERROR(VLOOKUP($D1600&amp;"|"&amp;$E1600,科目表!$A$5:$B$200,2,FALSE),"※未登録"))</f>
        <v/>
      </c>
      <c r="P1600" s="359" t="str">
        <f>IF(OR($G1600="",$C1600=""),"",IF($B1600="決算整理",13,MOD(MONTH($C1600)-4,12)+1))</f>
        <v/>
      </c>
      <c r="Q1600" s="366" t="str">
        <f>IF($G1600="","",TRIM(IF(J1600+K1600+L1600+M1600&lt;&gt;$G1600,"按分不一致 ","")&amp;IF(O1600="※未登録","科目未登録 ","")&amp;IF(OR($H1600="",ISERROR(MATCH($H1600,{1,2,3,4,5,6,7,8},0))),"経費区分? ","")&amp;IF($I1600="","状態未設定 ","")&amp;IF(AND(OR($I1600="確認済",$I1600="未確認"),$B1600="月例",OR($C1600="",$C1600&lt;DATE(年度+2018,4,1),$C1600&gt;DATE(年度+2019,3,31))),"年度外の日付 ","")&amp;IF(AND(OR($I1600="確認済",$I1600="未確認"),O1600="対象外"),"対象外の科目 ","")))</f>
        <v/>
      </c>
      <c r="R1600" s="366" t="n"/>
    </row>
    <row r="1601">
      <c r="A1601" s="359" t="n"/>
      <c r="B1601" s="360" t="n"/>
      <c r="C1601" s="361" t="n"/>
      <c r="D1601" s="362" t="n"/>
      <c r="E1601" s="362" t="n"/>
      <c r="F1601" s="362" t="n"/>
      <c r="G1601" s="363" t="n"/>
      <c r="H1601" s="360" t="n"/>
      <c r="I1601" s="360" t="n"/>
      <c r="J1601" s="364" t="str">
        <f>IF($G1601="","",IF($H1601=1,$G1601-ROUND($G1601*10/23,0)-2*ROUND($G1601/23,0),IF($H1601=2,$G1601,0)))</f>
        <v/>
      </c>
      <c r="K1601" s="364" t="str">
        <f>IF($G1601="","",IF($H1601=1,ROUND($G1601*10/23,0),IF($H1601=3,$G1601-2*ROUND($G1601/12,0),IF($H1601=4,$G1601,IF(OR($H1601=5,$H1601=7),ROUND($G1601*10/11,0),0)))))</f>
        <v/>
      </c>
      <c r="L1601" s="364" t="str">
        <f>IF($G1601="","",IF($H1601=1,ROUND($G1601/23,0),IF($H1601=3,ROUND($G1601/12,0),IF($H1601=5,$G1601-ROUND($G1601*10/11,0),IF($H1601=8,$G1601,0)))))</f>
        <v/>
      </c>
      <c r="M1601" s="364" t="str">
        <f>IF($G1601="","",IF($H1601=1,ROUND($G1601/23,0),IF($H1601=3,ROUND($G1601/12,0),IF($H1601=6,$G1601,IF($H1601=7,$G1601-ROUND($G1601*10/11,0),0)))))</f>
        <v/>
      </c>
      <c r="N1601" s="364" t="str">
        <f>IF($G1601="","",K1601+L1601+M1601)</f>
        <v/>
      </c>
      <c r="O1601" s="365" t="str">
        <f>IF($G1601="","",IFERROR(VLOOKUP($D1601&amp;"|"&amp;$E1601,科目表!$A$5:$B$200,2,FALSE),"※未登録"))</f>
        <v/>
      </c>
      <c r="P1601" s="359" t="str">
        <f>IF(OR($G1601="",$C1601=""),"",IF($B1601="決算整理",13,MOD(MONTH($C1601)-4,12)+1))</f>
        <v/>
      </c>
      <c r="Q1601" s="366" t="str">
        <f>IF($G1601="","",TRIM(IF(J1601+K1601+L1601+M1601&lt;&gt;$G1601,"按分不一致 ","")&amp;IF(O1601="※未登録","科目未登録 ","")&amp;IF(OR($H1601="",ISERROR(MATCH($H1601,{1,2,3,4,5,6,7,8},0))),"経費区分? ","")&amp;IF($I1601="","状態未設定 ","")&amp;IF(AND(OR($I1601="確認済",$I1601="未確認"),$B1601="月例",OR($C1601="",$C1601&lt;DATE(年度+2018,4,1),$C1601&gt;DATE(年度+2019,3,31))),"年度外の日付 ","")&amp;IF(AND(OR($I1601="確認済",$I1601="未確認"),O1601="対象外"),"対象外の科目 ","")))</f>
        <v/>
      </c>
      <c r="R1601" s="366" t="n"/>
    </row>
    <row r="1602">
      <c r="A1602" s="359" t="n"/>
      <c r="B1602" s="360" t="n"/>
      <c r="C1602" s="361" t="n"/>
      <c r="D1602" s="362" t="n"/>
      <c r="E1602" s="362" t="n"/>
      <c r="F1602" s="362" t="n"/>
      <c r="G1602" s="363" t="n"/>
      <c r="H1602" s="360" t="n"/>
      <c r="I1602" s="360" t="n"/>
      <c r="J1602" s="364" t="str">
        <f>IF($G1602="","",IF($H1602=1,$G1602-ROUND($G1602*10/23,0)-2*ROUND($G1602/23,0),IF($H1602=2,$G1602,0)))</f>
        <v/>
      </c>
      <c r="K1602" s="364" t="str">
        <f>IF($G1602="","",IF($H1602=1,ROUND($G1602*10/23,0),IF($H1602=3,$G1602-2*ROUND($G1602/12,0),IF($H1602=4,$G1602,IF(OR($H1602=5,$H1602=7),ROUND($G1602*10/11,0),0)))))</f>
        <v/>
      </c>
      <c r="L1602" s="364" t="str">
        <f>IF($G1602="","",IF($H1602=1,ROUND($G1602/23,0),IF($H1602=3,ROUND($G1602/12,0),IF($H1602=5,$G1602-ROUND($G1602*10/11,0),IF($H1602=8,$G1602,0)))))</f>
        <v/>
      </c>
      <c r="M1602" s="364" t="str">
        <f>IF($G1602="","",IF($H1602=1,ROUND($G1602/23,0),IF($H1602=3,ROUND($G1602/12,0),IF($H1602=6,$G1602,IF($H1602=7,$G1602-ROUND($G1602*10/11,0),0)))))</f>
        <v/>
      </c>
      <c r="N1602" s="364" t="str">
        <f>IF($G1602="","",K1602+L1602+M1602)</f>
        <v/>
      </c>
      <c r="O1602" s="365" t="str">
        <f>IF($G1602="","",IFERROR(VLOOKUP($D1602&amp;"|"&amp;$E1602,科目表!$A$5:$B$200,2,FALSE),"※未登録"))</f>
        <v/>
      </c>
      <c r="P1602" s="359" t="str">
        <f>IF(OR($G1602="",$C1602=""),"",IF($B1602="決算整理",13,MOD(MONTH($C1602)-4,12)+1))</f>
        <v/>
      </c>
      <c r="Q1602" s="366" t="str">
        <f>IF($G1602="","",TRIM(IF(J1602+K1602+L1602+M1602&lt;&gt;$G1602,"按分不一致 ","")&amp;IF(O1602="※未登録","科目未登録 ","")&amp;IF(OR($H1602="",ISERROR(MATCH($H1602,{1,2,3,4,5,6,7,8},0))),"経費区分? ","")&amp;IF($I1602="","状態未設定 ","")&amp;IF(AND(OR($I1602="確認済",$I1602="未確認"),$B1602="月例",OR($C1602="",$C1602&lt;DATE(年度+2018,4,1),$C1602&gt;DATE(年度+2019,3,31))),"年度外の日付 ","")&amp;IF(AND(OR($I1602="確認済",$I1602="未確認"),O1602="対象外"),"対象外の科目 ","")))</f>
        <v/>
      </c>
      <c r="R1602" s="366" t="n"/>
    </row>
    <row r="1603">
      <c r="A1603" s="359" t="n"/>
      <c r="B1603" s="360" t="n"/>
      <c r="C1603" s="361" t="n"/>
      <c r="D1603" s="362" t="n"/>
      <c r="E1603" s="362" t="n"/>
      <c r="F1603" s="362" t="n"/>
      <c r="G1603" s="363" t="n"/>
      <c r="H1603" s="360" t="n"/>
      <c r="I1603" s="360" t="n"/>
      <c r="J1603" s="364" t="str">
        <f>IF($G1603="","",IF($H1603=1,$G1603-ROUND($G1603*10/23,0)-2*ROUND($G1603/23,0),IF($H1603=2,$G1603,0)))</f>
        <v/>
      </c>
      <c r="K1603" s="364" t="str">
        <f>IF($G1603="","",IF($H1603=1,ROUND($G1603*10/23,0),IF($H1603=3,$G1603-2*ROUND($G1603/12,0),IF($H1603=4,$G1603,IF(OR($H1603=5,$H1603=7),ROUND($G1603*10/11,0),0)))))</f>
        <v/>
      </c>
      <c r="L1603" s="364" t="str">
        <f>IF($G1603="","",IF($H1603=1,ROUND($G1603/23,0),IF($H1603=3,ROUND($G1603/12,0),IF($H1603=5,$G1603-ROUND($G1603*10/11,0),IF($H1603=8,$G1603,0)))))</f>
        <v/>
      </c>
      <c r="M1603" s="364" t="str">
        <f>IF($G1603="","",IF($H1603=1,ROUND($G1603/23,0),IF($H1603=3,ROUND($G1603/12,0),IF($H1603=6,$G1603,IF($H1603=7,$G1603-ROUND($G1603*10/11,0),0)))))</f>
        <v/>
      </c>
      <c r="N1603" s="364" t="str">
        <f>IF($G1603="","",K1603+L1603+M1603)</f>
        <v/>
      </c>
      <c r="O1603" s="365" t="str">
        <f>IF($G1603="","",IFERROR(VLOOKUP($D1603&amp;"|"&amp;$E1603,科目表!$A$5:$B$200,2,FALSE),"※未登録"))</f>
        <v/>
      </c>
      <c r="P1603" s="359" t="str">
        <f>IF(OR($G1603="",$C1603=""),"",IF($B1603="決算整理",13,MOD(MONTH($C1603)-4,12)+1))</f>
        <v/>
      </c>
      <c r="Q1603" s="366" t="str">
        <f>IF($G1603="","",TRIM(IF(J1603+K1603+L1603+M1603&lt;&gt;$G1603,"按分不一致 ","")&amp;IF(O1603="※未登録","科目未登録 ","")&amp;IF(OR($H1603="",ISERROR(MATCH($H1603,{1,2,3,4,5,6,7,8},0))),"経費区分? ","")&amp;IF($I1603="","状態未設定 ","")&amp;IF(AND(OR($I1603="確認済",$I1603="未確認"),$B1603="月例",OR($C1603="",$C1603&lt;DATE(年度+2018,4,1),$C1603&gt;DATE(年度+2019,3,31))),"年度外の日付 ","")&amp;IF(AND(OR($I1603="確認済",$I1603="未確認"),O1603="対象外"),"対象外の科目 ","")))</f>
        <v/>
      </c>
      <c r="R1603" s="366" t="n"/>
    </row>
    <row r="1604">
      <c r="A1604" s="359" t="n"/>
      <c r="B1604" s="360" t="n"/>
      <c r="C1604" s="361" t="n"/>
      <c r="D1604" s="362" t="n"/>
      <c r="E1604" s="362" t="n"/>
      <c r="F1604" s="362" t="n"/>
      <c r="G1604" s="363" t="n"/>
      <c r="H1604" s="360" t="n"/>
      <c r="I1604" s="360" t="n"/>
      <c r="J1604" s="364" t="str">
        <f>IF($G1604="","",IF($H1604=1,$G1604-ROUND($G1604*10/23,0)-2*ROUND($G1604/23,0),IF($H1604=2,$G1604,0)))</f>
        <v/>
      </c>
      <c r="K1604" s="364" t="str">
        <f>IF($G1604="","",IF($H1604=1,ROUND($G1604*10/23,0),IF($H1604=3,$G1604-2*ROUND($G1604/12,0),IF($H1604=4,$G1604,IF(OR($H1604=5,$H1604=7),ROUND($G1604*10/11,0),0)))))</f>
        <v/>
      </c>
      <c r="L1604" s="364" t="str">
        <f>IF($G1604="","",IF($H1604=1,ROUND($G1604/23,0),IF($H1604=3,ROUND($G1604/12,0),IF($H1604=5,$G1604-ROUND($G1604*10/11,0),IF($H1604=8,$G1604,0)))))</f>
        <v/>
      </c>
      <c r="M1604" s="364" t="str">
        <f>IF($G1604="","",IF($H1604=1,ROUND($G1604/23,0),IF($H1604=3,ROUND($G1604/12,0),IF($H1604=6,$G1604,IF($H1604=7,$G1604-ROUND($G1604*10/11,0),0)))))</f>
        <v/>
      </c>
      <c r="N1604" s="364" t="str">
        <f>IF($G1604="","",K1604+L1604+M1604)</f>
        <v/>
      </c>
      <c r="O1604" s="365" t="str">
        <f>IF($G1604="","",IFERROR(VLOOKUP($D1604&amp;"|"&amp;$E1604,科目表!$A$5:$B$200,2,FALSE),"※未登録"))</f>
        <v/>
      </c>
      <c r="P1604" s="359" t="str">
        <f>IF(OR($G1604="",$C1604=""),"",IF($B1604="決算整理",13,MOD(MONTH($C1604)-4,12)+1))</f>
        <v/>
      </c>
      <c r="Q1604" s="366" t="str">
        <f>IF($G1604="","",TRIM(IF(J1604+K1604+L1604+M1604&lt;&gt;$G1604,"按分不一致 ","")&amp;IF(O1604="※未登録","科目未登録 ","")&amp;IF(OR($H1604="",ISERROR(MATCH($H1604,{1,2,3,4,5,6,7,8},0))),"経費区分? ","")&amp;IF($I1604="","状態未設定 ","")&amp;IF(AND(OR($I1604="確認済",$I1604="未確認"),$B1604="月例",OR($C1604="",$C1604&lt;DATE(年度+2018,4,1),$C1604&gt;DATE(年度+2019,3,31))),"年度外の日付 ","")&amp;IF(AND(OR($I1604="確認済",$I1604="未確認"),O1604="対象外"),"対象外の科目 ","")))</f>
        <v/>
      </c>
      <c r="R1604" s="366" t="n"/>
    </row>
  </sheetData>
  <autoFilter ref="A4:R1604"/>
  <mergeCells count="2">
    <mergeCell ref="A2:R2"/>
    <mergeCell ref="A1:R1"/>
  </mergeCells>
  <conditionalFormatting sqref="A5:I1604">
    <cfRule type="expression" priority="1" dxfId="6">
      <formula>$I5="支払なし"</formula>
    </cfRule>
    <cfRule type="expression" priority="2" dxfId="7">
      <formula>$I5="昨年実績"</formula>
    </cfRule>
    <cfRule type="expression" priority="3" dxfId="8">
      <formula>$I5="確認済"</formula>
    </cfRule>
    <cfRule type="expression" priority="4" dxfId="9">
      <formula>$I5="未確認"</formula>
    </cfRule>
  </conditionalFormatting>
  <conditionalFormatting sqref="Q5:Q1604">
    <cfRule type="expression" priority="5" dxfId="10">
      <formula>LEN($Q5)&gt;0</formula>
    </cfRule>
  </conditionalFormatting>
  <dataValidations count="6">
    <dataValidation sqref="B5:B1604" showDropDown="0" showInputMessage="0" showErrorMessage="1" allowBlank="1" error="リストから選んでください" type="list">
      <formula1>"月例,決算整理"</formula1>
    </dataValidation>
    <dataValidation sqref="D5:D1604" showDropDown="0" showInputMessage="0" showErrorMessage="1" allowBlank="1" error="リストから選んでください" type="list">
      <formula1>=科目表!$F$5:$F$40</formula1>
    </dataValidation>
    <dataValidation sqref="E5:E1604" showDropDown="0" showInputMessage="0" showErrorMessage="1" allowBlank="1" error="リストから選んでください" type="list">
      <formula1>=科目表!$G$5:$G$40</formula1>
    </dataValidation>
    <dataValidation sqref="H5:H1604" showDropDown="0" showInputMessage="0" showErrorMessage="1" allowBlank="1" error="リストから選んでください" type="list">
      <formula1>"1,2,3,4,5,6,7,8"</formula1>
    </dataValidation>
    <dataValidation sqref="I5:I1604" showDropDown="0" showInputMessage="0" showErrorMessage="1" allowBlank="1" error="リストから選んでください" type="list">
      <formula1>=科目表!$I$5:$I$8</formula1>
    </dataValidation>
    <dataValidation sqref="C5:C1604" showDropDown="0" showInputMessage="0" showErrorMessage="1" allowBlank="1" error="日付（例 2026/10/21）で入力してください" type="date" operator="greaterThan">
      <formula1>36526</formula1>
    </dataValidation>
  </dataValidations>
  <printOptions horizontalCentered="1"/>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2E75B6"/>
    <outlinePr summaryBelow="1" summaryRight="1"/>
    <pageSetUpPr fitToPage="1"/>
  </sheetPr>
  <dimension ref="A1:K404"/>
  <sheetViews>
    <sheetView showGridLines="0" tabSelected="0" workbookViewId="0">
      <pane xSplit="5" ySplit="4" topLeftCell="F5" activePane="bottomRight" state="frozen"/>
      <selection pane="topRight"/>
      <selection pane="bottomLeft"/>
      <selection pane="bottomRight" activeCell="A1" sqref="A1"/>
    </sheetView>
  </sheetViews>
  <sheetFormatPr baseColWidth="8" defaultRowHeight="15"/>
  <cols>
    <col width="6" customWidth="1" style="322" min="1" max="1"/>
    <col width="9" customWidth="1" style="322" min="2" max="2"/>
    <col width="11" customWidth="1" style="322" min="3" max="3"/>
    <col width="20" customWidth="1" style="322" min="4" max="4"/>
    <col width="50" customWidth="1" style="322" min="5" max="5"/>
    <col width="12" customWidth="1" style="322" min="6" max="6"/>
    <col width="10" customWidth="1" style="322" min="7" max="7"/>
    <col width="7" customWidth="1" style="322" min="8" max="8"/>
    <col width="13" customWidth="1" style="322" min="9" max="9"/>
    <col width="22" customWidth="1" style="322" min="10" max="10"/>
    <col width="12" customWidth="1" style="322" min="11" max="11"/>
  </cols>
  <sheetData>
    <row r="1" ht="26" customHeight="1" s="322">
      <c r="A1" s="323" t="inlineStr">
        <is>
          <t>入力_貸付　貸付経理 台帳（旧：貸付予算差引簿を一本化）</t>
        </is>
      </c>
      <c r="B1" s="324" t="n"/>
      <c r="C1" s="324" t="n"/>
      <c r="D1" s="324" t="n"/>
      <c r="E1" s="324" t="n"/>
      <c r="F1" s="324" t="n"/>
      <c r="G1" s="324" t="n"/>
      <c r="H1" s="324" t="n"/>
      <c r="I1" s="324" t="n"/>
      <c r="J1" s="324" t="n"/>
      <c r="K1" s="324" t="n"/>
    </row>
    <row r="2" ht="30" customHeight="1" s="322">
      <c r="A2" s="325" t="inlineStr">
        <is>
          <t>科目ごとに並べてあります（予算差引簿と同じ見方で「見込残額」が見られます）。新しい支払は最終行の下に追記してください。　状態の使い方は「入力_業務」と同じです。　種別「決算整理」＝3月分を4月に支払うもの（旧：黄色）。</t>
        </is>
      </c>
    </row>
    <row r="3" ht="6" customHeight="1" s="322"/>
    <row r="4" ht="24" customHeight="1" s="322">
      <c r="A4" s="327" t="inlineStr">
        <is>
          <t>No</t>
        </is>
      </c>
      <c r="B4" s="327" t="inlineStr">
        <is>
          <t>種別</t>
        </is>
      </c>
      <c r="C4" s="327" t="inlineStr">
        <is>
          <t>支払日</t>
        </is>
      </c>
      <c r="D4" s="327" t="inlineStr">
        <is>
          <t>科目</t>
        </is>
      </c>
      <c r="E4" s="327" t="inlineStr">
        <is>
          <t>摘要</t>
        </is>
      </c>
      <c r="F4" s="327" t="inlineStr">
        <is>
          <t>金額</t>
        </is>
      </c>
      <c r="G4" s="327" t="inlineStr">
        <is>
          <t>状態</t>
        </is>
      </c>
      <c r="H4" s="327" t="inlineStr">
        <is>
          <t>計上列</t>
        </is>
      </c>
      <c r="I4" s="327" t="inlineStr">
        <is>
          <t>見込残額</t>
        </is>
      </c>
      <c r="J4" s="327" t="inlineStr">
        <is>
          <t>点検</t>
        </is>
      </c>
      <c r="K4" s="327" t="inlineStr">
        <is>
          <t>元データ</t>
        </is>
      </c>
    </row>
    <row r="5">
      <c r="A5" s="359" t="n">
        <v>1</v>
      </c>
      <c r="B5" s="360" t="inlineStr">
        <is>
          <t>通常</t>
        </is>
      </c>
      <c r="C5" s="361" t="n">
        <v>45559</v>
      </c>
      <c r="D5" s="362" t="inlineStr">
        <is>
          <t>厚生費</t>
        </is>
      </c>
      <c r="E5" s="362" t="inlineStr">
        <is>
          <t>定期健康診断等（神岡、中村、作本）</t>
        </is>
      </c>
      <c r="F5" s="363" t="n">
        <v>10890</v>
      </c>
      <c r="G5" s="360" t="inlineStr">
        <is>
          <t>昨年実績</t>
        </is>
      </c>
      <c r="H5" s="359">
        <f>IF(OR($F5="",$C5=""),"",IF($B5="決算整理",13,MOD(MONTH($C5)-4,12)+1))</f>
        <v>6</v>
      </c>
      <c r="I5" s="364">
        <f>IF(OR($F5="",$D5=""),"",IFERROR(INDEX(費用収益表_貸付!$S$1:$S$60,VLOOKUP($D5,科目表!$K$5:$L$40,2,FALSE))-SUMIFS($F$5:$F5,$D$5:$D5,$D5),"?"))</f>
        <v>13110</v>
      </c>
      <c r="J5" s="366" t="str">
        <f>IF($F5="","",TRIM(IF(ISERROR(MATCH($D5,科目表!$K$5:$K$40,0)),"科目未登録 ","")&amp;IF($G5="","状態未設定 ","")&amp;IF(AND(OR($G5="確認済",$G5="未確認"),$B5="通常",OR($C5="",$C5&lt;DATE(年度+2018,4,1),$C5&gt;DATE(年度+2019,3,31))),"年度外の日付 ","")))</f>
        <v/>
      </c>
      <c r="K5" s="366" t="inlineStr">
        <is>
          <t>管理簿②!6</t>
        </is>
      </c>
    </row>
    <row r="6">
      <c r="A6" s="359" t="n">
        <v>2</v>
      </c>
      <c r="B6" s="360" t="inlineStr">
        <is>
          <t>通常</t>
        </is>
      </c>
      <c r="C6" s="361" t="n">
        <v>44592</v>
      </c>
      <c r="D6" s="362" t="inlineStr">
        <is>
          <t>厚生費</t>
        </is>
      </c>
      <c r="E6" s="362" t="inlineStr">
        <is>
          <t>人間ドック  神岡</t>
        </is>
      </c>
      <c r="F6" s="363" t="n">
        <v>13940</v>
      </c>
      <c r="G6" s="360" t="inlineStr">
        <is>
          <t>昨年実績</t>
        </is>
      </c>
      <c r="H6" s="359">
        <f>IF(OR($F6="",$C6=""),"",IF($B6="決算整理",13,MOD(MONTH($C6)-4,12)+1))</f>
        <v>10</v>
      </c>
      <c r="I6" s="364">
        <f>IF(OR($F6="",$D6=""),"",IFERROR(INDEX(費用収益表_貸付!$S$1:$S$60,VLOOKUP($D6,科目表!$K$5:$L$40,2,FALSE))-SUMIFS($F$5:$F6,$D$5:$D6,$D6),"?"))</f>
        <v>-830</v>
      </c>
      <c r="J6" s="366" t="str">
        <f>IF($F6="","",TRIM(IF(ISERROR(MATCH($D6,科目表!$K$5:$K$40,0)),"科目未登録 ","")&amp;IF($G6="","状態未設定 ","")&amp;IF(AND(OR($G6="確認済",$G6="未確認"),$B6="通常",OR($C6="",$C6&lt;DATE(年度+2018,4,1),$C6&gt;DATE(年度+2019,3,31))),"年度外の日付 ","")))</f>
        <v/>
      </c>
      <c r="K6" s="366" t="inlineStr">
        <is>
          <t>管理簿②!7</t>
        </is>
      </c>
    </row>
    <row r="7">
      <c r="A7" s="359" t="n">
        <v>3</v>
      </c>
      <c r="B7" s="360" t="inlineStr">
        <is>
          <t>通常</t>
        </is>
      </c>
      <c r="C7" s="361" t="n">
        <v>44592</v>
      </c>
      <c r="D7" s="362" t="inlineStr">
        <is>
          <t>厚生費</t>
        </is>
      </c>
      <c r="E7" s="362" t="inlineStr">
        <is>
          <t>定期健康診断（勝部、作本）</t>
        </is>
      </c>
      <c r="F7" s="363" t="n">
        <v>13860</v>
      </c>
      <c r="G7" s="360" t="inlineStr">
        <is>
          <t>昨年実績</t>
        </is>
      </c>
      <c r="H7" s="359">
        <f>IF(OR($F7="",$C7=""),"",IF($B7="決算整理",13,MOD(MONTH($C7)-4,12)+1))</f>
        <v>10</v>
      </c>
      <c r="I7" s="364">
        <f>IF(OR($F7="",$D7=""),"",IFERROR(INDEX(費用収益表_貸付!$S$1:$S$60,VLOOKUP($D7,科目表!$K$5:$L$40,2,FALSE))-SUMIFS($F$5:$F7,$D$5:$D7,$D7),"?"))</f>
        <v>-14690</v>
      </c>
      <c r="J7" s="366" t="str">
        <f>IF($F7="","",TRIM(IF(ISERROR(MATCH($D7,科目表!$K$5:$K$40,0)),"科目未登録 ","")&amp;IF($G7="","状態未設定 ","")&amp;IF(AND(OR($G7="確認済",$G7="未確認"),$B7="通常",OR($C7="",$C7&lt;DATE(年度+2018,4,1),$C7&gt;DATE(年度+2019,3,31))),"年度外の日付 ","")))</f>
        <v/>
      </c>
      <c r="K7" s="366" t="inlineStr">
        <is>
          <t>管理簿②!8</t>
        </is>
      </c>
    </row>
    <row r="8">
      <c r="A8" s="359" t="n">
        <v>4</v>
      </c>
      <c r="B8" s="360" t="inlineStr">
        <is>
          <t>通常</t>
        </is>
      </c>
      <c r="C8" s="361" t="n">
        <v>46262</v>
      </c>
      <c r="D8" s="362" t="inlineStr">
        <is>
          <t>厚生費</t>
        </is>
      </c>
      <c r="E8" s="362" t="inlineStr">
        <is>
          <t>定期健康診断等　貸付経理分（神岡）</t>
        </is>
      </c>
      <c r="F8" s="363" t="n">
        <v>1980</v>
      </c>
      <c r="G8" s="360" t="inlineStr">
        <is>
          <t>確認済</t>
        </is>
      </c>
      <c r="H8" s="359">
        <f>IF(OR($F8="",$C8=""),"",IF($B8="決算整理",13,MOD(MONTH($C8)-4,12)+1))</f>
        <v>5</v>
      </c>
      <c r="I8" s="364">
        <f>IF(OR($F8="",$D8=""),"",IFERROR(INDEX(費用収益表_貸付!$S$1:$S$60,VLOOKUP($D8,科目表!$K$5:$L$40,2,FALSE))-SUMIFS($F$5:$F8,$D$5:$D8,$D8),"?"))</f>
        <v>-16670</v>
      </c>
      <c r="J8" s="366" t="str">
        <f>IF($F8="","",TRIM(IF(ISERROR(MATCH($D8,科目表!$K$5:$K$40,0)),"科目未登録 ","")&amp;IF($G8="","状態未設定 ","")&amp;IF(AND(OR($G8="確認済",$G8="未確認"),$B8="通常",OR($C8="",$C8&lt;DATE(年度+2018,4,1),$C8&gt;DATE(年度+2019,3,31))),"年度外の日付 ","")))</f>
        <v/>
      </c>
      <c r="K8" s="366" t="inlineStr">
        <is>
          <t>管理簿②!9</t>
        </is>
      </c>
    </row>
    <row r="9">
      <c r="A9" s="359" t="n">
        <v>5</v>
      </c>
      <c r="B9" s="360" t="inlineStr">
        <is>
          <t>通常</t>
        </is>
      </c>
      <c r="C9" s="361" t="n">
        <v>46280</v>
      </c>
      <c r="D9" s="362" t="inlineStr">
        <is>
          <t>厚生費</t>
        </is>
      </c>
      <c r="E9" s="362" t="inlineStr">
        <is>
          <t>定期健康診断（中村、作本、福場）</t>
        </is>
      </c>
      <c r="F9" s="363" t="n">
        <v>21527</v>
      </c>
      <c r="G9" s="360" t="inlineStr">
        <is>
          <t>確認済</t>
        </is>
      </c>
      <c r="H9" s="359">
        <f>IF(OR($F9="",$C9=""),"",IF($B9="決算整理",13,MOD(MONTH($C9)-4,12)+1))</f>
        <v>6</v>
      </c>
      <c r="I9" s="364">
        <f>IF(OR($F9="",$D9=""),"",IFERROR(INDEX(費用収益表_貸付!$S$1:$S$60,VLOOKUP($D9,科目表!$K$5:$L$40,2,FALSE))-SUMIFS($F$5:$F9,$D$5:$D9,$D9),"?"))</f>
        <v>-38197</v>
      </c>
      <c r="J9" s="366" t="str">
        <f>IF($F9="","",TRIM(IF(ISERROR(MATCH($D9,科目表!$K$5:$K$40,0)),"科目未登録 ","")&amp;IF($G9="","状態未設定 ","")&amp;IF(AND(OR($G9="確認済",$G9="未確認"),$B9="通常",OR($C9="",$C9&lt;DATE(年度+2018,4,1),$C9&gt;DATE(年度+2019,3,31))),"年度外の日付 ","")))</f>
        <v/>
      </c>
      <c r="K9" s="366" t="inlineStr">
        <is>
          <t>管理簿②!11</t>
        </is>
      </c>
    </row>
    <row r="10">
      <c r="A10" s="359" t="n">
        <v>6</v>
      </c>
      <c r="B10" s="360" t="inlineStr">
        <is>
          <t>通常</t>
        </is>
      </c>
      <c r="C10" s="361" t="n">
        <v>46140</v>
      </c>
      <c r="D10" s="362" t="inlineStr">
        <is>
          <t>事務用消耗品費</t>
        </is>
      </c>
      <c r="E10" s="362" t="inlineStr">
        <is>
          <t>令和８年度基幹ウイルス対策ソフト（ミツイワ株式会社）</t>
        </is>
      </c>
      <c r="F10" s="363" t="n">
        <v>4389</v>
      </c>
      <c r="G10" s="360" t="inlineStr">
        <is>
          <t>確認済</t>
        </is>
      </c>
      <c r="H10" s="359">
        <f>IF(OR($F10="",$C10=""),"",IF($B10="決算整理",13,MOD(MONTH($C10)-4,12)+1))</f>
        <v>1</v>
      </c>
      <c r="I10" s="364">
        <f>IF(OR($F10="",$D10=""),"",IFERROR(INDEX(費用収益表_貸付!$S$1:$S$60,VLOOKUP($D10,科目表!$K$5:$L$40,2,FALSE))-SUMIFS($F$5:$F10,$D$5:$D10,$D10),"?"))</f>
        <v>437611</v>
      </c>
      <c r="J10" s="366" t="str">
        <f>IF($F10="","",TRIM(IF(ISERROR(MATCH($D10,科目表!$K$5:$K$40,0)),"科目未登録 ","")&amp;IF($G10="","状態未設定 ","")&amp;IF(AND(OR($G10="確認済",$G10="未確認"),$B10="通常",OR($C10="",$C10&lt;DATE(年度+2018,4,1),$C10&gt;DATE(年度+2019,3,31))),"年度外の日付 ","")))</f>
        <v/>
      </c>
      <c r="K10" s="366" t="inlineStr">
        <is>
          <t>管理簿①!6</t>
        </is>
      </c>
    </row>
    <row r="11">
      <c r="A11" s="359" t="n">
        <v>7</v>
      </c>
      <c r="B11" s="360" t="inlineStr">
        <is>
          <t>通常</t>
        </is>
      </c>
      <c r="C11" s="361" t="n">
        <v>46188</v>
      </c>
      <c r="D11" s="362" t="inlineStr">
        <is>
          <t>事務用消耗品費</t>
        </is>
      </c>
      <c r="E11" s="362" t="inlineStr">
        <is>
          <t>フラッグインデックス　６８２－１－ＲＥ　２個　ほか８点</t>
        </is>
      </c>
      <c r="F11" s="363" t="n">
        <v>11491</v>
      </c>
      <c r="G11" s="360" t="inlineStr">
        <is>
          <t>確認済</t>
        </is>
      </c>
      <c r="H11" s="359">
        <f>IF(OR($F11="",$C11=""),"",IF($B11="決算整理",13,MOD(MONTH($C11)-4,12)+1))</f>
        <v>3</v>
      </c>
      <c r="I11" s="364">
        <f>IF(OR($F11="",$D11=""),"",IFERROR(INDEX(費用収益表_貸付!$S$1:$S$60,VLOOKUP($D11,科目表!$K$5:$L$40,2,FALSE))-SUMIFS($F$5:$F11,$D$5:$D11,$D11),"?"))</f>
        <v>426120</v>
      </c>
      <c r="J11" s="366" t="str">
        <f>IF($F11="","",TRIM(IF(ISERROR(MATCH($D11,科目表!$K$5:$K$40,0)),"科目未登録 ","")&amp;IF($G11="","状態未設定 ","")&amp;IF(AND(OR($G11="確認済",$G11="未確認"),$B11="通常",OR($C11="",$C11&lt;DATE(年度+2018,4,1),$C11&gt;DATE(年度+2019,3,31))),"年度外の日付 ","")))</f>
        <v/>
      </c>
      <c r="K11" s="366" t="inlineStr">
        <is>
          <t>管理簿①!7</t>
        </is>
      </c>
    </row>
    <row r="12">
      <c r="A12" s="359" t="n">
        <v>8</v>
      </c>
      <c r="B12" s="360" t="inlineStr">
        <is>
          <t>通常</t>
        </is>
      </c>
      <c r="C12" s="361" t="n">
        <v>45884</v>
      </c>
      <c r="D12" s="362" t="inlineStr">
        <is>
          <t>事務用消耗品費</t>
        </is>
      </c>
      <c r="E12" s="362" t="inlineStr">
        <is>
          <t xml:space="preserve">ドラムカートリッジ純正品（LB322）　１個　</t>
        </is>
      </c>
      <c r="F12" s="363" t="n">
        <v>45265</v>
      </c>
      <c r="G12" s="360" t="inlineStr">
        <is>
          <t>昨年実績</t>
        </is>
      </c>
      <c r="H12" s="359">
        <f>IF(OR($F12="",$C12=""),"",IF($B12="決算整理",13,MOD(MONTH($C12)-4,12)+1))</f>
        <v>5</v>
      </c>
      <c r="I12" s="364">
        <f>IF(OR($F12="",$D12=""),"",IFERROR(INDEX(費用収益表_貸付!$S$1:$S$60,VLOOKUP($D12,科目表!$K$5:$L$40,2,FALSE))-SUMIFS($F$5:$F12,$D$5:$D12,$D12),"?"))</f>
        <v>380855</v>
      </c>
      <c r="J12" s="366" t="str">
        <f>IF($F12="","",TRIM(IF(ISERROR(MATCH($D12,科目表!$K$5:$K$40,0)),"科目未登録 ","")&amp;IF($G12="","状態未設定 ","")&amp;IF(AND(OR($G12="確認済",$G12="未確認"),$B12="通常",OR($C12="",$C12&lt;DATE(年度+2018,4,1),$C12&gt;DATE(年度+2019,3,31))),"年度外の日付 ","")))</f>
        <v/>
      </c>
      <c r="K12" s="366" t="inlineStr">
        <is>
          <t>管理簿①!8</t>
        </is>
      </c>
    </row>
    <row r="13">
      <c r="A13" s="359" t="n">
        <v>9</v>
      </c>
      <c r="B13" s="360" t="inlineStr">
        <is>
          <t>通常</t>
        </is>
      </c>
      <c r="C13" s="361" t="n">
        <v>44515</v>
      </c>
      <c r="D13" s="362" t="inlineStr">
        <is>
          <t>事務用消耗品費</t>
        </is>
      </c>
      <c r="E13" s="362" t="inlineStr">
        <is>
          <t>ニイタカケミガード４㎏</t>
        </is>
      </c>
      <c r="F13" s="363" t="n">
        <v>2700</v>
      </c>
      <c r="G13" s="360" t="inlineStr">
        <is>
          <t>昨年実績</t>
        </is>
      </c>
      <c r="H13" s="359">
        <f>IF(OR($F13="",$C13=""),"",IF($B13="決算整理",13,MOD(MONTH($C13)-4,12)+1))</f>
        <v>8</v>
      </c>
      <c r="I13" s="364">
        <f>IF(OR($F13="",$D13=""),"",IFERROR(INDEX(費用収益表_貸付!$S$1:$S$60,VLOOKUP($D13,科目表!$K$5:$L$40,2,FALSE))-SUMIFS($F$5:$F13,$D$5:$D13,$D13),"?"))</f>
        <v>378155</v>
      </c>
      <c r="J13" s="366" t="str">
        <f>IF($F13="","",TRIM(IF(ISERROR(MATCH($D13,科目表!$K$5:$K$40,0)),"科目未登録 ","")&amp;IF($G13="","状態未設定 ","")&amp;IF(AND(OR($G13="確認済",$G13="未確認"),$B13="通常",OR($C13="",$C13&lt;DATE(年度+2018,4,1),$C13&gt;DATE(年度+2019,3,31))),"年度外の日付 ","")))</f>
        <v/>
      </c>
      <c r="K13" s="366" t="inlineStr">
        <is>
          <t>管理簿①!9</t>
        </is>
      </c>
    </row>
    <row r="14">
      <c r="A14" s="359" t="n">
        <v>10</v>
      </c>
      <c r="B14" s="360" t="inlineStr">
        <is>
          <t>通常</t>
        </is>
      </c>
      <c r="C14" s="361" t="n">
        <v>45562</v>
      </c>
      <c r="D14" s="362" t="inlineStr">
        <is>
          <t>事務用消耗品費</t>
        </is>
      </c>
      <c r="E14" s="362" t="inlineStr">
        <is>
          <t>トナーカートリッジ再生品（ＬＰＢ３Ｔ３４）　3個</t>
        </is>
      </c>
      <c r="F14" s="363" t="n">
        <v>22770</v>
      </c>
      <c r="G14" s="360" t="inlineStr">
        <is>
          <t>昨年実績</t>
        </is>
      </c>
      <c r="H14" s="359">
        <f>IF(OR($F14="",$C14=""),"",IF($B14="決算整理",13,MOD(MONTH($C14)-4,12)+1))</f>
        <v>6</v>
      </c>
      <c r="I14" s="364">
        <f>IF(OR($F14="",$D14=""),"",IFERROR(INDEX(費用収益表_貸付!$S$1:$S$60,VLOOKUP($D14,科目表!$K$5:$L$40,2,FALSE))-SUMIFS($F$5:$F14,$D$5:$D14,$D14),"?"))</f>
        <v>355385</v>
      </c>
      <c r="J14" s="366" t="str">
        <f>IF($F14="","",TRIM(IF(ISERROR(MATCH($D14,科目表!$K$5:$K$40,0)),"科目未登録 ","")&amp;IF($G14="","状態未設定 ","")&amp;IF(AND(OR($G14="確認済",$G14="未確認"),$B14="通常",OR($C14="",$C14&lt;DATE(年度+2018,4,1),$C14&gt;DATE(年度+2019,3,31))),"年度外の日付 ","")))</f>
        <v/>
      </c>
      <c r="K14" s="366" t="inlineStr">
        <is>
          <t>管理簿①!10</t>
        </is>
      </c>
    </row>
    <row r="15">
      <c r="A15" s="359" t="n">
        <v>11</v>
      </c>
      <c r="B15" s="360" t="inlineStr">
        <is>
          <t>通常</t>
        </is>
      </c>
      <c r="C15" s="361" t="n">
        <v>45588</v>
      </c>
      <c r="D15" s="362" t="inlineStr">
        <is>
          <t>事務用消耗品費</t>
        </is>
      </c>
      <c r="E15" s="362" t="inlineStr">
        <is>
          <t>ＤＶＤドライブ　ＬＤＲ－ＰＭＪ８Ｕ２ＬＢＫ　１台</t>
        </is>
      </c>
      <c r="F15" s="363" t="n">
        <v>5162</v>
      </c>
      <c r="G15" s="360" t="inlineStr">
        <is>
          <t>昨年実績</t>
        </is>
      </c>
      <c r="H15" s="359">
        <f>IF(OR($F15="",$C15=""),"",IF($B15="決算整理",13,MOD(MONTH($C15)-4,12)+1))</f>
        <v>7</v>
      </c>
      <c r="I15" s="364">
        <f>IF(OR($F15="",$D15=""),"",IFERROR(INDEX(費用収益表_貸付!$S$1:$S$60,VLOOKUP($D15,科目表!$K$5:$L$40,2,FALSE))-SUMIFS($F$5:$F15,$D$5:$D15,$D15),"?"))</f>
        <v>350223</v>
      </c>
      <c r="J15" s="366" t="str">
        <f>IF($F15="","",TRIM(IF(ISERROR(MATCH($D15,科目表!$K$5:$K$40,0)),"科目未登録 ","")&amp;IF($G15="","状態未設定 ","")&amp;IF(AND(OR($G15="確認済",$G15="未確認"),$B15="通常",OR($C15="",$C15&lt;DATE(年度+2018,4,1),$C15&gt;DATE(年度+2019,3,31))),"年度外の日付 ","")))</f>
        <v/>
      </c>
      <c r="K15" s="366" t="inlineStr">
        <is>
          <t>管理簿①!11</t>
        </is>
      </c>
    </row>
    <row r="16">
      <c r="A16" s="359" t="n">
        <v>12</v>
      </c>
      <c r="B16" s="360" t="inlineStr">
        <is>
          <t>通常</t>
        </is>
      </c>
      <c r="C16" s="361" t="n">
        <v>44620</v>
      </c>
      <c r="D16" s="362" t="inlineStr">
        <is>
          <t>事務用消耗品費</t>
        </is>
      </c>
      <c r="E16" s="362" t="inlineStr">
        <is>
          <t>トナーカートリッジ（ＰＲ－Ｌ８３００－１２）　5個</t>
        </is>
      </c>
      <c r="F16" s="363" t="n">
        <v>49500</v>
      </c>
      <c r="G16" s="360" t="inlineStr">
        <is>
          <t>昨年実績</t>
        </is>
      </c>
      <c r="H16" s="359">
        <f>IF(OR($F16="",$C16=""),"",IF($B16="決算整理",13,MOD(MONTH($C16)-4,12)+1))</f>
        <v>11</v>
      </c>
      <c r="I16" s="364">
        <f>IF(OR($F16="",$D16=""),"",IFERROR(INDEX(費用収益表_貸付!$S$1:$S$60,VLOOKUP($D16,科目表!$K$5:$L$40,2,FALSE))-SUMIFS($F$5:$F16,$D$5:$D16,$D16),"?"))</f>
        <v>300723</v>
      </c>
      <c r="J16" s="366" t="str">
        <f>IF($F16="","",TRIM(IF(ISERROR(MATCH($D16,科目表!$K$5:$K$40,0)),"科目未登録 ","")&amp;IF($G16="","状態未設定 ","")&amp;IF(AND(OR($G16="確認済",$G16="未確認"),$B16="通常",OR($C16="",$C16&lt;DATE(年度+2018,4,1),$C16&gt;DATE(年度+2019,3,31))),"年度外の日付 ","")))</f>
        <v/>
      </c>
      <c r="K16" s="366" t="inlineStr">
        <is>
          <t>管理簿①!12</t>
        </is>
      </c>
    </row>
    <row r="17">
      <c r="A17" s="359" t="n">
        <v>13</v>
      </c>
      <c r="B17" s="360" t="inlineStr">
        <is>
          <t>通常</t>
        </is>
      </c>
      <c r="C17" s="361" t="n">
        <v>44972</v>
      </c>
      <c r="D17" s="362" t="inlineStr">
        <is>
          <t>事務用消耗品費</t>
        </is>
      </c>
      <c r="E17" s="362" t="inlineStr">
        <is>
          <t>ポストイット　６８３１Ｍ　１個ほか</t>
        </is>
      </c>
      <c r="F17" s="363" t="n">
        <v>6084</v>
      </c>
      <c r="G17" s="360" t="inlineStr">
        <is>
          <t>昨年実績</t>
        </is>
      </c>
      <c r="H17" s="359">
        <f>IF(OR($F17="",$C17=""),"",IF($B17="決算整理",13,MOD(MONTH($C17)-4,12)+1))</f>
        <v>11</v>
      </c>
      <c r="I17" s="364">
        <f>IF(OR($F17="",$D17=""),"",IFERROR(INDEX(費用収益表_貸付!$S$1:$S$60,VLOOKUP($D17,科目表!$K$5:$L$40,2,FALSE))-SUMIFS($F$5:$F17,$D$5:$D17,$D17),"?"))</f>
        <v>294639</v>
      </c>
      <c r="J17" s="366" t="str">
        <f>IF($F17="","",TRIM(IF(ISERROR(MATCH($D17,科目表!$K$5:$K$40,0)),"科目未登録 ","")&amp;IF($G17="","状態未設定 ","")&amp;IF(AND(OR($G17="確認済",$G17="未確認"),$B17="通常",OR($C17="",$C17&lt;DATE(年度+2018,4,1),$C17&gt;DATE(年度+2019,3,31))),"年度外の日付 ","")))</f>
        <v/>
      </c>
      <c r="K17" s="366" t="inlineStr">
        <is>
          <t>管理簿①!13</t>
        </is>
      </c>
    </row>
    <row r="18">
      <c r="A18" s="359" t="n">
        <v>14</v>
      </c>
      <c r="B18" s="360" t="inlineStr">
        <is>
          <t>通常</t>
        </is>
      </c>
      <c r="C18" s="361" t="n">
        <v>46259</v>
      </c>
      <c r="D18" s="362" t="inlineStr">
        <is>
          <t>事務用消耗品費</t>
        </is>
      </c>
      <c r="E18" s="362" t="inlineStr">
        <is>
          <t>コピー用紙等購入代金分担金　互助会　（第１四半期）</t>
        </is>
      </c>
      <c r="F18" s="363" t="n">
        <v>119079</v>
      </c>
      <c r="G18" s="360" t="inlineStr">
        <is>
          <t>確認済</t>
        </is>
      </c>
      <c r="H18" s="359">
        <f>IF(OR($F18="",$C18=""),"",IF($B18="決算整理",13,MOD(MONTH($C18)-4,12)+1))</f>
        <v>5</v>
      </c>
      <c r="I18" s="364">
        <f>IF(OR($F18="",$D18=""),"",IFERROR(INDEX(費用収益表_貸付!$S$1:$S$60,VLOOKUP($D18,科目表!$K$5:$L$40,2,FALSE))-SUMIFS($F$5:$F18,$D$5:$D18,$D18),"?"))</f>
        <v>175560</v>
      </c>
      <c r="J18" s="366" t="str">
        <f>IF($F18="","",TRIM(IF(ISERROR(MATCH($D18,科目表!$K$5:$K$40,0)),"科目未登録 ","")&amp;IF($G18="","状態未設定 ","")&amp;IF(AND(OR($G18="確認済",$G18="未確認"),$B18="通常",OR($C18="",$C18&lt;DATE(年度+2018,4,1),$C18&gt;DATE(年度+2019,3,31))),"年度外の日付 ","")))</f>
        <v/>
      </c>
      <c r="K18" s="366" t="inlineStr">
        <is>
          <t>管理簿①!14</t>
        </is>
      </c>
    </row>
    <row r="19">
      <c r="A19" s="359" t="n">
        <v>15</v>
      </c>
      <c r="B19" s="360" t="inlineStr">
        <is>
          <t>通常</t>
        </is>
      </c>
      <c r="C19" s="361" t="n">
        <v>46339</v>
      </c>
      <c r="D19" s="362" t="inlineStr">
        <is>
          <t>事務用消耗品費</t>
        </is>
      </c>
      <c r="E19" s="362" t="inlineStr">
        <is>
          <t>カラーインデックス　９０７Ｇ　３冊　外１１点</t>
        </is>
      </c>
      <c r="F19" s="363" t="n">
        <v>26025</v>
      </c>
      <c r="G19" s="360" t="inlineStr">
        <is>
          <t>未確認</t>
        </is>
      </c>
      <c r="H19" s="359">
        <f>IF(OR($F19="",$C19=""),"",IF($B19="決算整理",13,MOD(MONTH($C19)-4,12)+1))</f>
        <v>8</v>
      </c>
      <c r="I19" s="364">
        <f>IF(OR($F19="",$D19=""),"",IFERROR(INDEX(費用収益表_貸付!$S$1:$S$60,VLOOKUP($D19,科目表!$K$5:$L$40,2,FALSE))-SUMIFS($F$5:$F19,$D$5:$D19,$D19),"?"))</f>
        <v>149535</v>
      </c>
      <c r="J19" s="366" t="str">
        <f>IF($F19="","",TRIM(IF(ISERROR(MATCH($D19,科目表!$K$5:$K$40,0)),"科目未登録 ","")&amp;IF($G19="","状態未設定 ","")&amp;IF(AND(OR($G19="確認済",$G19="未確認"),$B19="通常",OR($C19="",$C19&lt;DATE(年度+2018,4,1),$C19&gt;DATE(年度+2019,3,31))),"年度外の日付 ","")))</f>
        <v/>
      </c>
      <c r="K19" s="366" t="inlineStr">
        <is>
          <t>管理簿①!15</t>
        </is>
      </c>
    </row>
    <row r="20">
      <c r="A20" s="359" t="n">
        <v>16</v>
      </c>
      <c r="B20" s="360" t="inlineStr">
        <is>
          <t>通常</t>
        </is>
      </c>
      <c r="C20" s="361" t="n">
        <v>46006</v>
      </c>
      <c r="D20" s="362" t="inlineStr">
        <is>
          <t>事務用消耗品費</t>
        </is>
      </c>
      <c r="E20" s="362" t="inlineStr">
        <is>
          <t>アラビック補充　ＥＮＡ－９６０　１個　外１０点</t>
        </is>
      </c>
      <c r="F20" s="363" t="n">
        <v>15382</v>
      </c>
      <c r="G20" s="360" t="inlineStr">
        <is>
          <t>昨年実績</t>
        </is>
      </c>
      <c r="H20" s="359">
        <f>IF(OR($F20="",$C20=""),"",IF($B20="決算整理",13,MOD(MONTH($C20)-4,12)+1))</f>
        <v>9</v>
      </c>
      <c r="I20" s="364">
        <f>IF(OR($F20="",$D20=""),"",IFERROR(INDEX(費用収益表_貸付!$S$1:$S$60,VLOOKUP($D20,科目表!$K$5:$L$40,2,FALSE))-SUMIFS($F$5:$F20,$D$5:$D20,$D20),"?"))</f>
        <v>134153</v>
      </c>
      <c r="J20" s="366" t="str">
        <f>IF($F20="","",TRIM(IF(ISERROR(MATCH($D20,科目表!$K$5:$K$40,0)),"科目未登録 ","")&amp;IF($G20="","状態未設定 ","")&amp;IF(AND(OR($G20="確認済",$G20="未確認"),$B20="通常",OR($C20="",$C20&lt;DATE(年度+2018,4,1),$C20&gt;DATE(年度+2019,3,31))),"年度外の日付 ","")))</f>
        <v/>
      </c>
      <c r="K20" s="366" t="inlineStr">
        <is>
          <t>管理簿①!16</t>
        </is>
      </c>
    </row>
    <row r="21">
      <c r="A21" s="359" t="n">
        <v>17</v>
      </c>
      <c r="B21" s="360" t="inlineStr">
        <is>
          <t>通常</t>
        </is>
      </c>
      <c r="C21" s="361" t="n">
        <v>46051</v>
      </c>
      <c r="D21" s="362" t="inlineStr">
        <is>
          <t>事務用消耗品費</t>
        </is>
      </c>
      <c r="E21" s="362" t="inlineStr">
        <is>
          <t>カラー用紙　Ａ２６６Ｊ－４／浅黄　１冊　　ほか４点</t>
        </is>
      </c>
      <c r="F21" s="363" t="n">
        <v>4644</v>
      </c>
      <c r="G21" s="360" t="inlineStr">
        <is>
          <t>昨年実績</t>
        </is>
      </c>
      <c r="H21" s="359">
        <f>IF(OR($F21="",$C21=""),"",IF($B21="決算整理",13,MOD(MONTH($C21)-4,12)+1))</f>
        <v>10</v>
      </c>
      <c r="I21" s="364">
        <f>IF(OR($F21="",$D21=""),"",IFERROR(INDEX(費用収益表_貸付!$S$1:$S$60,VLOOKUP($D21,科目表!$K$5:$L$40,2,FALSE))-SUMIFS($F$5:$F21,$D$5:$D21,$D21),"?"))</f>
        <v>129509</v>
      </c>
      <c r="J21" s="366" t="str">
        <f>IF($F21="","",TRIM(IF(ISERROR(MATCH($D21,科目表!$K$5:$K$40,0)),"科目未登録 ","")&amp;IF($G21="","状態未設定 ","")&amp;IF(AND(OR($G21="確認済",$G21="未確認"),$B21="通常",OR($C21="",$C21&lt;DATE(年度+2018,4,1),$C21&gt;DATE(年度+2019,3,31))),"年度外の日付 ","")))</f>
        <v/>
      </c>
      <c r="K21" s="366" t="inlineStr">
        <is>
          <t>管理簿①!18</t>
        </is>
      </c>
    </row>
    <row r="22">
      <c r="A22" s="359" t="n">
        <v>18</v>
      </c>
      <c r="B22" s="360" t="inlineStr">
        <is>
          <t>通常</t>
        </is>
      </c>
      <c r="C22" s="361" t="n">
        <v>46080</v>
      </c>
      <c r="D22" s="362" t="inlineStr">
        <is>
          <t>事務用消耗品費</t>
        </is>
      </c>
      <c r="E22" s="362" t="inlineStr">
        <is>
          <t>シヤチハタ日付印　NFDS-4G 452-166 　2個 　外４点</t>
        </is>
      </c>
      <c r="F22" s="363" t="n">
        <v>50764</v>
      </c>
      <c r="G22" s="360" t="inlineStr">
        <is>
          <t>昨年実績</t>
        </is>
      </c>
      <c r="H22" s="359">
        <f>IF(OR($F22="",$C22=""),"",IF($B22="決算整理",13,MOD(MONTH($C22)-4,12)+1))</f>
        <v>11</v>
      </c>
      <c r="I22" s="364">
        <f>IF(OR($F22="",$D22=""),"",IFERROR(INDEX(費用収益表_貸付!$S$1:$S$60,VLOOKUP($D22,科目表!$K$5:$L$40,2,FALSE))-SUMIFS($F$5:$F22,$D$5:$D22,$D22),"?"))</f>
        <v>78745</v>
      </c>
      <c r="J22" s="366" t="str">
        <f>IF($F22="","",TRIM(IF(ISERROR(MATCH($D22,科目表!$K$5:$K$40,0)),"科目未登録 ","")&amp;IF($G22="","状態未設定 ","")&amp;IF(AND(OR($G22="確認済",$G22="未確認"),$B22="通常",OR($C22="",$C22&lt;DATE(年度+2018,4,1),$C22&gt;DATE(年度+2019,3,31))),"年度外の日付 ","")))</f>
        <v/>
      </c>
      <c r="K22" s="366" t="inlineStr">
        <is>
          <t>管理簿①!20</t>
        </is>
      </c>
    </row>
    <row r="23">
      <c r="A23" s="359" t="n">
        <v>19</v>
      </c>
      <c r="B23" s="360" t="inlineStr">
        <is>
          <t>通常</t>
        </is>
      </c>
      <c r="C23" s="361" t="n">
        <v>46108</v>
      </c>
      <c r="D23" s="362" t="inlineStr">
        <is>
          <t>事務用消耗品費</t>
        </is>
      </c>
      <c r="E23" s="362" t="inlineStr">
        <is>
          <t>トナーカートリッジ再生品（ＬＰＢ３Ｔ３４）　５個</t>
        </is>
      </c>
      <c r="F23" s="363" t="n">
        <v>37950</v>
      </c>
      <c r="G23" s="360" t="inlineStr">
        <is>
          <t>昨年実績</t>
        </is>
      </c>
      <c r="H23" s="359">
        <f>IF(OR($F23="",$C23=""),"",IF($B23="決算整理",13,MOD(MONTH($C23)-4,12)+1))</f>
        <v>12</v>
      </c>
      <c r="I23" s="364">
        <f>IF(OR($F23="",$D23=""),"",IFERROR(INDEX(費用収益表_貸付!$S$1:$S$60,VLOOKUP($D23,科目表!$K$5:$L$40,2,FALSE))-SUMIFS($F$5:$F23,$D$5:$D23,$D23),"?"))</f>
        <v>40795</v>
      </c>
      <c r="J23" s="366" t="str">
        <f>IF($F23="","",TRIM(IF(ISERROR(MATCH($D23,科目表!$K$5:$K$40,0)),"科目未登録 ","")&amp;IF($G23="","状態未設定 ","")&amp;IF(AND(OR($G23="確認済",$G23="未確認"),$B23="通常",OR($C23="",$C23&lt;DATE(年度+2018,4,1),$C23&gt;DATE(年度+2019,3,31))),"年度外の日付 ","")))</f>
        <v/>
      </c>
      <c r="K23" s="366" t="inlineStr">
        <is>
          <t>管理簿①!22</t>
        </is>
      </c>
    </row>
    <row r="24">
      <c r="A24" s="359" t="n">
        <v>20</v>
      </c>
      <c r="B24" s="360" t="inlineStr">
        <is>
          <t>通常</t>
        </is>
      </c>
      <c r="C24" s="361" t="n">
        <v>46218</v>
      </c>
      <c r="D24" s="362" t="inlineStr">
        <is>
          <t>図書印刷費</t>
        </is>
      </c>
      <c r="E24" s="362" t="inlineStr">
        <is>
          <t>官報（４月～６月分）</t>
        </is>
      </c>
      <c r="F24" s="363" t="n">
        <v>6000</v>
      </c>
      <c r="G24" s="360" t="inlineStr">
        <is>
          <t>確認済</t>
        </is>
      </c>
      <c r="H24" s="359">
        <f>IF(OR($F24="",$C24=""),"",IF($B24="決算整理",13,MOD(MONTH($C24)-4,12)+1))</f>
        <v>4</v>
      </c>
      <c r="I24" s="364">
        <f>IF(OR($F24="",$D24=""),"",IFERROR(INDEX(費用収益表_貸付!$S$1:$S$60,VLOOKUP($D24,科目表!$K$5:$L$40,2,FALSE))-SUMIFS($F$5:$F24,$D$5:$D24,$D24),"?"))</f>
        <v>495000</v>
      </c>
      <c r="J24" s="366" t="str">
        <f>IF($F24="","",TRIM(IF(ISERROR(MATCH($D24,科目表!$K$5:$K$40,0)),"科目未登録 ","")&amp;IF($G24="","状態未設定 ","")&amp;IF(AND(OR($G24="確認済",$G24="未確認"),$B24="通常",OR($C24="",$C24&lt;DATE(年度+2018,4,1),$C24&gt;DATE(年度+2019,3,31))),"年度外の日付 ","")))</f>
        <v/>
      </c>
      <c r="K24" s="366" t="inlineStr">
        <is>
          <t>管理簿①!6</t>
        </is>
      </c>
    </row>
    <row r="25">
      <c r="A25" s="359" t="n">
        <v>21</v>
      </c>
      <c r="B25" s="360" t="inlineStr">
        <is>
          <t>通常</t>
        </is>
      </c>
      <c r="C25" s="361" t="n">
        <v>46310</v>
      </c>
      <c r="D25" s="362" t="inlineStr">
        <is>
          <t>図書印刷費</t>
        </is>
      </c>
      <c r="E25" s="362" t="inlineStr">
        <is>
          <t>官報（７月～９月分）</t>
        </is>
      </c>
      <c r="F25" s="363" t="n">
        <v>6000</v>
      </c>
      <c r="G25" s="360" t="inlineStr">
        <is>
          <t>確認済</t>
        </is>
      </c>
      <c r="H25" s="359">
        <f>IF(OR($F25="",$C25=""),"",IF($B25="決算整理",13,MOD(MONTH($C25)-4,12)+1))</f>
        <v>7</v>
      </c>
      <c r="I25" s="364">
        <f>IF(OR($F25="",$D25=""),"",IFERROR(INDEX(費用収益表_貸付!$S$1:$S$60,VLOOKUP($D25,科目表!$K$5:$L$40,2,FALSE))-SUMIFS($F$5:$F25,$D$5:$D25,$D25),"?"))</f>
        <v>489000</v>
      </c>
      <c r="J25" s="366" t="str">
        <f>IF($F25="","",TRIM(IF(ISERROR(MATCH($D25,科目表!$K$5:$K$40,0)),"科目未登録 ","")&amp;IF($G25="","状態未設定 ","")&amp;IF(AND(OR($G25="確認済",$G25="未確認"),$B25="通常",OR($C25="",$C25&lt;DATE(年度+2018,4,1),$C25&gt;DATE(年度+2019,3,31))),"年度外の日付 ","")))</f>
        <v/>
      </c>
      <c r="K25" s="366" t="inlineStr">
        <is>
          <t>管理簿①!7</t>
        </is>
      </c>
    </row>
    <row r="26">
      <c r="A26" s="359" t="n">
        <v>22</v>
      </c>
      <c r="B26" s="360" t="inlineStr">
        <is>
          <t>通常</t>
        </is>
      </c>
      <c r="C26" s="361" t="n">
        <v>46037</v>
      </c>
      <c r="D26" s="362" t="inlineStr">
        <is>
          <t>図書印刷費</t>
        </is>
      </c>
      <c r="E26" s="362" t="inlineStr">
        <is>
          <t>官報（１０月～１２月分）</t>
        </is>
      </c>
      <c r="F26" s="363" t="n">
        <v>6000</v>
      </c>
      <c r="G26" s="360" t="inlineStr">
        <is>
          <t>昨年実績</t>
        </is>
      </c>
      <c r="H26" s="359">
        <f>IF(OR($F26="",$C26=""),"",IF($B26="決算整理",13,MOD(MONTH($C26)-4,12)+1))</f>
        <v>10</v>
      </c>
      <c r="I26" s="364">
        <f>IF(OR($F26="",$D26=""),"",IFERROR(INDEX(費用収益表_貸付!$S$1:$S$60,VLOOKUP($D26,科目表!$K$5:$L$40,2,FALSE))-SUMIFS($F$5:$F26,$D$5:$D26,$D26),"?"))</f>
        <v>483000</v>
      </c>
      <c r="J26" s="366" t="str">
        <f>IF($F26="","",TRIM(IF(ISERROR(MATCH($D26,科目表!$K$5:$K$40,0)),"科目未登録 ","")&amp;IF($G26="","状態未設定 ","")&amp;IF(AND(OR($G26="確認済",$G26="未確認"),$B26="通常",OR($C26="",$C26&lt;DATE(年度+2018,4,1),$C26&gt;DATE(年度+2019,3,31))),"年度外の日付 ","")))</f>
        <v/>
      </c>
      <c r="K26" s="366" t="inlineStr">
        <is>
          <t>管理簿①!8</t>
        </is>
      </c>
    </row>
    <row r="27">
      <c r="A27" s="359" t="n">
        <v>23</v>
      </c>
      <c r="B27" s="360" t="inlineStr">
        <is>
          <t>通常</t>
        </is>
      </c>
      <c r="C27" s="361" t="n">
        <v>43174</v>
      </c>
      <c r="D27" s="362" t="inlineStr">
        <is>
          <t>図書印刷費</t>
        </is>
      </c>
      <c r="E27" s="362" t="inlineStr">
        <is>
          <t>貸付金償還明細表　５００組</t>
        </is>
      </c>
      <c r="F27" s="363" t="n">
        <v>45360</v>
      </c>
      <c r="G27" s="360" t="inlineStr">
        <is>
          <t>昨年実績</t>
        </is>
      </c>
      <c r="H27" s="359">
        <f>IF(OR($F27="",$C27=""),"",IF($B27="決算整理",13,MOD(MONTH($C27)-4,12)+1))</f>
        <v>12</v>
      </c>
      <c r="I27" s="364">
        <f>IF(OR($F27="",$D27=""),"",IFERROR(INDEX(費用収益表_貸付!$S$1:$S$60,VLOOKUP($D27,科目表!$K$5:$L$40,2,FALSE))-SUMIFS($F$5:$F27,$D$5:$D27,$D27),"?"))</f>
        <v>437640</v>
      </c>
      <c r="J27" s="366" t="str">
        <f>IF($F27="","",TRIM(IF(ISERROR(MATCH($D27,科目表!$K$5:$K$40,0)),"科目未登録 ","")&amp;IF($G27="","状態未設定 ","")&amp;IF(AND(OR($G27="確認済",$G27="未確認"),$B27="通常",OR($C27="",$C27&lt;DATE(年度+2018,4,1),$C27&gt;DATE(年度+2019,3,31))),"年度外の日付 ","")))</f>
        <v/>
      </c>
      <c r="K27" s="366" t="inlineStr">
        <is>
          <t>管理簿①!9</t>
        </is>
      </c>
    </row>
    <row r="28">
      <c r="A28" s="359" t="n">
        <v>24</v>
      </c>
      <c r="B28" s="360" t="inlineStr">
        <is>
          <t>通常</t>
        </is>
      </c>
      <c r="C28" s="361" t="n">
        <v>45366</v>
      </c>
      <c r="D28" s="362" t="inlineStr">
        <is>
          <t>図書印刷費</t>
        </is>
      </c>
      <c r="E28" s="362" t="inlineStr">
        <is>
          <t>普通・特別貸付申込書　250枚</t>
        </is>
      </c>
      <c r="F28" s="363" t="n">
        <v>16500</v>
      </c>
      <c r="G28" s="360" t="inlineStr">
        <is>
          <t>昨年実績</t>
        </is>
      </c>
      <c r="H28" s="359">
        <f>IF(OR($F28="",$C28=""),"",IF($B28="決算整理",13,MOD(MONTH($C28)-4,12)+1))</f>
        <v>12</v>
      </c>
      <c r="I28" s="364">
        <f>IF(OR($F28="",$D28=""),"",IFERROR(INDEX(費用収益表_貸付!$S$1:$S$60,VLOOKUP($D28,科目表!$K$5:$L$40,2,FALSE))-SUMIFS($F$5:$F28,$D$5:$D28,$D28),"?"))</f>
        <v>421140</v>
      </c>
      <c r="J28" s="366" t="str">
        <f>IF($F28="","",TRIM(IF(ISERROR(MATCH($D28,科目表!$K$5:$K$40,0)),"科目未登録 ","")&amp;IF($G28="","状態未設定 ","")&amp;IF(AND(OR($G28="確認済",$G28="未確認"),$B28="通常",OR($C28="",$C28&lt;DATE(年度+2018,4,1),$C28&gt;DATE(年度+2019,3,31))),"年度外の日付 ","")))</f>
        <v/>
      </c>
      <c r="K28" s="366" t="inlineStr">
        <is>
          <t>管理簿①!10</t>
        </is>
      </c>
    </row>
    <row r="29">
      <c r="A29" s="359" t="n">
        <v>25</v>
      </c>
      <c r="B29" s="360" t="inlineStr">
        <is>
          <t>通常</t>
        </is>
      </c>
      <c r="C29" s="361" t="n">
        <v>44253</v>
      </c>
      <c r="D29" s="362" t="inlineStr">
        <is>
          <t>図書印刷費</t>
        </is>
      </c>
      <c r="E29" s="362" t="inlineStr">
        <is>
          <t>住宅（在宅介護対応住宅・災害）貸付申込書　２５０枚</t>
        </is>
      </c>
      <c r="F29" s="363" t="n">
        <v>44000</v>
      </c>
      <c r="G29" s="360" t="inlineStr">
        <is>
          <t>昨年実績</t>
        </is>
      </c>
      <c r="H29" s="359">
        <f>IF(OR($F29="",$C29=""),"",IF($B29="決算整理",13,MOD(MONTH($C29)-4,12)+1))</f>
        <v>11</v>
      </c>
      <c r="I29" s="364">
        <f>IF(OR($F29="",$D29=""),"",IFERROR(INDEX(費用収益表_貸付!$S$1:$S$60,VLOOKUP($D29,科目表!$K$5:$L$40,2,FALSE))-SUMIFS($F$5:$F29,$D$5:$D29,$D29),"?"))</f>
        <v>377140</v>
      </c>
      <c r="J29" s="366" t="str">
        <f>IF($F29="","",TRIM(IF(ISERROR(MATCH($D29,科目表!$K$5:$K$40,0)),"科目未登録 ","")&amp;IF($G29="","状態未設定 ","")&amp;IF(AND(OR($G29="確認済",$G29="未確認"),$B29="通常",OR($C29="",$C29&lt;DATE(年度+2018,4,1),$C29&gt;DATE(年度+2019,3,31))),"年度外の日付 ","")))</f>
        <v/>
      </c>
      <c r="K29" s="366" t="inlineStr">
        <is>
          <t>管理簿①!11</t>
        </is>
      </c>
    </row>
    <row r="30">
      <c r="A30" s="359" t="n">
        <v>26</v>
      </c>
      <c r="B30" s="360" t="inlineStr">
        <is>
          <t>決算整理</t>
        </is>
      </c>
      <c r="C30" s="361" t="n">
        <v>46127</v>
      </c>
      <c r="D30" s="362" t="inlineStr">
        <is>
          <t>図書印刷費</t>
        </is>
      </c>
      <c r="E30" s="362" t="inlineStr">
        <is>
          <t>共済新報</t>
        </is>
      </c>
      <c r="F30" s="363" t="n">
        <v>10200</v>
      </c>
      <c r="G30" s="360" t="inlineStr">
        <is>
          <t>昨年実績</t>
        </is>
      </c>
      <c r="H30" s="359">
        <f>IF(OR($F30="",$C30=""),"",IF($B30="決算整理",13,MOD(MONTH($C30)-4,12)+1))</f>
        <v>13</v>
      </c>
      <c r="I30" s="364">
        <f>IF(OR($F30="",$D30=""),"",IFERROR(INDEX(費用収益表_貸付!$S$1:$S$60,VLOOKUP($D30,科目表!$K$5:$L$40,2,FALSE))-SUMIFS($F$5:$F30,$D$5:$D30,$D30),"?"))</f>
        <v>366940</v>
      </c>
      <c r="J30" s="366" t="str">
        <f>IF($F30="","",TRIM(IF(ISERROR(MATCH($D30,科目表!$K$5:$K$40,0)),"科目未登録 ","")&amp;IF($G30="","状態未設定 ","")&amp;IF(AND(OR($G30="確認済",$G30="未確認"),$B30="通常",OR($C30="",$C30&lt;DATE(年度+2018,4,1),$C30&gt;DATE(年度+2019,3,31))),"年度外の日付 ","")))</f>
        <v/>
      </c>
      <c r="K30" s="366" t="inlineStr">
        <is>
          <t>管理簿①!19</t>
        </is>
      </c>
    </row>
    <row r="31">
      <c r="A31" s="359" t="n">
        <v>27</v>
      </c>
      <c r="B31" s="360" t="inlineStr">
        <is>
          <t>決算整理</t>
        </is>
      </c>
      <c r="C31" s="361" t="n">
        <v>46127</v>
      </c>
      <c r="D31" s="362" t="inlineStr">
        <is>
          <t>図書印刷費</t>
        </is>
      </c>
      <c r="E31" s="362" t="inlineStr">
        <is>
          <t>官報（１月～３月分）</t>
        </is>
      </c>
      <c r="F31" s="363" t="n">
        <v>6000</v>
      </c>
      <c r="G31" s="360" t="inlineStr">
        <is>
          <t>昨年実績</t>
        </is>
      </c>
      <c r="H31" s="359">
        <f>IF(OR($F31="",$C31=""),"",IF($B31="決算整理",13,MOD(MONTH($C31)-4,12)+1))</f>
        <v>13</v>
      </c>
      <c r="I31" s="364">
        <f>IF(OR($F31="",$D31=""),"",IFERROR(INDEX(費用収益表_貸付!$S$1:$S$60,VLOOKUP($D31,科目表!$K$5:$L$40,2,FALSE))-SUMIFS($F$5:$F31,$D$5:$D31,$D31),"?"))</f>
        <v>360940</v>
      </c>
      <c r="J31" s="366" t="str">
        <f>IF($F31="","",TRIM(IF(ISERROR(MATCH($D31,科目表!$K$5:$K$40,0)),"科目未登録 ","")&amp;IF($G31="","状態未設定 ","")&amp;IF(AND(OR($G31="確認済",$G31="未確認"),$B31="通常",OR($C31="",$C31&lt;DATE(年度+2018,4,1),$C31&gt;DATE(年度+2019,3,31))),"年度外の日付 ","")))</f>
        <v/>
      </c>
      <c r="K31" s="366" t="inlineStr">
        <is>
          <t>管理簿①!20</t>
        </is>
      </c>
    </row>
    <row r="32">
      <c r="A32" s="359" t="n">
        <v>28</v>
      </c>
      <c r="B32" s="360" t="inlineStr">
        <is>
          <t>通常</t>
        </is>
      </c>
      <c r="C32" s="361" t="n">
        <v>46259</v>
      </c>
      <c r="D32" s="362" t="inlineStr">
        <is>
          <t>通信運搬費</t>
        </is>
      </c>
      <c r="E32" s="362" t="inlineStr">
        <is>
          <t>ＦＡＸ電話代等分担金　互助会（第１四半期）</t>
        </is>
      </c>
      <c r="F32" s="363" t="n">
        <v>5979</v>
      </c>
      <c r="G32" s="360" t="inlineStr">
        <is>
          <t>確認済</t>
        </is>
      </c>
      <c r="H32" s="359">
        <f>IF(OR($F32="",$C32=""),"",IF($B32="決算整理",13,MOD(MONTH($C32)-4,12)+1))</f>
        <v>5</v>
      </c>
      <c r="I32" s="364">
        <f>IF(OR($F32="",$D32=""),"",IFERROR(INDEX(費用収益表_貸付!$S$1:$S$60,VLOOKUP($D32,科目表!$K$5:$L$40,2,FALSE))-SUMIFS($F$5:$F32,$D$5:$D32,$D32),"?"))</f>
        <v>330021</v>
      </c>
      <c r="J32" s="366" t="str">
        <f>IF($F32="","",TRIM(IF(ISERROR(MATCH($D32,科目表!$K$5:$K$40,0)),"科目未登録 ","")&amp;IF($G32="","状態未設定 ","")&amp;IF(AND(OR($G32="確認済",$G32="未確認"),$B32="通常",OR($C32="",$C32&lt;DATE(年度+2018,4,1),$C32&gt;DATE(年度+2019,3,31))),"年度外の日付 ","")))</f>
        <v/>
      </c>
      <c r="K32" s="366" t="inlineStr">
        <is>
          <t>管理簿①!27</t>
        </is>
      </c>
    </row>
    <row r="33">
      <c r="A33" s="359" t="n">
        <v>29</v>
      </c>
      <c r="B33" s="360" t="inlineStr">
        <is>
          <t>通常</t>
        </is>
      </c>
      <c r="C33" s="361" t="n">
        <v>46048</v>
      </c>
      <c r="D33" s="362" t="inlineStr">
        <is>
          <t>通信運搬費</t>
        </is>
      </c>
      <c r="E33" s="362" t="inlineStr">
        <is>
          <t>切手</t>
        </is>
      </c>
      <c r="F33" s="363" t="n">
        <v>135450</v>
      </c>
      <c r="G33" s="360" t="inlineStr">
        <is>
          <t>昨年実績</t>
        </is>
      </c>
      <c r="H33" s="359">
        <f>IF(OR($F33="",$C33=""),"",IF($B33="決算整理",13,MOD(MONTH($C33)-4,12)+1))</f>
        <v>10</v>
      </c>
      <c r="I33" s="364">
        <f>IF(OR($F33="",$D33=""),"",IFERROR(INDEX(費用収益表_貸付!$S$1:$S$60,VLOOKUP($D33,科目表!$K$5:$L$40,2,FALSE))-SUMIFS($F$5:$F33,$D$5:$D33,$D33),"?"))</f>
        <v>194571</v>
      </c>
      <c r="J33" s="366" t="str">
        <f>IF($F33="","",TRIM(IF(ISERROR(MATCH($D33,科目表!$K$5:$K$40,0)),"科目未登録 ","")&amp;IF($G33="","状態未設定 ","")&amp;IF(AND(OR($G33="確認済",$G33="未確認"),$B33="通常",OR($C33="",$C33&lt;DATE(年度+2018,4,1),$C33&gt;DATE(年度+2019,3,31))),"年度外の日付 ","")))</f>
        <v/>
      </c>
      <c r="K33" s="366" t="inlineStr">
        <is>
          <t>管理簿①!28</t>
        </is>
      </c>
    </row>
    <row r="34">
      <c r="A34" s="359" t="n">
        <v>30</v>
      </c>
      <c r="B34" s="360" t="inlineStr">
        <is>
          <t>通常</t>
        </is>
      </c>
      <c r="C34" s="361" t="n">
        <v>45309</v>
      </c>
      <c r="D34" s="362" t="inlineStr">
        <is>
          <t>通信運搬費</t>
        </is>
      </c>
      <c r="E34" s="362" t="inlineStr">
        <is>
          <t>切手</t>
        </is>
      </c>
      <c r="F34" s="363" t="n">
        <v>148800</v>
      </c>
      <c r="G34" s="360" t="inlineStr">
        <is>
          <t>昨年実績</t>
        </is>
      </c>
      <c r="H34" s="359">
        <f>IF(OR($F34="",$C34=""),"",IF($B34="決算整理",13,MOD(MONTH($C34)-4,12)+1))</f>
        <v>10</v>
      </c>
      <c r="I34" s="364">
        <f>IF(OR($F34="",$D34=""),"",IFERROR(INDEX(費用収益表_貸付!$S$1:$S$60,VLOOKUP($D34,科目表!$K$5:$L$40,2,FALSE))-SUMIFS($F$5:$F34,$D$5:$D34,$D34),"?"))</f>
        <v>45771</v>
      </c>
      <c r="J34" s="366" t="str">
        <f>IF($F34="","",TRIM(IF(ISERROR(MATCH($D34,科目表!$K$5:$K$40,0)),"科目未登録 ","")&amp;IF($G34="","状態未設定 ","")&amp;IF(AND(OR($G34="確認済",$G34="未確認"),$B34="通常",OR($C34="",$C34&lt;DATE(年度+2018,4,1),$C34&gt;DATE(年度+2019,3,31))),"年度外の日付 ","")))</f>
        <v/>
      </c>
      <c r="K34" s="366" t="inlineStr">
        <is>
          <t>管理簿①!29</t>
        </is>
      </c>
    </row>
    <row r="35">
      <c r="A35" s="359" t="n">
        <v>31</v>
      </c>
      <c r="B35" s="360" t="inlineStr">
        <is>
          <t>通常</t>
        </is>
      </c>
      <c r="C35" s="361" t="n">
        <v>43899</v>
      </c>
      <c r="D35" s="362" t="inlineStr">
        <is>
          <t>通信運搬費</t>
        </is>
      </c>
      <c r="E35" s="362" t="inlineStr">
        <is>
          <t>パスピーチャージ</t>
        </is>
      </c>
      <c r="F35" s="363" t="n">
        <v>30000</v>
      </c>
      <c r="G35" s="360" t="inlineStr">
        <is>
          <t>昨年実績</t>
        </is>
      </c>
      <c r="H35" s="359">
        <f>IF(OR($F35="",$C35=""),"",IF($B35="決算整理",13,MOD(MONTH($C35)-4,12)+1))</f>
        <v>12</v>
      </c>
      <c r="I35" s="364">
        <f>IF(OR($F35="",$D35=""),"",IFERROR(INDEX(費用収益表_貸付!$S$1:$S$60,VLOOKUP($D35,科目表!$K$5:$L$40,2,FALSE))-SUMIFS($F$5:$F35,$D$5:$D35,$D35),"?"))</f>
        <v>15771</v>
      </c>
      <c r="J35" s="366" t="str">
        <f>IF($F35="","",TRIM(IF(ISERROR(MATCH($D35,科目表!$K$5:$K$40,0)),"科目未登録 ","")&amp;IF($G35="","状態未設定 ","")&amp;IF(AND(OR($G35="確認済",$G35="未確認"),$B35="通常",OR($C35="",$C35&lt;DATE(年度+2018,4,1),$C35&gt;DATE(年度+2019,3,31))),"年度外の日付 ","")))</f>
        <v/>
      </c>
      <c r="K35" s="366" t="inlineStr">
        <is>
          <t>管理簿①!30</t>
        </is>
      </c>
    </row>
    <row r="36">
      <c r="A36" s="359" t="n">
        <v>32</v>
      </c>
      <c r="B36" s="360" t="inlineStr">
        <is>
          <t>通常</t>
        </is>
      </c>
      <c r="C36" s="361" t="n"/>
      <c r="D36" s="362" t="inlineStr">
        <is>
          <t>通信運搬費</t>
        </is>
      </c>
      <c r="E36" s="362" t="inlineStr">
        <is>
          <t>分担金ファックス代</t>
        </is>
      </c>
      <c r="F36" s="363" t="n">
        <v>6340</v>
      </c>
      <c r="G36" s="360" t="inlineStr">
        <is>
          <t>昨年実績</t>
        </is>
      </c>
      <c r="H36" s="359" t="str">
        <f>IF(OR($F36="",$C36=""),"",IF($B36="決算整理",13,MOD(MONTH($C36)-4,12)+1))</f>
        <v/>
      </c>
      <c r="I36" s="364">
        <f>IF(OR($F36="",$D36=""),"",IFERROR(INDEX(費用収益表_貸付!$S$1:$S$60,VLOOKUP($D36,科目表!$K$5:$L$40,2,FALSE))-SUMIFS($F$5:$F36,$D$5:$D36,$D36),"?"))</f>
        <v>9431</v>
      </c>
      <c r="J36" s="366" t="str">
        <f>IF($F36="","",TRIM(IF(ISERROR(MATCH($D36,科目表!$K$5:$K$40,0)),"科目未登録 ","")&amp;IF($G36="","状態未設定 ","")&amp;IF(AND(OR($G36="確認済",$G36="未確認"),$B36="通常",OR($C36="",$C36&lt;DATE(年度+2018,4,1),$C36&gt;DATE(年度+2019,3,31))),"年度外の日付 ","")))</f>
        <v/>
      </c>
      <c r="K36" s="366" t="inlineStr">
        <is>
          <t>管理簿①!40</t>
        </is>
      </c>
    </row>
    <row r="37">
      <c r="A37" s="359" t="n">
        <v>33</v>
      </c>
      <c r="B37" s="360" t="inlineStr">
        <is>
          <t>通常</t>
        </is>
      </c>
      <c r="C37" s="361" t="n">
        <v>46171</v>
      </c>
      <c r="D37" s="362" t="inlineStr">
        <is>
          <t>事務費・雑費</t>
        </is>
      </c>
      <c r="E37" s="362" t="inlineStr">
        <is>
          <t>広銀手数料（４月分）</t>
        </is>
      </c>
      <c r="F37" s="363" t="n">
        <v>16190</v>
      </c>
      <c r="G37" s="360" t="inlineStr">
        <is>
          <t>確認済</t>
        </is>
      </c>
      <c r="H37" s="359">
        <f>IF(OR($F37="",$C37=""),"",IF($B37="決算整理",13,MOD(MONTH($C37)-4,12)+1))</f>
        <v>2</v>
      </c>
      <c r="I37" s="364">
        <f>IF(OR($F37="",$D37=""),"",IFERROR(INDEX(費用収益表_貸付!$S$1:$S$60,VLOOKUP($D37,科目表!$K$5:$L$40,2,FALSE))-SUMIFS($F$5:$F37,$D$5:$D37,$D37),"?"))</f>
        <v>173810</v>
      </c>
      <c r="J37" s="366" t="str">
        <f>IF($F37="","",TRIM(IF(ISERROR(MATCH($D37,科目表!$K$5:$K$40,0)),"科目未登録 ","")&amp;IF($G37="","状態未設定 ","")&amp;IF(AND(OR($G37="確認済",$G37="未確認"),$B37="通常",OR($C37="",$C37&lt;DATE(年度+2018,4,1),$C37&gt;DATE(年度+2019,3,31))),"年度外の日付 ","")))</f>
        <v/>
      </c>
      <c r="K37" s="366" t="inlineStr">
        <is>
          <t>管理簿①!35</t>
        </is>
      </c>
    </row>
    <row r="38">
      <c r="A38" s="359" t="n">
        <v>34</v>
      </c>
      <c r="B38" s="360" t="inlineStr">
        <is>
          <t>通常</t>
        </is>
      </c>
      <c r="C38" s="361" t="n">
        <v>46203</v>
      </c>
      <c r="D38" s="362" t="inlineStr">
        <is>
          <t>事務費・雑費</t>
        </is>
      </c>
      <c r="E38" s="362" t="inlineStr">
        <is>
          <t>広銀手数料（５月分）</t>
        </is>
      </c>
      <c r="F38" s="363" t="n">
        <v>5750</v>
      </c>
      <c r="G38" s="360" t="inlineStr">
        <is>
          <t>確認済</t>
        </is>
      </c>
      <c r="H38" s="359">
        <f>IF(OR($F38="",$C38=""),"",IF($B38="決算整理",13,MOD(MONTH($C38)-4,12)+1))</f>
        <v>3</v>
      </c>
      <c r="I38" s="364">
        <f>IF(OR($F38="",$D38=""),"",IFERROR(INDEX(費用収益表_貸付!$S$1:$S$60,VLOOKUP($D38,科目表!$K$5:$L$40,2,FALSE))-SUMIFS($F$5:$F38,$D$5:$D38,$D38),"?"))</f>
        <v>168060</v>
      </c>
      <c r="J38" s="366" t="str">
        <f>IF($F38="","",TRIM(IF(ISERROR(MATCH($D38,科目表!$K$5:$K$40,0)),"科目未登録 ","")&amp;IF($G38="","状態未設定 ","")&amp;IF(AND(OR($G38="確認済",$G38="未確認"),$B38="通常",OR($C38="",$C38&lt;DATE(年度+2018,4,1),$C38&gt;DATE(年度+2019,3,31))),"年度外の日付 ","")))</f>
        <v/>
      </c>
      <c r="K38" s="366" t="inlineStr">
        <is>
          <t>管理簿①!36</t>
        </is>
      </c>
    </row>
    <row r="39">
      <c r="A39" s="359" t="n">
        <v>35</v>
      </c>
      <c r="B39" s="360" t="inlineStr">
        <is>
          <t>通常</t>
        </is>
      </c>
      <c r="C39" s="361" t="n">
        <v>46234</v>
      </c>
      <c r="D39" s="362" t="inlineStr">
        <is>
          <t>事務費・雑費</t>
        </is>
      </c>
      <c r="E39" s="362" t="inlineStr">
        <is>
          <t>広銀手数料（６月分）</t>
        </is>
      </c>
      <c r="F39" s="363" t="n">
        <v>6090</v>
      </c>
      <c r="G39" s="360" t="inlineStr">
        <is>
          <t>確認済</t>
        </is>
      </c>
      <c r="H39" s="359">
        <f>IF(OR($F39="",$C39=""),"",IF($B39="決算整理",13,MOD(MONTH($C39)-4,12)+1))</f>
        <v>4</v>
      </c>
      <c r="I39" s="364">
        <f>IF(OR($F39="",$D39=""),"",IFERROR(INDEX(費用収益表_貸付!$S$1:$S$60,VLOOKUP($D39,科目表!$K$5:$L$40,2,FALSE))-SUMIFS($F$5:$F39,$D$5:$D39,$D39),"?"))</f>
        <v>161970</v>
      </c>
      <c r="J39" s="366" t="str">
        <f>IF($F39="","",TRIM(IF(ISERROR(MATCH($D39,科目表!$K$5:$K$40,0)),"科目未登録 ","")&amp;IF($G39="","状態未設定 ","")&amp;IF(AND(OR($G39="確認済",$G39="未確認"),$B39="通常",OR($C39="",$C39&lt;DATE(年度+2018,4,1),$C39&gt;DATE(年度+2019,3,31))),"年度外の日付 ","")))</f>
        <v/>
      </c>
      <c r="K39" s="366" t="inlineStr">
        <is>
          <t>管理簿①!37</t>
        </is>
      </c>
    </row>
    <row r="40">
      <c r="A40" s="359" t="n">
        <v>36</v>
      </c>
      <c r="B40" s="360" t="inlineStr">
        <is>
          <t>通常</t>
        </is>
      </c>
      <c r="C40" s="361" t="n">
        <v>46265</v>
      </c>
      <c r="D40" s="362" t="inlineStr">
        <is>
          <t>事務費・雑費</t>
        </is>
      </c>
      <c r="E40" s="362" t="inlineStr">
        <is>
          <t>広銀手数料（７月分）</t>
        </is>
      </c>
      <c r="F40" s="363" t="n">
        <v>5530</v>
      </c>
      <c r="G40" s="360" t="inlineStr">
        <is>
          <t>確認済</t>
        </is>
      </c>
      <c r="H40" s="359">
        <f>IF(OR($F40="",$C40=""),"",IF($B40="決算整理",13,MOD(MONTH($C40)-4,12)+1))</f>
        <v>5</v>
      </c>
      <c r="I40" s="364">
        <f>IF(OR($F40="",$D40=""),"",IFERROR(INDEX(費用収益表_貸付!$S$1:$S$60,VLOOKUP($D40,科目表!$K$5:$L$40,2,FALSE))-SUMIFS($F$5:$F40,$D$5:$D40,$D40),"?"))</f>
        <v>156440</v>
      </c>
      <c r="J40" s="366" t="str">
        <f>IF($F40="","",TRIM(IF(ISERROR(MATCH($D40,科目表!$K$5:$K$40,0)),"科目未登録 ","")&amp;IF($G40="","状態未設定 ","")&amp;IF(AND(OR($G40="確認済",$G40="未確認"),$B40="通常",OR($C40="",$C40&lt;DATE(年度+2018,4,1),$C40&gt;DATE(年度+2019,3,31))),"年度外の日付 ","")))</f>
        <v/>
      </c>
      <c r="K40" s="366" t="inlineStr">
        <is>
          <t>管理簿①!38</t>
        </is>
      </c>
    </row>
    <row r="41">
      <c r="A41" s="359" t="n">
        <v>37</v>
      </c>
      <c r="B41" s="360" t="inlineStr">
        <is>
          <t>通常</t>
        </is>
      </c>
      <c r="C41" s="361" t="n">
        <v>46295</v>
      </c>
      <c r="D41" s="362" t="inlineStr">
        <is>
          <t>事務費・雑費</t>
        </is>
      </c>
      <c r="E41" s="362" t="inlineStr">
        <is>
          <t>広銀手数料（８月分）</t>
        </is>
      </c>
      <c r="F41" s="363" t="n">
        <v>5190</v>
      </c>
      <c r="G41" s="360" t="inlineStr">
        <is>
          <t>確認済</t>
        </is>
      </c>
      <c r="H41" s="359">
        <f>IF(OR($F41="",$C41=""),"",IF($B41="決算整理",13,MOD(MONTH($C41)-4,12)+1))</f>
        <v>6</v>
      </c>
      <c r="I41" s="364">
        <f>IF(OR($F41="",$D41=""),"",IFERROR(INDEX(費用収益表_貸付!$S$1:$S$60,VLOOKUP($D41,科目表!$K$5:$L$40,2,FALSE))-SUMIFS($F$5:$F41,$D$5:$D41,$D41),"?"))</f>
        <v>151250</v>
      </c>
      <c r="J41" s="366" t="str">
        <f>IF($F41="","",TRIM(IF(ISERROR(MATCH($D41,科目表!$K$5:$K$40,0)),"科目未登録 ","")&amp;IF($G41="","状態未設定 ","")&amp;IF(AND(OR($G41="確認済",$G41="未確認"),$B41="通常",OR($C41="",$C41&lt;DATE(年度+2018,4,1),$C41&gt;DATE(年度+2019,3,31))),"年度外の日付 ","")))</f>
        <v/>
      </c>
      <c r="K41" s="366" t="inlineStr">
        <is>
          <t>管理簿①!39</t>
        </is>
      </c>
    </row>
    <row r="42">
      <c r="A42" s="359" t="n">
        <v>38</v>
      </c>
      <c r="B42" s="360" t="inlineStr">
        <is>
          <t>通常</t>
        </is>
      </c>
      <c r="C42" s="361" t="n">
        <v>46325</v>
      </c>
      <c r="D42" s="362" t="inlineStr">
        <is>
          <t>事務費・雑費</t>
        </is>
      </c>
      <c r="E42" s="362" t="inlineStr">
        <is>
          <t>広銀手数料（９月分）</t>
        </is>
      </c>
      <c r="F42" s="363" t="n">
        <v>5200</v>
      </c>
      <c r="G42" s="360" t="inlineStr">
        <is>
          <t>確認済</t>
        </is>
      </c>
      <c r="H42" s="359">
        <f>IF(OR($F42="",$C42=""),"",IF($B42="決算整理",13,MOD(MONTH($C42)-4,12)+1))</f>
        <v>7</v>
      </c>
      <c r="I42" s="364">
        <f>IF(OR($F42="",$D42=""),"",IFERROR(INDEX(費用収益表_貸付!$S$1:$S$60,VLOOKUP($D42,科目表!$K$5:$L$40,2,FALSE))-SUMIFS($F$5:$F42,$D$5:$D42,$D42),"?"))</f>
        <v>146050</v>
      </c>
      <c r="J42" s="366" t="str">
        <f>IF($F42="","",TRIM(IF(ISERROR(MATCH($D42,科目表!$K$5:$K$40,0)),"科目未登録 ","")&amp;IF($G42="","状態未設定 ","")&amp;IF(AND(OR($G42="確認済",$G42="未確認"),$B42="通常",OR($C42="",$C42&lt;DATE(年度+2018,4,1),$C42&gt;DATE(年度+2019,3,31))),"年度外の日付 ","")))</f>
        <v/>
      </c>
      <c r="K42" s="366" t="inlineStr">
        <is>
          <t>管理簿①!40</t>
        </is>
      </c>
    </row>
    <row r="43">
      <c r="A43" s="359" t="n">
        <v>39</v>
      </c>
      <c r="B43" s="360" t="inlineStr">
        <is>
          <t>通常</t>
        </is>
      </c>
      <c r="C43" s="361" t="n">
        <v>45981</v>
      </c>
      <c r="D43" s="362" t="inlineStr">
        <is>
          <t>事務費・雑費</t>
        </is>
      </c>
      <c r="E43" s="362" t="inlineStr">
        <is>
          <t>広銀手数料（１０月分）</t>
        </is>
      </c>
      <c r="F43" s="363" t="n">
        <v>5750</v>
      </c>
      <c r="G43" s="360" t="inlineStr">
        <is>
          <t>昨年実績</t>
        </is>
      </c>
      <c r="H43" s="359">
        <f>IF(OR($F43="",$C43=""),"",IF($B43="決算整理",13,MOD(MONTH($C43)-4,12)+1))</f>
        <v>8</v>
      </c>
      <c r="I43" s="364">
        <f>IF(OR($F43="",$D43=""),"",IFERROR(INDEX(費用収益表_貸付!$S$1:$S$60,VLOOKUP($D43,科目表!$K$5:$L$40,2,FALSE))-SUMIFS($F$5:$F43,$D$5:$D43,$D43),"?"))</f>
        <v>140300</v>
      </c>
      <c r="J43" s="366" t="str">
        <f>IF($F43="","",TRIM(IF(ISERROR(MATCH($D43,科目表!$K$5:$K$40,0)),"科目未登録 ","")&amp;IF($G43="","状態未設定 ","")&amp;IF(AND(OR($G43="確認済",$G43="未確認"),$B43="通常",OR($C43="",$C43&lt;DATE(年度+2018,4,1),$C43&gt;DATE(年度+2019,3,31))),"年度外の日付 ","")))</f>
        <v/>
      </c>
      <c r="K43" s="366" t="inlineStr">
        <is>
          <t>管理簿①!41</t>
        </is>
      </c>
    </row>
    <row r="44">
      <c r="A44" s="359" t="n">
        <v>40</v>
      </c>
      <c r="B44" s="360" t="inlineStr">
        <is>
          <t>通常</t>
        </is>
      </c>
      <c r="C44" s="361" t="n">
        <v>46010</v>
      </c>
      <c r="D44" s="362" t="inlineStr">
        <is>
          <t>事務費・雑費</t>
        </is>
      </c>
      <c r="E44" s="362" t="inlineStr">
        <is>
          <t>広銀手数料（１１月分）</t>
        </is>
      </c>
      <c r="F44" s="363" t="n">
        <v>9239</v>
      </c>
      <c r="G44" s="360" t="inlineStr">
        <is>
          <t>昨年実績</t>
        </is>
      </c>
      <c r="H44" s="359">
        <f>IF(OR($F44="",$C44=""),"",IF($B44="決算整理",13,MOD(MONTH($C44)-4,12)+1))</f>
        <v>9</v>
      </c>
      <c r="I44" s="364">
        <f>IF(OR($F44="",$D44=""),"",IFERROR(INDEX(費用収益表_貸付!$S$1:$S$60,VLOOKUP($D44,科目表!$K$5:$L$40,2,FALSE))-SUMIFS($F$5:$F44,$D$5:$D44,$D44),"?"))</f>
        <v>131061</v>
      </c>
      <c r="J44" s="366" t="str">
        <f>IF($F44="","",TRIM(IF(ISERROR(MATCH($D44,科目表!$K$5:$K$40,0)),"科目未登録 ","")&amp;IF($G44="","状態未設定 ","")&amp;IF(AND(OR($G44="確認済",$G44="未確認"),$B44="通常",OR($C44="",$C44&lt;DATE(年度+2018,4,1),$C44&gt;DATE(年度+2019,3,31))),"年度外の日付 ","")))</f>
        <v/>
      </c>
      <c r="K44" s="366" t="inlineStr">
        <is>
          <t>管理簿①!42</t>
        </is>
      </c>
    </row>
    <row r="45">
      <c r="A45" s="359" t="n">
        <v>41</v>
      </c>
      <c r="B45" s="360" t="inlineStr">
        <is>
          <t>通常</t>
        </is>
      </c>
      <c r="C45" s="361" t="n">
        <v>46035</v>
      </c>
      <c r="D45" s="362" t="inlineStr">
        <is>
          <t>事務費・雑費</t>
        </is>
      </c>
      <c r="E45" s="362" t="inlineStr">
        <is>
          <t>HITLINE基本料</t>
        </is>
      </c>
      <c r="F45" s="363" t="n">
        <v>2200</v>
      </c>
      <c r="G45" s="360" t="inlineStr">
        <is>
          <t>昨年実績</t>
        </is>
      </c>
      <c r="H45" s="359">
        <f>IF(OR($F45="",$C45=""),"",IF($B45="決算整理",13,MOD(MONTH($C45)-4,12)+1))</f>
        <v>10</v>
      </c>
      <c r="I45" s="364">
        <f>IF(OR($F45="",$D45=""),"",IFERROR(INDEX(費用収益表_貸付!$S$1:$S$60,VLOOKUP($D45,科目表!$K$5:$L$40,2,FALSE))-SUMIFS($F$5:$F45,$D$5:$D45,$D45),"?"))</f>
        <v>128861</v>
      </c>
      <c r="J45" s="366" t="str">
        <f>IF($F45="","",TRIM(IF(ISERROR(MATCH($D45,科目表!$K$5:$K$40,0)),"科目未登録 ","")&amp;IF($G45="","状態未設定 ","")&amp;IF(AND(OR($G45="確認済",$G45="未確認"),$B45="通常",OR($C45="",$C45&lt;DATE(年度+2018,4,1),$C45&gt;DATE(年度+2019,3,31))),"年度外の日付 ","")))</f>
        <v/>
      </c>
      <c r="K45" s="366" t="inlineStr">
        <is>
          <t>管理簿①!43</t>
        </is>
      </c>
    </row>
    <row r="46">
      <c r="A46" s="359" t="n">
        <v>42</v>
      </c>
      <c r="B46" s="360" t="inlineStr">
        <is>
          <t>通常</t>
        </is>
      </c>
      <c r="C46" s="361" t="n">
        <v>46035</v>
      </c>
      <c r="D46" s="362" t="inlineStr">
        <is>
          <t>事務費・雑費</t>
        </is>
      </c>
      <c r="E46" s="362" t="inlineStr">
        <is>
          <t>HITLINE手数料</t>
        </is>
      </c>
      <c r="F46" s="363" t="n">
        <v>11220</v>
      </c>
      <c r="G46" s="360" t="inlineStr">
        <is>
          <t>昨年実績</t>
        </is>
      </c>
      <c r="H46" s="359">
        <f>IF(OR($F46="",$C46=""),"",IF($B46="決算整理",13,MOD(MONTH($C46)-4,12)+1))</f>
        <v>10</v>
      </c>
      <c r="I46" s="364">
        <f>IF(OR($F46="",$D46=""),"",IFERROR(INDEX(費用収益表_貸付!$S$1:$S$60,VLOOKUP($D46,科目表!$K$5:$L$40,2,FALSE))-SUMIFS($F$5:$F46,$D$5:$D46,$D46),"?"))</f>
        <v>117641</v>
      </c>
      <c r="J46" s="366" t="str">
        <f>IF($F46="","",TRIM(IF(ISERROR(MATCH($D46,科目表!$K$5:$K$40,0)),"科目未登録 ","")&amp;IF($G46="","状態未設定 ","")&amp;IF(AND(OR($G46="確認済",$G46="未確認"),$B46="通常",OR($C46="",$C46&lt;DATE(年度+2018,4,1),$C46&gt;DATE(年度+2019,3,31))),"年度外の日付 ","")))</f>
        <v/>
      </c>
      <c r="K46" s="366" t="inlineStr">
        <is>
          <t>管理簿①!44</t>
        </is>
      </c>
    </row>
    <row r="47">
      <c r="A47" s="359" t="n">
        <v>43</v>
      </c>
      <c r="B47" s="360" t="inlineStr">
        <is>
          <t>通常</t>
        </is>
      </c>
      <c r="C47" s="361" t="n">
        <v>46051</v>
      </c>
      <c r="D47" s="362" t="inlineStr">
        <is>
          <t>事務費・雑費</t>
        </is>
      </c>
      <c r="E47" s="362" t="inlineStr">
        <is>
          <t>広銀手数料（１２月分）</t>
        </is>
      </c>
      <c r="F47" s="363" t="n">
        <v>6210</v>
      </c>
      <c r="G47" s="360" t="inlineStr">
        <is>
          <t>昨年実績</t>
        </is>
      </c>
      <c r="H47" s="359">
        <f>IF(OR($F47="",$C47=""),"",IF($B47="決算整理",13,MOD(MONTH($C47)-4,12)+1))</f>
        <v>10</v>
      </c>
      <c r="I47" s="364">
        <f>IF(OR($F47="",$D47=""),"",IFERROR(INDEX(費用収益表_貸付!$S$1:$S$60,VLOOKUP($D47,科目表!$K$5:$L$40,2,FALSE))-SUMIFS($F$5:$F47,$D$5:$D47,$D47),"?"))</f>
        <v>111431</v>
      </c>
      <c r="J47" s="366" t="str">
        <f>IF($F47="","",TRIM(IF(ISERROR(MATCH($D47,科目表!$K$5:$K$40,0)),"科目未登録 ","")&amp;IF($G47="","状態未設定 ","")&amp;IF(AND(OR($G47="確認済",$G47="未確認"),$B47="通常",OR($C47="",$C47&lt;DATE(年度+2018,4,1),$C47&gt;DATE(年度+2019,3,31))),"年度外の日付 ","")))</f>
        <v/>
      </c>
      <c r="K47" s="366" t="inlineStr">
        <is>
          <t>管理簿①!45</t>
        </is>
      </c>
    </row>
    <row r="48">
      <c r="A48" s="359" t="n">
        <v>44</v>
      </c>
      <c r="B48" s="360" t="inlineStr">
        <is>
          <t>通常</t>
        </is>
      </c>
      <c r="C48" s="361" t="n">
        <v>46078</v>
      </c>
      <c r="D48" s="362" t="inlineStr">
        <is>
          <t>事務費・雑費</t>
        </is>
      </c>
      <c r="E48" s="362" t="inlineStr">
        <is>
          <t>広銀手数料（１月分）</t>
        </is>
      </c>
      <c r="F48" s="363" t="n">
        <v>7190</v>
      </c>
      <c r="G48" s="360" t="inlineStr">
        <is>
          <t>昨年実績</t>
        </is>
      </c>
      <c r="H48" s="359">
        <f>IF(OR($F48="",$C48=""),"",IF($B48="決算整理",13,MOD(MONTH($C48)-4,12)+1))</f>
        <v>11</v>
      </c>
      <c r="I48" s="364">
        <f>IF(OR($F48="",$D48=""),"",IFERROR(INDEX(費用収益表_貸付!$S$1:$S$60,VLOOKUP($D48,科目表!$K$5:$L$40,2,FALSE))-SUMIFS($F$5:$F48,$D$5:$D48,$D48),"?"))</f>
        <v>104241</v>
      </c>
      <c r="J48" s="366" t="str">
        <f>IF($F48="","",TRIM(IF(ISERROR(MATCH($D48,科目表!$K$5:$K$40,0)),"科目未登録 ","")&amp;IF($G48="","状態未設定 ","")&amp;IF(AND(OR($G48="確認済",$G48="未確認"),$B48="通常",OR($C48="",$C48&lt;DATE(年度+2018,4,1),$C48&gt;DATE(年度+2019,3,31))),"年度外の日付 ","")))</f>
        <v/>
      </c>
      <c r="K48" s="366" t="inlineStr">
        <is>
          <t>管理簿①!46</t>
        </is>
      </c>
    </row>
    <row r="49">
      <c r="A49" s="359" t="n">
        <v>45</v>
      </c>
      <c r="B49" s="360" t="inlineStr">
        <is>
          <t>通常</t>
        </is>
      </c>
      <c r="C49" s="361" t="n">
        <v>46104</v>
      </c>
      <c r="D49" s="362" t="inlineStr">
        <is>
          <t>事務費・雑費</t>
        </is>
      </c>
      <c r="E49" s="362" t="inlineStr">
        <is>
          <t>広銀手数料（２月分）</t>
        </is>
      </c>
      <c r="F49" s="363" t="n">
        <v>6200</v>
      </c>
      <c r="G49" s="360" t="inlineStr">
        <is>
          <t>昨年実績</t>
        </is>
      </c>
      <c r="H49" s="359">
        <f>IF(OR($F49="",$C49=""),"",IF($B49="決算整理",13,MOD(MONTH($C49)-4,12)+1))</f>
        <v>12</v>
      </c>
      <c r="I49" s="364">
        <f>IF(OR($F49="",$D49=""),"",IFERROR(INDEX(費用収益表_貸付!$S$1:$S$60,VLOOKUP($D49,科目表!$K$5:$L$40,2,FALSE))-SUMIFS($F$5:$F49,$D$5:$D49,$D49),"?"))</f>
        <v>98041</v>
      </c>
      <c r="J49" s="366" t="str">
        <f>IF($F49="","",TRIM(IF(ISERROR(MATCH($D49,科目表!$K$5:$K$40,0)),"科目未登録 ","")&amp;IF($G49="","状態未設定 ","")&amp;IF(AND(OR($G49="確認済",$G49="未確認"),$B49="通常",OR($C49="",$C49&lt;DATE(年度+2018,4,1),$C49&gt;DATE(年度+2019,3,31))),"年度外の日付 ","")))</f>
        <v/>
      </c>
      <c r="K49" s="366" t="inlineStr">
        <is>
          <t>管理簿①!47</t>
        </is>
      </c>
    </row>
    <row r="50">
      <c r="A50" s="359" t="n">
        <v>46</v>
      </c>
      <c r="B50" s="360" t="inlineStr">
        <is>
          <t>決算整理</t>
        </is>
      </c>
      <c r="C50" s="361" t="n">
        <v>44694</v>
      </c>
      <c r="D50" s="362" t="inlineStr">
        <is>
          <t>事務費・雑費</t>
        </is>
      </c>
      <c r="E50" s="362" t="inlineStr">
        <is>
          <t>広銀手数料（３月分）</t>
        </is>
      </c>
      <c r="F50" s="363" t="n">
        <v>13755</v>
      </c>
      <c r="G50" s="360" t="inlineStr">
        <is>
          <t>昨年実績</t>
        </is>
      </c>
      <c r="H50" s="359">
        <f>IF(OR($F50="",$C50=""),"",IF($B50="決算整理",13,MOD(MONTH($C50)-4,12)+1))</f>
        <v>13</v>
      </c>
      <c r="I50" s="364">
        <f>IF(OR($F50="",$D50=""),"",IFERROR(INDEX(費用収益表_貸付!$S$1:$S$60,VLOOKUP($D50,科目表!$K$5:$L$40,2,FALSE))-SUMIFS($F$5:$F50,$D$5:$D50,$D50),"?"))</f>
        <v>84286</v>
      </c>
      <c r="J50" s="366" t="str">
        <f>IF($F50="","",TRIM(IF(ISERROR(MATCH($D50,科目表!$K$5:$K$40,0)),"科目未登録 ","")&amp;IF($G50="","状態未設定 ","")&amp;IF(AND(OR($G50="確認済",$G50="未確認"),$B50="通常",OR($C50="",$C50&lt;DATE(年度+2018,4,1),$C50&gt;DATE(年度+2019,3,31))),"年度外の日付 ","")))</f>
        <v/>
      </c>
      <c r="K50" s="366" t="inlineStr">
        <is>
          <t>管理簿①!48</t>
        </is>
      </c>
    </row>
    <row r="51">
      <c r="A51" s="359" t="n">
        <v>47</v>
      </c>
      <c r="B51" s="360" t="inlineStr">
        <is>
          <t>通常</t>
        </is>
      </c>
      <c r="C51" s="361" t="n">
        <v>46295</v>
      </c>
      <c r="D51" s="362" t="inlineStr">
        <is>
          <t>委託費</t>
        </is>
      </c>
      <c r="E51" s="362" t="inlineStr">
        <is>
          <t>オフィスライセンス調達</t>
        </is>
      </c>
      <c r="F51" s="363" t="n">
        <v>153120</v>
      </c>
      <c r="G51" s="360" t="inlineStr">
        <is>
          <t>確認済</t>
        </is>
      </c>
      <c r="H51" s="359">
        <f>IF(OR($F51="",$C51=""),"",IF($B51="決算整理",13,MOD(MONTH($C51)-4,12)+1))</f>
        <v>6</v>
      </c>
      <c r="I51" s="364">
        <f>IF(OR($F51="",$D51=""),"",IFERROR(INDEX(費用収益表_貸付!$S$1:$S$60,VLOOKUP($D51,科目表!$K$5:$L$40,2,FALSE))-SUMIFS($F$5:$F51,$D$5:$D51,$D51),"?"))</f>
        <v>371880</v>
      </c>
      <c r="J51" s="366" t="str">
        <f>IF($F51="","",TRIM(IF(ISERROR(MATCH($D51,科目表!$K$5:$K$40,0)),"科目未登録 ","")&amp;IF($G51="","状態未設定 ","")&amp;IF(AND(OR($G51="確認済",$G51="未確認"),$B51="通常",OR($C51="",$C51&lt;DATE(年度+2018,4,1),$C51&gt;DATE(年度+2019,3,31))),"年度外の日付 ","")))</f>
        <v/>
      </c>
      <c r="K51" s="366" t="inlineStr">
        <is>
          <t>管理簿②!18</t>
        </is>
      </c>
    </row>
    <row r="52">
      <c r="A52" s="359" t="n">
        <v>48</v>
      </c>
      <c r="B52" s="360" t="inlineStr">
        <is>
          <t>通常</t>
        </is>
      </c>
      <c r="C52" s="361" t="n">
        <v>45954</v>
      </c>
      <c r="D52" s="362" t="inlineStr">
        <is>
          <t>委託費</t>
        </is>
      </c>
      <c r="E52" s="362" t="inlineStr">
        <is>
          <t>基幹・特定検診等システムMicro Focus COBOL 更新ライセンス</t>
        </is>
      </c>
      <c r="F52" s="363" t="n">
        <v>36943</v>
      </c>
      <c r="G52" s="360" t="inlineStr">
        <is>
          <t>昨年実績</t>
        </is>
      </c>
      <c r="H52" s="359">
        <f>IF(OR($F52="",$C52=""),"",IF($B52="決算整理",13,MOD(MONTH($C52)-4,12)+1))</f>
        <v>7</v>
      </c>
      <c r="I52" s="364">
        <f>IF(OR($F52="",$D52=""),"",IFERROR(INDEX(費用収益表_貸付!$S$1:$S$60,VLOOKUP($D52,科目表!$K$5:$L$40,2,FALSE))-SUMIFS($F$5:$F52,$D$5:$D52,$D52),"?"))</f>
        <v>334937</v>
      </c>
      <c r="J52" s="366" t="str">
        <f>IF($F52="","",TRIM(IF(ISERROR(MATCH($D52,科目表!$K$5:$K$40,0)),"科目未登録 ","")&amp;IF($G52="","状態未設定 ","")&amp;IF(AND(OR($G52="確認済",$G52="未確認"),$B52="通常",OR($C52="",$C52&lt;DATE(年度+2018,4,1),$C52&gt;DATE(年度+2019,3,31))),"年度外の日付 ","")))</f>
        <v/>
      </c>
      <c r="K52" s="366" t="inlineStr">
        <is>
          <t>管理簿②!19</t>
        </is>
      </c>
    </row>
    <row r="53">
      <c r="A53" s="359" t="n">
        <v>49</v>
      </c>
      <c r="B53" s="360" t="inlineStr">
        <is>
          <t>通常</t>
        </is>
      </c>
      <c r="C53" s="361" t="n">
        <v>45635</v>
      </c>
      <c r="D53" s="362" t="inlineStr">
        <is>
          <t>委託費</t>
        </is>
      </c>
      <c r="E53" s="362" t="inlineStr">
        <is>
          <t>基幹個別システム導入支援</t>
        </is>
      </c>
      <c r="F53" s="363" t="n">
        <v>150488</v>
      </c>
      <c r="G53" s="360" t="inlineStr">
        <is>
          <t>昨年実績</t>
        </is>
      </c>
      <c r="H53" s="359">
        <f>IF(OR($F53="",$C53=""),"",IF($B53="決算整理",13,MOD(MONTH($C53)-4,12)+1))</f>
        <v>9</v>
      </c>
      <c r="I53" s="364">
        <f>IF(OR($F53="",$D53=""),"",IFERROR(INDEX(費用収益表_貸付!$S$1:$S$60,VLOOKUP($D53,科目表!$K$5:$L$40,2,FALSE))-SUMIFS($F$5:$F53,$D$5:$D53,$D53),"?"))</f>
        <v>184449</v>
      </c>
      <c r="J53" s="366" t="str">
        <f>IF($F53="","",TRIM(IF(ISERROR(MATCH($D53,科目表!$K$5:$K$40,0)),"科目未登録 ","")&amp;IF($G53="","状態未設定 ","")&amp;IF(AND(OR($G53="確認済",$G53="未確認"),$B53="通常",OR($C53="",$C53&lt;DATE(年度+2018,4,1),$C53&gt;DATE(年度+2019,3,31))),"年度外の日付 ","")))</f>
        <v/>
      </c>
      <c r="K53" s="366" t="inlineStr">
        <is>
          <t>管理簿②!20</t>
        </is>
      </c>
    </row>
    <row r="54">
      <c r="A54" s="359" t="n">
        <v>50</v>
      </c>
      <c r="B54" s="360" t="inlineStr">
        <is>
          <t>決算整理</t>
        </is>
      </c>
      <c r="C54" s="361" t="n">
        <v>46127</v>
      </c>
      <c r="D54" s="362" t="inlineStr">
        <is>
          <t>委託費</t>
        </is>
      </c>
      <c r="E54" s="362" t="inlineStr">
        <is>
          <t>基幹個別（資格・貸付）システム保守費</t>
        </is>
      </c>
      <c r="F54" s="363" t="n">
        <v>192720</v>
      </c>
      <c r="G54" s="360" t="inlineStr">
        <is>
          <t>昨年実績</t>
        </is>
      </c>
      <c r="H54" s="359">
        <f>IF(OR($F54="",$C54=""),"",IF($B54="決算整理",13,MOD(MONTH($C54)-4,12)+1))</f>
        <v>13</v>
      </c>
      <c r="I54" s="364">
        <f>IF(OR($F54="",$D54=""),"",IFERROR(INDEX(費用収益表_貸付!$S$1:$S$60,VLOOKUP($D54,科目表!$K$5:$L$40,2,FALSE))-SUMIFS($F$5:$F54,$D$5:$D54,$D54),"?"))</f>
        <v>-8271</v>
      </c>
      <c r="J54" s="366" t="str">
        <f>IF($F54="","",TRIM(IF(ISERROR(MATCH($D54,科目表!$K$5:$K$40,0)),"科目未登録 ","")&amp;IF($G54="","状態未設定 ","")&amp;IF(AND(OR($G54="確認済",$G54="未確認"),$B54="通常",OR($C54="",$C54&lt;DATE(年度+2018,4,1),$C54&gt;DATE(年度+2019,3,31))),"年度外の日付 ","")))</f>
        <v/>
      </c>
      <c r="K54" s="366" t="inlineStr">
        <is>
          <t>管理簿②!23</t>
        </is>
      </c>
    </row>
    <row r="55">
      <c r="A55" s="359" t="n">
        <v>51</v>
      </c>
      <c r="B55" s="360" t="inlineStr">
        <is>
          <t>通常</t>
        </is>
      </c>
      <c r="C55" s="361" t="n">
        <v>46171</v>
      </c>
      <c r="D55" s="362" t="inlineStr">
        <is>
          <t>賃借料</t>
        </is>
      </c>
      <c r="E55" s="362" t="inlineStr">
        <is>
          <t>ﾊﾟｿｺﾝ(貸付用)ｻﾝﾈｯﾄ（4月分）</t>
        </is>
      </c>
      <c r="F55" s="363" t="n">
        <v>5060</v>
      </c>
      <c r="G55" s="360" t="inlineStr">
        <is>
          <t>確認済</t>
        </is>
      </c>
      <c r="H55" s="359">
        <f>IF(OR($F55="",$C55=""),"",IF($B55="決算整理",13,MOD(MONTH($C55)-4,12)+1))</f>
        <v>2</v>
      </c>
      <c r="I55" s="364">
        <f>IF(OR($F55="",$D55=""),"",IFERROR(INDEX(費用収益表_貸付!$S$1:$S$60,VLOOKUP($D55,科目表!$K$5:$L$40,2,FALSE))-SUMIFS($F$5:$F55,$D$5:$D55,$D55),"?"))</f>
        <v>876940</v>
      </c>
      <c r="J55" s="366" t="str">
        <f>IF($F55="","",TRIM(IF(ISERROR(MATCH($D55,科目表!$K$5:$K$40,0)),"科目未登録 ","")&amp;IF($G55="","状態未設定 ","")&amp;IF(AND(OR($G55="確認済",$G55="未確認"),$B55="通常",OR($C55="",$C55&lt;DATE(年度+2018,4,1),$C55&gt;DATE(年度+2019,3,31))),"年度外の日付 ","")))</f>
        <v/>
      </c>
      <c r="K55" s="366" t="inlineStr">
        <is>
          <t>管理簿②!37</t>
        </is>
      </c>
    </row>
    <row r="56">
      <c r="A56" s="359" t="n">
        <v>52</v>
      </c>
      <c r="B56" s="360" t="inlineStr">
        <is>
          <t>通常</t>
        </is>
      </c>
      <c r="C56" s="361" t="n">
        <v>46171</v>
      </c>
      <c r="D56" s="362" t="inlineStr">
        <is>
          <t>賃借料</t>
        </is>
      </c>
      <c r="E56" s="362" t="inlineStr">
        <is>
          <t>基幹システム用機器賃借料4月分</t>
        </is>
      </c>
      <c r="F56" s="363" t="n">
        <v>69614</v>
      </c>
      <c r="G56" s="360" t="inlineStr">
        <is>
          <t>確認済</t>
        </is>
      </c>
      <c r="H56" s="359">
        <f>IF(OR($F56="",$C56=""),"",IF($B56="決算整理",13,MOD(MONTH($C56)-4,12)+1))</f>
        <v>2</v>
      </c>
      <c r="I56" s="364">
        <f>IF(OR($F56="",$D56=""),"",IFERROR(INDEX(費用収益表_貸付!$S$1:$S$60,VLOOKUP($D56,科目表!$K$5:$L$40,2,FALSE))-SUMIFS($F$5:$F56,$D$5:$D56,$D56),"?"))</f>
        <v>807326</v>
      </c>
      <c r="J56" s="366" t="str">
        <f>IF($F56="","",TRIM(IF(ISERROR(MATCH($D56,科目表!$K$5:$K$40,0)),"科目未登録 ","")&amp;IF($G56="","状態未設定 ","")&amp;IF(AND(OR($G56="確認済",$G56="未確認"),$B56="通常",OR($C56="",$C56&lt;DATE(年度+2018,4,1),$C56&gt;DATE(年度+2019,3,31))),"年度外の日付 ","")))</f>
        <v/>
      </c>
      <c r="K56" s="366" t="inlineStr">
        <is>
          <t>管理簿②!38</t>
        </is>
      </c>
    </row>
    <row r="57">
      <c r="A57" s="359" t="n">
        <v>53</v>
      </c>
      <c r="B57" s="360" t="inlineStr">
        <is>
          <t>通常</t>
        </is>
      </c>
      <c r="C57" s="361" t="n">
        <v>46202</v>
      </c>
      <c r="D57" s="362" t="inlineStr">
        <is>
          <t>賃借料</t>
        </is>
      </c>
      <c r="E57" s="362" t="inlineStr">
        <is>
          <t>ﾊﾟｿｺﾝ(貸付用)ｻﾝﾈｯﾄ（5月分）</t>
        </is>
      </c>
      <c r="F57" s="363" t="n">
        <v>5060</v>
      </c>
      <c r="G57" s="360" t="inlineStr">
        <is>
          <t>確認済</t>
        </is>
      </c>
      <c r="H57" s="359">
        <f>IF(OR($F57="",$C57=""),"",IF($B57="決算整理",13,MOD(MONTH($C57)-4,12)+1))</f>
        <v>3</v>
      </c>
      <c r="I57" s="364">
        <f>IF(OR($F57="",$D57=""),"",IFERROR(INDEX(費用収益表_貸付!$S$1:$S$60,VLOOKUP($D57,科目表!$K$5:$L$40,2,FALSE))-SUMIFS($F$5:$F57,$D$5:$D57,$D57),"?"))</f>
        <v>802266</v>
      </c>
      <c r="J57" s="366" t="str">
        <f>IF($F57="","",TRIM(IF(ISERROR(MATCH($D57,科目表!$K$5:$K$40,0)),"科目未登録 ","")&amp;IF($G57="","状態未設定 ","")&amp;IF(AND(OR($G57="確認済",$G57="未確認"),$B57="通常",OR($C57="",$C57&lt;DATE(年度+2018,4,1),$C57&gt;DATE(年度+2019,3,31))),"年度外の日付 ","")))</f>
        <v/>
      </c>
      <c r="K57" s="366" t="inlineStr">
        <is>
          <t>管理簿②!39</t>
        </is>
      </c>
    </row>
    <row r="58">
      <c r="A58" s="359" t="n">
        <v>54</v>
      </c>
      <c r="B58" s="360" t="inlineStr">
        <is>
          <t>通常</t>
        </is>
      </c>
      <c r="C58" s="361" t="n">
        <v>46202</v>
      </c>
      <c r="D58" s="362" t="inlineStr">
        <is>
          <t>賃借料</t>
        </is>
      </c>
      <c r="E58" s="362" t="inlineStr">
        <is>
          <t>基幹システム用機器賃借料5月分</t>
        </is>
      </c>
      <c r="F58" s="363" t="n">
        <v>69614</v>
      </c>
      <c r="G58" s="360" t="inlineStr">
        <is>
          <t>確認済</t>
        </is>
      </c>
      <c r="H58" s="359">
        <f>IF(OR($F58="",$C58=""),"",IF($B58="決算整理",13,MOD(MONTH($C58)-4,12)+1))</f>
        <v>3</v>
      </c>
      <c r="I58" s="364">
        <f>IF(OR($F58="",$D58=""),"",IFERROR(INDEX(費用収益表_貸付!$S$1:$S$60,VLOOKUP($D58,科目表!$K$5:$L$40,2,FALSE))-SUMIFS($F$5:$F58,$D$5:$D58,$D58),"?"))</f>
        <v>732652</v>
      </c>
      <c r="J58" s="366" t="str">
        <f>IF($F58="","",TRIM(IF(ISERROR(MATCH($D58,科目表!$K$5:$K$40,0)),"科目未登録 ","")&amp;IF($G58="","状態未設定 ","")&amp;IF(AND(OR($G58="確認済",$G58="未確認"),$B58="通常",OR($C58="",$C58&lt;DATE(年度+2018,4,1),$C58&gt;DATE(年度+2019,3,31))),"年度外の日付 ","")))</f>
        <v/>
      </c>
      <c r="K58" s="366" t="inlineStr">
        <is>
          <t>管理簿②!40</t>
        </is>
      </c>
    </row>
    <row r="59">
      <c r="A59" s="359" t="n">
        <v>55</v>
      </c>
      <c r="B59" s="360" t="inlineStr">
        <is>
          <t>通常</t>
        </is>
      </c>
      <c r="C59" s="361" t="n">
        <v>46232</v>
      </c>
      <c r="D59" s="362" t="inlineStr">
        <is>
          <t>賃借料</t>
        </is>
      </c>
      <c r="E59" s="362" t="inlineStr">
        <is>
          <t>ﾊﾟｿｺﾝ(貸付用)ｻﾝﾈｯﾄ（6月分）</t>
        </is>
      </c>
      <c r="F59" s="363" t="n">
        <v>5060</v>
      </c>
      <c r="G59" s="360" t="inlineStr">
        <is>
          <t>確認済</t>
        </is>
      </c>
      <c r="H59" s="359">
        <f>IF(OR($F59="",$C59=""),"",IF($B59="決算整理",13,MOD(MONTH($C59)-4,12)+1))</f>
        <v>4</v>
      </c>
      <c r="I59" s="364">
        <f>IF(OR($F59="",$D59=""),"",IFERROR(INDEX(費用収益表_貸付!$S$1:$S$60,VLOOKUP($D59,科目表!$K$5:$L$40,2,FALSE))-SUMIFS($F$5:$F59,$D$5:$D59,$D59),"?"))</f>
        <v>727592</v>
      </c>
      <c r="J59" s="366" t="str">
        <f>IF($F59="","",TRIM(IF(ISERROR(MATCH($D59,科目表!$K$5:$K$40,0)),"科目未登録 ","")&amp;IF($G59="","状態未設定 ","")&amp;IF(AND(OR($G59="確認済",$G59="未確認"),$B59="通常",OR($C59="",$C59&lt;DATE(年度+2018,4,1),$C59&gt;DATE(年度+2019,3,31))),"年度外の日付 ","")))</f>
        <v/>
      </c>
      <c r="K59" s="366" t="inlineStr">
        <is>
          <t>管理簿②!41</t>
        </is>
      </c>
    </row>
    <row r="60">
      <c r="A60" s="359" t="n">
        <v>56</v>
      </c>
      <c r="B60" s="360" t="inlineStr">
        <is>
          <t>通常</t>
        </is>
      </c>
      <c r="C60" s="361" t="n">
        <v>46232</v>
      </c>
      <c r="D60" s="362" t="inlineStr">
        <is>
          <t>賃借料</t>
        </is>
      </c>
      <c r="E60" s="362" t="inlineStr">
        <is>
          <t>基幹システム用機器賃借料6月分</t>
        </is>
      </c>
      <c r="F60" s="363" t="n">
        <v>69614</v>
      </c>
      <c r="G60" s="360" t="inlineStr">
        <is>
          <t>確認済</t>
        </is>
      </c>
      <c r="H60" s="359">
        <f>IF(OR($F60="",$C60=""),"",IF($B60="決算整理",13,MOD(MONTH($C60)-4,12)+1))</f>
        <v>4</v>
      </c>
      <c r="I60" s="364">
        <f>IF(OR($F60="",$D60=""),"",IFERROR(INDEX(費用収益表_貸付!$S$1:$S$60,VLOOKUP($D60,科目表!$K$5:$L$40,2,FALSE))-SUMIFS($F$5:$F60,$D$5:$D60,$D60),"?"))</f>
        <v>657978</v>
      </c>
      <c r="J60" s="366" t="str">
        <f>IF($F60="","",TRIM(IF(ISERROR(MATCH($D60,科目表!$K$5:$K$40,0)),"科目未登録 ","")&amp;IF($G60="","状態未設定 ","")&amp;IF(AND(OR($G60="確認済",$G60="未確認"),$B60="通常",OR($C60="",$C60&lt;DATE(年度+2018,4,1),$C60&gt;DATE(年度+2019,3,31))),"年度外の日付 ","")))</f>
        <v/>
      </c>
      <c r="K60" s="366" t="inlineStr">
        <is>
          <t>管理簿②!42</t>
        </is>
      </c>
    </row>
    <row r="61">
      <c r="A61" s="359" t="n">
        <v>57</v>
      </c>
      <c r="B61" s="360" t="inlineStr">
        <is>
          <t>通常</t>
        </is>
      </c>
      <c r="C61" s="361" t="n">
        <v>46262</v>
      </c>
      <c r="D61" s="362" t="inlineStr">
        <is>
          <t>賃借料</t>
        </is>
      </c>
      <c r="E61" s="362" t="inlineStr">
        <is>
          <t>ﾊﾟｿｺﾝ(貸付用)ｻﾝﾈｯﾄ（7月分）</t>
        </is>
      </c>
      <c r="F61" s="363" t="n">
        <v>5060</v>
      </c>
      <c r="G61" s="360" t="inlineStr">
        <is>
          <t>確認済</t>
        </is>
      </c>
      <c r="H61" s="359">
        <f>IF(OR($F61="",$C61=""),"",IF($B61="決算整理",13,MOD(MONTH($C61)-4,12)+1))</f>
        <v>5</v>
      </c>
      <c r="I61" s="364">
        <f>IF(OR($F61="",$D61=""),"",IFERROR(INDEX(費用収益表_貸付!$S$1:$S$60,VLOOKUP($D61,科目表!$K$5:$L$40,2,FALSE))-SUMIFS($F$5:$F61,$D$5:$D61,$D61),"?"))</f>
        <v>652918</v>
      </c>
      <c r="J61" s="366" t="str">
        <f>IF($F61="","",TRIM(IF(ISERROR(MATCH($D61,科目表!$K$5:$K$40,0)),"科目未登録 ","")&amp;IF($G61="","状態未設定 ","")&amp;IF(AND(OR($G61="確認済",$G61="未確認"),$B61="通常",OR($C61="",$C61&lt;DATE(年度+2018,4,1),$C61&gt;DATE(年度+2019,3,31))),"年度外の日付 ","")))</f>
        <v/>
      </c>
      <c r="K61" s="366" t="inlineStr">
        <is>
          <t>管理簿②!43</t>
        </is>
      </c>
    </row>
    <row r="62">
      <c r="A62" s="359" t="n">
        <v>58</v>
      </c>
      <c r="B62" s="360" t="inlineStr">
        <is>
          <t>通常</t>
        </is>
      </c>
      <c r="C62" s="361" t="n">
        <v>46262</v>
      </c>
      <c r="D62" s="362" t="inlineStr">
        <is>
          <t>賃借料</t>
        </is>
      </c>
      <c r="E62" s="362" t="inlineStr">
        <is>
          <t>基幹システム用機器賃借料7月分</t>
        </is>
      </c>
      <c r="F62" s="363" t="n">
        <v>69614</v>
      </c>
      <c r="G62" s="360" t="inlineStr">
        <is>
          <t>確認済</t>
        </is>
      </c>
      <c r="H62" s="359">
        <f>IF(OR($F62="",$C62=""),"",IF($B62="決算整理",13,MOD(MONTH($C62)-4,12)+1))</f>
        <v>5</v>
      </c>
      <c r="I62" s="364">
        <f>IF(OR($F62="",$D62=""),"",IFERROR(INDEX(費用収益表_貸付!$S$1:$S$60,VLOOKUP($D62,科目表!$K$5:$L$40,2,FALSE))-SUMIFS($F$5:$F62,$D$5:$D62,$D62),"?"))</f>
        <v>583304</v>
      </c>
      <c r="J62" s="366" t="str">
        <f>IF($F62="","",TRIM(IF(ISERROR(MATCH($D62,科目表!$K$5:$K$40,0)),"科目未登録 ","")&amp;IF($G62="","状態未設定 ","")&amp;IF(AND(OR($G62="確認済",$G62="未確認"),$B62="通常",OR($C62="",$C62&lt;DATE(年度+2018,4,1),$C62&gt;DATE(年度+2019,3,31))),"年度外の日付 ","")))</f>
        <v/>
      </c>
      <c r="K62" s="366" t="inlineStr">
        <is>
          <t>管理簿②!44</t>
        </is>
      </c>
    </row>
    <row r="63">
      <c r="A63" s="359" t="n">
        <v>59</v>
      </c>
      <c r="B63" s="360" t="inlineStr">
        <is>
          <t>通常</t>
        </is>
      </c>
      <c r="C63" s="361" t="n">
        <v>46294</v>
      </c>
      <c r="D63" s="362" t="inlineStr">
        <is>
          <t>賃借料</t>
        </is>
      </c>
      <c r="E63" s="362" t="inlineStr">
        <is>
          <t>ﾊﾟｿｺﾝ(貸付用)ｻﾝﾈｯﾄ（８月分）</t>
        </is>
      </c>
      <c r="F63" s="363" t="n">
        <v>5060</v>
      </c>
      <c r="G63" s="360" t="inlineStr">
        <is>
          <t>確認済</t>
        </is>
      </c>
      <c r="H63" s="359">
        <f>IF(OR($F63="",$C63=""),"",IF($B63="決算整理",13,MOD(MONTH($C63)-4,12)+1))</f>
        <v>6</v>
      </c>
      <c r="I63" s="364">
        <f>IF(OR($F63="",$D63=""),"",IFERROR(INDEX(費用収益表_貸付!$S$1:$S$60,VLOOKUP($D63,科目表!$K$5:$L$40,2,FALSE))-SUMIFS($F$5:$F63,$D$5:$D63,$D63),"?"))</f>
        <v>578244</v>
      </c>
      <c r="J63" s="366" t="str">
        <f>IF($F63="","",TRIM(IF(ISERROR(MATCH($D63,科目表!$K$5:$K$40,0)),"科目未登録 ","")&amp;IF($G63="","状態未設定 ","")&amp;IF(AND(OR($G63="確認済",$G63="未確認"),$B63="通常",OR($C63="",$C63&lt;DATE(年度+2018,4,1),$C63&gt;DATE(年度+2019,3,31))),"年度外の日付 ","")))</f>
        <v/>
      </c>
      <c r="K63" s="366" t="inlineStr">
        <is>
          <t>管理簿②!45</t>
        </is>
      </c>
    </row>
    <row r="64">
      <c r="A64" s="359" t="n">
        <v>60</v>
      </c>
      <c r="B64" s="360" t="inlineStr">
        <is>
          <t>通常</t>
        </is>
      </c>
      <c r="C64" s="361" t="n">
        <v>46294</v>
      </c>
      <c r="D64" s="362" t="inlineStr">
        <is>
          <t>賃借料</t>
        </is>
      </c>
      <c r="E64" s="362" t="inlineStr">
        <is>
          <t>基幹システム用機器賃借料8月分</t>
        </is>
      </c>
      <c r="F64" s="363" t="n">
        <v>69614</v>
      </c>
      <c r="G64" s="360" t="inlineStr">
        <is>
          <t>確認済</t>
        </is>
      </c>
      <c r="H64" s="359">
        <f>IF(OR($F64="",$C64=""),"",IF($B64="決算整理",13,MOD(MONTH($C64)-4,12)+1))</f>
        <v>6</v>
      </c>
      <c r="I64" s="364">
        <f>IF(OR($F64="",$D64=""),"",IFERROR(INDEX(費用収益表_貸付!$S$1:$S$60,VLOOKUP($D64,科目表!$K$5:$L$40,2,FALSE))-SUMIFS($F$5:$F64,$D$5:$D64,$D64),"?"))</f>
        <v>508630</v>
      </c>
      <c r="J64" s="366" t="str">
        <f>IF($F64="","",TRIM(IF(ISERROR(MATCH($D64,科目表!$K$5:$K$40,0)),"科目未登録 ","")&amp;IF($G64="","状態未設定 ","")&amp;IF(AND(OR($G64="確認済",$G64="未確認"),$B64="通常",OR($C64="",$C64&lt;DATE(年度+2018,4,1),$C64&gt;DATE(年度+2019,3,31))),"年度外の日付 ","")))</f>
        <v/>
      </c>
      <c r="K64" s="366" t="inlineStr">
        <is>
          <t>管理簿②!46</t>
        </is>
      </c>
    </row>
    <row r="65">
      <c r="A65" s="359" t="n">
        <v>61</v>
      </c>
      <c r="B65" s="360" t="inlineStr">
        <is>
          <t>通常</t>
        </is>
      </c>
      <c r="C65" s="361" t="n">
        <v>46324</v>
      </c>
      <c r="D65" s="362" t="inlineStr">
        <is>
          <t>賃借料</t>
        </is>
      </c>
      <c r="E65" s="362" t="inlineStr">
        <is>
          <t>基幹システム用機器賃借料9月分</t>
        </is>
      </c>
      <c r="F65" s="363" t="n">
        <v>69614</v>
      </c>
      <c r="G65" s="360" t="inlineStr">
        <is>
          <t>確認済</t>
        </is>
      </c>
      <c r="H65" s="359">
        <f>IF(OR($F65="",$C65=""),"",IF($B65="決算整理",13,MOD(MONTH($C65)-4,12)+1))</f>
        <v>7</v>
      </c>
      <c r="I65" s="364">
        <f>IF(OR($F65="",$D65=""),"",IFERROR(INDEX(費用収益表_貸付!$S$1:$S$60,VLOOKUP($D65,科目表!$K$5:$L$40,2,FALSE))-SUMIFS($F$5:$F65,$D$5:$D65,$D65),"?"))</f>
        <v>439016</v>
      </c>
      <c r="J65" s="366" t="str">
        <f>IF($F65="","",TRIM(IF(ISERROR(MATCH($D65,科目表!$K$5:$K$40,0)),"科目未登録 ","")&amp;IF($G65="","状態未設定 ","")&amp;IF(AND(OR($G65="確認済",$G65="未確認"),$B65="通常",OR($C65="",$C65&lt;DATE(年度+2018,4,1),$C65&gt;DATE(年度+2019,3,31))),"年度外の日付 ","")))</f>
        <v/>
      </c>
      <c r="K65" s="366" t="inlineStr">
        <is>
          <t>管理簿②!47</t>
        </is>
      </c>
    </row>
    <row r="66">
      <c r="A66" s="359" t="n">
        <v>62</v>
      </c>
      <c r="B66" s="360" t="inlineStr">
        <is>
          <t>通常</t>
        </is>
      </c>
      <c r="C66" s="361" t="n">
        <v>46324</v>
      </c>
      <c r="D66" s="362" t="inlineStr">
        <is>
          <t>賃借料</t>
        </is>
      </c>
      <c r="E66" s="362" t="inlineStr">
        <is>
          <t>ﾊﾟｿｺﾝ(貸付用)ｻﾝﾈｯﾄ（9月分）</t>
        </is>
      </c>
      <c r="F66" s="363" t="n">
        <v>5060</v>
      </c>
      <c r="G66" s="360" t="inlineStr">
        <is>
          <t>確認済</t>
        </is>
      </c>
      <c r="H66" s="359">
        <f>IF(OR($F66="",$C66=""),"",IF($B66="決算整理",13,MOD(MONTH($C66)-4,12)+1))</f>
        <v>7</v>
      </c>
      <c r="I66" s="364">
        <f>IF(OR($F66="",$D66=""),"",IFERROR(INDEX(費用収益表_貸付!$S$1:$S$60,VLOOKUP($D66,科目表!$K$5:$L$40,2,FALSE))-SUMIFS($F$5:$F66,$D$5:$D66,$D66),"?"))</f>
        <v>433956</v>
      </c>
      <c r="J66" s="366" t="str">
        <f>IF($F66="","",TRIM(IF(ISERROR(MATCH($D66,科目表!$K$5:$K$40,0)),"科目未登録 ","")&amp;IF($G66="","状態未設定 ","")&amp;IF(AND(OR($G66="確認済",$G66="未確認"),$B66="通常",OR($C66="",$C66&lt;DATE(年度+2018,4,1),$C66&gt;DATE(年度+2019,3,31))),"年度外の日付 ","")))</f>
        <v/>
      </c>
      <c r="K66" s="366" t="inlineStr">
        <is>
          <t>管理簿②!48</t>
        </is>
      </c>
    </row>
    <row r="67">
      <c r="A67" s="359" t="n">
        <v>63</v>
      </c>
      <c r="B67" s="360" t="inlineStr">
        <is>
          <t>通常</t>
        </is>
      </c>
      <c r="C67" s="361" t="n">
        <v>45989</v>
      </c>
      <c r="D67" s="362" t="inlineStr">
        <is>
          <t>賃借料</t>
        </is>
      </c>
      <c r="E67" s="362" t="inlineStr">
        <is>
          <t>ﾊﾟｿｺﾝ(貸付用)ｻﾝﾈｯﾄ（10月分）</t>
        </is>
      </c>
      <c r="F67" s="363" t="n">
        <v>5060</v>
      </c>
      <c r="G67" s="360" t="inlineStr">
        <is>
          <t>昨年実績</t>
        </is>
      </c>
      <c r="H67" s="359">
        <f>IF(OR($F67="",$C67=""),"",IF($B67="決算整理",13,MOD(MONTH($C67)-4,12)+1))</f>
        <v>8</v>
      </c>
      <c r="I67" s="364">
        <f>IF(OR($F67="",$D67=""),"",IFERROR(INDEX(費用収益表_貸付!$S$1:$S$60,VLOOKUP($D67,科目表!$K$5:$L$40,2,FALSE))-SUMIFS($F$5:$F67,$D$5:$D67,$D67),"?"))</f>
        <v>428896</v>
      </c>
      <c r="J67" s="366" t="str">
        <f>IF($F67="","",TRIM(IF(ISERROR(MATCH($D67,科目表!$K$5:$K$40,0)),"科目未登録 ","")&amp;IF($G67="","状態未設定 ","")&amp;IF(AND(OR($G67="確認済",$G67="未確認"),$B67="通常",OR($C67="",$C67&lt;DATE(年度+2018,4,1),$C67&gt;DATE(年度+2019,3,31))),"年度外の日付 ","")))</f>
        <v/>
      </c>
      <c r="K67" s="366" t="inlineStr">
        <is>
          <t>管理簿②!49</t>
        </is>
      </c>
    </row>
    <row r="68">
      <c r="A68" s="359" t="n">
        <v>64</v>
      </c>
      <c r="B68" s="360" t="inlineStr">
        <is>
          <t>通常</t>
        </is>
      </c>
      <c r="C68" s="361" t="n">
        <v>45989</v>
      </c>
      <c r="D68" s="362" t="inlineStr">
        <is>
          <t>賃借料</t>
        </is>
      </c>
      <c r="E68" s="362" t="inlineStr">
        <is>
          <t>基幹システム用機器賃借料10月分</t>
        </is>
      </c>
      <c r="F68" s="363" t="n">
        <v>69614</v>
      </c>
      <c r="G68" s="360" t="inlineStr">
        <is>
          <t>昨年実績</t>
        </is>
      </c>
      <c r="H68" s="359">
        <f>IF(OR($F68="",$C68=""),"",IF($B68="決算整理",13,MOD(MONTH($C68)-4,12)+1))</f>
        <v>8</v>
      </c>
      <c r="I68" s="364">
        <f>IF(OR($F68="",$D68=""),"",IFERROR(INDEX(費用収益表_貸付!$S$1:$S$60,VLOOKUP($D68,科目表!$K$5:$L$40,2,FALSE))-SUMIFS($F$5:$F68,$D$5:$D68,$D68),"?"))</f>
        <v>359282</v>
      </c>
      <c r="J68" s="366" t="str">
        <f>IF($F68="","",TRIM(IF(ISERROR(MATCH($D68,科目表!$K$5:$K$40,0)),"科目未登録 ","")&amp;IF($G68="","状態未設定 ","")&amp;IF(AND(OR($G68="確認済",$G68="未確認"),$B68="通常",OR($C68="",$C68&lt;DATE(年度+2018,4,1),$C68&gt;DATE(年度+2019,3,31))),"年度外の日付 ","")))</f>
        <v/>
      </c>
      <c r="K68" s="366" t="inlineStr">
        <is>
          <t>管理簿②!50</t>
        </is>
      </c>
    </row>
    <row r="69">
      <c r="A69" s="359" t="n">
        <v>65</v>
      </c>
      <c r="B69" s="360" t="inlineStr">
        <is>
          <t>通常</t>
        </is>
      </c>
      <c r="C69" s="361" t="n">
        <v>46017</v>
      </c>
      <c r="D69" s="362" t="inlineStr">
        <is>
          <t>賃借料</t>
        </is>
      </c>
      <c r="E69" s="362" t="inlineStr">
        <is>
          <t>ﾊﾟｿｺﾝ(貸付用)ｻﾝﾈｯﾄ（11月分）</t>
        </is>
      </c>
      <c r="F69" s="363" t="n">
        <v>5060</v>
      </c>
      <c r="G69" s="360" t="inlineStr">
        <is>
          <t>昨年実績</t>
        </is>
      </c>
      <c r="H69" s="359">
        <f>IF(OR($F69="",$C69=""),"",IF($B69="決算整理",13,MOD(MONTH($C69)-4,12)+1))</f>
        <v>9</v>
      </c>
      <c r="I69" s="364">
        <f>IF(OR($F69="",$D69=""),"",IFERROR(INDEX(費用収益表_貸付!$S$1:$S$60,VLOOKUP($D69,科目表!$K$5:$L$40,2,FALSE))-SUMIFS($F$5:$F69,$D$5:$D69,$D69),"?"))</f>
        <v>354222</v>
      </c>
      <c r="J69" s="366" t="str">
        <f>IF($F69="","",TRIM(IF(ISERROR(MATCH($D69,科目表!$K$5:$K$40,0)),"科目未登録 ","")&amp;IF($G69="","状態未設定 ","")&amp;IF(AND(OR($G69="確認済",$G69="未確認"),$B69="通常",OR($C69="",$C69&lt;DATE(年度+2018,4,1),$C69&gt;DATE(年度+2019,3,31))),"年度外の日付 ","")))</f>
        <v/>
      </c>
      <c r="K69" s="366" t="inlineStr">
        <is>
          <t>管理簿②!51</t>
        </is>
      </c>
    </row>
    <row r="70">
      <c r="A70" s="359" t="n">
        <v>66</v>
      </c>
      <c r="B70" s="360" t="inlineStr">
        <is>
          <t>通常</t>
        </is>
      </c>
      <c r="C70" s="361" t="n">
        <v>45625</v>
      </c>
      <c r="D70" s="362" t="inlineStr">
        <is>
          <t>賃借料</t>
        </is>
      </c>
      <c r="E70" s="362" t="inlineStr">
        <is>
          <t>サーバーラック賃借料（ＪＥＣＣ）（４～１０月分）</t>
        </is>
      </c>
      <c r="F70" s="363" t="n">
        <v>217</v>
      </c>
      <c r="G70" s="360" t="inlineStr">
        <is>
          <t>昨年実績</t>
        </is>
      </c>
      <c r="H70" s="359">
        <f>IF(OR($F70="",$C70=""),"",IF($B70="決算整理",13,MOD(MONTH($C70)-4,12)+1))</f>
        <v>8</v>
      </c>
      <c r="I70" s="364">
        <f>IF(OR($F70="",$D70=""),"",IFERROR(INDEX(費用収益表_貸付!$S$1:$S$60,VLOOKUP($D70,科目表!$K$5:$L$40,2,FALSE))-SUMIFS($F$5:$F70,$D$5:$D70,$D70),"?"))</f>
        <v>354005</v>
      </c>
      <c r="J70" s="366" t="str">
        <f>IF($F70="","",TRIM(IF(ISERROR(MATCH($D70,科目表!$K$5:$K$40,0)),"科目未登録 ","")&amp;IF($G70="","状態未設定 ","")&amp;IF(AND(OR($G70="確認済",$G70="未確認"),$B70="通常",OR($C70="",$C70&lt;DATE(年度+2018,4,1),$C70&gt;DATE(年度+2019,3,31))),"年度外の日付 ","")))</f>
        <v/>
      </c>
      <c r="K70" s="366" t="inlineStr">
        <is>
          <t>管理簿②!52</t>
        </is>
      </c>
    </row>
    <row r="71">
      <c r="A71" s="359" t="n">
        <v>67</v>
      </c>
      <c r="B71" s="360" t="inlineStr">
        <is>
          <t>通常</t>
        </is>
      </c>
      <c r="C71" s="361" t="n">
        <v>46017</v>
      </c>
      <c r="D71" s="362" t="inlineStr">
        <is>
          <t>賃借料</t>
        </is>
      </c>
      <c r="E71" s="362" t="inlineStr">
        <is>
          <t>基幹システム用機器賃借料11月分</t>
        </is>
      </c>
      <c r="F71" s="363" t="n">
        <v>69614</v>
      </c>
      <c r="G71" s="360" t="inlineStr">
        <is>
          <t>昨年実績</t>
        </is>
      </c>
      <c r="H71" s="359">
        <f>IF(OR($F71="",$C71=""),"",IF($B71="決算整理",13,MOD(MONTH($C71)-4,12)+1))</f>
        <v>9</v>
      </c>
      <c r="I71" s="364">
        <f>IF(OR($F71="",$D71=""),"",IFERROR(INDEX(費用収益表_貸付!$S$1:$S$60,VLOOKUP($D71,科目表!$K$5:$L$40,2,FALSE))-SUMIFS($F$5:$F71,$D$5:$D71,$D71),"?"))</f>
        <v>284391</v>
      </c>
      <c r="J71" s="366" t="str">
        <f>IF($F71="","",TRIM(IF(ISERROR(MATCH($D71,科目表!$K$5:$K$40,0)),"科目未登録 ","")&amp;IF($G71="","状態未設定 ","")&amp;IF(AND(OR($G71="確認済",$G71="未確認"),$B71="通常",OR($C71="",$C71&lt;DATE(年度+2018,4,1),$C71&gt;DATE(年度+2019,3,31))),"年度外の日付 ","")))</f>
        <v/>
      </c>
      <c r="K71" s="366" t="inlineStr">
        <is>
          <t>管理簿②!53</t>
        </is>
      </c>
    </row>
    <row r="72">
      <c r="A72" s="359" t="n">
        <v>68</v>
      </c>
      <c r="B72" s="360" t="inlineStr">
        <is>
          <t>通常</t>
        </is>
      </c>
      <c r="C72" s="361" t="n">
        <v>46051</v>
      </c>
      <c r="D72" s="362" t="inlineStr">
        <is>
          <t>賃借料</t>
        </is>
      </c>
      <c r="E72" s="362" t="inlineStr">
        <is>
          <t>ﾊﾟｿｺﾝ(貸付用)ｻﾝﾈｯﾄ（12月分）</t>
        </is>
      </c>
      <c r="F72" s="363" t="n">
        <v>5060</v>
      </c>
      <c r="G72" s="360" t="inlineStr">
        <is>
          <t>昨年実績</t>
        </is>
      </c>
      <c r="H72" s="359">
        <f>IF(OR($F72="",$C72=""),"",IF($B72="決算整理",13,MOD(MONTH($C72)-4,12)+1))</f>
        <v>10</v>
      </c>
      <c r="I72" s="364">
        <f>IF(OR($F72="",$D72=""),"",IFERROR(INDEX(費用収益表_貸付!$S$1:$S$60,VLOOKUP($D72,科目表!$K$5:$L$40,2,FALSE))-SUMIFS($F$5:$F72,$D$5:$D72,$D72),"?"))</f>
        <v>279331</v>
      </c>
      <c r="J72" s="366" t="str">
        <f>IF($F72="","",TRIM(IF(ISERROR(MATCH($D72,科目表!$K$5:$K$40,0)),"科目未登録 ","")&amp;IF($G72="","状態未設定 ","")&amp;IF(AND(OR($G72="確認済",$G72="未確認"),$B72="通常",OR($C72="",$C72&lt;DATE(年度+2018,4,1),$C72&gt;DATE(年度+2019,3,31))),"年度外の日付 ","")))</f>
        <v/>
      </c>
      <c r="K72" s="366" t="inlineStr">
        <is>
          <t>管理簿②!54</t>
        </is>
      </c>
    </row>
    <row r="73">
      <c r="A73" s="359" t="n">
        <v>69</v>
      </c>
      <c r="B73" s="360" t="inlineStr">
        <is>
          <t>通常</t>
        </is>
      </c>
      <c r="C73" s="361" t="n">
        <v>46051</v>
      </c>
      <c r="D73" s="362" t="inlineStr">
        <is>
          <t>賃借料</t>
        </is>
      </c>
      <c r="E73" s="362" t="inlineStr">
        <is>
          <t>基幹システム用機器賃借料12月分</t>
        </is>
      </c>
      <c r="F73" s="363" t="n">
        <v>69614</v>
      </c>
      <c r="G73" s="360" t="inlineStr">
        <is>
          <t>昨年実績</t>
        </is>
      </c>
      <c r="H73" s="359">
        <f>IF(OR($F73="",$C73=""),"",IF($B73="決算整理",13,MOD(MONTH($C73)-4,12)+1))</f>
        <v>10</v>
      </c>
      <c r="I73" s="364">
        <f>IF(OR($F73="",$D73=""),"",IFERROR(INDEX(費用収益表_貸付!$S$1:$S$60,VLOOKUP($D73,科目表!$K$5:$L$40,2,FALSE))-SUMIFS($F$5:$F73,$D$5:$D73,$D73),"?"))</f>
        <v>209717</v>
      </c>
      <c r="J73" s="366" t="str">
        <f>IF($F73="","",TRIM(IF(ISERROR(MATCH($D73,科目表!$K$5:$K$40,0)),"科目未登録 ","")&amp;IF($G73="","状態未設定 ","")&amp;IF(AND(OR($G73="確認済",$G73="未確認"),$B73="通常",OR($C73="",$C73&lt;DATE(年度+2018,4,1),$C73&gt;DATE(年度+2019,3,31))),"年度外の日付 ","")))</f>
        <v/>
      </c>
      <c r="K73" s="366" t="inlineStr">
        <is>
          <t>管理簿②!55</t>
        </is>
      </c>
    </row>
    <row r="74">
      <c r="A74" s="359" t="n">
        <v>70</v>
      </c>
      <c r="B74" s="360" t="inlineStr">
        <is>
          <t>通常</t>
        </is>
      </c>
      <c r="C74" s="361" t="n">
        <v>46080</v>
      </c>
      <c r="D74" s="362" t="inlineStr">
        <is>
          <t>賃借料</t>
        </is>
      </c>
      <c r="E74" s="362" t="inlineStr">
        <is>
          <t>基幹システム用機器賃借料１月分</t>
        </is>
      </c>
      <c r="F74" s="363" t="n">
        <v>69614</v>
      </c>
      <c r="G74" s="360" t="inlineStr">
        <is>
          <t>昨年実績</t>
        </is>
      </c>
      <c r="H74" s="359">
        <f>IF(OR($F74="",$C74=""),"",IF($B74="決算整理",13,MOD(MONTH($C74)-4,12)+1))</f>
        <v>11</v>
      </c>
      <c r="I74" s="364">
        <f>IF(OR($F74="",$D74=""),"",IFERROR(INDEX(費用収益表_貸付!$S$1:$S$60,VLOOKUP($D74,科目表!$K$5:$L$40,2,FALSE))-SUMIFS($F$5:$F74,$D$5:$D74,$D74),"?"))</f>
        <v>140103</v>
      </c>
      <c r="J74" s="366" t="str">
        <f>IF($F74="","",TRIM(IF(ISERROR(MATCH($D74,科目表!$K$5:$K$40,0)),"科目未登録 ","")&amp;IF($G74="","状態未設定 ","")&amp;IF(AND(OR($G74="確認済",$G74="未確認"),$B74="通常",OR($C74="",$C74&lt;DATE(年度+2018,4,1),$C74&gt;DATE(年度+2019,3,31))),"年度外の日付 ","")))</f>
        <v/>
      </c>
      <c r="K74" s="366" t="inlineStr">
        <is>
          <t>管理簿②!56</t>
        </is>
      </c>
    </row>
    <row r="75">
      <c r="A75" s="359" t="n">
        <v>71</v>
      </c>
      <c r="B75" s="360" t="inlineStr">
        <is>
          <t>通常</t>
        </is>
      </c>
      <c r="C75" s="361" t="n">
        <v>46080</v>
      </c>
      <c r="D75" s="362" t="inlineStr">
        <is>
          <t>賃借料</t>
        </is>
      </c>
      <c r="E75" s="362" t="inlineStr">
        <is>
          <t>ﾊﾟｿｺﾝ(貸付用)ｻﾝﾈｯﾄ（1月分）</t>
        </is>
      </c>
      <c r="F75" s="363" t="n">
        <v>5060</v>
      </c>
      <c r="G75" s="360" t="inlineStr">
        <is>
          <t>昨年実績</t>
        </is>
      </c>
      <c r="H75" s="359">
        <f>IF(OR($F75="",$C75=""),"",IF($B75="決算整理",13,MOD(MONTH($C75)-4,12)+1))</f>
        <v>11</v>
      </c>
      <c r="I75" s="364">
        <f>IF(OR($F75="",$D75=""),"",IFERROR(INDEX(費用収益表_貸付!$S$1:$S$60,VLOOKUP($D75,科目表!$K$5:$L$40,2,FALSE))-SUMIFS($F$5:$F75,$D$5:$D75,$D75),"?"))</f>
        <v>135043</v>
      </c>
      <c r="J75" s="366" t="str">
        <f>IF($F75="","",TRIM(IF(ISERROR(MATCH($D75,科目表!$K$5:$K$40,0)),"科目未登録 ","")&amp;IF($G75="","状態未設定 ","")&amp;IF(AND(OR($G75="確認済",$G75="未確認"),$B75="通常",OR($C75="",$C75&lt;DATE(年度+2018,4,1),$C75&gt;DATE(年度+2019,3,31))),"年度外の日付 ","")))</f>
        <v/>
      </c>
      <c r="K75" s="366" t="inlineStr">
        <is>
          <t>管理簿②!57</t>
        </is>
      </c>
    </row>
    <row r="76">
      <c r="A76" s="359" t="n">
        <v>72</v>
      </c>
      <c r="B76" s="360" t="inlineStr">
        <is>
          <t>通常</t>
        </is>
      </c>
      <c r="C76" s="361" t="n">
        <v>46108</v>
      </c>
      <c r="D76" s="362" t="inlineStr">
        <is>
          <t>賃借料</t>
        </is>
      </c>
      <c r="E76" s="362" t="inlineStr">
        <is>
          <t>基幹システム用機器賃借料２月分</t>
        </is>
      </c>
      <c r="F76" s="363" t="n">
        <v>69614</v>
      </c>
      <c r="G76" s="360" t="inlineStr">
        <is>
          <t>昨年実績</t>
        </is>
      </c>
      <c r="H76" s="359">
        <f>IF(OR($F76="",$C76=""),"",IF($B76="決算整理",13,MOD(MONTH($C76)-4,12)+1))</f>
        <v>12</v>
      </c>
      <c r="I76" s="364">
        <f>IF(OR($F76="",$D76=""),"",IFERROR(INDEX(費用収益表_貸付!$S$1:$S$60,VLOOKUP($D76,科目表!$K$5:$L$40,2,FALSE))-SUMIFS($F$5:$F76,$D$5:$D76,$D76),"?"))</f>
        <v>65429</v>
      </c>
      <c r="J76" s="366" t="str">
        <f>IF($F76="","",TRIM(IF(ISERROR(MATCH($D76,科目表!$K$5:$K$40,0)),"科目未登録 ","")&amp;IF($G76="","状態未設定 ","")&amp;IF(AND(OR($G76="確認済",$G76="未確認"),$B76="通常",OR($C76="",$C76&lt;DATE(年度+2018,4,1),$C76&gt;DATE(年度+2019,3,31))),"年度外の日付 ","")))</f>
        <v/>
      </c>
      <c r="K76" s="366" t="inlineStr">
        <is>
          <t>管理簿②!58</t>
        </is>
      </c>
    </row>
    <row r="77">
      <c r="A77" s="359" t="n">
        <v>73</v>
      </c>
      <c r="B77" s="360" t="inlineStr">
        <is>
          <t>通常</t>
        </is>
      </c>
      <c r="C77" s="361" t="n">
        <v>46108</v>
      </c>
      <c r="D77" s="362" t="inlineStr">
        <is>
          <t>賃借料</t>
        </is>
      </c>
      <c r="E77" s="362" t="inlineStr">
        <is>
          <t>ﾊﾟｿｺﾝ(貸付用)ｻﾝﾈｯﾄ（2月分）</t>
        </is>
      </c>
      <c r="F77" s="363" t="n">
        <v>5060</v>
      </c>
      <c r="G77" s="360" t="inlineStr">
        <is>
          <t>昨年実績</t>
        </is>
      </c>
      <c r="H77" s="359">
        <f>IF(OR($F77="",$C77=""),"",IF($B77="決算整理",13,MOD(MONTH($C77)-4,12)+1))</f>
        <v>12</v>
      </c>
      <c r="I77" s="364">
        <f>IF(OR($F77="",$D77=""),"",IFERROR(INDEX(費用収益表_貸付!$S$1:$S$60,VLOOKUP($D77,科目表!$K$5:$L$40,2,FALSE))-SUMIFS($F$5:$F77,$D$5:$D77,$D77),"?"))</f>
        <v>60369</v>
      </c>
      <c r="J77" s="366" t="str">
        <f>IF($F77="","",TRIM(IF(ISERROR(MATCH($D77,科目表!$K$5:$K$40,0)),"科目未登録 ","")&amp;IF($G77="","状態未設定 ","")&amp;IF(AND(OR($G77="確認済",$G77="未確認"),$B77="通常",OR($C77="",$C77&lt;DATE(年度+2018,4,1),$C77&gt;DATE(年度+2019,3,31))),"年度外の日付 ","")))</f>
        <v/>
      </c>
      <c r="K77" s="366" t="inlineStr">
        <is>
          <t>管理簿②!59</t>
        </is>
      </c>
    </row>
    <row r="78">
      <c r="A78" s="359" t="n">
        <v>74</v>
      </c>
      <c r="B78" s="360" t="inlineStr">
        <is>
          <t>決算整理</t>
        </is>
      </c>
      <c r="C78" s="361" t="n">
        <v>46140</v>
      </c>
      <c r="D78" s="362" t="inlineStr">
        <is>
          <t>賃借料</t>
        </is>
      </c>
      <c r="E78" s="362" t="inlineStr">
        <is>
          <t>サーバーラック賃借料（ＪＥＣＣ）</t>
        </is>
      </c>
      <c r="F78" s="363" t="n">
        <v>16152</v>
      </c>
      <c r="G78" s="360" t="inlineStr">
        <is>
          <t>昨年実績</t>
        </is>
      </c>
      <c r="H78" s="359">
        <f>IF(OR($F78="",$C78=""),"",IF($B78="決算整理",13,MOD(MONTH($C78)-4,12)+1))</f>
        <v>13</v>
      </c>
      <c r="I78" s="364">
        <f>IF(OR($F78="",$D78=""),"",IFERROR(INDEX(費用収益表_貸付!$S$1:$S$60,VLOOKUP($D78,科目表!$K$5:$L$40,2,FALSE))-SUMIFS($F$5:$F78,$D$5:$D78,$D78),"?"))</f>
        <v>44217</v>
      </c>
      <c r="J78" s="366" t="str">
        <f>IF($F78="","",TRIM(IF(ISERROR(MATCH($D78,科目表!$K$5:$K$40,0)),"科目未登録 ","")&amp;IF($G78="","状態未設定 ","")&amp;IF(AND(OR($G78="確認済",$G78="未確認"),$B78="通常",OR($C78="",$C78&lt;DATE(年度+2018,4,1),$C78&gt;DATE(年度+2019,3,31))),"年度外の日付 ","")))</f>
        <v/>
      </c>
      <c r="K78" s="366" t="inlineStr">
        <is>
          <t>管理簿②!69</t>
        </is>
      </c>
    </row>
    <row r="79">
      <c r="A79" s="359" t="n">
        <v>75</v>
      </c>
      <c r="B79" s="360" t="inlineStr">
        <is>
          <t>決算整理</t>
        </is>
      </c>
      <c r="C79" s="361" t="n">
        <v>46140</v>
      </c>
      <c r="D79" s="362" t="inlineStr">
        <is>
          <t>賃借料</t>
        </is>
      </c>
      <c r="E79" s="362" t="inlineStr">
        <is>
          <t>基幹システム機器賃借料３月分</t>
        </is>
      </c>
      <c r="F79" s="363" t="n">
        <v>69614</v>
      </c>
      <c r="G79" s="360" t="inlineStr">
        <is>
          <t>昨年実績</t>
        </is>
      </c>
      <c r="H79" s="359">
        <f>IF(OR($F79="",$C79=""),"",IF($B79="決算整理",13,MOD(MONTH($C79)-4,12)+1))</f>
        <v>13</v>
      </c>
      <c r="I79" s="364">
        <f>IF(OR($F79="",$D79=""),"",IFERROR(INDEX(費用収益表_貸付!$S$1:$S$60,VLOOKUP($D79,科目表!$K$5:$L$40,2,FALSE))-SUMIFS($F$5:$F79,$D$5:$D79,$D79),"?"))</f>
        <v>-25397</v>
      </c>
      <c r="J79" s="366" t="str">
        <f>IF($F79="","",TRIM(IF(ISERROR(MATCH($D79,科目表!$K$5:$K$40,0)),"科目未登録 ","")&amp;IF($G79="","状態未設定 ","")&amp;IF(AND(OR($G79="確認済",$G79="未確認"),$B79="通常",OR($C79="",$C79&lt;DATE(年度+2018,4,1),$C79&gt;DATE(年度+2019,3,31))),"年度外の日付 ","")))</f>
        <v/>
      </c>
      <c r="K79" s="366" t="inlineStr">
        <is>
          <t>管理簿②!70</t>
        </is>
      </c>
    </row>
    <row r="80">
      <c r="A80" s="359" t="n">
        <v>76</v>
      </c>
      <c r="B80" s="360" t="inlineStr">
        <is>
          <t>決算整理</t>
        </is>
      </c>
      <c r="C80" s="361" t="n">
        <v>46127</v>
      </c>
      <c r="D80" s="362" t="inlineStr">
        <is>
          <t>賃借料</t>
        </is>
      </c>
      <c r="E80" s="362" t="inlineStr">
        <is>
          <t>ﾊﾟｿｺﾝ(貸付用)ｻﾝﾈｯﾄ（3月分）</t>
        </is>
      </c>
      <c r="F80" s="363" t="n">
        <v>5060</v>
      </c>
      <c r="G80" s="360" t="inlineStr">
        <is>
          <t>昨年実績</t>
        </is>
      </c>
      <c r="H80" s="359">
        <f>IF(OR($F80="",$C80=""),"",IF($B80="決算整理",13,MOD(MONTH($C80)-4,12)+1))</f>
        <v>13</v>
      </c>
      <c r="I80" s="364">
        <f>IF(OR($F80="",$D80=""),"",IFERROR(INDEX(費用収益表_貸付!$S$1:$S$60,VLOOKUP($D80,科目表!$K$5:$L$40,2,FALSE))-SUMIFS($F$5:$F80,$D$5:$D80,$D80),"?"))</f>
        <v>-30457</v>
      </c>
      <c r="J80" s="366" t="str">
        <f>IF($F80="","",TRIM(IF(ISERROR(MATCH($D80,科目表!$K$5:$K$40,0)),"科目未登録 ","")&amp;IF($G80="","状態未設定 ","")&amp;IF(AND(OR($G80="確認済",$G80="未確認"),$B80="通常",OR($C80="",$C80&lt;DATE(年度+2018,4,1),$C80&gt;DATE(年度+2019,3,31))),"年度外の日付 ","")))</f>
        <v/>
      </c>
      <c r="K80" s="366" t="inlineStr">
        <is>
          <t>管理簿②!71</t>
        </is>
      </c>
    </row>
    <row r="81">
      <c r="A81" s="359" t="n">
        <v>77</v>
      </c>
      <c r="B81" s="360" t="inlineStr">
        <is>
          <t>通常</t>
        </is>
      </c>
      <c r="C81" s="361" t="n">
        <v>46259</v>
      </c>
      <c r="D81" s="362" t="inlineStr">
        <is>
          <t>普及費</t>
        </is>
      </c>
      <c r="E81" s="362" t="inlineStr">
        <is>
          <t>厚生だより等印刷代分担金　互助会（第１四半期）</t>
        </is>
      </c>
      <c r="F81" s="363" t="n">
        <v>242770</v>
      </c>
      <c r="G81" s="360" t="inlineStr">
        <is>
          <t>確認済</t>
        </is>
      </c>
      <c r="H81" s="359">
        <f>IF(OR($F81="",$C81=""),"",IF($B81="決算整理",13,MOD(MONTH($C81)-4,12)+1))</f>
        <v>5</v>
      </c>
      <c r="I81" s="364">
        <f>IF(OR($F81="",$D81=""),"",IFERROR(INDEX(費用収益表_貸付!$S$1:$S$60,VLOOKUP($D81,科目表!$K$5:$L$40,2,FALSE))-SUMIFS($F$5:$F81,$D$5:$D81,$D81),"?"))</f>
        <v>405230</v>
      </c>
      <c r="J81" s="366" t="str">
        <f>IF($F81="","",TRIM(IF(ISERROR(MATCH($D81,科目表!$K$5:$K$40,0)),"科目未登録 ","")&amp;IF($G81="","状態未設定 ","")&amp;IF(AND(OR($G81="確認済",$G81="未確認"),$B81="通常",OR($C81="",$C81&lt;DATE(年度+2018,4,1),$C81&gt;DATE(年度+2019,3,31))),"年度外の日付 ","")))</f>
        <v/>
      </c>
      <c r="K81" s="366" t="inlineStr">
        <is>
          <t>管理簿②!6</t>
        </is>
      </c>
    </row>
    <row r="82">
      <c r="A82" s="359" t="n">
        <v>78</v>
      </c>
      <c r="B82" s="360" t="inlineStr">
        <is>
          <t>通常</t>
        </is>
      </c>
      <c r="C82" s="361" t="n">
        <v>46150</v>
      </c>
      <c r="D82" s="362" t="inlineStr">
        <is>
          <t>厚生年金保険料等</t>
        </is>
      </c>
      <c r="E82" s="362" t="inlineStr">
        <is>
          <t>広島県社会保険協会年会費</t>
        </is>
      </c>
      <c r="F82" s="363" t="n">
        <v>1040</v>
      </c>
      <c r="G82" s="360" t="inlineStr">
        <is>
          <t>確認済</t>
        </is>
      </c>
      <c r="H82" s="359">
        <f>IF(OR($F82="",$C82=""),"",IF($B82="決算整理",13,MOD(MONTH($C82)-4,12)+1))</f>
        <v>2</v>
      </c>
      <c r="I82" s="364">
        <f>IF(OR($F82="",$D82=""),"",IFERROR(INDEX(費用収益表_貸付!$S$1:$S$60,VLOOKUP($D82,科目表!$K$5:$L$40,2,FALSE))-SUMIFS($F$5:$F82,$D$5:$D82,$D82),"?"))</f>
        <v>-1040</v>
      </c>
      <c r="J82" s="366" t="str">
        <f>IF($F82="","",TRIM(IF(ISERROR(MATCH($D82,科目表!$K$5:$K$40,0)),"科目未登録 ","")&amp;IF($G82="","状態未設定 ","")&amp;IF(AND(OR($G82="確認済",$G82="未確認"),$B82="通常",OR($C82="",$C82&lt;DATE(年度+2018,4,1),$C82&gt;DATE(年度+2019,3,31))),"年度外の日付 ","")))</f>
        <v/>
      </c>
      <c r="K82" s="366" t="inlineStr">
        <is>
          <t>管理簿②!26</t>
        </is>
      </c>
    </row>
    <row r="83">
      <c r="A83" s="359" t="n">
        <v>79</v>
      </c>
      <c r="B83" s="360" t="inlineStr">
        <is>
          <t>通常</t>
        </is>
      </c>
      <c r="C83" s="361" t="n">
        <v>46171</v>
      </c>
      <c r="D83" s="362" t="inlineStr">
        <is>
          <t>厚生年金保険料等</t>
        </is>
      </c>
      <c r="E83" s="362" t="inlineStr">
        <is>
          <t>法人市・県民税</t>
        </is>
      </c>
      <c r="F83" s="363" t="n">
        <v>71000</v>
      </c>
      <c r="G83" s="360" t="inlineStr">
        <is>
          <t>確認済</t>
        </is>
      </c>
      <c r="H83" s="359">
        <f>IF(OR($F83="",$C83=""),"",IF($B83="決算整理",13,MOD(MONTH($C83)-4,12)+1))</f>
        <v>2</v>
      </c>
      <c r="I83" s="364">
        <f>IF(OR($F83="",$D83=""),"",IFERROR(INDEX(費用収益表_貸付!$S$1:$S$60,VLOOKUP($D83,科目表!$K$5:$L$40,2,FALSE))-SUMIFS($F$5:$F83,$D$5:$D83,$D83),"?"))</f>
        <v>-72040</v>
      </c>
      <c r="J83" s="366" t="str">
        <f>IF($F83="","",TRIM(IF(ISERROR(MATCH($D83,科目表!$K$5:$K$40,0)),"科目未登録 ","")&amp;IF($G83="","状態未設定 ","")&amp;IF(AND(OR($G83="確認済",$G83="未確認"),$B83="通常",OR($C83="",$C83&lt;DATE(年度+2018,4,1),$C83&gt;DATE(年度+2019,3,31))),"年度外の日付 ","")))</f>
        <v/>
      </c>
      <c r="K83" s="366" t="inlineStr">
        <is>
          <t>管理簿②!27</t>
        </is>
      </c>
    </row>
    <row r="84">
      <c r="A84" s="359" t="n">
        <v>80</v>
      </c>
      <c r="B84" s="360" t="inlineStr">
        <is>
          <t>通常</t>
        </is>
      </c>
      <c r="C84" s="361" t="n">
        <v>46203</v>
      </c>
      <c r="D84" s="362" t="inlineStr">
        <is>
          <t>厚生年金保険料等</t>
        </is>
      </c>
      <c r="E84" s="362" t="inlineStr">
        <is>
          <t>厚生年金保険料等（旧表の手入力値を移行：6月計上分）</t>
        </is>
      </c>
      <c r="F84" s="363" t="n">
        <v>142650</v>
      </c>
      <c r="G84" s="360" t="inlineStr">
        <is>
          <t>確認済</t>
        </is>
      </c>
      <c r="H84" s="359">
        <f>IF(OR($F84="",$C84=""),"",IF($B84="決算整理",13,MOD(MONTH($C84)-4,12)+1))</f>
        <v>3</v>
      </c>
      <c r="I84" s="364">
        <f>IF(OR($F84="",$D84=""),"",IFERROR(INDEX(費用収益表_貸付!$S$1:$S$60,VLOOKUP($D84,科目表!$K$5:$L$40,2,FALSE))-SUMIFS($F$5:$F84,$D$5:$D84,$D84),"?"))</f>
        <v>-214690</v>
      </c>
      <c r="J84" s="366" t="str">
        <f>IF($F84="","",TRIM(IF(ISERROR(MATCH($D84,科目表!$K$5:$K$40,0)),"科目未登録 ","")&amp;IF($G84="","状態未設定 ","")&amp;IF(AND(OR($G84="確認済",$G84="未確認"),$B84="通常",OR($C84="",$C84&lt;DATE(年度+2018,4,1),$C84&gt;DATE(年度+2019,3,31))),"年度外の日付 ","")))</f>
        <v/>
      </c>
      <c r="K84" s="366" t="inlineStr">
        <is>
          <t>費用収益表_貸付!E24</t>
        </is>
      </c>
    </row>
    <row r="85">
      <c r="A85" s="359" t="n">
        <v>81</v>
      </c>
      <c r="B85" s="360" t="inlineStr">
        <is>
          <t>通常</t>
        </is>
      </c>
      <c r="C85" s="361" t="n">
        <v>46234</v>
      </c>
      <c r="D85" s="362" t="inlineStr">
        <is>
          <t>厚生年金保険料等</t>
        </is>
      </c>
      <c r="E85" s="362" t="inlineStr">
        <is>
          <t>厚生年金保険料等（旧表の手入力値を移行：7月計上分）</t>
        </is>
      </c>
      <c r="F85" s="363" t="n">
        <v>71325</v>
      </c>
      <c r="G85" s="360" t="inlineStr">
        <is>
          <t>確認済</t>
        </is>
      </c>
      <c r="H85" s="359">
        <f>IF(OR($F85="",$C85=""),"",IF($B85="決算整理",13,MOD(MONTH($C85)-4,12)+1))</f>
        <v>4</v>
      </c>
      <c r="I85" s="364">
        <f>IF(OR($F85="",$D85=""),"",IFERROR(INDEX(費用収益表_貸付!$S$1:$S$60,VLOOKUP($D85,科目表!$K$5:$L$40,2,FALSE))-SUMIFS($F$5:$F85,$D$5:$D85,$D85),"?"))</f>
        <v>-286015</v>
      </c>
      <c r="J85" s="366" t="str">
        <f>IF($F85="","",TRIM(IF(ISERROR(MATCH($D85,科目表!$K$5:$K$40,0)),"科目未登録 ","")&amp;IF($G85="","状態未設定 ","")&amp;IF(AND(OR($G85="確認済",$G85="未確認"),$B85="通常",OR($C85="",$C85&lt;DATE(年度+2018,4,1),$C85&gt;DATE(年度+2019,3,31))),"年度外の日付 ","")))</f>
        <v/>
      </c>
      <c r="K85" s="366" t="inlineStr">
        <is>
          <t>費用収益表_貸付!F24</t>
        </is>
      </c>
    </row>
    <row r="86">
      <c r="A86" s="359" t="n">
        <v>82</v>
      </c>
      <c r="B86" s="360" t="inlineStr">
        <is>
          <t>通常</t>
        </is>
      </c>
      <c r="C86" s="361" t="n">
        <v>46295</v>
      </c>
      <c r="D86" s="362" t="inlineStr">
        <is>
          <t>厚生年金保険料等</t>
        </is>
      </c>
      <c r="E86" s="362" t="inlineStr">
        <is>
          <t>厚生年金保険料等（旧表の手入力値を移行：9月計上分）</t>
        </is>
      </c>
      <c r="F86" s="363" t="n">
        <v>71325</v>
      </c>
      <c r="G86" s="360" t="inlineStr">
        <is>
          <t>確認済</t>
        </is>
      </c>
      <c r="H86" s="359">
        <f>IF(OR($F86="",$C86=""),"",IF($B86="決算整理",13,MOD(MONTH($C86)-4,12)+1))</f>
        <v>6</v>
      </c>
      <c r="I86" s="364">
        <f>IF(OR($F86="",$D86=""),"",IFERROR(INDEX(費用収益表_貸付!$S$1:$S$60,VLOOKUP($D86,科目表!$K$5:$L$40,2,FALSE))-SUMIFS($F$5:$F86,$D$5:$D86,$D86),"?"))</f>
        <v>-357340</v>
      </c>
      <c r="J86" s="366" t="str">
        <f>IF($F86="","",TRIM(IF(ISERROR(MATCH($D86,科目表!$K$5:$K$40,0)),"科目未登録 ","")&amp;IF($G86="","状態未設定 ","")&amp;IF(AND(OR($G86="確認済",$G86="未確認"),$B86="通常",OR($C86="",$C86&lt;DATE(年度+2018,4,1),$C86&gt;DATE(年度+2019,3,31))),"年度外の日付 ","")))</f>
        <v/>
      </c>
      <c r="K86" s="366" t="inlineStr">
        <is>
          <t>費用収益表_貸付!H24</t>
        </is>
      </c>
    </row>
    <row r="87">
      <c r="A87" s="359" t="n">
        <v>83</v>
      </c>
      <c r="B87" s="360" t="inlineStr">
        <is>
          <t>通常</t>
        </is>
      </c>
      <c r="C87" s="361" t="n">
        <v>46210</v>
      </c>
      <c r="D87" s="362" t="inlineStr">
        <is>
          <t>労災・雇用等保険料</t>
        </is>
      </c>
      <c r="E87" s="362" t="inlineStr">
        <is>
          <t>労働保険料・一般拠出金　事業主負担分</t>
        </is>
      </c>
      <c r="F87" s="363" t="n">
        <v>129149</v>
      </c>
      <c r="G87" s="360" t="inlineStr">
        <is>
          <t>確認済</t>
        </is>
      </c>
      <c r="H87" s="359">
        <f>IF(OR($F87="",$C87=""),"",IF($B87="決算整理",13,MOD(MONTH($C87)-4,12)+1))</f>
        <v>4</v>
      </c>
      <c r="I87" s="364">
        <f>IF(OR($F87="",$D87=""),"",IFERROR(INDEX(費用収益表_貸付!$S$1:$S$60,VLOOKUP($D87,科目表!$K$5:$L$40,2,FALSE))-SUMIFS($F$5:$F87,$D$5:$D87,$D87),"?"))</f>
        <v>-129149</v>
      </c>
      <c r="J87" s="366" t="str">
        <f>IF($F87="","",TRIM(IF(ISERROR(MATCH($D87,科目表!$K$5:$K$40,0)),"科目未登録 ","")&amp;IF($G87="","状態未設定 ","")&amp;IF(AND(OR($G87="確認済",$G87="未確認"),$B87="通常",OR($C87="",$C87&lt;DATE(年度+2018,4,1),$C87&gt;DATE(年度+2019,3,31))),"年度外の日付 ","")))</f>
        <v/>
      </c>
      <c r="K87" s="366" t="inlineStr">
        <is>
          <t>管理簿②!28</t>
        </is>
      </c>
    </row>
    <row r="88">
      <c r="A88" s="359" t="n"/>
      <c r="B88" s="360" t="n"/>
      <c r="C88" s="361" t="n"/>
      <c r="D88" s="362" t="n"/>
      <c r="E88" s="362" t="n"/>
      <c r="F88" s="363" t="n"/>
      <c r="G88" s="360" t="n"/>
      <c r="H88" s="359" t="str">
        <f>IF(OR($F88="",$C88=""),"",IF($B88="決算整理",13,MOD(MONTH($C88)-4,12)+1))</f>
        <v/>
      </c>
      <c r="I88" s="364" t="str">
        <f>IF(OR($F88="",$D88=""),"",IFERROR(INDEX(費用収益表_貸付!$S$1:$S$60,VLOOKUP($D88,科目表!$K$5:$L$40,2,FALSE))-SUMIFS($F$5:$F88,$D$5:$D88,$D88),"?"))</f>
        <v/>
      </c>
      <c r="J88" s="366" t="str">
        <f>IF($F88="","",TRIM(IF(ISERROR(MATCH($D88,科目表!$K$5:$K$40,0)),"科目未登録 ","")&amp;IF($G88="","状態未設定 ","")&amp;IF(AND(OR($G88="確認済",$G88="未確認"),$B88="通常",OR($C88="",$C88&lt;DATE(年度+2018,4,1),$C88&gt;DATE(年度+2019,3,31))),"年度外の日付 ","")))</f>
        <v/>
      </c>
      <c r="K88" s="366" t="n"/>
    </row>
    <row r="89">
      <c r="A89" s="359" t="n"/>
      <c r="B89" s="360" t="n"/>
      <c r="C89" s="361" t="n"/>
      <c r="D89" s="362" t="n"/>
      <c r="E89" s="362" t="n"/>
      <c r="F89" s="363" t="n"/>
      <c r="G89" s="360" t="n"/>
      <c r="H89" s="359" t="str">
        <f>IF(OR($F89="",$C89=""),"",IF($B89="決算整理",13,MOD(MONTH($C89)-4,12)+1))</f>
        <v/>
      </c>
      <c r="I89" s="364" t="str">
        <f>IF(OR($F89="",$D89=""),"",IFERROR(INDEX(費用収益表_貸付!$S$1:$S$60,VLOOKUP($D89,科目表!$K$5:$L$40,2,FALSE))-SUMIFS($F$5:$F89,$D$5:$D89,$D89),"?"))</f>
        <v/>
      </c>
      <c r="J89" s="366" t="str">
        <f>IF($F89="","",TRIM(IF(ISERROR(MATCH($D89,科目表!$K$5:$K$40,0)),"科目未登録 ","")&amp;IF($G89="","状態未設定 ","")&amp;IF(AND(OR($G89="確認済",$G89="未確認"),$B89="通常",OR($C89="",$C89&lt;DATE(年度+2018,4,1),$C89&gt;DATE(年度+2019,3,31))),"年度外の日付 ","")))</f>
        <v/>
      </c>
      <c r="K89" s="366" t="n"/>
    </row>
    <row r="90">
      <c r="A90" s="359" t="n"/>
      <c r="B90" s="360" t="n"/>
      <c r="C90" s="361" t="n"/>
      <c r="D90" s="362" t="n"/>
      <c r="E90" s="362" t="n"/>
      <c r="F90" s="363" t="n"/>
      <c r="G90" s="360" t="n"/>
      <c r="H90" s="359" t="str">
        <f>IF(OR($F90="",$C90=""),"",IF($B90="決算整理",13,MOD(MONTH($C90)-4,12)+1))</f>
        <v/>
      </c>
      <c r="I90" s="364" t="str">
        <f>IF(OR($F90="",$D90=""),"",IFERROR(INDEX(費用収益表_貸付!$S$1:$S$60,VLOOKUP($D90,科目表!$K$5:$L$40,2,FALSE))-SUMIFS($F$5:$F90,$D$5:$D90,$D90),"?"))</f>
        <v/>
      </c>
      <c r="J90" s="366" t="str">
        <f>IF($F90="","",TRIM(IF(ISERROR(MATCH($D90,科目表!$K$5:$K$40,0)),"科目未登録 ","")&amp;IF($G90="","状態未設定 ","")&amp;IF(AND(OR($G90="確認済",$G90="未確認"),$B90="通常",OR($C90="",$C90&lt;DATE(年度+2018,4,1),$C90&gt;DATE(年度+2019,3,31))),"年度外の日付 ","")))</f>
        <v/>
      </c>
      <c r="K90" s="366" t="n"/>
    </row>
    <row r="91">
      <c r="A91" s="359" t="n"/>
      <c r="B91" s="360" t="n"/>
      <c r="C91" s="361" t="n"/>
      <c r="D91" s="362" t="n"/>
      <c r="E91" s="362" t="n"/>
      <c r="F91" s="363" t="n"/>
      <c r="G91" s="360" t="n"/>
      <c r="H91" s="359" t="str">
        <f>IF(OR($F91="",$C91=""),"",IF($B91="決算整理",13,MOD(MONTH($C91)-4,12)+1))</f>
        <v/>
      </c>
      <c r="I91" s="364" t="str">
        <f>IF(OR($F91="",$D91=""),"",IFERROR(INDEX(費用収益表_貸付!$S$1:$S$60,VLOOKUP($D91,科目表!$K$5:$L$40,2,FALSE))-SUMIFS($F$5:$F91,$D$5:$D91,$D91),"?"))</f>
        <v/>
      </c>
      <c r="J91" s="366" t="str">
        <f>IF($F91="","",TRIM(IF(ISERROR(MATCH($D91,科目表!$K$5:$K$40,0)),"科目未登録 ","")&amp;IF($G91="","状態未設定 ","")&amp;IF(AND(OR($G91="確認済",$G91="未確認"),$B91="通常",OR($C91="",$C91&lt;DATE(年度+2018,4,1),$C91&gt;DATE(年度+2019,3,31))),"年度外の日付 ","")))</f>
        <v/>
      </c>
      <c r="K91" s="366" t="n"/>
    </row>
    <row r="92">
      <c r="A92" s="359" t="n"/>
      <c r="B92" s="360" t="n"/>
      <c r="C92" s="361" t="n"/>
      <c r="D92" s="362" t="n"/>
      <c r="E92" s="362" t="n"/>
      <c r="F92" s="363" t="n"/>
      <c r="G92" s="360" t="n"/>
      <c r="H92" s="359" t="str">
        <f>IF(OR($F92="",$C92=""),"",IF($B92="決算整理",13,MOD(MONTH($C92)-4,12)+1))</f>
        <v/>
      </c>
      <c r="I92" s="364" t="str">
        <f>IF(OR($F92="",$D92=""),"",IFERROR(INDEX(費用収益表_貸付!$S$1:$S$60,VLOOKUP($D92,科目表!$K$5:$L$40,2,FALSE))-SUMIFS($F$5:$F92,$D$5:$D92,$D92),"?"))</f>
        <v/>
      </c>
      <c r="J92" s="366" t="str">
        <f>IF($F92="","",TRIM(IF(ISERROR(MATCH($D92,科目表!$K$5:$K$40,0)),"科目未登録 ","")&amp;IF($G92="","状態未設定 ","")&amp;IF(AND(OR($G92="確認済",$G92="未確認"),$B92="通常",OR($C92="",$C92&lt;DATE(年度+2018,4,1),$C92&gt;DATE(年度+2019,3,31))),"年度外の日付 ","")))</f>
        <v/>
      </c>
      <c r="K92" s="366" t="n"/>
    </row>
    <row r="93">
      <c r="A93" s="359" t="n"/>
      <c r="B93" s="360" t="n"/>
      <c r="C93" s="361" t="n"/>
      <c r="D93" s="362" t="n"/>
      <c r="E93" s="362" t="n"/>
      <c r="F93" s="363" t="n"/>
      <c r="G93" s="360" t="n"/>
      <c r="H93" s="359" t="str">
        <f>IF(OR($F93="",$C93=""),"",IF($B93="決算整理",13,MOD(MONTH($C93)-4,12)+1))</f>
        <v/>
      </c>
      <c r="I93" s="364" t="str">
        <f>IF(OR($F93="",$D93=""),"",IFERROR(INDEX(費用収益表_貸付!$S$1:$S$60,VLOOKUP($D93,科目表!$K$5:$L$40,2,FALSE))-SUMIFS($F$5:$F93,$D$5:$D93,$D93),"?"))</f>
        <v/>
      </c>
      <c r="J93" s="366" t="str">
        <f>IF($F93="","",TRIM(IF(ISERROR(MATCH($D93,科目表!$K$5:$K$40,0)),"科目未登録 ","")&amp;IF($G93="","状態未設定 ","")&amp;IF(AND(OR($G93="確認済",$G93="未確認"),$B93="通常",OR($C93="",$C93&lt;DATE(年度+2018,4,1),$C93&gt;DATE(年度+2019,3,31))),"年度外の日付 ","")))</f>
        <v/>
      </c>
      <c r="K93" s="366" t="n"/>
    </row>
    <row r="94">
      <c r="A94" s="359" t="n"/>
      <c r="B94" s="360" t="n"/>
      <c r="C94" s="361" t="n"/>
      <c r="D94" s="362" t="n"/>
      <c r="E94" s="362" t="n"/>
      <c r="F94" s="363" t="n"/>
      <c r="G94" s="360" t="n"/>
      <c r="H94" s="359" t="str">
        <f>IF(OR($F94="",$C94=""),"",IF($B94="決算整理",13,MOD(MONTH($C94)-4,12)+1))</f>
        <v/>
      </c>
      <c r="I94" s="364" t="str">
        <f>IF(OR($F94="",$D94=""),"",IFERROR(INDEX(費用収益表_貸付!$S$1:$S$60,VLOOKUP($D94,科目表!$K$5:$L$40,2,FALSE))-SUMIFS($F$5:$F94,$D$5:$D94,$D94),"?"))</f>
        <v/>
      </c>
      <c r="J94" s="366" t="str">
        <f>IF($F94="","",TRIM(IF(ISERROR(MATCH($D94,科目表!$K$5:$K$40,0)),"科目未登録 ","")&amp;IF($G94="","状態未設定 ","")&amp;IF(AND(OR($G94="確認済",$G94="未確認"),$B94="通常",OR($C94="",$C94&lt;DATE(年度+2018,4,1),$C94&gt;DATE(年度+2019,3,31))),"年度外の日付 ","")))</f>
        <v/>
      </c>
      <c r="K94" s="366" t="n"/>
    </row>
    <row r="95">
      <c r="A95" s="359" t="n"/>
      <c r="B95" s="360" t="n"/>
      <c r="C95" s="361" t="n"/>
      <c r="D95" s="362" t="n"/>
      <c r="E95" s="362" t="n"/>
      <c r="F95" s="363" t="n"/>
      <c r="G95" s="360" t="n"/>
      <c r="H95" s="359" t="str">
        <f>IF(OR($F95="",$C95=""),"",IF($B95="決算整理",13,MOD(MONTH($C95)-4,12)+1))</f>
        <v/>
      </c>
      <c r="I95" s="364" t="str">
        <f>IF(OR($F95="",$D95=""),"",IFERROR(INDEX(費用収益表_貸付!$S$1:$S$60,VLOOKUP($D95,科目表!$K$5:$L$40,2,FALSE))-SUMIFS($F$5:$F95,$D$5:$D95,$D95),"?"))</f>
        <v/>
      </c>
      <c r="J95" s="366" t="str">
        <f>IF($F95="","",TRIM(IF(ISERROR(MATCH($D95,科目表!$K$5:$K$40,0)),"科目未登録 ","")&amp;IF($G95="","状態未設定 ","")&amp;IF(AND(OR($G95="確認済",$G95="未確認"),$B95="通常",OR($C95="",$C95&lt;DATE(年度+2018,4,1),$C95&gt;DATE(年度+2019,3,31))),"年度外の日付 ","")))</f>
        <v/>
      </c>
      <c r="K95" s="366" t="n"/>
    </row>
    <row r="96">
      <c r="A96" s="359" t="n"/>
      <c r="B96" s="360" t="n"/>
      <c r="C96" s="361" t="n"/>
      <c r="D96" s="362" t="n"/>
      <c r="E96" s="362" t="n"/>
      <c r="F96" s="363" t="n"/>
      <c r="G96" s="360" t="n"/>
      <c r="H96" s="359" t="str">
        <f>IF(OR($F96="",$C96=""),"",IF($B96="決算整理",13,MOD(MONTH($C96)-4,12)+1))</f>
        <v/>
      </c>
      <c r="I96" s="364" t="str">
        <f>IF(OR($F96="",$D96=""),"",IFERROR(INDEX(費用収益表_貸付!$S$1:$S$60,VLOOKUP($D96,科目表!$K$5:$L$40,2,FALSE))-SUMIFS($F$5:$F96,$D$5:$D96,$D96),"?"))</f>
        <v/>
      </c>
      <c r="J96" s="366" t="str">
        <f>IF($F96="","",TRIM(IF(ISERROR(MATCH($D96,科目表!$K$5:$K$40,0)),"科目未登録 ","")&amp;IF($G96="","状態未設定 ","")&amp;IF(AND(OR($G96="確認済",$G96="未確認"),$B96="通常",OR($C96="",$C96&lt;DATE(年度+2018,4,1),$C96&gt;DATE(年度+2019,3,31))),"年度外の日付 ","")))</f>
        <v/>
      </c>
      <c r="K96" s="366" t="n"/>
    </row>
    <row r="97">
      <c r="A97" s="359" t="n"/>
      <c r="B97" s="360" t="n"/>
      <c r="C97" s="361" t="n"/>
      <c r="D97" s="362" t="n"/>
      <c r="E97" s="362" t="n"/>
      <c r="F97" s="363" t="n"/>
      <c r="G97" s="360" t="n"/>
      <c r="H97" s="359" t="str">
        <f>IF(OR($F97="",$C97=""),"",IF($B97="決算整理",13,MOD(MONTH($C97)-4,12)+1))</f>
        <v/>
      </c>
      <c r="I97" s="364" t="str">
        <f>IF(OR($F97="",$D97=""),"",IFERROR(INDEX(費用収益表_貸付!$S$1:$S$60,VLOOKUP($D97,科目表!$K$5:$L$40,2,FALSE))-SUMIFS($F$5:$F97,$D$5:$D97,$D97),"?"))</f>
        <v/>
      </c>
      <c r="J97" s="366" t="str">
        <f>IF($F97="","",TRIM(IF(ISERROR(MATCH($D97,科目表!$K$5:$K$40,0)),"科目未登録 ","")&amp;IF($G97="","状態未設定 ","")&amp;IF(AND(OR($G97="確認済",$G97="未確認"),$B97="通常",OR($C97="",$C97&lt;DATE(年度+2018,4,1),$C97&gt;DATE(年度+2019,3,31))),"年度外の日付 ","")))</f>
        <v/>
      </c>
      <c r="K97" s="366" t="n"/>
    </row>
    <row r="98">
      <c r="A98" s="359" t="n"/>
      <c r="B98" s="360" t="n"/>
      <c r="C98" s="361" t="n"/>
      <c r="D98" s="362" t="n"/>
      <c r="E98" s="362" t="n"/>
      <c r="F98" s="363" t="n"/>
      <c r="G98" s="360" t="n"/>
      <c r="H98" s="359" t="str">
        <f>IF(OR($F98="",$C98=""),"",IF($B98="決算整理",13,MOD(MONTH($C98)-4,12)+1))</f>
        <v/>
      </c>
      <c r="I98" s="364" t="str">
        <f>IF(OR($F98="",$D98=""),"",IFERROR(INDEX(費用収益表_貸付!$S$1:$S$60,VLOOKUP($D98,科目表!$K$5:$L$40,2,FALSE))-SUMIFS($F$5:$F98,$D$5:$D98,$D98),"?"))</f>
        <v/>
      </c>
      <c r="J98" s="366" t="str">
        <f>IF($F98="","",TRIM(IF(ISERROR(MATCH($D98,科目表!$K$5:$K$40,0)),"科目未登録 ","")&amp;IF($G98="","状態未設定 ","")&amp;IF(AND(OR($G98="確認済",$G98="未確認"),$B98="通常",OR($C98="",$C98&lt;DATE(年度+2018,4,1),$C98&gt;DATE(年度+2019,3,31))),"年度外の日付 ","")))</f>
        <v/>
      </c>
      <c r="K98" s="366" t="n"/>
    </row>
    <row r="99">
      <c r="A99" s="359" t="n"/>
      <c r="B99" s="360" t="n"/>
      <c r="C99" s="361" t="n"/>
      <c r="D99" s="362" t="n"/>
      <c r="E99" s="362" t="n"/>
      <c r="F99" s="363" t="n"/>
      <c r="G99" s="360" t="n"/>
      <c r="H99" s="359" t="str">
        <f>IF(OR($F99="",$C99=""),"",IF($B99="決算整理",13,MOD(MONTH($C99)-4,12)+1))</f>
        <v/>
      </c>
      <c r="I99" s="364" t="str">
        <f>IF(OR($F99="",$D99=""),"",IFERROR(INDEX(費用収益表_貸付!$S$1:$S$60,VLOOKUP($D99,科目表!$K$5:$L$40,2,FALSE))-SUMIFS($F$5:$F99,$D$5:$D99,$D99),"?"))</f>
        <v/>
      </c>
      <c r="J99" s="366" t="str">
        <f>IF($F99="","",TRIM(IF(ISERROR(MATCH($D99,科目表!$K$5:$K$40,0)),"科目未登録 ","")&amp;IF($G99="","状態未設定 ","")&amp;IF(AND(OR($G99="確認済",$G99="未確認"),$B99="通常",OR($C99="",$C99&lt;DATE(年度+2018,4,1),$C99&gt;DATE(年度+2019,3,31))),"年度外の日付 ","")))</f>
        <v/>
      </c>
      <c r="K99" s="366" t="n"/>
    </row>
    <row r="100">
      <c r="A100" s="359" t="n"/>
      <c r="B100" s="360" t="n"/>
      <c r="C100" s="361" t="n"/>
      <c r="D100" s="362" t="n"/>
      <c r="E100" s="362" t="n"/>
      <c r="F100" s="363" t="n"/>
      <c r="G100" s="360" t="n"/>
      <c r="H100" s="359" t="str">
        <f>IF(OR($F100="",$C100=""),"",IF($B100="決算整理",13,MOD(MONTH($C100)-4,12)+1))</f>
        <v/>
      </c>
      <c r="I100" s="364" t="str">
        <f>IF(OR($F100="",$D100=""),"",IFERROR(INDEX(費用収益表_貸付!$S$1:$S$60,VLOOKUP($D100,科目表!$K$5:$L$40,2,FALSE))-SUMIFS($F$5:$F100,$D$5:$D100,$D100),"?"))</f>
        <v/>
      </c>
      <c r="J100" s="366" t="str">
        <f>IF($F100="","",TRIM(IF(ISERROR(MATCH($D100,科目表!$K$5:$K$40,0)),"科目未登録 ","")&amp;IF($G100="","状態未設定 ","")&amp;IF(AND(OR($G100="確認済",$G100="未確認"),$B100="通常",OR($C100="",$C100&lt;DATE(年度+2018,4,1),$C100&gt;DATE(年度+2019,3,31))),"年度外の日付 ","")))</f>
        <v/>
      </c>
      <c r="K100" s="366" t="n"/>
    </row>
    <row r="101">
      <c r="A101" s="359" t="n"/>
      <c r="B101" s="360" t="n"/>
      <c r="C101" s="361" t="n"/>
      <c r="D101" s="362" t="n"/>
      <c r="E101" s="362" t="n"/>
      <c r="F101" s="363" t="n"/>
      <c r="G101" s="360" t="n"/>
      <c r="H101" s="359" t="str">
        <f>IF(OR($F101="",$C101=""),"",IF($B101="決算整理",13,MOD(MONTH($C101)-4,12)+1))</f>
        <v/>
      </c>
      <c r="I101" s="364" t="str">
        <f>IF(OR($F101="",$D101=""),"",IFERROR(INDEX(費用収益表_貸付!$S$1:$S$60,VLOOKUP($D101,科目表!$K$5:$L$40,2,FALSE))-SUMIFS($F$5:$F101,$D$5:$D101,$D101),"?"))</f>
        <v/>
      </c>
      <c r="J101" s="366" t="str">
        <f>IF($F101="","",TRIM(IF(ISERROR(MATCH($D101,科目表!$K$5:$K$40,0)),"科目未登録 ","")&amp;IF($G101="","状態未設定 ","")&amp;IF(AND(OR($G101="確認済",$G101="未確認"),$B101="通常",OR($C101="",$C101&lt;DATE(年度+2018,4,1),$C101&gt;DATE(年度+2019,3,31))),"年度外の日付 ","")))</f>
        <v/>
      </c>
      <c r="K101" s="366" t="n"/>
    </row>
    <row r="102">
      <c r="A102" s="359" t="n"/>
      <c r="B102" s="360" t="n"/>
      <c r="C102" s="361" t="n"/>
      <c r="D102" s="362" t="n"/>
      <c r="E102" s="362" t="n"/>
      <c r="F102" s="363" t="n"/>
      <c r="G102" s="360" t="n"/>
      <c r="H102" s="359" t="str">
        <f>IF(OR($F102="",$C102=""),"",IF($B102="決算整理",13,MOD(MONTH($C102)-4,12)+1))</f>
        <v/>
      </c>
      <c r="I102" s="364" t="str">
        <f>IF(OR($F102="",$D102=""),"",IFERROR(INDEX(費用収益表_貸付!$S$1:$S$60,VLOOKUP($D102,科目表!$K$5:$L$40,2,FALSE))-SUMIFS($F$5:$F102,$D$5:$D102,$D102),"?"))</f>
        <v/>
      </c>
      <c r="J102" s="366" t="str">
        <f>IF($F102="","",TRIM(IF(ISERROR(MATCH($D102,科目表!$K$5:$K$40,0)),"科目未登録 ","")&amp;IF($G102="","状態未設定 ","")&amp;IF(AND(OR($G102="確認済",$G102="未確認"),$B102="通常",OR($C102="",$C102&lt;DATE(年度+2018,4,1),$C102&gt;DATE(年度+2019,3,31))),"年度外の日付 ","")))</f>
        <v/>
      </c>
      <c r="K102" s="366" t="n"/>
    </row>
    <row r="103">
      <c r="A103" s="359" t="n"/>
      <c r="B103" s="360" t="n"/>
      <c r="C103" s="361" t="n"/>
      <c r="D103" s="362" t="n"/>
      <c r="E103" s="362" t="n"/>
      <c r="F103" s="363" t="n"/>
      <c r="G103" s="360" t="n"/>
      <c r="H103" s="359" t="str">
        <f>IF(OR($F103="",$C103=""),"",IF($B103="決算整理",13,MOD(MONTH($C103)-4,12)+1))</f>
        <v/>
      </c>
      <c r="I103" s="364" t="str">
        <f>IF(OR($F103="",$D103=""),"",IFERROR(INDEX(費用収益表_貸付!$S$1:$S$60,VLOOKUP($D103,科目表!$K$5:$L$40,2,FALSE))-SUMIFS($F$5:$F103,$D$5:$D103,$D103),"?"))</f>
        <v/>
      </c>
      <c r="J103" s="366" t="str">
        <f>IF($F103="","",TRIM(IF(ISERROR(MATCH($D103,科目表!$K$5:$K$40,0)),"科目未登録 ","")&amp;IF($G103="","状態未設定 ","")&amp;IF(AND(OR($G103="確認済",$G103="未確認"),$B103="通常",OR($C103="",$C103&lt;DATE(年度+2018,4,1),$C103&gt;DATE(年度+2019,3,31))),"年度外の日付 ","")))</f>
        <v/>
      </c>
      <c r="K103" s="366" t="n"/>
    </row>
    <row r="104">
      <c r="A104" s="359" t="n"/>
      <c r="B104" s="360" t="n"/>
      <c r="C104" s="361" t="n"/>
      <c r="D104" s="362" t="n"/>
      <c r="E104" s="362" t="n"/>
      <c r="F104" s="363" t="n"/>
      <c r="G104" s="360" t="n"/>
      <c r="H104" s="359" t="str">
        <f>IF(OR($F104="",$C104=""),"",IF($B104="決算整理",13,MOD(MONTH($C104)-4,12)+1))</f>
        <v/>
      </c>
      <c r="I104" s="364" t="str">
        <f>IF(OR($F104="",$D104=""),"",IFERROR(INDEX(費用収益表_貸付!$S$1:$S$60,VLOOKUP($D104,科目表!$K$5:$L$40,2,FALSE))-SUMIFS($F$5:$F104,$D$5:$D104,$D104),"?"))</f>
        <v/>
      </c>
      <c r="J104" s="366" t="str">
        <f>IF($F104="","",TRIM(IF(ISERROR(MATCH($D104,科目表!$K$5:$K$40,0)),"科目未登録 ","")&amp;IF($G104="","状態未設定 ","")&amp;IF(AND(OR($G104="確認済",$G104="未確認"),$B104="通常",OR($C104="",$C104&lt;DATE(年度+2018,4,1),$C104&gt;DATE(年度+2019,3,31))),"年度外の日付 ","")))</f>
        <v/>
      </c>
      <c r="K104" s="366" t="n"/>
    </row>
    <row r="105">
      <c r="A105" s="359" t="n"/>
      <c r="B105" s="360" t="n"/>
      <c r="C105" s="361" t="n"/>
      <c r="D105" s="362" t="n"/>
      <c r="E105" s="362" t="n"/>
      <c r="F105" s="363" t="n"/>
      <c r="G105" s="360" t="n"/>
      <c r="H105" s="359" t="str">
        <f>IF(OR($F105="",$C105=""),"",IF($B105="決算整理",13,MOD(MONTH($C105)-4,12)+1))</f>
        <v/>
      </c>
      <c r="I105" s="364" t="str">
        <f>IF(OR($F105="",$D105=""),"",IFERROR(INDEX(費用収益表_貸付!$S$1:$S$60,VLOOKUP($D105,科目表!$K$5:$L$40,2,FALSE))-SUMIFS($F$5:$F105,$D$5:$D105,$D105),"?"))</f>
        <v/>
      </c>
      <c r="J105" s="366" t="str">
        <f>IF($F105="","",TRIM(IF(ISERROR(MATCH($D105,科目表!$K$5:$K$40,0)),"科目未登録 ","")&amp;IF($G105="","状態未設定 ","")&amp;IF(AND(OR($G105="確認済",$G105="未確認"),$B105="通常",OR($C105="",$C105&lt;DATE(年度+2018,4,1),$C105&gt;DATE(年度+2019,3,31))),"年度外の日付 ","")))</f>
        <v/>
      </c>
      <c r="K105" s="366" t="n"/>
    </row>
    <row r="106">
      <c r="A106" s="359" t="n"/>
      <c r="B106" s="360" t="n"/>
      <c r="C106" s="361" t="n"/>
      <c r="D106" s="362" t="n"/>
      <c r="E106" s="362" t="n"/>
      <c r="F106" s="363" t="n"/>
      <c r="G106" s="360" t="n"/>
      <c r="H106" s="359" t="str">
        <f>IF(OR($F106="",$C106=""),"",IF($B106="決算整理",13,MOD(MONTH($C106)-4,12)+1))</f>
        <v/>
      </c>
      <c r="I106" s="364" t="str">
        <f>IF(OR($F106="",$D106=""),"",IFERROR(INDEX(費用収益表_貸付!$S$1:$S$60,VLOOKUP($D106,科目表!$K$5:$L$40,2,FALSE))-SUMIFS($F$5:$F106,$D$5:$D106,$D106),"?"))</f>
        <v/>
      </c>
      <c r="J106" s="366" t="str">
        <f>IF($F106="","",TRIM(IF(ISERROR(MATCH($D106,科目表!$K$5:$K$40,0)),"科目未登録 ","")&amp;IF($G106="","状態未設定 ","")&amp;IF(AND(OR($G106="確認済",$G106="未確認"),$B106="通常",OR($C106="",$C106&lt;DATE(年度+2018,4,1),$C106&gt;DATE(年度+2019,3,31))),"年度外の日付 ","")))</f>
        <v/>
      </c>
      <c r="K106" s="366" t="n"/>
    </row>
    <row r="107">
      <c r="A107" s="359" t="n"/>
      <c r="B107" s="360" t="n"/>
      <c r="C107" s="361" t="n"/>
      <c r="D107" s="362" t="n"/>
      <c r="E107" s="362" t="n"/>
      <c r="F107" s="363" t="n"/>
      <c r="G107" s="360" t="n"/>
      <c r="H107" s="359" t="str">
        <f>IF(OR($F107="",$C107=""),"",IF($B107="決算整理",13,MOD(MONTH($C107)-4,12)+1))</f>
        <v/>
      </c>
      <c r="I107" s="364" t="str">
        <f>IF(OR($F107="",$D107=""),"",IFERROR(INDEX(費用収益表_貸付!$S$1:$S$60,VLOOKUP($D107,科目表!$K$5:$L$40,2,FALSE))-SUMIFS($F$5:$F107,$D$5:$D107,$D107),"?"))</f>
        <v/>
      </c>
      <c r="J107" s="366" t="str">
        <f>IF($F107="","",TRIM(IF(ISERROR(MATCH($D107,科目表!$K$5:$K$40,0)),"科目未登録 ","")&amp;IF($G107="","状態未設定 ","")&amp;IF(AND(OR($G107="確認済",$G107="未確認"),$B107="通常",OR($C107="",$C107&lt;DATE(年度+2018,4,1),$C107&gt;DATE(年度+2019,3,31))),"年度外の日付 ","")))</f>
        <v/>
      </c>
      <c r="K107" s="366" t="n"/>
    </row>
    <row r="108">
      <c r="A108" s="359" t="n"/>
      <c r="B108" s="360" t="n"/>
      <c r="C108" s="361" t="n"/>
      <c r="D108" s="362" t="n"/>
      <c r="E108" s="362" t="n"/>
      <c r="F108" s="363" t="n"/>
      <c r="G108" s="360" t="n"/>
      <c r="H108" s="359" t="str">
        <f>IF(OR($F108="",$C108=""),"",IF($B108="決算整理",13,MOD(MONTH($C108)-4,12)+1))</f>
        <v/>
      </c>
      <c r="I108" s="364" t="str">
        <f>IF(OR($F108="",$D108=""),"",IFERROR(INDEX(費用収益表_貸付!$S$1:$S$60,VLOOKUP($D108,科目表!$K$5:$L$40,2,FALSE))-SUMIFS($F$5:$F108,$D$5:$D108,$D108),"?"))</f>
        <v/>
      </c>
      <c r="J108" s="366" t="str">
        <f>IF($F108="","",TRIM(IF(ISERROR(MATCH($D108,科目表!$K$5:$K$40,0)),"科目未登録 ","")&amp;IF($G108="","状態未設定 ","")&amp;IF(AND(OR($G108="確認済",$G108="未確認"),$B108="通常",OR($C108="",$C108&lt;DATE(年度+2018,4,1),$C108&gt;DATE(年度+2019,3,31))),"年度外の日付 ","")))</f>
        <v/>
      </c>
      <c r="K108" s="366" t="n"/>
    </row>
    <row r="109">
      <c r="A109" s="359" t="n"/>
      <c r="B109" s="360" t="n"/>
      <c r="C109" s="361" t="n"/>
      <c r="D109" s="362" t="n"/>
      <c r="E109" s="362" t="n"/>
      <c r="F109" s="363" t="n"/>
      <c r="G109" s="360" t="n"/>
      <c r="H109" s="359" t="str">
        <f>IF(OR($F109="",$C109=""),"",IF($B109="決算整理",13,MOD(MONTH($C109)-4,12)+1))</f>
        <v/>
      </c>
      <c r="I109" s="364" t="str">
        <f>IF(OR($F109="",$D109=""),"",IFERROR(INDEX(費用収益表_貸付!$S$1:$S$60,VLOOKUP($D109,科目表!$K$5:$L$40,2,FALSE))-SUMIFS($F$5:$F109,$D$5:$D109,$D109),"?"))</f>
        <v/>
      </c>
      <c r="J109" s="366" t="str">
        <f>IF($F109="","",TRIM(IF(ISERROR(MATCH($D109,科目表!$K$5:$K$40,0)),"科目未登録 ","")&amp;IF($G109="","状態未設定 ","")&amp;IF(AND(OR($G109="確認済",$G109="未確認"),$B109="通常",OR($C109="",$C109&lt;DATE(年度+2018,4,1),$C109&gt;DATE(年度+2019,3,31))),"年度外の日付 ","")))</f>
        <v/>
      </c>
      <c r="K109" s="366" t="n"/>
    </row>
    <row r="110">
      <c r="A110" s="359" t="n"/>
      <c r="B110" s="360" t="n"/>
      <c r="C110" s="361" t="n"/>
      <c r="D110" s="362" t="n"/>
      <c r="E110" s="362" t="n"/>
      <c r="F110" s="363" t="n"/>
      <c r="G110" s="360" t="n"/>
      <c r="H110" s="359" t="str">
        <f>IF(OR($F110="",$C110=""),"",IF($B110="決算整理",13,MOD(MONTH($C110)-4,12)+1))</f>
        <v/>
      </c>
      <c r="I110" s="364" t="str">
        <f>IF(OR($F110="",$D110=""),"",IFERROR(INDEX(費用収益表_貸付!$S$1:$S$60,VLOOKUP($D110,科目表!$K$5:$L$40,2,FALSE))-SUMIFS($F$5:$F110,$D$5:$D110,$D110),"?"))</f>
        <v/>
      </c>
      <c r="J110" s="366" t="str">
        <f>IF($F110="","",TRIM(IF(ISERROR(MATCH($D110,科目表!$K$5:$K$40,0)),"科目未登録 ","")&amp;IF($G110="","状態未設定 ","")&amp;IF(AND(OR($G110="確認済",$G110="未確認"),$B110="通常",OR($C110="",$C110&lt;DATE(年度+2018,4,1),$C110&gt;DATE(年度+2019,3,31))),"年度外の日付 ","")))</f>
        <v/>
      </c>
      <c r="K110" s="366" t="n"/>
    </row>
    <row r="111">
      <c r="A111" s="359" t="n"/>
      <c r="B111" s="360" t="n"/>
      <c r="C111" s="361" t="n"/>
      <c r="D111" s="362" t="n"/>
      <c r="E111" s="362" t="n"/>
      <c r="F111" s="363" t="n"/>
      <c r="G111" s="360" t="n"/>
      <c r="H111" s="359" t="str">
        <f>IF(OR($F111="",$C111=""),"",IF($B111="決算整理",13,MOD(MONTH($C111)-4,12)+1))</f>
        <v/>
      </c>
      <c r="I111" s="364" t="str">
        <f>IF(OR($F111="",$D111=""),"",IFERROR(INDEX(費用収益表_貸付!$S$1:$S$60,VLOOKUP($D111,科目表!$K$5:$L$40,2,FALSE))-SUMIFS($F$5:$F111,$D$5:$D111,$D111),"?"))</f>
        <v/>
      </c>
      <c r="J111" s="366" t="str">
        <f>IF($F111="","",TRIM(IF(ISERROR(MATCH($D111,科目表!$K$5:$K$40,0)),"科目未登録 ","")&amp;IF($G111="","状態未設定 ","")&amp;IF(AND(OR($G111="確認済",$G111="未確認"),$B111="通常",OR($C111="",$C111&lt;DATE(年度+2018,4,1),$C111&gt;DATE(年度+2019,3,31))),"年度外の日付 ","")))</f>
        <v/>
      </c>
      <c r="K111" s="366" t="n"/>
    </row>
    <row r="112">
      <c r="A112" s="359" t="n"/>
      <c r="B112" s="360" t="n"/>
      <c r="C112" s="361" t="n"/>
      <c r="D112" s="362" t="n"/>
      <c r="E112" s="362" t="n"/>
      <c r="F112" s="363" t="n"/>
      <c r="G112" s="360" t="n"/>
      <c r="H112" s="359" t="str">
        <f>IF(OR($F112="",$C112=""),"",IF($B112="決算整理",13,MOD(MONTH($C112)-4,12)+1))</f>
        <v/>
      </c>
      <c r="I112" s="364" t="str">
        <f>IF(OR($F112="",$D112=""),"",IFERROR(INDEX(費用収益表_貸付!$S$1:$S$60,VLOOKUP($D112,科目表!$K$5:$L$40,2,FALSE))-SUMIFS($F$5:$F112,$D$5:$D112,$D112),"?"))</f>
        <v/>
      </c>
      <c r="J112" s="366" t="str">
        <f>IF($F112="","",TRIM(IF(ISERROR(MATCH($D112,科目表!$K$5:$K$40,0)),"科目未登録 ","")&amp;IF($G112="","状態未設定 ","")&amp;IF(AND(OR($G112="確認済",$G112="未確認"),$B112="通常",OR($C112="",$C112&lt;DATE(年度+2018,4,1),$C112&gt;DATE(年度+2019,3,31))),"年度外の日付 ","")))</f>
        <v/>
      </c>
      <c r="K112" s="366" t="n"/>
    </row>
    <row r="113">
      <c r="A113" s="359" t="n"/>
      <c r="B113" s="360" t="n"/>
      <c r="C113" s="361" t="n"/>
      <c r="D113" s="362" t="n"/>
      <c r="E113" s="362" t="n"/>
      <c r="F113" s="363" t="n"/>
      <c r="G113" s="360" t="n"/>
      <c r="H113" s="359" t="str">
        <f>IF(OR($F113="",$C113=""),"",IF($B113="決算整理",13,MOD(MONTH($C113)-4,12)+1))</f>
        <v/>
      </c>
      <c r="I113" s="364" t="str">
        <f>IF(OR($F113="",$D113=""),"",IFERROR(INDEX(費用収益表_貸付!$S$1:$S$60,VLOOKUP($D113,科目表!$K$5:$L$40,2,FALSE))-SUMIFS($F$5:$F113,$D$5:$D113,$D113),"?"))</f>
        <v/>
      </c>
      <c r="J113" s="366" t="str">
        <f>IF($F113="","",TRIM(IF(ISERROR(MATCH($D113,科目表!$K$5:$K$40,0)),"科目未登録 ","")&amp;IF($G113="","状態未設定 ","")&amp;IF(AND(OR($G113="確認済",$G113="未確認"),$B113="通常",OR($C113="",$C113&lt;DATE(年度+2018,4,1),$C113&gt;DATE(年度+2019,3,31))),"年度外の日付 ","")))</f>
        <v/>
      </c>
      <c r="K113" s="366" t="n"/>
    </row>
    <row r="114">
      <c r="A114" s="359" t="n"/>
      <c r="B114" s="360" t="n"/>
      <c r="C114" s="361" t="n"/>
      <c r="D114" s="362" t="n"/>
      <c r="E114" s="362" t="n"/>
      <c r="F114" s="363" t="n"/>
      <c r="G114" s="360" t="n"/>
      <c r="H114" s="359" t="str">
        <f>IF(OR($F114="",$C114=""),"",IF($B114="決算整理",13,MOD(MONTH($C114)-4,12)+1))</f>
        <v/>
      </c>
      <c r="I114" s="364" t="str">
        <f>IF(OR($F114="",$D114=""),"",IFERROR(INDEX(費用収益表_貸付!$S$1:$S$60,VLOOKUP($D114,科目表!$K$5:$L$40,2,FALSE))-SUMIFS($F$5:$F114,$D$5:$D114,$D114),"?"))</f>
        <v/>
      </c>
      <c r="J114" s="366" t="str">
        <f>IF($F114="","",TRIM(IF(ISERROR(MATCH($D114,科目表!$K$5:$K$40,0)),"科目未登録 ","")&amp;IF($G114="","状態未設定 ","")&amp;IF(AND(OR($G114="確認済",$G114="未確認"),$B114="通常",OR($C114="",$C114&lt;DATE(年度+2018,4,1),$C114&gt;DATE(年度+2019,3,31))),"年度外の日付 ","")))</f>
        <v/>
      </c>
      <c r="K114" s="366" t="n"/>
    </row>
    <row r="115">
      <c r="A115" s="359" t="n"/>
      <c r="B115" s="360" t="n"/>
      <c r="C115" s="361" t="n"/>
      <c r="D115" s="362" t="n"/>
      <c r="E115" s="362" t="n"/>
      <c r="F115" s="363" t="n"/>
      <c r="G115" s="360" t="n"/>
      <c r="H115" s="359" t="str">
        <f>IF(OR($F115="",$C115=""),"",IF($B115="決算整理",13,MOD(MONTH($C115)-4,12)+1))</f>
        <v/>
      </c>
      <c r="I115" s="364" t="str">
        <f>IF(OR($F115="",$D115=""),"",IFERROR(INDEX(費用収益表_貸付!$S$1:$S$60,VLOOKUP($D115,科目表!$K$5:$L$40,2,FALSE))-SUMIFS($F$5:$F115,$D$5:$D115,$D115),"?"))</f>
        <v/>
      </c>
      <c r="J115" s="366" t="str">
        <f>IF($F115="","",TRIM(IF(ISERROR(MATCH($D115,科目表!$K$5:$K$40,0)),"科目未登録 ","")&amp;IF($G115="","状態未設定 ","")&amp;IF(AND(OR($G115="確認済",$G115="未確認"),$B115="通常",OR($C115="",$C115&lt;DATE(年度+2018,4,1),$C115&gt;DATE(年度+2019,3,31))),"年度外の日付 ","")))</f>
        <v/>
      </c>
      <c r="K115" s="366" t="n"/>
    </row>
    <row r="116">
      <c r="A116" s="359" t="n"/>
      <c r="B116" s="360" t="n"/>
      <c r="C116" s="361" t="n"/>
      <c r="D116" s="362" t="n"/>
      <c r="E116" s="362" t="n"/>
      <c r="F116" s="363" t="n"/>
      <c r="G116" s="360" t="n"/>
      <c r="H116" s="359" t="str">
        <f>IF(OR($F116="",$C116=""),"",IF($B116="決算整理",13,MOD(MONTH($C116)-4,12)+1))</f>
        <v/>
      </c>
      <c r="I116" s="364" t="str">
        <f>IF(OR($F116="",$D116=""),"",IFERROR(INDEX(費用収益表_貸付!$S$1:$S$60,VLOOKUP($D116,科目表!$K$5:$L$40,2,FALSE))-SUMIFS($F$5:$F116,$D$5:$D116,$D116),"?"))</f>
        <v/>
      </c>
      <c r="J116" s="366" t="str">
        <f>IF($F116="","",TRIM(IF(ISERROR(MATCH($D116,科目表!$K$5:$K$40,0)),"科目未登録 ","")&amp;IF($G116="","状態未設定 ","")&amp;IF(AND(OR($G116="確認済",$G116="未確認"),$B116="通常",OR($C116="",$C116&lt;DATE(年度+2018,4,1),$C116&gt;DATE(年度+2019,3,31))),"年度外の日付 ","")))</f>
        <v/>
      </c>
      <c r="K116" s="366" t="n"/>
    </row>
    <row r="117">
      <c r="A117" s="359" t="n"/>
      <c r="B117" s="360" t="n"/>
      <c r="C117" s="361" t="n"/>
      <c r="D117" s="362" t="n"/>
      <c r="E117" s="362" t="n"/>
      <c r="F117" s="363" t="n"/>
      <c r="G117" s="360" t="n"/>
      <c r="H117" s="359" t="str">
        <f>IF(OR($F117="",$C117=""),"",IF($B117="決算整理",13,MOD(MONTH($C117)-4,12)+1))</f>
        <v/>
      </c>
      <c r="I117" s="364" t="str">
        <f>IF(OR($F117="",$D117=""),"",IFERROR(INDEX(費用収益表_貸付!$S$1:$S$60,VLOOKUP($D117,科目表!$K$5:$L$40,2,FALSE))-SUMIFS($F$5:$F117,$D$5:$D117,$D117),"?"))</f>
        <v/>
      </c>
      <c r="J117" s="366" t="str">
        <f>IF($F117="","",TRIM(IF(ISERROR(MATCH($D117,科目表!$K$5:$K$40,0)),"科目未登録 ","")&amp;IF($G117="","状態未設定 ","")&amp;IF(AND(OR($G117="確認済",$G117="未確認"),$B117="通常",OR($C117="",$C117&lt;DATE(年度+2018,4,1),$C117&gt;DATE(年度+2019,3,31))),"年度外の日付 ","")))</f>
        <v/>
      </c>
      <c r="K117" s="366" t="n"/>
    </row>
    <row r="118">
      <c r="A118" s="359" t="n"/>
      <c r="B118" s="360" t="n"/>
      <c r="C118" s="361" t="n"/>
      <c r="D118" s="362" t="n"/>
      <c r="E118" s="362" t="n"/>
      <c r="F118" s="363" t="n"/>
      <c r="G118" s="360" t="n"/>
      <c r="H118" s="359" t="str">
        <f>IF(OR($F118="",$C118=""),"",IF($B118="決算整理",13,MOD(MONTH($C118)-4,12)+1))</f>
        <v/>
      </c>
      <c r="I118" s="364" t="str">
        <f>IF(OR($F118="",$D118=""),"",IFERROR(INDEX(費用収益表_貸付!$S$1:$S$60,VLOOKUP($D118,科目表!$K$5:$L$40,2,FALSE))-SUMIFS($F$5:$F118,$D$5:$D118,$D118),"?"))</f>
        <v/>
      </c>
      <c r="J118" s="366" t="str">
        <f>IF($F118="","",TRIM(IF(ISERROR(MATCH($D118,科目表!$K$5:$K$40,0)),"科目未登録 ","")&amp;IF($G118="","状態未設定 ","")&amp;IF(AND(OR($G118="確認済",$G118="未確認"),$B118="通常",OR($C118="",$C118&lt;DATE(年度+2018,4,1),$C118&gt;DATE(年度+2019,3,31))),"年度外の日付 ","")))</f>
        <v/>
      </c>
      <c r="K118" s="366" t="n"/>
    </row>
    <row r="119">
      <c r="A119" s="359" t="n"/>
      <c r="B119" s="360" t="n"/>
      <c r="C119" s="361" t="n"/>
      <c r="D119" s="362" t="n"/>
      <c r="E119" s="362" t="n"/>
      <c r="F119" s="363" t="n"/>
      <c r="G119" s="360" t="n"/>
      <c r="H119" s="359" t="str">
        <f>IF(OR($F119="",$C119=""),"",IF($B119="決算整理",13,MOD(MONTH($C119)-4,12)+1))</f>
        <v/>
      </c>
      <c r="I119" s="364" t="str">
        <f>IF(OR($F119="",$D119=""),"",IFERROR(INDEX(費用収益表_貸付!$S$1:$S$60,VLOOKUP($D119,科目表!$K$5:$L$40,2,FALSE))-SUMIFS($F$5:$F119,$D$5:$D119,$D119),"?"))</f>
        <v/>
      </c>
      <c r="J119" s="366" t="str">
        <f>IF($F119="","",TRIM(IF(ISERROR(MATCH($D119,科目表!$K$5:$K$40,0)),"科目未登録 ","")&amp;IF($G119="","状態未設定 ","")&amp;IF(AND(OR($G119="確認済",$G119="未確認"),$B119="通常",OR($C119="",$C119&lt;DATE(年度+2018,4,1),$C119&gt;DATE(年度+2019,3,31))),"年度外の日付 ","")))</f>
        <v/>
      </c>
      <c r="K119" s="366" t="n"/>
    </row>
    <row r="120">
      <c r="A120" s="359" t="n"/>
      <c r="B120" s="360" t="n"/>
      <c r="C120" s="361" t="n"/>
      <c r="D120" s="362" t="n"/>
      <c r="E120" s="362" t="n"/>
      <c r="F120" s="363" t="n"/>
      <c r="G120" s="360" t="n"/>
      <c r="H120" s="359" t="str">
        <f>IF(OR($F120="",$C120=""),"",IF($B120="決算整理",13,MOD(MONTH($C120)-4,12)+1))</f>
        <v/>
      </c>
      <c r="I120" s="364" t="str">
        <f>IF(OR($F120="",$D120=""),"",IFERROR(INDEX(費用収益表_貸付!$S$1:$S$60,VLOOKUP($D120,科目表!$K$5:$L$40,2,FALSE))-SUMIFS($F$5:$F120,$D$5:$D120,$D120),"?"))</f>
        <v/>
      </c>
      <c r="J120" s="366" t="str">
        <f>IF($F120="","",TRIM(IF(ISERROR(MATCH($D120,科目表!$K$5:$K$40,0)),"科目未登録 ","")&amp;IF($G120="","状態未設定 ","")&amp;IF(AND(OR($G120="確認済",$G120="未確認"),$B120="通常",OR($C120="",$C120&lt;DATE(年度+2018,4,1),$C120&gt;DATE(年度+2019,3,31))),"年度外の日付 ","")))</f>
        <v/>
      </c>
      <c r="K120" s="366" t="n"/>
    </row>
    <row r="121">
      <c r="A121" s="359" t="n"/>
      <c r="B121" s="360" t="n"/>
      <c r="C121" s="361" t="n"/>
      <c r="D121" s="362" t="n"/>
      <c r="E121" s="362" t="n"/>
      <c r="F121" s="363" t="n"/>
      <c r="G121" s="360" t="n"/>
      <c r="H121" s="359" t="str">
        <f>IF(OR($F121="",$C121=""),"",IF($B121="決算整理",13,MOD(MONTH($C121)-4,12)+1))</f>
        <v/>
      </c>
      <c r="I121" s="364" t="str">
        <f>IF(OR($F121="",$D121=""),"",IFERROR(INDEX(費用収益表_貸付!$S$1:$S$60,VLOOKUP($D121,科目表!$K$5:$L$40,2,FALSE))-SUMIFS($F$5:$F121,$D$5:$D121,$D121),"?"))</f>
        <v/>
      </c>
      <c r="J121" s="366" t="str">
        <f>IF($F121="","",TRIM(IF(ISERROR(MATCH($D121,科目表!$K$5:$K$40,0)),"科目未登録 ","")&amp;IF($G121="","状態未設定 ","")&amp;IF(AND(OR($G121="確認済",$G121="未確認"),$B121="通常",OR($C121="",$C121&lt;DATE(年度+2018,4,1),$C121&gt;DATE(年度+2019,3,31))),"年度外の日付 ","")))</f>
        <v/>
      </c>
      <c r="K121" s="366" t="n"/>
    </row>
    <row r="122">
      <c r="A122" s="359" t="n"/>
      <c r="B122" s="360" t="n"/>
      <c r="C122" s="361" t="n"/>
      <c r="D122" s="362" t="n"/>
      <c r="E122" s="362" t="n"/>
      <c r="F122" s="363" t="n"/>
      <c r="G122" s="360" t="n"/>
      <c r="H122" s="359" t="str">
        <f>IF(OR($F122="",$C122=""),"",IF($B122="決算整理",13,MOD(MONTH($C122)-4,12)+1))</f>
        <v/>
      </c>
      <c r="I122" s="364" t="str">
        <f>IF(OR($F122="",$D122=""),"",IFERROR(INDEX(費用収益表_貸付!$S$1:$S$60,VLOOKUP($D122,科目表!$K$5:$L$40,2,FALSE))-SUMIFS($F$5:$F122,$D$5:$D122,$D122),"?"))</f>
        <v/>
      </c>
      <c r="J122" s="366" t="str">
        <f>IF($F122="","",TRIM(IF(ISERROR(MATCH($D122,科目表!$K$5:$K$40,0)),"科目未登録 ","")&amp;IF($G122="","状態未設定 ","")&amp;IF(AND(OR($G122="確認済",$G122="未確認"),$B122="通常",OR($C122="",$C122&lt;DATE(年度+2018,4,1),$C122&gt;DATE(年度+2019,3,31))),"年度外の日付 ","")))</f>
        <v/>
      </c>
      <c r="K122" s="366" t="n"/>
    </row>
    <row r="123">
      <c r="A123" s="359" t="n"/>
      <c r="B123" s="360" t="n"/>
      <c r="C123" s="361" t="n"/>
      <c r="D123" s="362" t="n"/>
      <c r="E123" s="362" t="n"/>
      <c r="F123" s="363" t="n"/>
      <c r="G123" s="360" t="n"/>
      <c r="H123" s="359" t="str">
        <f>IF(OR($F123="",$C123=""),"",IF($B123="決算整理",13,MOD(MONTH($C123)-4,12)+1))</f>
        <v/>
      </c>
      <c r="I123" s="364" t="str">
        <f>IF(OR($F123="",$D123=""),"",IFERROR(INDEX(費用収益表_貸付!$S$1:$S$60,VLOOKUP($D123,科目表!$K$5:$L$40,2,FALSE))-SUMIFS($F$5:$F123,$D$5:$D123,$D123),"?"))</f>
        <v/>
      </c>
      <c r="J123" s="366" t="str">
        <f>IF($F123="","",TRIM(IF(ISERROR(MATCH($D123,科目表!$K$5:$K$40,0)),"科目未登録 ","")&amp;IF($G123="","状態未設定 ","")&amp;IF(AND(OR($G123="確認済",$G123="未確認"),$B123="通常",OR($C123="",$C123&lt;DATE(年度+2018,4,1),$C123&gt;DATE(年度+2019,3,31))),"年度外の日付 ","")))</f>
        <v/>
      </c>
      <c r="K123" s="366" t="n"/>
    </row>
    <row r="124">
      <c r="A124" s="359" t="n"/>
      <c r="B124" s="360" t="n"/>
      <c r="C124" s="361" t="n"/>
      <c r="D124" s="362" t="n"/>
      <c r="E124" s="362" t="n"/>
      <c r="F124" s="363" t="n"/>
      <c r="G124" s="360" t="n"/>
      <c r="H124" s="359" t="str">
        <f>IF(OR($F124="",$C124=""),"",IF($B124="決算整理",13,MOD(MONTH($C124)-4,12)+1))</f>
        <v/>
      </c>
      <c r="I124" s="364" t="str">
        <f>IF(OR($F124="",$D124=""),"",IFERROR(INDEX(費用収益表_貸付!$S$1:$S$60,VLOOKUP($D124,科目表!$K$5:$L$40,2,FALSE))-SUMIFS($F$5:$F124,$D$5:$D124,$D124),"?"))</f>
        <v/>
      </c>
      <c r="J124" s="366" t="str">
        <f>IF($F124="","",TRIM(IF(ISERROR(MATCH($D124,科目表!$K$5:$K$40,0)),"科目未登録 ","")&amp;IF($G124="","状態未設定 ","")&amp;IF(AND(OR($G124="確認済",$G124="未確認"),$B124="通常",OR($C124="",$C124&lt;DATE(年度+2018,4,1),$C124&gt;DATE(年度+2019,3,31))),"年度外の日付 ","")))</f>
        <v/>
      </c>
      <c r="K124" s="366" t="n"/>
    </row>
    <row r="125">
      <c r="A125" s="359" t="n"/>
      <c r="B125" s="360" t="n"/>
      <c r="C125" s="361" t="n"/>
      <c r="D125" s="362" t="n"/>
      <c r="E125" s="362" t="n"/>
      <c r="F125" s="363" t="n"/>
      <c r="G125" s="360" t="n"/>
      <c r="H125" s="359" t="str">
        <f>IF(OR($F125="",$C125=""),"",IF($B125="決算整理",13,MOD(MONTH($C125)-4,12)+1))</f>
        <v/>
      </c>
      <c r="I125" s="364" t="str">
        <f>IF(OR($F125="",$D125=""),"",IFERROR(INDEX(費用収益表_貸付!$S$1:$S$60,VLOOKUP($D125,科目表!$K$5:$L$40,2,FALSE))-SUMIFS($F$5:$F125,$D$5:$D125,$D125),"?"))</f>
        <v/>
      </c>
      <c r="J125" s="366" t="str">
        <f>IF($F125="","",TRIM(IF(ISERROR(MATCH($D125,科目表!$K$5:$K$40,0)),"科目未登録 ","")&amp;IF($G125="","状態未設定 ","")&amp;IF(AND(OR($G125="確認済",$G125="未確認"),$B125="通常",OR($C125="",$C125&lt;DATE(年度+2018,4,1),$C125&gt;DATE(年度+2019,3,31))),"年度外の日付 ","")))</f>
        <v/>
      </c>
      <c r="K125" s="366" t="n"/>
    </row>
    <row r="126">
      <c r="A126" s="359" t="n"/>
      <c r="B126" s="360" t="n"/>
      <c r="C126" s="361" t="n"/>
      <c r="D126" s="362" t="n"/>
      <c r="E126" s="362" t="n"/>
      <c r="F126" s="363" t="n"/>
      <c r="G126" s="360" t="n"/>
      <c r="H126" s="359" t="str">
        <f>IF(OR($F126="",$C126=""),"",IF($B126="決算整理",13,MOD(MONTH($C126)-4,12)+1))</f>
        <v/>
      </c>
      <c r="I126" s="364" t="str">
        <f>IF(OR($F126="",$D126=""),"",IFERROR(INDEX(費用収益表_貸付!$S$1:$S$60,VLOOKUP($D126,科目表!$K$5:$L$40,2,FALSE))-SUMIFS($F$5:$F126,$D$5:$D126,$D126),"?"))</f>
        <v/>
      </c>
      <c r="J126" s="366" t="str">
        <f>IF($F126="","",TRIM(IF(ISERROR(MATCH($D126,科目表!$K$5:$K$40,0)),"科目未登録 ","")&amp;IF($G126="","状態未設定 ","")&amp;IF(AND(OR($G126="確認済",$G126="未確認"),$B126="通常",OR($C126="",$C126&lt;DATE(年度+2018,4,1),$C126&gt;DATE(年度+2019,3,31))),"年度外の日付 ","")))</f>
        <v/>
      </c>
      <c r="K126" s="366" t="n"/>
    </row>
    <row r="127">
      <c r="A127" s="359" t="n"/>
      <c r="B127" s="360" t="n"/>
      <c r="C127" s="361" t="n"/>
      <c r="D127" s="362" t="n"/>
      <c r="E127" s="362" t="n"/>
      <c r="F127" s="363" t="n"/>
      <c r="G127" s="360" t="n"/>
      <c r="H127" s="359" t="str">
        <f>IF(OR($F127="",$C127=""),"",IF($B127="決算整理",13,MOD(MONTH($C127)-4,12)+1))</f>
        <v/>
      </c>
      <c r="I127" s="364" t="str">
        <f>IF(OR($F127="",$D127=""),"",IFERROR(INDEX(費用収益表_貸付!$S$1:$S$60,VLOOKUP($D127,科目表!$K$5:$L$40,2,FALSE))-SUMIFS($F$5:$F127,$D$5:$D127,$D127),"?"))</f>
        <v/>
      </c>
      <c r="J127" s="366" t="str">
        <f>IF($F127="","",TRIM(IF(ISERROR(MATCH($D127,科目表!$K$5:$K$40,0)),"科目未登録 ","")&amp;IF($G127="","状態未設定 ","")&amp;IF(AND(OR($G127="確認済",$G127="未確認"),$B127="通常",OR($C127="",$C127&lt;DATE(年度+2018,4,1),$C127&gt;DATE(年度+2019,3,31))),"年度外の日付 ","")))</f>
        <v/>
      </c>
      <c r="K127" s="366" t="n"/>
    </row>
    <row r="128">
      <c r="A128" s="359" t="n"/>
      <c r="B128" s="360" t="n"/>
      <c r="C128" s="361" t="n"/>
      <c r="D128" s="362" t="n"/>
      <c r="E128" s="362" t="n"/>
      <c r="F128" s="363" t="n"/>
      <c r="G128" s="360" t="n"/>
      <c r="H128" s="359" t="str">
        <f>IF(OR($F128="",$C128=""),"",IF($B128="決算整理",13,MOD(MONTH($C128)-4,12)+1))</f>
        <v/>
      </c>
      <c r="I128" s="364" t="str">
        <f>IF(OR($F128="",$D128=""),"",IFERROR(INDEX(費用収益表_貸付!$S$1:$S$60,VLOOKUP($D128,科目表!$K$5:$L$40,2,FALSE))-SUMIFS($F$5:$F128,$D$5:$D128,$D128),"?"))</f>
        <v/>
      </c>
      <c r="J128" s="366" t="str">
        <f>IF($F128="","",TRIM(IF(ISERROR(MATCH($D128,科目表!$K$5:$K$40,0)),"科目未登録 ","")&amp;IF($G128="","状態未設定 ","")&amp;IF(AND(OR($G128="確認済",$G128="未確認"),$B128="通常",OR($C128="",$C128&lt;DATE(年度+2018,4,1),$C128&gt;DATE(年度+2019,3,31))),"年度外の日付 ","")))</f>
        <v/>
      </c>
      <c r="K128" s="366" t="n"/>
    </row>
    <row r="129">
      <c r="A129" s="359" t="n"/>
      <c r="B129" s="360" t="n"/>
      <c r="C129" s="361" t="n"/>
      <c r="D129" s="362" t="n"/>
      <c r="E129" s="362" t="n"/>
      <c r="F129" s="363" t="n"/>
      <c r="G129" s="360" t="n"/>
      <c r="H129" s="359" t="str">
        <f>IF(OR($F129="",$C129=""),"",IF($B129="決算整理",13,MOD(MONTH($C129)-4,12)+1))</f>
        <v/>
      </c>
      <c r="I129" s="364" t="str">
        <f>IF(OR($F129="",$D129=""),"",IFERROR(INDEX(費用収益表_貸付!$S$1:$S$60,VLOOKUP($D129,科目表!$K$5:$L$40,2,FALSE))-SUMIFS($F$5:$F129,$D$5:$D129,$D129),"?"))</f>
        <v/>
      </c>
      <c r="J129" s="366" t="str">
        <f>IF($F129="","",TRIM(IF(ISERROR(MATCH($D129,科目表!$K$5:$K$40,0)),"科目未登録 ","")&amp;IF($G129="","状態未設定 ","")&amp;IF(AND(OR($G129="確認済",$G129="未確認"),$B129="通常",OR($C129="",$C129&lt;DATE(年度+2018,4,1),$C129&gt;DATE(年度+2019,3,31))),"年度外の日付 ","")))</f>
        <v/>
      </c>
      <c r="K129" s="366" t="n"/>
    </row>
    <row r="130">
      <c r="A130" s="359" t="n"/>
      <c r="B130" s="360" t="n"/>
      <c r="C130" s="361" t="n"/>
      <c r="D130" s="362" t="n"/>
      <c r="E130" s="362" t="n"/>
      <c r="F130" s="363" t="n"/>
      <c r="G130" s="360" t="n"/>
      <c r="H130" s="359" t="str">
        <f>IF(OR($F130="",$C130=""),"",IF($B130="決算整理",13,MOD(MONTH($C130)-4,12)+1))</f>
        <v/>
      </c>
      <c r="I130" s="364" t="str">
        <f>IF(OR($F130="",$D130=""),"",IFERROR(INDEX(費用収益表_貸付!$S$1:$S$60,VLOOKUP($D130,科目表!$K$5:$L$40,2,FALSE))-SUMIFS($F$5:$F130,$D$5:$D130,$D130),"?"))</f>
        <v/>
      </c>
      <c r="J130" s="366" t="str">
        <f>IF($F130="","",TRIM(IF(ISERROR(MATCH($D130,科目表!$K$5:$K$40,0)),"科目未登録 ","")&amp;IF($G130="","状態未設定 ","")&amp;IF(AND(OR($G130="確認済",$G130="未確認"),$B130="通常",OR($C130="",$C130&lt;DATE(年度+2018,4,1),$C130&gt;DATE(年度+2019,3,31))),"年度外の日付 ","")))</f>
        <v/>
      </c>
      <c r="K130" s="366" t="n"/>
    </row>
    <row r="131">
      <c r="A131" s="359" t="n"/>
      <c r="B131" s="360" t="n"/>
      <c r="C131" s="361" t="n"/>
      <c r="D131" s="362" t="n"/>
      <c r="E131" s="362" t="n"/>
      <c r="F131" s="363" t="n"/>
      <c r="G131" s="360" t="n"/>
      <c r="H131" s="359" t="str">
        <f>IF(OR($F131="",$C131=""),"",IF($B131="決算整理",13,MOD(MONTH($C131)-4,12)+1))</f>
        <v/>
      </c>
      <c r="I131" s="364" t="str">
        <f>IF(OR($F131="",$D131=""),"",IFERROR(INDEX(費用収益表_貸付!$S$1:$S$60,VLOOKUP($D131,科目表!$K$5:$L$40,2,FALSE))-SUMIFS($F$5:$F131,$D$5:$D131,$D131),"?"))</f>
        <v/>
      </c>
      <c r="J131" s="366" t="str">
        <f>IF($F131="","",TRIM(IF(ISERROR(MATCH($D131,科目表!$K$5:$K$40,0)),"科目未登録 ","")&amp;IF($G131="","状態未設定 ","")&amp;IF(AND(OR($G131="確認済",$G131="未確認"),$B131="通常",OR($C131="",$C131&lt;DATE(年度+2018,4,1),$C131&gt;DATE(年度+2019,3,31))),"年度外の日付 ","")))</f>
        <v/>
      </c>
      <c r="K131" s="366" t="n"/>
    </row>
    <row r="132">
      <c r="A132" s="359" t="n"/>
      <c r="B132" s="360" t="n"/>
      <c r="C132" s="361" t="n"/>
      <c r="D132" s="362" t="n"/>
      <c r="E132" s="362" t="n"/>
      <c r="F132" s="363" t="n"/>
      <c r="G132" s="360" t="n"/>
      <c r="H132" s="359" t="str">
        <f>IF(OR($F132="",$C132=""),"",IF($B132="決算整理",13,MOD(MONTH($C132)-4,12)+1))</f>
        <v/>
      </c>
      <c r="I132" s="364" t="str">
        <f>IF(OR($F132="",$D132=""),"",IFERROR(INDEX(費用収益表_貸付!$S$1:$S$60,VLOOKUP($D132,科目表!$K$5:$L$40,2,FALSE))-SUMIFS($F$5:$F132,$D$5:$D132,$D132),"?"))</f>
        <v/>
      </c>
      <c r="J132" s="366" t="str">
        <f>IF($F132="","",TRIM(IF(ISERROR(MATCH($D132,科目表!$K$5:$K$40,0)),"科目未登録 ","")&amp;IF($G132="","状態未設定 ","")&amp;IF(AND(OR($G132="確認済",$G132="未確認"),$B132="通常",OR($C132="",$C132&lt;DATE(年度+2018,4,1),$C132&gt;DATE(年度+2019,3,31))),"年度外の日付 ","")))</f>
        <v/>
      </c>
      <c r="K132" s="366" t="n"/>
    </row>
    <row r="133">
      <c r="A133" s="359" t="n"/>
      <c r="B133" s="360" t="n"/>
      <c r="C133" s="361" t="n"/>
      <c r="D133" s="362" t="n"/>
      <c r="E133" s="362" t="n"/>
      <c r="F133" s="363" t="n"/>
      <c r="G133" s="360" t="n"/>
      <c r="H133" s="359" t="str">
        <f>IF(OR($F133="",$C133=""),"",IF($B133="決算整理",13,MOD(MONTH($C133)-4,12)+1))</f>
        <v/>
      </c>
      <c r="I133" s="364" t="str">
        <f>IF(OR($F133="",$D133=""),"",IFERROR(INDEX(費用収益表_貸付!$S$1:$S$60,VLOOKUP($D133,科目表!$K$5:$L$40,2,FALSE))-SUMIFS($F$5:$F133,$D$5:$D133,$D133),"?"))</f>
        <v/>
      </c>
      <c r="J133" s="366" t="str">
        <f>IF($F133="","",TRIM(IF(ISERROR(MATCH($D133,科目表!$K$5:$K$40,0)),"科目未登録 ","")&amp;IF($G133="","状態未設定 ","")&amp;IF(AND(OR($G133="確認済",$G133="未確認"),$B133="通常",OR($C133="",$C133&lt;DATE(年度+2018,4,1),$C133&gt;DATE(年度+2019,3,31))),"年度外の日付 ","")))</f>
        <v/>
      </c>
      <c r="K133" s="366" t="n"/>
    </row>
    <row r="134">
      <c r="A134" s="359" t="n"/>
      <c r="B134" s="360" t="n"/>
      <c r="C134" s="361" t="n"/>
      <c r="D134" s="362" t="n"/>
      <c r="E134" s="362" t="n"/>
      <c r="F134" s="363" t="n"/>
      <c r="G134" s="360" t="n"/>
      <c r="H134" s="359" t="str">
        <f>IF(OR($F134="",$C134=""),"",IF($B134="決算整理",13,MOD(MONTH($C134)-4,12)+1))</f>
        <v/>
      </c>
      <c r="I134" s="364" t="str">
        <f>IF(OR($F134="",$D134=""),"",IFERROR(INDEX(費用収益表_貸付!$S$1:$S$60,VLOOKUP($D134,科目表!$K$5:$L$40,2,FALSE))-SUMIFS($F$5:$F134,$D$5:$D134,$D134),"?"))</f>
        <v/>
      </c>
      <c r="J134" s="366" t="str">
        <f>IF($F134="","",TRIM(IF(ISERROR(MATCH($D134,科目表!$K$5:$K$40,0)),"科目未登録 ","")&amp;IF($G134="","状態未設定 ","")&amp;IF(AND(OR($G134="確認済",$G134="未確認"),$B134="通常",OR($C134="",$C134&lt;DATE(年度+2018,4,1),$C134&gt;DATE(年度+2019,3,31))),"年度外の日付 ","")))</f>
        <v/>
      </c>
      <c r="K134" s="366" t="n"/>
    </row>
    <row r="135">
      <c r="A135" s="359" t="n"/>
      <c r="B135" s="360" t="n"/>
      <c r="C135" s="361" t="n"/>
      <c r="D135" s="362" t="n"/>
      <c r="E135" s="362" t="n"/>
      <c r="F135" s="363" t="n"/>
      <c r="G135" s="360" t="n"/>
      <c r="H135" s="359" t="str">
        <f>IF(OR($F135="",$C135=""),"",IF($B135="決算整理",13,MOD(MONTH($C135)-4,12)+1))</f>
        <v/>
      </c>
      <c r="I135" s="364" t="str">
        <f>IF(OR($F135="",$D135=""),"",IFERROR(INDEX(費用収益表_貸付!$S$1:$S$60,VLOOKUP($D135,科目表!$K$5:$L$40,2,FALSE))-SUMIFS($F$5:$F135,$D$5:$D135,$D135),"?"))</f>
        <v/>
      </c>
      <c r="J135" s="366" t="str">
        <f>IF($F135="","",TRIM(IF(ISERROR(MATCH($D135,科目表!$K$5:$K$40,0)),"科目未登録 ","")&amp;IF($G135="","状態未設定 ","")&amp;IF(AND(OR($G135="確認済",$G135="未確認"),$B135="通常",OR($C135="",$C135&lt;DATE(年度+2018,4,1),$C135&gt;DATE(年度+2019,3,31))),"年度外の日付 ","")))</f>
        <v/>
      </c>
      <c r="K135" s="366" t="n"/>
    </row>
    <row r="136">
      <c r="A136" s="359" t="n"/>
      <c r="B136" s="360" t="n"/>
      <c r="C136" s="361" t="n"/>
      <c r="D136" s="362" t="n"/>
      <c r="E136" s="362" t="n"/>
      <c r="F136" s="363" t="n"/>
      <c r="G136" s="360" t="n"/>
      <c r="H136" s="359" t="str">
        <f>IF(OR($F136="",$C136=""),"",IF($B136="決算整理",13,MOD(MONTH($C136)-4,12)+1))</f>
        <v/>
      </c>
      <c r="I136" s="364" t="str">
        <f>IF(OR($F136="",$D136=""),"",IFERROR(INDEX(費用収益表_貸付!$S$1:$S$60,VLOOKUP($D136,科目表!$K$5:$L$40,2,FALSE))-SUMIFS($F$5:$F136,$D$5:$D136,$D136),"?"))</f>
        <v/>
      </c>
      <c r="J136" s="366" t="str">
        <f>IF($F136="","",TRIM(IF(ISERROR(MATCH($D136,科目表!$K$5:$K$40,0)),"科目未登録 ","")&amp;IF($G136="","状態未設定 ","")&amp;IF(AND(OR($G136="確認済",$G136="未確認"),$B136="通常",OR($C136="",$C136&lt;DATE(年度+2018,4,1),$C136&gt;DATE(年度+2019,3,31))),"年度外の日付 ","")))</f>
        <v/>
      </c>
      <c r="K136" s="366" t="n"/>
    </row>
    <row r="137">
      <c r="A137" s="359" t="n"/>
      <c r="B137" s="360" t="n"/>
      <c r="C137" s="361" t="n"/>
      <c r="D137" s="362" t="n"/>
      <c r="E137" s="362" t="n"/>
      <c r="F137" s="363" t="n"/>
      <c r="G137" s="360" t="n"/>
      <c r="H137" s="359" t="str">
        <f>IF(OR($F137="",$C137=""),"",IF($B137="決算整理",13,MOD(MONTH($C137)-4,12)+1))</f>
        <v/>
      </c>
      <c r="I137" s="364" t="str">
        <f>IF(OR($F137="",$D137=""),"",IFERROR(INDEX(費用収益表_貸付!$S$1:$S$60,VLOOKUP($D137,科目表!$K$5:$L$40,2,FALSE))-SUMIFS($F$5:$F137,$D$5:$D137,$D137),"?"))</f>
        <v/>
      </c>
      <c r="J137" s="366" t="str">
        <f>IF($F137="","",TRIM(IF(ISERROR(MATCH($D137,科目表!$K$5:$K$40,0)),"科目未登録 ","")&amp;IF($G137="","状態未設定 ","")&amp;IF(AND(OR($G137="確認済",$G137="未確認"),$B137="通常",OR($C137="",$C137&lt;DATE(年度+2018,4,1),$C137&gt;DATE(年度+2019,3,31))),"年度外の日付 ","")))</f>
        <v/>
      </c>
      <c r="K137" s="366" t="n"/>
    </row>
    <row r="138">
      <c r="A138" s="359" t="n"/>
      <c r="B138" s="360" t="n"/>
      <c r="C138" s="361" t="n"/>
      <c r="D138" s="362" t="n"/>
      <c r="E138" s="362" t="n"/>
      <c r="F138" s="363" t="n"/>
      <c r="G138" s="360" t="n"/>
      <c r="H138" s="359" t="str">
        <f>IF(OR($F138="",$C138=""),"",IF($B138="決算整理",13,MOD(MONTH($C138)-4,12)+1))</f>
        <v/>
      </c>
      <c r="I138" s="364" t="str">
        <f>IF(OR($F138="",$D138=""),"",IFERROR(INDEX(費用収益表_貸付!$S$1:$S$60,VLOOKUP($D138,科目表!$K$5:$L$40,2,FALSE))-SUMIFS($F$5:$F138,$D$5:$D138,$D138),"?"))</f>
        <v/>
      </c>
      <c r="J138" s="366" t="str">
        <f>IF($F138="","",TRIM(IF(ISERROR(MATCH($D138,科目表!$K$5:$K$40,0)),"科目未登録 ","")&amp;IF($G138="","状態未設定 ","")&amp;IF(AND(OR($G138="確認済",$G138="未確認"),$B138="通常",OR($C138="",$C138&lt;DATE(年度+2018,4,1),$C138&gt;DATE(年度+2019,3,31))),"年度外の日付 ","")))</f>
        <v/>
      </c>
      <c r="K138" s="366" t="n"/>
    </row>
    <row r="139">
      <c r="A139" s="359" t="n"/>
      <c r="B139" s="360" t="n"/>
      <c r="C139" s="361" t="n"/>
      <c r="D139" s="362" t="n"/>
      <c r="E139" s="362" t="n"/>
      <c r="F139" s="363" t="n"/>
      <c r="G139" s="360" t="n"/>
      <c r="H139" s="359" t="str">
        <f>IF(OR($F139="",$C139=""),"",IF($B139="決算整理",13,MOD(MONTH($C139)-4,12)+1))</f>
        <v/>
      </c>
      <c r="I139" s="364" t="str">
        <f>IF(OR($F139="",$D139=""),"",IFERROR(INDEX(費用収益表_貸付!$S$1:$S$60,VLOOKUP($D139,科目表!$K$5:$L$40,2,FALSE))-SUMIFS($F$5:$F139,$D$5:$D139,$D139),"?"))</f>
        <v/>
      </c>
      <c r="J139" s="366" t="str">
        <f>IF($F139="","",TRIM(IF(ISERROR(MATCH($D139,科目表!$K$5:$K$40,0)),"科目未登録 ","")&amp;IF($G139="","状態未設定 ","")&amp;IF(AND(OR($G139="確認済",$G139="未確認"),$B139="通常",OR($C139="",$C139&lt;DATE(年度+2018,4,1),$C139&gt;DATE(年度+2019,3,31))),"年度外の日付 ","")))</f>
        <v/>
      </c>
      <c r="K139" s="366" t="n"/>
    </row>
    <row r="140">
      <c r="A140" s="359" t="n"/>
      <c r="B140" s="360" t="n"/>
      <c r="C140" s="361" t="n"/>
      <c r="D140" s="362" t="n"/>
      <c r="E140" s="362" t="n"/>
      <c r="F140" s="363" t="n"/>
      <c r="G140" s="360" t="n"/>
      <c r="H140" s="359" t="str">
        <f>IF(OR($F140="",$C140=""),"",IF($B140="決算整理",13,MOD(MONTH($C140)-4,12)+1))</f>
        <v/>
      </c>
      <c r="I140" s="364" t="str">
        <f>IF(OR($F140="",$D140=""),"",IFERROR(INDEX(費用収益表_貸付!$S$1:$S$60,VLOOKUP($D140,科目表!$K$5:$L$40,2,FALSE))-SUMIFS($F$5:$F140,$D$5:$D140,$D140),"?"))</f>
        <v/>
      </c>
      <c r="J140" s="366" t="str">
        <f>IF($F140="","",TRIM(IF(ISERROR(MATCH($D140,科目表!$K$5:$K$40,0)),"科目未登録 ","")&amp;IF($G140="","状態未設定 ","")&amp;IF(AND(OR($G140="確認済",$G140="未確認"),$B140="通常",OR($C140="",$C140&lt;DATE(年度+2018,4,1),$C140&gt;DATE(年度+2019,3,31))),"年度外の日付 ","")))</f>
        <v/>
      </c>
      <c r="K140" s="366" t="n"/>
    </row>
    <row r="141">
      <c r="A141" s="359" t="n"/>
      <c r="B141" s="360" t="n"/>
      <c r="C141" s="361" t="n"/>
      <c r="D141" s="362" t="n"/>
      <c r="E141" s="362" t="n"/>
      <c r="F141" s="363" t="n"/>
      <c r="G141" s="360" t="n"/>
      <c r="H141" s="359" t="str">
        <f>IF(OR($F141="",$C141=""),"",IF($B141="決算整理",13,MOD(MONTH($C141)-4,12)+1))</f>
        <v/>
      </c>
      <c r="I141" s="364" t="str">
        <f>IF(OR($F141="",$D141=""),"",IFERROR(INDEX(費用収益表_貸付!$S$1:$S$60,VLOOKUP($D141,科目表!$K$5:$L$40,2,FALSE))-SUMIFS($F$5:$F141,$D$5:$D141,$D141),"?"))</f>
        <v/>
      </c>
      <c r="J141" s="366" t="str">
        <f>IF($F141="","",TRIM(IF(ISERROR(MATCH($D141,科目表!$K$5:$K$40,0)),"科目未登録 ","")&amp;IF($G141="","状態未設定 ","")&amp;IF(AND(OR($G141="確認済",$G141="未確認"),$B141="通常",OR($C141="",$C141&lt;DATE(年度+2018,4,1),$C141&gt;DATE(年度+2019,3,31))),"年度外の日付 ","")))</f>
        <v/>
      </c>
      <c r="K141" s="366" t="n"/>
    </row>
    <row r="142">
      <c r="A142" s="359" t="n"/>
      <c r="B142" s="360" t="n"/>
      <c r="C142" s="361" t="n"/>
      <c r="D142" s="362" t="n"/>
      <c r="E142" s="362" t="n"/>
      <c r="F142" s="363" t="n"/>
      <c r="G142" s="360" t="n"/>
      <c r="H142" s="359" t="str">
        <f>IF(OR($F142="",$C142=""),"",IF($B142="決算整理",13,MOD(MONTH($C142)-4,12)+1))</f>
        <v/>
      </c>
      <c r="I142" s="364" t="str">
        <f>IF(OR($F142="",$D142=""),"",IFERROR(INDEX(費用収益表_貸付!$S$1:$S$60,VLOOKUP($D142,科目表!$K$5:$L$40,2,FALSE))-SUMIFS($F$5:$F142,$D$5:$D142,$D142),"?"))</f>
        <v/>
      </c>
      <c r="J142" s="366" t="str">
        <f>IF($F142="","",TRIM(IF(ISERROR(MATCH($D142,科目表!$K$5:$K$40,0)),"科目未登録 ","")&amp;IF($G142="","状態未設定 ","")&amp;IF(AND(OR($G142="確認済",$G142="未確認"),$B142="通常",OR($C142="",$C142&lt;DATE(年度+2018,4,1),$C142&gt;DATE(年度+2019,3,31))),"年度外の日付 ","")))</f>
        <v/>
      </c>
      <c r="K142" s="366" t="n"/>
    </row>
    <row r="143">
      <c r="A143" s="359" t="n"/>
      <c r="B143" s="360" t="n"/>
      <c r="C143" s="361" t="n"/>
      <c r="D143" s="362" t="n"/>
      <c r="E143" s="362" t="n"/>
      <c r="F143" s="363" t="n"/>
      <c r="G143" s="360" t="n"/>
      <c r="H143" s="359" t="str">
        <f>IF(OR($F143="",$C143=""),"",IF($B143="決算整理",13,MOD(MONTH($C143)-4,12)+1))</f>
        <v/>
      </c>
      <c r="I143" s="364" t="str">
        <f>IF(OR($F143="",$D143=""),"",IFERROR(INDEX(費用収益表_貸付!$S$1:$S$60,VLOOKUP($D143,科目表!$K$5:$L$40,2,FALSE))-SUMIFS($F$5:$F143,$D$5:$D143,$D143),"?"))</f>
        <v/>
      </c>
      <c r="J143" s="366" t="str">
        <f>IF($F143="","",TRIM(IF(ISERROR(MATCH($D143,科目表!$K$5:$K$40,0)),"科目未登録 ","")&amp;IF($G143="","状態未設定 ","")&amp;IF(AND(OR($G143="確認済",$G143="未確認"),$B143="通常",OR($C143="",$C143&lt;DATE(年度+2018,4,1),$C143&gt;DATE(年度+2019,3,31))),"年度外の日付 ","")))</f>
        <v/>
      </c>
      <c r="K143" s="366" t="n"/>
    </row>
    <row r="144">
      <c r="A144" s="359" t="n"/>
      <c r="B144" s="360" t="n"/>
      <c r="C144" s="361" t="n"/>
      <c r="D144" s="362" t="n"/>
      <c r="E144" s="362" t="n"/>
      <c r="F144" s="363" t="n"/>
      <c r="G144" s="360" t="n"/>
      <c r="H144" s="359" t="str">
        <f>IF(OR($F144="",$C144=""),"",IF($B144="決算整理",13,MOD(MONTH($C144)-4,12)+1))</f>
        <v/>
      </c>
      <c r="I144" s="364" t="str">
        <f>IF(OR($F144="",$D144=""),"",IFERROR(INDEX(費用収益表_貸付!$S$1:$S$60,VLOOKUP($D144,科目表!$K$5:$L$40,2,FALSE))-SUMIFS($F$5:$F144,$D$5:$D144,$D144),"?"))</f>
        <v/>
      </c>
      <c r="J144" s="366" t="str">
        <f>IF($F144="","",TRIM(IF(ISERROR(MATCH($D144,科目表!$K$5:$K$40,0)),"科目未登録 ","")&amp;IF($G144="","状態未設定 ","")&amp;IF(AND(OR($G144="確認済",$G144="未確認"),$B144="通常",OR($C144="",$C144&lt;DATE(年度+2018,4,1),$C144&gt;DATE(年度+2019,3,31))),"年度外の日付 ","")))</f>
        <v/>
      </c>
      <c r="K144" s="366" t="n"/>
    </row>
    <row r="145">
      <c r="A145" s="359" t="n"/>
      <c r="B145" s="360" t="n"/>
      <c r="C145" s="361" t="n"/>
      <c r="D145" s="362" t="n"/>
      <c r="E145" s="362" t="n"/>
      <c r="F145" s="363" t="n"/>
      <c r="G145" s="360" t="n"/>
      <c r="H145" s="359" t="str">
        <f>IF(OR($F145="",$C145=""),"",IF($B145="決算整理",13,MOD(MONTH($C145)-4,12)+1))</f>
        <v/>
      </c>
      <c r="I145" s="364" t="str">
        <f>IF(OR($F145="",$D145=""),"",IFERROR(INDEX(費用収益表_貸付!$S$1:$S$60,VLOOKUP($D145,科目表!$K$5:$L$40,2,FALSE))-SUMIFS($F$5:$F145,$D$5:$D145,$D145),"?"))</f>
        <v/>
      </c>
      <c r="J145" s="366" t="str">
        <f>IF($F145="","",TRIM(IF(ISERROR(MATCH($D145,科目表!$K$5:$K$40,0)),"科目未登録 ","")&amp;IF($G145="","状態未設定 ","")&amp;IF(AND(OR($G145="確認済",$G145="未確認"),$B145="通常",OR($C145="",$C145&lt;DATE(年度+2018,4,1),$C145&gt;DATE(年度+2019,3,31))),"年度外の日付 ","")))</f>
        <v/>
      </c>
      <c r="K145" s="366" t="n"/>
    </row>
    <row r="146">
      <c r="A146" s="359" t="n"/>
      <c r="B146" s="360" t="n"/>
      <c r="C146" s="361" t="n"/>
      <c r="D146" s="362" t="n"/>
      <c r="E146" s="362" t="n"/>
      <c r="F146" s="363" t="n"/>
      <c r="G146" s="360" t="n"/>
      <c r="H146" s="359" t="str">
        <f>IF(OR($F146="",$C146=""),"",IF($B146="決算整理",13,MOD(MONTH($C146)-4,12)+1))</f>
        <v/>
      </c>
      <c r="I146" s="364" t="str">
        <f>IF(OR($F146="",$D146=""),"",IFERROR(INDEX(費用収益表_貸付!$S$1:$S$60,VLOOKUP($D146,科目表!$K$5:$L$40,2,FALSE))-SUMIFS($F$5:$F146,$D$5:$D146,$D146),"?"))</f>
        <v/>
      </c>
      <c r="J146" s="366" t="str">
        <f>IF($F146="","",TRIM(IF(ISERROR(MATCH($D146,科目表!$K$5:$K$40,0)),"科目未登録 ","")&amp;IF($G146="","状態未設定 ","")&amp;IF(AND(OR($G146="確認済",$G146="未確認"),$B146="通常",OR($C146="",$C146&lt;DATE(年度+2018,4,1),$C146&gt;DATE(年度+2019,3,31))),"年度外の日付 ","")))</f>
        <v/>
      </c>
      <c r="K146" s="366" t="n"/>
    </row>
    <row r="147">
      <c r="A147" s="359" t="n"/>
      <c r="B147" s="360" t="n"/>
      <c r="C147" s="361" t="n"/>
      <c r="D147" s="362" t="n"/>
      <c r="E147" s="362" t="n"/>
      <c r="F147" s="363" t="n"/>
      <c r="G147" s="360" t="n"/>
      <c r="H147" s="359" t="str">
        <f>IF(OR($F147="",$C147=""),"",IF($B147="決算整理",13,MOD(MONTH($C147)-4,12)+1))</f>
        <v/>
      </c>
      <c r="I147" s="364" t="str">
        <f>IF(OR($F147="",$D147=""),"",IFERROR(INDEX(費用収益表_貸付!$S$1:$S$60,VLOOKUP($D147,科目表!$K$5:$L$40,2,FALSE))-SUMIFS($F$5:$F147,$D$5:$D147,$D147),"?"))</f>
        <v/>
      </c>
      <c r="J147" s="366" t="str">
        <f>IF($F147="","",TRIM(IF(ISERROR(MATCH($D147,科目表!$K$5:$K$40,0)),"科目未登録 ","")&amp;IF($G147="","状態未設定 ","")&amp;IF(AND(OR($G147="確認済",$G147="未確認"),$B147="通常",OR($C147="",$C147&lt;DATE(年度+2018,4,1),$C147&gt;DATE(年度+2019,3,31))),"年度外の日付 ","")))</f>
        <v/>
      </c>
      <c r="K147" s="366" t="n"/>
    </row>
    <row r="148">
      <c r="A148" s="359" t="n"/>
      <c r="B148" s="360" t="n"/>
      <c r="C148" s="361" t="n"/>
      <c r="D148" s="362" t="n"/>
      <c r="E148" s="362" t="n"/>
      <c r="F148" s="363" t="n"/>
      <c r="G148" s="360" t="n"/>
      <c r="H148" s="359" t="str">
        <f>IF(OR($F148="",$C148=""),"",IF($B148="決算整理",13,MOD(MONTH($C148)-4,12)+1))</f>
        <v/>
      </c>
      <c r="I148" s="364" t="str">
        <f>IF(OR($F148="",$D148=""),"",IFERROR(INDEX(費用収益表_貸付!$S$1:$S$60,VLOOKUP($D148,科目表!$K$5:$L$40,2,FALSE))-SUMIFS($F$5:$F148,$D$5:$D148,$D148),"?"))</f>
        <v/>
      </c>
      <c r="J148" s="366" t="str">
        <f>IF($F148="","",TRIM(IF(ISERROR(MATCH($D148,科目表!$K$5:$K$40,0)),"科目未登録 ","")&amp;IF($G148="","状態未設定 ","")&amp;IF(AND(OR($G148="確認済",$G148="未確認"),$B148="通常",OR($C148="",$C148&lt;DATE(年度+2018,4,1),$C148&gt;DATE(年度+2019,3,31))),"年度外の日付 ","")))</f>
        <v/>
      </c>
      <c r="K148" s="366" t="n"/>
    </row>
    <row r="149">
      <c r="A149" s="359" t="n"/>
      <c r="B149" s="360" t="n"/>
      <c r="C149" s="361" t="n"/>
      <c r="D149" s="362" t="n"/>
      <c r="E149" s="362" t="n"/>
      <c r="F149" s="363" t="n"/>
      <c r="G149" s="360" t="n"/>
      <c r="H149" s="359" t="str">
        <f>IF(OR($F149="",$C149=""),"",IF($B149="決算整理",13,MOD(MONTH($C149)-4,12)+1))</f>
        <v/>
      </c>
      <c r="I149" s="364" t="str">
        <f>IF(OR($F149="",$D149=""),"",IFERROR(INDEX(費用収益表_貸付!$S$1:$S$60,VLOOKUP($D149,科目表!$K$5:$L$40,2,FALSE))-SUMIFS($F$5:$F149,$D$5:$D149,$D149),"?"))</f>
        <v/>
      </c>
      <c r="J149" s="366" t="str">
        <f>IF($F149="","",TRIM(IF(ISERROR(MATCH($D149,科目表!$K$5:$K$40,0)),"科目未登録 ","")&amp;IF($G149="","状態未設定 ","")&amp;IF(AND(OR($G149="確認済",$G149="未確認"),$B149="通常",OR($C149="",$C149&lt;DATE(年度+2018,4,1),$C149&gt;DATE(年度+2019,3,31))),"年度外の日付 ","")))</f>
        <v/>
      </c>
      <c r="K149" s="366" t="n"/>
    </row>
    <row r="150">
      <c r="A150" s="359" t="n"/>
      <c r="B150" s="360" t="n"/>
      <c r="C150" s="361" t="n"/>
      <c r="D150" s="362" t="n"/>
      <c r="E150" s="362" t="n"/>
      <c r="F150" s="363" t="n"/>
      <c r="G150" s="360" t="n"/>
      <c r="H150" s="359" t="str">
        <f>IF(OR($F150="",$C150=""),"",IF($B150="決算整理",13,MOD(MONTH($C150)-4,12)+1))</f>
        <v/>
      </c>
      <c r="I150" s="364" t="str">
        <f>IF(OR($F150="",$D150=""),"",IFERROR(INDEX(費用収益表_貸付!$S$1:$S$60,VLOOKUP($D150,科目表!$K$5:$L$40,2,FALSE))-SUMIFS($F$5:$F150,$D$5:$D150,$D150),"?"))</f>
        <v/>
      </c>
      <c r="J150" s="366" t="str">
        <f>IF($F150="","",TRIM(IF(ISERROR(MATCH($D150,科目表!$K$5:$K$40,0)),"科目未登録 ","")&amp;IF($G150="","状態未設定 ","")&amp;IF(AND(OR($G150="確認済",$G150="未確認"),$B150="通常",OR($C150="",$C150&lt;DATE(年度+2018,4,1),$C150&gt;DATE(年度+2019,3,31))),"年度外の日付 ","")))</f>
        <v/>
      </c>
      <c r="K150" s="366" t="n"/>
    </row>
    <row r="151">
      <c r="A151" s="359" t="n"/>
      <c r="B151" s="360" t="n"/>
      <c r="C151" s="361" t="n"/>
      <c r="D151" s="362" t="n"/>
      <c r="E151" s="362" t="n"/>
      <c r="F151" s="363" t="n"/>
      <c r="G151" s="360" t="n"/>
      <c r="H151" s="359" t="str">
        <f>IF(OR($F151="",$C151=""),"",IF($B151="決算整理",13,MOD(MONTH($C151)-4,12)+1))</f>
        <v/>
      </c>
      <c r="I151" s="364" t="str">
        <f>IF(OR($F151="",$D151=""),"",IFERROR(INDEX(費用収益表_貸付!$S$1:$S$60,VLOOKUP($D151,科目表!$K$5:$L$40,2,FALSE))-SUMIFS($F$5:$F151,$D$5:$D151,$D151),"?"))</f>
        <v/>
      </c>
      <c r="J151" s="366" t="str">
        <f>IF($F151="","",TRIM(IF(ISERROR(MATCH($D151,科目表!$K$5:$K$40,0)),"科目未登録 ","")&amp;IF($G151="","状態未設定 ","")&amp;IF(AND(OR($G151="確認済",$G151="未確認"),$B151="通常",OR($C151="",$C151&lt;DATE(年度+2018,4,1),$C151&gt;DATE(年度+2019,3,31))),"年度外の日付 ","")))</f>
        <v/>
      </c>
      <c r="K151" s="366" t="n"/>
    </row>
    <row r="152">
      <c r="A152" s="359" t="n"/>
      <c r="B152" s="360" t="n"/>
      <c r="C152" s="361" t="n"/>
      <c r="D152" s="362" t="n"/>
      <c r="E152" s="362" t="n"/>
      <c r="F152" s="363" t="n"/>
      <c r="G152" s="360" t="n"/>
      <c r="H152" s="359" t="str">
        <f>IF(OR($F152="",$C152=""),"",IF($B152="決算整理",13,MOD(MONTH($C152)-4,12)+1))</f>
        <v/>
      </c>
      <c r="I152" s="364" t="str">
        <f>IF(OR($F152="",$D152=""),"",IFERROR(INDEX(費用収益表_貸付!$S$1:$S$60,VLOOKUP($D152,科目表!$K$5:$L$40,2,FALSE))-SUMIFS($F$5:$F152,$D$5:$D152,$D152),"?"))</f>
        <v/>
      </c>
      <c r="J152" s="366" t="str">
        <f>IF($F152="","",TRIM(IF(ISERROR(MATCH($D152,科目表!$K$5:$K$40,0)),"科目未登録 ","")&amp;IF($G152="","状態未設定 ","")&amp;IF(AND(OR($G152="確認済",$G152="未確認"),$B152="通常",OR($C152="",$C152&lt;DATE(年度+2018,4,1),$C152&gt;DATE(年度+2019,3,31))),"年度外の日付 ","")))</f>
        <v/>
      </c>
      <c r="K152" s="366" t="n"/>
    </row>
    <row r="153">
      <c r="A153" s="359" t="n"/>
      <c r="B153" s="360" t="n"/>
      <c r="C153" s="361" t="n"/>
      <c r="D153" s="362" t="n"/>
      <c r="E153" s="362" t="n"/>
      <c r="F153" s="363" t="n"/>
      <c r="G153" s="360" t="n"/>
      <c r="H153" s="359" t="str">
        <f>IF(OR($F153="",$C153=""),"",IF($B153="決算整理",13,MOD(MONTH($C153)-4,12)+1))</f>
        <v/>
      </c>
      <c r="I153" s="364" t="str">
        <f>IF(OR($F153="",$D153=""),"",IFERROR(INDEX(費用収益表_貸付!$S$1:$S$60,VLOOKUP($D153,科目表!$K$5:$L$40,2,FALSE))-SUMIFS($F$5:$F153,$D$5:$D153,$D153),"?"))</f>
        <v/>
      </c>
      <c r="J153" s="366" t="str">
        <f>IF($F153="","",TRIM(IF(ISERROR(MATCH($D153,科目表!$K$5:$K$40,0)),"科目未登録 ","")&amp;IF($G153="","状態未設定 ","")&amp;IF(AND(OR($G153="確認済",$G153="未確認"),$B153="通常",OR($C153="",$C153&lt;DATE(年度+2018,4,1),$C153&gt;DATE(年度+2019,3,31))),"年度外の日付 ","")))</f>
        <v/>
      </c>
      <c r="K153" s="366" t="n"/>
    </row>
    <row r="154">
      <c r="A154" s="359" t="n"/>
      <c r="B154" s="360" t="n"/>
      <c r="C154" s="361" t="n"/>
      <c r="D154" s="362" t="n"/>
      <c r="E154" s="362" t="n"/>
      <c r="F154" s="363" t="n"/>
      <c r="G154" s="360" t="n"/>
      <c r="H154" s="359" t="str">
        <f>IF(OR($F154="",$C154=""),"",IF($B154="決算整理",13,MOD(MONTH($C154)-4,12)+1))</f>
        <v/>
      </c>
      <c r="I154" s="364" t="str">
        <f>IF(OR($F154="",$D154=""),"",IFERROR(INDEX(費用収益表_貸付!$S$1:$S$60,VLOOKUP($D154,科目表!$K$5:$L$40,2,FALSE))-SUMIFS($F$5:$F154,$D$5:$D154,$D154),"?"))</f>
        <v/>
      </c>
      <c r="J154" s="366" t="str">
        <f>IF($F154="","",TRIM(IF(ISERROR(MATCH($D154,科目表!$K$5:$K$40,0)),"科目未登録 ","")&amp;IF($G154="","状態未設定 ","")&amp;IF(AND(OR($G154="確認済",$G154="未確認"),$B154="通常",OR($C154="",$C154&lt;DATE(年度+2018,4,1),$C154&gt;DATE(年度+2019,3,31))),"年度外の日付 ","")))</f>
        <v/>
      </c>
      <c r="K154" s="366" t="n"/>
    </row>
    <row r="155">
      <c r="A155" s="359" t="n"/>
      <c r="B155" s="360" t="n"/>
      <c r="C155" s="361" t="n"/>
      <c r="D155" s="362" t="n"/>
      <c r="E155" s="362" t="n"/>
      <c r="F155" s="363" t="n"/>
      <c r="G155" s="360" t="n"/>
      <c r="H155" s="359" t="str">
        <f>IF(OR($F155="",$C155=""),"",IF($B155="決算整理",13,MOD(MONTH($C155)-4,12)+1))</f>
        <v/>
      </c>
      <c r="I155" s="364" t="str">
        <f>IF(OR($F155="",$D155=""),"",IFERROR(INDEX(費用収益表_貸付!$S$1:$S$60,VLOOKUP($D155,科目表!$K$5:$L$40,2,FALSE))-SUMIFS($F$5:$F155,$D$5:$D155,$D155),"?"))</f>
        <v/>
      </c>
      <c r="J155" s="366" t="str">
        <f>IF($F155="","",TRIM(IF(ISERROR(MATCH($D155,科目表!$K$5:$K$40,0)),"科目未登録 ","")&amp;IF($G155="","状態未設定 ","")&amp;IF(AND(OR($G155="確認済",$G155="未確認"),$B155="通常",OR($C155="",$C155&lt;DATE(年度+2018,4,1),$C155&gt;DATE(年度+2019,3,31))),"年度外の日付 ","")))</f>
        <v/>
      </c>
      <c r="K155" s="366" t="n"/>
    </row>
    <row r="156">
      <c r="A156" s="359" t="n"/>
      <c r="B156" s="360" t="n"/>
      <c r="C156" s="361" t="n"/>
      <c r="D156" s="362" t="n"/>
      <c r="E156" s="362" t="n"/>
      <c r="F156" s="363" t="n"/>
      <c r="G156" s="360" t="n"/>
      <c r="H156" s="359" t="str">
        <f>IF(OR($F156="",$C156=""),"",IF($B156="決算整理",13,MOD(MONTH($C156)-4,12)+1))</f>
        <v/>
      </c>
      <c r="I156" s="364" t="str">
        <f>IF(OR($F156="",$D156=""),"",IFERROR(INDEX(費用収益表_貸付!$S$1:$S$60,VLOOKUP($D156,科目表!$K$5:$L$40,2,FALSE))-SUMIFS($F$5:$F156,$D$5:$D156,$D156),"?"))</f>
        <v/>
      </c>
      <c r="J156" s="366" t="str">
        <f>IF($F156="","",TRIM(IF(ISERROR(MATCH($D156,科目表!$K$5:$K$40,0)),"科目未登録 ","")&amp;IF($G156="","状態未設定 ","")&amp;IF(AND(OR($G156="確認済",$G156="未確認"),$B156="通常",OR($C156="",$C156&lt;DATE(年度+2018,4,1),$C156&gt;DATE(年度+2019,3,31))),"年度外の日付 ","")))</f>
        <v/>
      </c>
      <c r="K156" s="366" t="n"/>
    </row>
    <row r="157">
      <c r="A157" s="359" t="n"/>
      <c r="B157" s="360" t="n"/>
      <c r="C157" s="361" t="n"/>
      <c r="D157" s="362" t="n"/>
      <c r="E157" s="362" t="n"/>
      <c r="F157" s="363" t="n"/>
      <c r="G157" s="360" t="n"/>
      <c r="H157" s="359" t="str">
        <f>IF(OR($F157="",$C157=""),"",IF($B157="決算整理",13,MOD(MONTH($C157)-4,12)+1))</f>
        <v/>
      </c>
      <c r="I157" s="364" t="str">
        <f>IF(OR($F157="",$D157=""),"",IFERROR(INDEX(費用収益表_貸付!$S$1:$S$60,VLOOKUP($D157,科目表!$K$5:$L$40,2,FALSE))-SUMIFS($F$5:$F157,$D$5:$D157,$D157),"?"))</f>
        <v/>
      </c>
      <c r="J157" s="366" t="str">
        <f>IF($F157="","",TRIM(IF(ISERROR(MATCH($D157,科目表!$K$5:$K$40,0)),"科目未登録 ","")&amp;IF($G157="","状態未設定 ","")&amp;IF(AND(OR($G157="確認済",$G157="未確認"),$B157="通常",OR($C157="",$C157&lt;DATE(年度+2018,4,1),$C157&gt;DATE(年度+2019,3,31))),"年度外の日付 ","")))</f>
        <v/>
      </c>
      <c r="K157" s="366" t="n"/>
    </row>
    <row r="158">
      <c r="A158" s="359" t="n"/>
      <c r="B158" s="360" t="n"/>
      <c r="C158" s="361" t="n"/>
      <c r="D158" s="362" t="n"/>
      <c r="E158" s="362" t="n"/>
      <c r="F158" s="363" t="n"/>
      <c r="G158" s="360" t="n"/>
      <c r="H158" s="359" t="str">
        <f>IF(OR($F158="",$C158=""),"",IF($B158="決算整理",13,MOD(MONTH($C158)-4,12)+1))</f>
        <v/>
      </c>
      <c r="I158" s="364" t="str">
        <f>IF(OR($F158="",$D158=""),"",IFERROR(INDEX(費用収益表_貸付!$S$1:$S$60,VLOOKUP($D158,科目表!$K$5:$L$40,2,FALSE))-SUMIFS($F$5:$F158,$D$5:$D158,$D158),"?"))</f>
        <v/>
      </c>
      <c r="J158" s="366" t="str">
        <f>IF($F158="","",TRIM(IF(ISERROR(MATCH($D158,科目表!$K$5:$K$40,0)),"科目未登録 ","")&amp;IF($G158="","状態未設定 ","")&amp;IF(AND(OR($G158="確認済",$G158="未確認"),$B158="通常",OR($C158="",$C158&lt;DATE(年度+2018,4,1),$C158&gt;DATE(年度+2019,3,31))),"年度外の日付 ","")))</f>
        <v/>
      </c>
      <c r="K158" s="366" t="n"/>
    </row>
    <row r="159">
      <c r="A159" s="359" t="n"/>
      <c r="B159" s="360" t="n"/>
      <c r="C159" s="361" t="n"/>
      <c r="D159" s="362" t="n"/>
      <c r="E159" s="362" t="n"/>
      <c r="F159" s="363" t="n"/>
      <c r="G159" s="360" t="n"/>
      <c r="H159" s="359" t="str">
        <f>IF(OR($F159="",$C159=""),"",IF($B159="決算整理",13,MOD(MONTH($C159)-4,12)+1))</f>
        <v/>
      </c>
      <c r="I159" s="364" t="str">
        <f>IF(OR($F159="",$D159=""),"",IFERROR(INDEX(費用収益表_貸付!$S$1:$S$60,VLOOKUP($D159,科目表!$K$5:$L$40,2,FALSE))-SUMIFS($F$5:$F159,$D$5:$D159,$D159),"?"))</f>
        <v/>
      </c>
      <c r="J159" s="366" t="str">
        <f>IF($F159="","",TRIM(IF(ISERROR(MATCH($D159,科目表!$K$5:$K$40,0)),"科目未登録 ","")&amp;IF($G159="","状態未設定 ","")&amp;IF(AND(OR($G159="確認済",$G159="未確認"),$B159="通常",OR($C159="",$C159&lt;DATE(年度+2018,4,1),$C159&gt;DATE(年度+2019,3,31))),"年度外の日付 ","")))</f>
        <v/>
      </c>
      <c r="K159" s="366" t="n"/>
    </row>
    <row r="160">
      <c r="A160" s="359" t="n"/>
      <c r="B160" s="360" t="n"/>
      <c r="C160" s="361" t="n"/>
      <c r="D160" s="362" t="n"/>
      <c r="E160" s="362" t="n"/>
      <c r="F160" s="363" t="n"/>
      <c r="G160" s="360" t="n"/>
      <c r="H160" s="359" t="str">
        <f>IF(OR($F160="",$C160=""),"",IF($B160="決算整理",13,MOD(MONTH($C160)-4,12)+1))</f>
        <v/>
      </c>
      <c r="I160" s="364" t="str">
        <f>IF(OR($F160="",$D160=""),"",IFERROR(INDEX(費用収益表_貸付!$S$1:$S$60,VLOOKUP($D160,科目表!$K$5:$L$40,2,FALSE))-SUMIFS($F$5:$F160,$D$5:$D160,$D160),"?"))</f>
        <v/>
      </c>
      <c r="J160" s="366" t="str">
        <f>IF($F160="","",TRIM(IF(ISERROR(MATCH($D160,科目表!$K$5:$K$40,0)),"科目未登録 ","")&amp;IF($G160="","状態未設定 ","")&amp;IF(AND(OR($G160="確認済",$G160="未確認"),$B160="通常",OR($C160="",$C160&lt;DATE(年度+2018,4,1),$C160&gt;DATE(年度+2019,3,31))),"年度外の日付 ","")))</f>
        <v/>
      </c>
      <c r="K160" s="366" t="n"/>
    </row>
    <row r="161">
      <c r="A161" s="359" t="n"/>
      <c r="B161" s="360" t="n"/>
      <c r="C161" s="361" t="n"/>
      <c r="D161" s="362" t="n"/>
      <c r="E161" s="362" t="n"/>
      <c r="F161" s="363" t="n"/>
      <c r="G161" s="360" t="n"/>
      <c r="H161" s="359" t="str">
        <f>IF(OR($F161="",$C161=""),"",IF($B161="決算整理",13,MOD(MONTH($C161)-4,12)+1))</f>
        <v/>
      </c>
      <c r="I161" s="364" t="str">
        <f>IF(OR($F161="",$D161=""),"",IFERROR(INDEX(費用収益表_貸付!$S$1:$S$60,VLOOKUP($D161,科目表!$K$5:$L$40,2,FALSE))-SUMIFS($F$5:$F161,$D$5:$D161,$D161),"?"))</f>
        <v/>
      </c>
      <c r="J161" s="366" t="str">
        <f>IF($F161="","",TRIM(IF(ISERROR(MATCH($D161,科目表!$K$5:$K$40,0)),"科目未登録 ","")&amp;IF($G161="","状態未設定 ","")&amp;IF(AND(OR($G161="確認済",$G161="未確認"),$B161="通常",OR($C161="",$C161&lt;DATE(年度+2018,4,1),$C161&gt;DATE(年度+2019,3,31))),"年度外の日付 ","")))</f>
        <v/>
      </c>
      <c r="K161" s="366" t="n"/>
    </row>
    <row r="162">
      <c r="A162" s="359" t="n"/>
      <c r="B162" s="360" t="n"/>
      <c r="C162" s="361" t="n"/>
      <c r="D162" s="362" t="n"/>
      <c r="E162" s="362" t="n"/>
      <c r="F162" s="363" t="n"/>
      <c r="G162" s="360" t="n"/>
      <c r="H162" s="359" t="str">
        <f>IF(OR($F162="",$C162=""),"",IF($B162="決算整理",13,MOD(MONTH($C162)-4,12)+1))</f>
        <v/>
      </c>
      <c r="I162" s="364" t="str">
        <f>IF(OR($F162="",$D162=""),"",IFERROR(INDEX(費用収益表_貸付!$S$1:$S$60,VLOOKUP($D162,科目表!$K$5:$L$40,2,FALSE))-SUMIFS($F$5:$F162,$D$5:$D162,$D162),"?"))</f>
        <v/>
      </c>
      <c r="J162" s="366" t="str">
        <f>IF($F162="","",TRIM(IF(ISERROR(MATCH($D162,科目表!$K$5:$K$40,0)),"科目未登録 ","")&amp;IF($G162="","状態未設定 ","")&amp;IF(AND(OR($G162="確認済",$G162="未確認"),$B162="通常",OR($C162="",$C162&lt;DATE(年度+2018,4,1),$C162&gt;DATE(年度+2019,3,31))),"年度外の日付 ","")))</f>
        <v/>
      </c>
      <c r="K162" s="366" t="n"/>
    </row>
    <row r="163">
      <c r="A163" s="359" t="n"/>
      <c r="B163" s="360" t="n"/>
      <c r="C163" s="361" t="n"/>
      <c r="D163" s="362" t="n"/>
      <c r="E163" s="362" t="n"/>
      <c r="F163" s="363" t="n"/>
      <c r="G163" s="360" t="n"/>
      <c r="H163" s="359" t="str">
        <f>IF(OR($F163="",$C163=""),"",IF($B163="決算整理",13,MOD(MONTH($C163)-4,12)+1))</f>
        <v/>
      </c>
      <c r="I163" s="364" t="str">
        <f>IF(OR($F163="",$D163=""),"",IFERROR(INDEX(費用収益表_貸付!$S$1:$S$60,VLOOKUP($D163,科目表!$K$5:$L$40,2,FALSE))-SUMIFS($F$5:$F163,$D$5:$D163,$D163),"?"))</f>
        <v/>
      </c>
      <c r="J163" s="366" t="str">
        <f>IF($F163="","",TRIM(IF(ISERROR(MATCH($D163,科目表!$K$5:$K$40,0)),"科目未登録 ","")&amp;IF($G163="","状態未設定 ","")&amp;IF(AND(OR($G163="確認済",$G163="未確認"),$B163="通常",OR($C163="",$C163&lt;DATE(年度+2018,4,1),$C163&gt;DATE(年度+2019,3,31))),"年度外の日付 ","")))</f>
        <v/>
      </c>
      <c r="K163" s="366" t="n"/>
    </row>
    <row r="164">
      <c r="A164" s="359" t="n"/>
      <c r="B164" s="360" t="n"/>
      <c r="C164" s="361" t="n"/>
      <c r="D164" s="362" t="n"/>
      <c r="E164" s="362" t="n"/>
      <c r="F164" s="363" t="n"/>
      <c r="G164" s="360" t="n"/>
      <c r="H164" s="359" t="str">
        <f>IF(OR($F164="",$C164=""),"",IF($B164="決算整理",13,MOD(MONTH($C164)-4,12)+1))</f>
        <v/>
      </c>
      <c r="I164" s="364" t="str">
        <f>IF(OR($F164="",$D164=""),"",IFERROR(INDEX(費用収益表_貸付!$S$1:$S$60,VLOOKUP($D164,科目表!$K$5:$L$40,2,FALSE))-SUMIFS($F$5:$F164,$D$5:$D164,$D164),"?"))</f>
        <v/>
      </c>
      <c r="J164" s="366" t="str">
        <f>IF($F164="","",TRIM(IF(ISERROR(MATCH($D164,科目表!$K$5:$K$40,0)),"科目未登録 ","")&amp;IF($G164="","状態未設定 ","")&amp;IF(AND(OR($G164="確認済",$G164="未確認"),$B164="通常",OR($C164="",$C164&lt;DATE(年度+2018,4,1),$C164&gt;DATE(年度+2019,3,31))),"年度外の日付 ","")))</f>
        <v/>
      </c>
      <c r="K164" s="366" t="n"/>
    </row>
    <row r="165">
      <c r="A165" s="359" t="n"/>
      <c r="B165" s="360" t="n"/>
      <c r="C165" s="361" t="n"/>
      <c r="D165" s="362" t="n"/>
      <c r="E165" s="362" t="n"/>
      <c r="F165" s="363" t="n"/>
      <c r="G165" s="360" t="n"/>
      <c r="H165" s="359" t="str">
        <f>IF(OR($F165="",$C165=""),"",IF($B165="決算整理",13,MOD(MONTH($C165)-4,12)+1))</f>
        <v/>
      </c>
      <c r="I165" s="364" t="str">
        <f>IF(OR($F165="",$D165=""),"",IFERROR(INDEX(費用収益表_貸付!$S$1:$S$60,VLOOKUP($D165,科目表!$K$5:$L$40,2,FALSE))-SUMIFS($F$5:$F165,$D$5:$D165,$D165),"?"))</f>
        <v/>
      </c>
      <c r="J165" s="366" t="str">
        <f>IF($F165="","",TRIM(IF(ISERROR(MATCH($D165,科目表!$K$5:$K$40,0)),"科目未登録 ","")&amp;IF($G165="","状態未設定 ","")&amp;IF(AND(OR($G165="確認済",$G165="未確認"),$B165="通常",OR($C165="",$C165&lt;DATE(年度+2018,4,1),$C165&gt;DATE(年度+2019,3,31))),"年度外の日付 ","")))</f>
        <v/>
      </c>
      <c r="K165" s="366" t="n"/>
    </row>
    <row r="166">
      <c r="A166" s="359" t="n"/>
      <c r="B166" s="360" t="n"/>
      <c r="C166" s="361" t="n"/>
      <c r="D166" s="362" t="n"/>
      <c r="E166" s="362" t="n"/>
      <c r="F166" s="363" t="n"/>
      <c r="G166" s="360" t="n"/>
      <c r="H166" s="359" t="str">
        <f>IF(OR($F166="",$C166=""),"",IF($B166="決算整理",13,MOD(MONTH($C166)-4,12)+1))</f>
        <v/>
      </c>
      <c r="I166" s="364" t="str">
        <f>IF(OR($F166="",$D166=""),"",IFERROR(INDEX(費用収益表_貸付!$S$1:$S$60,VLOOKUP($D166,科目表!$K$5:$L$40,2,FALSE))-SUMIFS($F$5:$F166,$D$5:$D166,$D166),"?"))</f>
        <v/>
      </c>
      <c r="J166" s="366" t="str">
        <f>IF($F166="","",TRIM(IF(ISERROR(MATCH($D166,科目表!$K$5:$K$40,0)),"科目未登録 ","")&amp;IF($G166="","状態未設定 ","")&amp;IF(AND(OR($G166="確認済",$G166="未確認"),$B166="通常",OR($C166="",$C166&lt;DATE(年度+2018,4,1),$C166&gt;DATE(年度+2019,3,31))),"年度外の日付 ","")))</f>
        <v/>
      </c>
      <c r="K166" s="366" t="n"/>
    </row>
    <row r="167">
      <c r="A167" s="359" t="n"/>
      <c r="B167" s="360" t="n"/>
      <c r="C167" s="361" t="n"/>
      <c r="D167" s="362" t="n"/>
      <c r="E167" s="362" t="n"/>
      <c r="F167" s="363" t="n"/>
      <c r="G167" s="360" t="n"/>
      <c r="H167" s="359" t="str">
        <f>IF(OR($F167="",$C167=""),"",IF($B167="決算整理",13,MOD(MONTH($C167)-4,12)+1))</f>
        <v/>
      </c>
      <c r="I167" s="364" t="str">
        <f>IF(OR($F167="",$D167=""),"",IFERROR(INDEX(費用収益表_貸付!$S$1:$S$60,VLOOKUP($D167,科目表!$K$5:$L$40,2,FALSE))-SUMIFS($F$5:$F167,$D$5:$D167,$D167),"?"))</f>
        <v/>
      </c>
      <c r="J167" s="366" t="str">
        <f>IF($F167="","",TRIM(IF(ISERROR(MATCH($D167,科目表!$K$5:$K$40,0)),"科目未登録 ","")&amp;IF($G167="","状態未設定 ","")&amp;IF(AND(OR($G167="確認済",$G167="未確認"),$B167="通常",OR($C167="",$C167&lt;DATE(年度+2018,4,1),$C167&gt;DATE(年度+2019,3,31))),"年度外の日付 ","")))</f>
        <v/>
      </c>
      <c r="K167" s="366" t="n"/>
    </row>
    <row r="168">
      <c r="A168" s="359" t="n"/>
      <c r="B168" s="360" t="n"/>
      <c r="C168" s="361" t="n"/>
      <c r="D168" s="362" t="n"/>
      <c r="E168" s="362" t="n"/>
      <c r="F168" s="363" t="n"/>
      <c r="G168" s="360" t="n"/>
      <c r="H168" s="359" t="str">
        <f>IF(OR($F168="",$C168=""),"",IF($B168="決算整理",13,MOD(MONTH($C168)-4,12)+1))</f>
        <v/>
      </c>
      <c r="I168" s="364" t="str">
        <f>IF(OR($F168="",$D168=""),"",IFERROR(INDEX(費用収益表_貸付!$S$1:$S$60,VLOOKUP($D168,科目表!$K$5:$L$40,2,FALSE))-SUMIFS($F$5:$F168,$D$5:$D168,$D168),"?"))</f>
        <v/>
      </c>
      <c r="J168" s="366" t="str">
        <f>IF($F168="","",TRIM(IF(ISERROR(MATCH($D168,科目表!$K$5:$K$40,0)),"科目未登録 ","")&amp;IF($G168="","状態未設定 ","")&amp;IF(AND(OR($G168="確認済",$G168="未確認"),$B168="通常",OR($C168="",$C168&lt;DATE(年度+2018,4,1),$C168&gt;DATE(年度+2019,3,31))),"年度外の日付 ","")))</f>
        <v/>
      </c>
      <c r="K168" s="366" t="n"/>
    </row>
    <row r="169">
      <c r="A169" s="359" t="n"/>
      <c r="B169" s="360" t="n"/>
      <c r="C169" s="361" t="n"/>
      <c r="D169" s="362" t="n"/>
      <c r="E169" s="362" t="n"/>
      <c r="F169" s="363" t="n"/>
      <c r="G169" s="360" t="n"/>
      <c r="H169" s="359" t="str">
        <f>IF(OR($F169="",$C169=""),"",IF($B169="決算整理",13,MOD(MONTH($C169)-4,12)+1))</f>
        <v/>
      </c>
      <c r="I169" s="364" t="str">
        <f>IF(OR($F169="",$D169=""),"",IFERROR(INDEX(費用収益表_貸付!$S$1:$S$60,VLOOKUP($D169,科目表!$K$5:$L$40,2,FALSE))-SUMIFS($F$5:$F169,$D$5:$D169,$D169),"?"))</f>
        <v/>
      </c>
      <c r="J169" s="366" t="str">
        <f>IF($F169="","",TRIM(IF(ISERROR(MATCH($D169,科目表!$K$5:$K$40,0)),"科目未登録 ","")&amp;IF($G169="","状態未設定 ","")&amp;IF(AND(OR($G169="確認済",$G169="未確認"),$B169="通常",OR($C169="",$C169&lt;DATE(年度+2018,4,1),$C169&gt;DATE(年度+2019,3,31))),"年度外の日付 ","")))</f>
        <v/>
      </c>
      <c r="K169" s="366" t="n"/>
    </row>
    <row r="170">
      <c r="A170" s="359" t="n"/>
      <c r="B170" s="360" t="n"/>
      <c r="C170" s="361" t="n"/>
      <c r="D170" s="362" t="n"/>
      <c r="E170" s="362" t="n"/>
      <c r="F170" s="363" t="n"/>
      <c r="G170" s="360" t="n"/>
      <c r="H170" s="359" t="str">
        <f>IF(OR($F170="",$C170=""),"",IF($B170="決算整理",13,MOD(MONTH($C170)-4,12)+1))</f>
        <v/>
      </c>
      <c r="I170" s="364" t="str">
        <f>IF(OR($F170="",$D170=""),"",IFERROR(INDEX(費用収益表_貸付!$S$1:$S$60,VLOOKUP($D170,科目表!$K$5:$L$40,2,FALSE))-SUMIFS($F$5:$F170,$D$5:$D170,$D170),"?"))</f>
        <v/>
      </c>
      <c r="J170" s="366" t="str">
        <f>IF($F170="","",TRIM(IF(ISERROR(MATCH($D170,科目表!$K$5:$K$40,0)),"科目未登録 ","")&amp;IF($G170="","状態未設定 ","")&amp;IF(AND(OR($G170="確認済",$G170="未確認"),$B170="通常",OR($C170="",$C170&lt;DATE(年度+2018,4,1),$C170&gt;DATE(年度+2019,3,31))),"年度外の日付 ","")))</f>
        <v/>
      </c>
      <c r="K170" s="366" t="n"/>
    </row>
    <row r="171">
      <c r="A171" s="359" t="n"/>
      <c r="B171" s="360" t="n"/>
      <c r="C171" s="361" t="n"/>
      <c r="D171" s="362" t="n"/>
      <c r="E171" s="362" t="n"/>
      <c r="F171" s="363" t="n"/>
      <c r="G171" s="360" t="n"/>
      <c r="H171" s="359" t="str">
        <f>IF(OR($F171="",$C171=""),"",IF($B171="決算整理",13,MOD(MONTH($C171)-4,12)+1))</f>
        <v/>
      </c>
      <c r="I171" s="364" t="str">
        <f>IF(OR($F171="",$D171=""),"",IFERROR(INDEX(費用収益表_貸付!$S$1:$S$60,VLOOKUP($D171,科目表!$K$5:$L$40,2,FALSE))-SUMIFS($F$5:$F171,$D$5:$D171,$D171),"?"))</f>
        <v/>
      </c>
      <c r="J171" s="366" t="str">
        <f>IF($F171="","",TRIM(IF(ISERROR(MATCH($D171,科目表!$K$5:$K$40,0)),"科目未登録 ","")&amp;IF($G171="","状態未設定 ","")&amp;IF(AND(OR($G171="確認済",$G171="未確認"),$B171="通常",OR($C171="",$C171&lt;DATE(年度+2018,4,1),$C171&gt;DATE(年度+2019,3,31))),"年度外の日付 ","")))</f>
        <v/>
      </c>
      <c r="K171" s="366" t="n"/>
    </row>
    <row r="172">
      <c r="A172" s="359" t="n"/>
      <c r="B172" s="360" t="n"/>
      <c r="C172" s="361" t="n"/>
      <c r="D172" s="362" t="n"/>
      <c r="E172" s="362" t="n"/>
      <c r="F172" s="363" t="n"/>
      <c r="G172" s="360" t="n"/>
      <c r="H172" s="359" t="str">
        <f>IF(OR($F172="",$C172=""),"",IF($B172="決算整理",13,MOD(MONTH($C172)-4,12)+1))</f>
        <v/>
      </c>
      <c r="I172" s="364" t="str">
        <f>IF(OR($F172="",$D172=""),"",IFERROR(INDEX(費用収益表_貸付!$S$1:$S$60,VLOOKUP($D172,科目表!$K$5:$L$40,2,FALSE))-SUMIFS($F$5:$F172,$D$5:$D172,$D172),"?"))</f>
        <v/>
      </c>
      <c r="J172" s="366" t="str">
        <f>IF($F172="","",TRIM(IF(ISERROR(MATCH($D172,科目表!$K$5:$K$40,0)),"科目未登録 ","")&amp;IF($G172="","状態未設定 ","")&amp;IF(AND(OR($G172="確認済",$G172="未確認"),$B172="通常",OR($C172="",$C172&lt;DATE(年度+2018,4,1),$C172&gt;DATE(年度+2019,3,31))),"年度外の日付 ","")))</f>
        <v/>
      </c>
      <c r="K172" s="366" t="n"/>
    </row>
    <row r="173">
      <c r="A173" s="359" t="n"/>
      <c r="B173" s="360" t="n"/>
      <c r="C173" s="361" t="n"/>
      <c r="D173" s="362" t="n"/>
      <c r="E173" s="362" t="n"/>
      <c r="F173" s="363" t="n"/>
      <c r="G173" s="360" t="n"/>
      <c r="H173" s="359" t="str">
        <f>IF(OR($F173="",$C173=""),"",IF($B173="決算整理",13,MOD(MONTH($C173)-4,12)+1))</f>
        <v/>
      </c>
      <c r="I173" s="364" t="str">
        <f>IF(OR($F173="",$D173=""),"",IFERROR(INDEX(費用収益表_貸付!$S$1:$S$60,VLOOKUP($D173,科目表!$K$5:$L$40,2,FALSE))-SUMIFS($F$5:$F173,$D$5:$D173,$D173),"?"))</f>
        <v/>
      </c>
      <c r="J173" s="366" t="str">
        <f>IF($F173="","",TRIM(IF(ISERROR(MATCH($D173,科目表!$K$5:$K$40,0)),"科目未登録 ","")&amp;IF($G173="","状態未設定 ","")&amp;IF(AND(OR($G173="確認済",$G173="未確認"),$B173="通常",OR($C173="",$C173&lt;DATE(年度+2018,4,1),$C173&gt;DATE(年度+2019,3,31))),"年度外の日付 ","")))</f>
        <v/>
      </c>
      <c r="K173" s="366" t="n"/>
    </row>
    <row r="174">
      <c r="A174" s="359" t="n"/>
      <c r="B174" s="360" t="n"/>
      <c r="C174" s="361" t="n"/>
      <c r="D174" s="362" t="n"/>
      <c r="E174" s="362" t="n"/>
      <c r="F174" s="363" t="n"/>
      <c r="G174" s="360" t="n"/>
      <c r="H174" s="359" t="str">
        <f>IF(OR($F174="",$C174=""),"",IF($B174="決算整理",13,MOD(MONTH($C174)-4,12)+1))</f>
        <v/>
      </c>
      <c r="I174" s="364" t="str">
        <f>IF(OR($F174="",$D174=""),"",IFERROR(INDEX(費用収益表_貸付!$S$1:$S$60,VLOOKUP($D174,科目表!$K$5:$L$40,2,FALSE))-SUMIFS($F$5:$F174,$D$5:$D174,$D174),"?"))</f>
        <v/>
      </c>
      <c r="J174" s="366" t="str">
        <f>IF($F174="","",TRIM(IF(ISERROR(MATCH($D174,科目表!$K$5:$K$40,0)),"科目未登録 ","")&amp;IF($G174="","状態未設定 ","")&amp;IF(AND(OR($G174="確認済",$G174="未確認"),$B174="通常",OR($C174="",$C174&lt;DATE(年度+2018,4,1),$C174&gt;DATE(年度+2019,3,31))),"年度外の日付 ","")))</f>
        <v/>
      </c>
      <c r="K174" s="366" t="n"/>
    </row>
    <row r="175">
      <c r="A175" s="359" t="n"/>
      <c r="B175" s="360" t="n"/>
      <c r="C175" s="361" t="n"/>
      <c r="D175" s="362" t="n"/>
      <c r="E175" s="362" t="n"/>
      <c r="F175" s="363" t="n"/>
      <c r="G175" s="360" t="n"/>
      <c r="H175" s="359" t="str">
        <f>IF(OR($F175="",$C175=""),"",IF($B175="決算整理",13,MOD(MONTH($C175)-4,12)+1))</f>
        <v/>
      </c>
      <c r="I175" s="364" t="str">
        <f>IF(OR($F175="",$D175=""),"",IFERROR(INDEX(費用収益表_貸付!$S$1:$S$60,VLOOKUP($D175,科目表!$K$5:$L$40,2,FALSE))-SUMIFS($F$5:$F175,$D$5:$D175,$D175),"?"))</f>
        <v/>
      </c>
      <c r="J175" s="366" t="str">
        <f>IF($F175="","",TRIM(IF(ISERROR(MATCH($D175,科目表!$K$5:$K$40,0)),"科目未登録 ","")&amp;IF($G175="","状態未設定 ","")&amp;IF(AND(OR($G175="確認済",$G175="未確認"),$B175="通常",OR($C175="",$C175&lt;DATE(年度+2018,4,1),$C175&gt;DATE(年度+2019,3,31))),"年度外の日付 ","")))</f>
        <v/>
      </c>
      <c r="K175" s="366" t="n"/>
    </row>
    <row r="176">
      <c r="A176" s="359" t="n"/>
      <c r="B176" s="360" t="n"/>
      <c r="C176" s="361" t="n"/>
      <c r="D176" s="362" t="n"/>
      <c r="E176" s="362" t="n"/>
      <c r="F176" s="363" t="n"/>
      <c r="G176" s="360" t="n"/>
      <c r="H176" s="359" t="str">
        <f>IF(OR($F176="",$C176=""),"",IF($B176="決算整理",13,MOD(MONTH($C176)-4,12)+1))</f>
        <v/>
      </c>
      <c r="I176" s="364" t="str">
        <f>IF(OR($F176="",$D176=""),"",IFERROR(INDEX(費用収益表_貸付!$S$1:$S$60,VLOOKUP($D176,科目表!$K$5:$L$40,2,FALSE))-SUMIFS($F$5:$F176,$D$5:$D176,$D176),"?"))</f>
        <v/>
      </c>
      <c r="J176" s="366" t="str">
        <f>IF($F176="","",TRIM(IF(ISERROR(MATCH($D176,科目表!$K$5:$K$40,0)),"科目未登録 ","")&amp;IF($G176="","状態未設定 ","")&amp;IF(AND(OR($G176="確認済",$G176="未確認"),$B176="通常",OR($C176="",$C176&lt;DATE(年度+2018,4,1),$C176&gt;DATE(年度+2019,3,31))),"年度外の日付 ","")))</f>
        <v/>
      </c>
      <c r="K176" s="366" t="n"/>
    </row>
    <row r="177">
      <c r="A177" s="359" t="n"/>
      <c r="B177" s="360" t="n"/>
      <c r="C177" s="361" t="n"/>
      <c r="D177" s="362" t="n"/>
      <c r="E177" s="362" t="n"/>
      <c r="F177" s="363" t="n"/>
      <c r="G177" s="360" t="n"/>
      <c r="H177" s="359" t="str">
        <f>IF(OR($F177="",$C177=""),"",IF($B177="決算整理",13,MOD(MONTH($C177)-4,12)+1))</f>
        <v/>
      </c>
      <c r="I177" s="364" t="str">
        <f>IF(OR($F177="",$D177=""),"",IFERROR(INDEX(費用収益表_貸付!$S$1:$S$60,VLOOKUP($D177,科目表!$K$5:$L$40,2,FALSE))-SUMIFS($F$5:$F177,$D$5:$D177,$D177),"?"))</f>
        <v/>
      </c>
      <c r="J177" s="366" t="str">
        <f>IF($F177="","",TRIM(IF(ISERROR(MATCH($D177,科目表!$K$5:$K$40,0)),"科目未登録 ","")&amp;IF($G177="","状態未設定 ","")&amp;IF(AND(OR($G177="確認済",$G177="未確認"),$B177="通常",OR($C177="",$C177&lt;DATE(年度+2018,4,1),$C177&gt;DATE(年度+2019,3,31))),"年度外の日付 ","")))</f>
        <v/>
      </c>
      <c r="K177" s="366" t="n"/>
    </row>
    <row r="178">
      <c r="A178" s="359" t="n"/>
      <c r="B178" s="360" t="n"/>
      <c r="C178" s="361" t="n"/>
      <c r="D178" s="362" t="n"/>
      <c r="E178" s="362" t="n"/>
      <c r="F178" s="363" t="n"/>
      <c r="G178" s="360" t="n"/>
      <c r="H178" s="359" t="str">
        <f>IF(OR($F178="",$C178=""),"",IF($B178="決算整理",13,MOD(MONTH($C178)-4,12)+1))</f>
        <v/>
      </c>
      <c r="I178" s="364" t="str">
        <f>IF(OR($F178="",$D178=""),"",IFERROR(INDEX(費用収益表_貸付!$S$1:$S$60,VLOOKUP($D178,科目表!$K$5:$L$40,2,FALSE))-SUMIFS($F$5:$F178,$D$5:$D178,$D178),"?"))</f>
        <v/>
      </c>
      <c r="J178" s="366" t="str">
        <f>IF($F178="","",TRIM(IF(ISERROR(MATCH($D178,科目表!$K$5:$K$40,0)),"科目未登録 ","")&amp;IF($G178="","状態未設定 ","")&amp;IF(AND(OR($G178="確認済",$G178="未確認"),$B178="通常",OR($C178="",$C178&lt;DATE(年度+2018,4,1),$C178&gt;DATE(年度+2019,3,31))),"年度外の日付 ","")))</f>
        <v/>
      </c>
      <c r="K178" s="366" t="n"/>
    </row>
    <row r="179">
      <c r="A179" s="359" t="n"/>
      <c r="B179" s="360" t="n"/>
      <c r="C179" s="361" t="n"/>
      <c r="D179" s="362" t="n"/>
      <c r="E179" s="362" t="n"/>
      <c r="F179" s="363" t="n"/>
      <c r="G179" s="360" t="n"/>
      <c r="H179" s="359" t="str">
        <f>IF(OR($F179="",$C179=""),"",IF($B179="決算整理",13,MOD(MONTH($C179)-4,12)+1))</f>
        <v/>
      </c>
      <c r="I179" s="364" t="str">
        <f>IF(OR($F179="",$D179=""),"",IFERROR(INDEX(費用収益表_貸付!$S$1:$S$60,VLOOKUP($D179,科目表!$K$5:$L$40,2,FALSE))-SUMIFS($F$5:$F179,$D$5:$D179,$D179),"?"))</f>
        <v/>
      </c>
      <c r="J179" s="366" t="str">
        <f>IF($F179="","",TRIM(IF(ISERROR(MATCH($D179,科目表!$K$5:$K$40,0)),"科目未登録 ","")&amp;IF($G179="","状態未設定 ","")&amp;IF(AND(OR($G179="確認済",$G179="未確認"),$B179="通常",OR($C179="",$C179&lt;DATE(年度+2018,4,1),$C179&gt;DATE(年度+2019,3,31))),"年度外の日付 ","")))</f>
        <v/>
      </c>
      <c r="K179" s="366" t="n"/>
    </row>
    <row r="180">
      <c r="A180" s="359" t="n"/>
      <c r="B180" s="360" t="n"/>
      <c r="C180" s="361" t="n"/>
      <c r="D180" s="362" t="n"/>
      <c r="E180" s="362" t="n"/>
      <c r="F180" s="363" t="n"/>
      <c r="G180" s="360" t="n"/>
      <c r="H180" s="359" t="str">
        <f>IF(OR($F180="",$C180=""),"",IF($B180="決算整理",13,MOD(MONTH($C180)-4,12)+1))</f>
        <v/>
      </c>
      <c r="I180" s="364" t="str">
        <f>IF(OR($F180="",$D180=""),"",IFERROR(INDEX(費用収益表_貸付!$S$1:$S$60,VLOOKUP($D180,科目表!$K$5:$L$40,2,FALSE))-SUMIFS($F$5:$F180,$D$5:$D180,$D180),"?"))</f>
        <v/>
      </c>
      <c r="J180" s="366" t="str">
        <f>IF($F180="","",TRIM(IF(ISERROR(MATCH($D180,科目表!$K$5:$K$40,0)),"科目未登録 ","")&amp;IF($G180="","状態未設定 ","")&amp;IF(AND(OR($G180="確認済",$G180="未確認"),$B180="通常",OR($C180="",$C180&lt;DATE(年度+2018,4,1),$C180&gt;DATE(年度+2019,3,31))),"年度外の日付 ","")))</f>
        <v/>
      </c>
      <c r="K180" s="366" t="n"/>
    </row>
    <row r="181">
      <c r="A181" s="359" t="n"/>
      <c r="B181" s="360" t="n"/>
      <c r="C181" s="361" t="n"/>
      <c r="D181" s="362" t="n"/>
      <c r="E181" s="362" t="n"/>
      <c r="F181" s="363" t="n"/>
      <c r="G181" s="360" t="n"/>
      <c r="H181" s="359" t="str">
        <f>IF(OR($F181="",$C181=""),"",IF($B181="決算整理",13,MOD(MONTH($C181)-4,12)+1))</f>
        <v/>
      </c>
      <c r="I181" s="364" t="str">
        <f>IF(OR($F181="",$D181=""),"",IFERROR(INDEX(費用収益表_貸付!$S$1:$S$60,VLOOKUP($D181,科目表!$K$5:$L$40,2,FALSE))-SUMIFS($F$5:$F181,$D$5:$D181,$D181),"?"))</f>
        <v/>
      </c>
      <c r="J181" s="366" t="str">
        <f>IF($F181="","",TRIM(IF(ISERROR(MATCH($D181,科目表!$K$5:$K$40,0)),"科目未登録 ","")&amp;IF($G181="","状態未設定 ","")&amp;IF(AND(OR($G181="確認済",$G181="未確認"),$B181="通常",OR($C181="",$C181&lt;DATE(年度+2018,4,1),$C181&gt;DATE(年度+2019,3,31))),"年度外の日付 ","")))</f>
        <v/>
      </c>
      <c r="K181" s="366" t="n"/>
    </row>
    <row r="182">
      <c r="A182" s="359" t="n"/>
      <c r="B182" s="360" t="n"/>
      <c r="C182" s="361" t="n"/>
      <c r="D182" s="362" t="n"/>
      <c r="E182" s="362" t="n"/>
      <c r="F182" s="363" t="n"/>
      <c r="G182" s="360" t="n"/>
      <c r="H182" s="359" t="str">
        <f>IF(OR($F182="",$C182=""),"",IF($B182="決算整理",13,MOD(MONTH($C182)-4,12)+1))</f>
        <v/>
      </c>
      <c r="I182" s="364" t="str">
        <f>IF(OR($F182="",$D182=""),"",IFERROR(INDEX(費用収益表_貸付!$S$1:$S$60,VLOOKUP($D182,科目表!$K$5:$L$40,2,FALSE))-SUMIFS($F$5:$F182,$D$5:$D182,$D182),"?"))</f>
        <v/>
      </c>
      <c r="J182" s="366" t="str">
        <f>IF($F182="","",TRIM(IF(ISERROR(MATCH($D182,科目表!$K$5:$K$40,0)),"科目未登録 ","")&amp;IF($G182="","状態未設定 ","")&amp;IF(AND(OR($G182="確認済",$G182="未確認"),$B182="通常",OR($C182="",$C182&lt;DATE(年度+2018,4,1),$C182&gt;DATE(年度+2019,3,31))),"年度外の日付 ","")))</f>
        <v/>
      </c>
      <c r="K182" s="366" t="n"/>
    </row>
    <row r="183">
      <c r="A183" s="359" t="n"/>
      <c r="B183" s="360" t="n"/>
      <c r="C183" s="361" t="n"/>
      <c r="D183" s="362" t="n"/>
      <c r="E183" s="362" t="n"/>
      <c r="F183" s="363" t="n"/>
      <c r="G183" s="360" t="n"/>
      <c r="H183" s="359" t="str">
        <f>IF(OR($F183="",$C183=""),"",IF($B183="決算整理",13,MOD(MONTH($C183)-4,12)+1))</f>
        <v/>
      </c>
      <c r="I183" s="364" t="str">
        <f>IF(OR($F183="",$D183=""),"",IFERROR(INDEX(費用収益表_貸付!$S$1:$S$60,VLOOKUP($D183,科目表!$K$5:$L$40,2,FALSE))-SUMIFS($F$5:$F183,$D$5:$D183,$D183),"?"))</f>
        <v/>
      </c>
      <c r="J183" s="366" t="str">
        <f>IF($F183="","",TRIM(IF(ISERROR(MATCH($D183,科目表!$K$5:$K$40,0)),"科目未登録 ","")&amp;IF($G183="","状態未設定 ","")&amp;IF(AND(OR($G183="確認済",$G183="未確認"),$B183="通常",OR($C183="",$C183&lt;DATE(年度+2018,4,1),$C183&gt;DATE(年度+2019,3,31))),"年度外の日付 ","")))</f>
        <v/>
      </c>
      <c r="K183" s="366" t="n"/>
    </row>
    <row r="184">
      <c r="A184" s="359" t="n"/>
      <c r="B184" s="360" t="n"/>
      <c r="C184" s="361" t="n"/>
      <c r="D184" s="362" t="n"/>
      <c r="E184" s="362" t="n"/>
      <c r="F184" s="363" t="n"/>
      <c r="G184" s="360" t="n"/>
      <c r="H184" s="359" t="str">
        <f>IF(OR($F184="",$C184=""),"",IF($B184="決算整理",13,MOD(MONTH($C184)-4,12)+1))</f>
        <v/>
      </c>
      <c r="I184" s="364" t="str">
        <f>IF(OR($F184="",$D184=""),"",IFERROR(INDEX(費用収益表_貸付!$S$1:$S$60,VLOOKUP($D184,科目表!$K$5:$L$40,2,FALSE))-SUMIFS($F$5:$F184,$D$5:$D184,$D184),"?"))</f>
        <v/>
      </c>
      <c r="J184" s="366" t="str">
        <f>IF($F184="","",TRIM(IF(ISERROR(MATCH($D184,科目表!$K$5:$K$40,0)),"科目未登録 ","")&amp;IF($G184="","状態未設定 ","")&amp;IF(AND(OR($G184="確認済",$G184="未確認"),$B184="通常",OR($C184="",$C184&lt;DATE(年度+2018,4,1),$C184&gt;DATE(年度+2019,3,31))),"年度外の日付 ","")))</f>
        <v/>
      </c>
      <c r="K184" s="366" t="n"/>
    </row>
    <row r="185">
      <c r="A185" s="359" t="n"/>
      <c r="B185" s="360" t="n"/>
      <c r="C185" s="361" t="n"/>
      <c r="D185" s="362" t="n"/>
      <c r="E185" s="362" t="n"/>
      <c r="F185" s="363" t="n"/>
      <c r="G185" s="360" t="n"/>
      <c r="H185" s="359" t="str">
        <f>IF(OR($F185="",$C185=""),"",IF($B185="決算整理",13,MOD(MONTH($C185)-4,12)+1))</f>
        <v/>
      </c>
      <c r="I185" s="364" t="str">
        <f>IF(OR($F185="",$D185=""),"",IFERROR(INDEX(費用収益表_貸付!$S$1:$S$60,VLOOKUP($D185,科目表!$K$5:$L$40,2,FALSE))-SUMIFS($F$5:$F185,$D$5:$D185,$D185),"?"))</f>
        <v/>
      </c>
      <c r="J185" s="366" t="str">
        <f>IF($F185="","",TRIM(IF(ISERROR(MATCH($D185,科目表!$K$5:$K$40,0)),"科目未登録 ","")&amp;IF($G185="","状態未設定 ","")&amp;IF(AND(OR($G185="確認済",$G185="未確認"),$B185="通常",OR($C185="",$C185&lt;DATE(年度+2018,4,1),$C185&gt;DATE(年度+2019,3,31))),"年度外の日付 ","")))</f>
        <v/>
      </c>
      <c r="K185" s="366" t="n"/>
    </row>
    <row r="186">
      <c r="A186" s="359" t="n"/>
      <c r="B186" s="360" t="n"/>
      <c r="C186" s="361" t="n"/>
      <c r="D186" s="362" t="n"/>
      <c r="E186" s="362" t="n"/>
      <c r="F186" s="363" t="n"/>
      <c r="G186" s="360" t="n"/>
      <c r="H186" s="359" t="str">
        <f>IF(OR($F186="",$C186=""),"",IF($B186="決算整理",13,MOD(MONTH($C186)-4,12)+1))</f>
        <v/>
      </c>
      <c r="I186" s="364" t="str">
        <f>IF(OR($F186="",$D186=""),"",IFERROR(INDEX(費用収益表_貸付!$S$1:$S$60,VLOOKUP($D186,科目表!$K$5:$L$40,2,FALSE))-SUMIFS($F$5:$F186,$D$5:$D186,$D186),"?"))</f>
        <v/>
      </c>
      <c r="J186" s="366" t="str">
        <f>IF($F186="","",TRIM(IF(ISERROR(MATCH($D186,科目表!$K$5:$K$40,0)),"科目未登録 ","")&amp;IF($G186="","状態未設定 ","")&amp;IF(AND(OR($G186="確認済",$G186="未確認"),$B186="通常",OR($C186="",$C186&lt;DATE(年度+2018,4,1),$C186&gt;DATE(年度+2019,3,31))),"年度外の日付 ","")))</f>
        <v/>
      </c>
      <c r="K186" s="366" t="n"/>
    </row>
    <row r="187">
      <c r="A187" s="359" t="n"/>
      <c r="B187" s="360" t="n"/>
      <c r="C187" s="361" t="n"/>
      <c r="D187" s="362" t="n"/>
      <c r="E187" s="362" t="n"/>
      <c r="F187" s="363" t="n"/>
      <c r="G187" s="360" t="n"/>
      <c r="H187" s="359" t="str">
        <f>IF(OR($F187="",$C187=""),"",IF($B187="決算整理",13,MOD(MONTH($C187)-4,12)+1))</f>
        <v/>
      </c>
      <c r="I187" s="364" t="str">
        <f>IF(OR($F187="",$D187=""),"",IFERROR(INDEX(費用収益表_貸付!$S$1:$S$60,VLOOKUP($D187,科目表!$K$5:$L$40,2,FALSE))-SUMIFS($F$5:$F187,$D$5:$D187,$D187),"?"))</f>
        <v/>
      </c>
      <c r="J187" s="366" t="str">
        <f>IF($F187="","",TRIM(IF(ISERROR(MATCH($D187,科目表!$K$5:$K$40,0)),"科目未登録 ","")&amp;IF($G187="","状態未設定 ","")&amp;IF(AND(OR($G187="確認済",$G187="未確認"),$B187="通常",OR($C187="",$C187&lt;DATE(年度+2018,4,1),$C187&gt;DATE(年度+2019,3,31))),"年度外の日付 ","")))</f>
        <v/>
      </c>
      <c r="K187" s="366" t="n"/>
    </row>
    <row r="188">
      <c r="A188" s="359" t="n"/>
      <c r="B188" s="360" t="n"/>
      <c r="C188" s="361" t="n"/>
      <c r="D188" s="362" t="n"/>
      <c r="E188" s="362" t="n"/>
      <c r="F188" s="363" t="n"/>
      <c r="G188" s="360" t="n"/>
      <c r="H188" s="359" t="str">
        <f>IF(OR($F188="",$C188=""),"",IF($B188="決算整理",13,MOD(MONTH($C188)-4,12)+1))</f>
        <v/>
      </c>
      <c r="I188" s="364" t="str">
        <f>IF(OR($F188="",$D188=""),"",IFERROR(INDEX(費用収益表_貸付!$S$1:$S$60,VLOOKUP($D188,科目表!$K$5:$L$40,2,FALSE))-SUMIFS($F$5:$F188,$D$5:$D188,$D188),"?"))</f>
        <v/>
      </c>
      <c r="J188" s="366" t="str">
        <f>IF($F188="","",TRIM(IF(ISERROR(MATCH($D188,科目表!$K$5:$K$40,0)),"科目未登録 ","")&amp;IF($G188="","状態未設定 ","")&amp;IF(AND(OR($G188="確認済",$G188="未確認"),$B188="通常",OR($C188="",$C188&lt;DATE(年度+2018,4,1),$C188&gt;DATE(年度+2019,3,31))),"年度外の日付 ","")))</f>
        <v/>
      </c>
      <c r="K188" s="366" t="n"/>
    </row>
    <row r="189">
      <c r="A189" s="359" t="n"/>
      <c r="B189" s="360" t="n"/>
      <c r="C189" s="361" t="n"/>
      <c r="D189" s="362" t="n"/>
      <c r="E189" s="362" t="n"/>
      <c r="F189" s="363" t="n"/>
      <c r="G189" s="360" t="n"/>
      <c r="H189" s="359" t="str">
        <f>IF(OR($F189="",$C189=""),"",IF($B189="決算整理",13,MOD(MONTH($C189)-4,12)+1))</f>
        <v/>
      </c>
      <c r="I189" s="364" t="str">
        <f>IF(OR($F189="",$D189=""),"",IFERROR(INDEX(費用収益表_貸付!$S$1:$S$60,VLOOKUP($D189,科目表!$K$5:$L$40,2,FALSE))-SUMIFS($F$5:$F189,$D$5:$D189,$D189),"?"))</f>
        <v/>
      </c>
      <c r="J189" s="366" t="str">
        <f>IF($F189="","",TRIM(IF(ISERROR(MATCH($D189,科目表!$K$5:$K$40,0)),"科目未登録 ","")&amp;IF($G189="","状態未設定 ","")&amp;IF(AND(OR($G189="確認済",$G189="未確認"),$B189="通常",OR($C189="",$C189&lt;DATE(年度+2018,4,1),$C189&gt;DATE(年度+2019,3,31))),"年度外の日付 ","")))</f>
        <v/>
      </c>
      <c r="K189" s="366" t="n"/>
    </row>
    <row r="190">
      <c r="A190" s="359" t="n"/>
      <c r="B190" s="360" t="n"/>
      <c r="C190" s="361" t="n"/>
      <c r="D190" s="362" t="n"/>
      <c r="E190" s="362" t="n"/>
      <c r="F190" s="363" t="n"/>
      <c r="G190" s="360" t="n"/>
      <c r="H190" s="359" t="str">
        <f>IF(OR($F190="",$C190=""),"",IF($B190="決算整理",13,MOD(MONTH($C190)-4,12)+1))</f>
        <v/>
      </c>
      <c r="I190" s="364" t="str">
        <f>IF(OR($F190="",$D190=""),"",IFERROR(INDEX(費用収益表_貸付!$S$1:$S$60,VLOOKUP($D190,科目表!$K$5:$L$40,2,FALSE))-SUMIFS($F$5:$F190,$D$5:$D190,$D190),"?"))</f>
        <v/>
      </c>
      <c r="J190" s="366" t="str">
        <f>IF($F190="","",TRIM(IF(ISERROR(MATCH($D190,科目表!$K$5:$K$40,0)),"科目未登録 ","")&amp;IF($G190="","状態未設定 ","")&amp;IF(AND(OR($G190="確認済",$G190="未確認"),$B190="通常",OR($C190="",$C190&lt;DATE(年度+2018,4,1),$C190&gt;DATE(年度+2019,3,31))),"年度外の日付 ","")))</f>
        <v/>
      </c>
      <c r="K190" s="366" t="n"/>
    </row>
    <row r="191">
      <c r="A191" s="359" t="n"/>
      <c r="B191" s="360" t="n"/>
      <c r="C191" s="361" t="n"/>
      <c r="D191" s="362" t="n"/>
      <c r="E191" s="362" t="n"/>
      <c r="F191" s="363" t="n"/>
      <c r="G191" s="360" t="n"/>
      <c r="H191" s="359" t="str">
        <f>IF(OR($F191="",$C191=""),"",IF($B191="決算整理",13,MOD(MONTH($C191)-4,12)+1))</f>
        <v/>
      </c>
      <c r="I191" s="364" t="str">
        <f>IF(OR($F191="",$D191=""),"",IFERROR(INDEX(費用収益表_貸付!$S$1:$S$60,VLOOKUP($D191,科目表!$K$5:$L$40,2,FALSE))-SUMIFS($F$5:$F191,$D$5:$D191,$D191),"?"))</f>
        <v/>
      </c>
      <c r="J191" s="366" t="str">
        <f>IF($F191="","",TRIM(IF(ISERROR(MATCH($D191,科目表!$K$5:$K$40,0)),"科目未登録 ","")&amp;IF($G191="","状態未設定 ","")&amp;IF(AND(OR($G191="確認済",$G191="未確認"),$B191="通常",OR($C191="",$C191&lt;DATE(年度+2018,4,1),$C191&gt;DATE(年度+2019,3,31))),"年度外の日付 ","")))</f>
        <v/>
      </c>
      <c r="K191" s="366" t="n"/>
    </row>
    <row r="192">
      <c r="A192" s="359" t="n"/>
      <c r="B192" s="360" t="n"/>
      <c r="C192" s="361" t="n"/>
      <c r="D192" s="362" t="n"/>
      <c r="E192" s="362" t="n"/>
      <c r="F192" s="363" t="n"/>
      <c r="G192" s="360" t="n"/>
      <c r="H192" s="359" t="str">
        <f>IF(OR($F192="",$C192=""),"",IF($B192="決算整理",13,MOD(MONTH($C192)-4,12)+1))</f>
        <v/>
      </c>
      <c r="I192" s="364" t="str">
        <f>IF(OR($F192="",$D192=""),"",IFERROR(INDEX(費用収益表_貸付!$S$1:$S$60,VLOOKUP($D192,科目表!$K$5:$L$40,2,FALSE))-SUMIFS($F$5:$F192,$D$5:$D192,$D192),"?"))</f>
        <v/>
      </c>
      <c r="J192" s="366" t="str">
        <f>IF($F192="","",TRIM(IF(ISERROR(MATCH($D192,科目表!$K$5:$K$40,0)),"科目未登録 ","")&amp;IF($G192="","状態未設定 ","")&amp;IF(AND(OR($G192="確認済",$G192="未確認"),$B192="通常",OR($C192="",$C192&lt;DATE(年度+2018,4,1),$C192&gt;DATE(年度+2019,3,31))),"年度外の日付 ","")))</f>
        <v/>
      </c>
      <c r="K192" s="366" t="n"/>
    </row>
    <row r="193">
      <c r="A193" s="359" t="n"/>
      <c r="B193" s="360" t="n"/>
      <c r="C193" s="361" t="n"/>
      <c r="D193" s="362" t="n"/>
      <c r="E193" s="362" t="n"/>
      <c r="F193" s="363" t="n"/>
      <c r="G193" s="360" t="n"/>
      <c r="H193" s="359" t="str">
        <f>IF(OR($F193="",$C193=""),"",IF($B193="決算整理",13,MOD(MONTH($C193)-4,12)+1))</f>
        <v/>
      </c>
      <c r="I193" s="364" t="str">
        <f>IF(OR($F193="",$D193=""),"",IFERROR(INDEX(費用収益表_貸付!$S$1:$S$60,VLOOKUP($D193,科目表!$K$5:$L$40,2,FALSE))-SUMIFS($F$5:$F193,$D$5:$D193,$D193),"?"))</f>
        <v/>
      </c>
      <c r="J193" s="366" t="str">
        <f>IF($F193="","",TRIM(IF(ISERROR(MATCH($D193,科目表!$K$5:$K$40,0)),"科目未登録 ","")&amp;IF($G193="","状態未設定 ","")&amp;IF(AND(OR($G193="確認済",$G193="未確認"),$B193="通常",OR($C193="",$C193&lt;DATE(年度+2018,4,1),$C193&gt;DATE(年度+2019,3,31))),"年度外の日付 ","")))</f>
        <v/>
      </c>
      <c r="K193" s="366" t="n"/>
    </row>
    <row r="194">
      <c r="A194" s="359" t="n"/>
      <c r="B194" s="360" t="n"/>
      <c r="C194" s="361" t="n"/>
      <c r="D194" s="362" t="n"/>
      <c r="E194" s="362" t="n"/>
      <c r="F194" s="363" t="n"/>
      <c r="G194" s="360" t="n"/>
      <c r="H194" s="359" t="str">
        <f>IF(OR($F194="",$C194=""),"",IF($B194="決算整理",13,MOD(MONTH($C194)-4,12)+1))</f>
        <v/>
      </c>
      <c r="I194" s="364" t="str">
        <f>IF(OR($F194="",$D194=""),"",IFERROR(INDEX(費用収益表_貸付!$S$1:$S$60,VLOOKUP($D194,科目表!$K$5:$L$40,2,FALSE))-SUMIFS($F$5:$F194,$D$5:$D194,$D194),"?"))</f>
        <v/>
      </c>
      <c r="J194" s="366" t="str">
        <f>IF($F194="","",TRIM(IF(ISERROR(MATCH($D194,科目表!$K$5:$K$40,0)),"科目未登録 ","")&amp;IF($G194="","状態未設定 ","")&amp;IF(AND(OR($G194="確認済",$G194="未確認"),$B194="通常",OR($C194="",$C194&lt;DATE(年度+2018,4,1),$C194&gt;DATE(年度+2019,3,31))),"年度外の日付 ","")))</f>
        <v/>
      </c>
      <c r="K194" s="366" t="n"/>
    </row>
    <row r="195">
      <c r="A195" s="359" t="n"/>
      <c r="B195" s="360" t="n"/>
      <c r="C195" s="361" t="n"/>
      <c r="D195" s="362" t="n"/>
      <c r="E195" s="362" t="n"/>
      <c r="F195" s="363" t="n"/>
      <c r="G195" s="360" t="n"/>
      <c r="H195" s="359" t="str">
        <f>IF(OR($F195="",$C195=""),"",IF($B195="決算整理",13,MOD(MONTH($C195)-4,12)+1))</f>
        <v/>
      </c>
      <c r="I195" s="364" t="str">
        <f>IF(OR($F195="",$D195=""),"",IFERROR(INDEX(費用収益表_貸付!$S$1:$S$60,VLOOKUP($D195,科目表!$K$5:$L$40,2,FALSE))-SUMIFS($F$5:$F195,$D$5:$D195,$D195),"?"))</f>
        <v/>
      </c>
      <c r="J195" s="366" t="str">
        <f>IF($F195="","",TRIM(IF(ISERROR(MATCH($D195,科目表!$K$5:$K$40,0)),"科目未登録 ","")&amp;IF($G195="","状態未設定 ","")&amp;IF(AND(OR($G195="確認済",$G195="未確認"),$B195="通常",OR($C195="",$C195&lt;DATE(年度+2018,4,1),$C195&gt;DATE(年度+2019,3,31))),"年度外の日付 ","")))</f>
        <v/>
      </c>
      <c r="K195" s="366" t="n"/>
    </row>
    <row r="196">
      <c r="A196" s="359" t="n"/>
      <c r="B196" s="360" t="n"/>
      <c r="C196" s="361" t="n"/>
      <c r="D196" s="362" t="n"/>
      <c r="E196" s="362" t="n"/>
      <c r="F196" s="363" t="n"/>
      <c r="G196" s="360" t="n"/>
      <c r="H196" s="359" t="str">
        <f>IF(OR($F196="",$C196=""),"",IF($B196="決算整理",13,MOD(MONTH($C196)-4,12)+1))</f>
        <v/>
      </c>
      <c r="I196" s="364" t="str">
        <f>IF(OR($F196="",$D196=""),"",IFERROR(INDEX(費用収益表_貸付!$S$1:$S$60,VLOOKUP($D196,科目表!$K$5:$L$40,2,FALSE))-SUMIFS($F$5:$F196,$D$5:$D196,$D196),"?"))</f>
        <v/>
      </c>
      <c r="J196" s="366" t="str">
        <f>IF($F196="","",TRIM(IF(ISERROR(MATCH($D196,科目表!$K$5:$K$40,0)),"科目未登録 ","")&amp;IF($G196="","状態未設定 ","")&amp;IF(AND(OR($G196="確認済",$G196="未確認"),$B196="通常",OR($C196="",$C196&lt;DATE(年度+2018,4,1),$C196&gt;DATE(年度+2019,3,31))),"年度外の日付 ","")))</f>
        <v/>
      </c>
      <c r="K196" s="366" t="n"/>
    </row>
    <row r="197">
      <c r="A197" s="359" t="n"/>
      <c r="B197" s="360" t="n"/>
      <c r="C197" s="361" t="n"/>
      <c r="D197" s="362" t="n"/>
      <c r="E197" s="362" t="n"/>
      <c r="F197" s="363" t="n"/>
      <c r="G197" s="360" t="n"/>
      <c r="H197" s="359" t="str">
        <f>IF(OR($F197="",$C197=""),"",IF($B197="決算整理",13,MOD(MONTH($C197)-4,12)+1))</f>
        <v/>
      </c>
      <c r="I197" s="364" t="str">
        <f>IF(OR($F197="",$D197=""),"",IFERROR(INDEX(費用収益表_貸付!$S$1:$S$60,VLOOKUP($D197,科目表!$K$5:$L$40,2,FALSE))-SUMIFS($F$5:$F197,$D$5:$D197,$D197),"?"))</f>
        <v/>
      </c>
      <c r="J197" s="366" t="str">
        <f>IF($F197="","",TRIM(IF(ISERROR(MATCH($D197,科目表!$K$5:$K$40,0)),"科目未登録 ","")&amp;IF($G197="","状態未設定 ","")&amp;IF(AND(OR($G197="確認済",$G197="未確認"),$B197="通常",OR($C197="",$C197&lt;DATE(年度+2018,4,1),$C197&gt;DATE(年度+2019,3,31))),"年度外の日付 ","")))</f>
        <v/>
      </c>
      <c r="K197" s="366" t="n"/>
    </row>
    <row r="198">
      <c r="A198" s="359" t="n"/>
      <c r="B198" s="360" t="n"/>
      <c r="C198" s="361" t="n"/>
      <c r="D198" s="362" t="n"/>
      <c r="E198" s="362" t="n"/>
      <c r="F198" s="363" t="n"/>
      <c r="G198" s="360" t="n"/>
      <c r="H198" s="359" t="str">
        <f>IF(OR($F198="",$C198=""),"",IF($B198="決算整理",13,MOD(MONTH($C198)-4,12)+1))</f>
        <v/>
      </c>
      <c r="I198" s="364" t="str">
        <f>IF(OR($F198="",$D198=""),"",IFERROR(INDEX(費用収益表_貸付!$S$1:$S$60,VLOOKUP($D198,科目表!$K$5:$L$40,2,FALSE))-SUMIFS($F$5:$F198,$D$5:$D198,$D198),"?"))</f>
        <v/>
      </c>
      <c r="J198" s="366" t="str">
        <f>IF($F198="","",TRIM(IF(ISERROR(MATCH($D198,科目表!$K$5:$K$40,0)),"科目未登録 ","")&amp;IF($G198="","状態未設定 ","")&amp;IF(AND(OR($G198="確認済",$G198="未確認"),$B198="通常",OR($C198="",$C198&lt;DATE(年度+2018,4,1),$C198&gt;DATE(年度+2019,3,31))),"年度外の日付 ","")))</f>
        <v/>
      </c>
      <c r="K198" s="366" t="n"/>
    </row>
    <row r="199">
      <c r="A199" s="359" t="n"/>
      <c r="B199" s="360" t="n"/>
      <c r="C199" s="361" t="n"/>
      <c r="D199" s="362" t="n"/>
      <c r="E199" s="362" t="n"/>
      <c r="F199" s="363" t="n"/>
      <c r="G199" s="360" t="n"/>
      <c r="H199" s="359" t="str">
        <f>IF(OR($F199="",$C199=""),"",IF($B199="決算整理",13,MOD(MONTH($C199)-4,12)+1))</f>
        <v/>
      </c>
      <c r="I199" s="364" t="str">
        <f>IF(OR($F199="",$D199=""),"",IFERROR(INDEX(費用収益表_貸付!$S$1:$S$60,VLOOKUP($D199,科目表!$K$5:$L$40,2,FALSE))-SUMIFS($F$5:$F199,$D$5:$D199,$D199),"?"))</f>
        <v/>
      </c>
      <c r="J199" s="366" t="str">
        <f>IF($F199="","",TRIM(IF(ISERROR(MATCH($D199,科目表!$K$5:$K$40,0)),"科目未登録 ","")&amp;IF($G199="","状態未設定 ","")&amp;IF(AND(OR($G199="確認済",$G199="未確認"),$B199="通常",OR($C199="",$C199&lt;DATE(年度+2018,4,1),$C199&gt;DATE(年度+2019,3,31))),"年度外の日付 ","")))</f>
        <v/>
      </c>
      <c r="K199" s="366" t="n"/>
    </row>
    <row r="200">
      <c r="A200" s="359" t="n"/>
      <c r="B200" s="360" t="n"/>
      <c r="C200" s="361" t="n"/>
      <c r="D200" s="362" t="n"/>
      <c r="E200" s="362" t="n"/>
      <c r="F200" s="363" t="n"/>
      <c r="G200" s="360" t="n"/>
      <c r="H200" s="359" t="str">
        <f>IF(OR($F200="",$C200=""),"",IF($B200="決算整理",13,MOD(MONTH($C200)-4,12)+1))</f>
        <v/>
      </c>
      <c r="I200" s="364" t="str">
        <f>IF(OR($F200="",$D200=""),"",IFERROR(INDEX(費用収益表_貸付!$S$1:$S$60,VLOOKUP($D200,科目表!$K$5:$L$40,2,FALSE))-SUMIFS($F$5:$F200,$D$5:$D200,$D200),"?"))</f>
        <v/>
      </c>
      <c r="J200" s="366" t="str">
        <f>IF($F200="","",TRIM(IF(ISERROR(MATCH($D200,科目表!$K$5:$K$40,0)),"科目未登録 ","")&amp;IF($G200="","状態未設定 ","")&amp;IF(AND(OR($G200="確認済",$G200="未確認"),$B200="通常",OR($C200="",$C200&lt;DATE(年度+2018,4,1),$C200&gt;DATE(年度+2019,3,31))),"年度外の日付 ","")))</f>
        <v/>
      </c>
      <c r="K200" s="366" t="n"/>
    </row>
    <row r="201">
      <c r="A201" s="359" t="n"/>
      <c r="B201" s="360" t="n"/>
      <c r="C201" s="361" t="n"/>
      <c r="D201" s="362" t="n"/>
      <c r="E201" s="362" t="n"/>
      <c r="F201" s="363" t="n"/>
      <c r="G201" s="360" t="n"/>
      <c r="H201" s="359" t="str">
        <f>IF(OR($F201="",$C201=""),"",IF($B201="決算整理",13,MOD(MONTH($C201)-4,12)+1))</f>
        <v/>
      </c>
      <c r="I201" s="364" t="str">
        <f>IF(OR($F201="",$D201=""),"",IFERROR(INDEX(費用収益表_貸付!$S$1:$S$60,VLOOKUP($D201,科目表!$K$5:$L$40,2,FALSE))-SUMIFS($F$5:$F201,$D$5:$D201,$D201),"?"))</f>
        <v/>
      </c>
      <c r="J201" s="366" t="str">
        <f>IF($F201="","",TRIM(IF(ISERROR(MATCH($D201,科目表!$K$5:$K$40,0)),"科目未登録 ","")&amp;IF($G201="","状態未設定 ","")&amp;IF(AND(OR($G201="確認済",$G201="未確認"),$B201="通常",OR($C201="",$C201&lt;DATE(年度+2018,4,1),$C201&gt;DATE(年度+2019,3,31))),"年度外の日付 ","")))</f>
        <v/>
      </c>
      <c r="K201" s="366" t="n"/>
    </row>
    <row r="202">
      <c r="A202" s="359" t="n"/>
      <c r="B202" s="360" t="n"/>
      <c r="C202" s="361" t="n"/>
      <c r="D202" s="362" t="n"/>
      <c r="E202" s="362" t="n"/>
      <c r="F202" s="363" t="n"/>
      <c r="G202" s="360" t="n"/>
      <c r="H202" s="359" t="str">
        <f>IF(OR($F202="",$C202=""),"",IF($B202="決算整理",13,MOD(MONTH($C202)-4,12)+1))</f>
        <v/>
      </c>
      <c r="I202" s="364" t="str">
        <f>IF(OR($F202="",$D202=""),"",IFERROR(INDEX(費用収益表_貸付!$S$1:$S$60,VLOOKUP($D202,科目表!$K$5:$L$40,2,FALSE))-SUMIFS($F$5:$F202,$D$5:$D202,$D202),"?"))</f>
        <v/>
      </c>
      <c r="J202" s="366" t="str">
        <f>IF($F202="","",TRIM(IF(ISERROR(MATCH($D202,科目表!$K$5:$K$40,0)),"科目未登録 ","")&amp;IF($G202="","状態未設定 ","")&amp;IF(AND(OR($G202="確認済",$G202="未確認"),$B202="通常",OR($C202="",$C202&lt;DATE(年度+2018,4,1),$C202&gt;DATE(年度+2019,3,31))),"年度外の日付 ","")))</f>
        <v/>
      </c>
      <c r="K202" s="366" t="n"/>
    </row>
    <row r="203">
      <c r="A203" s="359" t="n"/>
      <c r="B203" s="360" t="n"/>
      <c r="C203" s="361" t="n"/>
      <c r="D203" s="362" t="n"/>
      <c r="E203" s="362" t="n"/>
      <c r="F203" s="363" t="n"/>
      <c r="G203" s="360" t="n"/>
      <c r="H203" s="359" t="str">
        <f>IF(OR($F203="",$C203=""),"",IF($B203="決算整理",13,MOD(MONTH($C203)-4,12)+1))</f>
        <v/>
      </c>
      <c r="I203" s="364" t="str">
        <f>IF(OR($F203="",$D203=""),"",IFERROR(INDEX(費用収益表_貸付!$S$1:$S$60,VLOOKUP($D203,科目表!$K$5:$L$40,2,FALSE))-SUMIFS($F$5:$F203,$D$5:$D203,$D203),"?"))</f>
        <v/>
      </c>
      <c r="J203" s="366" t="str">
        <f>IF($F203="","",TRIM(IF(ISERROR(MATCH($D203,科目表!$K$5:$K$40,0)),"科目未登録 ","")&amp;IF($G203="","状態未設定 ","")&amp;IF(AND(OR($G203="確認済",$G203="未確認"),$B203="通常",OR($C203="",$C203&lt;DATE(年度+2018,4,1),$C203&gt;DATE(年度+2019,3,31))),"年度外の日付 ","")))</f>
        <v/>
      </c>
      <c r="K203" s="366" t="n"/>
    </row>
    <row r="204">
      <c r="A204" s="359" t="n"/>
      <c r="B204" s="360" t="n"/>
      <c r="C204" s="361" t="n"/>
      <c r="D204" s="362" t="n"/>
      <c r="E204" s="362" t="n"/>
      <c r="F204" s="363" t="n"/>
      <c r="G204" s="360" t="n"/>
      <c r="H204" s="359" t="str">
        <f>IF(OR($F204="",$C204=""),"",IF($B204="決算整理",13,MOD(MONTH($C204)-4,12)+1))</f>
        <v/>
      </c>
      <c r="I204" s="364" t="str">
        <f>IF(OR($F204="",$D204=""),"",IFERROR(INDEX(費用収益表_貸付!$S$1:$S$60,VLOOKUP($D204,科目表!$K$5:$L$40,2,FALSE))-SUMIFS($F$5:$F204,$D$5:$D204,$D204),"?"))</f>
        <v/>
      </c>
      <c r="J204" s="366" t="str">
        <f>IF($F204="","",TRIM(IF(ISERROR(MATCH($D204,科目表!$K$5:$K$40,0)),"科目未登録 ","")&amp;IF($G204="","状態未設定 ","")&amp;IF(AND(OR($G204="確認済",$G204="未確認"),$B204="通常",OR($C204="",$C204&lt;DATE(年度+2018,4,1),$C204&gt;DATE(年度+2019,3,31))),"年度外の日付 ","")))</f>
        <v/>
      </c>
      <c r="K204" s="366" t="n"/>
    </row>
    <row r="205">
      <c r="A205" s="359" t="n"/>
      <c r="B205" s="360" t="n"/>
      <c r="C205" s="361" t="n"/>
      <c r="D205" s="362" t="n"/>
      <c r="E205" s="362" t="n"/>
      <c r="F205" s="363" t="n"/>
      <c r="G205" s="360" t="n"/>
      <c r="H205" s="359" t="str">
        <f>IF(OR($F205="",$C205=""),"",IF($B205="決算整理",13,MOD(MONTH($C205)-4,12)+1))</f>
        <v/>
      </c>
      <c r="I205" s="364" t="str">
        <f>IF(OR($F205="",$D205=""),"",IFERROR(INDEX(費用収益表_貸付!$S$1:$S$60,VLOOKUP($D205,科目表!$K$5:$L$40,2,FALSE))-SUMIFS($F$5:$F205,$D$5:$D205,$D205),"?"))</f>
        <v/>
      </c>
      <c r="J205" s="366" t="str">
        <f>IF($F205="","",TRIM(IF(ISERROR(MATCH($D205,科目表!$K$5:$K$40,0)),"科目未登録 ","")&amp;IF($G205="","状態未設定 ","")&amp;IF(AND(OR($G205="確認済",$G205="未確認"),$B205="通常",OR($C205="",$C205&lt;DATE(年度+2018,4,1),$C205&gt;DATE(年度+2019,3,31))),"年度外の日付 ","")))</f>
        <v/>
      </c>
      <c r="K205" s="366" t="n"/>
    </row>
    <row r="206">
      <c r="A206" s="359" t="n"/>
      <c r="B206" s="360" t="n"/>
      <c r="C206" s="361" t="n"/>
      <c r="D206" s="362" t="n"/>
      <c r="E206" s="362" t="n"/>
      <c r="F206" s="363" t="n"/>
      <c r="G206" s="360" t="n"/>
      <c r="H206" s="359" t="str">
        <f>IF(OR($F206="",$C206=""),"",IF($B206="決算整理",13,MOD(MONTH($C206)-4,12)+1))</f>
        <v/>
      </c>
      <c r="I206" s="364" t="str">
        <f>IF(OR($F206="",$D206=""),"",IFERROR(INDEX(費用収益表_貸付!$S$1:$S$60,VLOOKUP($D206,科目表!$K$5:$L$40,2,FALSE))-SUMIFS($F$5:$F206,$D$5:$D206,$D206),"?"))</f>
        <v/>
      </c>
      <c r="J206" s="366" t="str">
        <f>IF($F206="","",TRIM(IF(ISERROR(MATCH($D206,科目表!$K$5:$K$40,0)),"科目未登録 ","")&amp;IF($G206="","状態未設定 ","")&amp;IF(AND(OR($G206="確認済",$G206="未確認"),$B206="通常",OR($C206="",$C206&lt;DATE(年度+2018,4,1),$C206&gt;DATE(年度+2019,3,31))),"年度外の日付 ","")))</f>
        <v/>
      </c>
      <c r="K206" s="366" t="n"/>
    </row>
    <row r="207">
      <c r="A207" s="359" t="n"/>
      <c r="B207" s="360" t="n"/>
      <c r="C207" s="361" t="n"/>
      <c r="D207" s="362" t="n"/>
      <c r="E207" s="362" t="n"/>
      <c r="F207" s="363" t="n"/>
      <c r="G207" s="360" t="n"/>
      <c r="H207" s="359" t="str">
        <f>IF(OR($F207="",$C207=""),"",IF($B207="決算整理",13,MOD(MONTH($C207)-4,12)+1))</f>
        <v/>
      </c>
      <c r="I207" s="364" t="str">
        <f>IF(OR($F207="",$D207=""),"",IFERROR(INDEX(費用収益表_貸付!$S$1:$S$60,VLOOKUP($D207,科目表!$K$5:$L$40,2,FALSE))-SUMIFS($F$5:$F207,$D$5:$D207,$D207),"?"))</f>
        <v/>
      </c>
      <c r="J207" s="366" t="str">
        <f>IF($F207="","",TRIM(IF(ISERROR(MATCH($D207,科目表!$K$5:$K$40,0)),"科目未登録 ","")&amp;IF($G207="","状態未設定 ","")&amp;IF(AND(OR($G207="確認済",$G207="未確認"),$B207="通常",OR($C207="",$C207&lt;DATE(年度+2018,4,1),$C207&gt;DATE(年度+2019,3,31))),"年度外の日付 ","")))</f>
        <v/>
      </c>
      <c r="K207" s="366" t="n"/>
    </row>
    <row r="208">
      <c r="A208" s="359" t="n"/>
      <c r="B208" s="360" t="n"/>
      <c r="C208" s="361" t="n"/>
      <c r="D208" s="362" t="n"/>
      <c r="E208" s="362" t="n"/>
      <c r="F208" s="363" t="n"/>
      <c r="G208" s="360" t="n"/>
      <c r="H208" s="359" t="str">
        <f>IF(OR($F208="",$C208=""),"",IF($B208="決算整理",13,MOD(MONTH($C208)-4,12)+1))</f>
        <v/>
      </c>
      <c r="I208" s="364" t="str">
        <f>IF(OR($F208="",$D208=""),"",IFERROR(INDEX(費用収益表_貸付!$S$1:$S$60,VLOOKUP($D208,科目表!$K$5:$L$40,2,FALSE))-SUMIFS($F$5:$F208,$D$5:$D208,$D208),"?"))</f>
        <v/>
      </c>
      <c r="J208" s="366" t="str">
        <f>IF($F208="","",TRIM(IF(ISERROR(MATCH($D208,科目表!$K$5:$K$40,0)),"科目未登録 ","")&amp;IF($G208="","状態未設定 ","")&amp;IF(AND(OR($G208="確認済",$G208="未確認"),$B208="通常",OR($C208="",$C208&lt;DATE(年度+2018,4,1),$C208&gt;DATE(年度+2019,3,31))),"年度外の日付 ","")))</f>
        <v/>
      </c>
      <c r="K208" s="366" t="n"/>
    </row>
    <row r="209">
      <c r="A209" s="359" t="n"/>
      <c r="B209" s="360" t="n"/>
      <c r="C209" s="361" t="n"/>
      <c r="D209" s="362" t="n"/>
      <c r="E209" s="362" t="n"/>
      <c r="F209" s="363" t="n"/>
      <c r="G209" s="360" t="n"/>
      <c r="H209" s="359" t="str">
        <f>IF(OR($F209="",$C209=""),"",IF($B209="決算整理",13,MOD(MONTH($C209)-4,12)+1))</f>
        <v/>
      </c>
      <c r="I209" s="364" t="str">
        <f>IF(OR($F209="",$D209=""),"",IFERROR(INDEX(費用収益表_貸付!$S$1:$S$60,VLOOKUP($D209,科目表!$K$5:$L$40,2,FALSE))-SUMIFS($F$5:$F209,$D$5:$D209,$D209),"?"))</f>
        <v/>
      </c>
      <c r="J209" s="366" t="str">
        <f>IF($F209="","",TRIM(IF(ISERROR(MATCH($D209,科目表!$K$5:$K$40,0)),"科目未登録 ","")&amp;IF($G209="","状態未設定 ","")&amp;IF(AND(OR($G209="確認済",$G209="未確認"),$B209="通常",OR($C209="",$C209&lt;DATE(年度+2018,4,1),$C209&gt;DATE(年度+2019,3,31))),"年度外の日付 ","")))</f>
        <v/>
      </c>
      <c r="K209" s="366" t="n"/>
    </row>
    <row r="210">
      <c r="A210" s="359" t="n"/>
      <c r="B210" s="360" t="n"/>
      <c r="C210" s="361" t="n"/>
      <c r="D210" s="362" t="n"/>
      <c r="E210" s="362" t="n"/>
      <c r="F210" s="363" t="n"/>
      <c r="G210" s="360" t="n"/>
      <c r="H210" s="359" t="str">
        <f>IF(OR($F210="",$C210=""),"",IF($B210="決算整理",13,MOD(MONTH($C210)-4,12)+1))</f>
        <v/>
      </c>
      <c r="I210" s="364" t="str">
        <f>IF(OR($F210="",$D210=""),"",IFERROR(INDEX(費用収益表_貸付!$S$1:$S$60,VLOOKUP($D210,科目表!$K$5:$L$40,2,FALSE))-SUMIFS($F$5:$F210,$D$5:$D210,$D210),"?"))</f>
        <v/>
      </c>
      <c r="J210" s="366" t="str">
        <f>IF($F210="","",TRIM(IF(ISERROR(MATCH($D210,科目表!$K$5:$K$40,0)),"科目未登録 ","")&amp;IF($G210="","状態未設定 ","")&amp;IF(AND(OR($G210="確認済",$G210="未確認"),$B210="通常",OR($C210="",$C210&lt;DATE(年度+2018,4,1),$C210&gt;DATE(年度+2019,3,31))),"年度外の日付 ","")))</f>
        <v/>
      </c>
      <c r="K210" s="366" t="n"/>
    </row>
    <row r="211">
      <c r="A211" s="359" t="n"/>
      <c r="B211" s="360" t="n"/>
      <c r="C211" s="361" t="n"/>
      <c r="D211" s="362" t="n"/>
      <c r="E211" s="362" t="n"/>
      <c r="F211" s="363" t="n"/>
      <c r="G211" s="360" t="n"/>
      <c r="H211" s="359" t="str">
        <f>IF(OR($F211="",$C211=""),"",IF($B211="決算整理",13,MOD(MONTH($C211)-4,12)+1))</f>
        <v/>
      </c>
      <c r="I211" s="364" t="str">
        <f>IF(OR($F211="",$D211=""),"",IFERROR(INDEX(費用収益表_貸付!$S$1:$S$60,VLOOKUP($D211,科目表!$K$5:$L$40,2,FALSE))-SUMIFS($F$5:$F211,$D$5:$D211,$D211),"?"))</f>
        <v/>
      </c>
      <c r="J211" s="366" t="str">
        <f>IF($F211="","",TRIM(IF(ISERROR(MATCH($D211,科目表!$K$5:$K$40,0)),"科目未登録 ","")&amp;IF($G211="","状態未設定 ","")&amp;IF(AND(OR($G211="確認済",$G211="未確認"),$B211="通常",OR($C211="",$C211&lt;DATE(年度+2018,4,1),$C211&gt;DATE(年度+2019,3,31))),"年度外の日付 ","")))</f>
        <v/>
      </c>
      <c r="K211" s="366" t="n"/>
    </row>
    <row r="212">
      <c r="A212" s="359" t="n"/>
      <c r="B212" s="360" t="n"/>
      <c r="C212" s="361" t="n"/>
      <c r="D212" s="362" t="n"/>
      <c r="E212" s="362" t="n"/>
      <c r="F212" s="363" t="n"/>
      <c r="G212" s="360" t="n"/>
      <c r="H212" s="359" t="str">
        <f>IF(OR($F212="",$C212=""),"",IF($B212="決算整理",13,MOD(MONTH($C212)-4,12)+1))</f>
        <v/>
      </c>
      <c r="I212" s="364" t="str">
        <f>IF(OR($F212="",$D212=""),"",IFERROR(INDEX(費用収益表_貸付!$S$1:$S$60,VLOOKUP($D212,科目表!$K$5:$L$40,2,FALSE))-SUMIFS($F$5:$F212,$D$5:$D212,$D212),"?"))</f>
        <v/>
      </c>
      <c r="J212" s="366" t="str">
        <f>IF($F212="","",TRIM(IF(ISERROR(MATCH($D212,科目表!$K$5:$K$40,0)),"科目未登録 ","")&amp;IF($G212="","状態未設定 ","")&amp;IF(AND(OR($G212="確認済",$G212="未確認"),$B212="通常",OR($C212="",$C212&lt;DATE(年度+2018,4,1),$C212&gt;DATE(年度+2019,3,31))),"年度外の日付 ","")))</f>
        <v/>
      </c>
      <c r="K212" s="366" t="n"/>
    </row>
    <row r="213">
      <c r="A213" s="359" t="n"/>
      <c r="B213" s="360" t="n"/>
      <c r="C213" s="361" t="n"/>
      <c r="D213" s="362" t="n"/>
      <c r="E213" s="362" t="n"/>
      <c r="F213" s="363" t="n"/>
      <c r="G213" s="360" t="n"/>
      <c r="H213" s="359" t="str">
        <f>IF(OR($F213="",$C213=""),"",IF($B213="決算整理",13,MOD(MONTH($C213)-4,12)+1))</f>
        <v/>
      </c>
      <c r="I213" s="364" t="str">
        <f>IF(OR($F213="",$D213=""),"",IFERROR(INDEX(費用収益表_貸付!$S$1:$S$60,VLOOKUP($D213,科目表!$K$5:$L$40,2,FALSE))-SUMIFS($F$5:$F213,$D$5:$D213,$D213),"?"))</f>
        <v/>
      </c>
      <c r="J213" s="366" t="str">
        <f>IF($F213="","",TRIM(IF(ISERROR(MATCH($D213,科目表!$K$5:$K$40,0)),"科目未登録 ","")&amp;IF($G213="","状態未設定 ","")&amp;IF(AND(OR($G213="確認済",$G213="未確認"),$B213="通常",OR($C213="",$C213&lt;DATE(年度+2018,4,1),$C213&gt;DATE(年度+2019,3,31))),"年度外の日付 ","")))</f>
        <v/>
      </c>
      <c r="K213" s="366" t="n"/>
    </row>
    <row r="214">
      <c r="A214" s="359" t="n"/>
      <c r="B214" s="360" t="n"/>
      <c r="C214" s="361" t="n"/>
      <c r="D214" s="362" t="n"/>
      <c r="E214" s="362" t="n"/>
      <c r="F214" s="363" t="n"/>
      <c r="G214" s="360" t="n"/>
      <c r="H214" s="359" t="str">
        <f>IF(OR($F214="",$C214=""),"",IF($B214="決算整理",13,MOD(MONTH($C214)-4,12)+1))</f>
        <v/>
      </c>
      <c r="I214" s="364" t="str">
        <f>IF(OR($F214="",$D214=""),"",IFERROR(INDEX(費用収益表_貸付!$S$1:$S$60,VLOOKUP($D214,科目表!$K$5:$L$40,2,FALSE))-SUMIFS($F$5:$F214,$D$5:$D214,$D214),"?"))</f>
        <v/>
      </c>
      <c r="J214" s="366" t="str">
        <f>IF($F214="","",TRIM(IF(ISERROR(MATCH($D214,科目表!$K$5:$K$40,0)),"科目未登録 ","")&amp;IF($G214="","状態未設定 ","")&amp;IF(AND(OR($G214="確認済",$G214="未確認"),$B214="通常",OR($C214="",$C214&lt;DATE(年度+2018,4,1),$C214&gt;DATE(年度+2019,3,31))),"年度外の日付 ","")))</f>
        <v/>
      </c>
      <c r="K214" s="366" t="n"/>
    </row>
    <row r="215">
      <c r="A215" s="359" t="n"/>
      <c r="B215" s="360" t="n"/>
      <c r="C215" s="361" t="n"/>
      <c r="D215" s="362" t="n"/>
      <c r="E215" s="362" t="n"/>
      <c r="F215" s="363" t="n"/>
      <c r="G215" s="360" t="n"/>
      <c r="H215" s="359" t="str">
        <f>IF(OR($F215="",$C215=""),"",IF($B215="決算整理",13,MOD(MONTH($C215)-4,12)+1))</f>
        <v/>
      </c>
      <c r="I215" s="364" t="str">
        <f>IF(OR($F215="",$D215=""),"",IFERROR(INDEX(費用収益表_貸付!$S$1:$S$60,VLOOKUP($D215,科目表!$K$5:$L$40,2,FALSE))-SUMIFS($F$5:$F215,$D$5:$D215,$D215),"?"))</f>
        <v/>
      </c>
      <c r="J215" s="366" t="str">
        <f>IF($F215="","",TRIM(IF(ISERROR(MATCH($D215,科目表!$K$5:$K$40,0)),"科目未登録 ","")&amp;IF($G215="","状態未設定 ","")&amp;IF(AND(OR($G215="確認済",$G215="未確認"),$B215="通常",OR($C215="",$C215&lt;DATE(年度+2018,4,1),$C215&gt;DATE(年度+2019,3,31))),"年度外の日付 ","")))</f>
        <v/>
      </c>
      <c r="K215" s="366" t="n"/>
    </row>
    <row r="216">
      <c r="A216" s="359" t="n"/>
      <c r="B216" s="360" t="n"/>
      <c r="C216" s="361" t="n"/>
      <c r="D216" s="362" t="n"/>
      <c r="E216" s="362" t="n"/>
      <c r="F216" s="363" t="n"/>
      <c r="G216" s="360" t="n"/>
      <c r="H216" s="359" t="str">
        <f>IF(OR($F216="",$C216=""),"",IF($B216="決算整理",13,MOD(MONTH($C216)-4,12)+1))</f>
        <v/>
      </c>
      <c r="I216" s="364" t="str">
        <f>IF(OR($F216="",$D216=""),"",IFERROR(INDEX(費用収益表_貸付!$S$1:$S$60,VLOOKUP($D216,科目表!$K$5:$L$40,2,FALSE))-SUMIFS($F$5:$F216,$D$5:$D216,$D216),"?"))</f>
        <v/>
      </c>
      <c r="J216" s="366" t="str">
        <f>IF($F216="","",TRIM(IF(ISERROR(MATCH($D216,科目表!$K$5:$K$40,0)),"科目未登録 ","")&amp;IF($G216="","状態未設定 ","")&amp;IF(AND(OR($G216="確認済",$G216="未確認"),$B216="通常",OR($C216="",$C216&lt;DATE(年度+2018,4,1),$C216&gt;DATE(年度+2019,3,31))),"年度外の日付 ","")))</f>
        <v/>
      </c>
      <c r="K216" s="366" t="n"/>
    </row>
    <row r="217">
      <c r="A217" s="359" t="n"/>
      <c r="B217" s="360" t="n"/>
      <c r="C217" s="361" t="n"/>
      <c r="D217" s="362" t="n"/>
      <c r="E217" s="362" t="n"/>
      <c r="F217" s="363" t="n"/>
      <c r="G217" s="360" t="n"/>
      <c r="H217" s="359" t="str">
        <f>IF(OR($F217="",$C217=""),"",IF($B217="決算整理",13,MOD(MONTH($C217)-4,12)+1))</f>
        <v/>
      </c>
      <c r="I217" s="364" t="str">
        <f>IF(OR($F217="",$D217=""),"",IFERROR(INDEX(費用収益表_貸付!$S$1:$S$60,VLOOKUP($D217,科目表!$K$5:$L$40,2,FALSE))-SUMIFS($F$5:$F217,$D$5:$D217,$D217),"?"))</f>
        <v/>
      </c>
      <c r="J217" s="366" t="str">
        <f>IF($F217="","",TRIM(IF(ISERROR(MATCH($D217,科目表!$K$5:$K$40,0)),"科目未登録 ","")&amp;IF($G217="","状態未設定 ","")&amp;IF(AND(OR($G217="確認済",$G217="未確認"),$B217="通常",OR($C217="",$C217&lt;DATE(年度+2018,4,1),$C217&gt;DATE(年度+2019,3,31))),"年度外の日付 ","")))</f>
        <v/>
      </c>
      <c r="K217" s="366" t="n"/>
    </row>
    <row r="218">
      <c r="A218" s="359" t="n"/>
      <c r="B218" s="360" t="n"/>
      <c r="C218" s="361" t="n"/>
      <c r="D218" s="362" t="n"/>
      <c r="E218" s="362" t="n"/>
      <c r="F218" s="363" t="n"/>
      <c r="G218" s="360" t="n"/>
      <c r="H218" s="359" t="str">
        <f>IF(OR($F218="",$C218=""),"",IF($B218="決算整理",13,MOD(MONTH($C218)-4,12)+1))</f>
        <v/>
      </c>
      <c r="I218" s="364" t="str">
        <f>IF(OR($F218="",$D218=""),"",IFERROR(INDEX(費用収益表_貸付!$S$1:$S$60,VLOOKUP($D218,科目表!$K$5:$L$40,2,FALSE))-SUMIFS($F$5:$F218,$D$5:$D218,$D218),"?"))</f>
        <v/>
      </c>
      <c r="J218" s="366" t="str">
        <f>IF($F218="","",TRIM(IF(ISERROR(MATCH($D218,科目表!$K$5:$K$40,0)),"科目未登録 ","")&amp;IF($G218="","状態未設定 ","")&amp;IF(AND(OR($G218="確認済",$G218="未確認"),$B218="通常",OR($C218="",$C218&lt;DATE(年度+2018,4,1),$C218&gt;DATE(年度+2019,3,31))),"年度外の日付 ","")))</f>
        <v/>
      </c>
      <c r="K218" s="366" t="n"/>
    </row>
    <row r="219">
      <c r="A219" s="359" t="n"/>
      <c r="B219" s="360" t="n"/>
      <c r="C219" s="361" t="n"/>
      <c r="D219" s="362" t="n"/>
      <c r="E219" s="362" t="n"/>
      <c r="F219" s="363" t="n"/>
      <c r="G219" s="360" t="n"/>
      <c r="H219" s="359" t="str">
        <f>IF(OR($F219="",$C219=""),"",IF($B219="決算整理",13,MOD(MONTH($C219)-4,12)+1))</f>
        <v/>
      </c>
      <c r="I219" s="364" t="str">
        <f>IF(OR($F219="",$D219=""),"",IFERROR(INDEX(費用収益表_貸付!$S$1:$S$60,VLOOKUP($D219,科目表!$K$5:$L$40,2,FALSE))-SUMIFS($F$5:$F219,$D$5:$D219,$D219),"?"))</f>
        <v/>
      </c>
      <c r="J219" s="366" t="str">
        <f>IF($F219="","",TRIM(IF(ISERROR(MATCH($D219,科目表!$K$5:$K$40,0)),"科目未登録 ","")&amp;IF($G219="","状態未設定 ","")&amp;IF(AND(OR($G219="確認済",$G219="未確認"),$B219="通常",OR($C219="",$C219&lt;DATE(年度+2018,4,1),$C219&gt;DATE(年度+2019,3,31))),"年度外の日付 ","")))</f>
        <v/>
      </c>
      <c r="K219" s="366" t="n"/>
    </row>
    <row r="220">
      <c r="A220" s="359" t="n"/>
      <c r="B220" s="360" t="n"/>
      <c r="C220" s="361" t="n"/>
      <c r="D220" s="362" t="n"/>
      <c r="E220" s="362" t="n"/>
      <c r="F220" s="363" t="n"/>
      <c r="G220" s="360" t="n"/>
      <c r="H220" s="359" t="str">
        <f>IF(OR($F220="",$C220=""),"",IF($B220="決算整理",13,MOD(MONTH($C220)-4,12)+1))</f>
        <v/>
      </c>
      <c r="I220" s="364" t="str">
        <f>IF(OR($F220="",$D220=""),"",IFERROR(INDEX(費用収益表_貸付!$S$1:$S$60,VLOOKUP($D220,科目表!$K$5:$L$40,2,FALSE))-SUMIFS($F$5:$F220,$D$5:$D220,$D220),"?"))</f>
        <v/>
      </c>
      <c r="J220" s="366" t="str">
        <f>IF($F220="","",TRIM(IF(ISERROR(MATCH($D220,科目表!$K$5:$K$40,0)),"科目未登録 ","")&amp;IF($G220="","状態未設定 ","")&amp;IF(AND(OR($G220="確認済",$G220="未確認"),$B220="通常",OR($C220="",$C220&lt;DATE(年度+2018,4,1),$C220&gt;DATE(年度+2019,3,31))),"年度外の日付 ","")))</f>
        <v/>
      </c>
      <c r="K220" s="366" t="n"/>
    </row>
    <row r="221">
      <c r="A221" s="359" t="n"/>
      <c r="B221" s="360" t="n"/>
      <c r="C221" s="361" t="n"/>
      <c r="D221" s="362" t="n"/>
      <c r="E221" s="362" t="n"/>
      <c r="F221" s="363" t="n"/>
      <c r="G221" s="360" t="n"/>
      <c r="H221" s="359" t="str">
        <f>IF(OR($F221="",$C221=""),"",IF($B221="決算整理",13,MOD(MONTH($C221)-4,12)+1))</f>
        <v/>
      </c>
      <c r="I221" s="364" t="str">
        <f>IF(OR($F221="",$D221=""),"",IFERROR(INDEX(費用収益表_貸付!$S$1:$S$60,VLOOKUP($D221,科目表!$K$5:$L$40,2,FALSE))-SUMIFS($F$5:$F221,$D$5:$D221,$D221),"?"))</f>
        <v/>
      </c>
      <c r="J221" s="366" t="str">
        <f>IF($F221="","",TRIM(IF(ISERROR(MATCH($D221,科目表!$K$5:$K$40,0)),"科目未登録 ","")&amp;IF($G221="","状態未設定 ","")&amp;IF(AND(OR($G221="確認済",$G221="未確認"),$B221="通常",OR($C221="",$C221&lt;DATE(年度+2018,4,1),$C221&gt;DATE(年度+2019,3,31))),"年度外の日付 ","")))</f>
        <v/>
      </c>
      <c r="K221" s="366" t="n"/>
    </row>
    <row r="222">
      <c r="A222" s="359" t="n"/>
      <c r="B222" s="360" t="n"/>
      <c r="C222" s="361" t="n"/>
      <c r="D222" s="362" t="n"/>
      <c r="E222" s="362" t="n"/>
      <c r="F222" s="363" t="n"/>
      <c r="G222" s="360" t="n"/>
      <c r="H222" s="359" t="str">
        <f>IF(OR($F222="",$C222=""),"",IF($B222="決算整理",13,MOD(MONTH($C222)-4,12)+1))</f>
        <v/>
      </c>
      <c r="I222" s="364" t="str">
        <f>IF(OR($F222="",$D222=""),"",IFERROR(INDEX(費用収益表_貸付!$S$1:$S$60,VLOOKUP($D222,科目表!$K$5:$L$40,2,FALSE))-SUMIFS($F$5:$F222,$D$5:$D222,$D222),"?"))</f>
        <v/>
      </c>
      <c r="J222" s="366" t="str">
        <f>IF($F222="","",TRIM(IF(ISERROR(MATCH($D222,科目表!$K$5:$K$40,0)),"科目未登録 ","")&amp;IF($G222="","状態未設定 ","")&amp;IF(AND(OR($G222="確認済",$G222="未確認"),$B222="通常",OR($C222="",$C222&lt;DATE(年度+2018,4,1),$C222&gt;DATE(年度+2019,3,31))),"年度外の日付 ","")))</f>
        <v/>
      </c>
      <c r="K222" s="366" t="n"/>
    </row>
    <row r="223">
      <c r="A223" s="359" t="n"/>
      <c r="B223" s="360" t="n"/>
      <c r="C223" s="361" t="n"/>
      <c r="D223" s="362" t="n"/>
      <c r="E223" s="362" t="n"/>
      <c r="F223" s="363" t="n"/>
      <c r="G223" s="360" t="n"/>
      <c r="H223" s="359" t="str">
        <f>IF(OR($F223="",$C223=""),"",IF($B223="決算整理",13,MOD(MONTH($C223)-4,12)+1))</f>
        <v/>
      </c>
      <c r="I223" s="364" t="str">
        <f>IF(OR($F223="",$D223=""),"",IFERROR(INDEX(費用収益表_貸付!$S$1:$S$60,VLOOKUP($D223,科目表!$K$5:$L$40,2,FALSE))-SUMIFS($F$5:$F223,$D$5:$D223,$D223),"?"))</f>
        <v/>
      </c>
      <c r="J223" s="366" t="str">
        <f>IF($F223="","",TRIM(IF(ISERROR(MATCH($D223,科目表!$K$5:$K$40,0)),"科目未登録 ","")&amp;IF($G223="","状態未設定 ","")&amp;IF(AND(OR($G223="確認済",$G223="未確認"),$B223="通常",OR($C223="",$C223&lt;DATE(年度+2018,4,1),$C223&gt;DATE(年度+2019,3,31))),"年度外の日付 ","")))</f>
        <v/>
      </c>
      <c r="K223" s="366" t="n"/>
    </row>
    <row r="224">
      <c r="A224" s="359" t="n"/>
      <c r="B224" s="360" t="n"/>
      <c r="C224" s="361" t="n"/>
      <c r="D224" s="362" t="n"/>
      <c r="E224" s="362" t="n"/>
      <c r="F224" s="363" t="n"/>
      <c r="G224" s="360" t="n"/>
      <c r="H224" s="359" t="str">
        <f>IF(OR($F224="",$C224=""),"",IF($B224="決算整理",13,MOD(MONTH($C224)-4,12)+1))</f>
        <v/>
      </c>
      <c r="I224" s="364" t="str">
        <f>IF(OR($F224="",$D224=""),"",IFERROR(INDEX(費用収益表_貸付!$S$1:$S$60,VLOOKUP($D224,科目表!$K$5:$L$40,2,FALSE))-SUMIFS($F$5:$F224,$D$5:$D224,$D224),"?"))</f>
        <v/>
      </c>
      <c r="J224" s="366" t="str">
        <f>IF($F224="","",TRIM(IF(ISERROR(MATCH($D224,科目表!$K$5:$K$40,0)),"科目未登録 ","")&amp;IF($G224="","状態未設定 ","")&amp;IF(AND(OR($G224="確認済",$G224="未確認"),$B224="通常",OR($C224="",$C224&lt;DATE(年度+2018,4,1),$C224&gt;DATE(年度+2019,3,31))),"年度外の日付 ","")))</f>
        <v/>
      </c>
      <c r="K224" s="366" t="n"/>
    </row>
    <row r="225">
      <c r="A225" s="359" t="n"/>
      <c r="B225" s="360" t="n"/>
      <c r="C225" s="361" t="n"/>
      <c r="D225" s="362" t="n"/>
      <c r="E225" s="362" t="n"/>
      <c r="F225" s="363" t="n"/>
      <c r="G225" s="360" t="n"/>
      <c r="H225" s="359" t="str">
        <f>IF(OR($F225="",$C225=""),"",IF($B225="決算整理",13,MOD(MONTH($C225)-4,12)+1))</f>
        <v/>
      </c>
      <c r="I225" s="364" t="str">
        <f>IF(OR($F225="",$D225=""),"",IFERROR(INDEX(費用収益表_貸付!$S$1:$S$60,VLOOKUP($D225,科目表!$K$5:$L$40,2,FALSE))-SUMIFS($F$5:$F225,$D$5:$D225,$D225),"?"))</f>
        <v/>
      </c>
      <c r="J225" s="366" t="str">
        <f>IF($F225="","",TRIM(IF(ISERROR(MATCH($D225,科目表!$K$5:$K$40,0)),"科目未登録 ","")&amp;IF($G225="","状態未設定 ","")&amp;IF(AND(OR($G225="確認済",$G225="未確認"),$B225="通常",OR($C225="",$C225&lt;DATE(年度+2018,4,1),$C225&gt;DATE(年度+2019,3,31))),"年度外の日付 ","")))</f>
        <v/>
      </c>
      <c r="K225" s="366" t="n"/>
    </row>
    <row r="226">
      <c r="A226" s="359" t="n"/>
      <c r="B226" s="360" t="n"/>
      <c r="C226" s="361" t="n"/>
      <c r="D226" s="362" t="n"/>
      <c r="E226" s="362" t="n"/>
      <c r="F226" s="363" t="n"/>
      <c r="G226" s="360" t="n"/>
      <c r="H226" s="359" t="str">
        <f>IF(OR($F226="",$C226=""),"",IF($B226="決算整理",13,MOD(MONTH($C226)-4,12)+1))</f>
        <v/>
      </c>
      <c r="I226" s="364" t="str">
        <f>IF(OR($F226="",$D226=""),"",IFERROR(INDEX(費用収益表_貸付!$S$1:$S$60,VLOOKUP($D226,科目表!$K$5:$L$40,2,FALSE))-SUMIFS($F$5:$F226,$D$5:$D226,$D226),"?"))</f>
        <v/>
      </c>
      <c r="J226" s="366" t="str">
        <f>IF($F226="","",TRIM(IF(ISERROR(MATCH($D226,科目表!$K$5:$K$40,0)),"科目未登録 ","")&amp;IF($G226="","状態未設定 ","")&amp;IF(AND(OR($G226="確認済",$G226="未確認"),$B226="通常",OR($C226="",$C226&lt;DATE(年度+2018,4,1),$C226&gt;DATE(年度+2019,3,31))),"年度外の日付 ","")))</f>
        <v/>
      </c>
      <c r="K226" s="366" t="n"/>
    </row>
    <row r="227">
      <c r="A227" s="359" t="n"/>
      <c r="B227" s="360" t="n"/>
      <c r="C227" s="361" t="n"/>
      <c r="D227" s="362" t="n"/>
      <c r="E227" s="362" t="n"/>
      <c r="F227" s="363" t="n"/>
      <c r="G227" s="360" t="n"/>
      <c r="H227" s="359" t="str">
        <f>IF(OR($F227="",$C227=""),"",IF($B227="決算整理",13,MOD(MONTH($C227)-4,12)+1))</f>
        <v/>
      </c>
      <c r="I227" s="364" t="str">
        <f>IF(OR($F227="",$D227=""),"",IFERROR(INDEX(費用収益表_貸付!$S$1:$S$60,VLOOKUP($D227,科目表!$K$5:$L$40,2,FALSE))-SUMIFS($F$5:$F227,$D$5:$D227,$D227),"?"))</f>
        <v/>
      </c>
      <c r="J227" s="366" t="str">
        <f>IF($F227="","",TRIM(IF(ISERROR(MATCH($D227,科目表!$K$5:$K$40,0)),"科目未登録 ","")&amp;IF($G227="","状態未設定 ","")&amp;IF(AND(OR($G227="確認済",$G227="未確認"),$B227="通常",OR($C227="",$C227&lt;DATE(年度+2018,4,1),$C227&gt;DATE(年度+2019,3,31))),"年度外の日付 ","")))</f>
        <v/>
      </c>
      <c r="K227" s="366" t="n"/>
    </row>
    <row r="228">
      <c r="A228" s="359" t="n"/>
      <c r="B228" s="360" t="n"/>
      <c r="C228" s="361" t="n"/>
      <c r="D228" s="362" t="n"/>
      <c r="E228" s="362" t="n"/>
      <c r="F228" s="363" t="n"/>
      <c r="G228" s="360" t="n"/>
      <c r="H228" s="359" t="str">
        <f>IF(OR($F228="",$C228=""),"",IF($B228="決算整理",13,MOD(MONTH($C228)-4,12)+1))</f>
        <v/>
      </c>
      <c r="I228" s="364" t="str">
        <f>IF(OR($F228="",$D228=""),"",IFERROR(INDEX(費用収益表_貸付!$S$1:$S$60,VLOOKUP($D228,科目表!$K$5:$L$40,2,FALSE))-SUMIFS($F$5:$F228,$D$5:$D228,$D228),"?"))</f>
        <v/>
      </c>
      <c r="J228" s="366" t="str">
        <f>IF($F228="","",TRIM(IF(ISERROR(MATCH($D228,科目表!$K$5:$K$40,0)),"科目未登録 ","")&amp;IF($G228="","状態未設定 ","")&amp;IF(AND(OR($G228="確認済",$G228="未確認"),$B228="通常",OR($C228="",$C228&lt;DATE(年度+2018,4,1),$C228&gt;DATE(年度+2019,3,31))),"年度外の日付 ","")))</f>
        <v/>
      </c>
      <c r="K228" s="366" t="n"/>
    </row>
    <row r="229">
      <c r="A229" s="359" t="n"/>
      <c r="B229" s="360" t="n"/>
      <c r="C229" s="361" t="n"/>
      <c r="D229" s="362" t="n"/>
      <c r="E229" s="362" t="n"/>
      <c r="F229" s="363" t="n"/>
      <c r="G229" s="360" t="n"/>
      <c r="H229" s="359" t="str">
        <f>IF(OR($F229="",$C229=""),"",IF($B229="決算整理",13,MOD(MONTH($C229)-4,12)+1))</f>
        <v/>
      </c>
      <c r="I229" s="364" t="str">
        <f>IF(OR($F229="",$D229=""),"",IFERROR(INDEX(費用収益表_貸付!$S$1:$S$60,VLOOKUP($D229,科目表!$K$5:$L$40,2,FALSE))-SUMIFS($F$5:$F229,$D$5:$D229,$D229),"?"))</f>
        <v/>
      </c>
      <c r="J229" s="366" t="str">
        <f>IF($F229="","",TRIM(IF(ISERROR(MATCH($D229,科目表!$K$5:$K$40,0)),"科目未登録 ","")&amp;IF($G229="","状態未設定 ","")&amp;IF(AND(OR($G229="確認済",$G229="未確認"),$B229="通常",OR($C229="",$C229&lt;DATE(年度+2018,4,1),$C229&gt;DATE(年度+2019,3,31))),"年度外の日付 ","")))</f>
        <v/>
      </c>
      <c r="K229" s="366" t="n"/>
    </row>
    <row r="230">
      <c r="A230" s="359" t="n"/>
      <c r="B230" s="360" t="n"/>
      <c r="C230" s="361" t="n"/>
      <c r="D230" s="362" t="n"/>
      <c r="E230" s="362" t="n"/>
      <c r="F230" s="363" t="n"/>
      <c r="G230" s="360" t="n"/>
      <c r="H230" s="359" t="str">
        <f>IF(OR($F230="",$C230=""),"",IF($B230="決算整理",13,MOD(MONTH($C230)-4,12)+1))</f>
        <v/>
      </c>
      <c r="I230" s="364" t="str">
        <f>IF(OR($F230="",$D230=""),"",IFERROR(INDEX(費用収益表_貸付!$S$1:$S$60,VLOOKUP($D230,科目表!$K$5:$L$40,2,FALSE))-SUMIFS($F$5:$F230,$D$5:$D230,$D230),"?"))</f>
        <v/>
      </c>
      <c r="J230" s="366" t="str">
        <f>IF($F230="","",TRIM(IF(ISERROR(MATCH($D230,科目表!$K$5:$K$40,0)),"科目未登録 ","")&amp;IF($G230="","状態未設定 ","")&amp;IF(AND(OR($G230="確認済",$G230="未確認"),$B230="通常",OR($C230="",$C230&lt;DATE(年度+2018,4,1),$C230&gt;DATE(年度+2019,3,31))),"年度外の日付 ","")))</f>
        <v/>
      </c>
      <c r="K230" s="366" t="n"/>
    </row>
    <row r="231">
      <c r="A231" s="359" t="n"/>
      <c r="B231" s="360" t="n"/>
      <c r="C231" s="361" t="n"/>
      <c r="D231" s="362" t="n"/>
      <c r="E231" s="362" t="n"/>
      <c r="F231" s="363" t="n"/>
      <c r="G231" s="360" t="n"/>
      <c r="H231" s="359" t="str">
        <f>IF(OR($F231="",$C231=""),"",IF($B231="決算整理",13,MOD(MONTH($C231)-4,12)+1))</f>
        <v/>
      </c>
      <c r="I231" s="364" t="str">
        <f>IF(OR($F231="",$D231=""),"",IFERROR(INDEX(費用収益表_貸付!$S$1:$S$60,VLOOKUP($D231,科目表!$K$5:$L$40,2,FALSE))-SUMIFS($F$5:$F231,$D$5:$D231,$D231),"?"))</f>
        <v/>
      </c>
      <c r="J231" s="366" t="str">
        <f>IF($F231="","",TRIM(IF(ISERROR(MATCH($D231,科目表!$K$5:$K$40,0)),"科目未登録 ","")&amp;IF($G231="","状態未設定 ","")&amp;IF(AND(OR($G231="確認済",$G231="未確認"),$B231="通常",OR($C231="",$C231&lt;DATE(年度+2018,4,1),$C231&gt;DATE(年度+2019,3,31))),"年度外の日付 ","")))</f>
        <v/>
      </c>
      <c r="K231" s="366" t="n"/>
    </row>
    <row r="232">
      <c r="A232" s="359" t="n"/>
      <c r="B232" s="360" t="n"/>
      <c r="C232" s="361" t="n"/>
      <c r="D232" s="362" t="n"/>
      <c r="E232" s="362" t="n"/>
      <c r="F232" s="363" t="n"/>
      <c r="G232" s="360" t="n"/>
      <c r="H232" s="359" t="str">
        <f>IF(OR($F232="",$C232=""),"",IF($B232="決算整理",13,MOD(MONTH($C232)-4,12)+1))</f>
        <v/>
      </c>
      <c r="I232" s="364" t="str">
        <f>IF(OR($F232="",$D232=""),"",IFERROR(INDEX(費用収益表_貸付!$S$1:$S$60,VLOOKUP($D232,科目表!$K$5:$L$40,2,FALSE))-SUMIFS($F$5:$F232,$D$5:$D232,$D232),"?"))</f>
        <v/>
      </c>
      <c r="J232" s="366" t="str">
        <f>IF($F232="","",TRIM(IF(ISERROR(MATCH($D232,科目表!$K$5:$K$40,0)),"科目未登録 ","")&amp;IF($G232="","状態未設定 ","")&amp;IF(AND(OR($G232="確認済",$G232="未確認"),$B232="通常",OR($C232="",$C232&lt;DATE(年度+2018,4,1),$C232&gt;DATE(年度+2019,3,31))),"年度外の日付 ","")))</f>
        <v/>
      </c>
      <c r="K232" s="366" t="n"/>
    </row>
    <row r="233">
      <c r="A233" s="359" t="n"/>
      <c r="B233" s="360" t="n"/>
      <c r="C233" s="361" t="n"/>
      <c r="D233" s="362" t="n"/>
      <c r="E233" s="362" t="n"/>
      <c r="F233" s="363" t="n"/>
      <c r="G233" s="360" t="n"/>
      <c r="H233" s="359" t="str">
        <f>IF(OR($F233="",$C233=""),"",IF($B233="決算整理",13,MOD(MONTH($C233)-4,12)+1))</f>
        <v/>
      </c>
      <c r="I233" s="364" t="str">
        <f>IF(OR($F233="",$D233=""),"",IFERROR(INDEX(費用収益表_貸付!$S$1:$S$60,VLOOKUP($D233,科目表!$K$5:$L$40,2,FALSE))-SUMIFS($F$5:$F233,$D$5:$D233,$D233),"?"))</f>
        <v/>
      </c>
      <c r="J233" s="366" t="str">
        <f>IF($F233="","",TRIM(IF(ISERROR(MATCH($D233,科目表!$K$5:$K$40,0)),"科目未登録 ","")&amp;IF($G233="","状態未設定 ","")&amp;IF(AND(OR($G233="確認済",$G233="未確認"),$B233="通常",OR($C233="",$C233&lt;DATE(年度+2018,4,1),$C233&gt;DATE(年度+2019,3,31))),"年度外の日付 ","")))</f>
        <v/>
      </c>
      <c r="K233" s="366" t="n"/>
    </row>
    <row r="234">
      <c r="A234" s="359" t="n"/>
      <c r="B234" s="360" t="n"/>
      <c r="C234" s="361" t="n"/>
      <c r="D234" s="362" t="n"/>
      <c r="E234" s="362" t="n"/>
      <c r="F234" s="363" t="n"/>
      <c r="G234" s="360" t="n"/>
      <c r="H234" s="359" t="str">
        <f>IF(OR($F234="",$C234=""),"",IF($B234="決算整理",13,MOD(MONTH($C234)-4,12)+1))</f>
        <v/>
      </c>
      <c r="I234" s="364" t="str">
        <f>IF(OR($F234="",$D234=""),"",IFERROR(INDEX(費用収益表_貸付!$S$1:$S$60,VLOOKUP($D234,科目表!$K$5:$L$40,2,FALSE))-SUMIFS($F$5:$F234,$D$5:$D234,$D234),"?"))</f>
        <v/>
      </c>
      <c r="J234" s="366" t="str">
        <f>IF($F234="","",TRIM(IF(ISERROR(MATCH($D234,科目表!$K$5:$K$40,0)),"科目未登録 ","")&amp;IF($G234="","状態未設定 ","")&amp;IF(AND(OR($G234="確認済",$G234="未確認"),$B234="通常",OR($C234="",$C234&lt;DATE(年度+2018,4,1),$C234&gt;DATE(年度+2019,3,31))),"年度外の日付 ","")))</f>
        <v/>
      </c>
      <c r="K234" s="366" t="n"/>
    </row>
    <row r="235">
      <c r="A235" s="359" t="n"/>
      <c r="B235" s="360" t="n"/>
      <c r="C235" s="361" t="n"/>
      <c r="D235" s="362" t="n"/>
      <c r="E235" s="362" t="n"/>
      <c r="F235" s="363" t="n"/>
      <c r="G235" s="360" t="n"/>
      <c r="H235" s="359" t="str">
        <f>IF(OR($F235="",$C235=""),"",IF($B235="決算整理",13,MOD(MONTH($C235)-4,12)+1))</f>
        <v/>
      </c>
      <c r="I235" s="364" t="str">
        <f>IF(OR($F235="",$D235=""),"",IFERROR(INDEX(費用収益表_貸付!$S$1:$S$60,VLOOKUP($D235,科目表!$K$5:$L$40,2,FALSE))-SUMIFS($F$5:$F235,$D$5:$D235,$D235),"?"))</f>
        <v/>
      </c>
      <c r="J235" s="366" t="str">
        <f>IF($F235="","",TRIM(IF(ISERROR(MATCH($D235,科目表!$K$5:$K$40,0)),"科目未登録 ","")&amp;IF($G235="","状態未設定 ","")&amp;IF(AND(OR($G235="確認済",$G235="未確認"),$B235="通常",OR($C235="",$C235&lt;DATE(年度+2018,4,1),$C235&gt;DATE(年度+2019,3,31))),"年度外の日付 ","")))</f>
        <v/>
      </c>
      <c r="K235" s="366" t="n"/>
    </row>
    <row r="236">
      <c r="A236" s="359" t="n"/>
      <c r="B236" s="360" t="n"/>
      <c r="C236" s="361" t="n"/>
      <c r="D236" s="362" t="n"/>
      <c r="E236" s="362" t="n"/>
      <c r="F236" s="363" t="n"/>
      <c r="G236" s="360" t="n"/>
      <c r="H236" s="359" t="str">
        <f>IF(OR($F236="",$C236=""),"",IF($B236="決算整理",13,MOD(MONTH($C236)-4,12)+1))</f>
        <v/>
      </c>
      <c r="I236" s="364" t="str">
        <f>IF(OR($F236="",$D236=""),"",IFERROR(INDEX(費用収益表_貸付!$S$1:$S$60,VLOOKUP($D236,科目表!$K$5:$L$40,2,FALSE))-SUMIFS($F$5:$F236,$D$5:$D236,$D236),"?"))</f>
        <v/>
      </c>
      <c r="J236" s="366" t="str">
        <f>IF($F236="","",TRIM(IF(ISERROR(MATCH($D236,科目表!$K$5:$K$40,0)),"科目未登録 ","")&amp;IF($G236="","状態未設定 ","")&amp;IF(AND(OR($G236="確認済",$G236="未確認"),$B236="通常",OR($C236="",$C236&lt;DATE(年度+2018,4,1),$C236&gt;DATE(年度+2019,3,31))),"年度外の日付 ","")))</f>
        <v/>
      </c>
      <c r="K236" s="366" t="n"/>
    </row>
    <row r="237">
      <c r="A237" s="359" t="n"/>
      <c r="B237" s="360" t="n"/>
      <c r="C237" s="361" t="n"/>
      <c r="D237" s="362" t="n"/>
      <c r="E237" s="362" t="n"/>
      <c r="F237" s="363" t="n"/>
      <c r="G237" s="360" t="n"/>
      <c r="H237" s="359" t="str">
        <f>IF(OR($F237="",$C237=""),"",IF($B237="決算整理",13,MOD(MONTH($C237)-4,12)+1))</f>
        <v/>
      </c>
      <c r="I237" s="364" t="str">
        <f>IF(OR($F237="",$D237=""),"",IFERROR(INDEX(費用収益表_貸付!$S$1:$S$60,VLOOKUP($D237,科目表!$K$5:$L$40,2,FALSE))-SUMIFS($F$5:$F237,$D$5:$D237,$D237),"?"))</f>
        <v/>
      </c>
      <c r="J237" s="366" t="str">
        <f>IF($F237="","",TRIM(IF(ISERROR(MATCH($D237,科目表!$K$5:$K$40,0)),"科目未登録 ","")&amp;IF($G237="","状態未設定 ","")&amp;IF(AND(OR($G237="確認済",$G237="未確認"),$B237="通常",OR($C237="",$C237&lt;DATE(年度+2018,4,1),$C237&gt;DATE(年度+2019,3,31))),"年度外の日付 ","")))</f>
        <v/>
      </c>
      <c r="K237" s="366" t="n"/>
    </row>
    <row r="238">
      <c r="A238" s="359" t="n"/>
      <c r="B238" s="360" t="n"/>
      <c r="C238" s="361" t="n"/>
      <c r="D238" s="362" t="n"/>
      <c r="E238" s="362" t="n"/>
      <c r="F238" s="363" t="n"/>
      <c r="G238" s="360" t="n"/>
      <c r="H238" s="359" t="str">
        <f>IF(OR($F238="",$C238=""),"",IF($B238="決算整理",13,MOD(MONTH($C238)-4,12)+1))</f>
        <v/>
      </c>
      <c r="I238" s="364" t="str">
        <f>IF(OR($F238="",$D238=""),"",IFERROR(INDEX(費用収益表_貸付!$S$1:$S$60,VLOOKUP($D238,科目表!$K$5:$L$40,2,FALSE))-SUMIFS($F$5:$F238,$D$5:$D238,$D238),"?"))</f>
        <v/>
      </c>
      <c r="J238" s="366" t="str">
        <f>IF($F238="","",TRIM(IF(ISERROR(MATCH($D238,科目表!$K$5:$K$40,0)),"科目未登録 ","")&amp;IF($G238="","状態未設定 ","")&amp;IF(AND(OR($G238="確認済",$G238="未確認"),$B238="通常",OR($C238="",$C238&lt;DATE(年度+2018,4,1),$C238&gt;DATE(年度+2019,3,31))),"年度外の日付 ","")))</f>
        <v/>
      </c>
      <c r="K238" s="366" t="n"/>
    </row>
    <row r="239">
      <c r="A239" s="359" t="n"/>
      <c r="B239" s="360" t="n"/>
      <c r="C239" s="361" t="n"/>
      <c r="D239" s="362" t="n"/>
      <c r="E239" s="362" t="n"/>
      <c r="F239" s="363" t="n"/>
      <c r="G239" s="360" t="n"/>
      <c r="H239" s="359" t="str">
        <f>IF(OR($F239="",$C239=""),"",IF($B239="決算整理",13,MOD(MONTH($C239)-4,12)+1))</f>
        <v/>
      </c>
      <c r="I239" s="364" t="str">
        <f>IF(OR($F239="",$D239=""),"",IFERROR(INDEX(費用収益表_貸付!$S$1:$S$60,VLOOKUP($D239,科目表!$K$5:$L$40,2,FALSE))-SUMIFS($F$5:$F239,$D$5:$D239,$D239),"?"))</f>
        <v/>
      </c>
      <c r="J239" s="366" t="str">
        <f>IF($F239="","",TRIM(IF(ISERROR(MATCH($D239,科目表!$K$5:$K$40,0)),"科目未登録 ","")&amp;IF($G239="","状態未設定 ","")&amp;IF(AND(OR($G239="確認済",$G239="未確認"),$B239="通常",OR($C239="",$C239&lt;DATE(年度+2018,4,1),$C239&gt;DATE(年度+2019,3,31))),"年度外の日付 ","")))</f>
        <v/>
      </c>
      <c r="K239" s="366" t="n"/>
    </row>
    <row r="240">
      <c r="A240" s="359" t="n"/>
      <c r="B240" s="360" t="n"/>
      <c r="C240" s="361" t="n"/>
      <c r="D240" s="362" t="n"/>
      <c r="E240" s="362" t="n"/>
      <c r="F240" s="363" t="n"/>
      <c r="G240" s="360" t="n"/>
      <c r="H240" s="359" t="str">
        <f>IF(OR($F240="",$C240=""),"",IF($B240="決算整理",13,MOD(MONTH($C240)-4,12)+1))</f>
        <v/>
      </c>
      <c r="I240" s="364" t="str">
        <f>IF(OR($F240="",$D240=""),"",IFERROR(INDEX(費用収益表_貸付!$S$1:$S$60,VLOOKUP($D240,科目表!$K$5:$L$40,2,FALSE))-SUMIFS($F$5:$F240,$D$5:$D240,$D240),"?"))</f>
        <v/>
      </c>
      <c r="J240" s="366" t="str">
        <f>IF($F240="","",TRIM(IF(ISERROR(MATCH($D240,科目表!$K$5:$K$40,0)),"科目未登録 ","")&amp;IF($G240="","状態未設定 ","")&amp;IF(AND(OR($G240="確認済",$G240="未確認"),$B240="通常",OR($C240="",$C240&lt;DATE(年度+2018,4,1),$C240&gt;DATE(年度+2019,3,31))),"年度外の日付 ","")))</f>
        <v/>
      </c>
      <c r="K240" s="366" t="n"/>
    </row>
    <row r="241">
      <c r="A241" s="359" t="n"/>
      <c r="B241" s="360" t="n"/>
      <c r="C241" s="361" t="n"/>
      <c r="D241" s="362" t="n"/>
      <c r="E241" s="362" t="n"/>
      <c r="F241" s="363" t="n"/>
      <c r="G241" s="360" t="n"/>
      <c r="H241" s="359" t="str">
        <f>IF(OR($F241="",$C241=""),"",IF($B241="決算整理",13,MOD(MONTH($C241)-4,12)+1))</f>
        <v/>
      </c>
      <c r="I241" s="364" t="str">
        <f>IF(OR($F241="",$D241=""),"",IFERROR(INDEX(費用収益表_貸付!$S$1:$S$60,VLOOKUP($D241,科目表!$K$5:$L$40,2,FALSE))-SUMIFS($F$5:$F241,$D$5:$D241,$D241),"?"))</f>
        <v/>
      </c>
      <c r="J241" s="366" t="str">
        <f>IF($F241="","",TRIM(IF(ISERROR(MATCH($D241,科目表!$K$5:$K$40,0)),"科目未登録 ","")&amp;IF($G241="","状態未設定 ","")&amp;IF(AND(OR($G241="確認済",$G241="未確認"),$B241="通常",OR($C241="",$C241&lt;DATE(年度+2018,4,1),$C241&gt;DATE(年度+2019,3,31))),"年度外の日付 ","")))</f>
        <v/>
      </c>
      <c r="K241" s="366" t="n"/>
    </row>
    <row r="242">
      <c r="A242" s="359" t="n"/>
      <c r="B242" s="360" t="n"/>
      <c r="C242" s="361" t="n"/>
      <c r="D242" s="362" t="n"/>
      <c r="E242" s="362" t="n"/>
      <c r="F242" s="363" t="n"/>
      <c r="G242" s="360" t="n"/>
      <c r="H242" s="359" t="str">
        <f>IF(OR($F242="",$C242=""),"",IF($B242="決算整理",13,MOD(MONTH($C242)-4,12)+1))</f>
        <v/>
      </c>
      <c r="I242" s="364" t="str">
        <f>IF(OR($F242="",$D242=""),"",IFERROR(INDEX(費用収益表_貸付!$S$1:$S$60,VLOOKUP($D242,科目表!$K$5:$L$40,2,FALSE))-SUMIFS($F$5:$F242,$D$5:$D242,$D242),"?"))</f>
        <v/>
      </c>
      <c r="J242" s="366" t="str">
        <f>IF($F242="","",TRIM(IF(ISERROR(MATCH($D242,科目表!$K$5:$K$40,0)),"科目未登録 ","")&amp;IF($G242="","状態未設定 ","")&amp;IF(AND(OR($G242="確認済",$G242="未確認"),$B242="通常",OR($C242="",$C242&lt;DATE(年度+2018,4,1),$C242&gt;DATE(年度+2019,3,31))),"年度外の日付 ","")))</f>
        <v/>
      </c>
      <c r="K242" s="366" t="n"/>
    </row>
    <row r="243">
      <c r="A243" s="359" t="n"/>
      <c r="B243" s="360" t="n"/>
      <c r="C243" s="361" t="n"/>
      <c r="D243" s="362" t="n"/>
      <c r="E243" s="362" t="n"/>
      <c r="F243" s="363" t="n"/>
      <c r="G243" s="360" t="n"/>
      <c r="H243" s="359" t="str">
        <f>IF(OR($F243="",$C243=""),"",IF($B243="決算整理",13,MOD(MONTH($C243)-4,12)+1))</f>
        <v/>
      </c>
      <c r="I243" s="364" t="str">
        <f>IF(OR($F243="",$D243=""),"",IFERROR(INDEX(費用収益表_貸付!$S$1:$S$60,VLOOKUP($D243,科目表!$K$5:$L$40,2,FALSE))-SUMIFS($F$5:$F243,$D$5:$D243,$D243),"?"))</f>
        <v/>
      </c>
      <c r="J243" s="366" t="str">
        <f>IF($F243="","",TRIM(IF(ISERROR(MATCH($D243,科目表!$K$5:$K$40,0)),"科目未登録 ","")&amp;IF($G243="","状態未設定 ","")&amp;IF(AND(OR($G243="確認済",$G243="未確認"),$B243="通常",OR($C243="",$C243&lt;DATE(年度+2018,4,1),$C243&gt;DATE(年度+2019,3,31))),"年度外の日付 ","")))</f>
        <v/>
      </c>
      <c r="K243" s="366" t="n"/>
    </row>
    <row r="244">
      <c r="A244" s="359" t="n"/>
      <c r="B244" s="360" t="n"/>
      <c r="C244" s="361" t="n"/>
      <c r="D244" s="362" t="n"/>
      <c r="E244" s="362" t="n"/>
      <c r="F244" s="363" t="n"/>
      <c r="G244" s="360" t="n"/>
      <c r="H244" s="359" t="str">
        <f>IF(OR($F244="",$C244=""),"",IF($B244="決算整理",13,MOD(MONTH($C244)-4,12)+1))</f>
        <v/>
      </c>
      <c r="I244" s="364" t="str">
        <f>IF(OR($F244="",$D244=""),"",IFERROR(INDEX(費用収益表_貸付!$S$1:$S$60,VLOOKUP($D244,科目表!$K$5:$L$40,2,FALSE))-SUMIFS($F$5:$F244,$D$5:$D244,$D244),"?"))</f>
        <v/>
      </c>
      <c r="J244" s="366" t="str">
        <f>IF($F244="","",TRIM(IF(ISERROR(MATCH($D244,科目表!$K$5:$K$40,0)),"科目未登録 ","")&amp;IF($G244="","状態未設定 ","")&amp;IF(AND(OR($G244="確認済",$G244="未確認"),$B244="通常",OR($C244="",$C244&lt;DATE(年度+2018,4,1),$C244&gt;DATE(年度+2019,3,31))),"年度外の日付 ","")))</f>
        <v/>
      </c>
      <c r="K244" s="366" t="n"/>
    </row>
    <row r="245">
      <c r="A245" s="359" t="n"/>
      <c r="B245" s="360" t="n"/>
      <c r="C245" s="361" t="n"/>
      <c r="D245" s="362" t="n"/>
      <c r="E245" s="362" t="n"/>
      <c r="F245" s="363" t="n"/>
      <c r="G245" s="360" t="n"/>
      <c r="H245" s="359" t="str">
        <f>IF(OR($F245="",$C245=""),"",IF($B245="決算整理",13,MOD(MONTH($C245)-4,12)+1))</f>
        <v/>
      </c>
      <c r="I245" s="364" t="str">
        <f>IF(OR($F245="",$D245=""),"",IFERROR(INDEX(費用収益表_貸付!$S$1:$S$60,VLOOKUP($D245,科目表!$K$5:$L$40,2,FALSE))-SUMIFS($F$5:$F245,$D$5:$D245,$D245),"?"))</f>
        <v/>
      </c>
      <c r="J245" s="366" t="str">
        <f>IF($F245="","",TRIM(IF(ISERROR(MATCH($D245,科目表!$K$5:$K$40,0)),"科目未登録 ","")&amp;IF($G245="","状態未設定 ","")&amp;IF(AND(OR($G245="確認済",$G245="未確認"),$B245="通常",OR($C245="",$C245&lt;DATE(年度+2018,4,1),$C245&gt;DATE(年度+2019,3,31))),"年度外の日付 ","")))</f>
        <v/>
      </c>
      <c r="K245" s="366" t="n"/>
    </row>
    <row r="246">
      <c r="A246" s="359" t="n"/>
      <c r="B246" s="360" t="n"/>
      <c r="C246" s="361" t="n"/>
      <c r="D246" s="362" t="n"/>
      <c r="E246" s="362" t="n"/>
      <c r="F246" s="363" t="n"/>
      <c r="G246" s="360" t="n"/>
      <c r="H246" s="359" t="str">
        <f>IF(OR($F246="",$C246=""),"",IF($B246="決算整理",13,MOD(MONTH($C246)-4,12)+1))</f>
        <v/>
      </c>
      <c r="I246" s="364" t="str">
        <f>IF(OR($F246="",$D246=""),"",IFERROR(INDEX(費用収益表_貸付!$S$1:$S$60,VLOOKUP($D246,科目表!$K$5:$L$40,2,FALSE))-SUMIFS($F$5:$F246,$D$5:$D246,$D246),"?"))</f>
        <v/>
      </c>
      <c r="J246" s="366" t="str">
        <f>IF($F246="","",TRIM(IF(ISERROR(MATCH($D246,科目表!$K$5:$K$40,0)),"科目未登録 ","")&amp;IF($G246="","状態未設定 ","")&amp;IF(AND(OR($G246="確認済",$G246="未確認"),$B246="通常",OR($C246="",$C246&lt;DATE(年度+2018,4,1),$C246&gt;DATE(年度+2019,3,31))),"年度外の日付 ","")))</f>
        <v/>
      </c>
      <c r="K246" s="366" t="n"/>
    </row>
    <row r="247">
      <c r="A247" s="359" t="n"/>
      <c r="B247" s="360" t="n"/>
      <c r="C247" s="361" t="n"/>
      <c r="D247" s="362" t="n"/>
      <c r="E247" s="362" t="n"/>
      <c r="F247" s="363" t="n"/>
      <c r="G247" s="360" t="n"/>
      <c r="H247" s="359" t="str">
        <f>IF(OR($F247="",$C247=""),"",IF($B247="決算整理",13,MOD(MONTH($C247)-4,12)+1))</f>
        <v/>
      </c>
      <c r="I247" s="364" t="str">
        <f>IF(OR($F247="",$D247=""),"",IFERROR(INDEX(費用収益表_貸付!$S$1:$S$60,VLOOKUP($D247,科目表!$K$5:$L$40,2,FALSE))-SUMIFS($F$5:$F247,$D$5:$D247,$D247),"?"))</f>
        <v/>
      </c>
      <c r="J247" s="366" t="str">
        <f>IF($F247="","",TRIM(IF(ISERROR(MATCH($D247,科目表!$K$5:$K$40,0)),"科目未登録 ","")&amp;IF($G247="","状態未設定 ","")&amp;IF(AND(OR($G247="確認済",$G247="未確認"),$B247="通常",OR($C247="",$C247&lt;DATE(年度+2018,4,1),$C247&gt;DATE(年度+2019,3,31))),"年度外の日付 ","")))</f>
        <v/>
      </c>
      <c r="K247" s="366" t="n"/>
    </row>
    <row r="248">
      <c r="A248" s="359" t="n"/>
      <c r="B248" s="360" t="n"/>
      <c r="C248" s="361" t="n"/>
      <c r="D248" s="362" t="n"/>
      <c r="E248" s="362" t="n"/>
      <c r="F248" s="363" t="n"/>
      <c r="G248" s="360" t="n"/>
      <c r="H248" s="359" t="str">
        <f>IF(OR($F248="",$C248=""),"",IF($B248="決算整理",13,MOD(MONTH($C248)-4,12)+1))</f>
        <v/>
      </c>
      <c r="I248" s="364" t="str">
        <f>IF(OR($F248="",$D248=""),"",IFERROR(INDEX(費用収益表_貸付!$S$1:$S$60,VLOOKUP($D248,科目表!$K$5:$L$40,2,FALSE))-SUMIFS($F$5:$F248,$D$5:$D248,$D248),"?"))</f>
        <v/>
      </c>
      <c r="J248" s="366" t="str">
        <f>IF($F248="","",TRIM(IF(ISERROR(MATCH($D248,科目表!$K$5:$K$40,0)),"科目未登録 ","")&amp;IF($G248="","状態未設定 ","")&amp;IF(AND(OR($G248="確認済",$G248="未確認"),$B248="通常",OR($C248="",$C248&lt;DATE(年度+2018,4,1),$C248&gt;DATE(年度+2019,3,31))),"年度外の日付 ","")))</f>
        <v/>
      </c>
      <c r="K248" s="366" t="n"/>
    </row>
    <row r="249">
      <c r="A249" s="359" t="n"/>
      <c r="B249" s="360" t="n"/>
      <c r="C249" s="361" t="n"/>
      <c r="D249" s="362" t="n"/>
      <c r="E249" s="362" t="n"/>
      <c r="F249" s="363" t="n"/>
      <c r="G249" s="360" t="n"/>
      <c r="H249" s="359" t="str">
        <f>IF(OR($F249="",$C249=""),"",IF($B249="決算整理",13,MOD(MONTH($C249)-4,12)+1))</f>
        <v/>
      </c>
      <c r="I249" s="364" t="str">
        <f>IF(OR($F249="",$D249=""),"",IFERROR(INDEX(費用収益表_貸付!$S$1:$S$60,VLOOKUP($D249,科目表!$K$5:$L$40,2,FALSE))-SUMIFS($F$5:$F249,$D$5:$D249,$D249),"?"))</f>
        <v/>
      </c>
      <c r="J249" s="366" t="str">
        <f>IF($F249="","",TRIM(IF(ISERROR(MATCH($D249,科目表!$K$5:$K$40,0)),"科目未登録 ","")&amp;IF($G249="","状態未設定 ","")&amp;IF(AND(OR($G249="確認済",$G249="未確認"),$B249="通常",OR($C249="",$C249&lt;DATE(年度+2018,4,1),$C249&gt;DATE(年度+2019,3,31))),"年度外の日付 ","")))</f>
        <v/>
      </c>
      <c r="K249" s="366" t="n"/>
    </row>
    <row r="250">
      <c r="A250" s="359" t="n"/>
      <c r="B250" s="360" t="n"/>
      <c r="C250" s="361" t="n"/>
      <c r="D250" s="362" t="n"/>
      <c r="E250" s="362" t="n"/>
      <c r="F250" s="363" t="n"/>
      <c r="G250" s="360" t="n"/>
      <c r="H250" s="359" t="str">
        <f>IF(OR($F250="",$C250=""),"",IF($B250="決算整理",13,MOD(MONTH($C250)-4,12)+1))</f>
        <v/>
      </c>
      <c r="I250" s="364" t="str">
        <f>IF(OR($F250="",$D250=""),"",IFERROR(INDEX(費用収益表_貸付!$S$1:$S$60,VLOOKUP($D250,科目表!$K$5:$L$40,2,FALSE))-SUMIFS($F$5:$F250,$D$5:$D250,$D250),"?"))</f>
        <v/>
      </c>
      <c r="J250" s="366" t="str">
        <f>IF($F250="","",TRIM(IF(ISERROR(MATCH($D250,科目表!$K$5:$K$40,0)),"科目未登録 ","")&amp;IF($G250="","状態未設定 ","")&amp;IF(AND(OR($G250="確認済",$G250="未確認"),$B250="通常",OR($C250="",$C250&lt;DATE(年度+2018,4,1),$C250&gt;DATE(年度+2019,3,31))),"年度外の日付 ","")))</f>
        <v/>
      </c>
      <c r="K250" s="366" t="n"/>
    </row>
    <row r="251">
      <c r="A251" s="359" t="n"/>
      <c r="B251" s="360" t="n"/>
      <c r="C251" s="361" t="n"/>
      <c r="D251" s="362" t="n"/>
      <c r="E251" s="362" t="n"/>
      <c r="F251" s="363" t="n"/>
      <c r="G251" s="360" t="n"/>
      <c r="H251" s="359" t="str">
        <f>IF(OR($F251="",$C251=""),"",IF($B251="決算整理",13,MOD(MONTH($C251)-4,12)+1))</f>
        <v/>
      </c>
      <c r="I251" s="364" t="str">
        <f>IF(OR($F251="",$D251=""),"",IFERROR(INDEX(費用収益表_貸付!$S$1:$S$60,VLOOKUP($D251,科目表!$K$5:$L$40,2,FALSE))-SUMIFS($F$5:$F251,$D$5:$D251,$D251),"?"))</f>
        <v/>
      </c>
      <c r="J251" s="366" t="str">
        <f>IF($F251="","",TRIM(IF(ISERROR(MATCH($D251,科目表!$K$5:$K$40,0)),"科目未登録 ","")&amp;IF($G251="","状態未設定 ","")&amp;IF(AND(OR($G251="確認済",$G251="未確認"),$B251="通常",OR($C251="",$C251&lt;DATE(年度+2018,4,1),$C251&gt;DATE(年度+2019,3,31))),"年度外の日付 ","")))</f>
        <v/>
      </c>
      <c r="K251" s="366" t="n"/>
    </row>
    <row r="252">
      <c r="A252" s="359" t="n"/>
      <c r="B252" s="360" t="n"/>
      <c r="C252" s="361" t="n"/>
      <c r="D252" s="362" t="n"/>
      <c r="E252" s="362" t="n"/>
      <c r="F252" s="363" t="n"/>
      <c r="G252" s="360" t="n"/>
      <c r="H252" s="359" t="str">
        <f>IF(OR($F252="",$C252=""),"",IF($B252="決算整理",13,MOD(MONTH($C252)-4,12)+1))</f>
        <v/>
      </c>
      <c r="I252" s="364" t="str">
        <f>IF(OR($F252="",$D252=""),"",IFERROR(INDEX(費用収益表_貸付!$S$1:$S$60,VLOOKUP($D252,科目表!$K$5:$L$40,2,FALSE))-SUMIFS($F$5:$F252,$D$5:$D252,$D252),"?"))</f>
        <v/>
      </c>
      <c r="J252" s="366" t="str">
        <f>IF($F252="","",TRIM(IF(ISERROR(MATCH($D252,科目表!$K$5:$K$40,0)),"科目未登録 ","")&amp;IF($G252="","状態未設定 ","")&amp;IF(AND(OR($G252="確認済",$G252="未確認"),$B252="通常",OR($C252="",$C252&lt;DATE(年度+2018,4,1),$C252&gt;DATE(年度+2019,3,31))),"年度外の日付 ","")))</f>
        <v/>
      </c>
      <c r="K252" s="366" t="n"/>
    </row>
    <row r="253">
      <c r="A253" s="359" t="n"/>
      <c r="B253" s="360" t="n"/>
      <c r="C253" s="361" t="n"/>
      <c r="D253" s="362" t="n"/>
      <c r="E253" s="362" t="n"/>
      <c r="F253" s="363" t="n"/>
      <c r="G253" s="360" t="n"/>
      <c r="H253" s="359" t="str">
        <f>IF(OR($F253="",$C253=""),"",IF($B253="決算整理",13,MOD(MONTH($C253)-4,12)+1))</f>
        <v/>
      </c>
      <c r="I253" s="364" t="str">
        <f>IF(OR($F253="",$D253=""),"",IFERROR(INDEX(費用収益表_貸付!$S$1:$S$60,VLOOKUP($D253,科目表!$K$5:$L$40,2,FALSE))-SUMIFS($F$5:$F253,$D$5:$D253,$D253),"?"))</f>
        <v/>
      </c>
      <c r="J253" s="366" t="str">
        <f>IF($F253="","",TRIM(IF(ISERROR(MATCH($D253,科目表!$K$5:$K$40,0)),"科目未登録 ","")&amp;IF($G253="","状態未設定 ","")&amp;IF(AND(OR($G253="確認済",$G253="未確認"),$B253="通常",OR($C253="",$C253&lt;DATE(年度+2018,4,1),$C253&gt;DATE(年度+2019,3,31))),"年度外の日付 ","")))</f>
        <v/>
      </c>
      <c r="K253" s="366" t="n"/>
    </row>
    <row r="254">
      <c r="A254" s="359" t="n"/>
      <c r="B254" s="360" t="n"/>
      <c r="C254" s="361" t="n"/>
      <c r="D254" s="362" t="n"/>
      <c r="E254" s="362" t="n"/>
      <c r="F254" s="363" t="n"/>
      <c r="G254" s="360" t="n"/>
      <c r="H254" s="359" t="str">
        <f>IF(OR($F254="",$C254=""),"",IF($B254="決算整理",13,MOD(MONTH($C254)-4,12)+1))</f>
        <v/>
      </c>
      <c r="I254" s="364" t="str">
        <f>IF(OR($F254="",$D254=""),"",IFERROR(INDEX(費用収益表_貸付!$S$1:$S$60,VLOOKUP($D254,科目表!$K$5:$L$40,2,FALSE))-SUMIFS($F$5:$F254,$D$5:$D254,$D254),"?"))</f>
        <v/>
      </c>
      <c r="J254" s="366" t="str">
        <f>IF($F254="","",TRIM(IF(ISERROR(MATCH($D254,科目表!$K$5:$K$40,0)),"科目未登録 ","")&amp;IF($G254="","状態未設定 ","")&amp;IF(AND(OR($G254="確認済",$G254="未確認"),$B254="通常",OR($C254="",$C254&lt;DATE(年度+2018,4,1),$C254&gt;DATE(年度+2019,3,31))),"年度外の日付 ","")))</f>
        <v/>
      </c>
      <c r="K254" s="366" t="n"/>
    </row>
    <row r="255">
      <c r="A255" s="359" t="n"/>
      <c r="B255" s="360" t="n"/>
      <c r="C255" s="361" t="n"/>
      <c r="D255" s="362" t="n"/>
      <c r="E255" s="362" t="n"/>
      <c r="F255" s="363" t="n"/>
      <c r="G255" s="360" t="n"/>
      <c r="H255" s="359" t="str">
        <f>IF(OR($F255="",$C255=""),"",IF($B255="決算整理",13,MOD(MONTH($C255)-4,12)+1))</f>
        <v/>
      </c>
      <c r="I255" s="364" t="str">
        <f>IF(OR($F255="",$D255=""),"",IFERROR(INDEX(費用収益表_貸付!$S$1:$S$60,VLOOKUP($D255,科目表!$K$5:$L$40,2,FALSE))-SUMIFS($F$5:$F255,$D$5:$D255,$D255),"?"))</f>
        <v/>
      </c>
      <c r="J255" s="366" t="str">
        <f>IF($F255="","",TRIM(IF(ISERROR(MATCH($D255,科目表!$K$5:$K$40,0)),"科目未登録 ","")&amp;IF($G255="","状態未設定 ","")&amp;IF(AND(OR($G255="確認済",$G255="未確認"),$B255="通常",OR($C255="",$C255&lt;DATE(年度+2018,4,1),$C255&gt;DATE(年度+2019,3,31))),"年度外の日付 ","")))</f>
        <v/>
      </c>
      <c r="K255" s="366" t="n"/>
    </row>
    <row r="256">
      <c r="A256" s="359" t="n"/>
      <c r="B256" s="360" t="n"/>
      <c r="C256" s="361" t="n"/>
      <c r="D256" s="362" t="n"/>
      <c r="E256" s="362" t="n"/>
      <c r="F256" s="363" t="n"/>
      <c r="G256" s="360" t="n"/>
      <c r="H256" s="359" t="str">
        <f>IF(OR($F256="",$C256=""),"",IF($B256="決算整理",13,MOD(MONTH($C256)-4,12)+1))</f>
        <v/>
      </c>
      <c r="I256" s="364" t="str">
        <f>IF(OR($F256="",$D256=""),"",IFERROR(INDEX(費用収益表_貸付!$S$1:$S$60,VLOOKUP($D256,科目表!$K$5:$L$40,2,FALSE))-SUMIFS($F$5:$F256,$D$5:$D256,$D256),"?"))</f>
        <v/>
      </c>
      <c r="J256" s="366" t="str">
        <f>IF($F256="","",TRIM(IF(ISERROR(MATCH($D256,科目表!$K$5:$K$40,0)),"科目未登録 ","")&amp;IF($G256="","状態未設定 ","")&amp;IF(AND(OR($G256="確認済",$G256="未確認"),$B256="通常",OR($C256="",$C256&lt;DATE(年度+2018,4,1),$C256&gt;DATE(年度+2019,3,31))),"年度外の日付 ","")))</f>
        <v/>
      </c>
      <c r="K256" s="366" t="n"/>
    </row>
    <row r="257">
      <c r="A257" s="359" t="n"/>
      <c r="B257" s="360" t="n"/>
      <c r="C257" s="361" t="n"/>
      <c r="D257" s="362" t="n"/>
      <c r="E257" s="362" t="n"/>
      <c r="F257" s="363" t="n"/>
      <c r="G257" s="360" t="n"/>
      <c r="H257" s="359" t="str">
        <f>IF(OR($F257="",$C257=""),"",IF($B257="決算整理",13,MOD(MONTH($C257)-4,12)+1))</f>
        <v/>
      </c>
      <c r="I257" s="364" t="str">
        <f>IF(OR($F257="",$D257=""),"",IFERROR(INDEX(費用収益表_貸付!$S$1:$S$60,VLOOKUP($D257,科目表!$K$5:$L$40,2,FALSE))-SUMIFS($F$5:$F257,$D$5:$D257,$D257),"?"))</f>
        <v/>
      </c>
      <c r="J257" s="366" t="str">
        <f>IF($F257="","",TRIM(IF(ISERROR(MATCH($D257,科目表!$K$5:$K$40,0)),"科目未登録 ","")&amp;IF($G257="","状態未設定 ","")&amp;IF(AND(OR($G257="確認済",$G257="未確認"),$B257="通常",OR($C257="",$C257&lt;DATE(年度+2018,4,1),$C257&gt;DATE(年度+2019,3,31))),"年度外の日付 ","")))</f>
        <v/>
      </c>
      <c r="K257" s="366" t="n"/>
    </row>
    <row r="258">
      <c r="A258" s="359" t="n"/>
      <c r="B258" s="360" t="n"/>
      <c r="C258" s="361" t="n"/>
      <c r="D258" s="362" t="n"/>
      <c r="E258" s="362" t="n"/>
      <c r="F258" s="363" t="n"/>
      <c r="G258" s="360" t="n"/>
      <c r="H258" s="359" t="str">
        <f>IF(OR($F258="",$C258=""),"",IF($B258="決算整理",13,MOD(MONTH($C258)-4,12)+1))</f>
        <v/>
      </c>
      <c r="I258" s="364" t="str">
        <f>IF(OR($F258="",$D258=""),"",IFERROR(INDEX(費用収益表_貸付!$S$1:$S$60,VLOOKUP($D258,科目表!$K$5:$L$40,2,FALSE))-SUMIFS($F$5:$F258,$D$5:$D258,$D258),"?"))</f>
        <v/>
      </c>
      <c r="J258" s="366" t="str">
        <f>IF($F258="","",TRIM(IF(ISERROR(MATCH($D258,科目表!$K$5:$K$40,0)),"科目未登録 ","")&amp;IF($G258="","状態未設定 ","")&amp;IF(AND(OR($G258="確認済",$G258="未確認"),$B258="通常",OR($C258="",$C258&lt;DATE(年度+2018,4,1),$C258&gt;DATE(年度+2019,3,31))),"年度外の日付 ","")))</f>
        <v/>
      </c>
      <c r="K258" s="366" t="n"/>
    </row>
    <row r="259">
      <c r="A259" s="359" t="n"/>
      <c r="B259" s="360" t="n"/>
      <c r="C259" s="361" t="n"/>
      <c r="D259" s="362" t="n"/>
      <c r="E259" s="362" t="n"/>
      <c r="F259" s="363" t="n"/>
      <c r="G259" s="360" t="n"/>
      <c r="H259" s="359" t="str">
        <f>IF(OR($F259="",$C259=""),"",IF($B259="決算整理",13,MOD(MONTH($C259)-4,12)+1))</f>
        <v/>
      </c>
      <c r="I259" s="364" t="str">
        <f>IF(OR($F259="",$D259=""),"",IFERROR(INDEX(費用収益表_貸付!$S$1:$S$60,VLOOKUP($D259,科目表!$K$5:$L$40,2,FALSE))-SUMIFS($F$5:$F259,$D$5:$D259,$D259),"?"))</f>
        <v/>
      </c>
      <c r="J259" s="366" t="str">
        <f>IF($F259="","",TRIM(IF(ISERROR(MATCH($D259,科目表!$K$5:$K$40,0)),"科目未登録 ","")&amp;IF($G259="","状態未設定 ","")&amp;IF(AND(OR($G259="確認済",$G259="未確認"),$B259="通常",OR($C259="",$C259&lt;DATE(年度+2018,4,1),$C259&gt;DATE(年度+2019,3,31))),"年度外の日付 ","")))</f>
        <v/>
      </c>
      <c r="K259" s="366" t="n"/>
    </row>
    <row r="260">
      <c r="A260" s="359" t="n"/>
      <c r="B260" s="360" t="n"/>
      <c r="C260" s="361" t="n"/>
      <c r="D260" s="362" t="n"/>
      <c r="E260" s="362" t="n"/>
      <c r="F260" s="363" t="n"/>
      <c r="G260" s="360" t="n"/>
      <c r="H260" s="359" t="str">
        <f>IF(OR($F260="",$C260=""),"",IF($B260="決算整理",13,MOD(MONTH($C260)-4,12)+1))</f>
        <v/>
      </c>
      <c r="I260" s="364" t="str">
        <f>IF(OR($F260="",$D260=""),"",IFERROR(INDEX(費用収益表_貸付!$S$1:$S$60,VLOOKUP($D260,科目表!$K$5:$L$40,2,FALSE))-SUMIFS($F$5:$F260,$D$5:$D260,$D260),"?"))</f>
        <v/>
      </c>
      <c r="J260" s="366" t="str">
        <f>IF($F260="","",TRIM(IF(ISERROR(MATCH($D260,科目表!$K$5:$K$40,0)),"科目未登録 ","")&amp;IF($G260="","状態未設定 ","")&amp;IF(AND(OR($G260="確認済",$G260="未確認"),$B260="通常",OR($C260="",$C260&lt;DATE(年度+2018,4,1),$C260&gt;DATE(年度+2019,3,31))),"年度外の日付 ","")))</f>
        <v/>
      </c>
      <c r="K260" s="366" t="n"/>
    </row>
    <row r="261">
      <c r="A261" s="359" t="n"/>
      <c r="B261" s="360" t="n"/>
      <c r="C261" s="361" t="n"/>
      <c r="D261" s="362" t="n"/>
      <c r="E261" s="362" t="n"/>
      <c r="F261" s="363" t="n"/>
      <c r="G261" s="360" t="n"/>
      <c r="H261" s="359" t="str">
        <f>IF(OR($F261="",$C261=""),"",IF($B261="決算整理",13,MOD(MONTH($C261)-4,12)+1))</f>
        <v/>
      </c>
      <c r="I261" s="364" t="str">
        <f>IF(OR($F261="",$D261=""),"",IFERROR(INDEX(費用収益表_貸付!$S$1:$S$60,VLOOKUP($D261,科目表!$K$5:$L$40,2,FALSE))-SUMIFS($F$5:$F261,$D$5:$D261,$D261),"?"))</f>
        <v/>
      </c>
      <c r="J261" s="366" t="str">
        <f>IF($F261="","",TRIM(IF(ISERROR(MATCH($D261,科目表!$K$5:$K$40,0)),"科目未登録 ","")&amp;IF($G261="","状態未設定 ","")&amp;IF(AND(OR($G261="確認済",$G261="未確認"),$B261="通常",OR($C261="",$C261&lt;DATE(年度+2018,4,1),$C261&gt;DATE(年度+2019,3,31))),"年度外の日付 ","")))</f>
        <v/>
      </c>
      <c r="K261" s="366" t="n"/>
    </row>
    <row r="262">
      <c r="A262" s="359" t="n"/>
      <c r="B262" s="360" t="n"/>
      <c r="C262" s="361" t="n"/>
      <c r="D262" s="362" t="n"/>
      <c r="E262" s="362" t="n"/>
      <c r="F262" s="363" t="n"/>
      <c r="G262" s="360" t="n"/>
      <c r="H262" s="359" t="str">
        <f>IF(OR($F262="",$C262=""),"",IF($B262="決算整理",13,MOD(MONTH($C262)-4,12)+1))</f>
        <v/>
      </c>
      <c r="I262" s="364" t="str">
        <f>IF(OR($F262="",$D262=""),"",IFERROR(INDEX(費用収益表_貸付!$S$1:$S$60,VLOOKUP($D262,科目表!$K$5:$L$40,2,FALSE))-SUMIFS($F$5:$F262,$D$5:$D262,$D262),"?"))</f>
        <v/>
      </c>
      <c r="J262" s="366" t="str">
        <f>IF($F262="","",TRIM(IF(ISERROR(MATCH($D262,科目表!$K$5:$K$40,0)),"科目未登録 ","")&amp;IF($G262="","状態未設定 ","")&amp;IF(AND(OR($G262="確認済",$G262="未確認"),$B262="通常",OR($C262="",$C262&lt;DATE(年度+2018,4,1),$C262&gt;DATE(年度+2019,3,31))),"年度外の日付 ","")))</f>
        <v/>
      </c>
      <c r="K262" s="366" t="n"/>
    </row>
    <row r="263">
      <c r="A263" s="359" t="n"/>
      <c r="B263" s="360" t="n"/>
      <c r="C263" s="361" t="n"/>
      <c r="D263" s="362" t="n"/>
      <c r="E263" s="362" t="n"/>
      <c r="F263" s="363" t="n"/>
      <c r="G263" s="360" t="n"/>
      <c r="H263" s="359" t="str">
        <f>IF(OR($F263="",$C263=""),"",IF($B263="決算整理",13,MOD(MONTH($C263)-4,12)+1))</f>
        <v/>
      </c>
      <c r="I263" s="364" t="str">
        <f>IF(OR($F263="",$D263=""),"",IFERROR(INDEX(費用収益表_貸付!$S$1:$S$60,VLOOKUP($D263,科目表!$K$5:$L$40,2,FALSE))-SUMIFS($F$5:$F263,$D$5:$D263,$D263),"?"))</f>
        <v/>
      </c>
      <c r="J263" s="366" t="str">
        <f>IF($F263="","",TRIM(IF(ISERROR(MATCH($D263,科目表!$K$5:$K$40,0)),"科目未登録 ","")&amp;IF($G263="","状態未設定 ","")&amp;IF(AND(OR($G263="確認済",$G263="未確認"),$B263="通常",OR($C263="",$C263&lt;DATE(年度+2018,4,1),$C263&gt;DATE(年度+2019,3,31))),"年度外の日付 ","")))</f>
        <v/>
      </c>
      <c r="K263" s="366" t="n"/>
    </row>
    <row r="264">
      <c r="A264" s="359" t="n"/>
      <c r="B264" s="360" t="n"/>
      <c r="C264" s="361" t="n"/>
      <c r="D264" s="362" t="n"/>
      <c r="E264" s="362" t="n"/>
      <c r="F264" s="363" t="n"/>
      <c r="G264" s="360" t="n"/>
      <c r="H264" s="359" t="str">
        <f>IF(OR($F264="",$C264=""),"",IF($B264="決算整理",13,MOD(MONTH($C264)-4,12)+1))</f>
        <v/>
      </c>
      <c r="I264" s="364" t="str">
        <f>IF(OR($F264="",$D264=""),"",IFERROR(INDEX(費用収益表_貸付!$S$1:$S$60,VLOOKUP($D264,科目表!$K$5:$L$40,2,FALSE))-SUMIFS($F$5:$F264,$D$5:$D264,$D264),"?"))</f>
        <v/>
      </c>
      <c r="J264" s="366" t="str">
        <f>IF($F264="","",TRIM(IF(ISERROR(MATCH($D264,科目表!$K$5:$K$40,0)),"科目未登録 ","")&amp;IF($G264="","状態未設定 ","")&amp;IF(AND(OR($G264="確認済",$G264="未確認"),$B264="通常",OR($C264="",$C264&lt;DATE(年度+2018,4,1),$C264&gt;DATE(年度+2019,3,31))),"年度外の日付 ","")))</f>
        <v/>
      </c>
      <c r="K264" s="366" t="n"/>
    </row>
    <row r="265">
      <c r="A265" s="359" t="n"/>
      <c r="B265" s="360" t="n"/>
      <c r="C265" s="361" t="n"/>
      <c r="D265" s="362" t="n"/>
      <c r="E265" s="362" t="n"/>
      <c r="F265" s="363" t="n"/>
      <c r="G265" s="360" t="n"/>
      <c r="H265" s="359" t="str">
        <f>IF(OR($F265="",$C265=""),"",IF($B265="決算整理",13,MOD(MONTH($C265)-4,12)+1))</f>
        <v/>
      </c>
      <c r="I265" s="364" t="str">
        <f>IF(OR($F265="",$D265=""),"",IFERROR(INDEX(費用収益表_貸付!$S$1:$S$60,VLOOKUP($D265,科目表!$K$5:$L$40,2,FALSE))-SUMIFS($F$5:$F265,$D$5:$D265,$D265),"?"))</f>
        <v/>
      </c>
      <c r="J265" s="366" t="str">
        <f>IF($F265="","",TRIM(IF(ISERROR(MATCH($D265,科目表!$K$5:$K$40,0)),"科目未登録 ","")&amp;IF($G265="","状態未設定 ","")&amp;IF(AND(OR($G265="確認済",$G265="未確認"),$B265="通常",OR($C265="",$C265&lt;DATE(年度+2018,4,1),$C265&gt;DATE(年度+2019,3,31))),"年度外の日付 ","")))</f>
        <v/>
      </c>
      <c r="K265" s="366" t="n"/>
    </row>
    <row r="266">
      <c r="A266" s="359" t="n"/>
      <c r="B266" s="360" t="n"/>
      <c r="C266" s="361" t="n"/>
      <c r="D266" s="362" t="n"/>
      <c r="E266" s="362" t="n"/>
      <c r="F266" s="363" t="n"/>
      <c r="G266" s="360" t="n"/>
      <c r="H266" s="359" t="str">
        <f>IF(OR($F266="",$C266=""),"",IF($B266="決算整理",13,MOD(MONTH($C266)-4,12)+1))</f>
        <v/>
      </c>
      <c r="I266" s="364" t="str">
        <f>IF(OR($F266="",$D266=""),"",IFERROR(INDEX(費用収益表_貸付!$S$1:$S$60,VLOOKUP($D266,科目表!$K$5:$L$40,2,FALSE))-SUMIFS($F$5:$F266,$D$5:$D266,$D266),"?"))</f>
        <v/>
      </c>
      <c r="J266" s="366" t="str">
        <f>IF($F266="","",TRIM(IF(ISERROR(MATCH($D266,科目表!$K$5:$K$40,0)),"科目未登録 ","")&amp;IF($G266="","状態未設定 ","")&amp;IF(AND(OR($G266="確認済",$G266="未確認"),$B266="通常",OR($C266="",$C266&lt;DATE(年度+2018,4,1),$C266&gt;DATE(年度+2019,3,31))),"年度外の日付 ","")))</f>
        <v/>
      </c>
      <c r="K266" s="366" t="n"/>
    </row>
    <row r="267">
      <c r="A267" s="359" t="n"/>
      <c r="B267" s="360" t="n"/>
      <c r="C267" s="361" t="n"/>
      <c r="D267" s="362" t="n"/>
      <c r="E267" s="362" t="n"/>
      <c r="F267" s="363" t="n"/>
      <c r="G267" s="360" t="n"/>
      <c r="H267" s="359" t="str">
        <f>IF(OR($F267="",$C267=""),"",IF($B267="決算整理",13,MOD(MONTH($C267)-4,12)+1))</f>
        <v/>
      </c>
      <c r="I267" s="364" t="str">
        <f>IF(OR($F267="",$D267=""),"",IFERROR(INDEX(費用収益表_貸付!$S$1:$S$60,VLOOKUP($D267,科目表!$K$5:$L$40,2,FALSE))-SUMIFS($F$5:$F267,$D$5:$D267,$D267),"?"))</f>
        <v/>
      </c>
      <c r="J267" s="366" t="str">
        <f>IF($F267="","",TRIM(IF(ISERROR(MATCH($D267,科目表!$K$5:$K$40,0)),"科目未登録 ","")&amp;IF($G267="","状態未設定 ","")&amp;IF(AND(OR($G267="確認済",$G267="未確認"),$B267="通常",OR($C267="",$C267&lt;DATE(年度+2018,4,1),$C267&gt;DATE(年度+2019,3,31))),"年度外の日付 ","")))</f>
        <v/>
      </c>
      <c r="K267" s="366" t="n"/>
    </row>
    <row r="268">
      <c r="A268" s="359" t="n"/>
      <c r="B268" s="360" t="n"/>
      <c r="C268" s="361" t="n"/>
      <c r="D268" s="362" t="n"/>
      <c r="E268" s="362" t="n"/>
      <c r="F268" s="363" t="n"/>
      <c r="G268" s="360" t="n"/>
      <c r="H268" s="359" t="str">
        <f>IF(OR($F268="",$C268=""),"",IF($B268="決算整理",13,MOD(MONTH($C268)-4,12)+1))</f>
        <v/>
      </c>
      <c r="I268" s="364" t="str">
        <f>IF(OR($F268="",$D268=""),"",IFERROR(INDEX(費用収益表_貸付!$S$1:$S$60,VLOOKUP($D268,科目表!$K$5:$L$40,2,FALSE))-SUMIFS($F$5:$F268,$D$5:$D268,$D268),"?"))</f>
        <v/>
      </c>
      <c r="J268" s="366" t="str">
        <f>IF($F268="","",TRIM(IF(ISERROR(MATCH($D268,科目表!$K$5:$K$40,0)),"科目未登録 ","")&amp;IF($G268="","状態未設定 ","")&amp;IF(AND(OR($G268="確認済",$G268="未確認"),$B268="通常",OR($C268="",$C268&lt;DATE(年度+2018,4,1),$C268&gt;DATE(年度+2019,3,31))),"年度外の日付 ","")))</f>
        <v/>
      </c>
      <c r="K268" s="366" t="n"/>
    </row>
    <row r="269">
      <c r="A269" s="359" t="n"/>
      <c r="B269" s="360" t="n"/>
      <c r="C269" s="361" t="n"/>
      <c r="D269" s="362" t="n"/>
      <c r="E269" s="362" t="n"/>
      <c r="F269" s="363" t="n"/>
      <c r="G269" s="360" t="n"/>
      <c r="H269" s="359" t="str">
        <f>IF(OR($F269="",$C269=""),"",IF($B269="決算整理",13,MOD(MONTH($C269)-4,12)+1))</f>
        <v/>
      </c>
      <c r="I269" s="364" t="str">
        <f>IF(OR($F269="",$D269=""),"",IFERROR(INDEX(費用収益表_貸付!$S$1:$S$60,VLOOKUP($D269,科目表!$K$5:$L$40,2,FALSE))-SUMIFS($F$5:$F269,$D$5:$D269,$D269),"?"))</f>
        <v/>
      </c>
      <c r="J269" s="366" t="str">
        <f>IF($F269="","",TRIM(IF(ISERROR(MATCH($D269,科目表!$K$5:$K$40,0)),"科目未登録 ","")&amp;IF($G269="","状態未設定 ","")&amp;IF(AND(OR($G269="確認済",$G269="未確認"),$B269="通常",OR($C269="",$C269&lt;DATE(年度+2018,4,1),$C269&gt;DATE(年度+2019,3,31))),"年度外の日付 ","")))</f>
        <v/>
      </c>
      <c r="K269" s="366" t="n"/>
    </row>
    <row r="270">
      <c r="A270" s="359" t="n"/>
      <c r="B270" s="360" t="n"/>
      <c r="C270" s="361" t="n"/>
      <c r="D270" s="362" t="n"/>
      <c r="E270" s="362" t="n"/>
      <c r="F270" s="363" t="n"/>
      <c r="G270" s="360" t="n"/>
      <c r="H270" s="359" t="str">
        <f>IF(OR($F270="",$C270=""),"",IF($B270="決算整理",13,MOD(MONTH($C270)-4,12)+1))</f>
        <v/>
      </c>
      <c r="I270" s="364" t="str">
        <f>IF(OR($F270="",$D270=""),"",IFERROR(INDEX(費用収益表_貸付!$S$1:$S$60,VLOOKUP($D270,科目表!$K$5:$L$40,2,FALSE))-SUMIFS($F$5:$F270,$D$5:$D270,$D270),"?"))</f>
        <v/>
      </c>
      <c r="J270" s="366" t="str">
        <f>IF($F270="","",TRIM(IF(ISERROR(MATCH($D270,科目表!$K$5:$K$40,0)),"科目未登録 ","")&amp;IF($G270="","状態未設定 ","")&amp;IF(AND(OR($G270="確認済",$G270="未確認"),$B270="通常",OR($C270="",$C270&lt;DATE(年度+2018,4,1),$C270&gt;DATE(年度+2019,3,31))),"年度外の日付 ","")))</f>
        <v/>
      </c>
      <c r="K270" s="366" t="n"/>
    </row>
    <row r="271">
      <c r="A271" s="359" t="n"/>
      <c r="B271" s="360" t="n"/>
      <c r="C271" s="361" t="n"/>
      <c r="D271" s="362" t="n"/>
      <c r="E271" s="362" t="n"/>
      <c r="F271" s="363" t="n"/>
      <c r="G271" s="360" t="n"/>
      <c r="H271" s="359" t="str">
        <f>IF(OR($F271="",$C271=""),"",IF($B271="決算整理",13,MOD(MONTH($C271)-4,12)+1))</f>
        <v/>
      </c>
      <c r="I271" s="364" t="str">
        <f>IF(OR($F271="",$D271=""),"",IFERROR(INDEX(費用収益表_貸付!$S$1:$S$60,VLOOKUP($D271,科目表!$K$5:$L$40,2,FALSE))-SUMIFS($F$5:$F271,$D$5:$D271,$D271),"?"))</f>
        <v/>
      </c>
      <c r="J271" s="366" t="str">
        <f>IF($F271="","",TRIM(IF(ISERROR(MATCH($D271,科目表!$K$5:$K$40,0)),"科目未登録 ","")&amp;IF($G271="","状態未設定 ","")&amp;IF(AND(OR($G271="確認済",$G271="未確認"),$B271="通常",OR($C271="",$C271&lt;DATE(年度+2018,4,1),$C271&gt;DATE(年度+2019,3,31))),"年度外の日付 ","")))</f>
        <v/>
      </c>
      <c r="K271" s="366" t="n"/>
    </row>
    <row r="272">
      <c r="A272" s="359" t="n"/>
      <c r="B272" s="360" t="n"/>
      <c r="C272" s="361" t="n"/>
      <c r="D272" s="362" t="n"/>
      <c r="E272" s="362" t="n"/>
      <c r="F272" s="363" t="n"/>
      <c r="G272" s="360" t="n"/>
      <c r="H272" s="359" t="str">
        <f>IF(OR($F272="",$C272=""),"",IF($B272="決算整理",13,MOD(MONTH($C272)-4,12)+1))</f>
        <v/>
      </c>
      <c r="I272" s="364" t="str">
        <f>IF(OR($F272="",$D272=""),"",IFERROR(INDEX(費用収益表_貸付!$S$1:$S$60,VLOOKUP($D272,科目表!$K$5:$L$40,2,FALSE))-SUMIFS($F$5:$F272,$D$5:$D272,$D272),"?"))</f>
        <v/>
      </c>
      <c r="J272" s="366" t="str">
        <f>IF($F272="","",TRIM(IF(ISERROR(MATCH($D272,科目表!$K$5:$K$40,0)),"科目未登録 ","")&amp;IF($G272="","状態未設定 ","")&amp;IF(AND(OR($G272="確認済",$G272="未確認"),$B272="通常",OR($C272="",$C272&lt;DATE(年度+2018,4,1),$C272&gt;DATE(年度+2019,3,31))),"年度外の日付 ","")))</f>
        <v/>
      </c>
      <c r="K272" s="366" t="n"/>
    </row>
    <row r="273">
      <c r="A273" s="359" t="n"/>
      <c r="B273" s="360" t="n"/>
      <c r="C273" s="361" t="n"/>
      <c r="D273" s="362" t="n"/>
      <c r="E273" s="362" t="n"/>
      <c r="F273" s="363" t="n"/>
      <c r="G273" s="360" t="n"/>
      <c r="H273" s="359" t="str">
        <f>IF(OR($F273="",$C273=""),"",IF($B273="決算整理",13,MOD(MONTH($C273)-4,12)+1))</f>
        <v/>
      </c>
      <c r="I273" s="364" t="str">
        <f>IF(OR($F273="",$D273=""),"",IFERROR(INDEX(費用収益表_貸付!$S$1:$S$60,VLOOKUP($D273,科目表!$K$5:$L$40,2,FALSE))-SUMIFS($F$5:$F273,$D$5:$D273,$D273),"?"))</f>
        <v/>
      </c>
      <c r="J273" s="366" t="str">
        <f>IF($F273="","",TRIM(IF(ISERROR(MATCH($D273,科目表!$K$5:$K$40,0)),"科目未登録 ","")&amp;IF($G273="","状態未設定 ","")&amp;IF(AND(OR($G273="確認済",$G273="未確認"),$B273="通常",OR($C273="",$C273&lt;DATE(年度+2018,4,1),$C273&gt;DATE(年度+2019,3,31))),"年度外の日付 ","")))</f>
        <v/>
      </c>
      <c r="K273" s="366" t="n"/>
    </row>
    <row r="274">
      <c r="A274" s="359" t="n"/>
      <c r="B274" s="360" t="n"/>
      <c r="C274" s="361" t="n"/>
      <c r="D274" s="362" t="n"/>
      <c r="E274" s="362" t="n"/>
      <c r="F274" s="363" t="n"/>
      <c r="G274" s="360" t="n"/>
      <c r="H274" s="359" t="str">
        <f>IF(OR($F274="",$C274=""),"",IF($B274="決算整理",13,MOD(MONTH($C274)-4,12)+1))</f>
        <v/>
      </c>
      <c r="I274" s="364" t="str">
        <f>IF(OR($F274="",$D274=""),"",IFERROR(INDEX(費用収益表_貸付!$S$1:$S$60,VLOOKUP($D274,科目表!$K$5:$L$40,2,FALSE))-SUMIFS($F$5:$F274,$D$5:$D274,$D274),"?"))</f>
        <v/>
      </c>
      <c r="J274" s="366" t="str">
        <f>IF($F274="","",TRIM(IF(ISERROR(MATCH($D274,科目表!$K$5:$K$40,0)),"科目未登録 ","")&amp;IF($G274="","状態未設定 ","")&amp;IF(AND(OR($G274="確認済",$G274="未確認"),$B274="通常",OR($C274="",$C274&lt;DATE(年度+2018,4,1),$C274&gt;DATE(年度+2019,3,31))),"年度外の日付 ","")))</f>
        <v/>
      </c>
      <c r="K274" s="366" t="n"/>
    </row>
    <row r="275">
      <c r="A275" s="359" t="n"/>
      <c r="B275" s="360" t="n"/>
      <c r="C275" s="361" t="n"/>
      <c r="D275" s="362" t="n"/>
      <c r="E275" s="362" t="n"/>
      <c r="F275" s="363" t="n"/>
      <c r="G275" s="360" t="n"/>
      <c r="H275" s="359" t="str">
        <f>IF(OR($F275="",$C275=""),"",IF($B275="決算整理",13,MOD(MONTH($C275)-4,12)+1))</f>
        <v/>
      </c>
      <c r="I275" s="364" t="str">
        <f>IF(OR($F275="",$D275=""),"",IFERROR(INDEX(費用収益表_貸付!$S$1:$S$60,VLOOKUP($D275,科目表!$K$5:$L$40,2,FALSE))-SUMIFS($F$5:$F275,$D$5:$D275,$D275),"?"))</f>
        <v/>
      </c>
      <c r="J275" s="366" t="str">
        <f>IF($F275="","",TRIM(IF(ISERROR(MATCH($D275,科目表!$K$5:$K$40,0)),"科目未登録 ","")&amp;IF($G275="","状態未設定 ","")&amp;IF(AND(OR($G275="確認済",$G275="未確認"),$B275="通常",OR($C275="",$C275&lt;DATE(年度+2018,4,1),$C275&gt;DATE(年度+2019,3,31))),"年度外の日付 ","")))</f>
        <v/>
      </c>
      <c r="K275" s="366" t="n"/>
    </row>
    <row r="276">
      <c r="A276" s="359" t="n"/>
      <c r="B276" s="360" t="n"/>
      <c r="C276" s="361" t="n"/>
      <c r="D276" s="362" t="n"/>
      <c r="E276" s="362" t="n"/>
      <c r="F276" s="363" t="n"/>
      <c r="G276" s="360" t="n"/>
      <c r="H276" s="359" t="str">
        <f>IF(OR($F276="",$C276=""),"",IF($B276="決算整理",13,MOD(MONTH($C276)-4,12)+1))</f>
        <v/>
      </c>
      <c r="I276" s="364" t="str">
        <f>IF(OR($F276="",$D276=""),"",IFERROR(INDEX(費用収益表_貸付!$S$1:$S$60,VLOOKUP($D276,科目表!$K$5:$L$40,2,FALSE))-SUMIFS($F$5:$F276,$D$5:$D276,$D276),"?"))</f>
        <v/>
      </c>
      <c r="J276" s="366" t="str">
        <f>IF($F276="","",TRIM(IF(ISERROR(MATCH($D276,科目表!$K$5:$K$40,0)),"科目未登録 ","")&amp;IF($G276="","状態未設定 ","")&amp;IF(AND(OR($G276="確認済",$G276="未確認"),$B276="通常",OR($C276="",$C276&lt;DATE(年度+2018,4,1),$C276&gt;DATE(年度+2019,3,31))),"年度外の日付 ","")))</f>
        <v/>
      </c>
      <c r="K276" s="366" t="n"/>
    </row>
    <row r="277">
      <c r="A277" s="359" t="n"/>
      <c r="B277" s="360" t="n"/>
      <c r="C277" s="361" t="n"/>
      <c r="D277" s="362" t="n"/>
      <c r="E277" s="362" t="n"/>
      <c r="F277" s="363" t="n"/>
      <c r="G277" s="360" t="n"/>
      <c r="H277" s="359" t="str">
        <f>IF(OR($F277="",$C277=""),"",IF($B277="決算整理",13,MOD(MONTH($C277)-4,12)+1))</f>
        <v/>
      </c>
      <c r="I277" s="364" t="str">
        <f>IF(OR($F277="",$D277=""),"",IFERROR(INDEX(費用収益表_貸付!$S$1:$S$60,VLOOKUP($D277,科目表!$K$5:$L$40,2,FALSE))-SUMIFS($F$5:$F277,$D$5:$D277,$D277),"?"))</f>
        <v/>
      </c>
      <c r="J277" s="366" t="str">
        <f>IF($F277="","",TRIM(IF(ISERROR(MATCH($D277,科目表!$K$5:$K$40,0)),"科目未登録 ","")&amp;IF($G277="","状態未設定 ","")&amp;IF(AND(OR($G277="確認済",$G277="未確認"),$B277="通常",OR($C277="",$C277&lt;DATE(年度+2018,4,1),$C277&gt;DATE(年度+2019,3,31))),"年度外の日付 ","")))</f>
        <v/>
      </c>
      <c r="K277" s="366" t="n"/>
    </row>
    <row r="278">
      <c r="A278" s="359" t="n"/>
      <c r="B278" s="360" t="n"/>
      <c r="C278" s="361" t="n"/>
      <c r="D278" s="362" t="n"/>
      <c r="E278" s="362" t="n"/>
      <c r="F278" s="363" t="n"/>
      <c r="G278" s="360" t="n"/>
      <c r="H278" s="359" t="str">
        <f>IF(OR($F278="",$C278=""),"",IF($B278="決算整理",13,MOD(MONTH($C278)-4,12)+1))</f>
        <v/>
      </c>
      <c r="I278" s="364" t="str">
        <f>IF(OR($F278="",$D278=""),"",IFERROR(INDEX(費用収益表_貸付!$S$1:$S$60,VLOOKUP($D278,科目表!$K$5:$L$40,2,FALSE))-SUMIFS($F$5:$F278,$D$5:$D278,$D278),"?"))</f>
        <v/>
      </c>
      <c r="J278" s="366" t="str">
        <f>IF($F278="","",TRIM(IF(ISERROR(MATCH($D278,科目表!$K$5:$K$40,0)),"科目未登録 ","")&amp;IF($G278="","状態未設定 ","")&amp;IF(AND(OR($G278="確認済",$G278="未確認"),$B278="通常",OR($C278="",$C278&lt;DATE(年度+2018,4,1),$C278&gt;DATE(年度+2019,3,31))),"年度外の日付 ","")))</f>
        <v/>
      </c>
      <c r="K278" s="366" t="n"/>
    </row>
    <row r="279">
      <c r="A279" s="359" t="n"/>
      <c r="B279" s="360" t="n"/>
      <c r="C279" s="361" t="n"/>
      <c r="D279" s="362" t="n"/>
      <c r="E279" s="362" t="n"/>
      <c r="F279" s="363" t="n"/>
      <c r="G279" s="360" t="n"/>
      <c r="H279" s="359" t="str">
        <f>IF(OR($F279="",$C279=""),"",IF($B279="決算整理",13,MOD(MONTH($C279)-4,12)+1))</f>
        <v/>
      </c>
      <c r="I279" s="364" t="str">
        <f>IF(OR($F279="",$D279=""),"",IFERROR(INDEX(費用収益表_貸付!$S$1:$S$60,VLOOKUP($D279,科目表!$K$5:$L$40,2,FALSE))-SUMIFS($F$5:$F279,$D$5:$D279,$D279),"?"))</f>
        <v/>
      </c>
      <c r="J279" s="366" t="str">
        <f>IF($F279="","",TRIM(IF(ISERROR(MATCH($D279,科目表!$K$5:$K$40,0)),"科目未登録 ","")&amp;IF($G279="","状態未設定 ","")&amp;IF(AND(OR($G279="確認済",$G279="未確認"),$B279="通常",OR($C279="",$C279&lt;DATE(年度+2018,4,1),$C279&gt;DATE(年度+2019,3,31))),"年度外の日付 ","")))</f>
        <v/>
      </c>
      <c r="K279" s="366" t="n"/>
    </row>
    <row r="280">
      <c r="A280" s="359" t="n"/>
      <c r="B280" s="360" t="n"/>
      <c r="C280" s="361" t="n"/>
      <c r="D280" s="362" t="n"/>
      <c r="E280" s="362" t="n"/>
      <c r="F280" s="363" t="n"/>
      <c r="G280" s="360" t="n"/>
      <c r="H280" s="359" t="str">
        <f>IF(OR($F280="",$C280=""),"",IF($B280="決算整理",13,MOD(MONTH($C280)-4,12)+1))</f>
        <v/>
      </c>
      <c r="I280" s="364" t="str">
        <f>IF(OR($F280="",$D280=""),"",IFERROR(INDEX(費用収益表_貸付!$S$1:$S$60,VLOOKUP($D280,科目表!$K$5:$L$40,2,FALSE))-SUMIFS($F$5:$F280,$D$5:$D280,$D280),"?"))</f>
        <v/>
      </c>
      <c r="J280" s="366" t="str">
        <f>IF($F280="","",TRIM(IF(ISERROR(MATCH($D280,科目表!$K$5:$K$40,0)),"科目未登録 ","")&amp;IF($G280="","状態未設定 ","")&amp;IF(AND(OR($G280="確認済",$G280="未確認"),$B280="通常",OR($C280="",$C280&lt;DATE(年度+2018,4,1),$C280&gt;DATE(年度+2019,3,31))),"年度外の日付 ","")))</f>
        <v/>
      </c>
      <c r="K280" s="366" t="n"/>
    </row>
    <row r="281">
      <c r="A281" s="359" t="n"/>
      <c r="B281" s="360" t="n"/>
      <c r="C281" s="361" t="n"/>
      <c r="D281" s="362" t="n"/>
      <c r="E281" s="362" t="n"/>
      <c r="F281" s="363" t="n"/>
      <c r="G281" s="360" t="n"/>
      <c r="H281" s="359" t="str">
        <f>IF(OR($F281="",$C281=""),"",IF($B281="決算整理",13,MOD(MONTH($C281)-4,12)+1))</f>
        <v/>
      </c>
      <c r="I281" s="364" t="str">
        <f>IF(OR($F281="",$D281=""),"",IFERROR(INDEX(費用収益表_貸付!$S$1:$S$60,VLOOKUP($D281,科目表!$K$5:$L$40,2,FALSE))-SUMIFS($F$5:$F281,$D$5:$D281,$D281),"?"))</f>
        <v/>
      </c>
      <c r="J281" s="366" t="str">
        <f>IF($F281="","",TRIM(IF(ISERROR(MATCH($D281,科目表!$K$5:$K$40,0)),"科目未登録 ","")&amp;IF($G281="","状態未設定 ","")&amp;IF(AND(OR($G281="確認済",$G281="未確認"),$B281="通常",OR($C281="",$C281&lt;DATE(年度+2018,4,1),$C281&gt;DATE(年度+2019,3,31))),"年度外の日付 ","")))</f>
        <v/>
      </c>
      <c r="K281" s="366" t="n"/>
    </row>
    <row r="282">
      <c r="A282" s="359" t="n"/>
      <c r="B282" s="360" t="n"/>
      <c r="C282" s="361" t="n"/>
      <c r="D282" s="362" t="n"/>
      <c r="E282" s="362" t="n"/>
      <c r="F282" s="363" t="n"/>
      <c r="G282" s="360" t="n"/>
      <c r="H282" s="359" t="str">
        <f>IF(OR($F282="",$C282=""),"",IF($B282="決算整理",13,MOD(MONTH($C282)-4,12)+1))</f>
        <v/>
      </c>
      <c r="I282" s="364" t="str">
        <f>IF(OR($F282="",$D282=""),"",IFERROR(INDEX(費用収益表_貸付!$S$1:$S$60,VLOOKUP($D282,科目表!$K$5:$L$40,2,FALSE))-SUMIFS($F$5:$F282,$D$5:$D282,$D282),"?"))</f>
        <v/>
      </c>
      <c r="J282" s="366" t="str">
        <f>IF($F282="","",TRIM(IF(ISERROR(MATCH($D282,科目表!$K$5:$K$40,0)),"科目未登録 ","")&amp;IF($G282="","状態未設定 ","")&amp;IF(AND(OR($G282="確認済",$G282="未確認"),$B282="通常",OR($C282="",$C282&lt;DATE(年度+2018,4,1),$C282&gt;DATE(年度+2019,3,31))),"年度外の日付 ","")))</f>
        <v/>
      </c>
      <c r="K282" s="366" t="n"/>
    </row>
    <row r="283">
      <c r="A283" s="359" t="n"/>
      <c r="B283" s="360" t="n"/>
      <c r="C283" s="361" t="n"/>
      <c r="D283" s="362" t="n"/>
      <c r="E283" s="362" t="n"/>
      <c r="F283" s="363" t="n"/>
      <c r="G283" s="360" t="n"/>
      <c r="H283" s="359" t="str">
        <f>IF(OR($F283="",$C283=""),"",IF($B283="決算整理",13,MOD(MONTH($C283)-4,12)+1))</f>
        <v/>
      </c>
      <c r="I283" s="364" t="str">
        <f>IF(OR($F283="",$D283=""),"",IFERROR(INDEX(費用収益表_貸付!$S$1:$S$60,VLOOKUP($D283,科目表!$K$5:$L$40,2,FALSE))-SUMIFS($F$5:$F283,$D$5:$D283,$D283),"?"))</f>
        <v/>
      </c>
      <c r="J283" s="366" t="str">
        <f>IF($F283="","",TRIM(IF(ISERROR(MATCH($D283,科目表!$K$5:$K$40,0)),"科目未登録 ","")&amp;IF($G283="","状態未設定 ","")&amp;IF(AND(OR($G283="確認済",$G283="未確認"),$B283="通常",OR($C283="",$C283&lt;DATE(年度+2018,4,1),$C283&gt;DATE(年度+2019,3,31))),"年度外の日付 ","")))</f>
        <v/>
      </c>
      <c r="K283" s="366" t="n"/>
    </row>
    <row r="284">
      <c r="A284" s="359" t="n"/>
      <c r="B284" s="360" t="n"/>
      <c r="C284" s="361" t="n"/>
      <c r="D284" s="362" t="n"/>
      <c r="E284" s="362" t="n"/>
      <c r="F284" s="363" t="n"/>
      <c r="G284" s="360" t="n"/>
      <c r="H284" s="359" t="str">
        <f>IF(OR($F284="",$C284=""),"",IF($B284="決算整理",13,MOD(MONTH($C284)-4,12)+1))</f>
        <v/>
      </c>
      <c r="I284" s="364" t="str">
        <f>IF(OR($F284="",$D284=""),"",IFERROR(INDEX(費用収益表_貸付!$S$1:$S$60,VLOOKUP($D284,科目表!$K$5:$L$40,2,FALSE))-SUMIFS($F$5:$F284,$D$5:$D284,$D284),"?"))</f>
        <v/>
      </c>
      <c r="J284" s="366" t="str">
        <f>IF($F284="","",TRIM(IF(ISERROR(MATCH($D284,科目表!$K$5:$K$40,0)),"科目未登録 ","")&amp;IF($G284="","状態未設定 ","")&amp;IF(AND(OR($G284="確認済",$G284="未確認"),$B284="通常",OR($C284="",$C284&lt;DATE(年度+2018,4,1),$C284&gt;DATE(年度+2019,3,31))),"年度外の日付 ","")))</f>
        <v/>
      </c>
      <c r="K284" s="366" t="n"/>
    </row>
    <row r="285">
      <c r="A285" s="359" t="n"/>
      <c r="B285" s="360" t="n"/>
      <c r="C285" s="361" t="n"/>
      <c r="D285" s="362" t="n"/>
      <c r="E285" s="362" t="n"/>
      <c r="F285" s="363" t="n"/>
      <c r="G285" s="360" t="n"/>
      <c r="H285" s="359" t="str">
        <f>IF(OR($F285="",$C285=""),"",IF($B285="決算整理",13,MOD(MONTH($C285)-4,12)+1))</f>
        <v/>
      </c>
      <c r="I285" s="364" t="str">
        <f>IF(OR($F285="",$D285=""),"",IFERROR(INDEX(費用収益表_貸付!$S$1:$S$60,VLOOKUP($D285,科目表!$K$5:$L$40,2,FALSE))-SUMIFS($F$5:$F285,$D$5:$D285,$D285),"?"))</f>
        <v/>
      </c>
      <c r="J285" s="366" t="str">
        <f>IF($F285="","",TRIM(IF(ISERROR(MATCH($D285,科目表!$K$5:$K$40,0)),"科目未登録 ","")&amp;IF($G285="","状態未設定 ","")&amp;IF(AND(OR($G285="確認済",$G285="未確認"),$B285="通常",OR($C285="",$C285&lt;DATE(年度+2018,4,1),$C285&gt;DATE(年度+2019,3,31))),"年度外の日付 ","")))</f>
        <v/>
      </c>
      <c r="K285" s="366" t="n"/>
    </row>
    <row r="286">
      <c r="A286" s="359" t="n"/>
      <c r="B286" s="360" t="n"/>
      <c r="C286" s="361" t="n"/>
      <c r="D286" s="362" t="n"/>
      <c r="E286" s="362" t="n"/>
      <c r="F286" s="363" t="n"/>
      <c r="G286" s="360" t="n"/>
      <c r="H286" s="359" t="str">
        <f>IF(OR($F286="",$C286=""),"",IF($B286="決算整理",13,MOD(MONTH($C286)-4,12)+1))</f>
        <v/>
      </c>
      <c r="I286" s="364" t="str">
        <f>IF(OR($F286="",$D286=""),"",IFERROR(INDEX(費用収益表_貸付!$S$1:$S$60,VLOOKUP($D286,科目表!$K$5:$L$40,2,FALSE))-SUMIFS($F$5:$F286,$D$5:$D286,$D286),"?"))</f>
        <v/>
      </c>
      <c r="J286" s="366" t="str">
        <f>IF($F286="","",TRIM(IF(ISERROR(MATCH($D286,科目表!$K$5:$K$40,0)),"科目未登録 ","")&amp;IF($G286="","状態未設定 ","")&amp;IF(AND(OR($G286="確認済",$G286="未確認"),$B286="通常",OR($C286="",$C286&lt;DATE(年度+2018,4,1),$C286&gt;DATE(年度+2019,3,31))),"年度外の日付 ","")))</f>
        <v/>
      </c>
      <c r="K286" s="366" t="n"/>
    </row>
    <row r="287">
      <c r="A287" s="359" t="n"/>
      <c r="B287" s="360" t="n"/>
      <c r="C287" s="361" t="n"/>
      <c r="D287" s="362" t="n"/>
      <c r="E287" s="362" t="n"/>
      <c r="F287" s="363" t="n"/>
      <c r="G287" s="360" t="n"/>
      <c r="H287" s="359" t="str">
        <f>IF(OR($F287="",$C287=""),"",IF($B287="決算整理",13,MOD(MONTH($C287)-4,12)+1))</f>
        <v/>
      </c>
      <c r="I287" s="364" t="str">
        <f>IF(OR($F287="",$D287=""),"",IFERROR(INDEX(費用収益表_貸付!$S$1:$S$60,VLOOKUP($D287,科目表!$K$5:$L$40,2,FALSE))-SUMIFS($F$5:$F287,$D$5:$D287,$D287),"?"))</f>
        <v/>
      </c>
      <c r="J287" s="366" t="str">
        <f>IF($F287="","",TRIM(IF(ISERROR(MATCH($D287,科目表!$K$5:$K$40,0)),"科目未登録 ","")&amp;IF($G287="","状態未設定 ","")&amp;IF(AND(OR($G287="確認済",$G287="未確認"),$B287="通常",OR($C287="",$C287&lt;DATE(年度+2018,4,1),$C287&gt;DATE(年度+2019,3,31))),"年度外の日付 ","")))</f>
        <v/>
      </c>
      <c r="K287" s="366" t="n"/>
    </row>
    <row r="288">
      <c r="A288" s="359" t="n"/>
      <c r="B288" s="360" t="n"/>
      <c r="C288" s="361" t="n"/>
      <c r="D288" s="362" t="n"/>
      <c r="E288" s="362" t="n"/>
      <c r="F288" s="363" t="n"/>
      <c r="G288" s="360" t="n"/>
      <c r="H288" s="359" t="str">
        <f>IF(OR($F288="",$C288=""),"",IF($B288="決算整理",13,MOD(MONTH($C288)-4,12)+1))</f>
        <v/>
      </c>
      <c r="I288" s="364" t="str">
        <f>IF(OR($F288="",$D288=""),"",IFERROR(INDEX(費用収益表_貸付!$S$1:$S$60,VLOOKUP($D288,科目表!$K$5:$L$40,2,FALSE))-SUMIFS($F$5:$F288,$D$5:$D288,$D288),"?"))</f>
        <v/>
      </c>
      <c r="J288" s="366" t="str">
        <f>IF($F288="","",TRIM(IF(ISERROR(MATCH($D288,科目表!$K$5:$K$40,0)),"科目未登録 ","")&amp;IF($G288="","状態未設定 ","")&amp;IF(AND(OR($G288="確認済",$G288="未確認"),$B288="通常",OR($C288="",$C288&lt;DATE(年度+2018,4,1),$C288&gt;DATE(年度+2019,3,31))),"年度外の日付 ","")))</f>
        <v/>
      </c>
      <c r="K288" s="366" t="n"/>
    </row>
    <row r="289">
      <c r="A289" s="359" t="n"/>
      <c r="B289" s="360" t="n"/>
      <c r="C289" s="361" t="n"/>
      <c r="D289" s="362" t="n"/>
      <c r="E289" s="362" t="n"/>
      <c r="F289" s="363" t="n"/>
      <c r="G289" s="360" t="n"/>
      <c r="H289" s="359" t="str">
        <f>IF(OR($F289="",$C289=""),"",IF($B289="決算整理",13,MOD(MONTH($C289)-4,12)+1))</f>
        <v/>
      </c>
      <c r="I289" s="364" t="str">
        <f>IF(OR($F289="",$D289=""),"",IFERROR(INDEX(費用収益表_貸付!$S$1:$S$60,VLOOKUP($D289,科目表!$K$5:$L$40,2,FALSE))-SUMIFS($F$5:$F289,$D$5:$D289,$D289),"?"))</f>
        <v/>
      </c>
      <c r="J289" s="366" t="str">
        <f>IF($F289="","",TRIM(IF(ISERROR(MATCH($D289,科目表!$K$5:$K$40,0)),"科目未登録 ","")&amp;IF($G289="","状態未設定 ","")&amp;IF(AND(OR($G289="確認済",$G289="未確認"),$B289="通常",OR($C289="",$C289&lt;DATE(年度+2018,4,1),$C289&gt;DATE(年度+2019,3,31))),"年度外の日付 ","")))</f>
        <v/>
      </c>
      <c r="K289" s="366" t="n"/>
    </row>
    <row r="290">
      <c r="A290" s="359" t="n"/>
      <c r="B290" s="360" t="n"/>
      <c r="C290" s="361" t="n"/>
      <c r="D290" s="362" t="n"/>
      <c r="E290" s="362" t="n"/>
      <c r="F290" s="363" t="n"/>
      <c r="G290" s="360" t="n"/>
      <c r="H290" s="359" t="str">
        <f>IF(OR($F290="",$C290=""),"",IF($B290="決算整理",13,MOD(MONTH($C290)-4,12)+1))</f>
        <v/>
      </c>
      <c r="I290" s="364" t="str">
        <f>IF(OR($F290="",$D290=""),"",IFERROR(INDEX(費用収益表_貸付!$S$1:$S$60,VLOOKUP($D290,科目表!$K$5:$L$40,2,FALSE))-SUMIFS($F$5:$F290,$D$5:$D290,$D290),"?"))</f>
        <v/>
      </c>
      <c r="J290" s="366" t="str">
        <f>IF($F290="","",TRIM(IF(ISERROR(MATCH($D290,科目表!$K$5:$K$40,0)),"科目未登録 ","")&amp;IF($G290="","状態未設定 ","")&amp;IF(AND(OR($G290="確認済",$G290="未確認"),$B290="通常",OR($C290="",$C290&lt;DATE(年度+2018,4,1),$C290&gt;DATE(年度+2019,3,31))),"年度外の日付 ","")))</f>
        <v/>
      </c>
      <c r="K290" s="366" t="n"/>
    </row>
    <row r="291">
      <c r="A291" s="359" t="n"/>
      <c r="B291" s="360" t="n"/>
      <c r="C291" s="361" t="n"/>
      <c r="D291" s="362" t="n"/>
      <c r="E291" s="362" t="n"/>
      <c r="F291" s="363" t="n"/>
      <c r="G291" s="360" t="n"/>
      <c r="H291" s="359" t="str">
        <f>IF(OR($F291="",$C291=""),"",IF($B291="決算整理",13,MOD(MONTH($C291)-4,12)+1))</f>
        <v/>
      </c>
      <c r="I291" s="364" t="str">
        <f>IF(OR($F291="",$D291=""),"",IFERROR(INDEX(費用収益表_貸付!$S$1:$S$60,VLOOKUP($D291,科目表!$K$5:$L$40,2,FALSE))-SUMIFS($F$5:$F291,$D$5:$D291,$D291),"?"))</f>
        <v/>
      </c>
      <c r="J291" s="366" t="str">
        <f>IF($F291="","",TRIM(IF(ISERROR(MATCH($D291,科目表!$K$5:$K$40,0)),"科目未登録 ","")&amp;IF($G291="","状態未設定 ","")&amp;IF(AND(OR($G291="確認済",$G291="未確認"),$B291="通常",OR($C291="",$C291&lt;DATE(年度+2018,4,1),$C291&gt;DATE(年度+2019,3,31))),"年度外の日付 ","")))</f>
        <v/>
      </c>
      <c r="K291" s="366" t="n"/>
    </row>
    <row r="292">
      <c r="A292" s="359" t="n"/>
      <c r="B292" s="360" t="n"/>
      <c r="C292" s="361" t="n"/>
      <c r="D292" s="362" t="n"/>
      <c r="E292" s="362" t="n"/>
      <c r="F292" s="363" t="n"/>
      <c r="G292" s="360" t="n"/>
      <c r="H292" s="359" t="str">
        <f>IF(OR($F292="",$C292=""),"",IF($B292="決算整理",13,MOD(MONTH($C292)-4,12)+1))</f>
        <v/>
      </c>
      <c r="I292" s="364" t="str">
        <f>IF(OR($F292="",$D292=""),"",IFERROR(INDEX(費用収益表_貸付!$S$1:$S$60,VLOOKUP($D292,科目表!$K$5:$L$40,2,FALSE))-SUMIFS($F$5:$F292,$D$5:$D292,$D292),"?"))</f>
        <v/>
      </c>
      <c r="J292" s="366" t="str">
        <f>IF($F292="","",TRIM(IF(ISERROR(MATCH($D292,科目表!$K$5:$K$40,0)),"科目未登録 ","")&amp;IF($G292="","状態未設定 ","")&amp;IF(AND(OR($G292="確認済",$G292="未確認"),$B292="通常",OR($C292="",$C292&lt;DATE(年度+2018,4,1),$C292&gt;DATE(年度+2019,3,31))),"年度外の日付 ","")))</f>
        <v/>
      </c>
      <c r="K292" s="366" t="n"/>
    </row>
    <row r="293">
      <c r="A293" s="359" t="n"/>
      <c r="B293" s="360" t="n"/>
      <c r="C293" s="361" t="n"/>
      <c r="D293" s="362" t="n"/>
      <c r="E293" s="362" t="n"/>
      <c r="F293" s="363" t="n"/>
      <c r="G293" s="360" t="n"/>
      <c r="H293" s="359" t="str">
        <f>IF(OR($F293="",$C293=""),"",IF($B293="決算整理",13,MOD(MONTH($C293)-4,12)+1))</f>
        <v/>
      </c>
      <c r="I293" s="364" t="str">
        <f>IF(OR($F293="",$D293=""),"",IFERROR(INDEX(費用収益表_貸付!$S$1:$S$60,VLOOKUP($D293,科目表!$K$5:$L$40,2,FALSE))-SUMIFS($F$5:$F293,$D$5:$D293,$D293),"?"))</f>
        <v/>
      </c>
      <c r="J293" s="366" t="str">
        <f>IF($F293="","",TRIM(IF(ISERROR(MATCH($D293,科目表!$K$5:$K$40,0)),"科目未登録 ","")&amp;IF($G293="","状態未設定 ","")&amp;IF(AND(OR($G293="確認済",$G293="未確認"),$B293="通常",OR($C293="",$C293&lt;DATE(年度+2018,4,1),$C293&gt;DATE(年度+2019,3,31))),"年度外の日付 ","")))</f>
        <v/>
      </c>
      <c r="K293" s="366" t="n"/>
    </row>
    <row r="294">
      <c r="A294" s="359" t="n"/>
      <c r="B294" s="360" t="n"/>
      <c r="C294" s="361" t="n"/>
      <c r="D294" s="362" t="n"/>
      <c r="E294" s="362" t="n"/>
      <c r="F294" s="363" t="n"/>
      <c r="G294" s="360" t="n"/>
      <c r="H294" s="359" t="str">
        <f>IF(OR($F294="",$C294=""),"",IF($B294="決算整理",13,MOD(MONTH($C294)-4,12)+1))</f>
        <v/>
      </c>
      <c r="I294" s="364" t="str">
        <f>IF(OR($F294="",$D294=""),"",IFERROR(INDEX(費用収益表_貸付!$S$1:$S$60,VLOOKUP($D294,科目表!$K$5:$L$40,2,FALSE))-SUMIFS($F$5:$F294,$D$5:$D294,$D294),"?"))</f>
        <v/>
      </c>
      <c r="J294" s="366" t="str">
        <f>IF($F294="","",TRIM(IF(ISERROR(MATCH($D294,科目表!$K$5:$K$40,0)),"科目未登録 ","")&amp;IF($G294="","状態未設定 ","")&amp;IF(AND(OR($G294="確認済",$G294="未確認"),$B294="通常",OR($C294="",$C294&lt;DATE(年度+2018,4,1),$C294&gt;DATE(年度+2019,3,31))),"年度外の日付 ","")))</f>
        <v/>
      </c>
      <c r="K294" s="366" t="n"/>
    </row>
    <row r="295">
      <c r="A295" s="359" t="n"/>
      <c r="B295" s="360" t="n"/>
      <c r="C295" s="361" t="n"/>
      <c r="D295" s="362" t="n"/>
      <c r="E295" s="362" t="n"/>
      <c r="F295" s="363" t="n"/>
      <c r="G295" s="360" t="n"/>
      <c r="H295" s="359" t="str">
        <f>IF(OR($F295="",$C295=""),"",IF($B295="決算整理",13,MOD(MONTH($C295)-4,12)+1))</f>
        <v/>
      </c>
      <c r="I295" s="364" t="str">
        <f>IF(OR($F295="",$D295=""),"",IFERROR(INDEX(費用収益表_貸付!$S$1:$S$60,VLOOKUP($D295,科目表!$K$5:$L$40,2,FALSE))-SUMIFS($F$5:$F295,$D$5:$D295,$D295),"?"))</f>
        <v/>
      </c>
      <c r="J295" s="366" t="str">
        <f>IF($F295="","",TRIM(IF(ISERROR(MATCH($D295,科目表!$K$5:$K$40,0)),"科目未登録 ","")&amp;IF($G295="","状態未設定 ","")&amp;IF(AND(OR($G295="確認済",$G295="未確認"),$B295="通常",OR($C295="",$C295&lt;DATE(年度+2018,4,1),$C295&gt;DATE(年度+2019,3,31))),"年度外の日付 ","")))</f>
        <v/>
      </c>
      <c r="K295" s="366" t="n"/>
    </row>
    <row r="296">
      <c r="A296" s="359" t="n"/>
      <c r="B296" s="360" t="n"/>
      <c r="C296" s="361" t="n"/>
      <c r="D296" s="362" t="n"/>
      <c r="E296" s="362" t="n"/>
      <c r="F296" s="363" t="n"/>
      <c r="G296" s="360" t="n"/>
      <c r="H296" s="359" t="str">
        <f>IF(OR($F296="",$C296=""),"",IF($B296="決算整理",13,MOD(MONTH($C296)-4,12)+1))</f>
        <v/>
      </c>
      <c r="I296" s="364" t="str">
        <f>IF(OR($F296="",$D296=""),"",IFERROR(INDEX(費用収益表_貸付!$S$1:$S$60,VLOOKUP($D296,科目表!$K$5:$L$40,2,FALSE))-SUMIFS($F$5:$F296,$D$5:$D296,$D296),"?"))</f>
        <v/>
      </c>
      <c r="J296" s="366" t="str">
        <f>IF($F296="","",TRIM(IF(ISERROR(MATCH($D296,科目表!$K$5:$K$40,0)),"科目未登録 ","")&amp;IF($G296="","状態未設定 ","")&amp;IF(AND(OR($G296="確認済",$G296="未確認"),$B296="通常",OR($C296="",$C296&lt;DATE(年度+2018,4,1),$C296&gt;DATE(年度+2019,3,31))),"年度外の日付 ","")))</f>
        <v/>
      </c>
      <c r="K296" s="366" t="n"/>
    </row>
    <row r="297">
      <c r="A297" s="359" t="n"/>
      <c r="B297" s="360" t="n"/>
      <c r="C297" s="361" t="n"/>
      <c r="D297" s="362" t="n"/>
      <c r="E297" s="362" t="n"/>
      <c r="F297" s="363" t="n"/>
      <c r="G297" s="360" t="n"/>
      <c r="H297" s="359" t="str">
        <f>IF(OR($F297="",$C297=""),"",IF($B297="決算整理",13,MOD(MONTH($C297)-4,12)+1))</f>
        <v/>
      </c>
      <c r="I297" s="364" t="str">
        <f>IF(OR($F297="",$D297=""),"",IFERROR(INDEX(費用収益表_貸付!$S$1:$S$60,VLOOKUP($D297,科目表!$K$5:$L$40,2,FALSE))-SUMIFS($F$5:$F297,$D$5:$D297,$D297),"?"))</f>
        <v/>
      </c>
      <c r="J297" s="366" t="str">
        <f>IF($F297="","",TRIM(IF(ISERROR(MATCH($D297,科目表!$K$5:$K$40,0)),"科目未登録 ","")&amp;IF($G297="","状態未設定 ","")&amp;IF(AND(OR($G297="確認済",$G297="未確認"),$B297="通常",OR($C297="",$C297&lt;DATE(年度+2018,4,1),$C297&gt;DATE(年度+2019,3,31))),"年度外の日付 ","")))</f>
        <v/>
      </c>
      <c r="K297" s="366" t="n"/>
    </row>
    <row r="298">
      <c r="A298" s="359" t="n"/>
      <c r="B298" s="360" t="n"/>
      <c r="C298" s="361" t="n"/>
      <c r="D298" s="362" t="n"/>
      <c r="E298" s="362" t="n"/>
      <c r="F298" s="363" t="n"/>
      <c r="G298" s="360" t="n"/>
      <c r="H298" s="359" t="str">
        <f>IF(OR($F298="",$C298=""),"",IF($B298="決算整理",13,MOD(MONTH($C298)-4,12)+1))</f>
        <v/>
      </c>
      <c r="I298" s="364" t="str">
        <f>IF(OR($F298="",$D298=""),"",IFERROR(INDEX(費用収益表_貸付!$S$1:$S$60,VLOOKUP($D298,科目表!$K$5:$L$40,2,FALSE))-SUMIFS($F$5:$F298,$D$5:$D298,$D298),"?"))</f>
        <v/>
      </c>
      <c r="J298" s="366" t="str">
        <f>IF($F298="","",TRIM(IF(ISERROR(MATCH($D298,科目表!$K$5:$K$40,0)),"科目未登録 ","")&amp;IF($G298="","状態未設定 ","")&amp;IF(AND(OR($G298="確認済",$G298="未確認"),$B298="通常",OR($C298="",$C298&lt;DATE(年度+2018,4,1),$C298&gt;DATE(年度+2019,3,31))),"年度外の日付 ","")))</f>
        <v/>
      </c>
      <c r="K298" s="366" t="n"/>
    </row>
    <row r="299">
      <c r="A299" s="359" t="n"/>
      <c r="B299" s="360" t="n"/>
      <c r="C299" s="361" t="n"/>
      <c r="D299" s="362" t="n"/>
      <c r="E299" s="362" t="n"/>
      <c r="F299" s="363" t="n"/>
      <c r="G299" s="360" t="n"/>
      <c r="H299" s="359" t="str">
        <f>IF(OR($F299="",$C299=""),"",IF($B299="決算整理",13,MOD(MONTH($C299)-4,12)+1))</f>
        <v/>
      </c>
      <c r="I299" s="364" t="str">
        <f>IF(OR($F299="",$D299=""),"",IFERROR(INDEX(費用収益表_貸付!$S$1:$S$60,VLOOKUP($D299,科目表!$K$5:$L$40,2,FALSE))-SUMIFS($F$5:$F299,$D$5:$D299,$D299),"?"))</f>
        <v/>
      </c>
      <c r="J299" s="366" t="str">
        <f>IF($F299="","",TRIM(IF(ISERROR(MATCH($D299,科目表!$K$5:$K$40,0)),"科目未登録 ","")&amp;IF($G299="","状態未設定 ","")&amp;IF(AND(OR($G299="確認済",$G299="未確認"),$B299="通常",OR($C299="",$C299&lt;DATE(年度+2018,4,1),$C299&gt;DATE(年度+2019,3,31))),"年度外の日付 ","")))</f>
        <v/>
      </c>
      <c r="K299" s="366" t="n"/>
    </row>
    <row r="300">
      <c r="A300" s="359" t="n"/>
      <c r="B300" s="360" t="n"/>
      <c r="C300" s="361" t="n"/>
      <c r="D300" s="362" t="n"/>
      <c r="E300" s="362" t="n"/>
      <c r="F300" s="363" t="n"/>
      <c r="G300" s="360" t="n"/>
      <c r="H300" s="359" t="str">
        <f>IF(OR($F300="",$C300=""),"",IF($B300="決算整理",13,MOD(MONTH($C300)-4,12)+1))</f>
        <v/>
      </c>
      <c r="I300" s="364" t="str">
        <f>IF(OR($F300="",$D300=""),"",IFERROR(INDEX(費用収益表_貸付!$S$1:$S$60,VLOOKUP($D300,科目表!$K$5:$L$40,2,FALSE))-SUMIFS($F$5:$F300,$D$5:$D300,$D300),"?"))</f>
        <v/>
      </c>
      <c r="J300" s="366" t="str">
        <f>IF($F300="","",TRIM(IF(ISERROR(MATCH($D300,科目表!$K$5:$K$40,0)),"科目未登録 ","")&amp;IF($G300="","状態未設定 ","")&amp;IF(AND(OR($G300="確認済",$G300="未確認"),$B300="通常",OR($C300="",$C300&lt;DATE(年度+2018,4,1),$C300&gt;DATE(年度+2019,3,31))),"年度外の日付 ","")))</f>
        <v/>
      </c>
      <c r="K300" s="366" t="n"/>
    </row>
    <row r="301">
      <c r="A301" s="359" t="n"/>
      <c r="B301" s="360" t="n"/>
      <c r="C301" s="361" t="n"/>
      <c r="D301" s="362" t="n"/>
      <c r="E301" s="362" t="n"/>
      <c r="F301" s="363" t="n"/>
      <c r="G301" s="360" t="n"/>
      <c r="H301" s="359" t="str">
        <f>IF(OR($F301="",$C301=""),"",IF($B301="決算整理",13,MOD(MONTH($C301)-4,12)+1))</f>
        <v/>
      </c>
      <c r="I301" s="364" t="str">
        <f>IF(OR($F301="",$D301=""),"",IFERROR(INDEX(費用収益表_貸付!$S$1:$S$60,VLOOKUP($D301,科目表!$K$5:$L$40,2,FALSE))-SUMIFS($F$5:$F301,$D$5:$D301,$D301),"?"))</f>
        <v/>
      </c>
      <c r="J301" s="366" t="str">
        <f>IF($F301="","",TRIM(IF(ISERROR(MATCH($D301,科目表!$K$5:$K$40,0)),"科目未登録 ","")&amp;IF($G301="","状態未設定 ","")&amp;IF(AND(OR($G301="確認済",$G301="未確認"),$B301="通常",OR($C301="",$C301&lt;DATE(年度+2018,4,1),$C301&gt;DATE(年度+2019,3,31))),"年度外の日付 ","")))</f>
        <v/>
      </c>
      <c r="K301" s="366" t="n"/>
    </row>
    <row r="302">
      <c r="A302" s="359" t="n"/>
      <c r="B302" s="360" t="n"/>
      <c r="C302" s="361" t="n"/>
      <c r="D302" s="362" t="n"/>
      <c r="E302" s="362" t="n"/>
      <c r="F302" s="363" t="n"/>
      <c r="G302" s="360" t="n"/>
      <c r="H302" s="359" t="str">
        <f>IF(OR($F302="",$C302=""),"",IF($B302="決算整理",13,MOD(MONTH($C302)-4,12)+1))</f>
        <v/>
      </c>
      <c r="I302" s="364" t="str">
        <f>IF(OR($F302="",$D302=""),"",IFERROR(INDEX(費用収益表_貸付!$S$1:$S$60,VLOOKUP($D302,科目表!$K$5:$L$40,2,FALSE))-SUMIFS($F$5:$F302,$D$5:$D302,$D302),"?"))</f>
        <v/>
      </c>
      <c r="J302" s="366" t="str">
        <f>IF($F302="","",TRIM(IF(ISERROR(MATCH($D302,科目表!$K$5:$K$40,0)),"科目未登録 ","")&amp;IF($G302="","状態未設定 ","")&amp;IF(AND(OR($G302="確認済",$G302="未確認"),$B302="通常",OR($C302="",$C302&lt;DATE(年度+2018,4,1),$C302&gt;DATE(年度+2019,3,31))),"年度外の日付 ","")))</f>
        <v/>
      </c>
      <c r="K302" s="366" t="n"/>
    </row>
    <row r="303">
      <c r="A303" s="359" t="n"/>
      <c r="B303" s="360" t="n"/>
      <c r="C303" s="361" t="n"/>
      <c r="D303" s="362" t="n"/>
      <c r="E303" s="362" t="n"/>
      <c r="F303" s="363" t="n"/>
      <c r="G303" s="360" t="n"/>
      <c r="H303" s="359" t="str">
        <f>IF(OR($F303="",$C303=""),"",IF($B303="決算整理",13,MOD(MONTH($C303)-4,12)+1))</f>
        <v/>
      </c>
      <c r="I303" s="364" t="str">
        <f>IF(OR($F303="",$D303=""),"",IFERROR(INDEX(費用収益表_貸付!$S$1:$S$60,VLOOKUP($D303,科目表!$K$5:$L$40,2,FALSE))-SUMIFS($F$5:$F303,$D$5:$D303,$D303),"?"))</f>
        <v/>
      </c>
      <c r="J303" s="366" t="str">
        <f>IF($F303="","",TRIM(IF(ISERROR(MATCH($D303,科目表!$K$5:$K$40,0)),"科目未登録 ","")&amp;IF($G303="","状態未設定 ","")&amp;IF(AND(OR($G303="確認済",$G303="未確認"),$B303="通常",OR($C303="",$C303&lt;DATE(年度+2018,4,1),$C303&gt;DATE(年度+2019,3,31))),"年度外の日付 ","")))</f>
        <v/>
      </c>
      <c r="K303" s="366" t="n"/>
    </row>
    <row r="304">
      <c r="A304" s="359" t="n"/>
      <c r="B304" s="360" t="n"/>
      <c r="C304" s="361" t="n"/>
      <c r="D304" s="362" t="n"/>
      <c r="E304" s="362" t="n"/>
      <c r="F304" s="363" t="n"/>
      <c r="G304" s="360" t="n"/>
      <c r="H304" s="359" t="str">
        <f>IF(OR($F304="",$C304=""),"",IF($B304="決算整理",13,MOD(MONTH($C304)-4,12)+1))</f>
        <v/>
      </c>
      <c r="I304" s="364" t="str">
        <f>IF(OR($F304="",$D304=""),"",IFERROR(INDEX(費用収益表_貸付!$S$1:$S$60,VLOOKUP($D304,科目表!$K$5:$L$40,2,FALSE))-SUMIFS($F$5:$F304,$D$5:$D304,$D304),"?"))</f>
        <v/>
      </c>
      <c r="J304" s="366" t="str">
        <f>IF($F304="","",TRIM(IF(ISERROR(MATCH($D304,科目表!$K$5:$K$40,0)),"科目未登録 ","")&amp;IF($G304="","状態未設定 ","")&amp;IF(AND(OR($G304="確認済",$G304="未確認"),$B304="通常",OR($C304="",$C304&lt;DATE(年度+2018,4,1),$C304&gt;DATE(年度+2019,3,31))),"年度外の日付 ","")))</f>
        <v/>
      </c>
      <c r="K304" s="366" t="n"/>
    </row>
    <row r="305">
      <c r="A305" s="359" t="n"/>
      <c r="B305" s="360" t="n"/>
      <c r="C305" s="361" t="n"/>
      <c r="D305" s="362" t="n"/>
      <c r="E305" s="362" t="n"/>
      <c r="F305" s="363" t="n"/>
      <c r="G305" s="360" t="n"/>
      <c r="H305" s="359" t="str">
        <f>IF(OR($F305="",$C305=""),"",IF($B305="決算整理",13,MOD(MONTH($C305)-4,12)+1))</f>
        <v/>
      </c>
      <c r="I305" s="364" t="str">
        <f>IF(OR($F305="",$D305=""),"",IFERROR(INDEX(費用収益表_貸付!$S$1:$S$60,VLOOKUP($D305,科目表!$K$5:$L$40,2,FALSE))-SUMIFS($F$5:$F305,$D$5:$D305,$D305),"?"))</f>
        <v/>
      </c>
      <c r="J305" s="366" t="str">
        <f>IF($F305="","",TRIM(IF(ISERROR(MATCH($D305,科目表!$K$5:$K$40,0)),"科目未登録 ","")&amp;IF($G305="","状態未設定 ","")&amp;IF(AND(OR($G305="確認済",$G305="未確認"),$B305="通常",OR($C305="",$C305&lt;DATE(年度+2018,4,1),$C305&gt;DATE(年度+2019,3,31))),"年度外の日付 ","")))</f>
        <v/>
      </c>
      <c r="K305" s="366" t="n"/>
    </row>
    <row r="306">
      <c r="A306" s="359" t="n"/>
      <c r="B306" s="360" t="n"/>
      <c r="C306" s="361" t="n"/>
      <c r="D306" s="362" t="n"/>
      <c r="E306" s="362" t="n"/>
      <c r="F306" s="363" t="n"/>
      <c r="G306" s="360" t="n"/>
      <c r="H306" s="359" t="str">
        <f>IF(OR($F306="",$C306=""),"",IF($B306="決算整理",13,MOD(MONTH($C306)-4,12)+1))</f>
        <v/>
      </c>
      <c r="I306" s="364" t="str">
        <f>IF(OR($F306="",$D306=""),"",IFERROR(INDEX(費用収益表_貸付!$S$1:$S$60,VLOOKUP($D306,科目表!$K$5:$L$40,2,FALSE))-SUMIFS($F$5:$F306,$D$5:$D306,$D306),"?"))</f>
        <v/>
      </c>
      <c r="J306" s="366" t="str">
        <f>IF($F306="","",TRIM(IF(ISERROR(MATCH($D306,科目表!$K$5:$K$40,0)),"科目未登録 ","")&amp;IF($G306="","状態未設定 ","")&amp;IF(AND(OR($G306="確認済",$G306="未確認"),$B306="通常",OR($C306="",$C306&lt;DATE(年度+2018,4,1),$C306&gt;DATE(年度+2019,3,31))),"年度外の日付 ","")))</f>
        <v/>
      </c>
      <c r="K306" s="366" t="n"/>
    </row>
    <row r="307">
      <c r="A307" s="359" t="n"/>
      <c r="B307" s="360" t="n"/>
      <c r="C307" s="361" t="n"/>
      <c r="D307" s="362" t="n"/>
      <c r="E307" s="362" t="n"/>
      <c r="F307" s="363" t="n"/>
      <c r="G307" s="360" t="n"/>
      <c r="H307" s="359" t="str">
        <f>IF(OR($F307="",$C307=""),"",IF($B307="決算整理",13,MOD(MONTH($C307)-4,12)+1))</f>
        <v/>
      </c>
      <c r="I307" s="364" t="str">
        <f>IF(OR($F307="",$D307=""),"",IFERROR(INDEX(費用収益表_貸付!$S$1:$S$60,VLOOKUP($D307,科目表!$K$5:$L$40,2,FALSE))-SUMIFS($F$5:$F307,$D$5:$D307,$D307),"?"))</f>
        <v/>
      </c>
      <c r="J307" s="366" t="str">
        <f>IF($F307="","",TRIM(IF(ISERROR(MATCH($D307,科目表!$K$5:$K$40,0)),"科目未登録 ","")&amp;IF($G307="","状態未設定 ","")&amp;IF(AND(OR($G307="確認済",$G307="未確認"),$B307="通常",OR($C307="",$C307&lt;DATE(年度+2018,4,1),$C307&gt;DATE(年度+2019,3,31))),"年度外の日付 ","")))</f>
        <v/>
      </c>
      <c r="K307" s="366" t="n"/>
    </row>
    <row r="308">
      <c r="A308" s="359" t="n"/>
      <c r="B308" s="360" t="n"/>
      <c r="C308" s="361" t="n"/>
      <c r="D308" s="362" t="n"/>
      <c r="E308" s="362" t="n"/>
      <c r="F308" s="363" t="n"/>
      <c r="G308" s="360" t="n"/>
      <c r="H308" s="359" t="str">
        <f>IF(OR($F308="",$C308=""),"",IF($B308="決算整理",13,MOD(MONTH($C308)-4,12)+1))</f>
        <v/>
      </c>
      <c r="I308" s="364" t="str">
        <f>IF(OR($F308="",$D308=""),"",IFERROR(INDEX(費用収益表_貸付!$S$1:$S$60,VLOOKUP($D308,科目表!$K$5:$L$40,2,FALSE))-SUMIFS($F$5:$F308,$D$5:$D308,$D308),"?"))</f>
        <v/>
      </c>
      <c r="J308" s="366" t="str">
        <f>IF($F308="","",TRIM(IF(ISERROR(MATCH($D308,科目表!$K$5:$K$40,0)),"科目未登録 ","")&amp;IF($G308="","状態未設定 ","")&amp;IF(AND(OR($G308="確認済",$G308="未確認"),$B308="通常",OR($C308="",$C308&lt;DATE(年度+2018,4,1),$C308&gt;DATE(年度+2019,3,31))),"年度外の日付 ","")))</f>
        <v/>
      </c>
      <c r="K308" s="366" t="n"/>
    </row>
    <row r="309">
      <c r="A309" s="359" t="n"/>
      <c r="B309" s="360" t="n"/>
      <c r="C309" s="361" t="n"/>
      <c r="D309" s="362" t="n"/>
      <c r="E309" s="362" t="n"/>
      <c r="F309" s="363" t="n"/>
      <c r="G309" s="360" t="n"/>
      <c r="H309" s="359" t="str">
        <f>IF(OR($F309="",$C309=""),"",IF($B309="決算整理",13,MOD(MONTH($C309)-4,12)+1))</f>
        <v/>
      </c>
      <c r="I309" s="364" t="str">
        <f>IF(OR($F309="",$D309=""),"",IFERROR(INDEX(費用収益表_貸付!$S$1:$S$60,VLOOKUP($D309,科目表!$K$5:$L$40,2,FALSE))-SUMIFS($F$5:$F309,$D$5:$D309,$D309),"?"))</f>
        <v/>
      </c>
      <c r="J309" s="366" t="str">
        <f>IF($F309="","",TRIM(IF(ISERROR(MATCH($D309,科目表!$K$5:$K$40,0)),"科目未登録 ","")&amp;IF($G309="","状態未設定 ","")&amp;IF(AND(OR($G309="確認済",$G309="未確認"),$B309="通常",OR($C309="",$C309&lt;DATE(年度+2018,4,1),$C309&gt;DATE(年度+2019,3,31))),"年度外の日付 ","")))</f>
        <v/>
      </c>
      <c r="K309" s="366" t="n"/>
    </row>
    <row r="310">
      <c r="A310" s="359" t="n"/>
      <c r="B310" s="360" t="n"/>
      <c r="C310" s="361" t="n"/>
      <c r="D310" s="362" t="n"/>
      <c r="E310" s="362" t="n"/>
      <c r="F310" s="363" t="n"/>
      <c r="G310" s="360" t="n"/>
      <c r="H310" s="359" t="str">
        <f>IF(OR($F310="",$C310=""),"",IF($B310="決算整理",13,MOD(MONTH($C310)-4,12)+1))</f>
        <v/>
      </c>
      <c r="I310" s="364" t="str">
        <f>IF(OR($F310="",$D310=""),"",IFERROR(INDEX(費用収益表_貸付!$S$1:$S$60,VLOOKUP($D310,科目表!$K$5:$L$40,2,FALSE))-SUMIFS($F$5:$F310,$D$5:$D310,$D310),"?"))</f>
        <v/>
      </c>
      <c r="J310" s="366" t="str">
        <f>IF($F310="","",TRIM(IF(ISERROR(MATCH($D310,科目表!$K$5:$K$40,0)),"科目未登録 ","")&amp;IF($G310="","状態未設定 ","")&amp;IF(AND(OR($G310="確認済",$G310="未確認"),$B310="通常",OR($C310="",$C310&lt;DATE(年度+2018,4,1),$C310&gt;DATE(年度+2019,3,31))),"年度外の日付 ","")))</f>
        <v/>
      </c>
      <c r="K310" s="366" t="n"/>
    </row>
    <row r="311">
      <c r="A311" s="359" t="n"/>
      <c r="B311" s="360" t="n"/>
      <c r="C311" s="361" t="n"/>
      <c r="D311" s="362" t="n"/>
      <c r="E311" s="362" t="n"/>
      <c r="F311" s="363" t="n"/>
      <c r="G311" s="360" t="n"/>
      <c r="H311" s="359" t="str">
        <f>IF(OR($F311="",$C311=""),"",IF($B311="決算整理",13,MOD(MONTH($C311)-4,12)+1))</f>
        <v/>
      </c>
      <c r="I311" s="364" t="str">
        <f>IF(OR($F311="",$D311=""),"",IFERROR(INDEX(費用収益表_貸付!$S$1:$S$60,VLOOKUP($D311,科目表!$K$5:$L$40,2,FALSE))-SUMIFS($F$5:$F311,$D$5:$D311,$D311),"?"))</f>
        <v/>
      </c>
      <c r="J311" s="366" t="str">
        <f>IF($F311="","",TRIM(IF(ISERROR(MATCH($D311,科目表!$K$5:$K$40,0)),"科目未登録 ","")&amp;IF($G311="","状態未設定 ","")&amp;IF(AND(OR($G311="確認済",$G311="未確認"),$B311="通常",OR($C311="",$C311&lt;DATE(年度+2018,4,1),$C311&gt;DATE(年度+2019,3,31))),"年度外の日付 ","")))</f>
        <v/>
      </c>
      <c r="K311" s="366" t="n"/>
    </row>
    <row r="312">
      <c r="A312" s="359" t="n"/>
      <c r="B312" s="360" t="n"/>
      <c r="C312" s="361" t="n"/>
      <c r="D312" s="362" t="n"/>
      <c r="E312" s="362" t="n"/>
      <c r="F312" s="363" t="n"/>
      <c r="G312" s="360" t="n"/>
      <c r="H312" s="359" t="str">
        <f>IF(OR($F312="",$C312=""),"",IF($B312="決算整理",13,MOD(MONTH($C312)-4,12)+1))</f>
        <v/>
      </c>
      <c r="I312" s="364" t="str">
        <f>IF(OR($F312="",$D312=""),"",IFERROR(INDEX(費用収益表_貸付!$S$1:$S$60,VLOOKUP($D312,科目表!$K$5:$L$40,2,FALSE))-SUMIFS($F$5:$F312,$D$5:$D312,$D312),"?"))</f>
        <v/>
      </c>
      <c r="J312" s="366" t="str">
        <f>IF($F312="","",TRIM(IF(ISERROR(MATCH($D312,科目表!$K$5:$K$40,0)),"科目未登録 ","")&amp;IF($G312="","状態未設定 ","")&amp;IF(AND(OR($G312="確認済",$G312="未確認"),$B312="通常",OR($C312="",$C312&lt;DATE(年度+2018,4,1),$C312&gt;DATE(年度+2019,3,31))),"年度外の日付 ","")))</f>
        <v/>
      </c>
      <c r="K312" s="366" t="n"/>
    </row>
    <row r="313">
      <c r="A313" s="359" t="n"/>
      <c r="B313" s="360" t="n"/>
      <c r="C313" s="361" t="n"/>
      <c r="D313" s="362" t="n"/>
      <c r="E313" s="362" t="n"/>
      <c r="F313" s="363" t="n"/>
      <c r="G313" s="360" t="n"/>
      <c r="H313" s="359" t="str">
        <f>IF(OR($F313="",$C313=""),"",IF($B313="決算整理",13,MOD(MONTH($C313)-4,12)+1))</f>
        <v/>
      </c>
      <c r="I313" s="364" t="str">
        <f>IF(OR($F313="",$D313=""),"",IFERROR(INDEX(費用収益表_貸付!$S$1:$S$60,VLOOKUP($D313,科目表!$K$5:$L$40,2,FALSE))-SUMIFS($F$5:$F313,$D$5:$D313,$D313),"?"))</f>
        <v/>
      </c>
      <c r="J313" s="366" t="str">
        <f>IF($F313="","",TRIM(IF(ISERROR(MATCH($D313,科目表!$K$5:$K$40,0)),"科目未登録 ","")&amp;IF($G313="","状態未設定 ","")&amp;IF(AND(OR($G313="確認済",$G313="未確認"),$B313="通常",OR($C313="",$C313&lt;DATE(年度+2018,4,1),$C313&gt;DATE(年度+2019,3,31))),"年度外の日付 ","")))</f>
        <v/>
      </c>
      <c r="K313" s="366" t="n"/>
    </row>
    <row r="314">
      <c r="A314" s="359" t="n"/>
      <c r="B314" s="360" t="n"/>
      <c r="C314" s="361" t="n"/>
      <c r="D314" s="362" t="n"/>
      <c r="E314" s="362" t="n"/>
      <c r="F314" s="363" t="n"/>
      <c r="G314" s="360" t="n"/>
      <c r="H314" s="359" t="str">
        <f>IF(OR($F314="",$C314=""),"",IF($B314="決算整理",13,MOD(MONTH($C314)-4,12)+1))</f>
        <v/>
      </c>
      <c r="I314" s="364" t="str">
        <f>IF(OR($F314="",$D314=""),"",IFERROR(INDEX(費用収益表_貸付!$S$1:$S$60,VLOOKUP($D314,科目表!$K$5:$L$40,2,FALSE))-SUMIFS($F$5:$F314,$D$5:$D314,$D314),"?"))</f>
        <v/>
      </c>
      <c r="J314" s="366" t="str">
        <f>IF($F314="","",TRIM(IF(ISERROR(MATCH($D314,科目表!$K$5:$K$40,0)),"科目未登録 ","")&amp;IF($G314="","状態未設定 ","")&amp;IF(AND(OR($G314="確認済",$G314="未確認"),$B314="通常",OR($C314="",$C314&lt;DATE(年度+2018,4,1),$C314&gt;DATE(年度+2019,3,31))),"年度外の日付 ","")))</f>
        <v/>
      </c>
      <c r="K314" s="366" t="n"/>
    </row>
    <row r="315">
      <c r="A315" s="359" t="n"/>
      <c r="B315" s="360" t="n"/>
      <c r="C315" s="361" t="n"/>
      <c r="D315" s="362" t="n"/>
      <c r="E315" s="362" t="n"/>
      <c r="F315" s="363" t="n"/>
      <c r="G315" s="360" t="n"/>
      <c r="H315" s="359" t="str">
        <f>IF(OR($F315="",$C315=""),"",IF($B315="決算整理",13,MOD(MONTH($C315)-4,12)+1))</f>
        <v/>
      </c>
      <c r="I315" s="364" t="str">
        <f>IF(OR($F315="",$D315=""),"",IFERROR(INDEX(費用収益表_貸付!$S$1:$S$60,VLOOKUP($D315,科目表!$K$5:$L$40,2,FALSE))-SUMIFS($F$5:$F315,$D$5:$D315,$D315),"?"))</f>
        <v/>
      </c>
      <c r="J315" s="366" t="str">
        <f>IF($F315="","",TRIM(IF(ISERROR(MATCH($D315,科目表!$K$5:$K$40,0)),"科目未登録 ","")&amp;IF($G315="","状態未設定 ","")&amp;IF(AND(OR($G315="確認済",$G315="未確認"),$B315="通常",OR($C315="",$C315&lt;DATE(年度+2018,4,1),$C315&gt;DATE(年度+2019,3,31))),"年度外の日付 ","")))</f>
        <v/>
      </c>
      <c r="K315" s="366" t="n"/>
    </row>
    <row r="316">
      <c r="A316" s="359" t="n"/>
      <c r="B316" s="360" t="n"/>
      <c r="C316" s="361" t="n"/>
      <c r="D316" s="362" t="n"/>
      <c r="E316" s="362" t="n"/>
      <c r="F316" s="363" t="n"/>
      <c r="G316" s="360" t="n"/>
      <c r="H316" s="359" t="str">
        <f>IF(OR($F316="",$C316=""),"",IF($B316="決算整理",13,MOD(MONTH($C316)-4,12)+1))</f>
        <v/>
      </c>
      <c r="I316" s="364" t="str">
        <f>IF(OR($F316="",$D316=""),"",IFERROR(INDEX(費用収益表_貸付!$S$1:$S$60,VLOOKUP($D316,科目表!$K$5:$L$40,2,FALSE))-SUMIFS($F$5:$F316,$D$5:$D316,$D316),"?"))</f>
        <v/>
      </c>
      <c r="J316" s="366" t="str">
        <f>IF($F316="","",TRIM(IF(ISERROR(MATCH($D316,科目表!$K$5:$K$40,0)),"科目未登録 ","")&amp;IF($G316="","状態未設定 ","")&amp;IF(AND(OR($G316="確認済",$G316="未確認"),$B316="通常",OR($C316="",$C316&lt;DATE(年度+2018,4,1),$C316&gt;DATE(年度+2019,3,31))),"年度外の日付 ","")))</f>
        <v/>
      </c>
      <c r="K316" s="366" t="n"/>
    </row>
    <row r="317">
      <c r="A317" s="359" t="n"/>
      <c r="B317" s="360" t="n"/>
      <c r="C317" s="361" t="n"/>
      <c r="D317" s="362" t="n"/>
      <c r="E317" s="362" t="n"/>
      <c r="F317" s="363" t="n"/>
      <c r="G317" s="360" t="n"/>
      <c r="H317" s="359" t="str">
        <f>IF(OR($F317="",$C317=""),"",IF($B317="決算整理",13,MOD(MONTH($C317)-4,12)+1))</f>
        <v/>
      </c>
      <c r="I317" s="364" t="str">
        <f>IF(OR($F317="",$D317=""),"",IFERROR(INDEX(費用収益表_貸付!$S$1:$S$60,VLOOKUP($D317,科目表!$K$5:$L$40,2,FALSE))-SUMIFS($F$5:$F317,$D$5:$D317,$D317),"?"))</f>
        <v/>
      </c>
      <c r="J317" s="366" t="str">
        <f>IF($F317="","",TRIM(IF(ISERROR(MATCH($D317,科目表!$K$5:$K$40,0)),"科目未登録 ","")&amp;IF($G317="","状態未設定 ","")&amp;IF(AND(OR($G317="確認済",$G317="未確認"),$B317="通常",OR($C317="",$C317&lt;DATE(年度+2018,4,1),$C317&gt;DATE(年度+2019,3,31))),"年度外の日付 ","")))</f>
        <v/>
      </c>
      <c r="K317" s="366" t="n"/>
    </row>
    <row r="318">
      <c r="A318" s="359" t="n"/>
      <c r="B318" s="360" t="n"/>
      <c r="C318" s="361" t="n"/>
      <c r="D318" s="362" t="n"/>
      <c r="E318" s="362" t="n"/>
      <c r="F318" s="363" t="n"/>
      <c r="G318" s="360" t="n"/>
      <c r="H318" s="359" t="str">
        <f>IF(OR($F318="",$C318=""),"",IF($B318="決算整理",13,MOD(MONTH($C318)-4,12)+1))</f>
        <v/>
      </c>
      <c r="I318" s="364" t="str">
        <f>IF(OR($F318="",$D318=""),"",IFERROR(INDEX(費用収益表_貸付!$S$1:$S$60,VLOOKUP($D318,科目表!$K$5:$L$40,2,FALSE))-SUMIFS($F$5:$F318,$D$5:$D318,$D318),"?"))</f>
        <v/>
      </c>
      <c r="J318" s="366" t="str">
        <f>IF($F318="","",TRIM(IF(ISERROR(MATCH($D318,科目表!$K$5:$K$40,0)),"科目未登録 ","")&amp;IF($G318="","状態未設定 ","")&amp;IF(AND(OR($G318="確認済",$G318="未確認"),$B318="通常",OR($C318="",$C318&lt;DATE(年度+2018,4,1),$C318&gt;DATE(年度+2019,3,31))),"年度外の日付 ","")))</f>
        <v/>
      </c>
      <c r="K318" s="366" t="n"/>
    </row>
    <row r="319">
      <c r="A319" s="359" t="n"/>
      <c r="B319" s="360" t="n"/>
      <c r="C319" s="361" t="n"/>
      <c r="D319" s="362" t="n"/>
      <c r="E319" s="362" t="n"/>
      <c r="F319" s="363" t="n"/>
      <c r="G319" s="360" t="n"/>
      <c r="H319" s="359" t="str">
        <f>IF(OR($F319="",$C319=""),"",IF($B319="決算整理",13,MOD(MONTH($C319)-4,12)+1))</f>
        <v/>
      </c>
      <c r="I319" s="364" t="str">
        <f>IF(OR($F319="",$D319=""),"",IFERROR(INDEX(費用収益表_貸付!$S$1:$S$60,VLOOKUP($D319,科目表!$K$5:$L$40,2,FALSE))-SUMIFS($F$5:$F319,$D$5:$D319,$D319),"?"))</f>
        <v/>
      </c>
      <c r="J319" s="366" t="str">
        <f>IF($F319="","",TRIM(IF(ISERROR(MATCH($D319,科目表!$K$5:$K$40,0)),"科目未登録 ","")&amp;IF($G319="","状態未設定 ","")&amp;IF(AND(OR($G319="確認済",$G319="未確認"),$B319="通常",OR($C319="",$C319&lt;DATE(年度+2018,4,1),$C319&gt;DATE(年度+2019,3,31))),"年度外の日付 ","")))</f>
        <v/>
      </c>
      <c r="K319" s="366" t="n"/>
    </row>
    <row r="320">
      <c r="A320" s="359" t="n"/>
      <c r="B320" s="360" t="n"/>
      <c r="C320" s="361" t="n"/>
      <c r="D320" s="362" t="n"/>
      <c r="E320" s="362" t="n"/>
      <c r="F320" s="363" t="n"/>
      <c r="G320" s="360" t="n"/>
      <c r="H320" s="359" t="str">
        <f>IF(OR($F320="",$C320=""),"",IF($B320="決算整理",13,MOD(MONTH($C320)-4,12)+1))</f>
        <v/>
      </c>
      <c r="I320" s="364" t="str">
        <f>IF(OR($F320="",$D320=""),"",IFERROR(INDEX(費用収益表_貸付!$S$1:$S$60,VLOOKUP($D320,科目表!$K$5:$L$40,2,FALSE))-SUMIFS($F$5:$F320,$D$5:$D320,$D320),"?"))</f>
        <v/>
      </c>
      <c r="J320" s="366" t="str">
        <f>IF($F320="","",TRIM(IF(ISERROR(MATCH($D320,科目表!$K$5:$K$40,0)),"科目未登録 ","")&amp;IF($G320="","状態未設定 ","")&amp;IF(AND(OR($G320="確認済",$G320="未確認"),$B320="通常",OR($C320="",$C320&lt;DATE(年度+2018,4,1),$C320&gt;DATE(年度+2019,3,31))),"年度外の日付 ","")))</f>
        <v/>
      </c>
      <c r="K320" s="366" t="n"/>
    </row>
    <row r="321">
      <c r="A321" s="359" t="n"/>
      <c r="B321" s="360" t="n"/>
      <c r="C321" s="361" t="n"/>
      <c r="D321" s="362" t="n"/>
      <c r="E321" s="362" t="n"/>
      <c r="F321" s="363" t="n"/>
      <c r="G321" s="360" t="n"/>
      <c r="H321" s="359" t="str">
        <f>IF(OR($F321="",$C321=""),"",IF($B321="決算整理",13,MOD(MONTH($C321)-4,12)+1))</f>
        <v/>
      </c>
      <c r="I321" s="364" t="str">
        <f>IF(OR($F321="",$D321=""),"",IFERROR(INDEX(費用収益表_貸付!$S$1:$S$60,VLOOKUP($D321,科目表!$K$5:$L$40,2,FALSE))-SUMIFS($F$5:$F321,$D$5:$D321,$D321),"?"))</f>
        <v/>
      </c>
      <c r="J321" s="366" t="str">
        <f>IF($F321="","",TRIM(IF(ISERROR(MATCH($D321,科目表!$K$5:$K$40,0)),"科目未登録 ","")&amp;IF($G321="","状態未設定 ","")&amp;IF(AND(OR($G321="確認済",$G321="未確認"),$B321="通常",OR($C321="",$C321&lt;DATE(年度+2018,4,1),$C321&gt;DATE(年度+2019,3,31))),"年度外の日付 ","")))</f>
        <v/>
      </c>
      <c r="K321" s="366" t="n"/>
    </row>
    <row r="322">
      <c r="A322" s="359" t="n"/>
      <c r="B322" s="360" t="n"/>
      <c r="C322" s="361" t="n"/>
      <c r="D322" s="362" t="n"/>
      <c r="E322" s="362" t="n"/>
      <c r="F322" s="363" t="n"/>
      <c r="G322" s="360" t="n"/>
      <c r="H322" s="359" t="str">
        <f>IF(OR($F322="",$C322=""),"",IF($B322="決算整理",13,MOD(MONTH($C322)-4,12)+1))</f>
        <v/>
      </c>
      <c r="I322" s="364" t="str">
        <f>IF(OR($F322="",$D322=""),"",IFERROR(INDEX(費用収益表_貸付!$S$1:$S$60,VLOOKUP($D322,科目表!$K$5:$L$40,2,FALSE))-SUMIFS($F$5:$F322,$D$5:$D322,$D322),"?"))</f>
        <v/>
      </c>
      <c r="J322" s="366" t="str">
        <f>IF($F322="","",TRIM(IF(ISERROR(MATCH($D322,科目表!$K$5:$K$40,0)),"科目未登録 ","")&amp;IF($G322="","状態未設定 ","")&amp;IF(AND(OR($G322="確認済",$G322="未確認"),$B322="通常",OR($C322="",$C322&lt;DATE(年度+2018,4,1),$C322&gt;DATE(年度+2019,3,31))),"年度外の日付 ","")))</f>
        <v/>
      </c>
      <c r="K322" s="366" t="n"/>
    </row>
    <row r="323">
      <c r="A323" s="359" t="n"/>
      <c r="B323" s="360" t="n"/>
      <c r="C323" s="361" t="n"/>
      <c r="D323" s="362" t="n"/>
      <c r="E323" s="362" t="n"/>
      <c r="F323" s="363" t="n"/>
      <c r="G323" s="360" t="n"/>
      <c r="H323" s="359" t="str">
        <f>IF(OR($F323="",$C323=""),"",IF($B323="決算整理",13,MOD(MONTH($C323)-4,12)+1))</f>
        <v/>
      </c>
      <c r="I323" s="364" t="str">
        <f>IF(OR($F323="",$D323=""),"",IFERROR(INDEX(費用収益表_貸付!$S$1:$S$60,VLOOKUP($D323,科目表!$K$5:$L$40,2,FALSE))-SUMIFS($F$5:$F323,$D$5:$D323,$D323),"?"))</f>
        <v/>
      </c>
      <c r="J323" s="366" t="str">
        <f>IF($F323="","",TRIM(IF(ISERROR(MATCH($D323,科目表!$K$5:$K$40,0)),"科目未登録 ","")&amp;IF($G323="","状態未設定 ","")&amp;IF(AND(OR($G323="確認済",$G323="未確認"),$B323="通常",OR($C323="",$C323&lt;DATE(年度+2018,4,1),$C323&gt;DATE(年度+2019,3,31))),"年度外の日付 ","")))</f>
        <v/>
      </c>
      <c r="K323" s="366" t="n"/>
    </row>
    <row r="324">
      <c r="A324" s="359" t="n"/>
      <c r="B324" s="360" t="n"/>
      <c r="C324" s="361" t="n"/>
      <c r="D324" s="362" t="n"/>
      <c r="E324" s="362" t="n"/>
      <c r="F324" s="363" t="n"/>
      <c r="G324" s="360" t="n"/>
      <c r="H324" s="359" t="str">
        <f>IF(OR($F324="",$C324=""),"",IF($B324="決算整理",13,MOD(MONTH($C324)-4,12)+1))</f>
        <v/>
      </c>
      <c r="I324" s="364" t="str">
        <f>IF(OR($F324="",$D324=""),"",IFERROR(INDEX(費用収益表_貸付!$S$1:$S$60,VLOOKUP($D324,科目表!$K$5:$L$40,2,FALSE))-SUMIFS($F$5:$F324,$D$5:$D324,$D324),"?"))</f>
        <v/>
      </c>
      <c r="J324" s="366" t="str">
        <f>IF($F324="","",TRIM(IF(ISERROR(MATCH($D324,科目表!$K$5:$K$40,0)),"科目未登録 ","")&amp;IF($G324="","状態未設定 ","")&amp;IF(AND(OR($G324="確認済",$G324="未確認"),$B324="通常",OR($C324="",$C324&lt;DATE(年度+2018,4,1),$C324&gt;DATE(年度+2019,3,31))),"年度外の日付 ","")))</f>
        <v/>
      </c>
      <c r="K324" s="366" t="n"/>
    </row>
    <row r="325">
      <c r="A325" s="359" t="n"/>
      <c r="B325" s="360" t="n"/>
      <c r="C325" s="361" t="n"/>
      <c r="D325" s="362" t="n"/>
      <c r="E325" s="362" t="n"/>
      <c r="F325" s="363" t="n"/>
      <c r="G325" s="360" t="n"/>
      <c r="H325" s="359" t="str">
        <f>IF(OR($F325="",$C325=""),"",IF($B325="決算整理",13,MOD(MONTH($C325)-4,12)+1))</f>
        <v/>
      </c>
      <c r="I325" s="364" t="str">
        <f>IF(OR($F325="",$D325=""),"",IFERROR(INDEX(費用収益表_貸付!$S$1:$S$60,VLOOKUP($D325,科目表!$K$5:$L$40,2,FALSE))-SUMIFS($F$5:$F325,$D$5:$D325,$D325),"?"))</f>
        <v/>
      </c>
      <c r="J325" s="366" t="str">
        <f>IF($F325="","",TRIM(IF(ISERROR(MATCH($D325,科目表!$K$5:$K$40,0)),"科目未登録 ","")&amp;IF($G325="","状態未設定 ","")&amp;IF(AND(OR($G325="確認済",$G325="未確認"),$B325="通常",OR($C325="",$C325&lt;DATE(年度+2018,4,1),$C325&gt;DATE(年度+2019,3,31))),"年度外の日付 ","")))</f>
        <v/>
      </c>
      <c r="K325" s="366" t="n"/>
    </row>
    <row r="326">
      <c r="A326" s="359" t="n"/>
      <c r="B326" s="360" t="n"/>
      <c r="C326" s="361" t="n"/>
      <c r="D326" s="362" t="n"/>
      <c r="E326" s="362" t="n"/>
      <c r="F326" s="363" t="n"/>
      <c r="G326" s="360" t="n"/>
      <c r="H326" s="359" t="str">
        <f>IF(OR($F326="",$C326=""),"",IF($B326="決算整理",13,MOD(MONTH($C326)-4,12)+1))</f>
        <v/>
      </c>
      <c r="I326" s="364" t="str">
        <f>IF(OR($F326="",$D326=""),"",IFERROR(INDEX(費用収益表_貸付!$S$1:$S$60,VLOOKUP($D326,科目表!$K$5:$L$40,2,FALSE))-SUMIFS($F$5:$F326,$D$5:$D326,$D326),"?"))</f>
        <v/>
      </c>
      <c r="J326" s="366" t="str">
        <f>IF($F326="","",TRIM(IF(ISERROR(MATCH($D326,科目表!$K$5:$K$40,0)),"科目未登録 ","")&amp;IF($G326="","状態未設定 ","")&amp;IF(AND(OR($G326="確認済",$G326="未確認"),$B326="通常",OR($C326="",$C326&lt;DATE(年度+2018,4,1),$C326&gt;DATE(年度+2019,3,31))),"年度外の日付 ","")))</f>
        <v/>
      </c>
      <c r="K326" s="366" t="n"/>
    </row>
    <row r="327">
      <c r="A327" s="359" t="n"/>
      <c r="B327" s="360" t="n"/>
      <c r="C327" s="361" t="n"/>
      <c r="D327" s="362" t="n"/>
      <c r="E327" s="362" t="n"/>
      <c r="F327" s="363" t="n"/>
      <c r="G327" s="360" t="n"/>
      <c r="H327" s="359" t="str">
        <f>IF(OR($F327="",$C327=""),"",IF($B327="決算整理",13,MOD(MONTH($C327)-4,12)+1))</f>
        <v/>
      </c>
      <c r="I327" s="364" t="str">
        <f>IF(OR($F327="",$D327=""),"",IFERROR(INDEX(費用収益表_貸付!$S$1:$S$60,VLOOKUP($D327,科目表!$K$5:$L$40,2,FALSE))-SUMIFS($F$5:$F327,$D$5:$D327,$D327),"?"))</f>
        <v/>
      </c>
      <c r="J327" s="366" t="str">
        <f>IF($F327="","",TRIM(IF(ISERROR(MATCH($D327,科目表!$K$5:$K$40,0)),"科目未登録 ","")&amp;IF($G327="","状態未設定 ","")&amp;IF(AND(OR($G327="確認済",$G327="未確認"),$B327="通常",OR($C327="",$C327&lt;DATE(年度+2018,4,1),$C327&gt;DATE(年度+2019,3,31))),"年度外の日付 ","")))</f>
        <v/>
      </c>
      <c r="K327" s="366" t="n"/>
    </row>
    <row r="328">
      <c r="A328" s="359" t="n"/>
      <c r="B328" s="360" t="n"/>
      <c r="C328" s="361" t="n"/>
      <c r="D328" s="362" t="n"/>
      <c r="E328" s="362" t="n"/>
      <c r="F328" s="363" t="n"/>
      <c r="G328" s="360" t="n"/>
      <c r="H328" s="359" t="str">
        <f>IF(OR($F328="",$C328=""),"",IF($B328="決算整理",13,MOD(MONTH($C328)-4,12)+1))</f>
        <v/>
      </c>
      <c r="I328" s="364" t="str">
        <f>IF(OR($F328="",$D328=""),"",IFERROR(INDEX(費用収益表_貸付!$S$1:$S$60,VLOOKUP($D328,科目表!$K$5:$L$40,2,FALSE))-SUMIFS($F$5:$F328,$D$5:$D328,$D328),"?"))</f>
        <v/>
      </c>
      <c r="J328" s="366" t="str">
        <f>IF($F328="","",TRIM(IF(ISERROR(MATCH($D328,科目表!$K$5:$K$40,0)),"科目未登録 ","")&amp;IF($G328="","状態未設定 ","")&amp;IF(AND(OR($G328="確認済",$G328="未確認"),$B328="通常",OR($C328="",$C328&lt;DATE(年度+2018,4,1),$C328&gt;DATE(年度+2019,3,31))),"年度外の日付 ","")))</f>
        <v/>
      </c>
      <c r="K328" s="366" t="n"/>
    </row>
    <row r="329">
      <c r="A329" s="359" t="n"/>
      <c r="B329" s="360" t="n"/>
      <c r="C329" s="361" t="n"/>
      <c r="D329" s="362" t="n"/>
      <c r="E329" s="362" t="n"/>
      <c r="F329" s="363" t="n"/>
      <c r="G329" s="360" t="n"/>
      <c r="H329" s="359" t="str">
        <f>IF(OR($F329="",$C329=""),"",IF($B329="決算整理",13,MOD(MONTH($C329)-4,12)+1))</f>
        <v/>
      </c>
      <c r="I329" s="364" t="str">
        <f>IF(OR($F329="",$D329=""),"",IFERROR(INDEX(費用収益表_貸付!$S$1:$S$60,VLOOKUP($D329,科目表!$K$5:$L$40,2,FALSE))-SUMIFS($F$5:$F329,$D$5:$D329,$D329),"?"))</f>
        <v/>
      </c>
      <c r="J329" s="366" t="str">
        <f>IF($F329="","",TRIM(IF(ISERROR(MATCH($D329,科目表!$K$5:$K$40,0)),"科目未登録 ","")&amp;IF($G329="","状態未設定 ","")&amp;IF(AND(OR($G329="確認済",$G329="未確認"),$B329="通常",OR($C329="",$C329&lt;DATE(年度+2018,4,1),$C329&gt;DATE(年度+2019,3,31))),"年度外の日付 ","")))</f>
        <v/>
      </c>
      <c r="K329" s="366" t="n"/>
    </row>
    <row r="330">
      <c r="A330" s="359" t="n"/>
      <c r="B330" s="360" t="n"/>
      <c r="C330" s="361" t="n"/>
      <c r="D330" s="362" t="n"/>
      <c r="E330" s="362" t="n"/>
      <c r="F330" s="363" t="n"/>
      <c r="G330" s="360" t="n"/>
      <c r="H330" s="359" t="str">
        <f>IF(OR($F330="",$C330=""),"",IF($B330="決算整理",13,MOD(MONTH($C330)-4,12)+1))</f>
        <v/>
      </c>
      <c r="I330" s="364" t="str">
        <f>IF(OR($F330="",$D330=""),"",IFERROR(INDEX(費用収益表_貸付!$S$1:$S$60,VLOOKUP($D330,科目表!$K$5:$L$40,2,FALSE))-SUMIFS($F$5:$F330,$D$5:$D330,$D330),"?"))</f>
        <v/>
      </c>
      <c r="J330" s="366" t="str">
        <f>IF($F330="","",TRIM(IF(ISERROR(MATCH($D330,科目表!$K$5:$K$40,0)),"科目未登録 ","")&amp;IF($G330="","状態未設定 ","")&amp;IF(AND(OR($G330="確認済",$G330="未確認"),$B330="通常",OR($C330="",$C330&lt;DATE(年度+2018,4,1),$C330&gt;DATE(年度+2019,3,31))),"年度外の日付 ","")))</f>
        <v/>
      </c>
      <c r="K330" s="366" t="n"/>
    </row>
    <row r="331">
      <c r="A331" s="359" t="n"/>
      <c r="B331" s="360" t="n"/>
      <c r="C331" s="361" t="n"/>
      <c r="D331" s="362" t="n"/>
      <c r="E331" s="362" t="n"/>
      <c r="F331" s="363" t="n"/>
      <c r="G331" s="360" t="n"/>
      <c r="H331" s="359" t="str">
        <f>IF(OR($F331="",$C331=""),"",IF($B331="決算整理",13,MOD(MONTH($C331)-4,12)+1))</f>
        <v/>
      </c>
      <c r="I331" s="364" t="str">
        <f>IF(OR($F331="",$D331=""),"",IFERROR(INDEX(費用収益表_貸付!$S$1:$S$60,VLOOKUP($D331,科目表!$K$5:$L$40,2,FALSE))-SUMIFS($F$5:$F331,$D$5:$D331,$D331),"?"))</f>
        <v/>
      </c>
      <c r="J331" s="366" t="str">
        <f>IF($F331="","",TRIM(IF(ISERROR(MATCH($D331,科目表!$K$5:$K$40,0)),"科目未登録 ","")&amp;IF($G331="","状態未設定 ","")&amp;IF(AND(OR($G331="確認済",$G331="未確認"),$B331="通常",OR($C331="",$C331&lt;DATE(年度+2018,4,1),$C331&gt;DATE(年度+2019,3,31))),"年度外の日付 ","")))</f>
        <v/>
      </c>
      <c r="K331" s="366" t="n"/>
    </row>
    <row r="332">
      <c r="A332" s="359" t="n"/>
      <c r="B332" s="360" t="n"/>
      <c r="C332" s="361" t="n"/>
      <c r="D332" s="362" t="n"/>
      <c r="E332" s="362" t="n"/>
      <c r="F332" s="363" t="n"/>
      <c r="G332" s="360" t="n"/>
      <c r="H332" s="359" t="str">
        <f>IF(OR($F332="",$C332=""),"",IF($B332="決算整理",13,MOD(MONTH($C332)-4,12)+1))</f>
        <v/>
      </c>
      <c r="I332" s="364" t="str">
        <f>IF(OR($F332="",$D332=""),"",IFERROR(INDEX(費用収益表_貸付!$S$1:$S$60,VLOOKUP($D332,科目表!$K$5:$L$40,2,FALSE))-SUMIFS($F$5:$F332,$D$5:$D332,$D332),"?"))</f>
        <v/>
      </c>
      <c r="J332" s="366" t="str">
        <f>IF($F332="","",TRIM(IF(ISERROR(MATCH($D332,科目表!$K$5:$K$40,0)),"科目未登録 ","")&amp;IF($G332="","状態未設定 ","")&amp;IF(AND(OR($G332="確認済",$G332="未確認"),$B332="通常",OR($C332="",$C332&lt;DATE(年度+2018,4,1),$C332&gt;DATE(年度+2019,3,31))),"年度外の日付 ","")))</f>
        <v/>
      </c>
      <c r="K332" s="366" t="n"/>
    </row>
    <row r="333">
      <c r="A333" s="359" t="n"/>
      <c r="B333" s="360" t="n"/>
      <c r="C333" s="361" t="n"/>
      <c r="D333" s="362" t="n"/>
      <c r="E333" s="362" t="n"/>
      <c r="F333" s="363" t="n"/>
      <c r="G333" s="360" t="n"/>
      <c r="H333" s="359" t="str">
        <f>IF(OR($F333="",$C333=""),"",IF($B333="決算整理",13,MOD(MONTH($C333)-4,12)+1))</f>
        <v/>
      </c>
      <c r="I333" s="364" t="str">
        <f>IF(OR($F333="",$D333=""),"",IFERROR(INDEX(費用収益表_貸付!$S$1:$S$60,VLOOKUP($D333,科目表!$K$5:$L$40,2,FALSE))-SUMIFS($F$5:$F333,$D$5:$D333,$D333),"?"))</f>
        <v/>
      </c>
      <c r="J333" s="366" t="str">
        <f>IF($F333="","",TRIM(IF(ISERROR(MATCH($D333,科目表!$K$5:$K$40,0)),"科目未登録 ","")&amp;IF($G333="","状態未設定 ","")&amp;IF(AND(OR($G333="確認済",$G333="未確認"),$B333="通常",OR($C333="",$C333&lt;DATE(年度+2018,4,1),$C333&gt;DATE(年度+2019,3,31))),"年度外の日付 ","")))</f>
        <v/>
      </c>
      <c r="K333" s="366" t="n"/>
    </row>
    <row r="334">
      <c r="A334" s="359" t="n"/>
      <c r="B334" s="360" t="n"/>
      <c r="C334" s="361" t="n"/>
      <c r="D334" s="362" t="n"/>
      <c r="E334" s="362" t="n"/>
      <c r="F334" s="363" t="n"/>
      <c r="G334" s="360" t="n"/>
      <c r="H334" s="359" t="str">
        <f>IF(OR($F334="",$C334=""),"",IF($B334="決算整理",13,MOD(MONTH($C334)-4,12)+1))</f>
        <v/>
      </c>
      <c r="I334" s="364" t="str">
        <f>IF(OR($F334="",$D334=""),"",IFERROR(INDEX(費用収益表_貸付!$S$1:$S$60,VLOOKUP($D334,科目表!$K$5:$L$40,2,FALSE))-SUMIFS($F$5:$F334,$D$5:$D334,$D334),"?"))</f>
        <v/>
      </c>
      <c r="J334" s="366" t="str">
        <f>IF($F334="","",TRIM(IF(ISERROR(MATCH($D334,科目表!$K$5:$K$40,0)),"科目未登録 ","")&amp;IF($G334="","状態未設定 ","")&amp;IF(AND(OR($G334="確認済",$G334="未確認"),$B334="通常",OR($C334="",$C334&lt;DATE(年度+2018,4,1),$C334&gt;DATE(年度+2019,3,31))),"年度外の日付 ","")))</f>
        <v/>
      </c>
      <c r="K334" s="366" t="n"/>
    </row>
    <row r="335">
      <c r="A335" s="359" t="n"/>
      <c r="B335" s="360" t="n"/>
      <c r="C335" s="361" t="n"/>
      <c r="D335" s="362" t="n"/>
      <c r="E335" s="362" t="n"/>
      <c r="F335" s="363" t="n"/>
      <c r="G335" s="360" t="n"/>
      <c r="H335" s="359" t="str">
        <f>IF(OR($F335="",$C335=""),"",IF($B335="決算整理",13,MOD(MONTH($C335)-4,12)+1))</f>
        <v/>
      </c>
      <c r="I335" s="364" t="str">
        <f>IF(OR($F335="",$D335=""),"",IFERROR(INDEX(費用収益表_貸付!$S$1:$S$60,VLOOKUP($D335,科目表!$K$5:$L$40,2,FALSE))-SUMIFS($F$5:$F335,$D$5:$D335,$D335),"?"))</f>
        <v/>
      </c>
      <c r="J335" s="366" t="str">
        <f>IF($F335="","",TRIM(IF(ISERROR(MATCH($D335,科目表!$K$5:$K$40,0)),"科目未登録 ","")&amp;IF($G335="","状態未設定 ","")&amp;IF(AND(OR($G335="確認済",$G335="未確認"),$B335="通常",OR($C335="",$C335&lt;DATE(年度+2018,4,1),$C335&gt;DATE(年度+2019,3,31))),"年度外の日付 ","")))</f>
        <v/>
      </c>
      <c r="K335" s="366" t="n"/>
    </row>
    <row r="336">
      <c r="A336" s="359" t="n"/>
      <c r="B336" s="360" t="n"/>
      <c r="C336" s="361" t="n"/>
      <c r="D336" s="362" t="n"/>
      <c r="E336" s="362" t="n"/>
      <c r="F336" s="363" t="n"/>
      <c r="G336" s="360" t="n"/>
      <c r="H336" s="359" t="str">
        <f>IF(OR($F336="",$C336=""),"",IF($B336="決算整理",13,MOD(MONTH($C336)-4,12)+1))</f>
        <v/>
      </c>
      <c r="I336" s="364" t="str">
        <f>IF(OR($F336="",$D336=""),"",IFERROR(INDEX(費用収益表_貸付!$S$1:$S$60,VLOOKUP($D336,科目表!$K$5:$L$40,2,FALSE))-SUMIFS($F$5:$F336,$D$5:$D336,$D336),"?"))</f>
        <v/>
      </c>
      <c r="J336" s="366" t="str">
        <f>IF($F336="","",TRIM(IF(ISERROR(MATCH($D336,科目表!$K$5:$K$40,0)),"科目未登録 ","")&amp;IF($G336="","状態未設定 ","")&amp;IF(AND(OR($G336="確認済",$G336="未確認"),$B336="通常",OR($C336="",$C336&lt;DATE(年度+2018,4,1),$C336&gt;DATE(年度+2019,3,31))),"年度外の日付 ","")))</f>
        <v/>
      </c>
      <c r="K336" s="366" t="n"/>
    </row>
    <row r="337">
      <c r="A337" s="359" t="n"/>
      <c r="B337" s="360" t="n"/>
      <c r="C337" s="361" t="n"/>
      <c r="D337" s="362" t="n"/>
      <c r="E337" s="362" t="n"/>
      <c r="F337" s="363" t="n"/>
      <c r="G337" s="360" t="n"/>
      <c r="H337" s="359" t="str">
        <f>IF(OR($F337="",$C337=""),"",IF($B337="決算整理",13,MOD(MONTH($C337)-4,12)+1))</f>
        <v/>
      </c>
      <c r="I337" s="364" t="str">
        <f>IF(OR($F337="",$D337=""),"",IFERROR(INDEX(費用収益表_貸付!$S$1:$S$60,VLOOKUP($D337,科目表!$K$5:$L$40,2,FALSE))-SUMIFS($F$5:$F337,$D$5:$D337,$D337),"?"))</f>
        <v/>
      </c>
      <c r="J337" s="366" t="str">
        <f>IF($F337="","",TRIM(IF(ISERROR(MATCH($D337,科目表!$K$5:$K$40,0)),"科目未登録 ","")&amp;IF($G337="","状態未設定 ","")&amp;IF(AND(OR($G337="確認済",$G337="未確認"),$B337="通常",OR($C337="",$C337&lt;DATE(年度+2018,4,1),$C337&gt;DATE(年度+2019,3,31))),"年度外の日付 ","")))</f>
        <v/>
      </c>
      <c r="K337" s="366" t="n"/>
    </row>
    <row r="338">
      <c r="A338" s="359" t="n"/>
      <c r="B338" s="360" t="n"/>
      <c r="C338" s="361" t="n"/>
      <c r="D338" s="362" t="n"/>
      <c r="E338" s="362" t="n"/>
      <c r="F338" s="363" t="n"/>
      <c r="G338" s="360" t="n"/>
      <c r="H338" s="359" t="str">
        <f>IF(OR($F338="",$C338=""),"",IF($B338="決算整理",13,MOD(MONTH($C338)-4,12)+1))</f>
        <v/>
      </c>
      <c r="I338" s="364" t="str">
        <f>IF(OR($F338="",$D338=""),"",IFERROR(INDEX(費用収益表_貸付!$S$1:$S$60,VLOOKUP($D338,科目表!$K$5:$L$40,2,FALSE))-SUMIFS($F$5:$F338,$D$5:$D338,$D338),"?"))</f>
        <v/>
      </c>
      <c r="J338" s="366" t="str">
        <f>IF($F338="","",TRIM(IF(ISERROR(MATCH($D338,科目表!$K$5:$K$40,0)),"科目未登録 ","")&amp;IF($G338="","状態未設定 ","")&amp;IF(AND(OR($G338="確認済",$G338="未確認"),$B338="通常",OR($C338="",$C338&lt;DATE(年度+2018,4,1),$C338&gt;DATE(年度+2019,3,31))),"年度外の日付 ","")))</f>
        <v/>
      </c>
      <c r="K338" s="366" t="n"/>
    </row>
    <row r="339">
      <c r="A339" s="359" t="n"/>
      <c r="B339" s="360" t="n"/>
      <c r="C339" s="361" t="n"/>
      <c r="D339" s="362" t="n"/>
      <c r="E339" s="362" t="n"/>
      <c r="F339" s="363" t="n"/>
      <c r="G339" s="360" t="n"/>
      <c r="H339" s="359" t="str">
        <f>IF(OR($F339="",$C339=""),"",IF($B339="決算整理",13,MOD(MONTH($C339)-4,12)+1))</f>
        <v/>
      </c>
      <c r="I339" s="364" t="str">
        <f>IF(OR($F339="",$D339=""),"",IFERROR(INDEX(費用収益表_貸付!$S$1:$S$60,VLOOKUP($D339,科目表!$K$5:$L$40,2,FALSE))-SUMIFS($F$5:$F339,$D$5:$D339,$D339),"?"))</f>
        <v/>
      </c>
      <c r="J339" s="366" t="str">
        <f>IF($F339="","",TRIM(IF(ISERROR(MATCH($D339,科目表!$K$5:$K$40,0)),"科目未登録 ","")&amp;IF($G339="","状態未設定 ","")&amp;IF(AND(OR($G339="確認済",$G339="未確認"),$B339="通常",OR($C339="",$C339&lt;DATE(年度+2018,4,1),$C339&gt;DATE(年度+2019,3,31))),"年度外の日付 ","")))</f>
        <v/>
      </c>
      <c r="K339" s="366" t="n"/>
    </row>
    <row r="340">
      <c r="A340" s="359" t="n"/>
      <c r="B340" s="360" t="n"/>
      <c r="C340" s="361" t="n"/>
      <c r="D340" s="362" t="n"/>
      <c r="E340" s="362" t="n"/>
      <c r="F340" s="363" t="n"/>
      <c r="G340" s="360" t="n"/>
      <c r="H340" s="359" t="str">
        <f>IF(OR($F340="",$C340=""),"",IF($B340="決算整理",13,MOD(MONTH($C340)-4,12)+1))</f>
        <v/>
      </c>
      <c r="I340" s="364" t="str">
        <f>IF(OR($F340="",$D340=""),"",IFERROR(INDEX(費用収益表_貸付!$S$1:$S$60,VLOOKUP($D340,科目表!$K$5:$L$40,2,FALSE))-SUMIFS($F$5:$F340,$D$5:$D340,$D340),"?"))</f>
        <v/>
      </c>
      <c r="J340" s="366" t="str">
        <f>IF($F340="","",TRIM(IF(ISERROR(MATCH($D340,科目表!$K$5:$K$40,0)),"科目未登録 ","")&amp;IF($G340="","状態未設定 ","")&amp;IF(AND(OR($G340="確認済",$G340="未確認"),$B340="通常",OR($C340="",$C340&lt;DATE(年度+2018,4,1),$C340&gt;DATE(年度+2019,3,31))),"年度外の日付 ","")))</f>
        <v/>
      </c>
      <c r="K340" s="366" t="n"/>
    </row>
    <row r="341">
      <c r="A341" s="359" t="n"/>
      <c r="B341" s="360" t="n"/>
      <c r="C341" s="361" t="n"/>
      <c r="D341" s="362" t="n"/>
      <c r="E341" s="362" t="n"/>
      <c r="F341" s="363" t="n"/>
      <c r="G341" s="360" t="n"/>
      <c r="H341" s="359" t="str">
        <f>IF(OR($F341="",$C341=""),"",IF($B341="決算整理",13,MOD(MONTH($C341)-4,12)+1))</f>
        <v/>
      </c>
      <c r="I341" s="364" t="str">
        <f>IF(OR($F341="",$D341=""),"",IFERROR(INDEX(費用収益表_貸付!$S$1:$S$60,VLOOKUP($D341,科目表!$K$5:$L$40,2,FALSE))-SUMIFS($F$5:$F341,$D$5:$D341,$D341),"?"))</f>
        <v/>
      </c>
      <c r="J341" s="366" t="str">
        <f>IF($F341="","",TRIM(IF(ISERROR(MATCH($D341,科目表!$K$5:$K$40,0)),"科目未登録 ","")&amp;IF($G341="","状態未設定 ","")&amp;IF(AND(OR($G341="確認済",$G341="未確認"),$B341="通常",OR($C341="",$C341&lt;DATE(年度+2018,4,1),$C341&gt;DATE(年度+2019,3,31))),"年度外の日付 ","")))</f>
        <v/>
      </c>
      <c r="K341" s="366" t="n"/>
    </row>
    <row r="342">
      <c r="A342" s="359" t="n"/>
      <c r="B342" s="360" t="n"/>
      <c r="C342" s="361" t="n"/>
      <c r="D342" s="362" t="n"/>
      <c r="E342" s="362" t="n"/>
      <c r="F342" s="363" t="n"/>
      <c r="G342" s="360" t="n"/>
      <c r="H342" s="359" t="str">
        <f>IF(OR($F342="",$C342=""),"",IF($B342="決算整理",13,MOD(MONTH($C342)-4,12)+1))</f>
        <v/>
      </c>
      <c r="I342" s="364" t="str">
        <f>IF(OR($F342="",$D342=""),"",IFERROR(INDEX(費用収益表_貸付!$S$1:$S$60,VLOOKUP($D342,科目表!$K$5:$L$40,2,FALSE))-SUMIFS($F$5:$F342,$D$5:$D342,$D342),"?"))</f>
        <v/>
      </c>
      <c r="J342" s="366" t="str">
        <f>IF($F342="","",TRIM(IF(ISERROR(MATCH($D342,科目表!$K$5:$K$40,0)),"科目未登録 ","")&amp;IF($G342="","状態未設定 ","")&amp;IF(AND(OR($G342="確認済",$G342="未確認"),$B342="通常",OR($C342="",$C342&lt;DATE(年度+2018,4,1),$C342&gt;DATE(年度+2019,3,31))),"年度外の日付 ","")))</f>
        <v/>
      </c>
      <c r="K342" s="366" t="n"/>
    </row>
    <row r="343">
      <c r="A343" s="359" t="n"/>
      <c r="B343" s="360" t="n"/>
      <c r="C343" s="361" t="n"/>
      <c r="D343" s="362" t="n"/>
      <c r="E343" s="362" t="n"/>
      <c r="F343" s="363" t="n"/>
      <c r="G343" s="360" t="n"/>
      <c r="H343" s="359" t="str">
        <f>IF(OR($F343="",$C343=""),"",IF($B343="決算整理",13,MOD(MONTH($C343)-4,12)+1))</f>
        <v/>
      </c>
      <c r="I343" s="364" t="str">
        <f>IF(OR($F343="",$D343=""),"",IFERROR(INDEX(費用収益表_貸付!$S$1:$S$60,VLOOKUP($D343,科目表!$K$5:$L$40,2,FALSE))-SUMIFS($F$5:$F343,$D$5:$D343,$D343),"?"))</f>
        <v/>
      </c>
      <c r="J343" s="366" t="str">
        <f>IF($F343="","",TRIM(IF(ISERROR(MATCH($D343,科目表!$K$5:$K$40,0)),"科目未登録 ","")&amp;IF($G343="","状態未設定 ","")&amp;IF(AND(OR($G343="確認済",$G343="未確認"),$B343="通常",OR($C343="",$C343&lt;DATE(年度+2018,4,1),$C343&gt;DATE(年度+2019,3,31))),"年度外の日付 ","")))</f>
        <v/>
      </c>
      <c r="K343" s="366" t="n"/>
    </row>
    <row r="344">
      <c r="A344" s="359" t="n"/>
      <c r="B344" s="360" t="n"/>
      <c r="C344" s="361" t="n"/>
      <c r="D344" s="362" t="n"/>
      <c r="E344" s="362" t="n"/>
      <c r="F344" s="363" t="n"/>
      <c r="G344" s="360" t="n"/>
      <c r="H344" s="359" t="str">
        <f>IF(OR($F344="",$C344=""),"",IF($B344="決算整理",13,MOD(MONTH($C344)-4,12)+1))</f>
        <v/>
      </c>
      <c r="I344" s="364" t="str">
        <f>IF(OR($F344="",$D344=""),"",IFERROR(INDEX(費用収益表_貸付!$S$1:$S$60,VLOOKUP($D344,科目表!$K$5:$L$40,2,FALSE))-SUMIFS($F$5:$F344,$D$5:$D344,$D344),"?"))</f>
        <v/>
      </c>
      <c r="J344" s="366" t="str">
        <f>IF($F344="","",TRIM(IF(ISERROR(MATCH($D344,科目表!$K$5:$K$40,0)),"科目未登録 ","")&amp;IF($G344="","状態未設定 ","")&amp;IF(AND(OR($G344="確認済",$G344="未確認"),$B344="通常",OR($C344="",$C344&lt;DATE(年度+2018,4,1),$C344&gt;DATE(年度+2019,3,31))),"年度外の日付 ","")))</f>
        <v/>
      </c>
      <c r="K344" s="366" t="n"/>
    </row>
    <row r="345">
      <c r="A345" s="359" t="n"/>
      <c r="B345" s="360" t="n"/>
      <c r="C345" s="361" t="n"/>
      <c r="D345" s="362" t="n"/>
      <c r="E345" s="362" t="n"/>
      <c r="F345" s="363" t="n"/>
      <c r="G345" s="360" t="n"/>
      <c r="H345" s="359" t="str">
        <f>IF(OR($F345="",$C345=""),"",IF($B345="決算整理",13,MOD(MONTH($C345)-4,12)+1))</f>
        <v/>
      </c>
      <c r="I345" s="364" t="str">
        <f>IF(OR($F345="",$D345=""),"",IFERROR(INDEX(費用収益表_貸付!$S$1:$S$60,VLOOKUP($D345,科目表!$K$5:$L$40,2,FALSE))-SUMIFS($F$5:$F345,$D$5:$D345,$D345),"?"))</f>
        <v/>
      </c>
      <c r="J345" s="366" t="str">
        <f>IF($F345="","",TRIM(IF(ISERROR(MATCH($D345,科目表!$K$5:$K$40,0)),"科目未登録 ","")&amp;IF($G345="","状態未設定 ","")&amp;IF(AND(OR($G345="確認済",$G345="未確認"),$B345="通常",OR($C345="",$C345&lt;DATE(年度+2018,4,1),$C345&gt;DATE(年度+2019,3,31))),"年度外の日付 ","")))</f>
        <v/>
      </c>
      <c r="K345" s="366" t="n"/>
    </row>
    <row r="346">
      <c r="A346" s="359" t="n"/>
      <c r="B346" s="360" t="n"/>
      <c r="C346" s="361" t="n"/>
      <c r="D346" s="362" t="n"/>
      <c r="E346" s="362" t="n"/>
      <c r="F346" s="363" t="n"/>
      <c r="G346" s="360" t="n"/>
      <c r="H346" s="359" t="str">
        <f>IF(OR($F346="",$C346=""),"",IF($B346="決算整理",13,MOD(MONTH($C346)-4,12)+1))</f>
        <v/>
      </c>
      <c r="I346" s="364" t="str">
        <f>IF(OR($F346="",$D346=""),"",IFERROR(INDEX(費用収益表_貸付!$S$1:$S$60,VLOOKUP($D346,科目表!$K$5:$L$40,2,FALSE))-SUMIFS($F$5:$F346,$D$5:$D346,$D346),"?"))</f>
        <v/>
      </c>
      <c r="J346" s="366" t="str">
        <f>IF($F346="","",TRIM(IF(ISERROR(MATCH($D346,科目表!$K$5:$K$40,0)),"科目未登録 ","")&amp;IF($G346="","状態未設定 ","")&amp;IF(AND(OR($G346="確認済",$G346="未確認"),$B346="通常",OR($C346="",$C346&lt;DATE(年度+2018,4,1),$C346&gt;DATE(年度+2019,3,31))),"年度外の日付 ","")))</f>
        <v/>
      </c>
      <c r="K346" s="366" t="n"/>
    </row>
    <row r="347">
      <c r="A347" s="359" t="n"/>
      <c r="B347" s="360" t="n"/>
      <c r="C347" s="361" t="n"/>
      <c r="D347" s="362" t="n"/>
      <c r="E347" s="362" t="n"/>
      <c r="F347" s="363" t="n"/>
      <c r="G347" s="360" t="n"/>
      <c r="H347" s="359" t="str">
        <f>IF(OR($F347="",$C347=""),"",IF($B347="決算整理",13,MOD(MONTH($C347)-4,12)+1))</f>
        <v/>
      </c>
      <c r="I347" s="364" t="str">
        <f>IF(OR($F347="",$D347=""),"",IFERROR(INDEX(費用収益表_貸付!$S$1:$S$60,VLOOKUP($D347,科目表!$K$5:$L$40,2,FALSE))-SUMIFS($F$5:$F347,$D$5:$D347,$D347),"?"))</f>
        <v/>
      </c>
      <c r="J347" s="366" t="str">
        <f>IF($F347="","",TRIM(IF(ISERROR(MATCH($D347,科目表!$K$5:$K$40,0)),"科目未登録 ","")&amp;IF($G347="","状態未設定 ","")&amp;IF(AND(OR($G347="確認済",$G347="未確認"),$B347="通常",OR($C347="",$C347&lt;DATE(年度+2018,4,1),$C347&gt;DATE(年度+2019,3,31))),"年度外の日付 ","")))</f>
        <v/>
      </c>
      <c r="K347" s="366" t="n"/>
    </row>
    <row r="348">
      <c r="A348" s="359" t="n"/>
      <c r="B348" s="360" t="n"/>
      <c r="C348" s="361" t="n"/>
      <c r="D348" s="362" t="n"/>
      <c r="E348" s="362" t="n"/>
      <c r="F348" s="363" t="n"/>
      <c r="G348" s="360" t="n"/>
      <c r="H348" s="359" t="str">
        <f>IF(OR($F348="",$C348=""),"",IF($B348="決算整理",13,MOD(MONTH($C348)-4,12)+1))</f>
        <v/>
      </c>
      <c r="I348" s="364" t="str">
        <f>IF(OR($F348="",$D348=""),"",IFERROR(INDEX(費用収益表_貸付!$S$1:$S$60,VLOOKUP($D348,科目表!$K$5:$L$40,2,FALSE))-SUMIFS($F$5:$F348,$D$5:$D348,$D348),"?"))</f>
        <v/>
      </c>
      <c r="J348" s="366" t="str">
        <f>IF($F348="","",TRIM(IF(ISERROR(MATCH($D348,科目表!$K$5:$K$40,0)),"科目未登録 ","")&amp;IF($G348="","状態未設定 ","")&amp;IF(AND(OR($G348="確認済",$G348="未確認"),$B348="通常",OR($C348="",$C348&lt;DATE(年度+2018,4,1),$C348&gt;DATE(年度+2019,3,31))),"年度外の日付 ","")))</f>
        <v/>
      </c>
      <c r="K348" s="366" t="n"/>
    </row>
    <row r="349">
      <c r="A349" s="359" t="n"/>
      <c r="B349" s="360" t="n"/>
      <c r="C349" s="361" t="n"/>
      <c r="D349" s="362" t="n"/>
      <c r="E349" s="362" t="n"/>
      <c r="F349" s="363" t="n"/>
      <c r="G349" s="360" t="n"/>
      <c r="H349" s="359" t="str">
        <f>IF(OR($F349="",$C349=""),"",IF($B349="決算整理",13,MOD(MONTH($C349)-4,12)+1))</f>
        <v/>
      </c>
      <c r="I349" s="364" t="str">
        <f>IF(OR($F349="",$D349=""),"",IFERROR(INDEX(費用収益表_貸付!$S$1:$S$60,VLOOKUP($D349,科目表!$K$5:$L$40,2,FALSE))-SUMIFS($F$5:$F349,$D$5:$D349,$D349),"?"))</f>
        <v/>
      </c>
      <c r="J349" s="366" t="str">
        <f>IF($F349="","",TRIM(IF(ISERROR(MATCH($D349,科目表!$K$5:$K$40,0)),"科目未登録 ","")&amp;IF($G349="","状態未設定 ","")&amp;IF(AND(OR($G349="確認済",$G349="未確認"),$B349="通常",OR($C349="",$C349&lt;DATE(年度+2018,4,1),$C349&gt;DATE(年度+2019,3,31))),"年度外の日付 ","")))</f>
        <v/>
      </c>
      <c r="K349" s="366" t="n"/>
    </row>
    <row r="350">
      <c r="A350" s="359" t="n"/>
      <c r="B350" s="360" t="n"/>
      <c r="C350" s="361" t="n"/>
      <c r="D350" s="362" t="n"/>
      <c r="E350" s="362" t="n"/>
      <c r="F350" s="363" t="n"/>
      <c r="G350" s="360" t="n"/>
      <c r="H350" s="359" t="str">
        <f>IF(OR($F350="",$C350=""),"",IF($B350="決算整理",13,MOD(MONTH($C350)-4,12)+1))</f>
        <v/>
      </c>
      <c r="I350" s="364" t="str">
        <f>IF(OR($F350="",$D350=""),"",IFERROR(INDEX(費用収益表_貸付!$S$1:$S$60,VLOOKUP($D350,科目表!$K$5:$L$40,2,FALSE))-SUMIFS($F$5:$F350,$D$5:$D350,$D350),"?"))</f>
        <v/>
      </c>
      <c r="J350" s="366" t="str">
        <f>IF($F350="","",TRIM(IF(ISERROR(MATCH($D350,科目表!$K$5:$K$40,0)),"科目未登録 ","")&amp;IF($G350="","状態未設定 ","")&amp;IF(AND(OR($G350="確認済",$G350="未確認"),$B350="通常",OR($C350="",$C350&lt;DATE(年度+2018,4,1),$C350&gt;DATE(年度+2019,3,31))),"年度外の日付 ","")))</f>
        <v/>
      </c>
      <c r="K350" s="366" t="n"/>
    </row>
    <row r="351">
      <c r="A351" s="359" t="n"/>
      <c r="B351" s="360" t="n"/>
      <c r="C351" s="361" t="n"/>
      <c r="D351" s="362" t="n"/>
      <c r="E351" s="362" t="n"/>
      <c r="F351" s="363" t="n"/>
      <c r="G351" s="360" t="n"/>
      <c r="H351" s="359" t="str">
        <f>IF(OR($F351="",$C351=""),"",IF($B351="決算整理",13,MOD(MONTH($C351)-4,12)+1))</f>
        <v/>
      </c>
      <c r="I351" s="364" t="str">
        <f>IF(OR($F351="",$D351=""),"",IFERROR(INDEX(費用収益表_貸付!$S$1:$S$60,VLOOKUP($D351,科目表!$K$5:$L$40,2,FALSE))-SUMIFS($F$5:$F351,$D$5:$D351,$D351),"?"))</f>
        <v/>
      </c>
      <c r="J351" s="366" t="str">
        <f>IF($F351="","",TRIM(IF(ISERROR(MATCH($D351,科目表!$K$5:$K$40,0)),"科目未登録 ","")&amp;IF($G351="","状態未設定 ","")&amp;IF(AND(OR($G351="確認済",$G351="未確認"),$B351="通常",OR($C351="",$C351&lt;DATE(年度+2018,4,1),$C351&gt;DATE(年度+2019,3,31))),"年度外の日付 ","")))</f>
        <v/>
      </c>
      <c r="K351" s="366" t="n"/>
    </row>
    <row r="352">
      <c r="A352" s="359" t="n"/>
      <c r="B352" s="360" t="n"/>
      <c r="C352" s="361" t="n"/>
      <c r="D352" s="362" t="n"/>
      <c r="E352" s="362" t="n"/>
      <c r="F352" s="363" t="n"/>
      <c r="G352" s="360" t="n"/>
      <c r="H352" s="359" t="str">
        <f>IF(OR($F352="",$C352=""),"",IF($B352="決算整理",13,MOD(MONTH($C352)-4,12)+1))</f>
        <v/>
      </c>
      <c r="I352" s="364" t="str">
        <f>IF(OR($F352="",$D352=""),"",IFERROR(INDEX(費用収益表_貸付!$S$1:$S$60,VLOOKUP($D352,科目表!$K$5:$L$40,2,FALSE))-SUMIFS($F$5:$F352,$D$5:$D352,$D352),"?"))</f>
        <v/>
      </c>
      <c r="J352" s="366" t="str">
        <f>IF($F352="","",TRIM(IF(ISERROR(MATCH($D352,科目表!$K$5:$K$40,0)),"科目未登録 ","")&amp;IF($G352="","状態未設定 ","")&amp;IF(AND(OR($G352="確認済",$G352="未確認"),$B352="通常",OR($C352="",$C352&lt;DATE(年度+2018,4,1),$C352&gt;DATE(年度+2019,3,31))),"年度外の日付 ","")))</f>
        <v/>
      </c>
      <c r="K352" s="366" t="n"/>
    </row>
    <row r="353">
      <c r="A353" s="359" t="n"/>
      <c r="B353" s="360" t="n"/>
      <c r="C353" s="361" t="n"/>
      <c r="D353" s="362" t="n"/>
      <c r="E353" s="362" t="n"/>
      <c r="F353" s="363" t="n"/>
      <c r="G353" s="360" t="n"/>
      <c r="H353" s="359" t="str">
        <f>IF(OR($F353="",$C353=""),"",IF($B353="決算整理",13,MOD(MONTH($C353)-4,12)+1))</f>
        <v/>
      </c>
      <c r="I353" s="364" t="str">
        <f>IF(OR($F353="",$D353=""),"",IFERROR(INDEX(費用収益表_貸付!$S$1:$S$60,VLOOKUP($D353,科目表!$K$5:$L$40,2,FALSE))-SUMIFS($F$5:$F353,$D$5:$D353,$D353),"?"))</f>
        <v/>
      </c>
      <c r="J353" s="366" t="str">
        <f>IF($F353="","",TRIM(IF(ISERROR(MATCH($D353,科目表!$K$5:$K$40,0)),"科目未登録 ","")&amp;IF($G353="","状態未設定 ","")&amp;IF(AND(OR($G353="確認済",$G353="未確認"),$B353="通常",OR($C353="",$C353&lt;DATE(年度+2018,4,1),$C353&gt;DATE(年度+2019,3,31))),"年度外の日付 ","")))</f>
        <v/>
      </c>
      <c r="K353" s="366" t="n"/>
    </row>
    <row r="354">
      <c r="A354" s="359" t="n"/>
      <c r="B354" s="360" t="n"/>
      <c r="C354" s="361" t="n"/>
      <c r="D354" s="362" t="n"/>
      <c r="E354" s="362" t="n"/>
      <c r="F354" s="363" t="n"/>
      <c r="G354" s="360" t="n"/>
      <c r="H354" s="359" t="str">
        <f>IF(OR($F354="",$C354=""),"",IF($B354="決算整理",13,MOD(MONTH($C354)-4,12)+1))</f>
        <v/>
      </c>
      <c r="I354" s="364" t="str">
        <f>IF(OR($F354="",$D354=""),"",IFERROR(INDEX(費用収益表_貸付!$S$1:$S$60,VLOOKUP($D354,科目表!$K$5:$L$40,2,FALSE))-SUMIFS($F$5:$F354,$D$5:$D354,$D354),"?"))</f>
        <v/>
      </c>
      <c r="J354" s="366" t="str">
        <f>IF($F354="","",TRIM(IF(ISERROR(MATCH($D354,科目表!$K$5:$K$40,0)),"科目未登録 ","")&amp;IF($G354="","状態未設定 ","")&amp;IF(AND(OR($G354="確認済",$G354="未確認"),$B354="通常",OR($C354="",$C354&lt;DATE(年度+2018,4,1),$C354&gt;DATE(年度+2019,3,31))),"年度外の日付 ","")))</f>
        <v/>
      </c>
      <c r="K354" s="366" t="n"/>
    </row>
    <row r="355">
      <c r="A355" s="359" t="n"/>
      <c r="B355" s="360" t="n"/>
      <c r="C355" s="361" t="n"/>
      <c r="D355" s="362" t="n"/>
      <c r="E355" s="362" t="n"/>
      <c r="F355" s="363" t="n"/>
      <c r="G355" s="360" t="n"/>
      <c r="H355" s="359" t="str">
        <f>IF(OR($F355="",$C355=""),"",IF($B355="決算整理",13,MOD(MONTH($C355)-4,12)+1))</f>
        <v/>
      </c>
      <c r="I355" s="364" t="str">
        <f>IF(OR($F355="",$D355=""),"",IFERROR(INDEX(費用収益表_貸付!$S$1:$S$60,VLOOKUP($D355,科目表!$K$5:$L$40,2,FALSE))-SUMIFS($F$5:$F355,$D$5:$D355,$D355),"?"))</f>
        <v/>
      </c>
      <c r="J355" s="366" t="str">
        <f>IF($F355="","",TRIM(IF(ISERROR(MATCH($D355,科目表!$K$5:$K$40,0)),"科目未登録 ","")&amp;IF($G355="","状態未設定 ","")&amp;IF(AND(OR($G355="確認済",$G355="未確認"),$B355="通常",OR($C355="",$C355&lt;DATE(年度+2018,4,1),$C355&gt;DATE(年度+2019,3,31))),"年度外の日付 ","")))</f>
        <v/>
      </c>
      <c r="K355" s="366" t="n"/>
    </row>
    <row r="356">
      <c r="A356" s="359" t="n"/>
      <c r="B356" s="360" t="n"/>
      <c r="C356" s="361" t="n"/>
      <c r="D356" s="362" t="n"/>
      <c r="E356" s="362" t="n"/>
      <c r="F356" s="363" t="n"/>
      <c r="G356" s="360" t="n"/>
      <c r="H356" s="359" t="str">
        <f>IF(OR($F356="",$C356=""),"",IF($B356="決算整理",13,MOD(MONTH($C356)-4,12)+1))</f>
        <v/>
      </c>
      <c r="I356" s="364" t="str">
        <f>IF(OR($F356="",$D356=""),"",IFERROR(INDEX(費用収益表_貸付!$S$1:$S$60,VLOOKUP($D356,科目表!$K$5:$L$40,2,FALSE))-SUMIFS($F$5:$F356,$D$5:$D356,$D356),"?"))</f>
        <v/>
      </c>
      <c r="J356" s="366" t="str">
        <f>IF($F356="","",TRIM(IF(ISERROR(MATCH($D356,科目表!$K$5:$K$40,0)),"科目未登録 ","")&amp;IF($G356="","状態未設定 ","")&amp;IF(AND(OR($G356="確認済",$G356="未確認"),$B356="通常",OR($C356="",$C356&lt;DATE(年度+2018,4,1),$C356&gt;DATE(年度+2019,3,31))),"年度外の日付 ","")))</f>
        <v/>
      </c>
      <c r="K356" s="366" t="n"/>
    </row>
    <row r="357">
      <c r="A357" s="359" t="n"/>
      <c r="B357" s="360" t="n"/>
      <c r="C357" s="361" t="n"/>
      <c r="D357" s="362" t="n"/>
      <c r="E357" s="362" t="n"/>
      <c r="F357" s="363" t="n"/>
      <c r="G357" s="360" t="n"/>
      <c r="H357" s="359" t="str">
        <f>IF(OR($F357="",$C357=""),"",IF($B357="決算整理",13,MOD(MONTH($C357)-4,12)+1))</f>
        <v/>
      </c>
      <c r="I357" s="364" t="str">
        <f>IF(OR($F357="",$D357=""),"",IFERROR(INDEX(費用収益表_貸付!$S$1:$S$60,VLOOKUP($D357,科目表!$K$5:$L$40,2,FALSE))-SUMIFS($F$5:$F357,$D$5:$D357,$D357),"?"))</f>
        <v/>
      </c>
      <c r="J357" s="366" t="str">
        <f>IF($F357="","",TRIM(IF(ISERROR(MATCH($D357,科目表!$K$5:$K$40,0)),"科目未登録 ","")&amp;IF($G357="","状態未設定 ","")&amp;IF(AND(OR($G357="確認済",$G357="未確認"),$B357="通常",OR($C357="",$C357&lt;DATE(年度+2018,4,1),$C357&gt;DATE(年度+2019,3,31))),"年度外の日付 ","")))</f>
        <v/>
      </c>
      <c r="K357" s="366" t="n"/>
    </row>
    <row r="358">
      <c r="A358" s="359" t="n"/>
      <c r="B358" s="360" t="n"/>
      <c r="C358" s="361" t="n"/>
      <c r="D358" s="362" t="n"/>
      <c r="E358" s="362" t="n"/>
      <c r="F358" s="363" t="n"/>
      <c r="G358" s="360" t="n"/>
      <c r="H358" s="359" t="str">
        <f>IF(OR($F358="",$C358=""),"",IF($B358="決算整理",13,MOD(MONTH($C358)-4,12)+1))</f>
        <v/>
      </c>
      <c r="I358" s="364" t="str">
        <f>IF(OR($F358="",$D358=""),"",IFERROR(INDEX(費用収益表_貸付!$S$1:$S$60,VLOOKUP($D358,科目表!$K$5:$L$40,2,FALSE))-SUMIFS($F$5:$F358,$D$5:$D358,$D358),"?"))</f>
        <v/>
      </c>
      <c r="J358" s="366" t="str">
        <f>IF($F358="","",TRIM(IF(ISERROR(MATCH($D358,科目表!$K$5:$K$40,0)),"科目未登録 ","")&amp;IF($G358="","状態未設定 ","")&amp;IF(AND(OR($G358="確認済",$G358="未確認"),$B358="通常",OR($C358="",$C358&lt;DATE(年度+2018,4,1),$C358&gt;DATE(年度+2019,3,31))),"年度外の日付 ","")))</f>
        <v/>
      </c>
      <c r="K358" s="366" t="n"/>
    </row>
    <row r="359">
      <c r="A359" s="359" t="n"/>
      <c r="B359" s="360" t="n"/>
      <c r="C359" s="361" t="n"/>
      <c r="D359" s="362" t="n"/>
      <c r="E359" s="362" t="n"/>
      <c r="F359" s="363" t="n"/>
      <c r="G359" s="360" t="n"/>
      <c r="H359" s="359" t="str">
        <f>IF(OR($F359="",$C359=""),"",IF($B359="決算整理",13,MOD(MONTH($C359)-4,12)+1))</f>
        <v/>
      </c>
      <c r="I359" s="364" t="str">
        <f>IF(OR($F359="",$D359=""),"",IFERROR(INDEX(費用収益表_貸付!$S$1:$S$60,VLOOKUP($D359,科目表!$K$5:$L$40,2,FALSE))-SUMIFS($F$5:$F359,$D$5:$D359,$D359),"?"))</f>
        <v/>
      </c>
      <c r="J359" s="366" t="str">
        <f>IF($F359="","",TRIM(IF(ISERROR(MATCH($D359,科目表!$K$5:$K$40,0)),"科目未登録 ","")&amp;IF($G359="","状態未設定 ","")&amp;IF(AND(OR($G359="確認済",$G359="未確認"),$B359="通常",OR($C359="",$C359&lt;DATE(年度+2018,4,1),$C359&gt;DATE(年度+2019,3,31))),"年度外の日付 ","")))</f>
        <v/>
      </c>
      <c r="K359" s="366" t="n"/>
    </row>
    <row r="360">
      <c r="A360" s="359" t="n"/>
      <c r="B360" s="360" t="n"/>
      <c r="C360" s="361" t="n"/>
      <c r="D360" s="362" t="n"/>
      <c r="E360" s="362" t="n"/>
      <c r="F360" s="363" t="n"/>
      <c r="G360" s="360" t="n"/>
      <c r="H360" s="359" t="str">
        <f>IF(OR($F360="",$C360=""),"",IF($B360="決算整理",13,MOD(MONTH($C360)-4,12)+1))</f>
        <v/>
      </c>
      <c r="I360" s="364" t="str">
        <f>IF(OR($F360="",$D360=""),"",IFERROR(INDEX(費用収益表_貸付!$S$1:$S$60,VLOOKUP($D360,科目表!$K$5:$L$40,2,FALSE))-SUMIFS($F$5:$F360,$D$5:$D360,$D360),"?"))</f>
        <v/>
      </c>
      <c r="J360" s="366" t="str">
        <f>IF($F360="","",TRIM(IF(ISERROR(MATCH($D360,科目表!$K$5:$K$40,0)),"科目未登録 ","")&amp;IF($G360="","状態未設定 ","")&amp;IF(AND(OR($G360="確認済",$G360="未確認"),$B360="通常",OR($C360="",$C360&lt;DATE(年度+2018,4,1),$C360&gt;DATE(年度+2019,3,31))),"年度外の日付 ","")))</f>
        <v/>
      </c>
      <c r="K360" s="366" t="n"/>
    </row>
    <row r="361">
      <c r="A361" s="359" t="n"/>
      <c r="B361" s="360" t="n"/>
      <c r="C361" s="361" t="n"/>
      <c r="D361" s="362" t="n"/>
      <c r="E361" s="362" t="n"/>
      <c r="F361" s="363" t="n"/>
      <c r="G361" s="360" t="n"/>
      <c r="H361" s="359" t="str">
        <f>IF(OR($F361="",$C361=""),"",IF($B361="決算整理",13,MOD(MONTH($C361)-4,12)+1))</f>
        <v/>
      </c>
      <c r="I361" s="364" t="str">
        <f>IF(OR($F361="",$D361=""),"",IFERROR(INDEX(費用収益表_貸付!$S$1:$S$60,VLOOKUP($D361,科目表!$K$5:$L$40,2,FALSE))-SUMIFS($F$5:$F361,$D$5:$D361,$D361),"?"))</f>
        <v/>
      </c>
      <c r="J361" s="366" t="str">
        <f>IF($F361="","",TRIM(IF(ISERROR(MATCH($D361,科目表!$K$5:$K$40,0)),"科目未登録 ","")&amp;IF($G361="","状態未設定 ","")&amp;IF(AND(OR($G361="確認済",$G361="未確認"),$B361="通常",OR($C361="",$C361&lt;DATE(年度+2018,4,1),$C361&gt;DATE(年度+2019,3,31))),"年度外の日付 ","")))</f>
        <v/>
      </c>
      <c r="K361" s="366" t="n"/>
    </row>
    <row r="362">
      <c r="A362" s="359" t="n"/>
      <c r="B362" s="360" t="n"/>
      <c r="C362" s="361" t="n"/>
      <c r="D362" s="362" t="n"/>
      <c r="E362" s="362" t="n"/>
      <c r="F362" s="363" t="n"/>
      <c r="G362" s="360" t="n"/>
      <c r="H362" s="359" t="str">
        <f>IF(OR($F362="",$C362=""),"",IF($B362="決算整理",13,MOD(MONTH($C362)-4,12)+1))</f>
        <v/>
      </c>
      <c r="I362" s="364" t="str">
        <f>IF(OR($F362="",$D362=""),"",IFERROR(INDEX(費用収益表_貸付!$S$1:$S$60,VLOOKUP($D362,科目表!$K$5:$L$40,2,FALSE))-SUMIFS($F$5:$F362,$D$5:$D362,$D362),"?"))</f>
        <v/>
      </c>
      <c r="J362" s="366" t="str">
        <f>IF($F362="","",TRIM(IF(ISERROR(MATCH($D362,科目表!$K$5:$K$40,0)),"科目未登録 ","")&amp;IF($G362="","状態未設定 ","")&amp;IF(AND(OR($G362="確認済",$G362="未確認"),$B362="通常",OR($C362="",$C362&lt;DATE(年度+2018,4,1),$C362&gt;DATE(年度+2019,3,31))),"年度外の日付 ","")))</f>
        <v/>
      </c>
      <c r="K362" s="366" t="n"/>
    </row>
    <row r="363">
      <c r="A363" s="359" t="n"/>
      <c r="B363" s="360" t="n"/>
      <c r="C363" s="361" t="n"/>
      <c r="D363" s="362" t="n"/>
      <c r="E363" s="362" t="n"/>
      <c r="F363" s="363" t="n"/>
      <c r="G363" s="360" t="n"/>
      <c r="H363" s="359" t="str">
        <f>IF(OR($F363="",$C363=""),"",IF($B363="決算整理",13,MOD(MONTH($C363)-4,12)+1))</f>
        <v/>
      </c>
      <c r="I363" s="364" t="str">
        <f>IF(OR($F363="",$D363=""),"",IFERROR(INDEX(費用収益表_貸付!$S$1:$S$60,VLOOKUP($D363,科目表!$K$5:$L$40,2,FALSE))-SUMIFS($F$5:$F363,$D$5:$D363,$D363),"?"))</f>
        <v/>
      </c>
      <c r="J363" s="366" t="str">
        <f>IF($F363="","",TRIM(IF(ISERROR(MATCH($D363,科目表!$K$5:$K$40,0)),"科目未登録 ","")&amp;IF($G363="","状態未設定 ","")&amp;IF(AND(OR($G363="確認済",$G363="未確認"),$B363="通常",OR($C363="",$C363&lt;DATE(年度+2018,4,1),$C363&gt;DATE(年度+2019,3,31))),"年度外の日付 ","")))</f>
        <v/>
      </c>
      <c r="K363" s="366" t="n"/>
    </row>
    <row r="364">
      <c r="A364" s="359" t="n"/>
      <c r="B364" s="360" t="n"/>
      <c r="C364" s="361" t="n"/>
      <c r="D364" s="362" t="n"/>
      <c r="E364" s="362" t="n"/>
      <c r="F364" s="363" t="n"/>
      <c r="G364" s="360" t="n"/>
      <c r="H364" s="359" t="str">
        <f>IF(OR($F364="",$C364=""),"",IF($B364="決算整理",13,MOD(MONTH($C364)-4,12)+1))</f>
        <v/>
      </c>
      <c r="I364" s="364" t="str">
        <f>IF(OR($F364="",$D364=""),"",IFERROR(INDEX(費用収益表_貸付!$S$1:$S$60,VLOOKUP($D364,科目表!$K$5:$L$40,2,FALSE))-SUMIFS($F$5:$F364,$D$5:$D364,$D364),"?"))</f>
        <v/>
      </c>
      <c r="J364" s="366" t="str">
        <f>IF($F364="","",TRIM(IF(ISERROR(MATCH($D364,科目表!$K$5:$K$40,0)),"科目未登録 ","")&amp;IF($G364="","状態未設定 ","")&amp;IF(AND(OR($G364="確認済",$G364="未確認"),$B364="通常",OR($C364="",$C364&lt;DATE(年度+2018,4,1),$C364&gt;DATE(年度+2019,3,31))),"年度外の日付 ","")))</f>
        <v/>
      </c>
      <c r="K364" s="366" t="n"/>
    </row>
    <row r="365">
      <c r="A365" s="359" t="n"/>
      <c r="B365" s="360" t="n"/>
      <c r="C365" s="361" t="n"/>
      <c r="D365" s="362" t="n"/>
      <c r="E365" s="362" t="n"/>
      <c r="F365" s="363" t="n"/>
      <c r="G365" s="360" t="n"/>
      <c r="H365" s="359" t="str">
        <f>IF(OR($F365="",$C365=""),"",IF($B365="決算整理",13,MOD(MONTH($C365)-4,12)+1))</f>
        <v/>
      </c>
      <c r="I365" s="364" t="str">
        <f>IF(OR($F365="",$D365=""),"",IFERROR(INDEX(費用収益表_貸付!$S$1:$S$60,VLOOKUP($D365,科目表!$K$5:$L$40,2,FALSE))-SUMIFS($F$5:$F365,$D$5:$D365,$D365),"?"))</f>
        <v/>
      </c>
      <c r="J365" s="366" t="str">
        <f>IF($F365="","",TRIM(IF(ISERROR(MATCH($D365,科目表!$K$5:$K$40,0)),"科目未登録 ","")&amp;IF($G365="","状態未設定 ","")&amp;IF(AND(OR($G365="確認済",$G365="未確認"),$B365="通常",OR($C365="",$C365&lt;DATE(年度+2018,4,1),$C365&gt;DATE(年度+2019,3,31))),"年度外の日付 ","")))</f>
        <v/>
      </c>
      <c r="K365" s="366" t="n"/>
    </row>
    <row r="366">
      <c r="A366" s="359" t="n"/>
      <c r="B366" s="360" t="n"/>
      <c r="C366" s="361" t="n"/>
      <c r="D366" s="362" t="n"/>
      <c r="E366" s="362" t="n"/>
      <c r="F366" s="363" t="n"/>
      <c r="G366" s="360" t="n"/>
      <c r="H366" s="359" t="str">
        <f>IF(OR($F366="",$C366=""),"",IF($B366="決算整理",13,MOD(MONTH($C366)-4,12)+1))</f>
        <v/>
      </c>
      <c r="I366" s="364" t="str">
        <f>IF(OR($F366="",$D366=""),"",IFERROR(INDEX(費用収益表_貸付!$S$1:$S$60,VLOOKUP($D366,科目表!$K$5:$L$40,2,FALSE))-SUMIFS($F$5:$F366,$D$5:$D366,$D366),"?"))</f>
        <v/>
      </c>
      <c r="J366" s="366" t="str">
        <f>IF($F366="","",TRIM(IF(ISERROR(MATCH($D366,科目表!$K$5:$K$40,0)),"科目未登録 ","")&amp;IF($G366="","状態未設定 ","")&amp;IF(AND(OR($G366="確認済",$G366="未確認"),$B366="通常",OR($C366="",$C366&lt;DATE(年度+2018,4,1),$C366&gt;DATE(年度+2019,3,31))),"年度外の日付 ","")))</f>
        <v/>
      </c>
      <c r="K366" s="366" t="n"/>
    </row>
    <row r="367">
      <c r="A367" s="359" t="n"/>
      <c r="B367" s="360" t="n"/>
      <c r="C367" s="361" t="n"/>
      <c r="D367" s="362" t="n"/>
      <c r="E367" s="362" t="n"/>
      <c r="F367" s="363" t="n"/>
      <c r="G367" s="360" t="n"/>
      <c r="H367" s="359" t="str">
        <f>IF(OR($F367="",$C367=""),"",IF($B367="決算整理",13,MOD(MONTH($C367)-4,12)+1))</f>
        <v/>
      </c>
      <c r="I367" s="364" t="str">
        <f>IF(OR($F367="",$D367=""),"",IFERROR(INDEX(費用収益表_貸付!$S$1:$S$60,VLOOKUP($D367,科目表!$K$5:$L$40,2,FALSE))-SUMIFS($F$5:$F367,$D$5:$D367,$D367),"?"))</f>
        <v/>
      </c>
      <c r="J367" s="366" t="str">
        <f>IF($F367="","",TRIM(IF(ISERROR(MATCH($D367,科目表!$K$5:$K$40,0)),"科目未登録 ","")&amp;IF($G367="","状態未設定 ","")&amp;IF(AND(OR($G367="確認済",$G367="未確認"),$B367="通常",OR($C367="",$C367&lt;DATE(年度+2018,4,1),$C367&gt;DATE(年度+2019,3,31))),"年度外の日付 ","")))</f>
        <v/>
      </c>
      <c r="K367" s="366" t="n"/>
    </row>
    <row r="368">
      <c r="A368" s="359" t="n"/>
      <c r="B368" s="360" t="n"/>
      <c r="C368" s="361" t="n"/>
      <c r="D368" s="362" t="n"/>
      <c r="E368" s="362" t="n"/>
      <c r="F368" s="363" t="n"/>
      <c r="G368" s="360" t="n"/>
      <c r="H368" s="359" t="str">
        <f>IF(OR($F368="",$C368=""),"",IF($B368="決算整理",13,MOD(MONTH($C368)-4,12)+1))</f>
        <v/>
      </c>
      <c r="I368" s="364" t="str">
        <f>IF(OR($F368="",$D368=""),"",IFERROR(INDEX(費用収益表_貸付!$S$1:$S$60,VLOOKUP($D368,科目表!$K$5:$L$40,2,FALSE))-SUMIFS($F$5:$F368,$D$5:$D368,$D368),"?"))</f>
        <v/>
      </c>
      <c r="J368" s="366" t="str">
        <f>IF($F368="","",TRIM(IF(ISERROR(MATCH($D368,科目表!$K$5:$K$40,0)),"科目未登録 ","")&amp;IF($G368="","状態未設定 ","")&amp;IF(AND(OR($G368="確認済",$G368="未確認"),$B368="通常",OR($C368="",$C368&lt;DATE(年度+2018,4,1),$C368&gt;DATE(年度+2019,3,31))),"年度外の日付 ","")))</f>
        <v/>
      </c>
      <c r="K368" s="366" t="n"/>
    </row>
    <row r="369">
      <c r="A369" s="359" t="n"/>
      <c r="B369" s="360" t="n"/>
      <c r="C369" s="361" t="n"/>
      <c r="D369" s="362" t="n"/>
      <c r="E369" s="362" t="n"/>
      <c r="F369" s="363" t="n"/>
      <c r="G369" s="360" t="n"/>
      <c r="H369" s="359" t="str">
        <f>IF(OR($F369="",$C369=""),"",IF($B369="決算整理",13,MOD(MONTH($C369)-4,12)+1))</f>
        <v/>
      </c>
      <c r="I369" s="364" t="str">
        <f>IF(OR($F369="",$D369=""),"",IFERROR(INDEX(費用収益表_貸付!$S$1:$S$60,VLOOKUP($D369,科目表!$K$5:$L$40,2,FALSE))-SUMIFS($F$5:$F369,$D$5:$D369,$D369),"?"))</f>
        <v/>
      </c>
      <c r="J369" s="366" t="str">
        <f>IF($F369="","",TRIM(IF(ISERROR(MATCH($D369,科目表!$K$5:$K$40,0)),"科目未登録 ","")&amp;IF($G369="","状態未設定 ","")&amp;IF(AND(OR($G369="確認済",$G369="未確認"),$B369="通常",OR($C369="",$C369&lt;DATE(年度+2018,4,1),$C369&gt;DATE(年度+2019,3,31))),"年度外の日付 ","")))</f>
        <v/>
      </c>
      <c r="K369" s="366" t="n"/>
    </row>
    <row r="370">
      <c r="A370" s="359" t="n"/>
      <c r="B370" s="360" t="n"/>
      <c r="C370" s="361" t="n"/>
      <c r="D370" s="362" t="n"/>
      <c r="E370" s="362" t="n"/>
      <c r="F370" s="363" t="n"/>
      <c r="G370" s="360" t="n"/>
      <c r="H370" s="359" t="str">
        <f>IF(OR($F370="",$C370=""),"",IF($B370="決算整理",13,MOD(MONTH($C370)-4,12)+1))</f>
        <v/>
      </c>
      <c r="I370" s="364" t="str">
        <f>IF(OR($F370="",$D370=""),"",IFERROR(INDEX(費用収益表_貸付!$S$1:$S$60,VLOOKUP($D370,科目表!$K$5:$L$40,2,FALSE))-SUMIFS($F$5:$F370,$D$5:$D370,$D370),"?"))</f>
        <v/>
      </c>
      <c r="J370" s="366" t="str">
        <f>IF($F370="","",TRIM(IF(ISERROR(MATCH($D370,科目表!$K$5:$K$40,0)),"科目未登録 ","")&amp;IF($G370="","状態未設定 ","")&amp;IF(AND(OR($G370="確認済",$G370="未確認"),$B370="通常",OR($C370="",$C370&lt;DATE(年度+2018,4,1),$C370&gt;DATE(年度+2019,3,31))),"年度外の日付 ","")))</f>
        <v/>
      </c>
      <c r="K370" s="366" t="n"/>
    </row>
    <row r="371">
      <c r="A371" s="359" t="n"/>
      <c r="B371" s="360" t="n"/>
      <c r="C371" s="361" t="n"/>
      <c r="D371" s="362" t="n"/>
      <c r="E371" s="362" t="n"/>
      <c r="F371" s="363" t="n"/>
      <c r="G371" s="360" t="n"/>
      <c r="H371" s="359" t="str">
        <f>IF(OR($F371="",$C371=""),"",IF($B371="決算整理",13,MOD(MONTH($C371)-4,12)+1))</f>
        <v/>
      </c>
      <c r="I371" s="364" t="str">
        <f>IF(OR($F371="",$D371=""),"",IFERROR(INDEX(費用収益表_貸付!$S$1:$S$60,VLOOKUP($D371,科目表!$K$5:$L$40,2,FALSE))-SUMIFS($F$5:$F371,$D$5:$D371,$D371),"?"))</f>
        <v/>
      </c>
      <c r="J371" s="366" t="str">
        <f>IF($F371="","",TRIM(IF(ISERROR(MATCH($D371,科目表!$K$5:$K$40,0)),"科目未登録 ","")&amp;IF($G371="","状態未設定 ","")&amp;IF(AND(OR($G371="確認済",$G371="未確認"),$B371="通常",OR($C371="",$C371&lt;DATE(年度+2018,4,1),$C371&gt;DATE(年度+2019,3,31))),"年度外の日付 ","")))</f>
        <v/>
      </c>
      <c r="K371" s="366" t="n"/>
    </row>
    <row r="372">
      <c r="A372" s="359" t="n"/>
      <c r="B372" s="360" t="n"/>
      <c r="C372" s="361" t="n"/>
      <c r="D372" s="362" t="n"/>
      <c r="E372" s="362" t="n"/>
      <c r="F372" s="363" t="n"/>
      <c r="G372" s="360" t="n"/>
      <c r="H372" s="359" t="str">
        <f>IF(OR($F372="",$C372=""),"",IF($B372="決算整理",13,MOD(MONTH($C372)-4,12)+1))</f>
        <v/>
      </c>
      <c r="I372" s="364" t="str">
        <f>IF(OR($F372="",$D372=""),"",IFERROR(INDEX(費用収益表_貸付!$S$1:$S$60,VLOOKUP($D372,科目表!$K$5:$L$40,2,FALSE))-SUMIFS($F$5:$F372,$D$5:$D372,$D372),"?"))</f>
        <v/>
      </c>
      <c r="J372" s="366" t="str">
        <f>IF($F372="","",TRIM(IF(ISERROR(MATCH($D372,科目表!$K$5:$K$40,0)),"科目未登録 ","")&amp;IF($G372="","状態未設定 ","")&amp;IF(AND(OR($G372="確認済",$G372="未確認"),$B372="通常",OR($C372="",$C372&lt;DATE(年度+2018,4,1),$C372&gt;DATE(年度+2019,3,31))),"年度外の日付 ","")))</f>
        <v/>
      </c>
      <c r="K372" s="366" t="n"/>
    </row>
    <row r="373">
      <c r="A373" s="359" t="n"/>
      <c r="B373" s="360" t="n"/>
      <c r="C373" s="361" t="n"/>
      <c r="D373" s="362" t="n"/>
      <c r="E373" s="362" t="n"/>
      <c r="F373" s="363" t="n"/>
      <c r="G373" s="360" t="n"/>
      <c r="H373" s="359" t="str">
        <f>IF(OR($F373="",$C373=""),"",IF($B373="決算整理",13,MOD(MONTH($C373)-4,12)+1))</f>
        <v/>
      </c>
      <c r="I373" s="364" t="str">
        <f>IF(OR($F373="",$D373=""),"",IFERROR(INDEX(費用収益表_貸付!$S$1:$S$60,VLOOKUP($D373,科目表!$K$5:$L$40,2,FALSE))-SUMIFS($F$5:$F373,$D$5:$D373,$D373),"?"))</f>
        <v/>
      </c>
      <c r="J373" s="366" t="str">
        <f>IF($F373="","",TRIM(IF(ISERROR(MATCH($D373,科目表!$K$5:$K$40,0)),"科目未登録 ","")&amp;IF($G373="","状態未設定 ","")&amp;IF(AND(OR($G373="確認済",$G373="未確認"),$B373="通常",OR($C373="",$C373&lt;DATE(年度+2018,4,1),$C373&gt;DATE(年度+2019,3,31))),"年度外の日付 ","")))</f>
        <v/>
      </c>
      <c r="K373" s="366" t="n"/>
    </row>
    <row r="374">
      <c r="A374" s="359" t="n"/>
      <c r="B374" s="360" t="n"/>
      <c r="C374" s="361" t="n"/>
      <c r="D374" s="362" t="n"/>
      <c r="E374" s="362" t="n"/>
      <c r="F374" s="363" t="n"/>
      <c r="G374" s="360" t="n"/>
      <c r="H374" s="359" t="str">
        <f>IF(OR($F374="",$C374=""),"",IF($B374="決算整理",13,MOD(MONTH($C374)-4,12)+1))</f>
        <v/>
      </c>
      <c r="I374" s="364" t="str">
        <f>IF(OR($F374="",$D374=""),"",IFERROR(INDEX(費用収益表_貸付!$S$1:$S$60,VLOOKUP($D374,科目表!$K$5:$L$40,2,FALSE))-SUMIFS($F$5:$F374,$D$5:$D374,$D374),"?"))</f>
        <v/>
      </c>
      <c r="J374" s="366" t="str">
        <f>IF($F374="","",TRIM(IF(ISERROR(MATCH($D374,科目表!$K$5:$K$40,0)),"科目未登録 ","")&amp;IF($G374="","状態未設定 ","")&amp;IF(AND(OR($G374="確認済",$G374="未確認"),$B374="通常",OR($C374="",$C374&lt;DATE(年度+2018,4,1),$C374&gt;DATE(年度+2019,3,31))),"年度外の日付 ","")))</f>
        <v/>
      </c>
      <c r="K374" s="366" t="n"/>
    </row>
    <row r="375">
      <c r="A375" s="359" t="n"/>
      <c r="B375" s="360" t="n"/>
      <c r="C375" s="361" t="n"/>
      <c r="D375" s="362" t="n"/>
      <c r="E375" s="362" t="n"/>
      <c r="F375" s="363" t="n"/>
      <c r="G375" s="360" t="n"/>
      <c r="H375" s="359" t="str">
        <f>IF(OR($F375="",$C375=""),"",IF($B375="決算整理",13,MOD(MONTH($C375)-4,12)+1))</f>
        <v/>
      </c>
      <c r="I375" s="364" t="str">
        <f>IF(OR($F375="",$D375=""),"",IFERROR(INDEX(費用収益表_貸付!$S$1:$S$60,VLOOKUP($D375,科目表!$K$5:$L$40,2,FALSE))-SUMIFS($F$5:$F375,$D$5:$D375,$D375),"?"))</f>
        <v/>
      </c>
      <c r="J375" s="366" t="str">
        <f>IF($F375="","",TRIM(IF(ISERROR(MATCH($D375,科目表!$K$5:$K$40,0)),"科目未登録 ","")&amp;IF($G375="","状態未設定 ","")&amp;IF(AND(OR($G375="確認済",$G375="未確認"),$B375="通常",OR($C375="",$C375&lt;DATE(年度+2018,4,1),$C375&gt;DATE(年度+2019,3,31))),"年度外の日付 ","")))</f>
        <v/>
      </c>
      <c r="K375" s="366" t="n"/>
    </row>
    <row r="376">
      <c r="A376" s="359" t="n"/>
      <c r="B376" s="360" t="n"/>
      <c r="C376" s="361" t="n"/>
      <c r="D376" s="362" t="n"/>
      <c r="E376" s="362" t="n"/>
      <c r="F376" s="363" t="n"/>
      <c r="G376" s="360" t="n"/>
      <c r="H376" s="359" t="str">
        <f>IF(OR($F376="",$C376=""),"",IF($B376="決算整理",13,MOD(MONTH($C376)-4,12)+1))</f>
        <v/>
      </c>
      <c r="I376" s="364" t="str">
        <f>IF(OR($F376="",$D376=""),"",IFERROR(INDEX(費用収益表_貸付!$S$1:$S$60,VLOOKUP($D376,科目表!$K$5:$L$40,2,FALSE))-SUMIFS($F$5:$F376,$D$5:$D376,$D376),"?"))</f>
        <v/>
      </c>
      <c r="J376" s="366" t="str">
        <f>IF($F376="","",TRIM(IF(ISERROR(MATCH($D376,科目表!$K$5:$K$40,0)),"科目未登録 ","")&amp;IF($G376="","状態未設定 ","")&amp;IF(AND(OR($G376="確認済",$G376="未確認"),$B376="通常",OR($C376="",$C376&lt;DATE(年度+2018,4,1),$C376&gt;DATE(年度+2019,3,31))),"年度外の日付 ","")))</f>
        <v/>
      </c>
      <c r="K376" s="366" t="n"/>
    </row>
    <row r="377">
      <c r="A377" s="359" t="n"/>
      <c r="B377" s="360" t="n"/>
      <c r="C377" s="361" t="n"/>
      <c r="D377" s="362" t="n"/>
      <c r="E377" s="362" t="n"/>
      <c r="F377" s="363" t="n"/>
      <c r="G377" s="360" t="n"/>
      <c r="H377" s="359" t="str">
        <f>IF(OR($F377="",$C377=""),"",IF($B377="決算整理",13,MOD(MONTH($C377)-4,12)+1))</f>
        <v/>
      </c>
      <c r="I377" s="364" t="str">
        <f>IF(OR($F377="",$D377=""),"",IFERROR(INDEX(費用収益表_貸付!$S$1:$S$60,VLOOKUP($D377,科目表!$K$5:$L$40,2,FALSE))-SUMIFS($F$5:$F377,$D$5:$D377,$D377),"?"))</f>
        <v/>
      </c>
      <c r="J377" s="366" t="str">
        <f>IF($F377="","",TRIM(IF(ISERROR(MATCH($D377,科目表!$K$5:$K$40,0)),"科目未登録 ","")&amp;IF($G377="","状態未設定 ","")&amp;IF(AND(OR($G377="確認済",$G377="未確認"),$B377="通常",OR($C377="",$C377&lt;DATE(年度+2018,4,1),$C377&gt;DATE(年度+2019,3,31))),"年度外の日付 ","")))</f>
        <v/>
      </c>
      <c r="K377" s="366" t="n"/>
    </row>
    <row r="378">
      <c r="A378" s="359" t="n"/>
      <c r="B378" s="360" t="n"/>
      <c r="C378" s="361" t="n"/>
      <c r="D378" s="362" t="n"/>
      <c r="E378" s="362" t="n"/>
      <c r="F378" s="363" t="n"/>
      <c r="G378" s="360" t="n"/>
      <c r="H378" s="359" t="str">
        <f>IF(OR($F378="",$C378=""),"",IF($B378="決算整理",13,MOD(MONTH($C378)-4,12)+1))</f>
        <v/>
      </c>
      <c r="I378" s="364" t="str">
        <f>IF(OR($F378="",$D378=""),"",IFERROR(INDEX(費用収益表_貸付!$S$1:$S$60,VLOOKUP($D378,科目表!$K$5:$L$40,2,FALSE))-SUMIFS($F$5:$F378,$D$5:$D378,$D378),"?"))</f>
        <v/>
      </c>
      <c r="J378" s="366" t="str">
        <f>IF($F378="","",TRIM(IF(ISERROR(MATCH($D378,科目表!$K$5:$K$40,0)),"科目未登録 ","")&amp;IF($G378="","状態未設定 ","")&amp;IF(AND(OR($G378="確認済",$G378="未確認"),$B378="通常",OR($C378="",$C378&lt;DATE(年度+2018,4,1),$C378&gt;DATE(年度+2019,3,31))),"年度外の日付 ","")))</f>
        <v/>
      </c>
      <c r="K378" s="366" t="n"/>
    </row>
    <row r="379">
      <c r="A379" s="359" t="n"/>
      <c r="B379" s="360" t="n"/>
      <c r="C379" s="361" t="n"/>
      <c r="D379" s="362" t="n"/>
      <c r="E379" s="362" t="n"/>
      <c r="F379" s="363" t="n"/>
      <c r="G379" s="360" t="n"/>
      <c r="H379" s="359" t="str">
        <f>IF(OR($F379="",$C379=""),"",IF($B379="決算整理",13,MOD(MONTH($C379)-4,12)+1))</f>
        <v/>
      </c>
      <c r="I379" s="364" t="str">
        <f>IF(OR($F379="",$D379=""),"",IFERROR(INDEX(費用収益表_貸付!$S$1:$S$60,VLOOKUP($D379,科目表!$K$5:$L$40,2,FALSE))-SUMIFS($F$5:$F379,$D$5:$D379,$D379),"?"))</f>
        <v/>
      </c>
      <c r="J379" s="366" t="str">
        <f>IF($F379="","",TRIM(IF(ISERROR(MATCH($D379,科目表!$K$5:$K$40,0)),"科目未登録 ","")&amp;IF($G379="","状態未設定 ","")&amp;IF(AND(OR($G379="確認済",$G379="未確認"),$B379="通常",OR($C379="",$C379&lt;DATE(年度+2018,4,1),$C379&gt;DATE(年度+2019,3,31))),"年度外の日付 ","")))</f>
        <v/>
      </c>
      <c r="K379" s="366" t="n"/>
    </row>
    <row r="380">
      <c r="A380" s="359" t="n"/>
      <c r="B380" s="360" t="n"/>
      <c r="C380" s="361" t="n"/>
      <c r="D380" s="362" t="n"/>
      <c r="E380" s="362" t="n"/>
      <c r="F380" s="363" t="n"/>
      <c r="G380" s="360" t="n"/>
      <c r="H380" s="359" t="str">
        <f>IF(OR($F380="",$C380=""),"",IF($B380="決算整理",13,MOD(MONTH($C380)-4,12)+1))</f>
        <v/>
      </c>
      <c r="I380" s="364" t="str">
        <f>IF(OR($F380="",$D380=""),"",IFERROR(INDEX(費用収益表_貸付!$S$1:$S$60,VLOOKUP($D380,科目表!$K$5:$L$40,2,FALSE))-SUMIFS($F$5:$F380,$D$5:$D380,$D380),"?"))</f>
        <v/>
      </c>
      <c r="J380" s="366" t="str">
        <f>IF($F380="","",TRIM(IF(ISERROR(MATCH($D380,科目表!$K$5:$K$40,0)),"科目未登録 ","")&amp;IF($G380="","状態未設定 ","")&amp;IF(AND(OR($G380="確認済",$G380="未確認"),$B380="通常",OR($C380="",$C380&lt;DATE(年度+2018,4,1),$C380&gt;DATE(年度+2019,3,31))),"年度外の日付 ","")))</f>
        <v/>
      </c>
      <c r="K380" s="366" t="n"/>
    </row>
    <row r="381">
      <c r="A381" s="359" t="n"/>
      <c r="B381" s="360" t="n"/>
      <c r="C381" s="361" t="n"/>
      <c r="D381" s="362" t="n"/>
      <c r="E381" s="362" t="n"/>
      <c r="F381" s="363" t="n"/>
      <c r="G381" s="360" t="n"/>
      <c r="H381" s="359" t="str">
        <f>IF(OR($F381="",$C381=""),"",IF($B381="決算整理",13,MOD(MONTH($C381)-4,12)+1))</f>
        <v/>
      </c>
      <c r="I381" s="364" t="str">
        <f>IF(OR($F381="",$D381=""),"",IFERROR(INDEX(費用収益表_貸付!$S$1:$S$60,VLOOKUP($D381,科目表!$K$5:$L$40,2,FALSE))-SUMIFS($F$5:$F381,$D$5:$D381,$D381),"?"))</f>
        <v/>
      </c>
      <c r="J381" s="366" t="str">
        <f>IF($F381="","",TRIM(IF(ISERROR(MATCH($D381,科目表!$K$5:$K$40,0)),"科目未登録 ","")&amp;IF($G381="","状態未設定 ","")&amp;IF(AND(OR($G381="確認済",$G381="未確認"),$B381="通常",OR($C381="",$C381&lt;DATE(年度+2018,4,1),$C381&gt;DATE(年度+2019,3,31))),"年度外の日付 ","")))</f>
        <v/>
      </c>
      <c r="K381" s="366" t="n"/>
    </row>
    <row r="382">
      <c r="A382" s="359" t="n"/>
      <c r="B382" s="360" t="n"/>
      <c r="C382" s="361" t="n"/>
      <c r="D382" s="362" t="n"/>
      <c r="E382" s="362" t="n"/>
      <c r="F382" s="363" t="n"/>
      <c r="G382" s="360" t="n"/>
      <c r="H382" s="359" t="str">
        <f>IF(OR($F382="",$C382=""),"",IF($B382="決算整理",13,MOD(MONTH($C382)-4,12)+1))</f>
        <v/>
      </c>
      <c r="I382" s="364" t="str">
        <f>IF(OR($F382="",$D382=""),"",IFERROR(INDEX(費用収益表_貸付!$S$1:$S$60,VLOOKUP($D382,科目表!$K$5:$L$40,2,FALSE))-SUMIFS($F$5:$F382,$D$5:$D382,$D382),"?"))</f>
        <v/>
      </c>
      <c r="J382" s="366" t="str">
        <f>IF($F382="","",TRIM(IF(ISERROR(MATCH($D382,科目表!$K$5:$K$40,0)),"科目未登録 ","")&amp;IF($G382="","状態未設定 ","")&amp;IF(AND(OR($G382="確認済",$G382="未確認"),$B382="通常",OR($C382="",$C382&lt;DATE(年度+2018,4,1),$C382&gt;DATE(年度+2019,3,31))),"年度外の日付 ","")))</f>
        <v/>
      </c>
      <c r="K382" s="366" t="n"/>
    </row>
    <row r="383">
      <c r="A383" s="359" t="n"/>
      <c r="B383" s="360" t="n"/>
      <c r="C383" s="361" t="n"/>
      <c r="D383" s="362" t="n"/>
      <c r="E383" s="362" t="n"/>
      <c r="F383" s="363" t="n"/>
      <c r="G383" s="360" t="n"/>
      <c r="H383" s="359" t="str">
        <f>IF(OR($F383="",$C383=""),"",IF($B383="決算整理",13,MOD(MONTH($C383)-4,12)+1))</f>
        <v/>
      </c>
      <c r="I383" s="364" t="str">
        <f>IF(OR($F383="",$D383=""),"",IFERROR(INDEX(費用収益表_貸付!$S$1:$S$60,VLOOKUP($D383,科目表!$K$5:$L$40,2,FALSE))-SUMIFS($F$5:$F383,$D$5:$D383,$D383),"?"))</f>
        <v/>
      </c>
      <c r="J383" s="366" t="str">
        <f>IF($F383="","",TRIM(IF(ISERROR(MATCH($D383,科目表!$K$5:$K$40,0)),"科目未登録 ","")&amp;IF($G383="","状態未設定 ","")&amp;IF(AND(OR($G383="確認済",$G383="未確認"),$B383="通常",OR($C383="",$C383&lt;DATE(年度+2018,4,1),$C383&gt;DATE(年度+2019,3,31))),"年度外の日付 ","")))</f>
        <v/>
      </c>
      <c r="K383" s="366" t="n"/>
    </row>
    <row r="384">
      <c r="A384" s="359" t="n"/>
      <c r="B384" s="360" t="n"/>
      <c r="C384" s="361" t="n"/>
      <c r="D384" s="362" t="n"/>
      <c r="E384" s="362" t="n"/>
      <c r="F384" s="363" t="n"/>
      <c r="G384" s="360" t="n"/>
      <c r="H384" s="359" t="str">
        <f>IF(OR($F384="",$C384=""),"",IF($B384="決算整理",13,MOD(MONTH($C384)-4,12)+1))</f>
        <v/>
      </c>
      <c r="I384" s="364" t="str">
        <f>IF(OR($F384="",$D384=""),"",IFERROR(INDEX(費用収益表_貸付!$S$1:$S$60,VLOOKUP($D384,科目表!$K$5:$L$40,2,FALSE))-SUMIFS($F$5:$F384,$D$5:$D384,$D384),"?"))</f>
        <v/>
      </c>
      <c r="J384" s="366" t="str">
        <f>IF($F384="","",TRIM(IF(ISERROR(MATCH($D384,科目表!$K$5:$K$40,0)),"科目未登録 ","")&amp;IF($G384="","状態未設定 ","")&amp;IF(AND(OR($G384="確認済",$G384="未確認"),$B384="通常",OR($C384="",$C384&lt;DATE(年度+2018,4,1),$C384&gt;DATE(年度+2019,3,31))),"年度外の日付 ","")))</f>
        <v/>
      </c>
      <c r="K384" s="366" t="n"/>
    </row>
    <row r="385">
      <c r="A385" s="359" t="n"/>
      <c r="B385" s="360" t="n"/>
      <c r="C385" s="361" t="n"/>
      <c r="D385" s="362" t="n"/>
      <c r="E385" s="362" t="n"/>
      <c r="F385" s="363" t="n"/>
      <c r="G385" s="360" t="n"/>
      <c r="H385" s="359" t="str">
        <f>IF(OR($F385="",$C385=""),"",IF($B385="決算整理",13,MOD(MONTH($C385)-4,12)+1))</f>
        <v/>
      </c>
      <c r="I385" s="364" t="str">
        <f>IF(OR($F385="",$D385=""),"",IFERROR(INDEX(費用収益表_貸付!$S$1:$S$60,VLOOKUP($D385,科目表!$K$5:$L$40,2,FALSE))-SUMIFS($F$5:$F385,$D$5:$D385,$D385),"?"))</f>
        <v/>
      </c>
      <c r="J385" s="366" t="str">
        <f>IF($F385="","",TRIM(IF(ISERROR(MATCH($D385,科目表!$K$5:$K$40,0)),"科目未登録 ","")&amp;IF($G385="","状態未設定 ","")&amp;IF(AND(OR($G385="確認済",$G385="未確認"),$B385="通常",OR($C385="",$C385&lt;DATE(年度+2018,4,1),$C385&gt;DATE(年度+2019,3,31))),"年度外の日付 ","")))</f>
        <v/>
      </c>
      <c r="K385" s="366" t="n"/>
    </row>
    <row r="386">
      <c r="A386" s="359" t="n"/>
      <c r="B386" s="360" t="n"/>
      <c r="C386" s="361" t="n"/>
      <c r="D386" s="362" t="n"/>
      <c r="E386" s="362" t="n"/>
      <c r="F386" s="363" t="n"/>
      <c r="G386" s="360" t="n"/>
      <c r="H386" s="359" t="str">
        <f>IF(OR($F386="",$C386=""),"",IF($B386="決算整理",13,MOD(MONTH($C386)-4,12)+1))</f>
        <v/>
      </c>
      <c r="I386" s="364" t="str">
        <f>IF(OR($F386="",$D386=""),"",IFERROR(INDEX(費用収益表_貸付!$S$1:$S$60,VLOOKUP($D386,科目表!$K$5:$L$40,2,FALSE))-SUMIFS($F$5:$F386,$D$5:$D386,$D386),"?"))</f>
        <v/>
      </c>
      <c r="J386" s="366" t="str">
        <f>IF($F386="","",TRIM(IF(ISERROR(MATCH($D386,科目表!$K$5:$K$40,0)),"科目未登録 ","")&amp;IF($G386="","状態未設定 ","")&amp;IF(AND(OR($G386="確認済",$G386="未確認"),$B386="通常",OR($C386="",$C386&lt;DATE(年度+2018,4,1),$C386&gt;DATE(年度+2019,3,31))),"年度外の日付 ","")))</f>
        <v/>
      </c>
      <c r="K386" s="366" t="n"/>
    </row>
    <row r="387">
      <c r="A387" s="359" t="n"/>
      <c r="B387" s="360" t="n"/>
      <c r="C387" s="361" t="n"/>
      <c r="D387" s="362" t="n"/>
      <c r="E387" s="362" t="n"/>
      <c r="F387" s="363" t="n"/>
      <c r="G387" s="360" t="n"/>
      <c r="H387" s="359" t="str">
        <f>IF(OR($F387="",$C387=""),"",IF($B387="決算整理",13,MOD(MONTH($C387)-4,12)+1))</f>
        <v/>
      </c>
      <c r="I387" s="364" t="str">
        <f>IF(OR($F387="",$D387=""),"",IFERROR(INDEX(費用収益表_貸付!$S$1:$S$60,VLOOKUP($D387,科目表!$K$5:$L$40,2,FALSE))-SUMIFS($F$5:$F387,$D$5:$D387,$D387),"?"))</f>
        <v/>
      </c>
      <c r="J387" s="366" t="str">
        <f>IF($F387="","",TRIM(IF(ISERROR(MATCH($D387,科目表!$K$5:$K$40,0)),"科目未登録 ","")&amp;IF($G387="","状態未設定 ","")&amp;IF(AND(OR($G387="確認済",$G387="未確認"),$B387="通常",OR($C387="",$C387&lt;DATE(年度+2018,4,1),$C387&gt;DATE(年度+2019,3,31))),"年度外の日付 ","")))</f>
        <v/>
      </c>
      <c r="K387" s="366" t="n"/>
    </row>
    <row r="388">
      <c r="A388" s="359" t="n"/>
      <c r="B388" s="360" t="n"/>
      <c r="C388" s="361" t="n"/>
      <c r="D388" s="362" t="n"/>
      <c r="E388" s="362" t="n"/>
      <c r="F388" s="363" t="n"/>
      <c r="G388" s="360" t="n"/>
      <c r="H388" s="359" t="str">
        <f>IF(OR($F388="",$C388=""),"",IF($B388="決算整理",13,MOD(MONTH($C388)-4,12)+1))</f>
        <v/>
      </c>
      <c r="I388" s="364" t="str">
        <f>IF(OR($F388="",$D388=""),"",IFERROR(INDEX(費用収益表_貸付!$S$1:$S$60,VLOOKUP($D388,科目表!$K$5:$L$40,2,FALSE))-SUMIFS($F$5:$F388,$D$5:$D388,$D388),"?"))</f>
        <v/>
      </c>
      <c r="J388" s="366" t="str">
        <f>IF($F388="","",TRIM(IF(ISERROR(MATCH($D388,科目表!$K$5:$K$40,0)),"科目未登録 ","")&amp;IF($G388="","状態未設定 ","")&amp;IF(AND(OR($G388="確認済",$G388="未確認"),$B388="通常",OR($C388="",$C388&lt;DATE(年度+2018,4,1),$C388&gt;DATE(年度+2019,3,31))),"年度外の日付 ","")))</f>
        <v/>
      </c>
      <c r="K388" s="366" t="n"/>
    </row>
    <row r="389">
      <c r="A389" s="359" t="n"/>
      <c r="B389" s="360" t="n"/>
      <c r="C389" s="361" t="n"/>
      <c r="D389" s="362" t="n"/>
      <c r="E389" s="362" t="n"/>
      <c r="F389" s="363" t="n"/>
      <c r="G389" s="360" t="n"/>
      <c r="H389" s="359" t="str">
        <f>IF(OR($F389="",$C389=""),"",IF($B389="決算整理",13,MOD(MONTH($C389)-4,12)+1))</f>
        <v/>
      </c>
      <c r="I389" s="364" t="str">
        <f>IF(OR($F389="",$D389=""),"",IFERROR(INDEX(費用収益表_貸付!$S$1:$S$60,VLOOKUP($D389,科目表!$K$5:$L$40,2,FALSE))-SUMIFS($F$5:$F389,$D$5:$D389,$D389),"?"))</f>
        <v/>
      </c>
      <c r="J389" s="366" t="str">
        <f>IF($F389="","",TRIM(IF(ISERROR(MATCH($D389,科目表!$K$5:$K$40,0)),"科目未登録 ","")&amp;IF($G389="","状態未設定 ","")&amp;IF(AND(OR($G389="確認済",$G389="未確認"),$B389="通常",OR($C389="",$C389&lt;DATE(年度+2018,4,1),$C389&gt;DATE(年度+2019,3,31))),"年度外の日付 ","")))</f>
        <v/>
      </c>
      <c r="K389" s="366" t="n"/>
    </row>
    <row r="390">
      <c r="A390" s="359" t="n"/>
      <c r="B390" s="360" t="n"/>
      <c r="C390" s="361" t="n"/>
      <c r="D390" s="362" t="n"/>
      <c r="E390" s="362" t="n"/>
      <c r="F390" s="363" t="n"/>
      <c r="G390" s="360" t="n"/>
      <c r="H390" s="359" t="str">
        <f>IF(OR($F390="",$C390=""),"",IF($B390="決算整理",13,MOD(MONTH($C390)-4,12)+1))</f>
        <v/>
      </c>
      <c r="I390" s="364" t="str">
        <f>IF(OR($F390="",$D390=""),"",IFERROR(INDEX(費用収益表_貸付!$S$1:$S$60,VLOOKUP($D390,科目表!$K$5:$L$40,2,FALSE))-SUMIFS($F$5:$F390,$D$5:$D390,$D390),"?"))</f>
        <v/>
      </c>
      <c r="J390" s="366" t="str">
        <f>IF($F390="","",TRIM(IF(ISERROR(MATCH($D390,科目表!$K$5:$K$40,0)),"科目未登録 ","")&amp;IF($G390="","状態未設定 ","")&amp;IF(AND(OR($G390="確認済",$G390="未確認"),$B390="通常",OR($C390="",$C390&lt;DATE(年度+2018,4,1),$C390&gt;DATE(年度+2019,3,31))),"年度外の日付 ","")))</f>
        <v/>
      </c>
      <c r="K390" s="366" t="n"/>
    </row>
    <row r="391">
      <c r="A391" s="359" t="n"/>
      <c r="B391" s="360" t="n"/>
      <c r="C391" s="361" t="n"/>
      <c r="D391" s="362" t="n"/>
      <c r="E391" s="362" t="n"/>
      <c r="F391" s="363" t="n"/>
      <c r="G391" s="360" t="n"/>
      <c r="H391" s="359" t="str">
        <f>IF(OR($F391="",$C391=""),"",IF($B391="決算整理",13,MOD(MONTH($C391)-4,12)+1))</f>
        <v/>
      </c>
      <c r="I391" s="364" t="str">
        <f>IF(OR($F391="",$D391=""),"",IFERROR(INDEX(費用収益表_貸付!$S$1:$S$60,VLOOKUP($D391,科目表!$K$5:$L$40,2,FALSE))-SUMIFS($F$5:$F391,$D$5:$D391,$D391),"?"))</f>
        <v/>
      </c>
      <c r="J391" s="366" t="str">
        <f>IF($F391="","",TRIM(IF(ISERROR(MATCH($D391,科目表!$K$5:$K$40,0)),"科目未登録 ","")&amp;IF($G391="","状態未設定 ","")&amp;IF(AND(OR($G391="確認済",$G391="未確認"),$B391="通常",OR($C391="",$C391&lt;DATE(年度+2018,4,1),$C391&gt;DATE(年度+2019,3,31))),"年度外の日付 ","")))</f>
        <v/>
      </c>
      <c r="K391" s="366" t="n"/>
    </row>
    <row r="392">
      <c r="A392" s="359" t="n"/>
      <c r="B392" s="360" t="n"/>
      <c r="C392" s="361" t="n"/>
      <c r="D392" s="362" t="n"/>
      <c r="E392" s="362" t="n"/>
      <c r="F392" s="363" t="n"/>
      <c r="G392" s="360" t="n"/>
      <c r="H392" s="359" t="str">
        <f>IF(OR($F392="",$C392=""),"",IF($B392="決算整理",13,MOD(MONTH($C392)-4,12)+1))</f>
        <v/>
      </c>
      <c r="I392" s="364" t="str">
        <f>IF(OR($F392="",$D392=""),"",IFERROR(INDEX(費用収益表_貸付!$S$1:$S$60,VLOOKUP($D392,科目表!$K$5:$L$40,2,FALSE))-SUMIFS($F$5:$F392,$D$5:$D392,$D392),"?"))</f>
        <v/>
      </c>
      <c r="J392" s="366" t="str">
        <f>IF($F392="","",TRIM(IF(ISERROR(MATCH($D392,科目表!$K$5:$K$40,0)),"科目未登録 ","")&amp;IF($G392="","状態未設定 ","")&amp;IF(AND(OR($G392="確認済",$G392="未確認"),$B392="通常",OR($C392="",$C392&lt;DATE(年度+2018,4,1),$C392&gt;DATE(年度+2019,3,31))),"年度外の日付 ","")))</f>
        <v/>
      </c>
      <c r="K392" s="366" t="n"/>
    </row>
    <row r="393">
      <c r="A393" s="359" t="n"/>
      <c r="B393" s="360" t="n"/>
      <c r="C393" s="361" t="n"/>
      <c r="D393" s="362" t="n"/>
      <c r="E393" s="362" t="n"/>
      <c r="F393" s="363" t="n"/>
      <c r="G393" s="360" t="n"/>
      <c r="H393" s="359" t="str">
        <f>IF(OR($F393="",$C393=""),"",IF($B393="決算整理",13,MOD(MONTH($C393)-4,12)+1))</f>
        <v/>
      </c>
      <c r="I393" s="364" t="str">
        <f>IF(OR($F393="",$D393=""),"",IFERROR(INDEX(費用収益表_貸付!$S$1:$S$60,VLOOKUP($D393,科目表!$K$5:$L$40,2,FALSE))-SUMIFS($F$5:$F393,$D$5:$D393,$D393),"?"))</f>
        <v/>
      </c>
      <c r="J393" s="366" t="str">
        <f>IF($F393="","",TRIM(IF(ISERROR(MATCH($D393,科目表!$K$5:$K$40,0)),"科目未登録 ","")&amp;IF($G393="","状態未設定 ","")&amp;IF(AND(OR($G393="確認済",$G393="未確認"),$B393="通常",OR($C393="",$C393&lt;DATE(年度+2018,4,1),$C393&gt;DATE(年度+2019,3,31))),"年度外の日付 ","")))</f>
        <v/>
      </c>
      <c r="K393" s="366" t="n"/>
    </row>
    <row r="394">
      <c r="A394" s="359" t="n"/>
      <c r="B394" s="360" t="n"/>
      <c r="C394" s="361" t="n"/>
      <c r="D394" s="362" t="n"/>
      <c r="E394" s="362" t="n"/>
      <c r="F394" s="363" t="n"/>
      <c r="G394" s="360" t="n"/>
      <c r="H394" s="359" t="str">
        <f>IF(OR($F394="",$C394=""),"",IF($B394="決算整理",13,MOD(MONTH($C394)-4,12)+1))</f>
        <v/>
      </c>
      <c r="I394" s="364" t="str">
        <f>IF(OR($F394="",$D394=""),"",IFERROR(INDEX(費用収益表_貸付!$S$1:$S$60,VLOOKUP($D394,科目表!$K$5:$L$40,2,FALSE))-SUMIFS($F$5:$F394,$D$5:$D394,$D394),"?"))</f>
        <v/>
      </c>
      <c r="J394" s="366" t="str">
        <f>IF($F394="","",TRIM(IF(ISERROR(MATCH($D394,科目表!$K$5:$K$40,0)),"科目未登録 ","")&amp;IF($G394="","状態未設定 ","")&amp;IF(AND(OR($G394="確認済",$G394="未確認"),$B394="通常",OR($C394="",$C394&lt;DATE(年度+2018,4,1),$C394&gt;DATE(年度+2019,3,31))),"年度外の日付 ","")))</f>
        <v/>
      </c>
      <c r="K394" s="366" t="n"/>
    </row>
    <row r="395">
      <c r="A395" s="359" t="n"/>
      <c r="B395" s="360" t="n"/>
      <c r="C395" s="361" t="n"/>
      <c r="D395" s="362" t="n"/>
      <c r="E395" s="362" t="n"/>
      <c r="F395" s="363" t="n"/>
      <c r="G395" s="360" t="n"/>
      <c r="H395" s="359" t="str">
        <f>IF(OR($F395="",$C395=""),"",IF($B395="決算整理",13,MOD(MONTH($C395)-4,12)+1))</f>
        <v/>
      </c>
      <c r="I395" s="364" t="str">
        <f>IF(OR($F395="",$D395=""),"",IFERROR(INDEX(費用収益表_貸付!$S$1:$S$60,VLOOKUP($D395,科目表!$K$5:$L$40,2,FALSE))-SUMIFS($F$5:$F395,$D$5:$D395,$D395),"?"))</f>
        <v/>
      </c>
      <c r="J395" s="366" t="str">
        <f>IF($F395="","",TRIM(IF(ISERROR(MATCH($D395,科目表!$K$5:$K$40,0)),"科目未登録 ","")&amp;IF($G395="","状態未設定 ","")&amp;IF(AND(OR($G395="確認済",$G395="未確認"),$B395="通常",OR($C395="",$C395&lt;DATE(年度+2018,4,1),$C395&gt;DATE(年度+2019,3,31))),"年度外の日付 ","")))</f>
        <v/>
      </c>
      <c r="K395" s="366" t="n"/>
    </row>
    <row r="396">
      <c r="A396" s="359" t="n"/>
      <c r="B396" s="360" t="n"/>
      <c r="C396" s="361" t="n"/>
      <c r="D396" s="362" t="n"/>
      <c r="E396" s="362" t="n"/>
      <c r="F396" s="363" t="n"/>
      <c r="G396" s="360" t="n"/>
      <c r="H396" s="359" t="str">
        <f>IF(OR($F396="",$C396=""),"",IF($B396="決算整理",13,MOD(MONTH($C396)-4,12)+1))</f>
        <v/>
      </c>
      <c r="I396" s="364" t="str">
        <f>IF(OR($F396="",$D396=""),"",IFERROR(INDEX(費用収益表_貸付!$S$1:$S$60,VLOOKUP($D396,科目表!$K$5:$L$40,2,FALSE))-SUMIFS($F$5:$F396,$D$5:$D396,$D396),"?"))</f>
        <v/>
      </c>
      <c r="J396" s="366" t="str">
        <f>IF($F396="","",TRIM(IF(ISERROR(MATCH($D396,科目表!$K$5:$K$40,0)),"科目未登録 ","")&amp;IF($G396="","状態未設定 ","")&amp;IF(AND(OR($G396="確認済",$G396="未確認"),$B396="通常",OR($C396="",$C396&lt;DATE(年度+2018,4,1),$C396&gt;DATE(年度+2019,3,31))),"年度外の日付 ","")))</f>
        <v/>
      </c>
      <c r="K396" s="366" t="n"/>
    </row>
    <row r="397">
      <c r="A397" s="359" t="n"/>
      <c r="B397" s="360" t="n"/>
      <c r="C397" s="361" t="n"/>
      <c r="D397" s="362" t="n"/>
      <c r="E397" s="362" t="n"/>
      <c r="F397" s="363" t="n"/>
      <c r="G397" s="360" t="n"/>
      <c r="H397" s="359" t="str">
        <f>IF(OR($F397="",$C397=""),"",IF($B397="決算整理",13,MOD(MONTH($C397)-4,12)+1))</f>
        <v/>
      </c>
      <c r="I397" s="364" t="str">
        <f>IF(OR($F397="",$D397=""),"",IFERROR(INDEX(費用収益表_貸付!$S$1:$S$60,VLOOKUP($D397,科目表!$K$5:$L$40,2,FALSE))-SUMIFS($F$5:$F397,$D$5:$D397,$D397),"?"))</f>
        <v/>
      </c>
      <c r="J397" s="366" t="str">
        <f>IF($F397="","",TRIM(IF(ISERROR(MATCH($D397,科目表!$K$5:$K$40,0)),"科目未登録 ","")&amp;IF($G397="","状態未設定 ","")&amp;IF(AND(OR($G397="確認済",$G397="未確認"),$B397="通常",OR($C397="",$C397&lt;DATE(年度+2018,4,1),$C397&gt;DATE(年度+2019,3,31))),"年度外の日付 ","")))</f>
        <v/>
      </c>
      <c r="K397" s="366" t="n"/>
    </row>
    <row r="398">
      <c r="A398" s="359" t="n"/>
      <c r="B398" s="360" t="n"/>
      <c r="C398" s="361" t="n"/>
      <c r="D398" s="362" t="n"/>
      <c r="E398" s="362" t="n"/>
      <c r="F398" s="363" t="n"/>
      <c r="G398" s="360" t="n"/>
      <c r="H398" s="359" t="str">
        <f>IF(OR($F398="",$C398=""),"",IF($B398="決算整理",13,MOD(MONTH($C398)-4,12)+1))</f>
        <v/>
      </c>
      <c r="I398" s="364" t="str">
        <f>IF(OR($F398="",$D398=""),"",IFERROR(INDEX(費用収益表_貸付!$S$1:$S$60,VLOOKUP($D398,科目表!$K$5:$L$40,2,FALSE))-SUMIFS($F$5:$F398,$D$5:$D398,$D398),"?"))</f>
        <v/>
      </c>
      <c r="J398" s="366" t="str">
        <f>IF($F398="","",TRIM(IF(ISERROR(MATCH($D398,科目表!$K$5:$K$40,0)),"科目未登録 ","")&amp;IF($G398="","状態未設定 ","")&amp;IF(AND(OR($G398="確認済",$G398="未確認"),$B398="通常",OR($C398="",$C398&lt;DATE(年度+2018,4,1),$C398&gt;DATE(年度+2019,3,31))),"年度外の日付 ","")))</f>
        <v/>
      </c>
      <c r="K398" s="366" t="n"/>
    </row>
    <row r="399">
      <c r="A399" s="359" t="n"/>
      <c r="B399" s="360" t="n"/>
      <c r="C399" s="361" t="n"/>
      <c r="D399" s="362" t="n"/>
      <c r="E399" s="362" t="n"/>
      <c r="F399" s="363" t="n"/>
      <c r="G399" s="360" t="n"/>
      <c r="H399" s="359" t="str">
        <f>IF(OR($F399="",$C399=""),"",IF($B399="決算整理",13,MOD(MONTH($C399)-4,12)+1))</f>
        <v/>
      </c>
      <c r="I399" s="364" t="str">
        <f>IF(OR($F399="",$D399=""),"",IFERROR(INDEX(費用収益表_貸付!$S$1:$S$60,VLOOKUP($D399,科目表!$K$5:$L$40,2,FALSE))-SUMIFS($F$5:$F399,$D$5:$D399,$D399),"?"))</f>
        <v/>
      </c>
      <c r="J399" s="366" t="str">
        <f>IF($F399="","",TRIM(IF(ISERROR(MATCH($D399,科目表!$K$5:$K$40,0)),"科目未登録 ","")&amp;IF($G399="","状態未設定 ","")&amp;IF(AND(OR($G399="確認済",$G399="未確認"),$B399="通常",OR($C399="",$C399&lt;DATE(年度+2018,4,1),$C399&gt;DATE(年度+2019,3,31))),"年度外の日付 ","")))</f>
        <v/>
      </c>
      <c r="K399" s="366" t="n"/>
    </row>
    <row r="400">
      <c r="A400" s="359" t="n"/>
      <c r="B400" s="360" t="n"/>
      <c r="C400" s="361" t="n"/>
      <c r="D400" s="362" t="n"/>
      <c r="E400" s="362" t="n"/>
      <c r="F400" s="363" t="n"/>
      <c r="G400" s="360" t="n"/>
      <c r="H400" s="359" t="str">
        <f>IF(OR($F400="",$C400=""),"",IF($B400="決算整理",13,MOD(MONTH($C400)-4,12)+1))</f>
        <v/>
      </c>
      <c r="I400" s="364" t="str">
        <f>IF(OR($F400="",$D400=""),"",IFERROR(INDEX(費用収益表_貸付!$S$1:$S$60,VLOOKUP($D400,科目表!$K$5:$L$40,2,FALSE))-SUMIFS($F$5:$F400,$D$5:$D400,$D400),"?"))</f>
        <v/>
      </c>
      <c r="J400" s="366" t="str">
        <f>IF($F400="","",TRIM(IF(ISERROR(MATCH($D400,科目表!$K$5:$K$40,0)),"科目未登録 ","")&amp;IF($G400="","状態未設定 ","")&amp;IF(AND(OR($G400="確認済",$G400="未確認"),$B400="通常",OR($C400="",$C400&lt;DATE(年度+2018,4,1),$C400&gt;DATE(年度+2019,3,31))),"年度外の日付 ","")))</f>
        <v/>
      </c>
      <c r="K400" s="366" t="n"/>
    </row>
    <row r="401">
      <c r="A401" s="359" t="n"/>
      <c r="B401" s="360" t="n"/>
      <c r="C401" s="361" t="n"/>
      <c r="D401" s="362" t="n"/>
      <c r="E401" s="362" t="n"/>
      <c r="F401" s="363" t="n"/>
      <c r="G401" s="360" t="n"/>
      <c r="H401" s="359" t="str">
        <f>IF(OR($F401="",$C401=""),"",IF($B401="決算整理",13,MOD(MONTH($C401)-4,12)+1))</f>
        <v/>
      </c>
      <c r="I401" s="364" t="str">
        <f>IF(OR($F401="",$D401=""),"",IFERROR(INDEX(費用収益表_貸付!$S$1:$S$60,VLOOKUP($D401,科目表!$K$5:$L$40,2,FALSE))-SUMIFS($F$5:$F401,$D$5:$D401,$D401),"?"))</f>
        <v/>
      </c>
      <c r="J401" s="366" t="str">
        <f>IF($F401="","",TRIM(IF(ISERROR(MATCH($D401,科目表!$K$5:$K$40,0)),"科目未登録 ","")&amp;IF($G401="","状態未設定 ","")&amp;IF(AND(OR($G401="確認済",$G401="未確認"),$B401="通常",OR($C401="",$C401&lt;DATE(年度+2018,4,1),$C401&gt;DATE(年度+2019,3,31))),"年度外の日付 ","")))</f>
        <v/>
      </c>
      <c r="K401" s="366" t="n"/>
    </row>
    <row r="402">
      <c r="A402" s="359" t="n"/>
      <c r="B402" s="360" t="n"/>
      <c r="C402" s="361" t="n"/>
      <c r="D402" s="362" t="n"/>
      <c r="E402" s="362" t="n"/>
      <c r="F402" s="363" t="n"/>
      <c r="G402" s="360" t="n"/>
      <c r="H402" s="359" t="str">
        <f>IF(OR($F402="",$C402=""),"",IF($B402="決算整理",13,MOD(MONTH($C402)-4,12)+1))</f>
        <v/>
      </c>
      <c r="I402" s="364" t="str">
        <f>IF(OR($F402="",$D402=""),"",IFERROR(INDEX(費用収益表_貸付!$S$1:$S$60,VLOOKUP($D402,科目表!$K$5:$L$40,2,FALSE))-SUMIFS($F$5:$F402,$D$5:$D402,$D402),"?"))</f>
        <v/>
      </c>
      <c r="J402" s="366" t="str">
        <f>IF($F402="","",TRIM(IF(ISERROR(MATCH($D402,科目表!$K$5:$K$40,0)),"科目未登録 ","")&amp;IF($G402="","状態未設定 ","")&amp;IF(AND(OR($G402="確認済",$G402="未確認"),$B402="通常",OR($C402="",$C402&lt;DATE(年度+2018,4,1),$C402&gt;DATE(年度+2019,3,31))),"年度外の日付 ","")))</f>
        <v/>
      </c>
      <c r="K402" s="366" t="n"/>
    </row>
    <row r="403">
      <c r="A403" s="359" t="n"/>
      <c r="B403" s="360" t="n"/>
      <c r="C403" s="361" t="n"/>
      <c r="D403" s="362" t="n"/>
      <c r="E403" s="362" t="n"/>
      <c r="F403" s="363" t="n"/>
      <c r="G403" s="360" t="n"/>
      <c r="H403" s="359" t="str">
        <f>IF(OR($F403="",$C403=""),"",IF($B403="決算整理",13,MOD(MONTH($C403)-4,12)+1))</f>
        <v/>
      </c>
      <c r="I403" s="364" t="str">
        <f>IF(OR($F403="",$D403=""),"",IFERROR(INDEX(費用収益表_貸付!$S$1:$S$60,VLOOKUP($D403,科目表!$K$5:$L$40,2,FALSE))-SUMIFS($F$5:$F403,$D$5:$D403,$D403),"?"))</f>
        <v/>
      </c>
      <c r="J403" s="366" t="str">
        <f>IF($F403="","",TRIM(IF(ISERROR(MATCH($D403,科目表!$K$5:$K$40,0)),"科目未登録 ","")&amp;IF($G403="","状態未設定 ","")&amp;IF(AND(OR($G403="確認済",$G403="未確認"),$B403="通常",OR($C403="",$C403&lt;DATE(年度+2018,4,1),$C403&gt;DATE(年度+2019,3,31))),"年度外の日付 ","")))</f>
        <v/>
      </c>
      <c r="K403" s="366" t="n"/>
    </row>
    <row r="404">
      <c r="A404" s="359" t="n"/>
      <c r="B404" s="360" t="n"/>
      <c r="C404" s="361" t="n"/>
      <c r="D404" s="362" t="n"/>
      <c r="E404" s="362" t="n"/>
      <c r="F404" s="363" t="n"/>
      <c r="G404" s="360" t="n"/>
      <c r="H404" s="359" t="str">
        <f>IF(OR($F404="",$C404=""),"",IF($B404="決算整理",13,MOD(MONTH($C404)-4,12)+1))</f>
        <v/>
      </c>
      <c r="I404" s="364" t="str">
        <f>IF(OR($F404="",$D404=""),"",IFERROR(INDEX(費用収益表_貸付!$S$1:$S$60,VLOOKUP($D404,科目表!$K$5:$L$40,2,FALSE))-SUMIFS($F$5:$F404,$D$5:$D404,$D404),"?"))</f>
        <v/>
      </c>
      <c r="J404" s="366" t="str">
        <f>IF($F404="","",TRIM(IF(ISERROR(MATCH($D404,科目表!$K$5:$K$40,0)),"科目未登録 ","")&amp;IF($G404="","状態未設定 ","")&amp;IF(AND(OR($G404="確認済",$G404="未確認"),$B404="通常",OR($C404="",$C404&lt;DATE(年度+2018,4,1),$C404&gt;DATE(年度+2019,3,31))),"年度外の日付 ","")))</f>
        <v/>
      </c>
      <c r="K404" s="366" t="n"/>
    </row>
  </sheetData>
  <autoFilter ref="A4:K404"/>
  <mergeCells count="2">
    <mergeCell ref="A2:K2"/>
    <mergeCell ref="A1:K1"/>
  </mergeCells>
  <conditionalFormatting sqref="A5:G404">
    <cfRule type="expression" priority="1" dxfId="6">
      <formula>$G5="支払なし"</formula>
    </cfRule>
    <cfRule type="expression" priority="2" dxfId="7">
      <formula>$G5="昨年実績"</formula>
    </cfRule>
    <cfRule type="expression" priority="3" dxfId="8">
      <formula>$G5="確認済"</formula>
    </cfRule>
    <cfRule type="expression" priority="4" dxfId="9">
      <formula>$G5="未確認"</formula>
    </cfRule>
  </conditionalFormatting>
  <conditionalFormatting sqref="J5:J404">
    <cfRule type="expression" priority="5" dxfId="10">
      <formula>LEN($J5)&gt;0</formula>
    </cfRule>
  </conditionalFormatting>
  <dataValidations count="3">
    <dataValidation sqref="B5:B404" showDropDown="0" showInputMessage="0" showErrorMessage="1" allowBlank="1" error="リストから選んでください" type="list">
      <formula1>"通常,決算整理"</formula1>
    </dataValidation>
    <dataValidation sqref="D5:D404" showDropDown="0" showInputMessage="0" showErrorMessage="1" allowBlank="1" error="リストから選んでください" type="list">
      <formula1>=科目表!$K$5:$K$40</formula1>
    </dataValidation>
    <dataValidation sqref="G5:G404" showDropDown="0" showInputMessage="0" showErrorMessage="1" allowBlank="1" error="リストから選んでください" type="list">
      <formula1>=科目表!$I$5:$I$8</formula1>
    </dataValidation>
  </dataValidations>
  <printOptions horizontalCentered="1"/>
  <pageMargins left="0.4" right="0.4" top="0.5" bottom="0.5" header="0.5" footer="0.5"/>
  <pageSetup orientation="landscape" paperSize="9" fitToHeight="0" fitToWidth="1"/>
</worksheet>
</file>

<file path=xl/worksheets/sheet5.xml><?xml version="1.0" encoding="utf-8"?>
<worksheet xmlns="http://schemas.openxmlformats.org/spreadsheetml/2006/main">
  <sheetPr filterMode="0">
    <tabColor rgb="001F3864"/>
    <outlinePr summaryBelow="1" summaryRight="1"/>
    <pageSetUpPr fitToPage="1"/>
  </sheetPr>
  <dimension ref="A1:AM62"/>
  <sheetViews>
    <sheetView showFormulas="0" showGridLines="0" showRowColHeaders="1" showZeros="1" rightToLeft="0" tabSelected="0" showOutlineSymbols="1" defaultGridColor="1" view="normal" topLeftCell="A1" colorId="64" zoomScale="90" zoomScaleNormal="100" zoomScalePageLayoutView="100" workbookViewId="0">
      <pane xSplit="2" ySplit="3" topLeftCell="C4" activePane="bottomRight" state="frozen"/>
      <selection pane="topRight"/>
      <selection pane="bottomLeft"/>
      <selection pane="bottomRight" activeCell="A1" activeCellId="0" sqref="A1"/>
    </sheetView>
  </sheetViews>
  <sheetFormatPr baseColWidth="8" defaultColWidth="8.8671875" defaultRowHeight="18" zeroHeight="0" outlineLevelRow="0"/>
  <cols>
    <col width="14" customWidth="1" style="367" min="1" max="1"/>
    <col width="20" customWidth="1" style="367" min="2" max="2"/>
    <col width="12.5" customWidth="1" style="367" min="3" max="4"/>
    <col width="12.5" customWidth="1" style="322" min="4" max="4"/>
    <col width="12.5" customWidth="1" style="367" min="5" max="5"/>
    <col width="12.5" customWidth="1" style="367" min="6" max="7"/>
    <col width="12.5" customWidth="1" style="322" min="7" max="7"/>
    <col width="12.5" customWidth="1" style="367" min="8" max="8"/>
    <col width="12.5" customWidth="1" style="367" min="9" max="14"/>
    <col width="12.5" customWidth="1" style="322" min="10" max="10"/>
    <col width="12.5" customWidth="1" style="322" min="11" max="11"/>
    <col width="12.5" customWidth="1" style="322" min="12" max="12"/>
    <col width="12.5" customWidth="1" style="322" min="13" max="13"/>
    <col width="12.5" customWidth="1" style="322" min="14" max="14"/>
    <col width="12.5" customWidth="1" style="367" min="15" max="15"/>
    <col width="13.5" customWidth="1" style="367" min="16" max="16"/>
    <col width="13.5" customWidth="1" style="367" min="17" max="17"/>
    <col width="13.5" customWidth="1" style="367" min="18" max="19"/>
    <col width="13.5" customWidth="1" style="322" min="19" max="19"/>
    <col width="13.5" customWidth="1" style="367" min="20" max="20"/>
    <col width="12" customWidth="1" style="367" min="21" max="21"/>
    <col width="13.5" customWidth="1" style="367" min="22" max="22"/>
    <col width="13.5" customWidth="1" style="367" min="23" max="257"/>
    <col hidden="1" width="13" customWidth="1" style="322" min="24" max="24"/>
    <col hidden="1" outlineLevel="1" width="11" customWidth="1" style="322" min="27" max="39"/>
    <col width="11" customWidth="1" style="322" min="28" max="28"/>
    <col width="11" customWidth="1" style="322" min="29" max="29"/>
    <col width="11" customWidth="1" style="322" min="30" max="30"/>
    <col width="11" customWidth="1" style="322" min="31" max="31"/>
    <col width="11" customWidth="1" style="322" min="32" max="32"/>
    <col width="11" customWidth="1" style="322" min="33" max="33"/>
    <col width="11" customWidth="1" style="322" min="34" max="34"/>
    <col width="11" customWidth="1" style="322" min="35" max="35"/>
    <col width="11" customWidth="1" style="322" min="36" max="36"/>
    <col width="11" customWidth="1" style="322" min="37" max="37"/>
    <col width="11" customWidth="1" style="322" min="38" max="38"/>
    <col width="11" customWidth="1" style="322" min="39" max="39"/>
  </cols>
  <sheetData>
    <row r="1" ht="26" customHeight="1" s="322">
      <c r="A1" s="323" t="str">
        <f>"令和"&amp;年度&amp;"年度　業務経理（長期・短期給付事務合計分）　費用収益表"</f>
        <v>令和8年度　業務経理（長期・短期給付事務合計分）　費用収益表</v>
      </c>
      <c r="B1" s="324" t="n"/>
      <c r="C1" s="324" t="n"/>
      <c r="D1" s="324" t="n"/>
      <c r="E1" s="324" t="n"/>
      <c r="F1" s="324" t="n"/>
      <c r="G1" s="324" t="n"/>
      <c r="H1" s="324" t="n"/>
      <c r="I1" s="324" t="n"/>
      <c r="J1" s="324" t="n"/>
      <c r="K1" s="324" t="n"/>
      <c r="L1" s="324" t="n"/>
      <c r="M1" s="324" t="n"/>
      <c r="N1" s="324" t="n"/>
      <c r="O1" s="324" t="n"/>
      <c r="P1" s="368" t="inlineStr">
        <is>
          <t>緑字＝未締め月（前年実績・見込）／黒字＝締め済み／青字＝手入力セル</t>
        </is>
      </c>
      <c r="Q1" s="324" t="n"/>
      <c r="R1" s="324" t="n"/>
      <c r="S1" s="324" t="n"/>
      <c r="T1" s="324" t="n"/>
      <c r="U1" s="324" t="n"/>
      <c r="V1" s="324" t="n"/>
      <c r="W1" s="324" t="n"/>
    </row>
    <row r="2" ht="18" customHeight="1" s="322">
      <c r="A2" s="369" t="inlineStr">
        <is>
          <t>費用</t>
        </is>
      </c>
      <c r="B2" s="339" t="n"/>
      <c r="C2" s="370" t="n">
        <v>1</v>
      </c>
      <c r="D2" s="370" t="n">
        <v>2</v>
      </c>
      <c r="E2" s="370" t="n">
        <v>3</v>
      </c>
      <c r="F2" s="370" t="n">
        <v>4</v>
      </c>
      <c r="G2" s="370" t="n">
        <v>5</v>
      </c>
      <c r="H2" s="370" t="n">
        <v>6</v>
      </c>
      <c r="I2" s="370" t="n">
        <v>7</v>
      </c>
      <c r="J2" s="370" t="n">
        <v>8</v>
      </c>
      <c r="K2" s="370" t="n">
        <v>9</v>
      </c>
      <c r="L2" s="370" t="n">
        <v>10</v>
      </c>
      <c r="M2" s="370" t="n">
        <v>11</v>
      </c>
      <c r="N2" s="370" t="n">
        <v>12</v>
      </c>
      <c r="O2" s="370" t="n">
        <v>13</v>
      </c>
      <c r="P2" s="339" t="n"/>
      <c r="Q2" s="339" t="n"/>
      <c r="R2" s="339" t="n"/>
      <c r="S2" s="339" t="n"/>
      <c r="T2" s="339" t="n"/>
      <c r="U2" s="339" t="n"/>
      <c r="V2" s="339" t="n"/>
      <c r="W2" s="339" t="n"/>
      <c r="AA2" s="371" t="inlineStr">
        <is>
          <t>▼ 参考値（旧表の値：未締め月に表示される前年実績・見込）</t>
        </is>
      </c>
    </row>
    <row r="3" ht="22" customHeight="1" s="322">
      <c r="A3" s="372" t="inlineStr">
        <is>
          <t>支払月</t>
        </is>
      </c>
      <c r="B3" s="327" t="n"/>
      <c r="C3" s="372" t="inlineStr">
        <is>
          <t>４月支払</t>
        </is>
      </c>
      <c r="D3" s="372" t="inlineStr">
        <is>
          <t>５月</t>
        </is>
      </c>
      <c r="E3" s="372" t="inlineStr">
        <is>
          <t>６月</t>
        </is>
      </c>
      <c r="F3" s="372" t="inlineStr">
        <is>
          <t>７月</t>
        </is>
      </c>
      <c r="G3" s="372" t="inlineStr">
        <is>
          <t>８月</t>
        </is>
      </c>
      <c r="H3" s="372" t="inlineStr">
        <is>
          <t>９月</t>
        </is>
      </c>
      <c r="I3" s="372" t="inlineStr">
        <is>
          <t>１０月</t>
        </is>
      </c>
      <c r="J3" s="372" t="inlineStr">
        <is>
          <t>１１月</t>
        </is>
      </c>
      <c r="K3" s="372" t="inlineStr">
        <is>
          <t>１２月</t>
        </is>
      </c>
      <c r="L3" s="372" t="inlineStr">
        <is>
          <t>１月</t>
        </is>
      </c>
      <c r="M3" s="372" t="inlineStr">
        <is>
          <t>２月</t>
        </is>
      </c>
      <c r="N3" s="372" t="inlineStr">
        <is>
          <t>３月</t>
        </is>
      </c>
      <c r="O3" s="372" t="inlineStr">
        <is>
          <t>４月(未払）</t>
        </is>
      </c>
      <c r="P3" s="372" t="inlineStr">
        <is>
          <t>決算額</t>
        </is>
      </c>
      <c r="Q3" s="372" t="inlineStr">
        <is>
          <t>予算額</t>
        </is>
      </c>
      <c r="R3" s="372" t="inlineStr">
        <is>
          <t>流用振替額</t>
        </is>
      </c>
      <c r="S3" s="372" t="inlineStr">
        <is>
          <t>予算現額</t>
        </is>
      </c>
      <c r="T3" s="372" t="inlineStr">
        <is>
          <t>不用額</t>
        </is>
      </c>
      <c r="U3" s="373" t="n"/>
      <c r="V3" s="327" t="inlineStr">
        <is>
          <t>締め月まで
累計</t>
        </is>
      </c>
      <c r="W3" s="327" t="inlineStr">
        <is>
          <t>予算残額
（現在）</t>
        </is>
      </c>
      <c r="X3" s="374" t="inlineStr">
        <is>
          <t>台帳連動</t>
        </is>
      </c>
      <c r="AA3" s="375" t="inlineStr">
        <is>
          <t>4月</t>
        </is>
      </c>
      <c r="AB3" s="375" t="inlineStr">
        <is>
          <t>5月</t>
        </is>
      </c>
      <c r="AC3" s="375" t="inlineStr">
        <is>
          <t>6月</t>
        </is>
      </c>
      <c r="AD3" s="375" t="inlineStr">
        <is>
          <t>7月</t>
        </is>
      </c>
      <c r="AE3" s="375" t="inlineStr">
        <is>
          <t>8月</t>
        </is>
      </c>
      <c r="AF3" s="375" t="inlineStr">
        <is>
          <t>9月</t>
        </is>
      </c>
      <c r="AG3" s="375" t="inlineStr">
        <is>
          <t>10月</t>
        </is>
      </c>
      <c r="AH3" s="375" t="inlineStr">
        <is>
          <t>11月</t>
        </is>
      </c>
      <c r="AI3" s="375" t="inlineStr">
        <is>
          <t>12月</t>
        </is>
      </c>
      <c r="AJ3" s="375" t="inlineStr">
        <is>
          <t>1月</t>
        </is>
      </c>
      <c r="AK3" s="375" t="inlineStr">
        <is>
          <t>2月</t>
        </is>
      </c>
      <c r="AL3" s="375" t="inlineStr">
        <is>
          <t>3月</t>
        </is>
      </c>
      <c r="AM3" s="375" t="inlineStr">
        <is>
          <t>4月(未払)</t>
        </is>
      </c>
    </row>
    <row r="4" ht="18" customHeight="1" s="322">
      <c r="A4" s="376" t="inlineStr">
        <is>
          <t>役員報酬</t>
        </is>
      </c>
      <c r="B4" s="343" t="n"/>
      <c r="C4" s="377">
        <f>SUM('費用収益表_業務長期'!C4,'費用収益表_業務短期'!C4)</f>
        <v>0</v>
      </c>
      <c r="D4" s="377">
        <f>SUM('費用収益表_業務長期'!D4,'費用収益表_業務短期'!D4)</f>
        <v>0</v>
      </c>
      <c r="E4" s="377">
        <f>SUM('費用収益表_業務長期'!E4,'費用収益表_業務短期'!E4)</f>
        <v>22000</v>
      </c>
      <c r="F4" s="377">
        <f>SUM('費用収益表_業務長期'!F4,'費用収益表_業務短期'!F4)</f>
        <v>0</v>
      </c>
      <c r="G4" s="377">
        <f>SUM('費用収益表_業務長期'!G4,'費用収益表_業務短期'!G4)</f>
        <v>0</v>
      </c>
      <c r="H4" s="377">
        <f>SUM('費用収益表_業務長期'!H4,'費用収益表_業務短期'!H4)</f>
        <v>0</v>
      </c>
      <c r="I4" s="377">
        <f>SUM('費用収益表_業務長期'!I4,'費用収益表_業務短期'!I4)</f>
        <v>0</v>
      </c>
      <c r="J4" s="377">
        <f>SUM('費用収益表_業務長期'!J4,'費用収益表_業務短期'!J4)</f>
        <v>0</v>
      </c>
      <c r="K4" s="377">
        <f>SUM('費用収益表_業務長期'!K4,'費用収益表_業務短期'!K4)</f>
        <v>0</v>
      </c>
      <c r="L4" s="377">
        <f>SUM('費用収益表_業務長期'!L4,'費用収益表_業務短期'!L4)</f>
        <v>0</v>
      </c>
      <c r="M4" s="377">
        <f>SUM('費用収益表_業務長期'!M4,'費用収益表_業務短期'!M4)</f>
        <v>0</v>
      </c>
      <c r="N4" s="377">
        <f>SUM('費用収益表_業務長期'!N4,'費用収益表_業務短期'!N4)</f>
        <v>11000</v>
      </c>
      <c r="O4" s="377">
        <f>SUM('費用収益表_業務長期'!O4,'費用収益表_業務短期'!O4)</f>
        <v>0</v>
      </c>
      <c r="P4" s="377">
        <f>SUM(C4:O4)</f>
        <v>33000</v>
      </c>
      <c r="Q4" s="377">
        <f>SUM('費用収益表_業務長期'!Q4,'費用収益表_業務短期'!Q4)</f>
        <v>33000</v>
      </c>
      <c r="R4" s="377">
        <f>SUM('費用収益表_業務長期'!R4,'費用収益表_業務短期'!R4)</f>
        <v>0</v>
      </c>
      <c r="S4" s="377">
        <f>SUM('費用収益表_業務長期'!S4,'費用収益表_業務短期'!S4)</f>
        <v>33000</v>
      </c>
      <c r="T4" s="377">
        <f>S4-P4</f>
        <v>0</v>
      </c>
      <c r="U4" s="373" t="n"/>
      <c r="V4" s="378">
        <f>SUMIF($C$2:$N$2,"&lt;="&amp;締月,C4:N4)</f>
        <v>22000</v>
      </c>
      <c r="W4" s="378">
        <f>S4-V4</f>
        <v>11000</v>
      </c>
    </row>
    <row r="5" ht="18" customHeight="1" s="322">
      <c r="A5" s="376" t="inlineStr">
        <is>
          <t>職員給与</t>
        </is>
      </c>
      <c r="B5" s="376" t="inlineStr">
        <is>
          <t>基本給</t>
        </is>
      </c>
      <c r="C5" s="377">
        <f>SUM('費用収益表_業務長期'!C5,'費用収益表_業務短期'!C5)</f>
        <v>0</v>
      </c>
      <c r="D5" s="377">
        <f>SUM('費用収益表_業務長期'!D5,'費用収益表_業務短期'!D5)</f>
        <v>0</v>
      </c>
      <c r="E5" s="377">
        <f>SUM('費用収益表_業務長期'!E5,'費用収益表_業務短期'!E5)</f>
        <v>0</v>
      </c>
      <c r="F5" s="377">
        <f>SUM('費用収益表_業務長期'!F5,'費用収益表_業務短期'!F5)</f>
        <v>0</v>
      </c>
      <c r="G5" s="377">
        <f>SUM('費用収益表_業務長期'!G5,'費用収益表_業務短期'!G5)</f>
        <v>0</v>
      </c>
      <c r="H5" s="377">
        <f>SUM('費用収益表_業務長期'!H5,'費用収益表_業務短期'!H5)</f>
        <v>0</v>
      </c>
      <c r="I5" s="377">
        <f>SUM('費用収益表_業務長期'!I5,'費用収益表_業務短期'!I5)</f>
        <v>0</v>
      </c>
      <c r="J5" s="377">
        <f>SUM('費用収益表_業務長期'!J5,'費用収益表_業務短期'!J5)</f>
        <v>0</v>
      </c>
      <c r="K5" s="377">
        <f>SUM('費用収益表_業務長期'!K5,'費用収益表_業務短期'!K5)</f>
        <v>0</v>
      </c>
      <c r="L5" s="377">
        <f>SUM('費用収益表_業務長期'!L5,'費用収益表_業務短期'!L5)</f>
        <v>0</v>
      </c>
      <c r="M5" s="377">
        <f>SUM('費用収益表_業務長期'!M5,'費用収益表_業務短期'!M5)</f>
        <v>0</v>
      </c>
      <c r="N5" s="377">
        <f>SUM('費用収益表_業務長期'!N5,'費用収益表_業務短期'!N5)</f>
        <v>0</v>
      </c>
      <c r="O5" s="377">
        <f>SUM('費用収益表_業務長期'!O5,'費用収益表_業務短期'!O5)</f>
        <v>0</v>
      </c>
      <c r="P5" s="377">
        <f>SUM(C5:O5)</f>
        <v>0</v>
      </c>
      <c r="Q5" s="377">
        <f>SUM('費用収益表_業務長期'!Q5,'費用収益表_業務短期'!Q5)</f>
        <v>0</v>
      </c>
      <c r="R5" s="377">
        <f>SUM('費用収益表_業務長期'!R5,'費用収益表_業務短期'!R5)</f>
        <v>0</v>
      </c>
      <c r="S5" s="377">
        <f>SUM('費用収益表_業務長期'!S5,'費用収益表_業務短期'!S5)</f>
        <v>0</v>
      </c>
      <c r="T5" s="377">
        <f>S5-P5</f>
        <v>0</v>
      </c>
      <c r="U5" s="373" t="n"/>
      <c r="V5" s="378">
        <f>SUMIF($C$2:$N$2,"&lt;="&amp;締月,C5:N5)</f>
        <v>0</v>
      </c>
      <c r="W5" s="378">
        <f>S5-V5</f>
        <v>0</v>
      </c>
    </row>
    <row r="6" ht="18" customHeight="1" s="322">
      <c r="A6" s="343" t="n"/>
      <c r="B6" s="376" t="inlineStr">
        <is>
          <t>諸手当</t>
        </is>
      </c>
      <c r="C6" s="377">
        <f>SUM('費用収益表_業務長期'!C6,'費用収益表_業務短期'!C6)</f>
        <v>0</v>
      </c>
      <c r="D6" s="377">
        <f>SUM('費用収益表_業務長期'!D6,'費用収益表_業務短期'!D6)</f>
        <v>0</v>
      </c>
      <c r="E6" s="377">
        <f>SUM('費用収益表_業務長期'!E6,'費用収益表_業務短期'!E6)</f>
        <v>0</v>
      </c>
      <c r="F6" s="377">
        <f>SUM('費用収益表_業務長期'!F6,'費用収益表_業務短期'!F6)</f>
        <v>0</v>
      </c>
      <c r="G6" s="377">
        <f>SUM('費用収益表_業務長期'!G6,'費用収益表_業務短期'!G6)</f>
        <v>0</v>
      </c>
      <c r="H6" s="377">
        <f>SUM('費用収益表_業務長期'!H6,'費用収益表_業務短期'!H6)</f>
        <v>0</v>
      </c>
      <c r="I6" s="377">
        <f>SUM('費用収益表_業務長期'!I6,'費用収益表_業務短期'!I6)</f>
        <v>0</v>
      </c>
      <c r="J6" s="377">
        <f>SUM('費用収益表_業務長期'!J6,'費用収益表_業務短期'!J6)</f>
        <v>0</v>
      </c>
      <c r="K6" s="377">
        <f>SUM('費用収益表_業務長期'!K6,'費用収益表_業務短期'!K6)</f>
        <v>0</v>
      </c>
      <c r="L6" s="377">
        <f>SUM('費用収益表_業務長期'!L6,'費用収益表_業務短期'!L6)</f>
        <v>0</v>
      </c>
      <c r="M6" s="377">
        <f>SUM('費用収益表_業務長期'!M6,'費用収益表_業務短期'!M6)</f>
        <v>0</v>
      </c>
      <c r="N6" s="377">
        <f>SUM('費用収益表_業務長期'!N6,'費用収益表_業務短期'!N6)</f>
        <v>0</v>
      </c>
      <c r="O6" s="377">
        <f>SUM('費用収益表_業務長期'!O6,'費用収益表_業務短期'!O6)</f>
        <v>0</v>
      </c>
      <c r="P6" s="377">
        <f>SUM(C6:O6)</f>
        <v>0</v>
      </c>
      <c r="Q6" s="377">
        <f>SUM('費用収益表_業務長期'!Q6,'費用収益表_業務短期'!Q6)</f>
        <v>0</v>
      </c>
      <c r="R6" s="377">
        <f>SUM('費用収益表_業務長期'!R6,'費用収益表_業務短期'!R6)</f>
        <v>0</v>
      </c>
      <c r="S6" s="377">
        <f>SUM('費用収益表_業務長期'!S6,'費用収益表_業務短期'!S6)</f>
        <v>0</v>
      </c>
      <c r="T6" s="377">
        <f>S6-P6</f>
        <v>0</v>
      </c>
      <c r="U6" s="373" t="n"/>
      <c r="V6" s="378">
        <f>SUMIF($C$2:$N$2,"&lt;="&amp;締月,C6:N6)</f>
        <v>0</v>
      </c>
      <c r="W6" s="378">
        <f>S6-V6</f>
        <v>0</v>
      </c>
    </row>
    <row r="7" ht="18" customHeight="1" s="322">
      <c r="A7" s="343" t="n"/>
      <c r="B7" s="376" t="inlineStr">
        <is>
          <t>非常勤職員手当</t>
        </is>
      </c>
      <c r="C7" s="377">
        <f>SUM('費用収益表_業務長期'!C7,'費用収益表_業務短期'!C7)</f>
        <v>698140</v>
      </c>
      <c r="D7" s="377">
        <f>SUM('費用収益表_業務長期'!D7,'費用収益表_業務短期'!D7)</f>
        <v>629236</v>
      </c>
      <c r="E7" s="377">
        <f>SUM('費用収益表_業務長期'!E7,'費用収益表_業務短期'!E7)</f>
        <v>1946789</v>
      </c>
      <c r="F7" s="377">
        <f>SUM('費用収益表_業務長期'!F7,'費用収益表_業務短期'!F7)</f>
        <v>637508</v>
      </c>
      <c r="G7" s="377">
        <f>SUM('費用収益表_業務長期'!G7,'費用収益表_業務短期'!G7)</f>
        <v>625100</v>
      </c>
      <c r="H7" s="377">
        <f>SUM('費用収益表_業務長期'!H7,'費用収益表_業務短期'!H7)</f>
        <v>639576</v>
      </c>
      <c r="I7" s="377">
        <f>SUM('費用収益表_業務長期'!I7,'費用収益表_業務短期'!I7)</f>
        <v>764882</v>
      </c>
      <c r="J7" s="377">
        <f>SUM('費用収益表_業務長期'!J7,'費用収益表_業務短期'!J7)</f>
        <v>609611</v>
      </c>
      <c r="K7" s="377">
        <f>SUM('費用収益表_業務長期'!K7,'費用収益表_業務短期'!K7)</f>
        <v>1912393</v>
      </c>
      <c r="L7" s="377">
        <f>SUM('費用収益表_業務長期'!L7,'費用収益表_業務短期'!L7)</f>
        <v>623876</v>
      </c>
      <c r="M7" s="377">
        <f>SUM('費用収益表_業務長期'!M7,'費用収益表_業務短期'!M7)</f>
        <v>627946</v>
      </c>
      <c r="N7" s="377">
        <f>SUM('費用収益表_業務長期'!N7,'費用収益表_業務短期'!N7)</f>
        <v>699347</v>
      </c>
      <c r="O7" s="377">
        <f>SUM('費用収益表_業務長期'!O7,'費用収益表_業務短期'!O7)</f>
        <v>42640</v>
      </c>
      <c r="P7" s="377">
        <f>SUM(C7:O7)</f>
        <v>10457044</v>
      </c>
      <c r="Q7" s="377">
        <f>SUM('費用収益表_業務長期'!Q7,'費用収益表_業務短期'!Q7)</f>
        <v>11834000</v>
      </c>
      <c r="R7" s="377">
        <f>SUM('費用収益表_業務長期'!R7,'費用収益表_業務短期'!R7)</f>
        <v>0</v>
      </c>
      <c r="S7" s="377">
        <f>SUM('費用収益表_業務長期'!S7,'費用収益表_業務短期'!S7)</f>
        <v>11834000</v>
      </c>
      <c r="T7" s="377">
        <f>S7-P7</f>
        <v>1376956</v>
      </c>
      <c r="U7" s="373" t="n"/>
      <c r="V7" s="378">
        <f>SUMIF($C$2:$N$2,"&lt;="&amp;締月,C7:N7)</f>
        <v>5176349</v>
      </c>
      <c r="W7" s="378">
        <f>S7-V7</f>
        <v>6657651</v>
      </c>
    </row>
    <row r="8" ht="18" customFormat="1" customHeight="1" s="367">
      <c r="A8" s="343" t="n"/>
      <c r="B8" s="376" t="inlineStr">
        <is>
          <t>退職給与金</t>
        </is>
      </c>
      <c r="C8" s="377">
        <f>SUM('費用収益表_業務長期'!C8,'費用収益表_業務短期'!C8)</f>
        <v>0</v>
      </c>
      <c r="D8" s="377">
        <f>SUM('費用収益表_業務長期'!D8,'費用収益表_業務短期'!D8)</f>
        <v>0</v>
      </c>
      <c r="E8" s="377">
        <f>SUM('費用収益表_業務長期'!E8,'費用収益表_業務短期'!E8)</f>
        <v>0</v>
      </c>
      <c r="F8" s="377">
        <f>SUM('費用収益表_業務長期'!F8,'費用収益表_業務短期'!F8)</f>
        <v>0</v>
      </c>
      <c r="G8" s="377">
        <f>SUM('費用収益表_業務長期'!G8,'費用収益表_業務短期'!G8)</f>
        <v>0</v>
      </c>
      <c r="H8" s="377">
        <f>SUM('費用収益表_業務長期'!H8,'費用収益表_業務短期'!H8)</f>
        <v>0</v>
      </c>
      <c r="I8" s="377">
        <f>SUM('費用収益表_業務長期'!I8,'費用収益表_業務短期'!I8)</f>
        <v>0</v>
      </c>
      <c r="J8" s="377">
        <f>SUM('費用収益表_業務長期'!J8,'費用収益表_業務短期'!J8)</f>
        <v>0</v>
      </c>
      <c r="K8" s="377">
        <f>SUM('費用収益表_業務長期'!K8,'費用収益表_業務短期'!K8)</f>
        <v>0</v>
      </c>
      <c r="L8" s="377">
        <f>SUM('費用収益表_業務長期'!L8,'費用収益表_業務短期'!L8)</f>
        <v>0</v>
      </c>
      <c r="M8" s="377">
        <f>SUM('費用収益表_業務長期'!M8,'費用収益表_業務短期'!M8)</f>
        <v>0</v>
      </c>
      <c r="N8" s="377">
        <f>SUM('費用収益表_業務長期'!N8,'費用収益表_業務短期'!N8)</f>
        <v>0</v>
      </c>
      <c r="O8" s="377">
        <f>SUM('費用収益表_業務長期'!O8,'費用収益表_業務短期'!O8)</f>
        <v>0</v>
      </c>
      <c r="P8" s="377">
        <f>SUM(C8:O8)</f>
        <v>0</v>
      </c>
      <c r="Q8" s="377">
        <f>SUM('費用収益表_業務長期'!Q8,'費用収益表_業務短期'!Q8)</f>
        <v>0</v>
      </c>
      <c r="R8" s="377">
        <f>SUM('費用収益表_業務長期'!R8,'費用収益表_業務短期'!R8)</f>
        <v>0</v>
      </c>
      <c r="S8" s="377">
        <f>SUM('費用収益表_業務長期'!S8,'費用収益表_業務短期'!S8)</f>
        <v>0</v>
      </c>
      <c r="T8" s="377">
        <f>S8-P8</f>
        <v>0</v>
      </c>
      <c r="U8" s="373" t="n"/>
      <c r="V8" s="378">
        <f>SUMIF($C$2:$N$2,"&lt;="&amp;締月,C8:N8)</f>
        <v>0</v>
      </c>
      <c r="W8" s="378">
        <f>S8-V8</f>
        <v>0</v>
      </c>
    </row>
    <row r="9" ht="18" customHeight="1" s="322">
      <c r="A9" s="379" t="n"/>
      <c r="B9" s="380" t="inlineStr">
        <is>
          <t>計</t>
        </is>
      </c>
      <c r="C9" s="381">
        <f>SUM(C5:C8)</f>
        <v>698140</v>
      </c>
      <c r="D9" s="381">
        <f>SUM(D5:D8)</f>
        <v>629236</v>
      </c>
      <c r="E9" s="381">
        <f>SUM(E5:E8)</f>
        <v>1946789</v>
      </c>
      <c r="F9" s="381">
        <f>SUM(F5:F8)</f>
        <v>637508</v>
      </c>
      <c r="G9" s="381">
        <f>SUM(G5:G8)</f>
        <v>625100</v>
      </c>
      <c r="H9" s="381">
        <f>SUM(H5:H8)</f>
        <v>639576</v>
      </c>
      <c r="I9" s="381">
        <f>SUM(I5:I8)</f>
        <v>764882</v>
      </c>
      <c r="J9" s="381">
        <f>SUM(J5:J8)</f>
        <v>609611</v>
      </c>
      <c r="K9" s="381">
        <f>SUM(K5:K8)</f>
        <v>1912393</v>
      </c>
      <c r="L9" s="381">
        <f>SUM(L5:L8)</f>
        <v>623876</v>
      </c>
      <c r="M9" s="381">
        <f>SUM(M5:M8)</f>
        <v>627946</v>
      </c>
      <c r="N9" s="381">
        <f>SUM(N5:N8)</f>
        <v>699347</v>
      </c>
      <c r="O9" s="381">
        <f>SUM(O5:O8)</f>
        <v>42640</v>
      </c>
      <c r="P9" s="381">
        <f>SUM(P5:P8)</f>
        <v>10457044</v>
      </c>
      <c r="Q9" s="381">
        <f>SUM(Q5:Q8)</f>
        <v>11834000</v>
      </c>
      <c r="R9" s="381">
        <f>SUM(R5:R8)</f>
        <v>0</v>
      </c>
      <c r="S9" s="381">
        <f>SUM(S5:S8)</f>
        <v>11834000</v>
      </c>
      <c r="T9" s="381">
        <f>S9-P9</f>
        <v>1376956</v>
      </c>
      <c r="U9" s="373" t="n"/>
      <c r="V9" s="382">
        <f>SUMIF($C$2:$N$2,"&lt;="&amp;締月,C9:N9)</f>
        <v>5176349</v>
      </c>
      <c r="W9" s="382">
        <f>S9-V9</f>
        <v>6657651</v>
      </c>
    </row>
    <row r="10" ht="18" customHeight="1" s="322">
      <c r="A10" s="376" t="inlineStr">
        <is>
          <t>厚生費</t>
        </is>
      </c>
      <c r="B10" s="343" t="n"/>
      <c r="C10" s="377">
        <f>SUM('費用収益表_業務長期'!C10,'費用収益表_業務短期'!C10)</f>
        <v>0</v>
      </c>
      <c r="D10" s="377">
        <f>SUM('費用収益表_業務長期'!D10,'費用収益表_業務短期'!D10)</f>
        <v>0</v>
      </c>
      <c r="E10" s="377">
        <f>SUM('費用収益表_業務長期'!E10,'費用収益表_業務短期'!E10)</f>
        <v>0</v>
      </c>
      <c r="F10" s="377">
        <f>SUM('費用収益表_業務長期'!F10,'費用収益表_業務短期'!F10)</f>
        <v>0</v>
      </c>
      <c r="G10" s="377">
        <f>SUM('費用収益表_業務長期'!G10,'費用収益表_業務短期'!G10)</f>
        <v>1980</v>
      </c>
      <c r="H10" s="377">
        <f>SUM('費用収益表_業務長期'!H10,'費用収益表_業務短期'!H10)</f>
        <v>16874</v>
      </c>
      <c r="I10" s="377">
        <f>SUM('費用収益表_業務長期'!I10,'費用収益表_業務短期'!I10)</f>
        <v>0</v>
      </c>
      <c r="J10" s="377">
        <f>SUM('費用収益表_業務長期'!J10,'費用収益表_業務短期'!J10)</f>
        <v>0</v>
      </c>
      <c r="K10" s="377">
        <f>SUM('費用収益表_業務長期'!K10,'費用収益表_業務短期'!K10)</f>
        <v>0</v>
      </c>
      <c r="L10" s="377">
        <f>SUM('費用収益表_業務長期'!L10,'費用収益表_業務短期'!L10)</f>
        <v>0</v>
      </c>
      <c r="M10" s="377">
        <f>SUM('費用収益表_業務長期'!M10,'費用収益表_業務短期'!M10)</f>
        <v>0</v>
      </c>
      <c r="N10" s="377">
        <f>SUM('費用収益表_業務長期'!N10,'費用収益表_業務短期'!N10)</f>
        <v>0</v>
      </c>
      <c r="O10" s="377">
        <f>SUM('費用収益表_業務長期'!O10,'費用収益表_業務短期'!O10)</f>
        <v>0</v>
      </c>
      <c r="P10" s="377">
        <f>SUM(C10:O10)</f>
        <v>18854</v>
      </c>
      <c r="Q10" s="377">
        <f>SUM('費用収益表_業務長期'!Q10,'費用収益表_業務短期'!Q10)</f>
        <v>87000</v>
      </c>
      <c r="R10" s="377">
        <f>SUM('費用収益表_業務長期'!R10,'費用収益表_業務短期'!R10)</f>
        <v>0</v>
      </c>
      <c r="S10" s="377">
        <f>SUM('費用収益表_業務長期'!S10,'費用収益表_業務短期'!S10)</f>
        <v>87000</v>
      </c>
      <c r="T10" s="377">
        <f>S10-P10</f>
        <v>68146</v>
      </c>
      <c r="U10" s="373" t="n"/>
      <c r="V10" s="378">
        <f>SUMIF($C$2:$N$2,"&lt;="&amp;締月,C10:N10)</f>
        <v>18854</v>
      </c>
      <c r="W10" s="378">
        <f>S10-V10</f>
        <v>68146</v>
      </c>
    </row>
    <row r="11" ht="18" customHeight="1" s="322">
      <c r="A11" s="376" t="inlineStr">
        <is>
          <t>旅費</t>
        </is>
      </c>
      <c r="B11" s="343" t="n"/>
      <c r="C11" s="377">
        <f>SUM('費用収益表_業務長期'!C11,'費用収益表_業務短期'!C11)</f>
        <v>0</v>
      </c>
      <c r="D11" s="377">
        <f>SUM('費用収益表_業務長期'!D11,'費用収益表_業務短期'!D11)</f>
        <v>0</v>
      </c>
      <c r="E11" s="377">
        <f>SUM('費用収益表_業務長期'!E11,'費用収益表_業務短期'!E11)</f>
        <v>82920</v>
      </c>
      <c r="F11" s="377">
        <f>SUM('費用収益表_業務長期'!F11,'費用収益表_業務短期'!F11)</f>
        <v>0</v>
      </c>
      <c r="G11" s="377">
        <f>SUM('費用収益表_業務長期'!G11,'費用収益表_業務短期'!G11)</f>
        <v>60780</v>
      </c>
      <c r="H11" s="377">
        <f>SUM('費用収益表_業務長期'!H11,'費用収益表_業務短期'!H11)</f>
        <v>0</v>
      </c>
      <c r="I11" s="377">
        <f>SUM('費用収益表_業務長期'!I11,'費用収益表_業務短期'!I11)</f>
        <v>0</v>
      </c>
      <c r="J11" s="377">
        <f>SUM('費用収益表_業務長期'!J11,'費用収益表_業務短期'!J11)</f>
        <v>38940</v>
      </c>
      <c r="K11" s="377">
        <f>SUM('費用収益表_業務長期'!K11,'費用収益表_業務短期'!K11)</f>
        <v>80902</v>
      </c>
      <c r="L11" s="377">
        <f>SUM('費用収益表_業務長期'!L11,'費用収益表_業務短期'!L11)</f>
        <v>0</v>
      </c>
      <c r="M11" s="377">
        <f>SUM('費用収益表_業務長期'!M11,'費用収益表_業務短期'!M11)</f>
        <v>39340</v>
      </c>
      <c r="N11" s="377">
        <f>SUM('費用収益表_業務長期'!N11,'費用収益表_業務短期'!N11)</f>
        <v>0</v>
      </c>
      <c r="O11" s="377">
        <f>SUM('費用収益表_業務長期'!O11,'費用収益表_業務短期'!O11)</f>
        <v>0</v>
      </c>
      <c r="P11" s="377">
        <f>SUM(C11:O11)</f>
        <v>302882</v>
      </c>
      <c r="Q11" s="377">
        <f>SUM('費用収益表_業務長期'!Q11,'費用収益表_業務短期'!Q11)</f>
        <v>697000</v>
      </c>
      <c r="R11" s="377">
        <f>SUM('費用収益表_業務長期'!R11,'費用収益表_業務短期'!R11)</f>
        <v>0</v>
      </c>
      <c r="S11" s="377">
        <f>SUM('費用収益表_業務長期'!S11,'費用収益表_業務短期'!S11)</f>
        <v>697000</v>
      </c>
      <c r="T11" s="377">
        <f>S11-P11</f>
        <v>394118</v>
      </c>
      <c r="U11" s="373" t="n"/>
      <c r="V11" s="383">
        <f>SUMIF($C$2:$N$2,"&lt;="&amp;締月,C11:N11)</f>
        <v>143700</v>
      </c>
      <c r="W11" s="383">
        <f>S11-V11</f>
        <v>553300</v>
      </c>
    </row>
    <row r="12" ht="18" customHeight="1" s="322">
      <c r="A12" s="376" t="inlineStr">
        <is>
          <t>事務費</t>
        </is>
      </c>
      <c r="B12" s="376" t="inlineStr">
        <is>
          <t>事務用消耗品費</t>
        </is>
      </c>
      <c r="C12" s="377">
        <f>SUM('費用収益表_業務長期'!C12,'費用収益表_業務短期'!C12)</f>
        <v>29260</v>
      </c>
      <c r="D12" s="377">
        <f>SUM('費用収益表_業務長期'!D12,'費用収益表_業務短期'!D12)</f>
        <v>72448</v>
      </c>
      <c r="E12" s="377">
        <f>SUM('費用収益表_業務長期'!E12,'費用収益表_業務短期'!E12)</f>
        <v>91498</v>
      </c>
      <c r="F12" s="377">
        <f>SUM('費用収益表_業務長期'!F12,'費用収益表_業務短期'!F12)</f>
        <v>0</v>
      </c>
      <c r="G12" s="377">
        <f>SUM('費用収益表_業務長期'!G12,'費用収益表_業務短期'!G12)</f>
        <v>131903</v>
      </c>
      <c r="H12" s="377">
        <f>SUM('費用収益表_業務長期'!H12,'費用収益表_業務短期'!H12)</f>
        <v>45203</v>
      </c>
      <c r="I12" s="377">
        <f>SUM('費用収益表_業務長期'!I12,'費用収益表_業務短期'!I12)</f>
        <v>147320</v>
      </c>
      <c r="J12" s="377">
        <f>SUM('費用収益表_業務長期'!J12,'費用収益表_業務短期'!J12)</f>
        <v>417870</v>
      </c>
      <c r="K12" s="377">
        <f>SUM('費用収益表_業務長期'!K12,'費用収益表_業務短期'!K12)</f>
        <v>62330</v>
      </c>
      <c r="L12" s="377">
        <f>SUM('費用収益表_業務長期'!L12,'費用収益表_業務短期'!L12)</f>
        <v>143574</v>
      </c>
      <c r="M12" s="377">
        <f>SUM('費用収益表_業務長期'!M12,'費用収益表_業務短期'!M12)</f>
        <v>49487</v>
      </c>
      <c r="N12" s="377">
        <f>SUM('費用収益表_業務長期'!N12,'費用収益表_業務短期'!N12)</f>
        <v>180694</v>
      </c>
      <c r="O12" s="377">
        <f>SUM('費用収益表_業務長期'!O12,'費用収益表_業務短期'!O12)</f>
        <v>199581</v>
      </c>
      <c r="P12" s="377">
        <f>SUM(C12:O12)</f>
        <v>1571168</v>
      </c>
      <c r="Q12" s="377">
        <f>SUM('費用収益表_業務長期'!Q12,'費用収益表_業務短期'!Q12)</f>
        <v>2117000</v>
      </c>
      <c r="R12" s="377">
        <f>SUM('費用収益表_業務長期'!R12,'費用収益表_業務短期'!R12)</f>
        <v>0</v>
      </c>
      <c r="S12" s="377">
        <f>SUM('費用収益表_業務長期'!S12,'費用収益表_業務短期'!S12)</f>
        <v>2117000</v>
      </c>
      <c r="T12" s="377">
        <f>S12-P12</f>
        <v>545832</v>
      </c>
      <c r="U12" s="373" t="n"/>
      <c r="V12" s="383">
        <f>SUMIF($C$2:$N$2,"&lt;="&amp;締月,C12:N12)</f>
        <v>370312</v>
      </c>
      <c r="W12" s="383">
        <f>S12-V12</f>
        <v>1746688</v>
      </c>
    </row>
    <row r="13" ht="18" customHeight="1" s="322">
      <c r="A13" s="343" t="n"/>
      <c r="B13" s="376" t="inlineStr">
        <is>
          <t>図書印刷費</t>
        </is>
      </c>
      <c r="C13" s="377">
        <f>SUM('費用収益表_業務長期'!C13,'費用収益表_業務短期'!C13)</f>
        <v>99220</v>
      </c>
      <c r="D13" s="377">
        <f>SUM('費用収益表_業務長期'!D13,'費用収益表_業務短期'!D13)</f>
        <v>33154</v>
      </c>
      <c r="E13" s="377">
        <f>SUM('費用収益表_業務長期'!E13,'費用収益表_業務短期'!E13)</f>
        <v>50754</v>
      </c>
      <c r="F13" s="377">
        <f>SUM('費用収益表_業務長期'!F13,'費用収益表_業務短期'!F13)</f>
        <v>33154</v>
      </c>
      <c r="G13" s="377">
        <f>SUM('費用収益表_業務長期'!G13,'費用収益表_業務短期'!G13)</f>
        <v>271964</v>
      </c>
      <c r="H13" s="377">
        <f>SUM('費用収益表_業務長期'!H13,'費用収益表_業務短期'!H13)</f>
        <v>434830</v>
      </c>
      <c r="I13" s="377">
        <f>SUM('費用収益表_業務長期'!I13,'費用収益表_業務短期'!I13)</f>
        <v>48619</v>
      </c>
      <c r="J13" s="377">
        <f>SUM('費用収益表_業務長期'!J13,'費用収益表_業務短期'!J13)</f>
        <v>260854</v>
      </c>
      <c r="K13" s="377">
        <f>SUM('費用収益表_業務長期'!K13,'費用収益表_業務短期'!K13)</f>
        <v>336393</v>
      </c>
      <c r="L13" s="377">
        <f>SUM('費用収益表_業務長期'!L13,'費用収益表_業務短期'!L13)</f>
        <v>55204</v>
      </c>
      <c r="M13" s="377">
        <f>SUM('費用収益表_業務長期'!M13,'費用収益表_業務短期'!M13)</f>
        <v>59554</v>
      </c>
      <c r="N13" s="377">
        <f>SUM('費用収益表_業務長期'!N13,'費用収益表_業務短期'!N13)</f>
        <v>192065</v>
      </c>
      <c r="O13" s="377">
        <f>SUM('費用収益表_業務長期'!O13,'費用収益表_業務短期'!O13)</f>
        <v>116600</v>
      </c>
      <c r="P13" s="377">
        <f>SUM(C13:O13)</f>
        <v>1992365</v>
      </c>
      <c r="Q13" s="377">
        <f>SUM('費用収益表_業務長期'!Q13,'費用収益表_業務短期'!Q13)</f>
        <v>1934000</v>
      </c>
      <c r="R13" s="377">
        <f>SUM('費用収益表_業務長期'!R13,'費用収益表_業務短期'!R13)</f>
        <v>0</v>
      </c>
      <c r="S13" s="377">
        <f>SUM('費用収益表_業務長期'!S13,'費用収益表_業務短期'!S13)</f>
        <v>1934000</v>
      </c>
      <c r="T13" s="377">
        <f>S13-P13</f>
        <v>-58365</v>
      </c>
      <c r="U13" s="384" t="inlineStr">
        <is>
          <t xml:space="preserve">          </t>
        </is>
      </c>
      <c r="V13" s="383">
        <f>SUMIF($C$2:$N$2,"&lt;="&amp;締月,C13:N13)</f>
        <v>923076</v>
      </c>
      <c r="W13" s="383">
        <f>S13-V13</f>
        <v>1010924</v>
      </c>
    </row>
    <row r="14" ht="18" customHeight="1" s="322">
      <c r="A14" s="343" t="n"/>
      <c r="B14" s="376" t="inlineStr">
        <is>
          <t>送金料</t>
        </is>
      </c>
      <c r="C14" s="377">
        <f>SUM('費用収益表_業務長期'!C14,'費用収益表_業務短期'!C14)</f>
        <v>0</v>
      </c>
      <c r="D14" s="377">
        <f>SUM('費用収益表_業務長期'!D14,'費用収益表_業務短期'!D14)</f>
        <v>267395</v>
      </c>
      <c r="E14" s="377">
        <f>SUM('費用収益表_業務長期'!E14,'費用収益表_業務短期'!E14)</f>
        <v>164037</v>
      </c>
      <c r="F14" s="377">
        <f>SUM('費用収益表_業務長期'!F14,'費用収益表_業務短期'!F14)</f>
        <v>157952</v>
      </c>
      <c r="G14" s="377">
        <f>SUM('費用収益表_業務長期'!G14,'費用収益表_業務短期'!G14)</f>
        <v>171747</v>
      </c>
      <c r="H14" s="377">
        <f>SUM('費用収益表_業務長期'!H14,'費用収益表_業務短期'!H14)</f>
        <v>177532</v>
      </c>
      <c r="I14" s="377">
        <f>SUM('費用収益表_業務長期'!I14,'費用収益表_業務短期'!I14)</f>
        <v>186538</v>
      </c>
      <c r="J14" s="377">
        <f>SUM('費用収益表_業務長期'!J14,'費用収益表_業務短期'!J14)</f>
        <v>174104</v>
      </c>
      <c r="K14" s="377">
        <f>SUM('費用収益表_業務長期'!K14,'費用収益表_業務短期'!K14)</f>
        <v>162253</v>
      </c>
      <c r="L14" s="377">
        <f>SUM('費用収益表_業務長期'!L14,'費用収益表_業務短期'!L14)</f>
        <v>172370</v>
      </c>
      <c r="M14" s="377">
        <f>SUM('費用収益表_業務長期'!M14,'費用収益表_業務短期'!M14)</f>
        <v>172976</v>
      </c>
      <c r="N14" s="377">
        <f>SUM('費用収益表_業務長期'!N14,'費用収益表_業務短期'!N14)</f>
        <v>162737</v>
      </c>
      <c r="O14" s="377">
        <f>SUM('費用収益表_業務長期'!O14,'費用収益表_業務短期'!O14)</f>
        <v>165455</v>
      </c>
      <c r="P14" s="377">
        <f>SUM(C14:O14)</f>
        <v>2135096</v>
      </c>
      <c r="Q14" s="377">
        <f>SUM('費用収益表_業務長期'!Q14,'費用収益表_業務短期'!Q14)</f>
        <v>2101000</v>
      </c>
      <c r="R14" s="377">
        <f>SUM('費用収益表_業務長期'!R14,'費用収益表_業務短期'!R14)</f>
        <v>0</v>
      </c>
      <c r="S14" s="377">
        <f>SUM('費用収益表_業務長期'!S14,'費用収益表_業務短期'!S14)</f>
        <v>2101000</v>
      </c>
      <c r="T14" s="377">
        <f>S14-P14</f>
        <v>-34096</v>
      </c>
      <c r="U14" s="373" t="n"/>
      <c r="V14" s="383">
        <f>SUMIF($C$2:$N$2,"&lt;="&amp;締月,C14:N14)</f>
        <v>938663</v>
      </c>
      <c r="W14" s="383">
        <f>S14-V14</f>
        <v>1162337</v>
      </c>
    </row>
    <row r="15" ht="18" customHeight="1" s="322">
      <c r="A15" s="343" t="n"/>
      <c r="B15" s="376" t="inlineStr">
        <is>
          <t>通信運搬費</t>
        </is>
      </c>
      <c r="C15" s="377">
        <f>SUM('費用収益表_業務長期'!C15,'費用収益表_業務短期'!C15)</f>
        <v>0</v>
      </c>
      <c r="D15" s="377">
        <f>SUM('費用収益表_業務長期'!D15,'費用収益表_業務短期'!D15)</f>
        <v>343276</v>
      </c>
      <c r="E15" s="377">
        <f>SUM('費用収益表_業務長期'!E15,'費用収益表_業務短期'!E15)</f>
        <v>70603</v>
      </c>
      <c r="F15" s="377">
        <f>SUM('費用収益表_業務長期'!F15,'費用収益表_業務短期'!F15)</f>
        <v>1560523</v>
      </c>
      <c r="G15" s="377">
        <f>SUM('費用収益表_業務長期'!G15,'費用収益表_業務短期'!G15)</f>
        <v>102819</v>
      </c>
      <c r="H15" s="377">
        <f>SUM('費用収益表_業務長期'!H15,'費用収益表_業務短期'!H15)</f>
        <v>109815</v>
      </c>
      <c r="I15" s="377">
        <f>SUM('費用収益表_業務長期'!I15,'費用収益表_業務短期'!I15)</f>
        <v>393650</v>
      </c>
      <c r="J15" s="377">
        <f>SUM('費用収益表_業務長期'!J15,'費用収益表_業務短期'!J15)</f>
        <v>1143632</v>
      </c>
      <c r="K15" s="377">
        <f>SUM('費用収益表_業務長期'!K15,'費用収益表_業務短期'!K15)</f>
        <v>149148</v>
      </c>
      <c r="L15" s="377">
        <f>SUM('費用収益表_業務長期'!L15,'費用収益表_業務短期'!L15)</f>
        <v>1295890</v>
      </c>
      <c r="M15" s="377">
        <f>SUM('費用収益表_業務長期'!M15,'費用収益表_業務短期'!M15)</f>
        <v>1108141</v>
      </c>
      <c r="N15" s="377">
        <f>SUM('費用収益表_業務長期'!N15,'費用収益表_業務短期'!N15)</f>
        <v>866430</v>
      </c>
      <c r="O15" s="377">
        <f>SUM('費用収益表_業務長期'!O15,'費用収益表_業務短期'!O15)</f>
        <v>132832</v>
      </c>
      <c r="P15" s="377">
        <f>SUM(C15:O15)</f>
        <v>7276759</v>
      </c>
      <c r="Q15" s="377">
        <f>SUM('費用収益表_業務長期'!Q15,'費用収益表_業務短期'!Q15)</f>
        <v>8501000</v>
      </c>
      <c r="R15" s="377">
        <f>SUM('費用収益表_業務長期'!R15,'費用収益表_業務短期'!R15)</f>
        <v>0</v>
      </c>
      <c r="S15" s="377">
        <f>SUM('費用収益表_業務長期'!S15,'費用収益表_業務短期'!S15)</f>
        <v>8501000</v>
      </c>
      <c r="T15" s="377">
        <f>S15-P15</f>
        <v>1224241</v>
      </c>
      <c r="U15" s="373" t="n"/>
      <c r="V15" s="378">
        <f>SUMIF($C$2:$N$2,"&lt;="&amp;締月,C15:N15)</f>
        <v>2187036</v>
      </c>
      <c r="W15" s="378">
        <f>S15-V15</f>
        <v>6313964</v>
      </c>
    </row>
    <row r="16" ht="18" customHeight="1" s="322">
      <c r="A16" s="343" t="n"/>
      <c r="B16" s="376" t="inlineStr">
        <is>
          <t>会議費</t>
        </is>
      </c>
      <c r="C16" s="377">
        <f>SUM('費用収益表_業務長期'!C16,'費用収益表_業務短期'!C16)</f>
        <v>0</v>
      </c>
      <c r="D16" s="377">
        <f>SUM('費用収益表_業務長期'!D16,'費用収益表_業務短期'!D16)</f>
        <v>0</v>
      </c>
      <c r="E16" s="377">
        <f>SUM('費用収益表_業務長期'!E16,'費用収益表_業務短期'!E16)</f>
        <v>0</v>
      </c>
      <c r="F16" s="377">
        <f>SUM('費用収益表_業務長期'!F16,'費用収益表_業務短期'!F16)</f>
        <v>0</v>
      </c>
      <c r="G16" s="377">
        <f>SUM('費用収益表_業務長期'!G16,'費用収益表_業務短期'!G16)</f>
        <v>0</v>
      </c>
      <c r="H16" s="377">
        <f>SUM('費用収益表_業務長期'!H16,'費用収益表_業務短期'!H16)</f>
        <v>0</v>
      </c>
      <c r="I16" s="377">
        <f>SUM('費用収益表_業務長期'!I16,'費用収益表_業務短期'!I16)</f>
        <v>0</v>
      </c>
      <c r="J16" s="377">
        <f>SUM('費用収益表_業務長期'!J16,'費用収益表_業務短期'!J16)</f>
        <v>0</v>
      </c>
      <c r="K16" s="377">
        <f>SUM('費用収益表_業務長期'!K16,'費用収益表_業務短期'!K16)</f>
        <v>0</v>
      </c>
      <c r="L16" s="377">
        <f>SUM('費用収益表_業務長期'!L16,'費用収益表_業務短期'!L16)</f>
        <v>0</v>
      </c>
      <c r="M16" s="377">
        <f>SUM('費用収益表_業務長期'!M16,'費用収益表_業務短期'!M16)</f>
        <v>0</v>
      </c>
      <c r="N16" s="377">
        <f>SUM('費用収益表_業務長期'!N16,'費用収益表_業務短期'!N16)</f>
        <v>0</v>
      </c>
      <c r="O16" s="377">
        <f>SUM('費用収益表_業務長期'!O16,'費用収益表_業務短期'!O16)</f>
        <v>0</v>
      </c>
      <c r="P16" s="377">
        <f>SUM(C16:O16)</f>
        <v>0</v>
      </c>
      <c r="Q16" s="377">
        <f>SUM('費用収益表_業務長期'!Q16,'費用収益表_業務短期'!Q16)</f>
        <v>0</v>
      </c>
      <c r="R16" s="377">
        <f>SUM('費用収益表_業務長期'!R16,'費用収益表_業務短期'!R16)</f>
        <v>0</v>
      </c>
      <c r="S16" s="377">
        <f>SUM('費用収益表_業務長期'!S16,'費用収益表_業務短期'!S16)</f>
        <v>0</v>
      </c>
      <c r="T16" s="377">
        <f>S16-P16</f>
        <v>0</v>
      </c>
      <c r="U16" s="373" t="n"/>
      <c r="V16" s="378">
        <f>SUMIF($C$2:$N$2,"&lt;="&amp;締月,C16:N16)</f>
        <v>0</v>
      </c>
      <c r="W16" s="378">
        <f>S16-V16</f>
        <v>0</v>
      </c>
    </row>
    <row r="17" ht="18" customHeight="1" s="322">
      <c r="A17" s="343" t="n"/>
      <c r="B17" s="376" t="inlineStr">
        <is>
          <t>雑費</t>
        </is>
      </c>
      <c r="C17" s="377">
        <f>SUM('費用収益表_業務長期'!C17,'費用収益表_業務短期'!C17)</f>
        <v>0</v>
      </c>
      <c r="D17" s="377">
        <f>SUM('費用収益表_業務長期'!D17,'費用収益表_業務短期'!D17)</f>
        <v>550</v>
      </c>
      <c r="E17" s="377">
        <f>SUM('費用収益表_業務長期'!E17,'費用収益表_業務短期'!E17)</f>
        <v>550</v>
      </c>
      <c r="F17" s="377">
        <f>SUM('費用収益表_業務長期'!F17,'費用収益表_業務短期'!F17)</f>
        <v>550</v>
      </c>
      <c r="G17" s="377">
        <f>SUM('費用収益表_業務長期'!G17,'費用収益表_業務短期'!G17)</f>
        <v>550</v>
      </c>
      <c r="H17" s="377">
        <f>SUM('費用収益表_業務長期'!H17,'費用収益表_業務短期'!H17)</f>
        <v>550</v>
      </c>
      <c r="I17" s="377">
        <f>SUM('費用収益表_業務長期'!I17,'費用収益表_業務短期'!I17)</f>
        <v>3850</v>
      </c>
      <c r="J17" s="377">
        <f>SUM('費用収益表_業務長期'!J17,'費用収益表_業務短期'!J17)</f>
        <v>550</v>
      </c>
      <c r="K17" s="377">
        <f>SUM('費用収益表_業務長期'!K17,'費用収益表_業務短期'!K17)</f>
        <v>550</v>
      </c>
      <c r="L17" s="377">
        <f>SUM('費用収益表_業務長期'!L17,'費用収益表_業務短期'!L17)</f>
        <v>550</v>
      </c>
      <c r="M17" s="377">
        <f>SUM('費用収益表_業務長期'!M17,'費用収益表_業務短期'!M17)</f>
        <v>550</v>
      </c>
      <c r="N17" s="377">
        <f>SUM('費用収益表_業務長期'!N17,'費用収益表_業務短期'!N17)</f>
        <v>550</v>
      </c>
      <c r="O17" s="377">
        <f>SUM('費用収益表_業務長期'!O17,'費用収益表_業務短期'!O17)</f>
        <v>3850</v>
      </c>
      <c r="P17" s="377">
        <f>SUM(C17:O17)</f>
        <v>13200</v>
      </c>
      <c r="Q17" s="377">
        <f>SUM('費用収益表_業務長期'!Q17,'費用収益表_業務短期'!Q17)</f>
        <v>7000</v>
      </c>
      <c r="R17" s="377">
        <f>SUM('費用収益表_業務長期'!R17,'費用収益表_業務短期'!R17)</f>
        <v>0</v>
      </c>
      <c r="S17" s="377">
        <f>SUM('費用収益表_業務長期'!S17,'費用収益表_業務短期'!S17)</f>
        <v>7000</v>
      </c>
      <c r="T17" s="377">
        <f>S17-P17</f>
        <v>-6200</v>
      </c>
      <c r="U17" s="373" t="n"/>
      <c r="V17" s="378">
        <f>SUMIF($C$2:$N$2,"&lt;="&amp;締月,C17:N17)</f>
        <v>2750</v>
      </c>
      <c r="W17" s="378">
        <f>S17-V17</f>
        <v>4250</v>
      </c>
    </row>
    <row r="18" ht="17.25" customHeight="1" s="322">
      <c r="A18" s="379" t="n"/>
      <c r="B18" s="380" t="inlineStr">
        <is>
          <t>計</t>
        </is>
      </c>
      <c r="C18" s="381">
        <f>SUM(C12:C17)</f>
        <v>128480</v>
      </c>
      <c r="D18" s="381">
        <f>SUM(D12:D17)</f>
        <v>716823</v>
      </c>
      <c r="E18" s="381">
        <f>SUM(E12:E17)</f>
        <v>377442</v>
      </c>
      <c r="F18" s="381">
        <f>SUM(F12:F17)</f>
        <v>1752179</v>
      </c>
      <c r="G18" s="381">
        <f>SUM(G12:G17)</f>
        <v>678983</v>
      </c>
      <c r="H18" s="381">
        <f>SUM(H12:H17)</f>
        <v>767930</v>
      </c>
      <c r="I18" s="381">
        <f>SUM(I12:I17)</f>
        <v>779977</v>
      </c>
      <c r="J18" s="381">
        <f>SUM(J12:J17)</f>
        <v>1997010</v>
      </c>
      <c r="K18" s="381">
        <f>SUM(K12:K17)</f>
        <v>710674</v>
      </c>
      <c r="L18" s="381">
        <f>SUM(L12:L17)</f>
        <v>1667588</v>
      </c>
      <c r="M18" s="381">
        <f>SUM(M12:M17)</f>
        <v>1390708</v>
      </c>
      <c r="N18" s="381">
        <f>SUM(N12:N17)</f>
        <v>1402476</v>
      </c>
      <c r="O18" s="381">
        <f>SUM(O12:O17)</f>
        <v>618318</v>
      </c>
      <c r="P18" s="381">
        <f>SUM(P12:P17)</f>
        <v>12988588</v>
      </c>
      <c r="Q18" s="381">
        <f>SUM(Q12:Q17)</f>
        <v>14660000</v>
      </c>
      <c r="R18" s="381">
        <f>SUM(R12:R17)</f>
        <v>0</v>
      </c>
      <c r="S18" s="381">
        <f>SUM(S12:S17)</f>
        <v>14660000</v>
      </c>
      <c r="T18" s="381">
        <f>S18-P18</f>
        <v>1671412</v>
      </c>
      <c r="U18" s="373" t="n"/>
      <c r="V18" s="382">
        <f>SUMIF($C$2:$N$2,"&lt;="&amp;締月,C18:N18)</f>
        <v>4421837</v>
      </c>
      <c r="W18" s="382">
        <f>S18-V18</f>
        <v>10238163</v>
      </c>
    </row>
    <row r="19" ht="17.25" customHeight="1" s="322">
      <c r="A19" s="385" t="inlineStr">
        <is>
          <t>賃金</t>
        </is>
      </c>
      <c r="B19" s="343" t="n"/>
      <c r="C19" s="377">
        <f>SUM('費用収益表_業務長期'!C19,'費用収益表_業務短期'!C19)</f>
        <v>0</v>
      </c>
      <c r="D19" s="377">
        <f>SUM('費用収益表_業務長期'!D19,'費用収益表_業務短期'!D19)</f>
        <v>425880</v>
      </c>
      <c r="E19" s="377">
        <f>SUM('費用収益表_業務長期'!E19,'費用収益表_業務短期'!E19)</f>
        <v>365040</v>
      </c>
      <c r="F19" s="377">
        <f>SUM('費用収益表_業務長期'!F19,'費用収益表_業務短期'!F19)</f>
        <v>446160</v>
      </c>
      <c r="G19" s="377">
        <f>SUM('費用収益表_業務長期'!G19,'費用収益表_業務短期'!G19)</f>
        <v>445720</v>
      </c>
      <c r="H19" s="377">
        <f>SUM('費用収益表_業務長期'!H19,'費用収益表_業務短期'!H19)</f>
        <v>384480</v>
      </c>
      <c r="I19" s="377">
        <f>SUM('費用収益表_業務長期'!I19,'費用収益表_業務短期'!I19)</f>
        <v>389160</v>
      </c>
      <c r="J19" s="377">
        <f>SUM('費用収益表_業務長期'!J19,'費用収益表_業務短期'!J19)</f>
        <v>416580</v>
      </c>
      <c r="K19" s="377">
        <f>SUM('費用収益表_業務長期'!K19,'費用収益表_業務短期'!K19)</f>
        <v>340920</v>
      </c>
      <c r="L19" s="377">
        <f>SUM('費用収益表_業務長期'!L19,'費用収益表_業務短期'!L19)</f>
        <v>377520</v>
      </c>
      <c r="M19" s="377">
        <f>SUM('費用収益表_業務長期'!M19,'費用収益表_業務短期'!M19)</f>
        <v>359120</v>
      </c>
      <c r="N19" s="377">
        <f>SUM('費用収益表_業務長期'!N19,'費用収益表_業務短期'!N19)</f>
        <v>339340</v>
      </c>
      <c r="O19" s="377">
        <f>SUM('費用収益表_業務長期'!O19,'費用収益表_業務短期'!O19)</f>
        <v>339568</v>
      </c>
      <c r="P19" s="377">
        <f>SUM(C19:O19)</f>
        <v>4629488</v>
      </c>
      <c r="Q19" s="377">
        <f>SUM('費用収益表_業務長期'!Q19,'費用収益表_業務短期'!Q19)</f>
        <v>5520000</v>
      </c>
      <c r="R19" s="377">
        <f>SUM('費用収益表_業務長期'!R19,'費用収益表_業務短期'!R19)</f>
        <v>0</v>
      </c>
      <c r="S19" s="377">
        <f>SUM('費用収益表_業務長期'!S19,'費用収益表_業務短期'!S19)</f>
        <v>5520000</v>
      </c>
      <c r="T19" s="377">
        <f>S19-P19</f>
        <v>890512</v>
      </c>
      <c r="U19" s="373" t="n"/>
      <c r="V19" s="378">
        <f>SUMIF($C$2:$N$2,"&lt;="&amp;締月,C19:N19)</f>
        <v>2067280</v>
      </c>
      <c r="W19" s="378">
        <f>S19-V19</f>
        <v>3452720</v>
      </c>
    </row>
    <row r="20" ht="18" customHeight="1" s="322">
      <c r="A20" s="376" t="inlineStr">
        <is>
          <t>委託費</t>
        </is>
      </c>
      <c r="B20" s="343" t="n"/>
      <c r="C20" s="377">
        <f>SUM('費用収益表_業務長期'!C20,'費用収益表_業務短期'!C20)</f>
        <v>60235</v>
      </c>
      <c r="D20" s="377">
        <f>SUM('費用収益表_業務長期'!D20,'費用収益表_業務短期'!D20)</f>
        <v>2146895</v>
      </c>
      <c r="E20" s="377">
        <f>SUM('費用収益表_業務長期'!E20,'費用収益表_業務短期'!E20)</f>
        <v>188645</v>
      </c>
      <c r="F20" s="377">
        <f>SUM('費用収益表_業務長期'!F20,'費用収益表_業務短期'!F20)</f>
        <v>343021</v>
      </c>
      <c r="G20" s="377">
        <f>SUM('費用収益表_業務長期'!G20,'費用収益表_業務短期'!G20)</f>
        <v>1382282</v>
      </c>
      <c r="H20" s="377">
        <f>SUM('費用収益表_業務長期'!H20,'費用収益表_業務短期'!H20)</f>
        <v>2099782</v>
      </c>
      <c r="I20" s="377">
        <f>SUM('費用収益表_業務長期'!I20,'費用収益表_業務短期'!I20)</f>
        <v>682958</v>
      </c>
      <c r="J20" s="377">
        <f>SUM('費用収益表_業務長期'!J20,'費用収益表_業務短期'!J20)</f>
        <v>283902</v>
      </c>
      <c r="K20" s="377">
        <f>SUM('費用収益表_業務長期'!K20,'費用収益表_業務短期'!K20)</f>
        <v>2571355</v>
      </c>
      <c r="L20" s="377">
        <f>SUM('費用収益表_業務長期'!L20,'費用収益表_業務短期'!L20)</f>
        <v>258591</v>
      </c>
      <c r="M20" s="377">
        <f>SUM('費用収益表_業務長期'!M20,'費用収益表_業務短期'!M20)</f>
        <v>342161</v>
      </c>
      <c r="N20" s="377">
        <f>SUM('費用収益表_業務長期'!N20,'費用収益表_業務短期'!N20)</f>
        <v>331327</v>
      </c>
      <c r="O20" s="377">
        <f>SUM('費用収益表_業務長期'!O20,'費用収益表_業務短期'!O20)</f>
        <v>1396243</v>
      </c>
      <c r="P20" s="377">
        <f>SUM(C20:O20)</f>
        <v>12087397</v>
      </c>
      <c r="Q20" s="377">
        <f>SUM('費用収益表_業務長期'!Q20,'費用収益表_業務短期'!Q20)</f>
        <v>13053000</v>
      </c>
      <c r="R20" s="377">
        <f>SUM('費用収益表_業務長期'!R20,'費用収益表_業務短期'!R20)</f>
        <v>0</v>
      </c>
      <c r="S20" s="377">
        <f>SUM('費用収益表_業務長期'!S20,'費用収益表_業務短期'!S20)</f>
        <v>13053000</v>
      </c>
      <c r="T20" s="377">
        <f>S20-P20</f>
        <v>965603</v>
      </c>
      <c r="U20" s="373" t="n"/>
      <c r="V20" s="378">
        <f>SUMIF($C$2:$N$2,"&lt;="&amp;締月,C20:N20)</f>
        <v>6220860</v>
      </c>
      <c r="W20" s="378">
        <f>S20-V20</f>
        <v>6832140</v>
      </c>
    </row>
    <row r="21" ht="18" customHeight="1" s="322">
      <c r="A21" s="376" t="inlineStr">
        <is>
          <t>光熱水料</t>
        </is>
      </c>
      <c r="B21" s="343" t="n"/>
      <c r="C21" s="377">
        <f>'費用収益表_業務長期'!C21+'費用収益表_業務短期'!C21</f>
        <v>0</v>
      </c>
      <c r="D21" s="377">
        <f>'費用収益表_業務長期'!D21+'費用収益表_業務短期'!D21</f>
        <v>0</v>
      </c>
      <c r="E21" s="377">
        <f>'費用収益表_業務長期'!E21+'費用収益表_業務短期'!E21</f>
        <v>0</v>
      </c>
      <c r="F21" s="377">
        <f>'費用収益表_業務長期'!F21+'費用収益表_業務短期'!F21</f>
        <v>0</v>
      </c>
      <c r="G21" s="377">
        <f>'費用収益表_業務長期'!G21+'費用収益表_業務短期'!G21</f>
        <v>0</v>
      </c>
      <c r="H21" s="377">
        <f>'費用収益表_業務長期'!H21+'費用収益表_業務短期'!H21</f>
        <v>0</v>
      </c>
      <c r="I21" s="377">
        <f>'費用収益表_業務長期'!I21+'費用収益表_業務短期'!I21</f>
        <v>0</v>
      </c>
      <c r="J21" s="377">
        <f>'費用収益表_業務長期'!J21+'費用収益表_業務短期'!J21</f>
        <v>0</v>
      </c>
      <c r="K21" s="377">
        <f>'費用収益表_業務長期'!K21+'費用収益表_業務短期'!K21</f>
        <v>57384</v>
      </c>
      <c r="L21" s="377">
        <f>'費用収益表_業務長期'!L21+'費用収益表_業務短期'!L21</f>
        <v>0</v>
      </c>
      <c r="M21" s="377">
        <f>'費用収益表_業務長期'!M21+'費用収益表_業務短期'!M21</f>
        <v>0</v>
      </c>
      <c r="N21" s="377">
        <f>'費用収益表_業務長期'!N21+'費用収益表_業務短期'!N21</f>
        <v>0</v>
      </c>
      <c r="O21" s="377">
        <f>'費用収益表_業務長期'!O21+'費用収益表_業務短期'!O21</f>
        <v>70268</v>
      </c>
      <c r="P21" s="377">
        <f>SUM(C21:O21)</f>
        <v>127652</v>
      </c>
      <c r="Q21" s="377">
        <f>SUM('費用収益表_業務長期'!Q21,'費用収益表_業務短期'!Q21)</f>
        <v>118000</v>
      </c>
      <c r="R21" s="377">
        <f>SUM('費用収益表_業務長期'!R21,'費用収益表_業務短期'!R21)</f>
        <v>0</v>
      </c>
      <c r="S21" s="377">
        <f>SUM('費用収益表_業務長期'!S21,'費用収益表_業務短期'!S21)</f>
        <v>118000</v>
      </c>
      <c r="T21" s="377">
        <f>S21-P21</f>
        <v>-9652</v>
      </c>
      <c r="U21" s="373" t="n"/>
      <c r="V21" s="378">
        <f>SUMIF($C$2:$N$2,"&lt;="&amp;締月,C21:N21)</f>
        <v>0</v>
      </c>
      <c r="W21" s="378">
        <f>S21-V21</f>
        <v>118000</v>
      </c>
    </row>
    <row r="22" ht="18" customHeight="1" s="322">
      <c r="A22" s="376" t="inlineStr">
        <is>
          <t>修繕費</t>
        </is>
      </c>
      <c r="B22" s="343" t="n"/>
      <c r="C22" s="377">
        <f>'費用収益表_業務長期'!C22+'費用収益表_業務短期'!C22</f>
        <v>0</v>
      </c>
      <c r="D22" s="377">
        <f>'費用収益表_業務長期'!D22+'費用収益表_業務短期'!D22</f>
        <v>0</v>
      </c>
      <c r="E22" s="377">
        <f>'費用収益表_業務長期'!E22+'費用収益表_業務短期'!E22</f>
        <v>0</v>
      </c>
      <c r="F22" s="377">
        <f>'費用収益表_業務長期'!F22+'費用収益表_業務短期'!F22</f>
        <v>0</v>
      </c>
      <c r="G22" s="377">
        <f>'費用収益表_業務長期'!G22+'費用収益表_業務短期'!G22</f>
        <v>0</v>
      </c>
      <c r="H22" s="377">
        <f>'費用収益表_業務長期'!H22+'費用収益表_業務短期'!H22</f>
        <v>0</v>
      </c>
      <c r="I22" s="377">
        <f>'費用収益表_業務長期'!I22+'費用収益表_業務短期'!I22</f>
        <v>0</v>
      </c>
      <c r="J22" s="377">
        <f>'費用収益表_業務長期'!J22+'費用収益表_業務短期'!J22</f>
        <v>0</v>
      </c>
      <c r="K22" s="377">
        <f>'費用収益表_業務長期'!K22+'費用収益表_業務短期'!K22</f>
        <v>0</v>
      </c>
      <c r="L22" s="377">
        <f>'費用収益表_業務長期'!L22+'費用収益表_業務短期'!L22</f>
        <v>0</v>
      </c>
      <c r="M22" s="377">
        <f>'費用収益表_業務長期'!M22+'費用収益表_業務短期'!M22</f>
        <v>0</v>
      </c>
      <c r="N22" s="377">
        <f>'費用収益表_業務長期'!N22+'費用収益表_業務短期'!N22</f>
        <v>0</v>
      </c>
      <c r="O22" s="377">
        <f>'費用収益表_業務長期'!O22+'費用収益表_業務短期'!O22</f>
        <v>0</v>
      </c>
      <c r="P22" s="377">
        <f>SUM(C22:O22)</f>
        <v>0</v>
      </c>
      <c r="Q22" s="377">
        <f>SUM('費用収益表_業務長期'!Q22,'費用収益表_業務短期'!Q22)</f>
        <v>0</v>
      </c>
      <c r="R22" s="377">
        <f>SUM('費用収益表_業務長期'!R22,'費用収益表_業務短期'!R22)</f>
        <v>0</v>
      </c>
      <c r="S22" s="377">
        <f>SUM('費用収益表_業務長期'!S22,'費用収益表_業務短期'!S22)</f>
        <v>0</v>
      </c>
      <c r="T22" s="377">
        <f>S22-P22</f>
        <v>0</v>
      </c>
      <c r="U22" s="373" t="n"/>
      <c r="V22" s="378">
        <f>SUMIF($C$2:$N$2,"&lt;="&amp;締月,C22:N22)</f>
        <v>0</v>
      </c>
      <c r="W22" s="378">
        <f>S22-V22</f>
        <v>0</v>
      </c>
    </row>
    <row r="23" ht="18" customHeight="1" s="322">
      <c r="A23" s="376" t="inlineStr">
        <is>
          <t>賃借料</t>
        </is>
      </c>
      <c r="B23" s="343" t="n"/>
      <c r="C23" s="377">
        <f>SUM('費用収益表_業務長期'!C23,'費用収益表_業務短期'!C23)</f>
        <v>0</v>
      </c>
      <c r="D23" s="377">
        <f>SUM('費用収益表_業務長期'!D23,'費用収益表_業務短期'!D23)</f>
        <v>760345</v>
      </c>
      <c r="E23" s="377">
        <f>SUM('費用収益表_業務長期'!E23,'費用収益表_業務短期'!E23)</f>
        <v>760345</v>
      </c>
      <c r="F23" s="377">
        <f>SUM('費用収益表_業務長期'!F23,'費用収益表_業務短期'!F23)</f>
        <v>760345</v>
      </c>
      <c r="G23" s="377">
        <f>SUM('費用収益表_業務長期'!G23,'費用収益表_業務短期'!G23)</f>
        <v>760345</v>
      </c>
      <c r="H23" s="377">
        <f>SUM('費用収益表_業務長期'!H23,'費用収益表_業務短期'!H23)</f>
        <v>760345</v>
      </c>
      <c r="I23" s="377">
        <f>SUM('費用収益表_業務長期'!I23,'費用収益表_業務短期'!I23)</f>
        <v>760345</v>
      </c>
      <c r="J23" s="377">
        <f>SUM('費用収益表_業務長期'!J23,'費用収益表_業務短期'!J23)</f>
        <v>807227</v>
      </c>
      <c r="K23" s="377">
        <f>SUM('費用収益表_業務長期'!K23,'費用収益表_業務短期'!K23)</f>
        <v>760345</v>
      </c>
      <c r="L23" s="377">
        <f>SUM('費用収益表_業務長期'!L23,'費用収益表_業務短期'!L23)</f>
        <v>760345</v>
      </c>
      <c r="M23" s="377">
        <f>SUM('費用収益表_業務長期'!M23,'費用収益表_業務短期'!M23)</f>
        <v>760345</v>
      </c>
      <c r="N23" s="377">
        <f>SUM('費用収益表_業務長期'!N23,'費用収益表_業務短期'!N23)</f>
        <v>760345</v>
      </c>
      <c r="O23" s="377">
        <f>SUM('費用収益表_業務長期'!O23,'費用収益表_業務短期'!O23)</f>
        <v>564503</v>
      </c>
      <c r="P23" s="377">
        <f>SUM(C23:O23)</f>
        <v>8975180</v>
      </c>
      <c r="Q23" s="377">
        <f>SUM('費用収益表_業務長期'!Q23,'費用収益表_業務短期'!Q23)</f>
        <v>9468000</v>
      </c>
      <c r="R23" s="377">
        <f>SUM('費用収益表_業務長期'!R23,'費用収益表_業務短期'!R23)</f>
        <v>0</v>
      </c>
      <c r="S23" s="377">
        <f>SUM('費用収益表_業務長期'!S23,'費用収益表_業務短期'!S23)</f>
        <v>9468000</v>
      </c>
      <c r="T23" s="377">
        <f>S23-P23</f>
        <v>492820</v>
      </c>
      <c r="U23" s="373" t="n"/>
      <c r="V23" s="378">
        <f>SUMIF($C$2:$N$2,"&lt;="&amp;締月,C23:N23)</f>
        <v>3801725</v>
      </c>
      <c r="W23" s="378">
        <f>S23-V23</f>
        <v>5666275</v>
      </c>
    </row>
    <row r="24" ht="18" customHeight="1" s="322">
      <c r="A24" s="376" t="inlineStr">
        <is>
          <t>普及費</t>
        </is>
      </c>
      <c r="B24" s="343" t="n"/>
      <c r="C24" s="377">
        <f>SUM('費用収益表_業務長期'!C24,'費用収益表_業務短期'!C24)</f>
        <v>0</v>
      </c>
      <c r="D24" s="377">
        <f>SUM('費用収益表_業務長期'!D24,'費用収益表_業務短期'!D24)</f>
        <v>0</v>
      </c>
      <c r="E24" s="377">
        <f>SUM('費用収益表_業務長期'!E24,'費用収益表_業務短期'!E24)</f>
        <v>0</v>
      </c>
      <c r="F24" s="377">
        <f>SUM('費用収益表_業務長期'!F24,'費用収益表_業務短期'!F24)</f>
        <v>0</v>
      </c>
      <c r="G24" s="377">
        <f>SUM('費用収益表_業務長期'!G24,'費用収益表_業務短期'!G24)</f>
        <v>371265</v>
      </c>
      <c r="H24" s="377">
        <f>SUM('費用収益表_業務長期'!H24,'費用収益表_業務短期'!H24)</f>
        <v>0</v>
      </c>
      <c r="I24" s="377">
        <f>SUM('費用収益表_業務長期'!I24,'費用収益表_業務短期'!I24)</f>
        <v>0</v>
      </c>
      <c r="J24" s="377">
        <f>SUM('費用収益表_業務長期'!J24,'費用収益表_業務短期'!J24)</f>
        <v>429656</v>
      </c>
      <c r="K24" s="377">
        <f>SUM('費用収益表_業務長期'!K24,'費用収益表_業務短期'!K24)</f>
        <v>0</v>
      </c>
      <c r="L24" s="377">
        <f>SUM('費用収益表_業務長期'!L24,'費用収益表_業務短期'!L24)</f>
        <v>426611</v>
      </c>
      <c r="M24" s="377">
        <f>SUM('費用収益表_業務長期'!M24,'費用収益表_業務短期'!M24)</f>
        <v>0</v>
      </c>
      <c r="N24" s="377">
        <f>SUM('費用収益表_業務長期'!N24,'費用収益表_業務短期'!N24)</f>
        <v>0</v>
      </c>
      <c r="O24" s="377">
        <f>SUM('費用収益表_業務長期'!O24,'費用収益表_業務短期'!O24)</f>
        <v>692131</v>
      </c>
      <c r="P24" s="377">
        <f>SUM(C24:O24)</f>
        <v>1919663</v>
      </c>
      <c r="Q24" s="377">
        <f>SUM('費用収益表_業務長期'!Q24,'費用収益表_業務短期'!Q24)</f>
        <v>2525000</v>
      </c>
      <c r="R24" s="377">
        <f>SUM('費用収益表_業務長期'!R24,'費用収益表_業務短期'!R24)</f>
        <v>0</v>
      </c>
      <c r="S24" s="377">
        <f>SUM('費用収益表_業務長期'!S24,'費用収益表_業務短期'!S24)</f>
        <v>2525000</v>
      </c>
      <c r="T24" s="377">
        <f>S24-P24</f>
        <v>605337</v>
      </c>
      <c r="U24" s="373" t="n"/>
      <c r="V24" s="378">
        <f>SUMIF($C$2:$N$2,"&lt;="&amp;締月,C24:N24)</f>
        <v>371265</v>
      </c>
      <c r="W24" s="378">
        <f>S24-V24</f>
        <v>2153735</v>
      </c>
    </row>
    <row r="25" ht="18" customHeight="1" s="322">
      <c r="A25" s="376" t="inlineStr">
        <is>
          <t>諸謝金</t>
        </is>
      </c>
      <c r="B25" s="343" t="n"/>
      <c r="C25" s="377">
        <f>SUM('費用収益表_業務長期'!C25,'費用収益表_業務短期'!C25)</f>
        <v>0</v>
      </c>
      <c r="D25" s="377">
        <f>SUM('費用収益表_業務長期'!D25,'費用収益表_業務短期'!D25)</f>
        <v>0</v>
      </c>
      <c r="E25" s="377">
        <f>SUM('費用収益表_業務長期'!E25,'費用収益表_業務短期'!E25)</f>
        <v>0</v>
      </c>
      <c r="F25" s="377">
        <f>SUM('費用収益表_業務長期'!F25,'費用収益表_業務短期'!F25)</f>
        <v>0</v>
      </c>
      <c r="G25" s="377">
        <f>SUM('費用収益表_業務長期'!G25,'費用収益表_業務短期'!G25)</f>
        <v>0</v>
      </c>
      <c r="H25" s="377">
        <f>SUM('費用収益表_業務長期'!H25,'費用収益表_業務短期'!H25)</f>
        <v>0</v>
      </c>
      <c r="I25" s="377">
        <f>SUM('費用収益表_業務長期'!I25,'費用収益表_業務短期'!I25)</f>
        <v>0</v>
      </c>
      <c r="J25" s="377">
        <f>SUM('費用収益表_業務長期'!J25,'費用収益表_業務短期'!J25)</f>
        <v>0</v>
      </c>
      <c r="K25" s="377">
        <f>SUM('費用収益表_業務長期'!K25,'費用収益表_業務短期'!K25)</f>
        <v>0</v>
      </c>
      <c r="L25" s="377">
        <f>SUM('費用収益表_業務長期'!L25,'費用収益表_業務短期'!L25)</f>
        <v>0</v>
      </c>
      <c r="M25" s="377">
        <f>SUM('費用収益表_業務長期'!M25,'費用収益表_業務短期'!M25)</f>
        <v>0</v>
      </c>
      <c r="N25" s="377">
        <f>SUM('費用収益表_業務長期'!N25,'費用収益表_業務短期'!N25)</f>
        <v>0</v>
      </c>
      <c r="O25" s="377">
        <f>SUM('費用収益表_業務長期'!O25,'費用収益表_業務短期'!O25)</f>
        <v>0</v>
      </c>
      <c r="P25" s="377">
        <f>SUM(C25:O25)</f>
        <v>0</v>
      </c>
      <c r="Q25" s="377">
        <f>SUM('費用収益表_業務長期'!Q25,'費用収益表_業務短期'!Q25)</f>
        <v>0</v>
      </c>
      <c r="R25" s="377">
        <f>SUM('費用収益表_業務長期'!R25,'費用収益表_業務短期'!R25)</f>
        <v>0</v>
      </c>
      <c r="S25" s="377">
        <f>SUM('費用収益表_業務長期'!S25,'費用収益表_業務短期'!S25)</f>
        <v>0</v>
      </c>
      <c r="T25" s="377">
        <f>S25-P25</f>
        <v>0</v>
      </c>
      <c r="U25" s="373" t="n"/>
      <c r="V25" s="378">
        <f>SUMIF($C$2:$N$2,"&lt;="&amp;締月,C25:N25)</f>
        <v>0</v>
      </c>
      <c r="W25" s="378">
        <f>S25-V25</f>
        <v>0</v>
      </c>
    </row>
    <row r="26" ht="18" customHeight="1" s="322">
      <c r="A26" s="376" t="inlineStr">
        <is>
          <t>負担金</t>
        </is>
      </c>
      <c r="B26" s="376" t="inlineStr">
        <is>
          <t>会議出席負担金等</t>
        </is>
      </c>
      <c r="C26" s="377">
        <f>SUM('費用収益表_業務長期'!C26,'費用収益表_業務短期'!C26)</f>
        <v>0</v>
      </c>
      <c r="D26" s="377">
        <f>SUM('費用収益表_業務長期'!D26,'費用収益表_業務短期'!D26)</f>
        <v>0</v>
      </c>
      <c r="E26" s="377">
        <f>SUM('費用収益表_業務長期'!E26,'費用収益表_業務短期'!E26)</f>
        <v>0</v>
      </c>
      <c r="F26" s="377">
        <f>SUM('費用収益表_業務長期'!F26,'費用収益表_業務短期'!F26)</f>
        <v>0</v>
      </c>
      <c r="G26" s="377">
        <f>SUM('費用収益表_業務長期'!G26,'費用収益表_業務短期'!G26)</f>
        <v>0</v>
      </c>
      <c r="H26" s="377">
        <f>SUM('費用収益表_業務長期'!H26,'費用収益表_業務短期'!H26)</f>
        <v>0</v>
      </c>
      <c r="I26" s="377">
        <f>SUM('費用収益表_業務長期'!I26,'費用収益表_業務短期'!I26)</f>
        <v>0</v>
      </c>
      <c r="J26" s="377">
        <f>SUM('費用収益表_業務長期'!J26,'費用収益表_業務短期'!J26)</f>
        <v>0</v>
      </c>
      <c r="K26" s="377">
        <f>SUM('費用収益表_業務長期'!K26,'費用収益表_業務短期'!K26)</f>
        <v>0</v>
      </c>
      <c r="L26" s="377">
        <f>SUM('費用収益表_業務長期'!L26,'費用収益表_業務短期'!L26)</f>
        <v>0</v>
      </c>
      <c r="M26" s="377">
        <f>SUM('費用収益表_業務長期'!M26,'費用収益表_業務短期'!M26)</f>
        <v>0</v>
      </c>
      <c r="N26" s="377">
        <f>SUM('費用収益表_業務長期'!N26,'費用収益表_業務短期'!N26)</f>
        <v>0</v>
      </c>
      <c r="O26" s="377">
        <f>SUM('費用収益表_業務長期'!O26,'費用収益表_業務短期'!O26)</f>
        <v>0</v>
      </c>
      <c r="P26" s="377">
        <f>SUM(C26:O26)</f>
        <v>0</v>
      </c>
      <c r="Q26" s="377">
        <f>SUM('費用収益表_業務長期'!Q26,'費用収益表_業務短期'!Q26)</f>
        <v>0</v>
      </c>
      <c r="R26" s="377">
        <f>SUM('費用収益表_業務長期'!R26,'費用収益表_業務短期'!R26)</f>
        <v>0</v>
      </c>
      <c r="S26" s="377">
        <f>SUM('費用収益表_業務長期'!S26,'費用収益表_業務短期'!S26)</f>
        <v>0</v>
      </c>
      <c r="T26" s="377">
        <f>S26-P26</f>
        <v>0</v>
      </c>
      <c r="U26" s="373" t="n"/>
      <c r="V26" s="378">
        <f>SUMIF($C$2:$N$2,"&lt;="&amp;締月,C26:N26)</f>
        <v>0</v>
      </c>
      <c r="W26" s="378">
        <f>S26-V26</f>
        <v>0</v>
      </c>
    </row>
    <row r="27" ht="18" customHeight="1" s="322">
      <c r="A27" s="343" t="n"/>
      <c r="B27" s="376" t="inlineStr">
        <is>
          <t>互助会費</t>
        </is>
      </c>
      <c r="C27" s="377">
        <f>SUM('費用収益表_業務長期'!C27,'費用収益表_業務短期'!C27)</f>
        <v>706</v>
      </c>
      <c r="D27" s="377">
        <f>SUM('費用収益表_業務長期'!D27,'費用収益表_業務短期'!D27)</f>
        <v>706</v>
      </c>
      <c r="E27" s="377">
        <f>SUM('費用収益表_業務長期'!E27,'費用収益表_業務短期'!E27)</f>
        <v>706</v>
      </c>
      <c r="F27" s="377">
        <f>SUM('費用収益表_業務長期'!F27,'費用収益表_業務短期'!F27)</f>
        <v>706</v>
      </c>
      <c r="G27" s="377">
        <f>SUM('費用収益表_業務長期'!G27,'費用収益表_業務短期'!G27)</f>
        <v>706</v>
      </c>
      <c r="H27" s="377">
        <f>SUM('費用収益表_業務長期'!H27,'費用収益表_業務短期'!H27)</f>
        <v>706</v>
      </c>
      <c r="I27" s="377">
        <f>SUM('費用収益表_業務長期'!I27,'費用収益表_業務短期'!I27)</f>
        <v>811</v>
      </c>
      <c r="J27" s="377">
        <f>SUM('費用収益表_業務長期'!J27,'費用収益表_業務短期'!J27)</f>
        <v>811</v>
      </c>
      <c r="K27" s="377">
        <f>SUM('費用収益表_業務長期'!K27,'費用収益表_業務短期'!K27)</f>
        <v>811</v>
      </c>
      <c r="L27" s="377">
        <f>SUM('費用収益表_業務長期'!L27,'費用収益表_業務短期'!L27)</f>
        <v>1081</v>
      </c>
      <c r="M27" s="377">
        <f>SUM('費用収益表_業務長期'!M27,'費用収益表_業務短期'!M27)</f>
        <v>838</v>
      </c>
      <c r="N27" s="377">
        <f>SUM('費用収益表_業務長期'!N27,'費用収益表_業務短期'!N27)</f>
        <v>838</v>
      </c>
      <c r="O27" s="377">
        <f>SUM('費用収益表_業務長期'!O27,'費用収益表_業務短期'!O27)</f>
        <v>0</v>
      </c>
      <c r="P27" s="377">
        <f>SUM(C27:O27)</f>
        <v>9426</v>
      </c>
      <c r="Q27" s="377">
        <f>SUM('費用収益表_業務長期'!Q27:Q31,'費用収益表_業務短期'!Q27:Q31)</f>
        <v>2820000</v>
      </c>
      <c r="R27" s="377">
        <f>SUM('費用収益表_業務長期'!R27:R31,'費用収益表_業務短期'!R27:R31)</f>
        <v>0</v>
      </c>
      <c r="S27" s="377">
        <f>SUM('費用収益表_業務長期'!S27:S31,'費用収益表_業務短期'!S27:S31)</f>
        <v>2820000</v>
      </c>
      <c r="T27" s="377">
        <f>S27-SUM(P27:P31)</f>
        <v>350407</v>
      </c>
      <c r="U27" s="373" t="n"/>
      <c r="V27" s="378">
        <f>SUMIF($C$2:$N$2,"&lt;="&amp;締月,C27:N27)</f>
        <v>4236</v>
      </c>
      <c r="W27" s="373" t="n"/>
    </row>
    <row r="28" ht="18" customHeight="1" s="322">
      <c r="A28" s="343" t="n"/>
      <c r="B28" s="376" t="inlineStr">
        <is>
          <t>協会けんぽ保険料等</t>
        </is>
      </c>
      <c r="C28" s="377">
        <f>SUM('費用収益表_業務長期'!C28,'費用収益表_業務短期'!C28)</f>
        <v>0</v>
      </c>
      <c r="D28" s="377">
        <f>SUM('費用収益表_業務長期'!D28,'費用収益表_業務短期'!D28)</f>
        <v>0</v>
      </c>
      <c r="E28" s="377">
        <f>SUM('費用収益表_業務長期'!E28,'費用収益表_業務短期'!E28)</f>
        <v>0</v>
      </c>
      <c r="F28" s="377">
        <f>SUM('費用収益表_業務長期'!F28,'費用収益表_業務短期'!F28)</f>
        <v>0</v>
      </c>
      <c r="G28" s="377">
        <f>SUM('費用収益表_業務長期'!G28,'費用収益表_業務短期'!G28)</f>
        <v>0</v>
      </c>
      <c r="H28" s="377">
        <f>SUM('費用収益表_業務長期'!H28,'費用収益表_業務短期'!H28)</f>
        <v>0</v>
      </c>
      <c r="I28" s="377">
        <f>SUM('費用収益表_業務長期'!I28,'費用収益表_業務短期'!I28)</f>
        <v>0</v>
      </c>
      <c r="J28" s="377">
        <f>SUM('費用収益表_業務長期'!J28,'費用収益表_業務短期'!J28)</f>
        <v>0</v>
      </c>
      <c r="K28" s="377">
        <f>SUM('費用収益表_業務長期'!K28,'費用収益表_業務短期'!K28)</f>
        <v>0</v>
      </c>
      <c r="L28" s="377">
        <f>SUM('費用収益表_業務長期'!L28,'費用収益表_業務短期'!L28)</f>
        <v>0</v>
      </c>
      <c r="M28" s="377">
        <f>SUM('費用収益表_業務長期'!M28,'費用収益表_業務短期'!M28)</f>
        <v>0</v>
      </c>
      <c r="N28" s="377">
        <f>SUM('費用収益表_業務長期'!N28,'費用収益表_業務短期'!N28)</f>
        <v>0</v>
      </c>
      <c r="O28" s="377">
        <f>SUM('費用収益表_業務長期'!O28,'費用収益表_業務短期'!O28)</f>
        <v>0</v>
      </c>
      <c r="P28" s="377">
        <f>SUM(C28:O28)</f>
        <v>0</v>
      </c>
      <c r="Q28" s="343" t="n"/>
      <c r="R28" s="343" t="n"/>
      <c r="S28" s="343" t="n"/>
      <c r="T28" s="343" t="n"/>
      <c r="U28" s="373" t="n"/>
      <c r="V28" s="378">
        <f>SUMIF($C$2:$N$2,"&lt;="&amp;締月,C28:N28)</f>
        <v>0</v>
      </c>
      <c r="W28" s="373" t="n"/>
    </row>
    <row r="29" ht="18" customHeight="1" s="322">
      <c r="A29" s="343" t="n"/>
      <c r="B29" s="376" t="inlineStr">
        <is>
          <t>共済負担金等</t>
        </is>
      </c>
      <c r="C29" s="377">
        <f>SUM('費用収益表_業務長期'!C29,'費用収益表_業務短期'!C29)</f>
        <v>59109</v>
      </c>
      <c r="D29" s="377">
        <f>SUM('費用収益表_業務長期'!D29,'費用収益表_業務短期'!D29)</f>
        <v>59109</v>
      </c>
      <c r="E29" s="377">
        <f>SUM('費用収益表_業務長期'!E29,'費用収益表_業務短期'!E29)</f>
        <v>135488</v>
      </c>
      <c r="F29" s="377">
        <f>SUM('費用収益表_業務長期'!F29,'費用収益表_業務短期'!F29)</f>
        <v>59109</v>
      </c>
      <c r="G29" s="377">
        <f>SUM('費用収益表_業務長期'!G29,'費用収益表_業務短期'!G29)</f>
        <v>59109</v>
      </c>
      <c r="H29" s="377">
        <f>SUM('費用収益表_業務長期'!H29,'費用収益表_業務短期'!H29)</f>
        <v>58737</v>
      </c>
      <c r="I29" s="377">
        <f>SUM('費用収益表_業務長期'!I29,'費用収益表_業務短期'!I29)</f>
        <v>62532</v>
      </c>
      <c r="J29" s="377">
        <f>SUM('費用収益表_業務長期'!J29,'費用収益表_業務短期'!J29)</f>
        <v>62532</v>
      </c>
      <c r="K29" s="377">
        <f>SUM('費用収益表_業務長期'!K29,'費用収益表_業務短期'!K29)</f>
        <v>127063</v>
      </c>
      <c r="L29" s="377">
        <f>SUM('費用収益表_業務長期'!L29,'費用収益表_業務短期'!L29)</f>
        <v>66611</v>
      </c>
      <c r="M29" s="377">
        <f>SUM('費用収益表_業務長期'!M29,'費用収益表_業務短期'!M29)</f>
        <v>62532</v>
      </c>
      <c r="N29" s="377">
        <f>SUM('費用収益表_業務長期'!N29,'費用収益表_業務短期'!N29)</f>
        <v>66334</v>
      </c>
      <c r="O29" s="377">
        <f>SUM('費用収益表_業務長期'!O29,'費用収益表_業務短期'!O29)</f>
        <v>0</v>
      </c>
      <c r="P29" s="377">
        <f>SUM(C29:O29)</f>
        <v>878265</v>
      </c>
      <c r="Q29" s="343" t="n"/>
      <c r="R29" s="343" t="n"/>
      <c r="S29" s="343" t="n"/>
      <c r="T29" s="343" t="n"/>
      <c r="U29" s="373" t="n"/>
      <c r="V29" s="378">
        <f>SUMIF($C$2:$N$2,"&lt;="&amp;締月,C29:N29)</f>
        <v>430661</v>
      </c>
      <c r="W29" s="373" t="n"/>
    </row>
    <row r="30" ht="18" customHeight="1" s="322">
      <c r="A30" s="343" t="n"/>
      <c r="B30" s="376" t="inlineStr">
        <is>
          <t>厚年負担金等</t>
        </is>
      </c>
      <c r="C30" s="377">
        <f>SUM('費用収益表_業務長期'!C30,'費用収益表_業務短期'!C30)</f>
        <v>0</v>
      </c>
      <c r="D30" s="377">
        <f>SUM('費用収益表_業務長期'!D30,'費用収益表_業務短期'!D30)</f>
        <v>0</v>
      </c>
      <c r="E30" s="377">
        <f>SUM('費用収益表_業務長期'!E30,'費用収益表_業務短期'!E30)</f>
        <v>199710</v>
      </c>
      <c r="F30" s="377">
        <f>SUM('費用収益表_業務長期'!F30,'費用収益表_業務短期'!F30)</f>
        <v>99855</v>
      </c>
      <c r="G30" s="377">
        <f>SUM('費用収益表_業務長期'!G30,'費用収益表_業務短期'!G30)</f>
        <v>224817</v>
      </c>
      <c r="H30" s="377">
        <f>SUM('費用収益表_業務長期'!H30,'費用収益表_業務短期'!H30)</f>
        <v>99855</v>
      </c>
      <c r="I30" s="377">
        <f>SUM('費用収益表_業務長期'!I30,'費用収益表_業務短期'!I30)</f>
        <v>98904</v>
      </c>
      <c r="J30" s="377">
        <f>SUM('費用収益表_業務長期'!J30,'費用収益表_業務短期'!J30)</f>
        <v>0</v>
      </c>
      <c r="K30" s="377">
        <f>SUM('費用収益表_業務長期'!K30,'費用収益表_業務短期'!K30)</f>
        <v>97002</v>
      </c>
      <c r="L30" s="377">
        <f>SUM('費用収益表_業務長期'!L30,'費用収益表_業務短期'!L30)</f>
        <v>97002</v>
      </c>
      <c r="M30" s="377">
        <f>SUM('費用収益表_業務長期'!M30,'費用収益表_業務短期'!M30)</f>
        <v>197239</v>
      </c>
      <c r="N30" s="377">
        <f>SUM('費用収益表_業務長期'!N30,'費用収益表_業務短期'!N30)</f>
        <v>200279</v>
      </c>
      <c r="O30" s="377">
        <f>SUM('費用収益表_業務長期'!O30,'費用収益表_業務短期'!O30)</f>
        <v>87872</v>
      </c>
      <c r="P30" s="377">
        <f>SUM(C30:O30)</f>
        <v>1402535</v>
      </c>
      <c r="Q30" s="343" t="n"/>
      <c r="R30" s="343" t="n"/>
      <c r="S30" s="343" t="n"/>
      <c r="T30" s="343" t="n"/>
      <c r="U30" s="373" t="n"/>
      <c r="V30" s="378">
        <f>SUMIF($C$2:$N$2,"&lt;="&amp;締月,C30:N30)</f>
        <v>624237</v>
      </c>
      <c r="W30" s="373" t="n"/>
    </row>
    <row r="31" ht="18" customHeight="1" s="322">
      <c r="A31" s="343" t="n"/>
      <c r="B31" s="376" t="inlineStr">
        <is>
          <t>労災保険料</t>
        </is>
      </c>
      <c r="C31" s="377">
        <f>SUM('費用収益表_業務長期'!C31,'費用収益表_業務短期'!C31)</f>
        <v>0</v>
      </c>
      <c r="D31" s="377">
        <f>SUM('費用収益表_業務長期'!D31,'費用収益表_業務短期'!D31)</f>
        <v>0</v>
      </c>
      <c r="E31" s="377">
        <f>SUM('費用収益表_業務長期'!E31,'費用収益表_業務短期'!E31)</f>
        <v>0</v>
      </c>
      <c r="F31" s="377">
        <f>SUM('費用収益表_業務長期'!F31,'費用収益表_業務短期'!F31)</f>
        <v>179367</v>
      </c>
      <c r="G31" s="377">
        <f>SUM('費用収益表_業務長期'!G31,'費用収益表_業務短期'!G31)</f>
        <v>0</v>
      </c>
      <c r="H31" s="377">
        <f>SUM('費用収益表_業務長期'!H31,'費用収益表_業務短期'!H31)</f>
        <v>0</v>
      </c>
      <c r="I31" s="377">
        <f>SUM('費用収益表_業務長期'!I31,'費用収益表_業務短期'!I31)</f>
        <v>0</v>
      </c>
      <c r="J31" s="377">
        <f>SUM('費用収益表_業務長期'!J31,'費用収益表_業務短期'!J31)</f>
        <v>0</v>
      </c>
      <c r="K31" s="377">
        <f>SUM('費用収益表_業務長期'!K31,'費用収益表_業務短期'!K31)</f>
        <v>0</v>
      </c>
      <c r="L31" s="377">
        <f>SUM('費用収益表_業務長期'!L31,'費用収益表_業務短期'!L31)</f>
        <v>0</v>
      </c>
      <c r="M31" s="377">
        <f>SUM('費用収益表_業務長期'!M31,'費用収益表_業務短期'!M31)</f>
        <v>0</v>
      </c>
      <c r="N31" s="377">
        <f>SUM('費用収益表_業務長期'!N31,'費用収益表_業務短期'!N31)</f>
        <v>0</v>
      </c>
      <c r="O31" s="377">
        <f>SUM('費用収益表_業務長期'!O31,'費用収益表_業務短期'!O31)</f>
        <v>0</v>
      </c>
      <c r="P31" s="377">
        <f>SUM(C31:O31)</f>
        <v>179367</v>
      </c>
      <c r="Q31" s="343" t="n"/>
      <c r="R31" s="343" t="n"/>
      <c r="S31" s="343" t="n"/>
      <c r="T31" s="343" t="n"/>
      <c r="U31" s="373" t="n"/>
      <c r="V31" s="378">
        <f>SUMIF($C$2:$N$2,"&lt;="&amp;締月,C31:N31)</f>
        <v>179367</v>
      </c>
      <c r="W31" s="373" t="n"/>
    </row>
    <row r="32" ht="18" customHeight="1" s="322">
      <c r="A32" s="343" t="n"/>
      <c r="B32" s="376" t="inlineStr">
        <is>
          <t>協議会会費</t>
        </is>
      </c>
      <c r="C32" s="377">
        <f>SUM('費用収益表_業務長期'!C32,'費用収益表_業務短期'!C32)</f>
        <v>0</v>
      </c>
      <c r="D32" s="377">
        <f>SUM('費用収益表_業務長期'!D32,'費用収益表_業務短期'!D32)</f>
        <v>1300</v>
      </c>
      <c r="E32" s="377">
        <f>SUM('費用収益表_業務長期'!E32,'費用収益表_業務短期'!E32)</f>
        <v>0</v>
      </c>
      <c r="F32" s="377">
        <f>SUM('費用収益表_業務長期'!F32,'費用収益表_業務短期'!F32)</f>
        <v>0</v>
      </c>
      <c r="G32" s="377">
        <f>SUM('費用収益表_業務長期'!G32,'費用収益表_業務短期'!G32)</f>
        <v>0</v>
      </c>
      <c r="H32" s="377">
        <f>SUM('費用収益表_業務長期'!H32,'費用収益表_業務短期'!H32)</f>
        <v>0</v>
      </c>
      <c r="I32" s="377">
        <f>SUM('費用収益表_業務長期'!I32,'費用収益表_業務短期'!I32)</f>
        <v>0</v>
      </c>
      <c r="J32" s="377">
        <f>SUM('費用収益表_業務長期'!J32,'費用収益表_業務短期'!J32)</f>
        <v>0</v>
      </c>
      <c r="K32" s="377">
        <f>SUM('費用収益表_業務長期'!K32,'費用収益表_業務短期'!K32)</f>
        <v>0</v>
      </c>
      <c r="L32" s="377">
        <f>SUM('費用収益表_業務長期'!L32,'費用収益表_業務短期'!L32)</f>
        <v>0</v>
      </c>
      <c r="M32" s="377">
        <f>SUM('費用収益表_業務長期'!M32,'費用収益表_業務短期'!M32)</f>
        <v>0</v>
      </c>
      <c r="N32" s="377">
        <f>SUM('費用収益表_業務長期'!N32,'費用収益表_業務短期'!N32)</f>
        <v>0</v>
      </c>
      <c r="O32" s="377">
        <f>SUM('費用収益表_業務長期'!O32,'費用収益表_業務短期'!O32)</f>
        <v>0</v>
      </c>
      <c r="P32" s="377">
        <f>SUM(C32:O32)</f>
        <v>1300</v>
      </c>
      <c r="Q32" s="377">
        <f>SUM('費用収益表_業務長期'!Q32,'費用収益表_業務短期'!Q32)</f>
        <v>2000</v>
      </c>
      <c r="R32" s="377">
        <f>SUM('費用収益表_業務長期'!R32,'費用収益表_業務短期'!R32)</f>
        <v>0</v>
      </c>
      <c r="S32" s="377">
        <f>SUM('費用収益表_業務長期'!S32,'費用収益表_業務短期'!S32)</f>
        <v>2000</v>
      </c>
      <c r="T32" s="377">
        <f>S32-P32</f>
        <v>700</v>
      </c>
      <c r="U32" s="373" t="n"/>
      <c r="V32" s="378">
        <f>SUMIF($C$2:$N$2,"&lt;="&amp;締月,C32:N32)</f>
        <v>1300</v>
      </c>
      <c r="W32" s="378">
        <f>S32-V32</f>
        <v>700</v>
      </c>
    </row>
    <row r="33" ht="18" customHeight="1" s="322">
      <c r="A33" s="379" t="n"/>
      <c r="B33" s="380" t="inlineStr">
        <is>
          <t>計</t>
        </is>
      </c>
      <c r="C33" s="381">
        <f>SUM(C26:C32)</f>
        <v>59815</v>
      </c>
      <c r="D33" s="381">
        <f>SUM(D26:D32)</f>
        <v>61115</v>
      </c>
      <c r="E33" s="381">
        <f>SUM(E26:E32)</f>
        <v>335904</v>
      </c>
      <c r="F33" s="381">
        <f>SUM(F26:F32)</f>
        <v>339037</v>
      </c>
      <c r="G33" s="381">
        <f>SUM(G26:G32)</f>
        <v>284632</v>
      </c>
      <c r="H33" s="381">
        <f>SUM(H26:H32)</f>
        <v>159298</v>
      </c>
      <c r="I33" s="381">
        <f>SUM(I26:I32)</f>
        <v>162247</v>
      </c>
      <c r="J33" s="381">
        <f>SUM(J26:J32)</f>
        <v>63343</v>
      </c>
      <c r="K33" s="381">
        <f>SUM(K26:K32)</f>
        <v>224876</v>
      </c>
      <c r="L33" s="381">
        <f>SUM(L26:L32)</f>
        <v>164694</v>
      </c>
      <c r="M33" s="381">
        <f>SUM(M26:M32)</f>
        <v>260609</v>
      </c>
      <c r="N33" s="381">
        <f>SUM(N26:N32)</f>
        <v>267451</v>
      </c>
      <c r="O33" s="381">
        <f>SUM(O26:O32)</f>
        <v>87872</v>
      </c>
      <c r="P33" s="381">
        <f>SUM(P26:P32)</f>
        <v>2470893</v>
      </c>
      <c r="Q33" s="381">
        <f>SUM(Q26:Q32)</f>
        <v>2822000</v>
      </c>
      <c r="R33" s="381">
        <f>SUM(R26:R32)</f>
        <v>0</v>
      </c>
      <c r="S33" s="381">
        <f>SUM(S26:S32)</f>
        <v>2822000</v>
      </c>
      <c r="T33" s="381">
        <f>S33-P33</f>
        <v>351107</v>
      </c>
      <c r="U33" s="373" t="n"/>
      <c r="V33" s="382">
        <f>SUMIF($C$2:$N$2,"&lt;="&amp;締月,C33:N33)</f>
        <v>1239801</v>
      </c>
      <c r="W33" s="382">
        <f>S33-V33</f>
        <v>1582199</v>
      </c>
    </row>
    <row r="34" ht="18" customHeight="1" s="322">
      <c r="A34" s="376" t="inlineStr">
        <is>
          <t>連合会分担金</t>
        </is>
      </c>
      <c r="B34" s="386" t="n"/>
      <c r="C34" s="377">
        <f>SUM('費用収益表_業務長期'!C34,'費用収益表_業務短期'!C34)</f>
        <v>0</v>
      </c>
      <c r="D34" s="377">
        <f>SUM('費用収益表_業務長期'!D34,'費用収益表_業務短期'!D34)</f>
        <v>0</v>
      </c>
      <c r="E34" s="377">
        <f>SUM('費用収益表_業務長期'!E34,'費用収益表_業務短期'!E34)</f>
        <v>0</v>
      </c>
      <c r="F34" s="377">
        <f>SUM('費用収益表_業務長期'!F34,'費用収益表_業務短期'!F34)</f>
        <v>0</v>
      </c>
      <c r="G34" s="377">
        <f>SUM('費用収益表_業務長期'!G34,'費用収益表_業務短期'!G34)</f>
        <v>0</v>
      </c>
      <c r="H34" s="377">
        <f>SUM('費用収益表_業務長期'!H34,'費用収益表_業務短期'!H34)</f>
        <v>20439958</v>
      </c>
      <c r="I34" s="377">
        <f>SUM('費用収益表_業務長期'!I34,'費用収益表_業務短期'!I34)</f>
        <v>0</v>
      </c>
      <c r="J34" s="377">
        <f>SUM('費用収益表_業務長期'!J34,'費用収益表_業務短期'!J34)</f>
        <v>0</v>
      </c>
      <c r="K34" s="377">
        <f>SUM('費用収益表_業務長期'!K34,'費用収益表_業務短期'!K34)</f>
        <v>0</v>
      </c>
      <c r="L34" s="377">
        <f>SUM('費用収益表_業務長期'!L34,'費用収益表_業務短期'!L34)</f>
        <v>0</v>
      </c>
      <c r="M34" s="377">
        <f>SUM('費用収益表_業務長期'!M34,'費用収益表_業務短期'!M34)</f>
        <v>0</v>
      </c>
      <c r="N34" s="377">
        <f>SUM('費用収益表_業務長期'!N34,'費用収益表_業務短期'!N34)</f>
        <v>0</v>
      </c>
      <c r="O34" s="377">
        <f>SUM('費用収益表_業務長期'!O34,'費用収益表_業務短期'!O34)</f>
        <v>0</v>
      </c>
      <c r="P34" s="377">
        <f>SUM(C34:O34)</f>
        <v>20439958</v>
      </c>
      <c r="Q34" s="377">
        <f>SUM('費用収益表_業務長期'!Q34,'費用収益表_業務短期'!Q34)</f>
        <v>20921000</v>
      </c>
      <c r="R34" s="377">
        <f>SUM('費用収益表_業務長期'!R34,'費用収益表_業務短期'!R34)</f>
        <v>0</v>
      </c>
      <c r="S34" s="377">
        <f>SUM('費用収益表_業務長期'!S34,'費用収益表_業務短期'!S34)</f>
        <v>20921000</v>
      </c>
      <c r="T34" s="377">
        <f>S34-P34</f>
        <v>481042</v>
      </c>
      <c r="U34" s="373" t="n"/>
      <c r="V34" s="378">
        <f>SUMIF($C$2:$N$2,"&lt;="&amp;締月,C34:N34)</f>
        <v>20439958</v>
      </c>
      <c r="W34" s="378">
        <f>S34-V34</f>
        <v>481042</v>
      </c>
    </row>
    <row r="35" ht="18" customHeight="1" s="322">
      <c r="A35" s="376" t="inlineStr">
        <is>
          <t>事務費負担金払込金</t>
        </is>
      </c>
      <c r="B35" s="343" t="n"/>
      <c r="C35" s="377">
        <f>SUM('費用収益表_業務長期'!C35,'費用収益表_業務短期'!C35)</f>
        <v>0</v>
      </c>
      <c r="D35" s="377">
        <f>SUM('費用収益表_業務長期'!D35,'費用収益表_業務短期'!D35)</f>
        <v>5366000</v>
      </c>
      <c r="E35" s="377">
        <f>SUM('費用収益表_業務長期'!E35,'費用収益表_業務短期'!E35)</f>
        <v>5366000</v>
      </c>
      <c r="F35" s="377">
        <f>SUM('費用収益表_業務長期'!F35,'費用収益表_業務短期'!F35)</f>
        <v>5366000</v>
      </c>
      <c r="G35" s="377">
        <f>SUM('費用収益表_業務長期'!G35,'費用収益表_業務短期'!G35)</f>
        <v>5366000</v>
      </c>
      <c r="H35" s="377">
        <f>SUM('費用収益表_業務長期'!H35,'費用収益表_業務短期'!H35)</f>
        <v>5366000</v>
      </c>
      <c r="I35" s="377">
        <f>SUM('費用収益表_業務長期'!I35,'費用収益表_業務短期'!I35)</f>
        <v>4513000</v>
      </c>
      <c r="J35" s="377">
        <f>SUM('費用収益表_業務長期'!J35,'費用収益表_業務短期'!J35)</f>
        <v>4513000</v>
      </c>
      <c r="K35" s="377">
        <f>SUM('費用収益表_業務長期'!K35,'費用収益表_業務短期'!K35)</f>
        <v>4513000</v>
      </c>
      <c r="L35" s="377">
        <f>SUM('費用収益表_業務長期'!L35,'費用収益表_業務短期'!L35)</f>
        <v>4513000</v>
      </c>
      <c r="M35" s="377">
        <f>SUM('費用収益表_業務長期'!M35,'費用収益表_業務短期'!M35)</f>
        <v>4513000</v>
      </c>
      <c r="N35" s="377">
        <f>SUM('費用収益表_業務長期'!N35,'費用収益表_業務短期'!N35)</f>
        <v>9023000</v>
      </c>
      <c r="O35" s="377">
        <f>SUM('費用収益表_業務長期'!O35,'費用収益表_業務短期'!O35)</f>
        <v>0</v>
      </c>
      <c r="P35" s="377">
        <f>SUM(C35:O35)</f>
        <v>58418000</v>
      </c>
      <c r="Q35" s="377">
        <f>SUM('費用収益表_業務長期'!Q35,'費用収益表_業務短期'!Q35)</f>
        <v>64386000</v>
      </c>
      <c r="R35" s="377">
        <f>SUM('費用収益表_業務長期'!R35,'費用収益表_業務短期'!R35)</f>
        <v>0</v>
      </c>
      <c r="S35" s="377">
        <f>SUM('費用収益表_業務長期'!S35,'費用収益表_業務短期'!S35)</f>
        <v>64386000</v>
      </c>
      <c r="T35" s="377">
        <f>S35-P35</f>
        <v>5968000</v>
      </c>
      <c r="U35" s="373" t="n"/>
      <c r="V35" s="378">
        <f>SUMIF($C$2:$N$2,"&lt;="&amp;締月,C35:N35)</f>
        <v>26830000</v>
      </c>
      <c r="W35" s="378">
        <f>S35-V35</f>
        <v>37556000</v>
      </c>
    </row>
    <row r="36" ht="18" customHeight="1" s="322">
      <c r="A36" s="376" t="inlineStr">
        <is>
          <t>雑費</t>
        </is>
      </c>
      <c r="B36" s="386" t="n"/>
      <c r="C36" s="377">
        <f>SUM('費用収益表_業務長期'!C36,'費用収益表_業務短期'!C36)</f>
        <v>0</v>
      </c>
      <c r="D36" s="377">
        <f>SUM('費用収益表_業務長期'!D36,'費用収益表_業務短期'!D36)</f>
        <v>0</v>
      </c>
      <c r="E36" s="377">
        <f>SUM('費用収益表_業務長期'!E36,'費用収益表_業務短期'!E36)</f>
        <v>0</v>
      </c>
      <c r="F36" s="377">
        <f>SUM('費用収益表_業務長期'!F36,'費用収益表_業務短期'!F36)</f>
        <v>0</v>
      </c>
      <c r="G36" s="377">
        <f>SUM('費用収益表_業務長期'!G36,'費用収益表_業務短期'!G36)</f>
        <v>0</v>
      </c>
      <c r="H36" s="377">
        <f>SUM('費用収益表_業務長期'!H36,'費用収益表_業務短期'!H36)</f>
        <v>0</v>
      </c>
      <c r="I36" s="377">
        <f>SUM('費用収益表_業務長期'!I36,'費用収益表_業務短期'!I36)</f>
        <v>0</v>
      </c>
      <c r="J36" s="377">
        <f>SUM('費用収益表_業務長期'!J36,'費用収益表_業務短期'!J36)</f>
        <v>0</v>
      </c>
      <c r="K36" s="377">
        <f>SUM('費用収益表_業務長期'!K36,'費用収益表_業務短期'!K36)</f>
        <v>0</v>
      </c>
      <c r="L36" s="377">
        <f>SUM('費用収益表_業務長期'!L36,'費用収益表_業務短期'!L36)</f>
        <v>0</v>
      </c>
      <c r="M36" s="377">
        <f>SUM('費用収益表_業務長期'!M36,'費用収益表_業務短期'!M36)</f>
        <v>0</v>
      </c>
      <c r="N36" s="377">
        <f>SUM('費用収益表_業務長期'!N36,'費用収益表_業務短期'!N36)</f>
        <v>0</v>
      </c>
      <c r="O36" s="377">
        <f>SUM('費用収益表_業務長期'!O36,'費用収益表_業務短期'!O36)</f>
        <v>0</v>
      </c>
      <c r="P36" s="377">
        <f>SUM(C36:O36)</f>
        <v>0</v>
      </c>
      <c r="Q36" s="377">
        <f>SUM('費用収益表_業務長期'!Q36,'費用収益表_業務短期'!Q36)</f>
        <v>0</v>
      </c>
      <c r="R36" s="377">
        <f>SUM('費用収益表_業務長期'!R36,'費用収益表_業務短期'!R36)</f>
        <v>0</v>
      </c>
      <c r="S36" s="377">
        <f>SUM('費用収益表_業務長期'!S36,'費用収益表_業務短期'!S36)</f>
        <v>0</v>
      </c>
      <c r="T36" s="377">
        <f>S36-P36</f>
        <v>0</v>
      </c>
      <c r="U36" s="373" t="n"/>
      <c r="V36" s="378">
        <f>SUMIF($C$2:$N$2,"&lt;="&amp;締月,C36:N36)</f>
        <v>0</v>
      </c>
      <c r="W36" s="378">
        <f>S36-V36</f>
        <v>0</v>
      </c>
    </row>
    <row r="37" ht="18" customHeight="1" s="322">
      <c r="A37" s="376" t="inlineStr">
        <is>
          <t>減価償却費</t>
        </is>
      </c>
      <c r="B37" s="386" t="n"/>
      <c r="C37" s="377">
        <f>SUM('費用収益表_業務長期'!C37,'費用収益表_業務短期'!C37)</f>
        <v>0</v>
      </c>
      <c r="D37" s="377">
        <f>SUM('費用収益表_業務長期'!D37,'費用収益表_業務短期'!D37)</f>
        <v>0</v>
      </c>
      <c r="E37" s="377">
        <f>SUM('費用収益表_業務長期'!E37,'費用収益表_業務短期'!E37)</f>
        <v>0</v>
      </c>
      <c r="F37" s="377">
        <f>SUM('費用収益表_業務長期'!F37,'費用収益表_業務短期'!F37)</f>
        <v>0</v>
      </c>
      <c r="G37" s="377">
        <f>SUM('費用収益表_業務長期'!G37,'費用収益表_業務短期'!G37)</f>
        <v>0</v>
      </c>
      <c r="H37" s="377">
        <f>SUM('費用収益表_業務長期'!H37,'費用収益表_業務短期'!H37)</f>
        <v>0</v>
      </c>
      <c r="I37" s="377">
        <f>SUM('費用収益表_業務長期'!I37,'費用収益表_業務短期'!I37)</f>
        <v>0</v>
      </c>
      <c r="J37" s="377">
        <f>SUM('費用収益表_業務長期'!J37,'費用収益表_業務短期'!J37)</f>
        <v>0</v>
      </c>
      <c r="K37" s="377">
        <f>SUM('費用収益表_業務長期'!K37,'費用収益表_業務短期'!K37)</f>
        <v>0</v>
      </c>
      <c r="L37" s="377">
        <f>SUM('費用収益表_業務長期'!L37,'費用収益表_業務短期'!L37)</f>
        <v>0</v>
      </c>
      <c r="M37" s="377">
        <f>SUM('費用収益表_業務長期'!M37,'費用収益表_業務短期'!M37)</f>
        <v>0</v>
      </c>
      <c r="N37" s="377">
        <f>SUM('費用収益表_業務長期'!N37,'費用収益表_業務短期'!N37)</f>
        <v>0</v>
      </c>
      <c r="O37" s="377">
        <f>SUM('費用収益表_業務長期'!O37,'費用収益表_業務短期'!O37)</f>
        <v>176556</v>
      </c>
      <c r="P37" s="377">
        <f>SUM(C37:O37)</f>
        <v>176556</v>
      </c>
      <c r="Q37" s="377">
        <f>SUM('費用収益表_業務長期'!Q37,'費用収益表_業務短期'!Q37)</f>
        <v>172000</v>
      </c>
      <c r="R37" s="377">
        <f>SUM('費用収益表_業務長期'!R37,'費用収益表_業務短期'!R37)</f>
        <v>0</v>
      </c>
      <c r="S37" s="377">
        <f>SUM('費用収益表_業務長期'!S37,'費用収益表_業務短期'!S37)</f>
        <v>172000</v>
      </c>
      <c r="T37" s="377">
        <f>S37-P37</f>
        <v>-4556</v>
      </c>
      <c r="U37" s="384" t="inlineStr">
        <is>
          <t>検算</t>
        </is>
      </c>
      <c r="V37" s="378">
        <f>SUMIF($C$2:$N$2,"&lt;="&amp;締月,C37:N37)</f>
        <v>0</v>
      </c>
      <c r="W37" s="378">
        <f>S37-V37</f>
        <v>172000</v>
      </c>
    </row>
    <row r="38" ht="18" customFormat="1" customHeight="1" s="387">
      <c r="A38" s="380" t="inlineStr">
        <is>
          <t>合　　　計</t>
        </is>
      </c>
      <c r="B38" s="388" t="n"/>
      <c r="C38" s="381">
        <f>SUM(C9+C18+C19+C20+C21+C22+C23+C24+C25+C26+C33+C34+C35+C36+C37)</f>
        <v>946670</v>
      </c>
      <c r="D38" s="381">
        <f>SUM(D4+D9+D10+D11+D18+D19+D20+D21+D22+D23+D24+D25+D33+D34+D35+D36+D37)</f>
        <v>10106294</v>
      </c>
      <c r="E38" s="381">
        <f>SUM(E4+E9+E10+E11+E18+E19+E20+E21+E22+E23+E24+E25+E33+E34+E35+E36+E37)</f>
        <v>9445085</v>
      </c>
      <c r="F38" s="381">
        <f>SUM(F4+F9+F10+F11+F18+F19+F20+F21+F22+F23+F24+F25+F33+F34+F35+F36+F37)</f>
        <v>9644250</v>
      </c>
      <c r="G38" s="381">
        <f>SUM(G4+G9+G10+G11+G18+G19+G20+G21+G22+G23+G24+G25+G33+G34+G35+G36+G37)</f>
        <v>9977087</v>
      </c>
      <c r="H38" s="381">
        <f>SUM(H4+H9+H10+H11+H18+H19+H20+H21+H22+H23+H24+H25+H33+H34+H35+H36+H37)</f>
        <v>30634243</v>
      </c>
      <c r="I38" s="381">
        <f>SUM(I4+I9+I10+I11+I18+I19+I20+I21+I22+I23+I24+I25+I33+I34+I35+I36+I37)</f>
        <v>8052569</v>
      </c>
      <c r="J38" s="381">
        <f>SUM(J4+J9+J10+J11+J18+J19+J20+J21+J22+J23+J24+J25+J33+J34+J35+J36+J37)</f>
        <v>9159269</v>
      </c>
      <c r="K38" s="381">
        <f>SUM(K4+K9+K10+K11+K18+K19+K20+K21+K22+K23+K24+K25+K33+K34+K35+K36+K37)</f>
        <v>11171849</v>
      </c>
      <c r="L38" s="381">
        <f>SUM(L4+L9+L10+L11+L18+L19+L20+L21+L22+L23+L24+L25+L33+L34+L35+L36+L37)</f>
        <v>8792225</v>
      </c>
      <c r="M38" s="381">
        <f>SUM(M4+M9+M10+M11+M18+M19+M20+M21+M22+M23+M24+M25+M33+M34+M35+M36+M37)</f>
        <v>8293229</v>
      </c>
      <c r="N38" s="381">
        <f>SUM(N4+N9+N10+N11+N18+N19+N20+N21+N22+N23+N24+N25+N33+N34+N35+N36+N37)</f>
        <v>12834286</v>
      </c>
      <c r="O38" s="381">
        <f>SUM(O4+O9+O10+O11+O18+O19+O20+O21+O22+O23+O24+O25+O33+O34+O35+O36+O37)</f>
        <v>3988099</v>
      </c>
      <c r="P38" s="381">
        <f>SUM(P4+P9+P10+P11+P18+P19+P20+P21+P22+P23+P24+P25+P33+P34+P35+P36+P37)</f>
        <v>133045155</v>
      </c>
      <c r="Q38" s="381">
        <f>SUM(Q4+Q9+Q10+Q11+Q18+Q19+Q20+Q21+Q22+Q23+Q24+Q25+Q33+Q34+Q35+Q36+Q37)</f>
        <v>146296000</v>
      </c>
      <c r="R38" s="381">
        <f>SUM(R4+R9+R10+R11+R18+R19+R20+R21+R22+R23+R24+R25+R33+R34+R35+R36+R37)</f>
        <v>0</v>
      </c>
      <c r="S38" s="381">
        <f>SUM(S4+S9+S10+S11+S18+S19+S20+S21+S22+S23+S24+S25+S33+S34+S35+S36+S37)</f>
        <v>146296000</v>
      </c>
      <c r="T38" s="381">
        <f>Q38-P38</f>
        <v>13250845</v>
      </c>
      <c r="U38" s="383">
        <f>T4+T9+T10+T11+T18+T19+T20+T21+T22+T23+T24+T25+T33+T34+T36+T37</f>
        <v>7282845</v>
      </c>
      <c r="V38" s="382">
        <f>SUMIF($C$2:$N$2,"&lt;="&amp;締月,C38:N38)</f>
        <v>70753629</v>
      </c>
      <c r="W38" s="382">
        <f>S38-V38</f>
        <v>75542371</v>
      </c>
    </row>
    <row r="39" ht="18" customHeight="1" s="322">
      <c r="A39" s="389" t="inlineStr">
        <is>
          <t>収益</t>
        </is>
      </c>
      <c r="B39" s="339" t="n"/>
      <c r="C39" s="339" t="n"/>
      <c r="D39" s="339" t="n"/>
      <c r="E39" s="339" t="n"/>
      <c r="F39" s="339" t="n"/>
      <c r="G39" s="339" t="n"/>
      <c r="H39" s="339" t="n"/>
      <c r="I39" s="339" t="n"/>
      <c r="J39" s="339" t="n"/>
      <c r="K39" s="339" t="n"/>
      <c r="L39" s="339" t="n"/>
      <c r="M39" s="339" t="n"/>
      <c r="N39" s="339" t="n"/>
      <c r="O39" s="339" t="n"/>
      <c r="P39" s="339" t="n"/>
      <c r="Q39" s="339" t="n"/>
      <c r="R39" s="339" t="n"/>
      <c r="S39" s="339" t="n"/>
      <c r="T39" s="339" t="n"/>
      <c r="U39" s="339" t="n"/>
      <c r="V39" s="339" t="n"/>
      <c r="W39" s="339" t="n"/>
    </row>
    <row r="40" ht="22" customHeight="1" s="322">
      <c r="A40" s="372" t="inlineStr">
        <is>
          <t>区　　　分</t>
        </is>
      </c>
      <c r="B40" s="327" t="n"/>
      <c r="C40" s="372" t="inlineStr">
        <is>
          <t>４月</t>
        </is>
      </c>
      <c r="D40" s="372" t="inlineStr">
        <is>
          <t>５月</t>
        </is>
      </c>
      <c r="E40" s="372" t="inlineStr">
        <is>
          <t>６月</t>
        </is>
      </c>
      <c r="F40" s="372" t="inlineStr">
        <is>
          <t>７月</t>
        </is>
      </c>
      <c r="G40" s="372" t="inlineStr">
        <is>
          <t>８月</t>
        </is>
      </c>
      <c r="H40" s="372" t="inlineStr">
        <is>
          <t>９月</t>
        </is>
      </c>
      <c r="I40" s="372" t="inlineStr">
        <is>
          <t>１０月</t>
        </is>
      </c>
      <c r="J40" s="372" t="inlineStr">
        <is>
          <t>１１月</t>
        </is>
      </c>
      <c r="K40" s="372" t="inlineStr">
        <is>
          <t>１２月</t>
        </is>
      </c>
      <c r="L40" s="372" t="inlineStr">
        <is>
          <t>１月</t>
        </is>
      </c>
      <c r="M40" s="372" t="inlineStr">
        <is>
          <t>２月</t>
        </is>
      </c>
      <c r="N40" s="372" t="inlineStr">
        <is>
          <t>３月</t>
        </is>
      </c>
      <c r="O40" s="372" t="inlineStr">
        <is>
          <t>４月（未収）</t>
        </is>
      </c>
      <c r="P40" s="372" t="inlineStr">
        <is>
          <t>収入済計</t>
        </is>
      </c>
      <c r="Q40" s="372" t="inlineStr">
        <is>
          <t>予算額</t>
        </is>
      </c>
      <c r="R40" s="372" t="inlineStr">
        <is>
          <t>流用振替額</t>
        </is>
      </c>
      <c r="S40" s="372" t="inlineStr">
        <is>
          <t>予算現額</t>
        </is>
      </c>
      <c r="T40" s="372" t="n"/>
      <c r="U40" s="373" t="n"/>
      <c r="V40" s="373" t="n"/>
      <c r="W40" s="373" t="n"/>
    </row>
    <row r="41" ht="18" customFormat="1" customHeight="1" s="390">
      <c r="A41" s="376" t="inlineStr">
        <is>
          <t>地方公共団体負担金</t>
        </is>
      </c>
      <c r="B41" s="343" t="n"/>
      <c r="C41" s="377">
        <f>SUM('費用収益表_業務長期'!C41,'費用収益表_業務短期'!C41)</f>
        <v>6781000</v>
      </c>
      <c r="D41" s="377">
        <f>SUM('費用収益表_業務長期'!D41,'費用収益表_業務短期'!D41)</f>
        <v>6663000</v>
      </c>
      <c r="E41" s="377">
        <f>SUM('費用収益表_業務長期'!E41,'費用収益表_業務短期'!E41)</f>
        <v>7975000</v>
      </c>
      <c r="F41" s="377">
        <f>SUM('費用収益表_業務長期'!F41,'費用収益表_業務短期'!F41)</f>
        <v>10548000</v>
      </c>
      <c r="G41" s="377">
        <f>SUM('費用収益表_業務長期'!G41,'費用収益表_業務短期'!G41)</f>
        <v>6664000</v>
      </c>
      <c r="H41" s="377">
        <f>SUM('費用収益表_業務長期'!H41,'費用収益表_業務短期'!H41)</f>
        <v>17307000</v>
      </c>
      <c r="I41" s="377">
        <f>SUM('費用収益表_業務長期'!I41,'費用収益表_業務短期'!I41)</f>
        <v>6990000</v>
      </c>
      <c r="J41" s="377">
        <f>SUM('費用収益表_業務長期'!J41,'費用収益表_業務短期'!J41)</f>
        <v>6741000</v>
      </c>
      <c r="K41" s="377">
        <f>SUM('費用収益表_業務長期'!K41,'費用収益表_業務短期'!K41)</f>
        <v>7407000</v>
      </c>
      <c r="L41" s="377">
        <f>SUM('費用収益表_業務長期'!L41,'費用収益表_業務短期'!L41)</f>
        <v>7073000</v>
      </c>
      <c r="M41" s="377">
        <f>SUM('費用収益表_業務長期'!M41,'費用収益表_業務短期'!M41)</f>
        <v>6722000</v>
      </c>
      <c r="N41" s="377">
        <f>SUM('費用収益表_業務長期'!N41,'費用収益表_業務短期'!N41)</f>
        <v>8116000</v>
      </c>
      <c r="O41" s="377">
        <f>SUM('費用収益表_業務長期'!O41,'費用収益表_業務短期'!O41)</f>
        <v>2075480</v>
      </c>
      <c r="P41" s="377">
        <f>SUM(C41:O41)</f>
        <v>101062480</v>
      </c>
      <c r="Q41" s="377">
        <f>SUM('費用収益表_業務長期'!S41,'費用収益表_業務短期'!S41)</f>
        <v>94968000</v>
      </c>
      <c r="R41" s="377">
        <f>SUM('費用収益表_業務長期'!R41,'費用収益表_業務短期'!R41)</f>
        <v>-11744404</v>
      </c>
      <c r="S41" s="377">
        <f>SUM('費用収益表_業務長期'!T41,'費用収益表_業務短期'!T41)</f>
        <v>31002076</v>
      </c>
      <c r="T41" s="391" t="n"/>
      <c r="U41" s="373" t="n"/>
      <c r="V41" s="378">
        <f>SUMIF($C$2:$N$2,"&lt;="&amp;締月,C41:N41)</f>
        <v>55938000</v>
      </c>
      <c r="W41" s="373" t="n"/>
    </row>
    <row r="42" ht="18" customFormat="1" customHeight="1" s="390">
      <c r="A42" s="376" t="inlineStr">
        <is>
          <t>雑収入</t>
        </is>
      </c>
      <c r="B42" s="343" t="n"/>
      <c r="C42" s="377">
        <f>SUM('費用収益表_業務長期'!C42,'費用収益表_業務短期'!C42)</f>
        <v>0</v>
      </c>
      <c r="D42" s="377">
        <f>SUM('費用収益表_業務長期'!D42,'費用収益表_業務短期'!D42)</f>
        <v>0</v>
      </c>
      <c r="E42" s="377">
        <f>SUM('費用収益表_業務長期'!E42,'費用収益表_業務短期'!E42)</f>
        <v>0</v>
      </c>
      <c r="F42" s="377">
        <f>SUM('費用収益表_業務長期'!F42,'費用収益表_業務短期'!F42)</f>
        <v>0</v>
      </c>
      <c r="G42" s="377">
        <f>SUM('費用収益表_業務長期'!G42,'費用収益表_業務短期'!G42)</f>
        <v>0</v>
      </c>
      <c r="H42" s="377">
        <f>SUM('費用収益表_業務長期'!H42,'費用収益表_業務短期'!H42)</f>
        <v>0</v>
      </c>
      <c r="I42" s="377">
        <f>SUM('費用収益表_業務長期'!I42,'費用収益表_業務短期'!I42)</f>
        <v>0</v>
      </c>
      <c r="J42" s="377">
        <f>SUM('費用収益表_業務長期'!J42,'費用収益表_業務短期'!J42)</f>
        <v>0</v>
      </c>
      <c r="K42" s="377">
        <f>SUM('費用収益表_業務長期'!K42,'費用収益表_業務短期'!K42)</f>
        <v>0</v>
      </c>
      <c r="L42" s="377">
        <f>SUM('費用収益表_業務長期'!L42,'費用収益表_業務短期'!L42)</f>
        <v>0</v>
      </c>
      <c r="M42" s="377">
        <f>SUM('費用収益表_業務長期'!M42,'費用収益表_業務短期'!M42)</f>
        <v>0</v>
      </c>
      <c r="N42" s="377">
        <f>SUM('費用収益表_業務長期'!N42,'費用収益表_業務短期'!N42)</f>
        <v>75258</v>
      </c>
      <c r="O42" s="377">
        <f>SUM('費用収益表_業務長期'!O42,'費用収益表_業務短期'!O42)</f>
        <v>0</v>
      </c>
      <c r="P42" s="377">
        <f>SUM(C42:O42)</f>
        <v>75258</v>
      </c>
      <c r="Q42" s="377">
        <f>SUM('費用収益表_業務長期'!S42,'費用収益表_業務短期'!Q42)</f>
        <v>0</v>
      </c>
      <c r="R42" s="377">
        <f>SUM('費用収益表_業務長期'!R42,'費用収益表_業務短期'!R42)</f>
        <v>0</v>
      </c>
      <c r="S42" s="377">
        <f>SUM('費用収益表_業務長期'!T42,'費用収益表_業務短期'!T42)</f>
        <v>0</v>
      </c>
      <c r="T42" s="391" t="n"/>
      <c r="U42" s="373" t="n"/>
      <c r="V42" s="378">
        <f>SUMIF($C$2:$N$2,"&lt;="&amp;締月,C42:N42)</f>
        <v>0</v>
      </c>
      <c r="W42" s="373" t="n"/>
    </row>
    <row r="43" ht="18" customFormat="1" customHeight="1" s="390">
      <c r="A43" s="376" t="inlineStr">
        <is>
          <t>連合会交付金</t>
        </is>
      </c>
      <c r="B43" s="343" t="n"/>
      <c r="C43" s="377">
        <f>SUM('費用収益表_業務長期'!C43,'費用収益表_業務短期'!C43)</f>
        <v>0</v>
      </c>
      <c r="D43" s="377">
        <f>SUM('費用収益表_業務長期'!D43,'費用収益表_業務短期'!D43)</f>
        <v>4513000</v>
      </c>
      <c r="E43" s="377">
        <f>SUM('費用収益表_業務長期'!E43,'費用収益表_業務短期'!E43)</f>
        <v>5366000</v>
      </c>
      <c r="F43" s="377">
        <f>SUM('費用収益表_業務長期'!F43,'費用収益表_業務短期'!F43)</f>
        <v>5366000</v>
      </c>
      <c r="G43" s="377">
        <f>SUM('費用収益表_業務長期'!G43,'費用収益表_業務短期'!G43)</f>
        <v>5366000</v>
      </c>
      <c r="H43" s="377">
        <f>SUM('費用収益表_業務長期'!H43,'費用収益表_業務短期'!H43)</f>
        <v>5369148</v>
      </c>
      <c r="I43" s="377">
        <f>SUM('費用収益表_業務長期'!I43,'費用収益表_業務短期'!I43)</f>
        <v>0</v>
      </c>
      <c r="J43" s="377">
        <f>SUM('費用収益表_業務長期'!J43,'費用収益表_業務短期'!J43)</f>
        <v>-261410</v>
      </c>
      <c r="K43" s="377">
        <f>SUM('費用収益表_業務長期'!K43,'費用収益表_業務短期'!K43)</f>
        <v>0</v>
      </c>
      <c r="L43" s="377">
        <f>SUM('費用収益表_業務長期'!L43,'費用収益表_業務短期'!L43)</f>
        <v>0</v>
      </c>
      <c r="M43" s="377">
        <f>SUM('費用収益表_業務長期'!M43,'費用収益表_業務短期'!M43)</f>
        <v>0</v>
      </c>
      <c r="N43" s="377">
        <f>SUM('費用収益表_業務長期'!N43,'費用収益表_業務短期'!N43)</f>
        <v>0</v>
      </c>
      <c r="O43" s="377">
        <f>SUM('費用収益表_業務長期'!O43,'費用収益表_業務短期'!O43)</f>
        <v>0</v>
      </c>
      <c r="P43" s="377">
        <f>SUM(C43:O43)</f>
        <v>25718738</v>
      </c>
      <c r="Q43" s="377">
        <f>SUM('費用収益表_業務長期'!S43,'費用収益表_業務短期'!Q43)</f>
        <v>23147000</v>
      </c>
      <c r="R43" s="377">
        <f>SUM('費用収益表_業務長期'!R43,'費用収益表_業務短期'!R43)</f>
        <v>0</v>
      </c>
      <c r="S43" s="377">
        <f>SUM('費用収益表_業務長期'!T43,'費用収益表_業務短期'!T43)</f>
        <v>0</v>
      </c>
      <c r="T43" s="391" t="n"/>
      <c r="U43" s="373" t="n"/>
      <c r="V43" s="378">
        <f>SUMIF($C$2:$N$2,"&lt;="&amp;締月,C43:N43)</f>
        <v>25980148</v>
      </c>
      <c r="W43" s="373" t="n"/>
    </row>
    <row r="44" ht="18" customFormat="1" customHeight="1" s="390">
      <c r="A44" s="376" t="inlineStr">
        <is>
          <t>長期経理より繰入</t>
        </is>
      </c>
      <c r="B44" s="343" t="n"/>
      <c r="C44" s="377">
        <f>SUM('費用収益表_業務長期'!C44)</f>
        <v>0</v>
      </c>
      <c r="D44" s="377">
        <f>SUM('費用収益表_業務長期'!D44)</f>
        <v>0</v>
      </c>
      <c r="E44" s="377">
        <f>SUM('費用収益表_業務長期'!E44)</f>
        <v>0</v>
      </c>
      <c r="F44" s="377">
        <f>SUM('費用収益表_業務長期'!F44)</f>
        <v>0</v>
      </c>
      <c r="G44" s="377">
        <f>SUM('費用収益表_業務長期'!G44)</f>
        <v>0</v>
      </c>
      <c r="H44" s="377">
        <f>SUM('費用収益表_業務長期'!H44)</f>
        <v>0</v>
      </c>
      <c r="I44" s="377">
        <f>SUM('費用収益表_業務長期'!I44)</f>
        <v>0</v>
      </c>
      <c r="J44" s="377">
        <f>SUM('費用収益表_業務長期'!J44)</f>
        <v>0</v>
      </c>
      <c r="K44" s="377">
        <f>SUM('費用収益表_業務長期'!K44)</f>
        <v>0</v>
      </c>
      <c r="L44" s="377">
        <f>SUM('費用収益表_業務長期'!L44)</f>
        <v>0</v>
      </c>
      <c r="M44" s="377">
        <f>SUM('費用収益表_業務長期'!M44)</f>
        <v>0</v>
      </c>
      <c r="N44" s="377">
        <f>SUM('費用収益表_業務長期'!N44)</f>
        <v>0</v>
      </c>
      <c r="O44" s="377">
        <f>SUM('費用収益表_業務長期'!O44)</f>
        <v>0</v>
      </c>
      <c r="P44" s="377">
        <f>SUM(C44:O44)</f>
        <v>0</v>
      </c>
      <c r="Q44" s="377">
        <f>SUM('費用収益表_業務長期'!S44)</f>
        <v>0</v>
      </c>
      <c r="R44" s="377">
        <f>SUM('費用収益表_業務長期'!R44)</f>
        <v>0</v>
      </c>
      <c r="S44" s="377">
        <f>SUM('費用収益表_業務長期'!T44)</f>
        <v>0</v>
      </c>
      <c r="T44" s="391" t="n"/>
      <c r="U44" s="373" t="n"/>
      <c r="V44" s="378">
        <f>SUMIF($C$2:$N$2,"&lt;="&amp;締月,C44:N44)</f>
        <v>0</v>
      </c>
      <c r="W44" s="373" t="n"/>
    </row>
    <row r="45" ht="18" customFormat="1" customHeight="1" s="390">
      <c r="A45" s="376" t="inlineStr">
        <is>
          <t>短期経理より繰入</t>
        </is>
      </c>
      <c r="B45" s="343" t="n"/>
      <c r="C45" s="377">
        <f>SUM('費用収益表_業務短期'!C44)</f>
        <v>0</v>
      </c>
      <c r="D45" s="377">
        <f>SUM('費用収益表_業務短期'!D44)</f>
        <v>0</v>
      </c>
      <c r="E45" s="377">
        <f>SUM('費用収益表_業務短期'!E44)</f>
        <v>0</v>
      </c>
      <c r="F45" s="377">
        <f>SUM('費用収益表_業務短期'!F44)</f>
        <v>0</v>
      </c>
      <c r="G45" s="377">
        <f>SUM('費用収益表_業務短期'!G44)</f>
        <v>0</v>
      </c>
      <c r="H45" s="377">
        <f>SUM('費用収益表_業務短期'!H44)</f>
        <v>0</v>
      </c>
      <c r="I45" s="377">
        <f>SUM('費用収益表_業務短期'!I44)</f>
        <v>0</v>
      </c>
      <c r="J45" s="377">
        <f>SUM('費用収益表_業務短期'!J44)</f>
        <v>0</v>
      </c>
      <c r="K45" s="377">
        <f>SUM('費用収益表_業務短期'!K44)</f>
        <v>0</v>
      </c>
      <c r="L45" s="377">
        <f>SUM('費用収益表_業務短期'!L44)</f>
        <v>0</v>
      </c>
      <c r="M45" s="377">
        <f>SUM('費用収益表_業務短期'!M44)</f>
        <v>0</v>
      </c>
      <c r="N45" s="377">
        <f>SUM('費用収益表_業務短期'!N44)</f>
        <v>0</v>
      </c>
      <c r="O45" s="377">
        <f>SUM('費用収益表_業務短期'!O44)</f>
        <v>7580026</v>
      </c>
      <c r="P45" s="377">
        <f>SUM(C45:O45)</f>
        <v>7580026</v>
      </c>
      <c r="Q45" s="377">
        <f>SUM('費用収益表_業務短期'!S44)</f>
        <v>13605000</v>
      </c>
      <c r="R45" s="377">
        <f>SUM('費用収益表_業務短期'!R44)</f>
        <v>0</v>
      </c>
      <c r="S45" s="377">
        <f>SUM('費用収益表_業務短期'!T44)</f>
        <v>0</v>
      </c>
      <c r="T45" s="391" t="n"/>
      <c r="U45" s="373" t="n"/>
      <c r="V45" s="378">
        <f>SUMIF($C$2:$N$2,"&lt;="&amp;締月,C45:N45)</f>
        <v>0</v>
      </c>
      <c r="W45" s="373" t="n"/>
    </row>
    <row r="46" ht="18" customFormat="1" customHeight="1" s="390">
      <c r="A46" s="376" t="inlineStr">
        <is>
          <t>当期損失金</t>
        </is>
      </c>
      <c r="B46" s="343" t="n"/>
      <c r="C46" s="377">
        <f>SUM('費用収益表_業務長期'!C45,'費用収益表_業務短期'!C45)</f>
        <v>0</v>
      </c>
      <c r="D46" s="377">
        <f>SUM('費用収益表_業務長期'!D45,'費用収益表_業務短期'!D45)</f>
        <v>0</v>
      </c>
      <c r="E46" s="377">
        <f>SUM('費用収益表_業務長期'!E45,'費用収益表_業務短期'!E45)</f>
        <v>0</v>
      </c>
      <c r="F46" s="377">
        <f>SUM('費用収益表_業務長期'!F45,'費用収益表_業務短期'!F45)</f>
        <v>0</v>
      </c>
      <c r="G46" s="377">
        <f>SUM('費用収益表_業務長期'!G45,'費用収益表_業務短期'!G45)</f>
        <v>0</v>
      </c>
      <c r="H46" s="377">
        <f>SUM('費用収益表_業務長期'!H45,'費用収益表_業務短期'!H45)</f>
        <v>0</v>
      </c>
      <c r="I46" s="377">
        <f>SUM('費用収益表_業務長期'!I45,'費用収益表_業務短期'!I45)</f>
        <v>0</v>
      </c>
      <c r="J46" s="377">
        <f>SUM('費用収益表_業務長期'!J45,'費用収益表_業務短期'!J45)</f>
        <v>0</v>
      </c>
      <c r="K46" s="377">
        <f>SUM('費用収益表_業務長期'!K45,'費用収益表_業務短期'!K45)</f>
        <v>0</v>
      </c>
      <c r="L46" s="377">
        <f>SUM('費用収益表_業務長期'!L45,'費用収益表_業務短期'!L45)</f>
        <v>0</v>
      </c>
      <c r="M46" s="377">
        <f>SUM('費用収益表_業務長期'!M45,'費用収益表_業務短期'!M45)</f>
        <v>0</v>
      </c>
      <c r="N46" s="377">
        <f>SUM('費用収益表_業務長期'!N45,'費用収益表_業務短期'!N45)</f>
        <v>0</v>
      </c>
      <c r="O46" s="377">
        <f>SUM('費用収益表_業務長期'!O45,'費用収益表_業務短期'!O45)</f>
        <v>0</v>
      </c>
      <c r="P46" s="377">
        <f>SUM(C46:O46)</f>
        <v>0</v>
      </c>
      <c r="Q46" s="377">
        <f>SUM('費用収益表_業務長期'!S45,'費用収益表_業務短期'!S45)</f>
        <v>0</v>
      </c>
      <c r="R46" s="377">
        <f>SUM('費用収益表_業務長期'!R45,'費用収益表_業務短期'!R45)</f>
        <v>0</v>
      </c>
      <c r="S46" s="377">
        <f>SUM('費用収益表_業務長期'!T45,'費用収益表_業務短期'!T45)</f>
        <v>0</v>
      </c>
      <c r="T46" s="391" t="n"/>
      <c r="U46" s="373" t="n"/>
      <c r="V46" s="378">
        <f>SUMIF($C$2:$N$2,"&lt;="&amp;締月,C46:N46)</f>
        <v>0</v>
      </c>
      <c r="W46" s="373" t="n"/>
    </row>
    <row r="47" ht="18" customFormat="1" customHeight="1" s="390">
      <c r="A47" s="380" t="inlineStr">
        <is>
          <t>合　　　計</t>
        </is>
      </c>
      <c r="B47" s="379" t="n"/>
      <c r="C47" s="381">
        <f>SUM(C41:C45)</f>
        <v>6781000</v>
      </c>
      <c r="D47" s="381">
        <f>SUM(D41:D45)</f>
        <v>11176000</v>
      </c>
      <c r="E47" s="381">
        <f>SUM(E41:E45)</f>
        <v>13341000</v>
      </c>
      <c r="F47" s="381">
        <f>SUM(F41:F45)</f>
        <v>15914000</v>
      </c>
      <c r="G47" s="381">
        <f>SUM(G41:G45)</f>
        <v>12030000</v>
      </c>
      <c r="H47" s="381">
        <f>SUM(H41:H45)</f>
        <v>22676148</v>
      </c>
      <c r="I47" s="381">
        <f>SUM(I41:I45)</f>
        <v>6990000</v>
      </c>
      <c r="J47" s="381">
        <f>SUM(J41:J45)</f>
        <v>6479590</v>
      </c>
      <c r="K47" s="381">
        <f>SUM(K41:K45)</f>
        <v>7407000</v>
      </c>
      <c r="L47" s="381">
        <f>SUM(L41:L45)</f>
        <v>7073000</v>
      </c>
      <c r="M47" s="381">
        <f>SUM(M41:M45)</f>
        <v>6722000</v>
      </c>
      <c r="N47" s="381">
        <f>SUM(N41:N45)</f>
        <v>8191258</v>
      </c>
      <c r="O47" s="381">
        <f>SUM(O41:O45)</f>
        <v>9655506</v>
      </c>
      <c r="P47" s="381">
        <f>SUM(P41:P45)</f>
        <v>134436502</v>
      </c>
      <c r="Q47" s="381">
        <f>Q41+Q42+Q43+Q44+Q45+Q46</f>
        <v>131720000</v>
      </c>
      <c r="R47" s="381">
        <f>R41+R42+R43+R44+R45+R46</f>
        <v>-11744404</v>
      </c>
      <c r="S47" s="381">
        <f>S41+S42+S43+S44+S45+S46</f>
        <v>31002076</v>
      </c>
      <c r="T47" s="392" t="n"/>
      <c r="U47" s="373" t="n"/>
      <c r="V47" s="382">
        <f>SUMIF($C$2:$N$2,"&lt;="&amp;締月,C47:N47)</f>
        <v>81918148</v>
      </c>
      <c r="W47" s="373" t="n"/>
    </row>
    <row r="48" ht="18" customHeight="1" s="322">
      <c r="A48" s="373" t="n"/>
      <c r="B48" s="373" t="n"/>
      <c r="C48" s="373" t="n"/>
      <c r="D48" s="373" t="n"/>
      <c r="E48" s="373" t="n"/>
      <c r="F48" s="373" t="n"/>
      <c r="G48" s="373" t="n"/>
      <c r="H48" s="373" t="n"/>
      <c r="I48" s="373" t="n"/>
      <c r="J48" s="393" t="inlineStr">
        <is>
          <t>通帳残高見込</t>
        </is>
      </c>
      <c r="K48" s="373" t="n"/>
      <c r="L48" s="377">
        <f>SUM(L49)</f>
        <v>-1719225</v>
      </c>
      <c r="M48" s="377">
        <f>SUM(L49:M49)</f>
        <v>-3290454</v>
      </c>
      <c r="N48" s="377">
        <f>SUM(L49:N49)</f>
        <v>-7933482</v>
      </c>
      <c r="O48" s="377">
        <f>SUM(L49:O49)</f>
        <v>-2266075</v>
      </c>
      <c r="P48" s="373" t="n"/>
      <c r="Q48" s="373" t="n"/>
      <c r="R48" s="394" t="n"/>
      <c r="S48" s="394" t="n"/>
      <c r="T48" s="373" t="n"/>
      <c r="U48" s="373" t="n"/>
      <c r="V48" s="373" t="n"/>
      <c r="W48" s="373" t="n"/>
    </row>
    <row r="49" ht="18" customFormat="1" customHeight="1" s="390">
      <c r="A49" s="380" t="inlineStr">
        <is>
          <t>収益－費用</t>
        </is>
      </c>
      <c r="B49" s="379" t="n"/>
      <c r="C49" s="381">
        <f>C47-C38</f>
        <v>5834330</v>
      </c>
      <c r="D49" s="381">
        <f>D47-D38</f>
        <v>1069706</v>
      </c>
      <c r="E49" s="381">
        <f>E47-E38</f>
        <v>3895915</v>
      </c>
      <c r="F49" s="381">
        <f>F47-F38</f>
        <v>6269750</v>
      </c>
      <c r="G49" s="381">
        <f>G47-G38</f>
        <v>2052913</v>
      </c>
      <c r="H49" s="381">
        <f>H47-H38</f>
        <v>-7958095</v>
      </c>
      <c r="I49" s="381">
        <f>I47-I38</f>
        <v>-1062569</v>
      </c>
      <c r="J49" s="381">
        <f>J47-J38</f>
        <v>-2679679</v>
      </c>
      <c r="K49" s="381">
        <f>K47-K38</f>
        <v>-3764849</v>
      </c>
      <c r="L49" s="381">
        <f>L47-L38</f>
        <v>-1719225</v>
      </c>
      <c r="M49" s="381">
        <f>M47-M38</f>
        <v>-1571229</v>
      </c>
      <c r="N49" s="381">
        <f>N47-N38</f>
        <v>-4643028</v>
      </c>
      <c r="O49" s="381">
        <f>O47-O38</f>
        <v>5667407</v>
      </c>
      <c r="P49" s="381">
        <f>P47-P38</f>
        <v>1391347</v>
      </c>
      <c r="Q49" s="381">
        <f>Q47-Q38</f>
        <v>-14576000</v>
      </c>
      <c r="R49" s="381">
        <f>R47-R38</f>
        <v>-11744404</v>
      </c>
      <c r="S49" s="381">
        <f>S47-S38</f>
        <v>-115293924</v>
      </c>
      <c r="T49" s="392" t="n"/>
      <c r="U49" s="373" t="n"/>
      <c r="V49" s="382">
        <f>SUMIF($C$2:$N$2,"&lt;="&amp;締月,C49:N49)</f>
        <v>11164519</v>
      </c>
      <c r="W49" s="373" t="n"/>
    </row>
    <row r="50" ht="55.5" customHeight="1" s="322">
      <c r="A50" s="373" t="n"/>
      <c r="B50" s="373" t="n"/>
      <c r="C50" s="373" t="n"/>
      <c r="D50" s="373" t="n"/>
      <c r="E50" s="373" t="n"/>
      <c r="F50" s="373" t="n"/>
      <c r="G50" s="373" t="n"/>
      <c r="H50" s="373" t="n"/>
      <c r="I50" s="373" t="n"/>
      <c r="J50" s="373" t="n"/>
      <c r="K50" s="373" t="n"/>
      <c r="L50" s="373" t="n"/>
      <c r="M50" s="373" t="n"/>
      <c r="N50" s="373" t="n"/>
      <c r="O50" s="373" t="n"/>
      <c r="P50" s="373" t="n"/>
      <c r="Q50" s="373" t="n"/>
      <c r="R50" s="373" t="n"/>
      <c r="S50" s="373" t="n"/>
      <c r="T50" s="373" t="n"/>
      <c r="U50" s="373" t="n"/>
      <c r="V50" s="373" t="n"/>
      <c r="W50" s="373" t="n"/>
    </row>
    <row r="51" ht="22" customHeight="1" s="322">
      <c r="A51" s="327" t="n"/>
      <c r="B51" s="372" t="inlineStr">
        <is>
          <t>参考（職員給与）</t>
        </is>
      </c>
      <c r="C51" s="372" t="inlineStr">
        <is>
          <t>４月支払</t>
        </is>
      </c>
      <c r="D51" s="372" t="inlineStr">
        <is>
          <t>５月支払</t>
        </is>
      </c>
      <c r="E51" s="372" t="inlineStr">
        <is>
          <t>６月支払</t>
        </is>
      </c>
      <c r="F51" s="372" t="inlineStr">
        <is>
          <t>７月支払</t>
        </is>
      </c>
      <c r="G51" s="372" t="inlineStr">
        <is>
          <t>８月支払</t>
        </is>
      </c>
      <c r="H51" s="372" t="inlineStr">
        <is>
          <t>９月支払</t>
        </is>
      </c>
      <c r="I51" s="372" t="inlineStr">
        <is>
          <t>１０月支払</t>
        </is>
      </c>
      <c r="J51" s="372" t="inlineStr">
        <is>
          <t>１１月支払</t>
        </is>
      </c>
      <c r="K51" s="372" t="inlineStr">
        <is>
          <t>１２月支払</t>
        </is>
      </c>
      <c r="L51" s="372" t="inlineStr">
        <is>
          <t>１月支払</t>
        </is>
      </c>
      <c r="M51" s="372" t="inlineStr">
        <is>
          <t>２月支払</t>
        </is>
      </c>
      <c r="N51" s="372" t="inlineStr">
        <is>
          <t>３月支払</t>
        </is>
      </c>
      <c r="O51" s="372" t="inlineStr">
        <is>
          <t>未払</t>
        </is>
      </c>
      <c r="P51" s="327" t="n"/>
      <c r="Q51" s="372" t="inlineStr">
        <is>
          <t>合計</t>
        </is>
      </c>
      <c r="R51" s="372" t="n"/>
      <c r="S51" s="372" t="n"/>
      <c r="T51" s="327" t="n"/>
      <c r="U51" s="373" t="n"/>
      <c r="V51" s="373" t="n"/>
      <c r="W51" s="373" t="n"/>
    </row>
    <row r="52" ht="18" customHeight="1" s="322">
      <c r="A52" s="343" t="n"/>
      <c r="B52" s="376" t="inlineStr">
        <is>
          <t>臨時賃金</t>
        </is>
      </c>
      <c r="C52" s="377">
        <f>SUM('費用収益表_業務長期'!C59,'費用収益表_業務短期'!C59)</f>
        <v>0</v>
      </c>
      <c r="D52" s="377">
        <f>SUM('費用収益表_業務長期'!D59,'費用収益表_業務短期'!D59)</f>
        <v>425880</v>
      </c>
      <c r="E52" s="377">
        <f>SUM('費用収益表_業務長期'!E59,'費用収益表_業務短期'!E59)</f>
        <v>365040</v>
      </c>
      <c r="F52" s="377">
        <f>SUM('費用収益表_業務長期'!F59,'費用収益表_業務短期'!F59)</f>
        <v>446160</v>
      </c>
      <c r="G52" s="377">
        <f>SUM('費用収益表_業務長期'!G59,'費用収益表_業務短期'!G59)</f>
        <v>445720</v>
      </c>
      <c r="H52" s="377">
        <f>SUM('費用収益表_業務長期'!H59,'費用収益表_業務短期'!H59)</f>
        <v>384480</v>
      </c>
      <c r="I52" s="377">
        <f>SUM('費用収益表_業務長期'!I59,'費用収益表_業務短期'!I59)</f>
        <v>389160</v>
      </c>
      <c r="J52" s="377">
        <f>SUM('費用収益表_業務長期'!J59,'費用収益表_業務短期'!J59)</f>
        <v>416580</v>
      </c>
      <c r="K52" s="377">
        <f>SUM('費用収益表_業務長期'!K59,'費用収益表_業務短期'!K59)</f>
        <v>340920</v>
      </c>
      <c r="L52" s="377">
        <f>SUM('費用収益表_業務長期'!L59,'費用収益表_業務短期'!L59)</f>
        <v>377520</v>
      </c>
      <c r="M52" s="377">
        <f>SUM('費用収益表_業務長期'!M59,'費用収益表_業務短期'!M59)</f>
        <v>359120</v>
      </c>
      <c r="N52" s="377">
        <f>SUM('費用収益表_業務長期'!N59,'費用収益表_業務短期'!N59)</f>
        <v>339340</v>
      </c>
      <c r="O52" s="377">
        <f>SUM('費用収益表_業務長期'!O59,'費用収益表_業務短期'!O59)</f>
        <v>339568</v>
      </c>
      <c r="P52" s="343" t="n"/>
      <c r="Q52" s="377">
        <f>SUM(C52:O52)</f>
        <v>4629488</v>
      </c>
      <c r="R52" s="393" t="n"/>
      <c r="S52" s="393" t="n"/>
      <c r="T52" s="393" t="n"/>
      <c r="U52" s="373" t="n"/>
      <c r="V52" s="378">
        <f>SUMIF($C$2:$N$2,"&lt;="&amp;締月,C52:N52)</f>
        <v>2067280</v>
      </c>
      <c r="W52" s="373" t="n"/>
    </row>
    <row r="53" ht="18" customHeight="1" s="322">
      <c r="A53" s="343" t="n"/>
      <c r="B53" s="376" t="inlineStr">
        <is>
          <t>職員基本給</t>
        </is>
      </c>
      <c r="C53" s="377">
        <f>SUM('費用収益表_業務長期'!C51,'費用収益表_業務短期'!C51)</f>
        <v>0</v>
      </c>
      <c r="D53" s="377">
        <f>SUM('費用収益表_業務長期'!D51,'費用収益表_業務短期'!D51)</f>
        <v>0</v>
      </c>
      <c r="E53" s="377">
        <f>SUM('費用収益表_業務長期'!E51,'費用収益表_業務短期'!E51)</f>
        <v>0</v>
      </c>
      <c r="F53" s="377">
        <f>SUM('費用収益表_業務長期'!F51,'費用収益表_業務短期'!F51)</f>
        <v>0</v>
      </c>
      <c r="G53" s="377">
        <f>SUM('費用収益表_業務長期'!G51,'費用収益表_業務短期'!G51)</f>
        <v>0</v>
      </c>
      <c r="H53" s="377">
        <f>SUM('費用収益表_業務長期'!H51,'費用収益表_業務短期'!H51)</f>
        <v>0</v>
      </c>
      <c r="I53" s="377">
        <f>SUM('費用収益表_業務長期'!I51,'費用収益表_業務短期'!I51)</f>
        <v>0</v>
      </c>
      <c r="J53" s="377">
        <f>SUM('費用収益表_業務長期'!J51,'費用収益表_業務短期'!J51)</f>
        <v>0</v>
      </c>
      <c r="K53" s="377">
        <f>SUM('費用収益表_業務長期'!K51,'費用収益表_業務短期'!K51)</f>
        <v>0</v>
      </c>
      <c r="L53" s="377">
        <f>SUM('費用収益表_業務長期'!L51,'費用収益表_業務短期'!L51)</f>
        <v>0</v>
      </c>
      <c r="M53" s="377">
        <f>SUM('費用収益表_業務長期'!M51,'費用収益表_業務短期'!M51)</f>
        <v>0</v>
      </c>
      <c r="N53" s="377">
        <f>SUM('費用収益表_業務長期'!N51,'費用収益表_業務短期'!N51)</f>
        <v>0</v>
      </c>
      <c r="O53" s="377">
        <f>SUM('費用収益表_業務長期'!O51,'費用収益表_業務短期'!O51)</f>
        <v>0</v>
      </c>
      <c r="P53" s="343" t="n"/>
      <c r="Q53" s="377">
        <f>SUM(C53:O53)</f>
        <v>0</v>
      </c>
      <c r="R53" s="393" t="n"/>
      <c r="S53" s="393" t="n"/>
      <c r="T53" s="393" t="n"/>
      <c r="U53" s="373" t="n"/>
      <c r="V53" s="378">
        <f>SUMIF($C$2:$N$2,"&lt;="&amp;締月,C53:N53)</f>
        <v>0</v>
      </c>
      <c r="W53" s="373" t="n"/>
    </row>
    <row r="54" ht="18" customFormat="1" customHeight="1" s="395">
      <c r="A54" s="379" t="n"/>
      <c r="B54" s="380" t="inlineStr">
        <is>
          <t>基本給計</t>
        </is>
      </c>
      <c r="C54" s="381">
        <f>SUM(C52:C53)</f>
        <v>0</v>
      </c>
      <c r="D54" s="381">
        <f>SUM(D52:D53)</f>
        <v>425880</v>
      </c>
      <c r="E54" s="381">
        <f>SUM(E52:E53)</f>
        <v>365040</v>
      </c>
      <c r="F54" s="381">
        <f>SUM(F52:F53)</f>
        <v>446160</v>
      </c>
      <c r="G54" s="381">
        <f>SUM(G52:G53)</f>
        <v>445720</v>
      </c>
      <c r="H54" s="381">
        <f>SUM(H52:H53)</f>
        <v>384480</v>
      </c>
      <c r="I54" s="381">
        <f>SUM(I52:I53)</f>
        <v>389160</v>
      </c>
      <c r="J54" s="381">
        <f>SUM(J52:J53)</f>
        <v>416580</v>
      </c>
      <c r="K54" s="381">
        <f>SUM(K52:K53)</f>
        <v>340920</v>
      </c>
      <c r="L54" s="381">
        <f>SUM(L52:L53)</f>
        <v>377520</v>
      </c>
      <c r="M54" s="381">
        <f>SUM(M52:M53)</f>
        <v>359120</v>
      </c>
      <c r="N54" s="381">
        <f>SUM(N52:N53)</f>
        <v>339340</v>
      </c>
      <c r="O54" s="381">
        <f>SUM(O52:O53)</f>
        <v>339568</v>
      </c>
      <c r="P54" s="379" t="n"/>
      <c r="Q54" s="381">
        <f>SUM(C54:O54)</f>
        <v>4629488</v>
      </c>
      <c r="R54" s="379" t="n"/>
      <c r="S54" s="379" t="n"/>
      <c r="T54" s="379" t="n"/>
      <c r="U54" s="373" t="n"/>
      <c r="V54" s="382">
        <f>SUMIF($C$2:$N$2,"&lt;="&amp;締月,C54:N54)</f>
        <v>2067280</v>
      </c>
      <c r="W54" s="373" t="n"/>
    </row>
    <row r="55" ht="18" customHeight="1" s="322">
      <c r="A55" s="343" t="n"/>
      <c r="B55" s="376" t="inlineStr">
        <is>
          <t>手当（賞与以外）</t>
        </is>
      </c>
      <c r="C55" s="377">
        <f>SUM('費用収益表_業務長期'!C53,'費用収益表_業務短期'!C53)</f>
        <v>0</v>
      </c>
      <c r="D55" s="377">
        <f>SUM('費用収益表_業務長期'!D53,'費用収益表_業務短期'!D53)</f>
        <v>0</v>
      </c>
      <c r="E55" s="377">
        <f>SUM('費用収益表_業務長期'!E53,'費用収益表_業務短期'!E53)</f>
        <v>0</v>
      </c>
      <c r="F55" s="377">
        <f>SUM('費用収益表_業務長期'!F53,'費用収益表_業務短期'!F53)</f>
        <v>0</v>
      </c>
      <c r="G55" s="377">
        <f>SUM('費用収益表_業務長期'!G53,'費用収益表_業務短期'!G53)</f>
        <v>0</v>
      </c>
      <c r="H55" s="377">
        <f>SUM('費用収益表_業務長期'!H53,'費用収益表_業務短期'!H53)</f>
        <v>0</v>
      </c>
      <c r="I55" s="377">
        <f>SUM('費用収益表_業務長期'!I53,'費用収益表_業務短期'!I53)</f>
        <v>0</v>
      </c>
      <c r="J55" s="377">
        <f>SUM('費用収益表_業務長期'!J53,'費用収益表_業務短期'!J53)</f>
        <v>0</v>
      </c>
      <c r="K55" s="377">
        <f>SUM('費用収益表_業務長期'!K53,'費用収益表_業務短期'!K53)</f>
        <v>0</v>
      </c>
      <c r="L55" s="377">
        <f>SUM('費用収益表_業務長期'!L53,'費用収益表_業務短期'!L53)</f>
        <v>0</v>
      </c>
      <c r="M55" s="377">
        <f>SUM('費用収益表_業務長期'!M53,'費用収益表_業務短期'!M53)</f>
        <v>0</v>
      </c>
      <c r="N55" s="377">
        <f>SUM('費用収益表_業務長期'!N53,'費用収益表_業務短期'!N53)</f>
        <v>0</v>
      </c>
      <c r="O55" s="377">
        <f>SUM('費用収益表_業務長期'!O53,'費用収益表_業務短期'!O53)</f>
        <v>0</v>
      </c>
      <c r="P55" s="343" t="n"/>
      <c r="Q55" s="377">
        <f>SUM(C55:O55)</f>
        <v>0</v>
      </c>
      <c r="R55" s="393" t="n"/>
      <c r="S55" s="393" t="n"/>
      <c r="T55" s="393" t="n"/>
      <c r="U55" s="373" t="n"/>
      <c r="V55" s="378">
        <f>SUMIF($C$2:$N$2,"&lt;="&amp;締月,C55:N55)</f>
        <v>0</v>
      </c>
      <c r="W55" s="373" t="n"/>
    </row>
    <row r="56" ht="18" customHeight="1" s="322">
      <c r="A56" s="343" t="n"/>
      <c r="B56" s="376" t="inlineStr">
        <is>
          <t>賞与</t>
        </is>
      </c>
      <c r="C56" s="377">
        <f>SUM('費用収益表_業務長期'!C54,'費用収益表_業務短期'!C54)</f>
        <v>0</v>
      </c>
      <c r="D56" s="377">
        <f>SUM('費用収益表_業務長期'!D54,'費用収益表_業務短期'!D54)</f>
        <v>0</v>
      </c>
      <c r="E56" s="377">
        <f>SUM('費用収益表_業務長期'!E54,'費用収益表_業務短期'!E54)</f>
        <v>0</v>
      </c>
      <c r="F56" s="377">
        <f>SUM('費用収益表_業務長期'!F54,'費用収益表_業務短期'!F54)</f>
        <v>0</v>
      </c>
      <c r="G56" s="377">
        <f>SUM('費用収益表_業務長期'!G54,'費用収益表_業務短期'!G54)</f>
        <v>0</v>
      </c>
      <c r="H56" s="377">
        <f>SUM('費用収益表_業務長期'!H54,'費用収益表_業務短期'!H54)</f>
        <v>0</v>
      </c>
      <c r="I56" s="377">
        <f>SUM('費用収益表_業務長期'!I54,'費用収益表_業務短期'!I54)</f>
        <v>0</v>
      </c>
      <c r="J56" s="377">
        <f>SUM('費用収益表_業務長期'!J54,'費用収益表_業務短期'!J54)</f>
        <v>0</v>
      </c>
      <c r="K56" s="377">
        <f>SUM('費用収益表_業務長期'!K54,'費用収益表_業務短期'!K54)</f>
        <v>0</v>
      </c>
      <c r="L56" s="377">
        <f>SUM('費用収益表_業務長期'!L54,'費用収益表_業務短期'!L54)</f>
        <v>0</v>
      </c>
      <c r="M56" s="377">
        <f>SUM('費用収益表_業務長期'!M54,'費用収益表_業務短期'!M54)</f>
        <v>0</v>
      </c>
      <c r="N56" s="377">
        <f>SUM('費用収益表_業務長期'!N54,'費用収益表_業務短期'!N54)</f>
        <v>0</v>
      </c>
      <c r="O56" s="377">
        <f>SUM('費用収益表_業務長期'!O54,'費用収益表_業務短期'!O54)</f>
        <v>0</v>
      </c>
      <c r="P56" s="343" t="n"/>
      <c r="Q56" s="377">
        <f>SUM(C56:O56)</f>
        <v>0</v>
      </c>
      <c r="R56" s="393" t="n"/>
      <c r="S56" s="393" t="n"/>
      <c r="T56" s="393" t="n"/>
      <c r="U56" s="373" t="n"/>
      <c r="V56" s="378">
        <f>SUMIF($C$2:$N$2,"&lt;="&amp;締月,C56:N56)</f>
        <v>0</v>
      </c>
      <c r="W56" s="373" t="n"/>
    </row>
    <row r="57" ht="18" customFormat="1" customHeight="1" s="395">
      <c r="A57" s="379" t="n"/>
      <c r="B57" s="380" t="inlineStr">
        <is>
          <t>手当計</t>
        </is>
      </c>
      <c r="C57" s="381">
        <f>SUM(C55:C56)</f>
        <v>0</v>
      </c>
      <c r="D57" s="381">
        <f>SUM(D55:D56)</f>
        <v>0</v>
      </c>
      <c r="E57" s="381">
        <f>SUM(E55:E56)</f>
        <v>0</v>
      </c>
      <c r="F57" s="381">
        <f>SUM(F55:F56)</f>
        <v>0</v>
      </c>
      <c r="G57" s="381">
        <f>SUM(G55:G56)</f>
        <v>0</v>
      </c>
      <c r="H57" s="381">
        <f>SUM(H55:H56)</f>
        <v>0</v>
      </c>
      <c r="I57" s="381">
        <f>SUM(I55:I56)</f>
        <v>0</v>
      </c>
      <c r="J57" s="381">
        <f>SUM(J55:J56)</f>
        <v>0</v>
      </c>
      <c r="K57" s="381">
        <f>SUM(K55:K56)</f>
        <v>0</v>
      </c>
      <c r="L57" s="381">
        <f>SUM(L55:L56)</f>
        <v>0</v>
      </c>
      <c r="M57" s="381">
        <f>SUM(M55:M56)</f>
        <v>0</v>
      </c>
      <c r="N57" s="381">
        <f>SUM(N55:N56)</f>
        <v>0</v>
      </c>
      <c r="O57" s="381">
        <f>SUM(O55:O56)</f>
        <v>0</v>
      </c>
      <c r="P57" s="379" t="n"/>
      <c r="Q57" s="381">
        <f>SUM(C57:O57)</f>
        <v>0</v>
      </c>
      <c r="R57" s="379" t="n"/>
      <c r="S57" s="379" t="n"/>
      <c r="T57" s="379" t="n"/>
      <c r="U57" s="373" t="n"/>
      <c r="V57" s="382">
        <f>SUMIF($C$2:$N$2,"&lt;="&amp;締月,C57:N57)</f>
        <v>0</v>
      </c>
      <c r="W57" s="373" t="n"/>
    </row>
    <row r="58" ht="18" customHeight="1" s="322">
      <c r="A58" s="343" t="n"/>
      <c r="B58" s="376" t="inlineStr">
        <is>
          <t>嘱託報酬</t>
        </is>
      </c>
      <c r="C58" s="377">
        <f>SUM('費用収益表_業務長期'!C56,'費用収益表_業務短期'!C56)</f>
        <v>698140</v>
      </c>
      <c r="D58" s="377">
        <f>SUM('費用収益表_業務長期'!D56,'費用収益表_業務短期'!D56)</f>
        <v>629236</v>
      </c>
      <c r="E58" s="377">
        <f>SUM('費用収益表_業務長期'!E56,'費用収益表_業務短期'!E56)</f>
        <v>631304</v>
      </c>
      <c r="F58" s="377">
        <f>SUM('費用収益表_業務長期'!F56,'費用収益表_業務短期'!F56)</f>
        <v>637508</v>
      </c>
      <c r="G58" s="377">
        <f>SUM('費用収益表_業務長期'!G56,'費用収益表_業務短期'!G56)</f>
        <v>625100</v>
      </c>
      <c r="H58" s="377">
        <f>SUM('費用収益表_業務長期'!H56,'費用収益表_業務短期'!H56)</f>
        <v>639576</v>
      </c>
      <c r="I58" s="377">
        <f>SUM('費用収益表_業務長期'!I56,'費用収益表_業務短期'!I56)</f>
        <v>764882</v>
      </c>
      <c r="J58" s="377">
        <f>SUM('費用収益表_業務長期'!J56,'費用収益表_業務短期'!J56)</f>
        <v>609611</v>
      </c>
      <c r="K58" s="377">
        <f>SUM('費用収益表_業務長期'!K56,'費用収益表_業務短期'!K56)</f>
        <v>857756</v>
      </c>
      <c r="L58" s="377">
        <f>SUM('費用収益表_業務長期'!L56,'費用収益表_業務短期'!L56)</f>
        <v>623876</v>
      </c>
      <c r="M58" s="377">
        <f>SUM('費用収益表_業務長期'!M56,'費用収益表_業務短期'!M56)</f>
        <v>627946</v>
      </c>
      <c r="N58" s="377">
        <f>SUM('費用収益表_業務長期'!N56,'費用収益表_業務短期'!N56)</f>
        <v>699347</v>
      </c>
      <c r="O58" s="377">
        <f>SUM('費用収益表_業務長期'!O56,'費用収益表_業務短期'!O56)</f>
        <v>42640</v>
      </c>
      <c r="P58" s="343" t="n"/>
      <c r="Q58" s="377">
        <f>SUM(C58:O58)</f>
        <v>8086922</v>
      </c>
      <c r="R58" s="393" t="n"/>
      <c r="S58" s="393" t="n"/>
      <c r="T58" s="393" t="n"/>
      <c r="U58" s="373" t="n"/>
      <c r="V58" s="378">
        <f>SUMIF($C$2:$N$2,"&lt;="&amp;締月,C58:N58)</f>
        <v>3860864</v>
      </c>
      <c r="W58" s="373" t="n"/>
    </row>
    <row r="59" ht="18" customHeight="1" s="322">
      <c r="A59" s="343" t="n"/>
      <c r="B59" s="376" t="inlineStr">
        <is>
          <t>増額報酬</t>
        </is>
      </c>
      <c r="C59" s="377">
        <f>SUM('費用収益表_業務長期'!C57,'費用収益表_業務短期'!C57)</f>
        <v>0</v>
      </c>
      <c r="D59" s="377">
        <f>SUM('費用収益表_業務長期'!D57,'費用収益表_業務短期'!D57)</f>
        <v>0</v>
      </c>
      <c r="E59" s="377">
        <f>SUM('費用収益表_業務長期'!E57,'費用収益表_業務短期'!E57)</f>
        <v>1315485</v>
      </c>
      <c r="F59" s="377">
        <f>SUM('費用収益表_業務長期'!F57,'費用収益表_業務短期'!F57)</f>
        <v>0</v>
      </c>
      <c r="G59" s="377">
        <f>SUM('費用収益表_業務長期'!G57,'費用収益表_業務短期'!G57)</f>
        <v>0</v>
      </c>
      <c r="H59" s="377">
        <f>SUM('費用収益表_業務長期'!H57,'費用収益表_業務短期'!H57)</f>
        <v>0</v>
      </c>
      <c r="I59" s="377">
        <f>SUM('費用収益表_業務長期'!I57,'費用収益表_業務短期'!I57)</f>
        <v>0</v>
      </c>
      <c r="J59" s="377">
        <f>SUM('費用収益表_業務長期'!J57,'費用収益表_業務短期'!J57)</f>
        <v>0</v>
      </c>
      <c r="K59" s="377">
        <f>SUM('費用収益表_業務長期'!K57,'費用収益表_業務短期'!K57)</f>
        <v>1054637</v>
      </c>
      <c r="L59" s="377">
        <f>SUM('費用収益表_業務長期'!L57,'費用収益表_業務短期'!L57)</f>
        <v>0</v>
      </c>
      <c r="M59" s="377">
        <f>SUM('費用収益表_業務長期'!M57,'費用収益表_業務短期'!M57)</f>
        <v>0</v>
      </c>
      <c r="N59" s="377">
        <f>SUM('費用収益表_業務長期'!N57,'費用収益表_業務短期'!N57)</f>
        <v>0</v>
      </c>
      <c r="O59" s="377">
        <f>SUM('費用収益表_業務長期'!O57,'費用収益表_業務短期'!O57)</f>
        <v>0</v>
      </c>
      <c r="P59" s="343" t="n"/>
      <c r="Q59" s="377">
        <f>SUM(C59:O59)</f>
        <v>2370122</v>
      </c>
      <c r="R59" s="393" t="n"/>
      <c r="S59" s="393" t="n"/>
      <c r="T59" s="393" t="n"/>
      <c r="U59" s="373" t="n"/>
      <c r="V59" s="378">
        <f>SUMIF($C$2:$N$2,"&lt;="&amp;締月,C59:N59)</f>
        <v>1315485</v>
      </c>
      <c r="W59" s="373" t="n"/>
    </row>
    <row r="60" ht="18" customFormat="1" customHeight="1" s="395">
      <c r="A60" s="379" t="n"/>
      <c r="B60" s="380" t="inlineStr">
        <is>
          <t>非常勤手当計</t>
        </is>
      </c>
      <c r="C60" s="381">
        <f>SUM(C58:C59)</f>
        <v>698140</v>
      </c>
      <c r="D60" s="381">
        <f>SUM(D58:D59)</f>
        <v>629236</v>
      </c>
      <c r="E60" s="381">
        <f>SUM(E58:E59)</f>
        <v>1946789</v>
      </c>
      <c r="F60" s="381">
        <f>SUM(F58:F59)</f>
        <v>637508</v>
      </c>
      <c r="G60" s="381">
        <f>SUM(G58:G59)</f>
        <v>625100</v>
      </c>
      <c r="H60" s="381">
        <f>SUM(H58:H59)</f>
        <v>639576</v>
      </c>
      <c r="I60" s="381">
        <f>SUM(I58:I59)</f>
        <v>764882</v>
      </c>
      <c r="J60" s="381">
        <f>SUM(J58:J59)</f>
        <v>609611</v>
      </c>
      <c r="K60" s="381">
        <f>SUM(K58:K59)</f>
        <v>1912393</v>
      </c>
      <c r="L60" s="381">
        <f>SUM(L58:L59)</f>
        <v>623876</v>
      </c>
      <c r="M60" s="381">
        <f>SUM(M58:M59)</f>
        <v>627946</v>
      </c>
      <c r="N60" s="381">
        <f>SUM(N58:N59)</f>
        <v>699347</v>
      </c>
      <c r="O60" s="381">
        <f>SUM(O58:O59)</f>
        <v>42640</v>
      </c>
      <c r="P60" s="379" t="n"/>
      <c r="Q60" s="381">
        <f>SUM(C60:O60)</f>
        <v>10457044</v>
      </c>
      <c r="R60" s="396" t="n"/>
      <c r="S60" s="396" t="n"/>
      <c r="T60" s="379" t="n"/>
      <c r="U60" s="373" t="n"/>
      <c r="V60" s="382">
        <f>SUMIF($C$2:$N$2,"&lt;="&amp;締月,C60:N60)</f>
        <v>5176349</v>
      </c>
      <c r="W60" s="373" t="n"/>
    </row>
    <row r="61">
      <c r="A61" s="373" t="n"/>
      <c r="B61" s="373" t="n"/>
      <c r="C61" s="373" t="n"/>
      <c r="D61" s="373" t="n"/>
      <c r="E61" s="373" t="n"/>
      <c r="F61" s="373" t="n"/>
      <c r="G61" s="373" t="n"/>
      <c r="H61" s="373" t="n"/>
      <c r="I61" s="373" t="n"/>
      <c r="J61" s="373" t="n"/>
      <c r="K61" s="373" t="n"/>
      <c r="L61" s="373" t="n"/>
      <c r="M61" s="373" t="n"/>
      <c r="N61" s="373" t="n"/>
      <c r="O61" s="373" t="n"/>
      <c r="P61" s="373" t="n"/>
      <c r="Q61" s="373" t="n"/>
      <c r="R61" s="373" t="n"/>
      <c r="S61" s="373" t="n"/>
      <c r="T61" s="373" t="n"/>
      <c r="U61" s="373" t="n"/>
      <c r="V61" s="373" t="n"/>
      <c r="W61" s="373" t="n"/>
    </row>
    <row r="62" ht="18" customHeight="1" s="322">
      <c r="A62" s="379" t="n"/>
      <c r="B62" s="380" t="inlineStr">
        <is>
          <t>合計</t>
        </is>
      </c>
      <c r="C62" s="381">
        <f>C54+C57+C60</f>
        <v>698140</v>
      </c>
      <c r="D62" s="381">
        <f>D54+D57+D60</f>
        <v>1055116</v>
      </c>
      <c r="E62" s="381">
        <f>E54+E57+E60</f>
        <v>2311829</v>
      </c>
      <c r="F62" s="381">
        <f>F54+F57+F60</f>
        <v>1083668</v>
      </c>
      <c r="G62" s="381">
        <f>G54+G57+G60</f>
        <v>1070820</v>
      </c>
      <c r="H62" s="381">
        <f>H54+H57+H60</f>
        <v>1024056</v>
      </c>
      <c r="I62" s="381">
        <f>I54+I57+I60</f>
        <v>1154042</v>
      </c>
      <c r="J62" s="381">
        <f>J54+J57+J60</f>
        <v>1026191</v>
      </c>
      <c r="K62" s="381">
        <f>K54+K57+K60</f>
        <v>2253313</v>
      </c>
      <c r="L62" s="381">
        <f>L54+L57+L60</f>
        <v>1001396</v>
      </c>
      <c r="M62" s="381">
        <f>M54+M57+M60</f>
        <v>987066</v>
      </c>
      <c r="N62" s="381">
        <f>N54+N57+N60</f>
        <v>1038687</v>
      </c>
      <c r="O62" s="381">
        <f>O54+O57+O60</f>
        <v>382208</v>
      </c>
      <c r="P62" s="379" t="n"/>
      <c r="Q62" s="381">
        <f>SUM(C62:O62)</f>
        <v>15086532</v>
      </c>
      <c r="R62" s="397" t="n"/>
      <c r="S62" s="397" t="n"/>
      <c r="T62" s="397" t="n"/>
      <c r="U62" s="373" t="n"/>
      <c r="V62" s="382">
        <f>SUMIF($C$2:$N$2,"&lt;="&amp;締月,C62:N62)</f>
        <v>7243629</v>
      </c>
      <c r="W62" s="373" t="n"/>
    </row>
  </sheetData>
  <mergeCells count="32">
    <mergeCell ref="A24:B24"/>
    <mergeCell ref="A5:A9"/>
    <mergeCell ref="A12:A18"/>
    <mergeCell ref="A11:B11"/>
    <mergeCell ref="A49:B49"/>
    <mergeCell ref="A45:B45"/>
    <mergeCell ref="P1:W1"/>
    <mergeCell ref="Q27:Q31"/>
    <mergeCell ref="A25:B25"/>
    <mergeCell ref="A41:B41"/>
    <mergeCell ref="A46:B46"/>
    <mergeCell ref="A3:B3"/>
    <mergeCell ref="T27:T31"/>
    <mergeCell ref="A21:B21"/>
    <mergeCell ref="A2:B2"/>
    <mergeCell ref="A47:B47"/>
    <mergeCell ref="A42:B42"/>
    <mergeCell ref="A23:B23"/>
    <mergeCell ref="S27:S31"/>
    <mergeCell ref="A22:B22"/>
    <mergeCell ref="A35:B35"/>
    <mergeCell ref="A4:B4"/>
    <mergeCell ref="A20:B20"/>
    <mergeCell ref="A26:A33"/>
    <mergeCell ref="A43:B43"/>
    <mergeCell ref="A19:B19"/>
    <mergeCell ref="A10:B10"/>
    <mergeCell ref="A1:O1"/>
    <mergeCell ref="A44:B44"/>
    <mergeCell ref="A40:B40"/>
    <mergeCell ref="R27:R31"/>
    <mergeCell ref="A39:B39"/>
  </mergeCells>
  <conditionalFormatting sqref="C4:N62">
    <cfRule type="expression" priority="1" dxfId="11">
      <formula>AND(ISNUMBER(C4),C$2&lt;&gt;"",C$2&gt;締月)</formula>
    </cfRule>
  </conditionalFormatting>
  <conditionalFormatting sqref="O4:O62">
    <cfRule type="expression" priority="2" dxfId="7">
      <formula>AND(ISNUMBER(O4),締月&lt;13)</formula>
    </cfRule>
  </conditionalFormatting>
  <printOptions horizontalCentered="0" verticalCentered="0" headings="0" gridLines="0" gridLinesSet="1"/>
  <pageMargins left="0.720138888888889" right="0.196527777777778" top="0.472222222222222" bottom="0.275694444444444" header="0.196527777777778" footer="0.511811023622047"/>
  <pageSetup orientation="landscape" paperSize="8" scale="100" fitToHeight="0" fitToWidth="1" pageOrder="downThenOver" blackAndWhite="0" draft="0" cellComments="atEnd"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tabColor rgb="001F3864"/>
    <outlinePr summaryBelow="1" summaryRight="1"/>
    <pageSetUpPr fitToPage="1"/>
  </sheetPr>
  <dimension ref="A1:AM62"/>
  <sheetViews>
    <sheetView showFormulas="0" showGridLines="0" showRowColHeaders="1" showZeros="1" rightToLeft="0" tabSelected="0" showOutlineSymbols="1" defaultGridColor="1" view="pageBreakPreview" topLeftCell="A1" colorId="64" zoomScale="90" zoomScaleNormal="100" zoomScalePageLayoutView="90" workbookViewId="0">
      <pane xSplit="2" ySplit="3" topLeftCell="C4" activePane="bottomRight" state="frozen"/>
      <selection pane="topRight"/>
      <selection pane="bottomLeft"/>
      <selection pane="bottomRight" activeCell="A1" activeCellId="0" sqref="A1"/>
      <selection pane="topRight" activeCell="H10" activeCellId="0" sqref="H10"/>
    </sheetView>
  </sheetViews>
  <sheetFormatPr baseColWidth="8" defaultColWidth="8.8671875" defaultRowHeight="18" zeroHeight="0" outlineLevelRow="0"/>
  <cols>
    <col width="14" customWidth="1" style="367" min="1" max="1"/>
    <col width="20" customWidth="1" style="367" min="2" max="2"/>
    <col width="12.5" customWidth="1" style="367" min="3" max="4"/>
    <col width="12.5" customWidth="1" style="322" min="4" max="4"/>
    <col width="12.5" customWidth="1" style="367" min="5" max="5"/>
    <col width="12.5" customWidth="1" style="367" min="6" max="14"/>
    <col width="12.5" customWidth="1" style="322" min="7" max="7"/>
    <col width="12.5" customWidth="1" style="322" min="8" max="8"/>
    <col width="12.5" customWidth="1" style="322" min="9" max="9"/>
    <col width="12.5" customWidth="1" style="322" min="10" max="10"/>
    <col width="12.5" customWidth="1" style="322" min="11" max="11"/>
    <col width="12.5" customWidth="1" style="322" min="12" max="12"/>
    <col width="12.5" customWidth="1" style="322" min="13" max="13"/>
    <col width="12.5" customWidth="1" style="322" min="14" max="14"/>
    <col width="12.5" customWidth="1" style="367" min="15" max="15"/>
    <col width="13.5" customWidth="1" style="367" min="16" max="16"/>
    <col width="13.5" customWidth="1" style="367" min="17" max="20"/>
    <col width="13.5" customWidth="1" style="322" min="18" max="18"/>
    <col width="13.5" customWidth="1" style="322" min="19" max="19"/>
    <col width="13.5" customWidth="1" style="322" min="20" max="20"/>
    <col width="12" customWidth="1" style="367" min="21" max="21"/>
    <col width="13.5" customWidth="1" style="367" min="22" max="22"/>
    <col width="13.5" customWidth="1" style="367" min="23" max="257"/>
    <col hidden="1" width="13" customWidth="1" style="322" min="24" max="24"/>
    <col hidden="1" outlineLevel="1" width="11" customWidth="1" style="322" min="27" max="39"/>
    <col width="11" customWidth="1" style="322" min="28" max="28"/>
    <col width="11" customWidth="1" style="322" min="29" max="29"/>
    <col width="11" customWidth="1" style="322" min="30" max="30"/>
    <col width="11" customWidth="1" style="322" min="31" max="31"/>
    <col width="11" customWidth="1" style="322" min="32" max="32"/>
    <col width="11" customWidth="1" style="322" min="33" max="33"/>
    <col width="11" customWidth="1" style="322" min="34" max="34"/>
    <col width="11" customWidth="1" style="322" min="35" max="35"/>
    <col width="11" customWidth="1" style="322" min="36" max="36"/>
    <col width="11" customWidth="1" style="322" min="37" max="37"/>
    <col width="11" customWidth="1" style="322" min="38" max="38"/>
    <col width="11" customWidth="1" style="322" min="39" max="39"/>
  </cols>
  <sheetData>
    <row r="1" ht="26" customHeight="1" s="322">
      <c r="A1" s="323" t="str">
        <f>"令和"&amp;年度&amp;"年度　業務経理（短期給付事務分）　費用収益表"</f>
        <v>令和8年度　業務経理（短期給付事務分）　費用収益表</v>
      </c>
      <c r="B1" s="324" t="n"/>
      <c r="C1" s="324" t="n"/>
      <c r="D1" s="324" t="n"/>
      <c r="E1" s="324" t="n"/>
      <c r="F1" s="324" t="n"/>
      <c r="G1" s="324" t="n"/>
      <c r="H1" s="324" t="n"/>
      <c r="I1" s="324" t="n"/>
      <c r="J1" s="324" t="n"/>
      <c r="K1" s="324" t="n"/>
      <c r="L1" s="324" t="n"/>
      <c r="M1" s="324" t="n"/>
      <c r="N1" s="324" t="n"/>
      <c r="O1" s="324" t="n"/>
      <c r="P1" s="368" t="inlineStr">
        <is>
          <t>緑字＝未締め月（前年実績・見込）／黒字＝締め済み／青字＝手入力セル</t>
        </is>
      </c>
      <c r="Q1" s="324" t="n"/>
      <c r="R1" s="324" t="n"/>
      <c r="S1" s="324" t="n"/>
      <c r="T1" s="324" t="n"/>
      <c r="U1" s="324" t="n"/>
      <c r="V1" s="324" t="n"/>
      <c r="W1" s="324" t="n"/>
    </row>
    <row r="2" ht="18" customHeight="1" s="322">
      <c r="A2" s="369" t="inlineStr">
        <is>
          <t>費用</t>
        </is>
      </c>
      <c r="B2" s="339" t="n"/>
      <c r="C2" s="370" t="n">
        <v>1</v>
      </c>
      <c r="D2" s="370" t="n">
        <v>2</v>
      </c>
      <c r="E2" s="370" t="n">
        <v>3</v>
      </c>
      <c r="F2" s="370" t="n">
        <v>4</v>
      </c>
      <c r="G2" s="370" t="n">
        <v>5</v>
      </c>
      <c r="H2" s="370" t="n">
        <v>6</v>
      </c>
      <c r="I2" s="370" t="n">
        <v>7</v>
      </c>
      <c r="J2" s="370" t="n">
        <v>8</v>
      </c>
      <c r="K2" s="370" t="n">
        <v>9</v>
      </c>
      <c r="L2" s="370" t="n">
        <v>10</v>
      </c>
      <c r="M2" s="370" t="n">
        <v>11</v>
      </c>
      <c r="N2" s="370" t="n">
        <v>12</v>
      </c>
      <c r="O2" s="370" t="n">
        <v>13</v>
      </c>
      <c r="P2" s="339" t="n"/>
      <c r="Q2" s="339" t="n"/>
      <c r="R2" s="339" t="n"/>
      <c r="S2" s="339" t="n"/>
      <c r="T2" s="339" t="n"/>
      <c r="U2" s="339" t="n"/>
      <c r="V2" s="339" t="n"/>
      <c r="W2" s="339" t="n"/>
      <c r="AA2" s="371" t="inlineStr">
        <is>
          <t>▼ 参考値（旧表の値：未締め月に表示される前年実績・見込）</t>
        </is>
      </c>
    </row>
    <row r="3" ht="22" customHeight="1" s="322">
      <c r="A3" s="372" t="inlineStr">
        <is>
          <t>支払月</t>
        </is>
      </c>
      <c r="B3" s="327" t="n"/>
      <c r="C3" s="372" t="inlineStr">
        <is>
          <t>４月支払</t>
        </is>
      </c>
      <c r="D3" s="372" t="inlineStr">
        <is>
          <t>５月</t>
        </is>
      </c>
      <c r="E3" s="372" t="inlineStr">
        <is>
          <t>６月</t>
        </is>
      </c>
      <c r="F3" s="372" t="inlineStr">
        <is>
          <t>７月</t>
        </is>
      </c>
      <c r="G3" s="372" t="inlineStr">
        <is>
          <t>８月</t>
        </is>
      </c>
      <c r="H3" s="372" t="inlineStr">
        <is>
          <t>９月</t>
        </is>
      </c>
      <c r="I3" s="372" t="inlineStr">
        <is>
          <t>１０月</t>
        </is>
      </c>
      <c r="J3" s="372" t="inlineStr">
        <is>
          <t>１１月</t>
        </is>
      </c>
      <c r="K3" s="372" t="inlineStr">
        <is>
          <t>１２月</t>
        </is>
      </c>
      <c r="L3" s="372" t="inlineStr">
        <is>
          <t>１月</t>
        </is>
      </c>
      <c r="M3" s="372" t="inlineStr">
        <is>
          <t>２月</t>
        </is>
      </c>
      <c r="N3" s="372" t="inlineStr">
        <is>
          <t>３月</t>
        </is>
      </c>
      <c r="O3" s="372" t="inlineStr">
        <is>
          <t>４月(未払）</t>
        </is>
      </c>
      <c r="P3" s="372" t="inlineStr">
        <is>
          <t>決算額</t>
        </is>
      </c>
      <c r="Q3" s="372" t="inlineStr">
        <is>
          <t>予算額</t>
        </is>
      </c>
      <c r="R3" s="372" t="inlineStr">
        <is>
          <t>流用振替額</t>
        </is>
      </c>
      <c r="S3" s="372" t="inlineStr">
        <is>
          <t>予算現額</t>
        </is>
      </c>
      <c r="T3" s="372" t="inlineStr">
        <is>
          <t>不用額</t>
        </is>
      </c>
      <c r="U3" s="373" t="n"/>
      <c r="V3" s="327" t="inlineStr">
        <is>
          <t>締め月まで
累計</t>
        </is>
      </c>
      <c r="W3" s="327" t="inlineStr">
        <is>
          <t>予算残額
（現在）</t>
        </is>
      </c>
      <c r="X3" s="374" t="inlineStr">
        <is>
          <t>台帳連動</t>
        </is>
      </c>
      <c r="AA3" s="375" t="inlineStr">
        <is>
          <t>4月</t>
        </is>
      </c>
      <c r="AB3" s="375" t="inlineStr">
        <is>
          <t>5月</t>
        </is>
      </c>
      <c r="AC3" s="375" t="inlineStr">
        <is>
          <t>6月</t>
        </is>
      </c>
      <c r="AD3" s="375" t="inlineStr">
        <is>
          <t>7月</t>
        </is>
      </c>
      <c r="AE3" s="375" t="inlineStr">
        <is>
          <t>8月</t>
        </is>
      </c>
      <c r="AF3" s="375" t="inlineStr">
        <is>
          <t>9月</t>
        </is>
      </c>
      <c r="AG3" s="375" t="inlineStr">
        <is>
          <t>10月</t>
        </is>
      </c>
      <c r="AH3" s="375" t="inlineStr">
        <is>
          <t>11月</t>
        </is>
      </c>
      <c r="AI3" s="375" t="inlineStr">
        <is>
          <t>12月</t>
        </is>
      </c>
      <c r="AJ3" s="375" t="inlineStr">
        <is>
          <t>1月</t>
        </is>
      </c>
      <c r="AK3" s="375" t="inlineStr">
        <is>
          <t>2月</t>
        </is>
      </c>
      <c r="AL3" s="375" t="inlineStr">
        <is>
          <t>3月</t>
        </is>
      </c>
      <c r="AM3" s="375" t="inlineStr">
        <is>
          <t>4月(未払)</t>
        </is>
      </c>
    </row>
    <row r="4" ht="18" customHeight="1" s="322">
      <c r="A4" s="376" t="inlineStr">
        <is>
          <t>役員報酬</t>
        </is>
      </c>
      <c r="B4" s="343" t="n"/>
      <c r="C4" s="377">
        <f>IF(C$2&lt;=締月,SUMIFS(入力_業務!$J$5:$J$1604,入力_業務!$O$5:$O$1604,"役員報酬",入力_業務!$P$5:$P$1604,C$2,入力_業務!$I$5:$I$1604,"確認済"),AA4)</f>
        <v>0</v>
      </c>
      <c r="D4" s="377">
        <f>IF(D$2&lt;=締月,SUMIFS(入力_業務!$J$5:$J$1604,入力_業務!$O$5:$O$1604,"役員報酬",入力_業務!$P$5:$P$1604,D$2,入力_業務!$I$5:$I$1604,"確認済"),AB4)</f>
        <v>0</v>
      </c>
      <c r="E4" s="377">
        <f>IF(E$2&lt;=締月,SUMIFS(入力_業務!$J$5:$J$1604,入力_業務!$O$5:$O$1604,"役員報酬",入力_業務!$P$5:$P$1604,E$2,入力_業務!$I$5:$I$1604,"確認済"),AC4)</f>
        <v>10522</v>
      </c>
      <c r="F4" s="377">
        <f>IF(F$2&lt;=締月,SUMIFS(入力_業務!$J$5:$J$1604,入力_業務!$O$5:$O$1604,"役員報酬",入力_業務!$P$5:$P$1604,F$2,入力_業務!$I$5:$I$1604,"確認済"),AD4)</f>
        <v>0</v>
      </c>
      <c r="G4" s="377">
        <f>IF(G$2&lt;=締月,SUMIFS(入力_業務!$J$5:$J$1604,入力_業務!$O$5:$O$1604,"役員報酬",入力_業務!$P$5:$P$1604,G$2,入力_業務!$I$5:$I$1604,"確認済"),AE4)</f>
        <v>0</v>
      </c>
      <c r="H4" s="377">
        <f>IF(H$2&lt;=締月,SUMIFS(入力_業務!$J$5:$J$1604,入力_業務!$O$5:$O$1604,"役員報酬",入力_業務!$P$5:$P$1604,H$2,入力_業務!$I$5:$I$1604,"確認済"),AF4)</f>
        <v>0</v>
      </c>
      <c r="I4" s="377">
        <f>IF(I$2&lt;=締月,SUMIFS(入力_業務!$J$5:$J$1604,入力_業務!$O$5:$O$1604,"役員報酬",入力_業務!$P$5:$P$1604,I$2,入力_業務!$I$5:$I$1604,"確認済"),AG4)</f>
        <v>0</v>
      </c>
      <c r="J4" s="377">
        <f>IF(J$2&lt;=締月,SUMIFS(入力_業務!$J$5:$J$1604,入力_業務!$O$5:$O$1604,"役員報酬",入力_業務!$P$5:$P$1604,J$2,入力_業務!$I$5:$I$1604,"確認済"),AH4)</f>
        <v>0</v>
      </c>
      <c r="K4" s="377">
        <f>IF(K$2&lt;=締月,SUMIFS(入力_業務!$J$5:$J$1604,入力_業務!$O$5:$O$1604,"役員報酬",入力_業務!$P$5:$P$1604,K$2,入力_業務!$I$5:$I$1604,"確認済"),AI4)</f>
        <v>0</v>
      </c>
      <c r="L4" s="377">
        <f>IF(L$2&lt;=締月,SUMIFS(入力_業務!$J$5:$J$1604,入力_業務!$O$5:$O$1604,"役員報酬",入力_業務!$P$5:$P$1604,L$2,入力_業務!$I$5:$I$1604,"確認済"),AJ4)</f>
        <v>0</v>
      </c>
      <c r="M4" s="377">
        <f>IF(M$2&lt;=締月,SUMIFS(入力_業務!$J$5:$J$1604,入力_業務!$O$5:$O$1604,"役員報酬",入力_業務!$P$5:$P$1604,M$2,入力_業務!$I$5:$I$1604,"確認済"),AK4)</f>
        <v>0</v>
      </c>
      <c r="N4" s="377">
        <f>IF(N$2&lt;=締月,SUMIFS(入力_業務!$J$5:$J$1604,入力_業務!$O$5:$O$1604,"役員報酬",入力_業務!$P$5:$P$1604,N$2,入力_業務!$I$5:$I$1604,"確認済"),AL4)</f>
        <v>5261</v>
      </c>
      <c r="O4" s="377">
        <f>IF(O$2&lt;=締月,SUMIFS(入力_業務!$J$5:$J$1604,入力_業務!$O$5:$O$1604,"役員報酬",入力_業務!$P$5:$P$1604,O$2,入力_業務!$I$5:$I$1604,"確認済"),AM4)</f>
        <v>0</v>
      </c>
      <c r="P4" s="377">
        <f>SUM(C4:O4)</f>
        <v>15783</v>
      </c>
      <c r="Q4" s="398" t="n">
        <v>16000</v>
      </c>
      <c r="R4" s="393" t="n"/>
      <c r="S4" s="377">
        <f>SUM(Q4:R4)</f>
        <v>16000</v>
      </c>
      <c r="T4" s="377">
        <f>S4-P4</f>
        <v>217</v>
      </c>
      <c r="U4" s="373" t="n"/>
      <c r="V4" s="378">
        <f>SUMIF($C$2:$N$2,"&lt;="&amp;締月,C4:N4)</f>
        <v>10522</v>
      </c>
      <c r="W4" s="378">
        <f>S4-V4</f>
        <v>5478</v>
      </c>
      <c r="X4" s="399" t="n">
        <v>1</v>
      </c>
      <c r="AA4" s="400" t="n">
        <v>0</v>
      </c>
      <c r="AB4" s="400" t="n">
        <v>0</v>
      </c>
      <c r="AC4" s="400" t="n">
        <v>10522</v>
      </c>
      <c r="AD4" s="400" t="n">
        <v>0</v>
      </c>
      <c r="AE4" s="400" t="n">
        <v>0</v>
      </c>
      <c r="AF4" s="400" t="n">
        <v>0</v>
      </c>
      <c r="AG4" s="400" t="n">
        <v>0</v>
      </c>
      <c r="AH4" s="400" t="n">
        <v>0</v>
      </c>
      <c r="AI4" s="400" t="n">
        <v>0</v>
      </c>
      <c r="AJ4" s="400" t="n">
        <v>0</v>
      </c>
      <c r="AK4" s="400" t="n">
        <v>0</v>
      </c>
      <c r="AL4" s="400" t="n">
        <v>5261</v>
      </c>
      <c r="AM4" s="400" t="n">
        <v>0</v>
      </c>
    </row>
    <row r="5" ht="18" customHeight="1" s="322">
      <c r="A5" s="376" t="inlineStr">
        <is>
          <t>職員給与</t>
        </is>
      </c>
      <c r="B5" s="376" t="inlineStr">
        <is>
          <t>基本給</t>
        </is>
      </c>
      <c r="C5" s="377">
        <f>C52</f>
        <v>0</v>
      </c>
      <c r="D5" s="377">
        <f>D52</f>
        <v>0</v>
      </c>
      <c r="E5" s="377">
        <f>E52</f>
        <v>0</v>
      </c>
      <c r="F5" s="377">
        <f>F52</f>
        <v>0</v>
      </c>
      <c r="G5" s="377">
        <f>G52</f>
        <v>0</v>
      </c>
      <c r="H5" s="377">
        <f>H52</f>
        <v>0</v>
      </c>
      <c r="I5" s="377">
        <f>I52</f>
        <v>0</v>
      </c>
      <c r="J5" s="377">
        <f>J52</f>
        <v>0</v>
      </c>
      <c r="K5" s="377">
        <f>K52</f>
        <v>0</v>
      </c>
      <c r="L5" s="377">
        <f>L52</f>
        <v>0</v>
      </c>
      <c r="M5" s="377">
        <f>M52</f>
        <v>0</v>
      </c>
      <c r="N5" s="377">
        <f>N52</f>
        <v>0</v>
      </c>
      <c r="O5" s="377">
        <f>O52</f>
        <v>0</v>
      </c>
      <c r="P5" s="377">
        <f>SUM(C5:O5)</f>
        <v>0</v>
      </c>
      <c r="Q5" s="398" t="n">
        <v>0</v>
      </c>
      <c r="R5" s="393" t="n"/>
      <c r="S5" s="377">
        <f>SUM(Q5:R5)</f>
        <v>0</v>
      </c>
      <c r="T5" s="377">
        <f>S5-P5</f>
        <v>0</v>
      </c>
      <c r="U5" s="373" t="n"/>
      <c r="V5" s="378">
        <f>SUMIF($C$2:$N$2,"&lt;="&amp;締月,C5:N5)</f>
        <v>0</v>
      </c>
      <c r="W5" s="378">
        <f>S5-V5</f>
        <v>0</v>
      </c>
    </row>
    <row r="6" ht="18" customHeight="1" s="322">
      <c r="A6" s="343" t="n"/>
      <c r="B6" s="376" t="inlineStr">
        <is>
          <t>諸手当</t>
        </is>
      </c>
      <c r="C6" s="377">
        <f>C55</f>
        <v>0</v>
      </c>
      <c r="D6" s="377">
        <f>D55</f>
        <v>0</v>
      </c>
      <c r="E6" s="377">
        <f>E55</f>
        <v>0</v>
      </c>
      <c r="F6" s="377">
        <f>F55</f>
        <v>0</v>
      </c>
      <c r="G6" s="377">
        <f>G55</f>
        <v>0</v>
      </c>
      <c r="H6" s="377">
        <f>H55</f>
        <v>0</v>
      </c>
      <c r="I6" s="377">
        <f>I55</f>
        <v>0</v>
      </c>
      <c r="J6" s="377">
        <f>J55</f>
        <v>0</v>
      </c>
      <c r="K6" s="377">
        <f>K55</f>
        <v>0</v>
      </c>
      <c r="L6" s="377">
        <f>L55</f>
        <v>0</v>
      </c>
      <c r="M6" s="377">
        <f>M55</f>
        <v>0</v>
      </c>
      <c r="N6" s="377">
        <f>N55</f>
        <v>0</v>
      </c>
      <c r="O6" s="377">
        <f>O55</f>
        <v>0</v>
      </c>
      <c r="P6" s="377">
        <f>SUM(C6:O6)</f>
        <v>0</v>
      </c>
      <c r="Q6" s="398" t="n">
        <v>0</v>
      </c>
      <c r="R6" s="393" t="n"/>
      <c r="S6" s="377">
        <f>SUM(Q6:R6)</f>
        <v>0</v>
      </c>
      <c r="T6" s="377">
        <f>S6-P6</f>
        <v>0</v>
      </c>
      <c r="U6" s="373" t="n"/>
      <c r="V6" s="378">
        <f>SUMIF($C$2:$N$2,"&lt;="&amp;締月,C6:N6)</f>
        <v>0</v>
      </c>
      <c r="W6" s="378">
        <f>S6-V6</f>
        <v>0</v>
      </c>
    </row>
    <row r="7" ht="18" customHeight="1" s="322">
      <c r="A7" s="343" t="n"/>
      <c r="B7" s="376" t="inlineStr">
        <is>
          <t>非常勤職員手当</t>
        </is>
      </c>
      <c r="C7" s="377">
        <f>C58</f>
        <v>317340</v>
      </c>
      <c r="D7" s="377">
        <f>D58</f>
        <v>248436</v>
      </c>
      <c r="E7" s="377">
        <f>E58</f>
        <v>698299</v>
      </c>
      <c r="F7" s="377">
        <f>F58</f>
        <v>256708</v>
      </c>
      <c r="G7" s="377">
        <f>G58</f>
        <v>244300</v>
      </c>
      <c r="H7" s="377">
        <f>H58</f>
        <v>258776</v>
      </c>
      <c r="I7" s="377">
        <f>I58</f>
        <v>383109</v>
      </c>
      <c r="J7" s="377">
        <f>J58</f>
        <v>227838</v>
      </c>
      <c r="K7" s="377">
        <f>K58</f>
        <v>742061</v>
      </c>
      <c r="L7" s="377">
        <f>L58</f>
        <v>228265</v>
      </c>
      <c r="M7" s="377">
        <f>M58</f>
        <v>232335</v>
      </c>
      <c r="N7" s="377">
        <f>N58</f>
        <v>234370</v>
      </c>
      <c r="O7" s="377">
        <f>O58</f>
        <v>42640</v>
      </c>
      <c r="P7" s="377">
        <f>SUM(C7:O7)</f>
        <v>4114477</v>
      </c>
      <c r="Q7" s="398" t="n">
        <v>4381000</v>
      </c>
      <c r="R7" s="393" t="n"/>
      <c r="S7" s="377">
        <f>SUM(Q7:R7)</f>
        <v>4381000</v>
      </c>
      <c r="T7" s="377">
        <f>S7-P7</f>
        <v>266523</v>
      </c>
      <c r="U7" s="373" t="n"/>
      <c r="V7" s="378">
        <f>SUMIF($C$2:$N$2,"&lt;="&amp;締月,C7:N7)</f>
        <v>2023859</v>
      </c>
      <c r="W7" s="378">
        <f>S7-V7</f>
        <v>2357141</v>
      </c>
    </row>
    <row r="8" ht="18" customFormat="1" customHeight="1" s="367">
      <c r="A8" s="343" t="n"/>
      <c r="B8" s="376" t="inlineStr">
        <is>
          <t>退職給与金</t>
        </is>
      </c>
      <c r="C8" s="393" t="n"/>
      <c r="D8" s="393" t="n"/>
      <c r="E8" s="393" t="n"/>
      <c r="F8" s="393" t="n"/>
      <c r="G8" s="393" t="n"/>
      <c r="H8" s="393" t="n"/>
      <c r="I8" s="393" t="n"/>
      <c r="J8" s="393" t="n"/>
      <c r="K8" s="393" t="n"/>
      <c r="L8" s="393" t="n"/>
      <c r="M8" s="393" t="n"/>
      <c r="N8" s="393" t="inlineStr">
        <is>
          <t xml:space="preserve"> </t>
        </is>
      </c>
      <c r="O8" s="393" t="inlineStr">
        <is>
          <t xml:space="preserve"> </t>
        </is>
      </c>
      <c r="P8" s="377">
        <f>SUM(C8:O8)</f>
        <v>0</v>
      </c>
      <c r="Q8" s="398" t="n">
        <v>0</v>
      </c>
      <c r="R8" s="393" t="n"/>
      <c r="S8" s="377">
        <f>SUM(Q8:R8)</f>
        <v>0</v>
      </c>
      <c r="T8" s="377">
        <f>S8-P8</f>
        <v>0</v>
      </c>
      <c r="U8" s="373" t="n"/>
      <c r="V8" s="378">
        <f>SUMIF($C$2:$N$2,"&lt;="&amp;締月,C8:N8)</f>
        <v>0</v>
      </c>
      <c r="W8" s="378">
        <f>S8-V8</f>
        <v>0</v>
      </c>
    </row>
    <row r="9" ht="18" customHeight="1" s="322">
      <c r="A9" s="379" t="n"/>
      <c r="B9" s="380" t="inlineStr">
        <is>
          <t>計</t>
        </is>
      </c>
      <c r="C9" s="381">
        <f>SUM(C5:C8)</f>
        <v>317340</v>
      </c>
      <c r="D9" s="381">
        <f>SUM(D5:D8)</f>
        <v>248436</v>
      </c>
      <c r="E9" s="381">
        <f>SUM(E5:E8)</f>
        <v>698299</v>
      </c>
      <c r="F9" s="381">
        <f>SUM(F5:F8)</f>
        <v>256708</v>
      </c>
      <c r="G9" s="381">
        <f>SUM(G5:G8)</f>
        <v>244300</v>
      </c>
      <c r="H9" s="381">
        <f>SUM(H5:H8)</f>
        <v>258776</v>
      </c>
      <c r="I9" s="381">
        <f>SUM(I5:I8)</f>
        <v>383109</v>
      </c>
      <c r="J9" s="381">
        <f>SUM(J5:J8)</f>
        <v>227838</v>
      </c>
      <c r="K9" s="381">
        <f>SUM(K5:K8)</f>
        <v>742061</v>
      </c>
      <c r="L9" s="381">
        <f>SUM(L5:L8)</f>
        <v>228265</v>
      </c>
      <c r="M9" s="381">
        <f>SUM(M5:M8)</f>
        <v>232335</v>
      </c>
      <c r="N9" s="381">
        <f>SUM(N5:N8)</f>
        <v>234370</v>
      </c>
      <c r="O9" s="381">
        <f>SUM(O5:O8)</f>
        <v>42640</v>
      </c>
      <c r="P9" s="381">
        <f>SUM(P5:P8)</f>
        <v>4114477</v>
      </c>
      <c r="Q9" s="381">
        <f>SUM(Q5:Q8)</f>
        <v>4381000</v>
      </c>
      <c r="R9" s="397" t="n"/>
      <c r="S9" s="381">
        <f>SUM(Q9:R9)</f>
        <v>4381000</v>
      </c>
      <c r="T9" s="381">
        <f>S9-P9</f>
        <v>266523</v>
      </c>
      <c r="U9" s="373" t="n"/>
      <c r="V9" s="382">
        <f>SUMIF($C$2:$N$2,"&lt;="&amp;締月,C9:N9)</f>
        <v>2023859</v>
      </c>
      <c r="W9" s="382">
        <f>S9-V9</f>
        <v>2357141</v>
      </c>
    </row>
    <row r="10" ht="18" customHeight="1" s="322">
      <c r="A10" s="376" t="inlineStr">
        <is>
          <t>厚生費</t>
        </is>
      </c>
      <c r="B10" s="343" t="n"/>
      <c r="C10" s="377">
        <f>IF(C$2&lt;=締月,SUMIFS(入力_業務!$J$5:$J$1604,入力_業務!$O$5:$O$1604,"厚生費",入力_業務!$P$5:$P$1604,C$2,入力_業務!$I$5:$I$1604,"確認済"),AA10)</f>
        <v>0</v>
      </c>
      <c r="D10" s="377">
        <f>IF(D$2&lt;=締月,SUMIFS(入力_業務!$J$5:$J$1604,入力_業務!$O$5:$O$1604,"厚生費",入力_業務!$P$5:$P$1604,D$2,入力_業務!$I$5:$I$1604,"確認済"),AB10)</f>
        <v>0</v>
      </c>
      <c r="E10" s="377">
        <f>IF(E$2&lt;=締月,SUMIFS(入力_業務!$J$5:$J$1604,入力_業務!$O$5:$O$1604,"厚生費",入力_業務!$P$5:$P$1604,E$2,入力_業務!$I$5:$I$1604,"確認済"),AC10)</f>
        <v>0</v>
      </c>
      <c r="F10" s="377">
        <f>IF(F$2&lt;=締月,SUMIFS(入力_業務!$J$5:$J$1604,入力_業務!$O$5:$O$1604,"厚生費",入力_業務!$P$5:$P$1604,F$2,入力_業務!$I$5:$I$1604,"確認済"),AD10)</f>
        <v>0</v>
      </c>
      <c r="G10" s="377">
        <f>IF(G$2&lt;=締月,SUMIFS(入力_業務!$J$5:$J$1604,入力_業務!$O$5:$O$1604,"厚生費",入力_業務!$P$5:$P$1604,G$2,入力_業務!$I$5:$I$1604,"確認済"),AE10)</f>
        <v>0</v>
      </c>
      <c r="H10" s="377">
        <f>IF(H$2&lt;=締月,SUMIFS(入力_業務!$J$5:$J$1604,入力_業務!$O$5:$O$1604,"厚生費",入力_業務!$P$5:$P$1604,H$2,入力_業務!$I$5:$I$1604,"確認済"),AF10)</f>
        <v>14894</v>
      </c>
      <c r="I10" s="377">
        <f>IF(I$2&lt;=締月,SUMIFS(入力_業務!$J$5:$J$1604,入力_業務!$O$5:$O$1604,"厚生費",入力_業務!$P$5:$P$1604,I$2,入力_業務!$I$5:$I$1604,"確認済"),AG10)</f>
        <v>0</v>
      </c>
      <c r="J10" s="377">
        <f>IF(J$2&lt;=締月,SUMIFS(入力_業務!$J$5:$J$1604,入力_業務!$O$5:$O$1604,"厚生費",入力_業務!$P$5:$P$1604,J$2,入力_業務!$I$5:$I$1604,"確認済"),AH10)</f>
        <v>0</v>
      </c>
      <c r="K10" s="377">
        <f>IF(K$2&lt;=締月,SUMIFS(入力_業務!$J$5:$J$1604,入力_業務!$O$5:$O$1604,"厚生費",入力_業務!$P$5:$P$1604,K$2,入力_業務!$I$5:$I$1604,"確認済"),AI10)</f>
        <v>0</v>
      </c>
      <c r="L10" s="377">
        <f>IF(L$2&lt;=締月,SUMIFS(入力_業務!$J$5:$J$1604,入力_業務!$O$5:$O$1604,"厚生費",入力_業務!$P$5:$P$1604,L$2,入力_業務!$I$5:$I$1604,"確認済"),AJ10)</f>
        <v>0</v>
      </c>
      <c r="M10" s="377">
        <f>IF(M$2&lt;=締月,SUMIFS(入力_業務!$J$5:$J$1604,入力_業務!$O$5:$O$1604,"厚生費",入力_業務!$P$5:$P$1604,M$2,入力_業務!$I$5:$I$1604,"確認済"),AK10)</f>
        <v>0</v>
      </c>
      <c r="N10" s="377">
        <f>IF(N$2&lt;=締月,SUMIFS(入力_業務!$J$5:$J$1604,入力_業務!$O$5:$O$1604,"厚生費",入力_業務!$P$5:$P$1604,N$2,入力_業務!$I$5:$I$1604,"確認済"),AL10)</f>
        <v>0</v>
      </c>
      <c r="O10" s="377">
        <f>IF(O$2&lt;=締月,SUMIFS(入力_業務!$J$5:$J$1604,入力_業務!$O$5:$O$1604,"厚生費",入力_業務!$P$5:$P$1604,O$2,入力_業務!$I$5:$I$1604,"確認済"),AM10)</f>
        <v>0</v>
      </c>
      <c r="P10" s="377">
        <f>SUM(C10:O10)</f>
        <v>14894</v>
      </c>
      <c r="Q10" s="398" t="n">
        <v>62000</v>
      </c>
      <c r="R10" s="393" t="n"/>
      <c r="S10" s="377">
        <f>SUM(Q10:R10)</f>
        <v>62000</v>
      </c>
      <c r="T10" s="377">
        <f>S10-P10</f>
        <v>47106</v>
      </c>
      <c r="U10" s="373" t="n"/>
      <c r="V10" s="378">
        <f>SUMIF($C$2:$N$2,"&lt;="&amp;締月,C10:N10)</f>
        <v>14894</v>
      </c>
      <c r="W10" s="378">
        <f>S10-V10</f>
        <v>47106</v>
      </c>
      <c r="X10" s="399" t="n">
        <v>1</v>
      </c>
      <c r="AA10" s="400" t="n">
        <v>0</v>
      </c>
      <c r="AB10" s="400" t="n">
        <v>0</v>
      </c>
      <c r="AC10" s="400" t="n">
        <v>0</v>
      </c>
      <c r="AD10" s="400" t="n">
        <v>0</v>
      </c>
      <c r="AE10" s="400" t="n">
        <v>0</v>
      </c>
      <c r="AF10" s="400" t="n">
        <v>14894</v>
      </c>
      <c r="AG10" s="400" t="n">
        <v>0</v>
      </c>
      <c r="AH10" s="400" t="n">
        <v>0</v>
      </c>
      <c r="AI10" s="400" t="n">
        <v>0</v>
      </c>
      <c r="AJ10" s="400" t="n">
        <v>0</v>
      </c>
      <c r="AK10" s="400" t="n">
        <v>0</v>
      </c>
      <c r="AL10" s="400" t="n">
        <v>0</v>
      </c>
      <c r="AM10" s="400" t="n">
        <v>0</v>
      </c>
    </row>
    <row r="11" ht="18" customHeight="1" s="322">
      <c r="A11" s="376" t="inlineStr">
        <is>
          <t>旅費</t>
        </is>
      </c>
      <c r="B11" s="343" t="n"/>
      <c r="C11" s="377">
        <f>IF(C$2&lt;=締月,SUMIFS(入力_業務!$J$5:$J$1604,入力_業務!$O$5:$O$1604,"旅費",入力_業務!$P$5:$P$1604,C$2,入力_業務!$I$5:$I$1604,"確認済"),AA11)</f>
        <v>0</v>
      </c>
      <c r="D11" s="377">
        <f>IF(D$2&lt;=締月,SUMIFS(入力_業務!$J$5:$J$1604,入力_業務!$O$5:$O$1604,"旅費",入力_業務!$P$5:$P$1604,D$2,入力_業務!$I$5:$I$1604,"確認済"),AB11)</f>
        <v>0</v>
      </c>
      <c r="E11" s="377">
        <f>IF(E$2&lt;=締月,SUMIFS(入力_業務!$J$5:$J$1604,入力_業務!$O$5:$O$1604,"旅費",入力_業務!$P$5:$P$1604,E$2,入力_業務!$I$5:$I$1604,"確認済"),AC11)</f>
        <v>39656</v>
      </c>
      <c r="F11" s="377">
        <f>IF(F$2&lt;=締月,SUMIFS(入力_業務!$J$5:$J$1604,入力_業務!$O$5:$O$1604,"旅費",入力_業務!$P$5:$P$1604,F$2,入力_業務!$I$5:$I$1604,"確認済"),AD11)</f>
        <v>0</v>
      </c>
      <c r="G11" s="377">
        <f>IF(G$2&lt;=締月,SUMIFS(入力_業務!$J$5:$J$1604,入力_業務!$O$5:$O$1604,"旅費",入力_業務!$P$5:$P$1604,G$2,入力_業務!$I$5:$I$1604,"確認済"),AE11)</f>
        <v>29068</v>
      </c>
      <c r="H11" s="377">
        <f>IF(H$2&lt;=締月,SUMIFS(入力_業務!$J$5:$J$1604,入力_業務!$O$5:$O$1604,"旅費",入力_業務!$P$5:$P$1604,H$2,入力_業務!$I$5:$I$1604,"確認済"),AF11)</f>
        <v>0</v>
      </c>
      <c r="I11" s="377">
        <f>IF(I$2&lt;=締月,SUMIFS(入力_業務!$J$5:$J$1604,入力_業務!$O$5:$O$1604,"旅費",入力_業務!$P$5:$P$1604,I$2,入力_業務!$I$5:$I$1604,"確認済"),AG11)</f>
        <v>0</v>
      </c>
      <c r="J11" s="377">
        <f>IF(J$2&lt;=締月,SUMIFS(入力_業務!$J$5:$J$1604,入力_業務!$O$5:$O$1604,"旅費",入力_業務!$P$5:$P$1604,J$2,入力_業務!$I$5:$I$1604,"確認済"),AH11)</f>
        <v>18624</v>
      </c>
      <c r="K11" s="377">
        <f>IF(K$2&lt;=締月,SUMIFS(入力_業務!$J$5:$J$1604,入力_業務!$O$5:$O$1604,"旅費",入力_業務!$P$5:$P$1604,K$2,入力_業務!$I$5:$I$1604,"確認済"),AI11)</f>
        <v>80902</v>
      </c>
      <c r="L11" s="377">
        <f>IF(L$2&lt;=締月,SUMIFS(入力_業務!$J$5:$J$1604,入力_業務!$O$5:$O$1604,"旅費",入力_業務!$P$5:$P$1604,L$2,入力_業務!$I$5:$I$1604,"確認済"),AJ11)</f>
        <v>0</v>
      </c>
      <c r="M11" s="377">
        <f>IF(M$2&lt;=締月,SUMIFS(入力_業務!$J$5:$J$1604,入力_業務!$O$5:$O$1604,"旅費",入力_業務!$P$5:$P$1604,M$2,入力_業務!$I$5:$I$1604,"確認済"),AK11)</f>
        <v>18816</v>
      </c>
      <c r="N11" s="377">
        <f>IF(N$2&lt;=締月,SUMIFS(入力_業務!$J$5:$J$1604,入力_業務!$O$5:$O$1604,"旅費",入力_業務!$P$5:$P$1604,N$2,入力_業務!$I$5:$I$1604,"確認済"),AL11)</f>
        <v>0</v>
      </c>
      <c r="O11" s="377">
        <f>IF(O$2&lt;=締月,SUMIFS(入力_業務!$J$5:$J$1604,入力_業務!$O$5:$O$1604,"旅費",入力_業務!$P$5:$P$1604,O$2,入力_業務!$I$5:$I$1604,"確認済"),AM11)</f>
        <v>0</v>
      </c>
      <c r="P11" s="377">
        <f>SUM(C11:O11)</f>
        <v>187066</v>
      </c>
      <c r="Q11" s="398" t="n">
        <v>98000</v>
      </c>
      <c r="R11" s="393" t="n"/>
      <c r="S11" s="377">
        <f>SUM(Q11:R11)</f>
        <v>98000</v>
      </c>
      <c r="T11" s="377">
        <f>S11-P11</f>
        <v>-89066</v>
      </c>
      <c r="U11" s="373" t="n"/>
      <c r="V11" s="383">
        <f>SUMIF($C$2:$N$2,"&lt;="&amp;締月,C11:N11)</f>
        <v>68724</v>
      </c>
      <c r="W11" s="383">
        <f>S11-V11</f>
        <v>29276</v>
      </c>
      <c r="X11" s="399" t="n">
        <v>1</v>
      </c>
      <c r="AA11" s="400" t="n">
        <v>0</v>
      </c>
      <c r="AB11" s="400" t="n">
        <v>0</v>
      </c>
      <c r="AC11" s="400" t="n">
        <v>39656</v>
      </c>
      <c r="AD11" s="400" t="n">
        <v>0</v>
      </c>
      <c r="AE11" s="400" t="n">
        <v>29068</v>
      </c>
      <c r="AF11" s="400" t="n">
        <v>0</v>
      </c>
      <c r="AG11" s="400" t="n">
        <v>0</v>
      </c>
      <c r="AH11" s="400" t="n">
        <v>18624</v>
      </c>
      <c r="AI11" s="400" t="n">
        <v>80902</v>
      </c>
      <c r="AJ11" s="400" t="n">
        <v>0</v>
      </c>
      <c r="AK11" s="400" t="n">
        <v>18816</v>
      </c>
      <c r="AL11" s="400" t="n">
        <v>0</v>
      </c>
      <c r="AM11" s="400" t="n">
        <v>0</v>
      </c>
    </row>
    <row r="12" ht="18" customHeight="1" s="322">
      <c r="A12" s="376" t="inlineStr">
        <is>
          <t>事務費</t>
        </is>
      </c>
      <c r="B12" s="376" t="inlineStr">
        <is>
          <t>事務用消耗品費</t>
        </is>
      </c>
      <c r="C12" s="377">
        <f>IF(C$2&lt;=締月,SUMIFS(入力_業務!$J$5:$J$1604,入力_業務!$O$5:$O$1604,"事務用消耗品費",入力_業務!$P$5:$P$1604,C$2,入力_業務!$I$5:$I$1604,"確認済"),AA12)</f>
        <v>20482</v>
      </c>
      <c r="D12" s="377">
        <f>IF(D$2&lt;=締月,SUMIFS(入力_業務!$J$5:$J$1604,入力_業務!$O$5:$O$1604,"事務用消耗品費",入力_業務!$P$5:$P$1604,D$2,入力_業務!$I$5:$I$1604,"確認済"),AB12)</f>
        <v>58408</v>
      </c>
      <c r="E12" s="377">
        <f>IF(E$2&lt;=締月,SUMIFS(入力_業務!$J$5:$J$1604,入力_業務!$O$5:$O$1604,"事務用消耗品費",入力_業務!$P$5:$P$1604,E$2,入力_業務!$I$5:$I$1604,"確認済"),AC12)</f>
        <v>38368</v>
      </c>
      <c r="F12" s="377">
        <f>IF(F$2&lt;=締月,SUMIFS(入力_業務!$J$5:$J$1604,入力_業務!$O$5:$O$1604,"事務用消耗品費",入力_業務!$P$5:$P$1604,F$2,入力_業務!$I$5:$I$1604,"確認済"),AD12)</f>
        <v>0</v>
      </c>
      <c r="G12" s="377">
        <f>IF(G$2&lt;=締月,SUMIFS(入力_業務!$J$5:$J$1604,入力_業務!$O$5:$O$1604,"事務用消耗品費",入力_業務!$P$5:$P$1604,G$2,入力_業務!$I$5:$I$1604,"確認済"),AE12)</f>
        <v>131903</v>
      </c>
      <c r="H12" s="377">
        <f>IF(H$2&lt;=締月,SUMIFS(入力_業務!$J$5:$J$1604,入力_業務!$O$5:$O$1604,"事務用消耗品費",入力_業務!$P$5:$P$1604,H$2,入力_業務!$I$5:$I$1604,"確認済"),AF12)</f>
        <v>45203</v>
      </c>
      <c r="I12" s="377">
        <f>IF(I$2&lt;=締月,SUMIFS(入力_業務!$J$5:$J$1604,入力_業務!$O$5:$O$1604,"事務用消耗品費",入力_業務!$P$5:$P$1604,I$2,入力_業務!$I$5:$I$1604,"確認済"),AG12)</f>
        <v>0</v>
      </c>
      <c r="J12" s="377">
        <f>IF(J$2&lt;=締月,SUMIFS(入力_業務!$J$5:$J$1604,入力_業務!$O$5:$O$1604,"事務用消耗品費",入力_業務!$P$5:$P$1604,J$2,入力_業務!$I$5:$I$1604,"確認済"),AH12)</f>
        <v>214017</v>
      </c>
      <c r="K12" s="377">
        <f>IF(K$2&lt;=締月,SUMIFS(入力_業務!$J$5:$J$1604,入力_業務!$O$5:$O$1604,"事務用消耗品費",入力_業務!$P$5:$P$1604,K$2,入力_業務!$I$5:$I$1604,"確認済"),AI12)</f>
        <v>62330</v>
      </c>
      <c r="L12" s="377">
        <f>IF(L$2&lt;=締月,SUMIFS(入力_業務!$J$5:$J$1604,入力_業務!$O$5:$O$1604,"事務用消耗品費",入力_業務!$P$5:$P$1604,L$2,入力_業務!$I$5:$I$1604,"確認済"),AJ12)</f>
        <v>71787</v>
      </c>
      <c r="M12" s="377">
        <f>IF(M$2&lt;=締月,SUMIFS(入力_業務!$J$5:$J$1604,入力_業務!$O$5:$O$1604,"事務用消耗品費",入力_業務!$P$5:$P$1604,M$2,入力_業務!$I$5:$I$1604,"確認済"),AK12)</f>
        <v>49487</v>
      </c>
      <c r="N12" s="377">
        <f>IF(N$2&lt;=締月,SUMIFS(入力_業務!$J$5:$J$1604,入力_業務!$O$5:$O$1604,"事務用消耗品費",入力_業務!$P$5:$P$1604,N$2,入力_業務!$I$5:$I$1604,"確認済"),AL12)</f>
        <v>104598</v>
      </c>
      <c r="O12" s="377">
        <f>IF(O$2&lt;=締月,SUMIFS(入力_業務!$J$5:$J$1604,入力_業務!$O$5:$O$1604,"事務用消耗品費",入力_業務!$P$5:$P$1604,O$2,入力_業務!$I$5:$I$1604,"確認済"),AM12)</f>
        <v>100580</v>
      </c>
      <c r="P12" s="377">
        <f>SUM(C12:O12)</f>
        <v>897163</v>
      </c>
      <c r="Q12" s="398" t="n">
        <v>1537000</v>
      </c>
      <c r="R12" s="393" t="n"/>
      <c r="S12" s="377">
        <f>SUM(Q12:R12)</f>
        <v>1537000</v>
      </c>
      <c r="T12" s="377">
        <f>S12-P12</f>
        <v>639837</v>
      </c>
      <c r="U12" s="373" t="n"/>
      <c r="V12" s="383">
        <f>SUMIF($C$2:$N$2,"&lt;="&amp;締月,C12:N12)</f>
        <v>294364</v>
      </c>
      <c r="W12" s="383">
        <f>S12-V12</f>
        <v>1242636</v>
      </c>
      <c r="X12" s="399" t="n">
        <v>1</v>
      </c>
      <c r="AA12" s="400" t="n">
        <v>20482</v>
      </c>
      <c r="AB12" s="400" t="n">
        <v>58408</v>
      </c>
      <c r="AC12" s="400" t="n">
        <v>38368</v>
      </c>
      <c r="AD12" s="400" t="n">
        <v>0</v>
      </c>
      <c r="AE12" s="400" t="n">
        <v>131903</v>
      </c>
      <c r="AF12" s="400" t="n">
        <v>45203</v>
      </c>
      <c r="AG12" s="400" t="n">
        <v>0</v>
      </c>
      <c r="AH12" s="400" t="n">
        <v>214017</v>
      </c>
      <c r="AI12" s="400" t="n">
        <v>62330</v>
      </c>
      <c r="AJ12" s="400" t="n">
        <v>71787</v>
      </c>
      <c r="AK12" s="400" t="n">
        <v>49487</v>
      </c>
      <c r="AL12" s="400" t="n">
        <v>104598</v>
      </c>
      <c r="AM12" s="400" t="n">
        <v>100580</v>
      </c>
    </row>
    <row r="13" ht="18" customHeight="1" s="322">
      <c r="A13" s="343" t="n"/>
      <c r="B13" s="376" t="inlineStr">
        <is>
          <t>図書印刷費</t>
        </is>
      </c>
      <c r="C13" s="377">
        <f>IF(C$2&lt;=締月,SUMIFS(入力_業務!$J$5:$J$1604,入力_業務!$O$5:$O$1604,"図書印刷費",入力_業務!$P$5:$P$1604,C$2,入力_業務!$I$5:$I$1604,"確認済"),AA13)</f>
        <v>99220</v>
      </c>
      <c r="D13" s="377">
        <f>IF(D$2&lt;=締月,SUMIFS(入力_業務!$J$5:$J$1604,入力_業務!$O$5:$O$1604,"図書印刷費",入力_業務!$P$5:$P$1604,D$2,入力_業務!$I$5:$I$1604,"確認済"),AB13)</f>
        <v>33154</v>
      </c>
      <c r="E13" s="377">
        <f>IF(E$2&lt;=締月,SUMIFS(入力_業務!$J$5:$J$1604,入力_業務!$O$5:$O$1604,"図書印刷費",入力_業務!$P$5:$P$1604,E$2,入力_業務!$I$5:$I$1604,"確認済"),AC13)</f>
        <v>33154</v>
      </c>
      <c r="F13" s="377">
        <f>IF(F$2&lt;=締月,SUMIFS(入力_業務!$J$5:$J$1604,入力_業務!$O$5:$O$1604,"図書印刷費",入力_業務!$P$5:$P$1604,F$2,入力_業務!$I$5:$I$1604,"確認済"),AD13)</f>
        <v>33154</v>
      </c>
      <c r="G13" s="377">
        <f>IF(G$2&lt;=締月,SUMIFS(入力_業務!$J$5:$J$1604,入力_業務!$O$5:$O$1604,"図書印刷費",入力_業務!$P$5:$P$1604,G$2,入力_業務!$I$5:$I$1604,"確認済"),AE13)</f>
        <v>198154</v>
      </c>
      <c r="H13" s="377">
        <f>IF(H$2&lt;=締月,SUMIFS(入力_業務!$J$5:$J$1604,入力_業務!$O$5:$O$1604,"図書印刷費",入力_業務!$P$5:$P$1604,H$2,入力_業務!$I$5:$I$1604,"確認済"),AF13)</f>
        <v>187154</v>
      </c>
      <c r="I13" s="377">
        <f>IF(I$2&lt;=締月,SUMIFS(入力_業務!$J$5:$J$1604,入力_業務!$O$5:$O$1604,"図書印刷費",入力_業務!$P$5:$P$1604,I$2,入力_業務!$I$5:$I$1604,"確認済"),AG13)</f>
        <v>33154</v>
      </c>
      <c r="J13" s="377">
        <f>IF(J$2&lt;=締月,SUMIFS(入力_業務!$J$5:$J$1604,入力_業務!$O$5:$O$1604,"図書印刷費",入力_業務!$P$5:$P$1604,J$2,入力_業務!$I$5:$I$1604,"確認済"),AH13)</f>
        <v>260854</v>
      </c>
      <c r="K13" s="377">
        <f>IF(K$2&lt;=締月,SUMIFS(入力_業務!$J$5:$J$1604,入力_業務!$O$5:$O$1604,"図書印刷費",入力_業務!$P$5:$P$1604,K$2,入力_業務!$I$5:$I$1604,"確認済"),AI13)</f>
        <v>264154</v>
      </c>
      <c r="L13" s="377">
        <f>IF(L$2&lt;=締月,SUMIFS(入力_業務!$J$5:$J$1604,入力_業務!$O$5:$O$1604,"図書印刷費",入力_業務!$P$5:$P$1604,L$2,入力_業務!$I$5:$I$1604,"確認済"),AJ13)</f>
        <v>33154</v>
      </c>
      <c r="M13" s="377">
        <f>IF(M$2&lt;=締月,SUMIFS(入力_業務!$J$5:$J$1604,入力_業務!$O$5:$O$1604,"図書印刷費",入力_業務!$P$5:$P$1604,M$2,入力_業務!$I$5:$I$1604,"確認済"),AK13)</f>
        <v>33154</v>
      </c>
      <c r="N13" s="377">
        <f>IF(N$2&lt;=締月,SUMIFS(入力_業務!$J$5:$J$1604,入力_業務!$O$5:$O$1604,"図書印刷費",入力_業務!$P$5:$P$1604,N$2,入力_業務!$I$5:$I$1604,"確認済"),AL13)</f>
        <v>165308</v>
      </c>
      <c r="O13" s="377">
        <f>IF(O$2&lt;=締月,SUMIFS(入力_業務!$J$5:$J$1604,入力_業務!$O$5:$O$1604,"図書印刷費",入力_業務!$P$5:$P$1604,O$2,入力_業務!$I$5:$I$1604,"確認済"),AM13)</f>
        <v>116600</v>
      </c>
      <c r="P13" s="377">
        <f>SUM(C13:O13)</f>
        <v>1490368</v>
      </c>
      <c r="Q13" s="398" t="n">
        <v>1339000</v>
      </c>
      <c r="R13" s="393" t="n"/>
      <c r="S13" s="377">
        <f>SUM(Q13:R13)</f>
        <v>1339000</v>
      </c>
      <c r="T13" s="377">
        <f>S13-P13</f>
        <v>-151368</v>
      </c>
      <c r="U13" s="384" t="inlineStr">
        <is>
          <t xml:space="preserve">          </t>
        </is>
      </c>
      <c r="V13" s="383">
        <f>SUMIF($C$2:$N$2,"&lt;="&amp;締月,C13:N13)</f>
        <v>583990</v>
      </c>
      <c r="W13" s="383">
        <f>S13-V13</f>
        <v>755010</v>
      </c>
      <c r="X13" s="399" t="n">
        <v>1</v>
      </c>
      <c r="AA13" s="400" t="n">
        <v>99220</v>
      </c>
      <c r="AB13" s="400" t="n">
        <v>33154</v>
      </c>
      <c r="AC13" s="400" t="n">
        <v>33154</v>
      </c>
      <c r="AD13" s="400" t="n">
        <v>33154</v>
      </c>
      <c r="AE13" s="400" t="n">
        <v>198154</v>
      </c>
      <c r="AF13" s="400" t="n">
        <v>187154</v>
      </c>
      <c r="AG13" s="400" t="n">
        <v>33154</v>
      </c>
      <c r="AH13" s="400" t="n">
        <v>260854</v>
      </c>
      <c r="AI13" s="400" t="n">
        <v>264154</v>
      </c>
      <c r="AJ13" s="400" t="n">
        <v>33154</v>
      </c>
      <c r="AK13" s="400" t="n">
        <v>33154</v>
      </c>
      <c r="AL13" s="400" t="n">
        <v>165308</v>
      </c>
      <c r="AM13" s="400" t="n">
        <v>116600</v>
      </c>
    </row>
    <row r="14" ht="18" customHeight="1" s="322">
      <c r="A14" s="343" t="n"/>
      <c r="B14" s="376" t="inlineStr">
        <is>
          <t>送金料</t>
        </is>
      </c>
      <c r="C14" s="377">
        <f>IF(C$2&lt;=締月,SUMIFS(入力_業務!$J$5:$J$1604,入力_業務!$O$5:$O$1604,"送金料",入力_業務!$P$5:$P$1604,C$2,入力_業務!$I$5:$I$1604,"確認済"),AA14)</f>
        <v>0</v>
      </c>
      <c r="D14" s="377">
        <f>IF(D$2&lt;=締月,SUMIFS(入力_業務!$J$5:$J$1604,入力_業務!$O$5:$O$1604,"送金料",入力_業務!$P$5:$P$1604,D$2,入力_業務!$I$5:$I$1604,"確認済"),AB14)</f>
        <v>248902</v>
      </c>
      <c r="E14" s="377">
        <f>IF(E$2&lt;=締月,SUMIFS(入力_業務!$J$5:$J$1604,入力_業務!$O$5:$O$1604,"送金料",入力_業務!$P$5:$P$1604,E$2,入力_業務!$I$5:$I$1604,"確認済"),AC14)</f>
        <v>151312</v>
      </c>
      <c r="F14" s="377">
        <f>IF(F$2&lt;=締月,SUMIFS(入力_業務!$J$5:$J$1604,入力_業務!$O$5:$O$1604,"送金料",入力_業務!$P$5:$P$1604,F$2,入力_業務!$I$5:$I$1604,"確認済"),AD14)</f>
        <v>143987</v>
      </c>
      <c r="G14" s="377">
        <f>IF(G$2&lt;=締月,SUMIFS(入力_業務!$J$5:$J$1604,入力_業務!$O$5:$O$1604,"送金料",入力_業務!$P$5:$P$1604,G$2,入力_業務!$I$5:$I$1604,"確認済"),AE14)</f>
        <v>156753</v>
      </c>
      <c r="H14" s="377">
        <f>IF(H$2&lt;=締月,SUMIFS(入力_業務!$J$5:$J$1604,入力_業務!$O$5:$O$1604,"送金料",入力_業務!$P$5:$P$1604,H$2,入力_業務!$I$5:$I$1604,"確認済"),AF14)</f>
        <v>162548</v>
      </c>
      <c r="I14" s="377">
        <f>IF(I$2&lt;=締月,SUMIFS(入力_業務!$J$5:$J$1604,入力_業務!$O$5:$O$1604,"送金料",入力_業務!$P$5:$P$1604,I$2,入力_業務!$I$5:$I$1604,"確認済"),AG14)</f>
        <v>170300</v>
      </c>
      <c r="J14" s="377">
        <f>IF(J$2&lt;=締月,SUMIFS(入力_業務!$J$5:$J$1604,入力_業務!$O$5:$O$1604,"送金料",入力_業務!$P$5:$P$1604,J$2,入力_業務!$I$5:$I$1604,"確認済"),AH14)</f>
        <v>158525</v>
      </c>
      <c r="K14" s="377">
        <f>IF(K$2&lt;=締月,SUMIFS(入力_業務!$J$5:$J$1604,入力_業務!$O$5:$O$1604,"送金料",入力_業務!$P$5:$P$1604,K$2,入力_業務!$I$5:$I$1604,"確認済"),AI14)</f>
        <v>145699</v>
      </c>
      <c r="L14" s="377">
        <f>IF(L$2&lt;=締月,SUMIFS(入力_業務!$J$5:$J$1604,入力_業務!$O$5:$O$1604,"送金料",入力_業務!$P$5:$P$1604,L$2,入力_業務!$I$5:$I$1604,"確認済"),AJ14)</f>
        <v>156146</v>
      </c>
      <c r="M14" s="377">
        <f>IF(M$2&lt;=締月,SUMIFS(入力_業務!$J$5:$J$1604,入力_業務!$O$5:$O$1604,"送金料",入力_業務!$P$5:$P$1604,M$2,入力_業務!$I$5:$I$1604,"確認済"),AK14)</f>
        <v>156412</v>
      </c>
      <c r="N14" s="377">
        <f>IF(N$2&lt;=締月,SUMIFS(入力_業務!$J$5:$J$1604,入力_業務!$O$5:$O$1604,"送金料",入力_業務!$P$5:$P$1604,N$2,入力_業務!$I$5:$I$1604,"確認済"),AL14)</f>
        <v>147743</v>
      </c>
      <c r="O14" s="377">
        <f>IF(O$2&lt;=締月,SUMIFS(入力_業務!$J$5:$J$1604,入力_業務!$O$5:$O$1604,"送金料",入力_業務!$P$5:$P$1604,O$2,入力_業務!$I$5:$I$1604,"確認済"),AM14)</f>
        <v>149215</v>
      </c>
      <c r="P14" s="377">
        <f>SUM(C14:O14)</f>
        <v>1947542</v>
      </c>
      <c r="Q14" s="398" t="n">
        <v>1852000</v>
      </c>
      <c r="R14" s="393" t="n"/>
      <c r="S14" s="377">
        <f>SUM(Q14:R14)</f>
        <v>1852000</v>
      </c>
      <c r="T14" s="377">
        <f>S14-P14</f>
        <v>-95542</v>
      </c>
      <c r="U14" s="373" t="n"/>
      <c r="V14" s="383">
        <f>SUMIF($C$2:$N$2,"&lt;="&amp;締月,C14:N14)</f>
        <v>863502</v>
      </c>
      <c r="W14" s="383">
        <f>S14-V14</f>
        <v>988498</v>
      </c>
      <c r="X14" s="399" t="n">
        <v>1</v>
      </c>
      <c r="AA14" s="400" t="n">
        <v>0</v>
      </c>
      <c r="AB14" s="400" t="n">
        <v>248902</v>
      </c>
      <c r="AC14" s="400" t="n">
        <v>151312</v>
      </c>
      <c r="AD14" s="400" t="n">
        <v>143987</v>
      </c>
      <c r="AE14" s="400" t="n">
        <v>156753</v>
      </c>
      <c r="AF14" s="400" t="n">
        <v>162548</v>
      </c>
      <c r="AG14" s="400" t="n">
        <v>170300</v>
      </c>
      <c r="AH14" s="400" t="n">
        <v>158525</v>
      </c>
      <c r="AI14" s="400" t="n">
        <v>145699</v>
      </c>
      <c r="AJ14" s="400" t="n">
        <v>156146</v>
      </c>
      <c r="AK14" s="400" t="n">
        <v>156412</v>
      </c>
      <c r="AL14" s="400" t="n">
        <v>147743</v>
      </c>
      <c r="AM14" s="400" t="n">
        <v>149215</v>
      </c>
    </row>
    <row r="15" ht="18" customHeight="1" s="322">
      <c r="A15" s="343" t="n"/>
      <c r="B15" s="376" t="inlineStr">
        <is>
          <t>通信運搬費</t>
        </is>
      </c>
      <c r="C15" s="377">
        <f>IF(C$2&lt;=締月,SUMIFS(入力_業務!$J$5:$J$1604,入力_業務!$O$5:$O$1604,"通信運搬費",入力_業務!$P$5:$P$1604,C$2,入力_業務!$I$5:$I$1604,"確認済"),AA15)</f>
        <v>0</v>
      </c>
      <c r="D15" s="377">
        <f>IF(D$2&lt;=締月,SUMIFS(入力_業務!$J$5:$J$1604,入力_業務!$O$5:$O$1604,"通信運搬費",入力_業務!$P$5:$P$1604,D$2,入力_業務!$I$5:$I$1604,"確認済"),AB15)</f>
        <v>196030</v>
      </c>
      <c r="E15" s="377">
        <f>IF(E$2&lt;=締月,SUMIFS(入力_業務!$J$5:$J$1604,入力_業務!$O$5:$O$1604,"通信運搬費",入力_業務!$P$5:$P$1604,E$2,入力_業務!$I$5:$I$1604,"確認済"),AC15)</f>
        <v>48793</v>
      </c>
      <c r="F15" s="377">
        <f>IF(F$2&lt;=締月,SUMIFS(入力_業務!$J$5:$J$1604,入力_業務!$O$5:$O$1604,"通信運搬費",入力_業務!$P$5:$P$1604,F$2,入力_業務!$I$5:$I$1604,"確認済"),AD15)</f>
        <v>26523</v>
      </c>
      <c r="G15" s="377">
        <f>IF(G$2&lt;=締月,SUMIFS(入力_業務!$J$5:$J$1604,入力_業務!$O$5:$O$1604,"通信運搬費",入力_業務!$P$5:$P$1604,G$2,入力_業務!$I$5:$I$1604,"確認済"),AE15)</f>
        <v>71449</v>
      </c>
      <c r="H15" s="377">
        <f>IF(H$2&lt;=締月,SUMIFS(入力_業務!$J$5:$J$1604,入力_業務!$O$5:$O$1604,"通信運搬費",入力_業務!$P$5:$P$1604,H$2,入力_業務!$I$5:$I$1604,"確認済"),AF15)</f>
        <v>26460</v>
      </c>
      <c r="I15" s="377">
        <f>IF(I$2&lt;=締月,SUMIFS(入力_業務!$J$5:$J$1604,入力_業務!$O$5:$O$1604,"通信運搬費",入力_業務!$P$5:$P$1604,I$2,入力_業務!$I$5:$I$1604,"確認済"),AG15)</f>
        <v>121950</v>
      </c>
      <c r="J15" s="377">
        <f>IF(J$2&lt;=締月,SUMIFS(入力_業務!$J$5:$J$1604,入力_業務!$O$5:$O$1604,"通信運搬費",入力_業務!$P$5:$P$1604,J$2,入力_業務!$I$5:$I$1604,"確認済"),AH15)</f>
        <v>5626</v>
      </c>
      <c r="K15" s="377">
        <f>IF(K$2&lt;=締月,SUMIFS(入力_業務!$J$5:$J$1604,入力_業務!$O$5:$O$1604,"通信運搬費",入力_業務!$P$5:$P$1604,K$2,入力_業務!$I$5:$I$1604,"確認済"),AI15)</f>
        <v>92333</v>
      </c>
      <c r="L15" s="377">
        <f>IF(L$2&lt;=締月,SUMIFS(入力_業務!$J$5:$J$1604,入力_業務!$O$5:$O$1604,"通信運搬費",入力_業務!$P$5:$P$1604,L$2,入力_業務!$I$5:$I$1604,"確認済"),AJ15)</f>
        <v>46855</v>
      </c>
      <c r="M15" s="377">
        <f>IF(M$2&lt;=締月,SUMIFS(入力_業務!$J$5:$J$1604,入力_業務!$O$5:$O$1604,"通信運搬費",入力_業務!$P$5:$P$1604,M$2,入力_業務!$I$5:$I$1604,"確認済"),AK15)</f>
        <v>315663</v>
      </c>
      <c r="N15" s="377">
        <f>IF(N$2&lt;=締月,SUMIFS(入力_業務!$J$5:$J$1604,入力_業務!$O$5:$O$1604,"通信運搬費",入力_業務!$P$5:$P$1604,N$2,入力_業務!$I$5:$I$1604,"確認済"),AL15)</f>
        <v>32713</v>
      </c>
      <c r="O15" s="377">
        <f>IF(O$2&lt;=締月,SUMIFS(入力_業務!$J$5:$J$1604,入力_業務!$O$5:$O$1604,"通信運搬費",入力_業務!$P$5:$P$1604,O$2,入力_業務!$I$5:$I$1604,"確認済"),AM15)</f>
        <v>66886</v>
      </c>
      <c r="P15" s="377">
        <f>SUM(C15:O15)</f>
        <v>1051281</v>
      </c>
      <c r="Q15" s="398" t="n">
        <v>983000</v>
      </c>
      <c r="R15" s="393" t="n"/>
      <c r="S15" s="377">
        <f>SUM(Q15:R15)</f>
        <v>983000</v>
      </c>
      <c r="T15" s="377">
        <f>S15-P15</f>
        <v>-68281</v>
      </c>
      <c r="U15" s="373" t="n"/>
      <c r="V15" s="378">
        <f>SUMIF($C$2:$N$2,"&lt;="&amp;締月,C15:N15)</f>
        <v>369255</v>
      </c>
      <c r="W15" s="378">
        <f>S15-V15</f>
        <v>613745</v>
      </c>
      <c r="X15" s="399" t="n">
        <v>1</v>
      </c>
      <c r="AA15" s="400" t="n">
        <v>0</v>
      </c>
      <c r="AB15" s="400" t="n">
        <v>196030</v>
      </c>
      <c r="AC15" s="400" t="n">
        <v>48793</v>
      </c>
      <c r="AD15" s="400" t="n">
        <v>26523</v>
      </c>
      <c r="AE15" s="400" t="n">
        <v>71449</v>
      </c>
      <c r="AF15" s="400" t="n">
        <v>26460</v>
      </c>
      <c r="AG15" s="400" t="n">
        <v>121950</v>
      </c>
      <c r="AH15" s="400" t="n">
        <v>5626</v>
      </c>
      <c r="AI15" s="400" t="n">
        <v>92333</v>
      </c>
      <c r="AJ15" s="400" t="n">
        <v>46855</v>
      </c>
      <c r="AK15" s="400" t="n">
        <v>315663</v>
      </c>
      <c r="AL15" s="400" t="n">
        <v>32713</v>
      </c>
      <c r="AM15" s="400" t="n">
        <v>66886</v>
      </c>
    </row>
    <row r="16" ht="18" customHeight="1" s="322">
      <c r="A16" s="343" t="n"/>
      <c r="B16" s="376" t="inlineStr">
        <is>
          <t>会議費</t>
        </is>
      </c>
      <c r="C16" s="377">
        <f>IF(C$2&lt;=締月,SUMIFS(入力_業務!$J$5:$J$1604,入力_業務!$O$5:$O$1604,"会議費",入力_業務!$P$5:$P$1604,C$2,入力_業務!$I$5:$I$1604,"確認済"),AA16)</f>
        <v>0</v>
      </c>
      <c r="D16" s="377">
        <f>IF(D$2&lt;=締月,SUMIFS(入力_業務!$J$5:$J$1604,入力_業務!$O$5:$O$1604,"会議費",入力_業務!$P$5:$P$1604,D$2,入力_業務!$I$5:$I$1604,"確認済"),AB16)</f>
        <v>0</v>
      </c>
      <c r="E16" s="377">
        <f>IF(E$2&lt;=締月,SUMIFS(入力_業務!$J$5:$J$1604,入力_業務!$O$5:$O$1604,"会議費",入力_業務!$P$5:$P$1604,E$2,入力_業務!$I$5:$I$1604,"確認済"),AC16)</f>
        <v>0</v>
      </c>
      <c r="F16" s="377">
        <f>IF(F$2&lt;=締月,SUMIFS(入力_業務!$J$5:$J$1604,入力_業務!$O$5:$O$1604,"会議費",入力_業務!$P$5:$P$1604,F$2,入力_業務!$I$5:$I$1604,"確認済"),AD16)</f>
        <v>0</v>
      </c>
      <c r="G16" s="377">
        <f>IF(G$2&lt;=締月,SUMIFS(入力_業務!$J$5:$J$1604,入力_業務!$O$5:$O$1604,"会議費",入力_業務!$P$5:$P$1604,G$2,入力_業務!$I$5:$I$1604,"確認済"),AE16)</f>
        <v>0</v>
      </c>
      <c r="H16" s="377">
        <f>IF(H$2&lt;=締月,SUMIFS(入力_業務!$J$5:$J$1604,入力_業務!$O$5:$O$1604,"会議費",入力_業務!$P$5:$P$1604,H$2,入力_業務!$I$5:$I$1604,"確認済"),AF16)</f>
        <v>0</v>
      </c>
      <c r="I16" s="377">
        <f>IF(I$2&lt;=締月,SUMIFS(入力_業務!$J$5:$J$1604,入力_業務!$O$5:$O$1604,"会議費",入力_業務!$P$5:$P$1604,I$2,入力_業務!$I$5:$I$1604,"確認済"),AG16)</f>
        <v>0</v>
      </c>
      <c r="J16" s="377">
        <f>IF(J$2&lt;=締月,SUMIFS(入力_業務!$J$5:$J$1604,入力_業務!$O$5:$O$1604,"会議費",入力_業務!$P$5:$P$1604,J$2,入力_業務!$I$5:$I$1604,"確認済"),AH16)</f>
        <v>0</v>
      </c>
      <c r="K16" s="377">
        <f>IF(K$2&lt;=締月,SUMIFS(入力_業務!$J$5:$J$1604,入力_業務!$O$5:$O$1604,"会議費",入力_業務!$P$5:$P$1604,K$2,入力_業務!$I$5:$I$1604,"確認済"),AI16)</f>
        <v>0</v>
      </c>
      <c r="L16" s="377">
        <f>IF(L$2&lt;=締月,SUMIFS(入力_業務!$J$5:$J$1604,入力_業務!$O$5:$O$1604,"会議費",入力_業務!$P$5:$P$1604,L$2,入力_業務!$I$5:$I$1604,"確認済"),AJ16)</f>
        <v>0</v>
      </c>
      <c r="M16" s="377">
        <f>IF(M$2&lt;=締月,SUMIFS(入力_業務!$J$5:$J$1604,入力_業務!$O$5:$O$1604,"会議費",入力_業務!$P$5:$P$1604,M$2,入力_業務!$I$5:$I$1604,"確認済"),AK16)</f>
        <v>0</v>
      </c>
      <c r="N16" s="377">
        <f>IF(N$2&lt;=締月,SUMIFS(入力_業務!$J$5:$J$1604,入力_業務!$O$5:$O$1604,"会議費",入力_業務!$P$5:$P$1604,N$2,入力_業務!$I$5:$I$1604,"確認済"),AL16)</f>
        <v>0</v>
      </c>
      <c r="O16" s="377">
        <f>IF(O$2&lt;=締月,SUMIFS(入力_業務!$J$5:$J$1604,入力_業務!$O$5:$O$1604,"会議費",入力_業務!$P$5:$P$1604,O$2,入力_業務!$I$5:$I$1604,"確認済"),AM16)</f>
        <v>0</v>
      </c>
      <c r="P16" s="377">
        <f>SUM(C16:O16)</f>
        <v>0</v>
      </c>
      <c r="Q16" s="398" t="n">
        <v>0</v>
      </c>
      <c r="R16" s="393" t="n"/>
      <c r="S16" s="377">
        <f>SUM(Q16:R16)</f>
        <v>0</v>
      </c>
      <c r="T16" s="377">
        <f>S16-P16</f>
        <v>0</v>
      </c>
      <c r="U16" s="373" t="n"/>
      <c r="V16" s="378">
        <f>SUMIF($C$2:$N$2,"&lt;="&amp;締月,C16:N16)</f>
        <v>0</v>
      </c>
      <c r="W16" s="378">
        <f>S16-V16</f>
        <v>0</v>
      </c>
      <c r="X16" s="399" t="n">
        <v>1</v>
      </c>
      <c r="AA16" s="400" t="n">
        <v>0</v>
      </c>
      <c r="AB16" s="400" t="n">
        <v>0</v>
      </c>
      <c r="AC16" s="400" t="n">
        <v>0</v>
      </c>
      <c r="AD16" s="400" t="n">
        <v>0</v>
      </c>
      <c r="AE16" s="400" t="n">
        <v>0</v>
      </c>
      <c r="AF16" s="400" t="n">
        <v>0</v>
      </c>
      <c r="AG16" s="400" t="n">
        <v>0</v>
      </c>
      <c r="AH16" s="400" t="n">
        <v>0</v>
      </c>
      <c r="AI16" s="400" t="n">
        <v>0</v>
      </c>
      <c r="AJ16" s="400" t="n">
        <v>0</v>
      </c>
      <c r="AK16" s="400" t="n">
        <v>0</v>
      </c>
      <c r="AL16" s="400" t="n">
        <v>0</v>
      </c>
      <c r="AM16" s="400" t="n">
        <v>0</v>
      </c>
    </row>
    <row r="17" ht="18" customHeight="1" s="322">
      <c r="A17" s="343" t="n"/>
      <c r="B17" s="376" t="inlineStr">
        <is>
          <t>雑費</t>
        </is>
      </c>
      <c r="C17" s="377">
        <f>IF(C$2&lt;=締月,SUMIFS(入力_業務!$J$5:$J$1604,入力_業務!$O$5:$O$1604,"事務費・雑費",入力_業務!$P$5:$P$1604,C$2,入力_業務!$I$5:$I$1604,"確認済"),AA17)</f>
        <v>0</v>
      </c>
      <c r="D17" s="377">
        <f>IF(D$2&lt;=締月,SUMIFS(入力_業務!$J$5:$J$1604,入力_業務!$O$5:$O$1604,"事務費・雑費",入力_業務!$P$5:$P$1604,D$2,入力_業務!$I$5:$I$1604,"確認済"),AB17)</f>
        <v>550</v>
      </c>
      <c r="E17" s="377">
        <f>IF(E$2&lt;=締月,SUMIFS(入力_業務!$J$5:$J$1604,入力_業務!$O$5:$O$1604,"事務費・雑費",入力_業務!$P$5:$P$1604,E$2,入力_業務!$I$5:$I$1604,"確認済"),AC17)</f>
        <v>550</v>
      </c>
      <c r="F17" s="377">
        <f>IF(F$2&lt;=締月,SUMIFS(入力_業務!$J$5:$J$1604,入力_業務!$O$5:$O$1604,"事務費・雑費",入力_業務!$P$5:$P$1604,F$2,入力_業務!$I$5:$I$1604,"確認済"),AD17)</f>
        <v>550</v>
      </c>
      <c r="G17" s="377">
        <f>IF(G$2&lt;=締月,SUMIFS(入力_業務!$J$5:$J$1604,入力_業務!$O$5:$O$1604,"事務費・雑費",入力_業務!$P$5:$P$1604,G$2,入力_業務!$I$5:$I$1604,"確認済"),AE17)</f>
        <v>550</v>
      </c>
      <c r="H17" s="377">
        <f>IF(H$2&lt;=締月,SUMIFS(入力_業務!$J$5:$J$1604,入力_業務!$O$5:$O$1604,"事務費・雑費",入力_業務!$P$5:$P$1604,H$2,入力_業務!$I$5:$I$1604,"確認済"),AF17)</f>
        <v>550</v>
      </c>
      <c r="I17" s="377">
        <f>IF(I$2&lt;=締月,SUMIFS(入力_業務!$J$5:$J$1604,入力_業務!$O$5:$O$1604,"事務費・雑費",入力_業務!$P$5:$P$1604,I$2,入力_業務!$I$5:$I$1604,"確認済"),AG17)</f>
        <v>550</v>
      </c>
      <c r="J17" s="377">
        <f>IF(J$2&lt;=締月,SUMIFS(入力_業務!$J$5:$J$1604,入力_業務!$O$5:$O$1604,"事務費・雑費",入力_業務!$P$5:$P$1604,J$2,入力_業務!$I$5:$I$1604,"確認済"),AH17)</f>
        <v>550</v>
      </c>
      <c r="K17" s="377">
        <f>IF(K$2&lt;=締月,SUMIFS(入力_業務!$J$5:$J$1604,入力_業務!$O$5:$O$1604,"事務費・雑費",入力_業務!$P$5:$P$1604,K$2,入力_業務!$I$5:$I$1604,"確認済"),AI17)</f>
        <v>550</v>
      </c>
      <c r="L17" s="377">
        <f>IF(L$2&lt;=締月,SUMIFS(入力_業務!$J$5:$J$1604,入力_業務!$O$5:$O$1604,"事務費・雑費",入力_業務!$P$5:$P$1604,L$2,入力_業務!$I$5:$I$1604,"確認済"),AJ17)</f>
        <v>550</v>
      </c>
      <c r="M17" s="377">
        <f>IF(M$2&lt;=締月,SUMIFS(入力_業務!$J$5:$J$1604,入力_業務!$O$5:$O$1604,"事務費・雑費",入力_業務!$P$5:$P$1604,M$2,入力_業務!$I$5:$I$1604,"確認済"),AK17)</f>
        <v>550</v>
      </c>
      <c r="N17" s="377">
        <f>IF(N$2&lt;=締月,SUMIFS(入力_業務!$J$5:$J$1604,入力_業務!$O$5:$O$1604,"事務費・雑費",入力_業務!$P$5:$P$1604,N$2,入力_業務!$I$5:$I$1604,"確認済"),AL17)</f>
        <v>550</v>
      </c>
      <c r="O17" s="377">
        <f>IF(O$2&lt;=締月,SUMIFS(入力_業務!$J$5:$J$1604,入力_業務!$O$5:$O$1604,"事務費・雑費",入力_業務!$P$5:$P$1604,O$2,入力_業務!$I$5:$I$1604,"確認済"),AM17)</f>
        <v>550</v>
      </c>
      <c r="P17" s="377">
        <f>SUM(C17:O17)</f>
        <v>6600</v>
      </c>
      <c r="Q17" s="398" t="n">
        <v>0</v>
      </c>
      <c r="R17" s="393" t="n"/>
      <c r="S17" s="377">
        <f>SUM(Q17:R17)</f>
        <v>0</v>
      </c>
      <c r="T17" s="377">
        <f>S17-P17</f>
        <v>-6600</v>
      </c>
      <c r="U17" s="373" t="n"/>
      <c r="V17" s="378">
        <f>SUMIF($C$2:$N$2,"&lt;="&amp;締月,C17:N17)</f>
        <v>2750</v>
      </c>
      <c r="W17" s="378">
        <f>S17-V17</f>
        <v>-2750</v>
      </c>
      <c r="X17" s="399" t="n">
        <v>1</v>
      </c>
      <c r="AA17" s="400" t="n">
        <v>0</v>
      </c>
      <c r="AB17" s="400" t="n">
        <v>550</v>
      </c>
      <c r="AC17" s="400" t="n">
        <v>550</v>
      </c>
      <c r="AD17" s="400" t="n">
        <v>550</v>
      </c>
      <c r="AE17" s="400" t="n">
        <v>550</v>
      </c>
      <c r="AF17" s="400" t="n">
        <v>550</v>
      </c>
      <c r="AG17" s="400" t="n">
        <v>550</v>
      </c>
      <c r="AH17" s="400" t="n">
        <v>550</v>
      </c>
      <c r="AI17" s="400" t="n">
        <v>550</v>
      </c>
      <c r="AJ17" s="400" t="n">
        <v>550</v>
      </c>
      <c r="AK17" s="400" t="n">
        <v>550</v>
      </c>
      <c r="AL17" s="400" t="n">
        <v>550</v>
      </c>
      <c r="AM17" s="400" t="n">
        <v>550</v>
      </c>
    </row>
    <row r="18" ht="17.25" customHeight="1" s="322">
      <c r="A18" s="379" t="n"/>
      <c r="B18" s="380" t="inlineStr">
        <is>
          <t>計</t>
        </is>
      </c>
      <c r="C18" s="381">
        <f>SUM(C12:C17)</f>
        <v>119702</v>
      </c>
      <c r="D18" s="381">
        <f>SUM(D12:D17)</f>
        <v>537044</v>
      </c>
      <c r="E18" s="381">
        <f>SUM(E12:E17)</f>
        <v>272177</v>
      </c>
      <c r="F18" s="381">
        <f>SUM(F12:F17)</f>
        <v>204214</v>
      </c>
      <c r="G18" s="381">
        <f>SUM(G12:G17)</f>
        <v>558809</v>
      </c>
      <c r="H18" s="381">
        <f>SUM(H12:H17)</f>
        <v>421915</v>
      </c>
      <c r="I18" s="381">
        <f>SUM(I12:I17)</f>
        <v>325954</v>
      </c>
      <c r="J18" s="381">
        <f>SUM(J12:J17)</f>
        <v>639572</v>
      </c>
      <c r="K18" s="381">
        <f>SUM(K12:K17)</f>
        <v>565066</v>
      </c>
      <c r="L18" s="381">
        <f>SUM(L12:L17)</f>
        <v>308492</v>
      </c>
      <c r="M18" s="381">
        <f>SUM(M12:M17)</f>
        <v>555266</v>
      </c>
      <c r="N18" s="381">
        <f>SUM(N12:N17)</f>
        <v>450912</v>
      </c>
      <c r="O18" s="381">
        <f>SUM(O12:O17)</f>
        <v>433831</v>
      </c>
      <c r="P18" s="381">
        <f>SUM(P12:P17)</f>
        <v>5392954</v>
      </c>
      <c r="Q18" s="381">
        <f>SUM(Q12:Q17)</f>
        <v>5711000</v>
      </c>
      <c r="R18" s="397" t="n"/>
      <c r="S18" s="381">
        <f>SUM(Q18:R18)</f>
        <v>5711000</v>
      </c>
      <c r="T18" s="381">
        <f>S18-P18</f>
        <v>318046</v>
      </c>
      <c r="U18" s="373" t="n"/>
      <c r="V18" s="382">
        <f>SUMIF($C$2:$N$2,"&lt;="&amp;締月,C18:N18)</f>
        <v>2113861</v>
      </c>
      <c r="W18" s="382">
        <f>S18-V18</f>
        <v>3597139</v>
      </c>
    </row>
    <row r="19" ht="17.25" customHeight="1" s="322">
      <c r="A19" s="385" t="inlineStr">
        <is>
          <t>賃金</t>
        </is>
      </c>
      <c r="B19" s="343" t="n"/>
      <c r="C19" s="393" t="n"/>
      <c r="D19" s="377">
        <f>D59</f>
        <v>425880</v>
      </c>
      <c r="E19" s="377">
        <f>E59</f>
        <v>365040</v>
      </c>
      <c r="F19" s="377">
        <f>F59</f>
        <v>446160</v>
      </c>
      <c r="G19" s="377">
        <f>G59</f>
        <v>445720</v>
      </c>
      <c r="H19" s="377">
        <f>H59</f>
        <v>384480</v>
      </c>
      <c r="I19" s="377">
        <f>I59</f>
        <v>389160</v>
      </c>
      <c r="J19" s="377">
        <f>J59</f>
        <v>416580</v>
      </c>
      <c r="K19" s="377">
        <f>K59</f>
        <v>340920</v>
      </c>
      <c r="L19" s="377">
        <f>L59</f>
        <v>377520</v>
      </c>
      <c r="M19" s="377">
        <f>M59</f>
        <v>359120</v>
      </c>
      <c r="N19" s="377">
        <f>N59</f>
        <v>339340</v>
      </c>
      <c r="O19" s="377">
        <f>O59</f>
        <v>339568</v>
      </c>
      <c r="P19" s="377">
        <f>SUM(C19:O19)</f>
        <v>4629488</v>
      </c>
      <c r="Q19" s="398" t="n">
        <v>5520000</v>
      </c>
      <c r="R19" s="393" t="n"/>
      <c r="S19" s="377">
        <f>SUM(Q19:R19)</f>
        <v>5520000</v>
      </c>
      <c r="T19" s="377">
        <f>S19-P19</f>
        <v>890512</v>
      </c>
      <c r="U19" s="373" t="n"/>
      <c r="V19" s="378">
        <f>SUMIF($C$2:$N$2,"&lt;="&amp;締月,C19:N19)</f>
        <v>2067280</v>
      </c>
      <c r="W19" s="378">
        <f>S19-V19</f>
        <v>3452720</v>
      </c>
    </row>
    <row r="20" ht="18" customHeight="1" s="322">
      <c r="A20" s="376" t="inlineStr">
        <is>
          <t>委託費</t>
        </is>
      </c>
      <c r="B20" s="343" t="n"/>
      <c r="C20" s="377">
        <f>IF(C$2&lt;=締月,SUMIFS(入力_業務!$J$5:$J$1604,入力_業務!$O$5:$O$1604,"委託費",入力_業務!$P$5:$P$1604,C$2,入力_業務!$I$5:$I$1604,"確認済"),AA20)</f>
        <v>60235</v>
      </c>
      <c r="D20" s="377">
        <f>IF(D$2&lt;=締月,SUMIFS(入力_業務!$J$5:$J$1604,入力_業務!$O$5:$O$1604,"委託費",入力_業務!$P$5:$P$1604,D$2,入力_業務!$I$5:$I$1604,"確認済"),AB20)</f>
        <v>2146895</v>
      </c>
      <c r="E20" s="377">
        <f>IF(E$2&lt;=締月,SUMIFS(入力_業務!$J$5:$J$1604,入力_業務!$O$5:$O$1604,"委託費",入力_業務!$P$5:$P$1604,E$2,入力_業務!$I$5:$I$1604,"確認済"),AC20)</f>
        <v>188645</v>
      </c>
      <c r="F20" s="377">
        <f>IF(F$2&lt;=締月,SUMIFS(入力_業務!$J$5:$J$1604,入力_業務!$O$5:$O$1604,"委託費",入力_業務!$P$5:$P$1604,F$2,入力_業務!$I$5:$I$1604,"確認済"),AD20)</f>
        <v>166167</v>
      </c>
      <c r="G20" s="377">
        <f>IF(G$2&lt;=締月,SUMIFS(入力_業務!$J$5:$J$1604,入力_業務!$O$5:$O$1604,"委託費",入力_業務!$P$5:$P$1604,G$2,入力_業務!$I$5:$I$1604,"確認済"),AE20)</f>
        <v>226857</v>
      </c>
      <c r="H20" s="377">
        <f>IF(H$2&lt;=締月,SUMIFS(入力_業務!$J$5:$J$1604,入力_業務!$O$5:$O$1604,"委託費",入力_業務!$P$5:$P$1604,H$2,入力_業務!$I$5:$I$1604,"確認済"),AF20)</f>
        <v>1758851</v>
      </c>
      <c r="I20" s="377">
        <f>IF(I$2&lt;=締月,SUMIFS(入力_業務!$J$5:$J$1604,入力_業務!$O$5:$O$1604,"委託費",入力_業務!$P$5:$P$1604,I$2,入力_業務!$I$5:$I$1604,"確認済"),AG20)</f>
        <v>563675</v>
      </c>
      <c r="J20" s="377">
        <f>IF(J$2&lt;=締月,SUMIFS(入力_業務!$J$5:$J$1604,入力_業務!$O$5:$O$1604,"委託費",入力_業務!$P$5:$P$1604,J$2,入力_業務!$I$5:$I$1604,"確認済"),AH20)</f>
        <v>190646</v>
      </c>
      <c r="K20" s="377">
        <f>IF(K$2&lt;=締月,SUMIFS(入力_業務!$J$5:$J$1604,入力_業務!$O$5:$O$1604,"委託費",入力_業務!$P$5:$P$1604,K$2,入力_業務!$I$5:$I$1604,"確認済"),AI20)</f>
        <v>2455527</v>
      </c>
      <c r="L20" s="377">
        <f>IF(L$2&lt;=締月,SUMIFS(入力_業務!$J$5:$J$1604,入力_業務!$O$5:$O$1604,"委託費",入力_業務!$P$5:$P$1604,L$2,入力_業務!$I$5:$I$1604,"確認済"),AJ20)</f>
        <v>173468</v>
      </c>
      <c r="M20" s="377">
        <f>IF(M$2&lt;=締月,SUMIFS(入力_業務!$J$5:$J$1604,入力_業務!$O$5:$O$1604,"委託費",入力_業務!$P$5:$P$1604,M$2,入力_業務!$I$5:$I$1604,"確認済"),AK20)</f>
        <v>215628</v>
      </c>
      <c r="N20" s="377">
        <f>IF(N$2&lt;=締月,SUMIFS(入力_業務!$J$5:$J$1604,入力_業務!$O$5:$O$1604,"委託費",入力_業務!$P$5:$P$1604,N$2,入力_業務!$I$5:$I$1604,"確認済"),AL20)</f>
        <v>252737</v>
      </c>
      <c r="O20" s="377">
        <f>IF(O$2&lt;=締月,SUMIFS(入力_業務!$J$5:$J$1604,入力_業務!$O$5:$O$1604,"委託費",入力_業務!$P$5:$P$1604,O$2,入力_業務!$I$5:$I$1604,"確認済"),AM20)</f>
        <v>1231586</v>
      </c>
      <c r="P20" s="377">
        <f>SUM(C20:O20)</f>
        <v>9630917</v>
      </c>
      <c r="Q20" s="398" t="n">
        <v>10478000</v>
      </c>
      <c r="R20" s="393" t="n"/>
      <c r="S20" s="377">
        <f>SUM(Q20:R20)</f>
        <v>10478000</v>
      </c>
      <c r="T20" s="377">
        <f>S20-P20</f>
        <v>847083</v>
      </c>
      <c r="U20" s="373" t="n"/>
      <c r="V20" s="378">
        <f>SUMIF($C$2:$N$2,"&lt;="&amp;締月,C20:N20)</f>
        <v>4547650</v>
      </c>
      <c r="W20" s="378">
        <f>S20-V20</f>
        <v>5930350</v>
      </c>
      <c r="X20" s="399" t="n">
        <v>1</v>
      </c>
      <c r="AA20" s="400" t="n">
        <v>60235</v>
      </c>
      <c r="AB20" s="400" t="n">
        <v>2146895</v>
      </c>
      <c r="AC20" s="400" t="n">
        <v>188645</v>
      </c>
      <c r="AD20" s="400" t="n">
        <v>166167</v>
      </c>
      <c r="AE20" s="400" t="n">
        <v>226857</v>
      </c>
      <c r="AF20" s="400" t="n">
        <v>1758851</v>
      </c>
      <c r="AG20" s="400" t="n">
        <v>563675</v>
      </c>
      <c r="AH20" s="400" t="n">
        <v>190646</v>
      </c>
      <c r="AI20" s="400" t="n">
        <v>2455527</v>
      </c>
      <c r="AJ20" s="400" t="n">
        <v>173468</v>
      </c>
      <c r="AK20" s="400" t="n">
        <v>215628</v>
      </c>
      <c r="AL20" s="400" t="n">
        <v>252737</v>
      </c>
      <c r="AM20" s="400" t="n">
        <v>1231586</v>
      </c>
    </row>
    <row r="21" ht="18" customHeight="1" s="322">
      <c r="A21" s="376" t="inlineStr">
        <is>
          <t>光熱水料</t>
        </is>
      </c>
      <c r="B21" s="343" t="n"/>
      <c r="C21" s="377">
        <f>IF(C$2&lt;=締月,SUMIFS(入力_業務!$J$5:$J$1604,入力_業務!$O$5:$O$1604,"光熱水料",入力_業務!$P$5:$P$1604,C$2,入力_業務!$I$5:$I$1604,"確認済"),AA21)</f>
        <v>0</v>
      </c>
      <c r="D21" s="377">
        <f>IF(D$2&lt;=締月,SUMIFS(入力_業務!$J$5:$J$1604,入力_業務!$O$5:$O$1604,"光熱水料",入力_業務!$P$5:$P$1604,D$2,入力_業務!$I$5:$I$1604,"確認済"),AB21)</f>
        <v>0</v>
      </c>
      <c r="E21" s="377">
        <f>IF(E$2&lt;=締月,SUMIFS(入力_業務!$J$5:$J$1604,入力_業務!$O$5:$O$1604,"光熱水料",入力_業務!$P$5:$P$1604,E$2,入力_業務!$I$5:$I$1604,"確認済"),AC21)</f>
        <v>0</v>
      </c>
      <c r="F21" s="377">
        <f>IF(F$2&lt;=締月,SUMIFS(入力_業務!$J$5:$J$1604,入力_業務!$O$5:$O$1604,"光熱水料",入力_業務!$P$5:$P$1604,F$2,入力_業務!$I$5:$I$1604,"確認済"),AD21)</f>
        <v>0</v>
      </c>
      <c r="G21" s="377">
        <f>IF(G$2&lt;=締月,SUMIFS(入力_業務!$J$5:$J$1604,入力_業務!$O$5:$O$1604,"光熱水料",入力_業務!$P$5:$P$1604,G$2,入力_業務!$I$5:$I$1604,"確認済"),AE21)</f>
        <v>0</v>
      </c>
      <c r="H21" s="377">
        <f>IF(H$2&lt;=締月,SUMIFS(入力_業務!$J$5:$J$1604,入力_業務!$O$5:$O$1604,"光熱水料",入力_業務!$P$5:$P$1604,H$2,入力_業務!$I$5:$I$1604,"確認済"),AF21)</f>
        <v>0</v>
      </c>
      <c r="I21" s="377">
        <f>IF(I$2&lt;=締月,SUMIFS(入力_業務!$J$5:$J$1604,入力_業務!$O$5:$O$1604,"光熱水料",入力_業務!$P$5:$P$1604,I$2,入力_業務!$I$5:$I$1604,"確認済"),AG21)</f>
        <v>0</v>
      </c>
      <c r="J21" s="377">
        <f>IF(J$2&lt;=締月,SUMIFS(入力_業務!$J$5:$J$1604,入力_業務!$O$5:$O$1604,"光熱水料",入力_業務!$P$5:$P$1604,J$2,入力_業務!$I$5:$I$1604,"確認済"),AH21)</f>
        <v>0</v>
      </c>
      <c r="K21" s="377">
        <f>IF(K$2&lt;=締月,SUMIFS(入力_業務!$J$5:$J$1604,入力_業務!$O$5:$O$1604,"光熱水料",入力_業務!$P$5:$P$1604,K$2,入力_業務!$I$5:$I$1604,"確認済"),AI21)</f>
        <v>6999</v>
      </c>
      <c r="L21" s="377">
        <f>IF(L$2&lt;=締月,SUMIFS(入力_業務!$J$5:$J$1604,入力_業務!$O$5:$O$1604,"光熱水料",入力_業務!$P$5:$P$1604,L$2,入力_業務!$I$5:$I$1604,"確認済"),AJ21)</f>
        <v>0</v>
      </c>
      <c r="M21" s="377">
        <f>IF(M$2&lt;=締月,SUMIFS(入力_業務!$J$5:$J$1604,入力_業務!$O$5:$O$1604,"光熱水料",入力_業務!$P$5:$P$1604,M$2,入力_業務!$I$5:$I$1604,"確認済"),AK21)</f>
        <v>0</v>
      </c>
      <c r="N21" s="377">
        <f>IF(N$2&lt;=締月,SUMIFS(入力_業務!$J$5:$J$1604,入力_業務!$O$5:$O$1604,"光熱水料",入力_業務!$P$5:$P$1604,N$2,入力_業務!$I$5:$I$1604,"確認済"),AL21)</f>
        <v>0</v>
      </c>
      <c r="O21" s="377">
        <f>IF(O$2&lt;=締月,SUMIFS(入力_業務!$J$5:$J$1604,入力_業務!$O$5:$O$1604,"光熱水料",入力_業務!$P$5:$P$1604,O$2,入力_業務!$I$5:$I$1604,"確認済"),AM21)</f>
        <v>11284</v>
      </c>
      <c r="P21" s="377">
        <f>SUM(C21:O21)</f>
        <v>18283</v>
      </c>
      <c r="Q21" s="398" t="n">
        <v>16000</v>
      </c>
      <c r="R21" s="393" t="n"/>
      <c r="S21" s="377">
        <f>SUM(Q21:R21)</f>
        <v>16000</v>
      </c>
      <c r="T21" s="377">
        <f>S21-P21</f>
        <v>-2283</v>
      </c>
      <c r="U21" s="373" t="n"/>
      <c r="V21" s="378">
        <f>SUMIF($C$2:$N$2,"&lt;="&amp;締月,C21:N21)</f>
        <v>0</v>
      </c>
      <c r="W21" s="378">
        <f>S21-V21</f>
        <v>16000</v>
      </c>
      <c r="X21" s="399" t="n">
        <v>1</v>
      </c>
      <c r="AA21" s="400" t="n">
        <v>0</v>
      </c>
      <c r="AB21" s="400" t="n">
        <v>0</v>
      </c>
      <c r="AC21" s="400" t="n">
        <v>0</v>
      </c>
      <c r="AD21" s="400" t="n">
        <v>0</v>
      </c>
      <c r="AE21" s="400" t="n">
        <v>0</v>
      </c>
      <c r="AF21" s="400" t="n">
        <v>0</v>
      </c>
      <c r="AG21" s="400" t="n">
        <v>0</v>
      </c>
      <c r="AH21" s="400" t="n">
        <v>0</v>
      </c>
      <c r="AI21" s="400" t="n">
        <v>6999</v>
      </c>
      <c r="AJ21" s="400" t="n">
        <v>0</v>
      </c>
      <c r="AK21" s="400" t="n">
        <v>0</v>
      </c>
      <c r="AL21" s="400" t="n">
        <v>0</v>
      </c>
      <c r="AM21" s="400" t="n">
        <v>11284</v>
      </c>
    </row>
    <row r="22" ht="18" customHeight="1" s="322">
      <c r="A22" s="376" t="inlineStr">
        <is>
          <t>修繕費</t>
        </is>
      </c>
      <c r="B22" s="343" t="n"/>
      <c r="C22" s="377">
        <f>IF(C$2&lt;=締月,SUMIFS(入力_業務!$J$5:$J$1604,入力_業務!$O$5:$O$1604,"修繕費",入力_業務!$P$5:$P$1604,C$2,入力_業務!$I$5:$I$1604,"確認済"),AA22)</f>
        <v>0</v>
      </c>
      <c r="D22" s="377">
        <f>IF(D$2&lt;=締月,SUMIFS(入力_業務!$J$5:$J$1604,入力_業務!$O$5:$O$1604,"修繕費",入力_業務!$P$5:$P$1604,D$2,入力_業務!$I$5:$I$1604,"確認済"),AB22)</f>
        <v>0</v>
      </c>
      <c r="E22" s="377">
        <f>IF(E$2&lt;=締月,SUMIFS(入力_業務!$J$5:$J$1604,入力_業務!$O$5:$O$1604,"修繕費",入力_業務!$P$5:$P$1604,E$2,入力_業務!$I$5:$I$1604,"確認済"),AC22)</f>
        <v>0</v>
      </c>
      <c r="F22" s="377">
        <f>IF(F$2&lt;=締月,SUMIFS(入力_業務!$J$5:$J$1604,入力_業務!$O$5:$O$1604,"修繕費",入力_業務!$P$5:$P$1604,F$2,入力_業務!$I$5:$I$1604,"確認済"),AD22)</f>
        <v>0</v>
      </c>
      <c r="G22" s="377">
        <f>IF(G$2&lt;=締月,SUMIFS(入力_業務!$J$5:$J$1604,入力_業務!$O$5:$O$1604,"修繕費",入力_業務!$P$5:$P$1604,G$2,入力_業務!$I$5:$I$1604,"確認済"),AE22)</f>
        <v>0</v>
      </c>
      <c r="H22" s="377">
        <f>IF(H$2&lt;=締月,SUMIFS(入力_業務!$J$5:$J$1604,入力_業務!$O$5:$O$1604,"修繕費",入力_業務!$P$5:$P$1604,H$2,入力_業務!$I$5:$I$1604,"確認済"),AF22)</f>
        <v>0</v>
      </c>
      <c r="I22" s="377">
        <f>IF(I$2&lt;=締月,SUMIFS(入力_業務!$J$5:$J$1604,入力_業務!$O$5:$O$1604,"修繕費",入力_業務!$P$5:$P$1604,I$2,入力_業務!$I$5:$I$1604,"確認済"),AG22)</f>
        <v>0</v>
      </c>
      <c r="J22" s="377">
        <f>IF(J$2&lt;=締月,SUMIFS(入力_業務!$J$5:$J$1604,入力_業務!$O$5:$O$1604,"修繕費",入力_業務!$P$5:$P$1604,J$2,入力_業務!$I$5:$I$1604,"確認済"),AH22)</f>
        <v>0</v>
      </c>
      <c r="K22" s="377">
        <f>IF(K$2&lt;=締月,SUMIFS(入力_業務!$J$5:$J$1604,入力_業務!$O$5:$O$1604,"修繕費",入力_業務!$P$5:$P$1604,K$2,入力_業務!$I$5:$I$1604,"確認済"),AI22)</f>
        <v>0</v>
      </c>
      <c r="L22" s="377">
        <f>IF(L$2&lt;=締月,SUMIFS(入力_業務!$J$5:$J$1604,入力_業務!$O$5:$O$1604,"修繕費",入力_業務!$P$5:$P$1604,L$2,入力_業務!$I$5:$I$1604,"確認済"),AJ22)</f>
        <v>0</v>
      </c>
      <c r="M22" s="377">
        <f>IF(M$2&lt;=締月,SUMIFS(入力_業務!$J$5:$J$1604,入力_業務!$O$5:$O$1604,"修繕費",入力_業務!$P$5:$P$1604,M$2,入力_業務!$I$5:$I$1604,"確認済"),AK22)</f>
        <v>0</v>
      </c>
      <c r="N22" s="377">
        <f>IF(N$2&lt;=締月,SUMIFS(入力_業務!$J$5:$J$1604,入力_業務!$O$5:$O$1604,"修繕費",入力_業務!$P$5:$P$1604,N$2,入力_業務!$I$5:$I$1604,"確認済"),AL22)</f>
        <v>0</v>
      </c>
      <c r="O22" s="377">
        <f>IF(O$2&lt;=締月,SUMIFS(入力_業務!$J$5:$J$1604,入力_業務!$O$5:$O$1604,"修繕費",入力_業務!$P$5:$P$1604,O$2,入力_業務!$I$5:$I$1604,"確認済"),AM22)</f>
        <v>0</v>
      </c>
      <c r="P22" s="377">
        <f>SUM(C22:O22)</f>
        <v>0</v>
      </c>
      <c r="Q22" s="398" t="n">
        <v>0</v>
      </c>
      <c r="R22" s="393" t="n"/>
      <c r="S22" s="377">
        <f>SUM(Q22:R22)</f>
        <v>0</v>
      </c>
      <c r="T22" s="377">
        <f>S22-P22</f>
        <v>0</v>
      </c>
      <c r="U22" s="373" t="n"/>
      <c r="V22" s="378">
        <f>SUMIF($C$2:$N$2,"&lt;="&amp;締月,C22:N22)</f>
        <v>0</v>
      </c>
      <c r="W22" s="378">
        <f>S22-V22</f>
        <v>0</v>
      </c>
      <c r="X22" s="399" t="n">
        <v>1</v>
      </c>
      <c r="AA22" s="400" t="n">
        <v>0</v>
      </c>
      <c r="AB22" s="400" t="n">
        <v>0</v>
      </c>
      <c r="AC22" s="400" t="n">
        <v>0</v>
      </c>
      <c r="AD22" s="400" t="n">
        <v>0</v>
      </c>
      <c r="AE22" s="400" t="n">
        <v>0</v>
      </c>
      <c r="AF22" s="400" t="n">
        <v>0</v>
      </c>
      <c r="AG22" s="400" t="n">
        <v>0</v>
      </c>
      <c r="AH22" s="400" t="n">
        <v>0</v>
      </c>
      <c r="AI22" s="400" t="n">
        <v>0</v>
      </c>
      <c r="AJ22" s="400" t="n">
        <v>0</v>
      </c>
      <c r="AK22" s="400" t="n">
        <v>0</v>
      </c>
      <c r="AL22" s="400" t="n">
        <v>0</v>
      </c>
      <c r="AM22" s="400" t="n"/>
    </row>
    <row r="23" ht="18" customHeight="1" s="322">
      <c r="A23" s="376" t="inlineStr">
        <is>
          <t>賃借料</t>
        </is>
      </c>
      <c r="B23" s="343" t="n"/>
      <c r="C23" s="377">
        <f>IF(C$2&lt;=締月,SUMIFS(入力_業務!$J$5:$J$1604,入力_業務!$O$5:$O$1604,"賃借料",入力_業務!$P$5:$P$1604,C$2,入力_業務!$I$5:$I$1604,"確認済"),AA23)</f>
        <v>0</v>
      </c>
      <c r="D23" s="377">
        <f>IF(D$2&lt;=締月,SUMIFS(入力_業務!$J$5:$J$1604,入力_業務!$O$5:$O$1604,"賃借料",入力_業務!$P$5:$P$1604,D$2,入力_業務!$I$5:$I$1604,"確認済"),AB23)</f>
        <v>690732</v>
      </c>
      <c r="E23" s="377">
        <f>IF(E$2&lt;=締月,SUMIFS(入力_業務!$J$5:$J$1604,入力_業務!$O$5:$O$1604,"賃借料",入力_業務!$P$5:$P$1604,E$2,入力_業務!$I$5:$I$1604,"確認済"),AC23)</f>
        <v>690732</v>
      </c>
      <c r="F23" s="377">
        <f>IF(F$2&lt;=締月,SUMIFS(入力_業務!$J$5:$J$1604,入力_業務!$O$5:$O$1604,"賃借料",入力_業務!$P$5:$P$1604,F$2,入力_業務!$I$5:$I$1604,"確認済"),AD23)</f>
        <v>690732</v>
      </c>
      <c r="G23" s="377">
        <f>IF(G$2&lt;=締月,SUMIFS(入力_業務!$J$5:$J$1604,入力_業務!$O$5:$O$1604,"賃借料",入力_業務!$P$5:$P$1604,G$2,入力_業務!$I$5:$I$1604,"確認済"),AE23)</f>
        <v>690732</v>
      </c>
      <c r="H23" s="377">
        <f>IF(H$2&lt;=締月,SUMIFS(入力_業務!$J$5:$J$1604,入力_業務!$O$5:$O$1604,"賃借料",入力_業務!$P$5:$P$1604,H$2,入力_業務!$I$5:$I$1604,"確認済"),AF23)</f>
        <v>690732</v>
      </c>
      <c r="I23" s="377">
        <f>IF(I$2&lt;=締月,SUMIFS(入力_業務!$J$5:$J$1604,入力_業務!$O$5:$O$1604,"賃借料",入力_業務!$P$5:$P$1604,I$2,入力_業務!$I$5:$I$1604,"確認済"),AG23)</f>
        <v>690732</v>
      </c>
      <c r="J23" s="377">
        <f>IF(J$2&lt;=締月,SUMIFS(入力_業務!$J$5:$J$1604,入力_業務!$O$5:$O$1604,"賃借料",入力_業務!$P$5:$P$1604,J$2,入力_業務!$I$5:$I$1604,"確認済"),AH23)</f>
        <v>690732</v>
      </c>
      <c r="K23" s="377">
        <f>IF(K$2&lt;=締月,SUMIFS(入力_業務!$J$5:$J$1604,入力_業務!$O$5:$O$1604,"賃借料",入力_業務!$P$5:$P$1604,K$2,入力_業務!$I$5:$I$1604,"確認済"),AI23)</f>
        <v>690732</v>
      </c>
      <c r="L23" s="377">
        <f>IF(L$2&lt;=締月,SUMIFS(入力_業務!$J$5:$J$1604,入力_業務!$O$5:$O$1604,"賃借料",入力_業務!$P$5:$P$1604,L$2,入力_業務!$I$5:$I$1604,"確認済"),AJ23)</f>
        <v>690732</v>
      </c>
      <c r="M23" s="377">
        <f>IF(M$2&lt;=締月,SUMIFS(入力_業務!$J$5:$J$1604,入力_業務!$O$5:$O$1604,"賃借料",入力_業務!$P$5:$P$1604,M$2,入力_業務!$I$5:$I$1604,"確認済"),AK23)</f>
        <v>690732</v>
      </c>
      <c r="N23" s="377">
        <f>IF(N$2&lt;=締月,SUMIFS(入力_業務!$J$5:$J$1604,入力_業務!$O$5:$O$1604,"賃借料",入力_業務!$P$5:$P$1604,N$2,入力_業務!$I$5:$I$1604,"確認済"),AL23)</f>
        <v>690732</v>
      </c>
      <c r="O23" s="377">
        <f>IF(O$2&lt;=締月,SUMIFS(入力_業務!$J$5:$J$1604,入力_業務!$O$5:$O$1604,"賃借料",入力_業務!$P$5:$P$1604,O$2,入力_業務!$I$5:$I$1604,"確認済"),AM23)</f>
        <v>476415</v>
      </c>
      <c r="P23" s="377">
        <f>SUM(C23:O23)</f>
        <v>8074467</v>
      </c>
      <c r="Q23" s="398" t="n">
        <v>8441000</v>
      </c>
      <c r="R23" s="393" t="n"/>
      <c r="S23" s="377">
        <f>SUM(Q23:R23)</f>
        <v>8441000</v>
      </c>
      <c r="T23" s="377">
        <f>S23-P23</f>
        <v>366533</v>
      </c>
      <c r="U23" s="373" t="n"/>
      <c r="V23" s="378">
        <f>SUMIF($C$2:$N$2,"&lt;="&amp;締月,C23:N23)</f>
        <v>3453660</v>
      </c>
      <c r="W23" s="378">
        <f>S23-V23</f>
        <v>4987340</v>
      </c>
      <c r="X23" s="399" t="n">
        <v>1</v>
      </c>
      <c r="AA23" s="400" t="n">
        <v>0</v>
      </c>
      <c r="AB23" s="400" t="n">
        <v>690732</v>
      </c>
      <c r="AC23" s="400" t="n">
        <v>690732</v>
      </c>
      <c r="AD23" s="400" t="n">
        <v>690732</v>
      </c>
      <c r="AE23" s="400" t="n">
        <v>690732</v>
      </c>
      <c r="AF23" s="400" t="n">
        <v>690732</v>
      </c>
      <c r="AG23" s="400" t="n">
        <v>690732</v>
      </c>
      <c r="AH23" s="400" t="n">
        <v>690732</v>
      </c>
      <c r="AI23" s="400" t="n">
        <v>690732</v>
      </c>
      <c r="AJ23" s="400" t="n">
        <v>690732</v>
      </c>
      <c r="AK23" s="400" t="n">
        <v>690732</v>
      </c>
      <c r="AL23" s="400" t="n">
        <v>690732</v>
      </c>
      <c r="AM23" s="400" t="n">
        <v>476415</v>
      </c>
    </row>
    <row r="24" ht="18" customHeight="1" s="322">
      <c r="A24" s="376" t="inlineStr">
        <is>
          <t>普及費</t>
        </is>
      </c>
      <c r="B24" s="343" t="n"/>
      <c r="C24" s="377">
        <f>IF(C$2&lt;=締月,SUMIFS(入力_業務!$J$5:$J$1604,入力_業務!$O$5:$O$1604,"普及費",入力_業務!$P$5:$P$1604,C$2,入力_業務!$I$5:$I$1604,"確認済"),AA24)</f>
        <v>0</v>
      </c>
      <c r="D24" s="377">
        <f>IF(D$2&lt;=締月,SUMIFS(入力_業務!$J$5:$J$1604,入力_業務!$O$5:$O$1604,"普及費",入力_業務!$P$5:$P$1604,D$2,入力_業務!$I$5:$I$1604,"確認済"),AB24)</f>
        <v>0</v>
      </c>
      <c r="E24" s="377">
        <f>IF(E$2&lt;=締月,SUMIFS(入力_業務!$J$5:$J$1604,入力_業務!$O$5:$O$1604,"普及費",入力_業務!$P$5:$P$1604,E$2,入力_業務!$I$5:$I$1604,"確認済"),AC24)</f>
        <v>0</v>
      </c>
      <c r="F24" s="377">
        <f>IF(F$2&lt;=締月,SUMIFS(入力_業務!$J$5:$J$1604,入力_業務!$O$5:$O$1604,"普及費",入力_業務!$P$5:$P$1604,F$2,入力_業務!$I$5:$I$1604,"確認済"),AD24)</f>
        <v>0</v>
      </c>
      <c r="G24" s="377">
        <f>IF(G$2&lt;=締月,SUMIFS(入力_業務!$J$5:$J$1604,入力_業務!$O$5:$O$1604,"普及費",入力_業務!$P$5:$P$1604,G$2,入力_業務!$I$5:$I$1604,"確認済"),AE24)</f>
        <v>371265</v>
      </c>
      <c r="H24" s="377">
        <f>IF(H$2&lt;=締月,SUMIFS(入力_業務!$J$5:$J$1604,入力_業務!$O$5:$O$1604,"普及費",入力_業務!$P$5:$P$1604,H$2,入力_業務!$I$5:$I$1604,"確認済"),AF24)</f>
        <v>0</v>
      </c>
      <c r="I24" s="377">
        <f>IF(I$2&lt;=締月,SUMIFS(入力_業務!$J$5:$J$1604,入力_業務!$O$5:$O$1604,"普及費",入力_業務!$P$5:$P$1604,I$2,入力_業務!$I$5:$I$1604,"確認済"),AG24)</f>
        <v>0</v>
      </c>
      <c r="J24" s="377">
        <f>IF(J$2&lt;=締月,SUMIFS(入力_業務!$J$5:$J$1604,入力_業務!$O$5:$O$1604,"普及費",入力_業務!$P$5:$P$1604,J$2,入力_業務!$I$5:$I$1604,"確認済"),AH24)</f>
        <v>277667</v>
      </c>
      <c r="K24" s="377">
        <f>IF(K$2&lt;=締月,SUMIFS(入力_業務!$J$5:$J$1604,入力_業務!$O$5:$O$1604,"普及費",入力_業務!$P$5:$P$1604,K$2,入力_業務!$I$5:$I$1604,"確認済"),AI24)</f>
        <v>0</v>
      </c>
      <c r="L24" s="377">
        <f>IF(L$2&lt;=締月,SUMIFS(入力_業務!$J$5:$J$1604,入力_業務!$O$5:$O$1604,"普及費",入力_業務!$P$5:$P$1604,L$2,入力_業務!$I$5:$I$1604,"確認済"),AJ24)</f>
        <v>199257</v>
      </c>
      <c r="M24" s="377">
        <f>IF(M$2&lt;=締月,SUMIFS(入力_業務!$J$5:$J$1604,入力_業務!$O$5:$O$1604,"普及費",入力_業務!$P$5:$P$1604,M$2,入力_業務!$I$5:$I$1604,"確認済"),AK24)</f>
        <v>0</v>
      </c>
      <c r="N24" s="377">
        <f>IF(N$2&lt;=締月,SUMIFS(入力_業務!$J$5:$J$1604,入力_業務!$O$5:$O$1604,"普及費",入力_業務!$P$5:$P$1604,N$2,入力_業務!$I$5:$I$1604,"確認済"),AL24)</f>
        <v>0</v>
      </c>
      <c r="O24" s="377">
        <f>IF(O$2&lt;=締月,SUMIFS(入力_業務!$J$5:$J$1604,入力_業務!$O$5:$O$1604,"普及費",入力_業務!$P$5:$P$1604,O$2,入力_業務!$I$5:$I$1604,"確認済"),AM24)</f>
        <v>441809</v>
      </c>
      <c r="P24" s="377">
        <f>SUM(C24:O24)</f>
        <v>1289998</v>
      </c>
      <c r="Q24" s="398" t="n">
        <v>1532000</v>
      </c>
      <c r="R24" s="393" t="n"/>
      <c r="S24" s="377">
        <f>SUM(Q24:R24)</f>
        <v>1532000</v>
      </c>
      <c r="T24" s="377">
        <f>S24-P24</f>
        <v>242002</v>
      </c>
      <c r="U24" s="373" t="n"/>
      <c r="V24" s="378">
        <f>SUMIF($C$2:$N$2,"&lt;="&amp;締月,C24:N24)</f>
        <v>371265</v>
      </c>
      <c r="W24" s="378">
        <f>S24-V24</f>
        <v>1160735</v>
      </c>
      <c r="X24" s="399" t="n">
        <v>1</v>
      </c>
      <c r="AA24" s="400" t="n">
        <v>0</v>
      </c>
      <c r="AB24" s="400" t="n">
        <v>0</v>
      </c>
      <c r="AC24" s="400" t="n">
        <v>0</v>
      </c>
      <c r="AD24" s="400" t="n">
        <v>0</v>
      </c>
      <c r="AE24" s="400" t="n">
        <v>371265</v>
      </c>
      <c r="AF24" s="400" t="n">
        <v>0</v>
      </c>
      <c r="AG24" s="400" t="n">
        <v>0</v>
      </c>
      <c r="AH24" s="400" t="n">
        <v>277667</v>
      </c>
      <c r="AI24" s="400" t="n">
        <v>0</v>
      </c>
      <c r="AJ24" s="400" t="n">
        <v>199257</v>
      </c>
      <c r="AK24" s="400" t="n">
        <v>0</v>
      </c>
      <c r="AL24" s="400" t="n">
        <v>0</v>
      </c>
      <c r="AM24" s="400" t="n">
        <v>441809</v>
      </c>
    </row>
    <row r="25" ht="18" customHeight="1" s="322">
      <c r="A25" s="376" t="inlineStr">
        <is>
          <t>諸謝金</t>
        </is>
      </c>
      <c r="B25" s="343" t="n"/>
      <c r="C25" s="377">
        <f>IF(C$2&lt;=締月,SUMIFS(入力_業務!$J$5:$J$1604,入力_業務!$O$5:$O$1604,"諸謝金",入力_業務!$P$5:$P$1604,C$2,入力_業務!$I$5:$I$1604,"確認済"),AA25)</f>
        <v>0</v>
      </c>
      <c r="D25" s="377">
        <f>IF(D$2&lt;=締月,SUMIFS(入力_業務!$J$5:$J$1604,入力_業務!$O$5:$O$1604,"諸謝金",入力_業務!$P$5:$P$1604,D$2,入力_業務!$I$5:$I$1604,"確認済"),AB25)</f>
        <v>0</v>
      </c>
      <c r="E25" s="377">
        <f>IF(E$2&lt;=締月,SUMIFS(入力_業務!$J$5:$J$1604,入力_業務!$O$5:$O$1604,"諸謝金",入力_業務!$P$5:$P$1604,E$2,入力_業務!$I$5:$I$1604,"確認済"),AC25)</f>
        <v>0</v>
      </c>
      <c r="F25" s="377">
        <f>IF(F$2&lt;=締月,SUMIFS(入力_業務!$J$5:$J$1604,入力_業務!$O$5:$O$1604,"諸謝金",入力_業務!$P$5:$P$1604,F$2,入力_業務!$I$5:$I$1604,"確認済"),AD25)</f>
        <v>0</v>
      </c>
      <c r="G25" s="377">
        <f>IF(G$2&lt;=締月,SUMIFS(入力_業務!$J$5:$J$1604,入力_業務!$O$5:$O$1604,"諸謝金",入力_業務!$P$5:$P$1604,G$2,入力_業務!$I$5:$I$1604,"確認済"),AE25)</f>
        <v>0</v>
      </c>
      <c r="H25" s="377">
        <f>IF(H$2&lt;=締月,SUMIFS(入力_業務!$J$5:$J$1604,入力_業務!$O$5:$O$1604,"諸謝金",入力_業務!$P$5:$P$1604,H$2,入力_業務!$I$5:$I$1604,"確認済"),AF25)</f>
        <v>0</v>
      </c>
      <c r="I25" s="377">
        <f>IF(I$2&lt;=締月,SUMIFS(入力_業務!$J$5:$J$1604,入力_業務!$O$5:$O$1604,"諸謝金",入力_業務!$P$5:$P$1604,I$2,入力_業務!$I$5:$I$1604,"確認済"),AG25)</f>
        <v>0</v>
      </c>
      <c r="J25" s="377">
        <f>IF(J$2&lt;=締月,SUMIFS(入力_業務!$J$5:$J$1604,入力_業務!$O$5:$O$1604,"諸謝金",入力_業務!$P$5:$P$1604,J$2,入力_業務!$I$5:$I$1604,"確認済"),AH25)</f>
        <v>0</v>
      </c>
      <c r="K25" s="377">
        <f>IF(K$2&lt;=締月,SUMIFS(入力_業務!$J$5:$J$1604,入力_業務!$O$5:$O$1604,"諸謝金",入力_業務!$P$5:$P$1604,K$2,入力_業務!$I$5:$I$1604,"確認済"),AI25)</f>
        <v>0</v>
      </c>
      <c r="L25" s="377">
        <f>IF(L$2&lt;=締月,SUMIFS(入力_業務!$J$5:$J$1604,入力_業務!$O$5:$O$1604,"諸謝金",入力_業務!$P$5:$P$1604,L$2,入力_業務!$I$5:$I$1604,"確認済"),AJ25)</f>
        <v>0</v>
      </c>
      <c r="M25" s="377">
        <f>IF(M$2&lt;=締月,SUMIFS(入力_業務!$J$5:$J$1604,入力_業務!$O$5:$O$1604,"諸謝金",入力_業務!$P$5:$P$1604,M$2,入力_業務!$I$5:$I$1604,"確認済"),AK25)</f>
        <v>0</v>
      </c>
      <c r="N25" s="377">
        <f>IF(N$2&lt;=締月,SUMIFS(入力_業務!$J$5:$J$1604,入力_業務!$O$5:$O$1604,"諸謝金",入力_業務!$P$5:$P$1604,N$2,入力_業務!$I$5:$I$1604,"確認済"),AL25)</f>
        <v>0</v>
      </c>
      <c r="O25" s="377">
        <f>IF(O$2&lt;=締月,SUMIFS(入力_業務!$J$5:$J$1604,入力_業務!$O$5:$O$1604,"諸謝金",入力_業務!$P$5:$P$1604,O$2,入力_業務!$I$5:$I$1604,"確認済"),AM25)</f>
        <v>0</v>
      </c>
      <c r="P25" s="377">
        <f>SUM(C25:O25)</f>
        <v>0</v>
      </c>
      <c r="Q25" s="398" t="n">
        <v>0</v>
      </c>
      <c r="R25" s="393" t="n"/>
      <c r="S25" s="377">
        <f>SUM(Q25:R25)</f>
        <v>0</v>
      </c>
      <c r="T25" s="377">
        <f>S25-P25</f>
        <v>0</v>
      </c>
      <c r="U25" s="373" t="n"/>
      <c r="V25" s="378">
        <f>SUMIF($C$2:$N$2,"&lt;="&amp;締月,C25:N25)</f>
        <v>0</v>
      </c>
      <c r="W25" s="378">
        <f>S25-V25</f>
        <v>0</v>
      </c>
      <c r="X25" s="399" t="n">
        <v>1</v>
      </c>
      <c r="AA25" s="400" t="n">
        <v>0</v>
      </c>
      <c r="AB25" s="400" t="n">
        <v>0</v>
      </c>
      <c r="AC25" s="400" t="n">
        <v>0</v>
      </c>
      <c r="AD25" s="400" t="n">
        <v>0</v>
      </c>
      <c r="AE25" s="400" t="n">
        <v>0</v>
      </c>
      <c r="AF25" s="400" t="n">
        <v>0</v>
      </c>
      <c r="AG25" s="400" t="n">
        <v>0</v>
      </c>
      <c r="AH25" s="400" t="n">
        <v>0</v>
      </c>
      <c r="AI25" s="400" t="n">
        <v>0</v>
      </c>
      <c r="AJ25" s="400" t="n">
        <v>0</v>
      </c>
      <c r="AK25" s="400" t="n">
        <v>0</v>
      </c>
      <c r="AL25" s="400" t="n">
        <v>0</v>
      </c>
      <c r="AM25" s="400" t="n">
        <v>0</v>
      </c>
    </row>
    <row r="26" ht="18" customHeight="1" s="322">
      <c r="A26" s="376" t="inlineStr">
        <is>
          <t>負担金</t>
        </is>
      </c>
      <c r="B26" s="376" t="inlineStr">
        <is>
          <t>会議出席負担金等</t>
        </is>
      </c>
      <c r="C26" s="377">
        <f>IF(C$2&lt;=締月,SUMIFS(入力_業務!$J$5:$J$1604,入力_業務!$O$5:$O$1604,"会議出席負担金等",入力_業務!$P$5:$P$1604,C$2,入力_業務!$I$5:$I$1604,"確認済"),AA26)</f>
        <v>0</v>
      </c>
      <c r="D26" s="377">
        <f>IF(D$2&lt;=締月,SUMIFS(入力_業務!$J$5:$J$1604,入力_業務!$O$5:$O$1604,"会議出席負担金等",入力_業務!$P$5:$P$1604,D$2,入力_業務!$I$5:$I$1604,"確認済"),AB26)</f>
        <v>0</v>
      </c>
      <c r="E26" s="377">
        <f>IF(E$2&lt;=締月,SUMIFS(入力_業務!$J$5:$J$1604,入力_業務!$O$5:$O$1604,"会議出席負担金等",入力_業務!$P$5:$P$1604,E$2,入力_業務!$I$5:$I$1604,"確認済"),AC26)</f>
        <v>0</v>
      </c>
      <c r="F26" s="377">
        <f>IF(F$2&lt;=締月,SUMIFS(入力_業務!$J$5:$J$1604,入力_業務!$O$5:$O$1604,"会議出席負担金等",入力_業務!$P$5:$P$1604,F$2,入力_業務!$I$5:$I$1604,"確認済"),AD26)</f>
        <v>0</v>
      </c>
      <c r="G26" s="377">
        <f>IF(G$2&lt;=締月,SUMIFS(入力_業務!$J$5:$J$1604,入力_業務!$O$5:$O$1604,"会議出席負担金等",入力_業務!$P$5:$P$1604,G$2,入力_業務!$I$5:$I$1604,"確認済"),AE26)</f>
        <v>0</v>
      </c>
      <c r="H26" s="377">
        <f>IF(H$2&lt;=締月,SUMIFS(入力_業務!$J$5:$J$1604,入力_業務!$O$5:$O$1604,"会議出席負担金等",入力_業務!$P$5:$P$1604,H$2,入力_業務!$I$5:$I$1604,"確認済"),AF26)</f>
        <v>0</v>
      </c>
      <c r="I26" s="377">
        <f>IF(I$2&lt;=締月,SUMIFS(入力_業務!$J$5:$J$1604,入力_業務!$O$5:$O$1604,"会議出席負担金等",入力_業務!$P$5:$P$1604,I$2,入力_業務!$I$5:$I$1604,"確認済"),AG26)</f>
        <v>0</v>
      </c>
      <c r="J26" s="377">
        <f>IF(J$2&lt;=締月,SUMIFS(入力_業務!$J$5:$J$1604,入力_業務!$O$5:$O$1604,"会議出席負担金等",入力_業務!$P$5:$P$1604,J$2,入力_業務!$I$5:$I$1604,"確認済"),AH26)</f>
        <v>0</v>
      </c>
      <c r="K26" s="377">
        <f>IF(K$2&lt;=締月,SUMIFS(入力_業務!$J$5:$J$1604,入力_業務!$O$5:$O$1604,"会議出席負担金等",入力_業務!$P$5:$P$1604,K$2,入力_業務!$I$5:$I$1604,"確認済"),AI26)</f>
        <v>0</v>
      </c>
      <c r="L26" s="377">
        <f>IF(L$2&lt;=締月,SUMIFS(入力_業務!$J$5:$J$1604,入力_業務!$O$5:$O$1604,"会議出席負担金等",入力_業務!$P$5:$P$1604,L$2,入力_業務!$I$5:$I$1604,"確認済"),AJ26)</f>
        <v>0</v>
      </c>
      <c r="M26" s="377">
        <f>IF(M$2&lt;=締月,SUMIFS(入力_業務!$J$5:$J$1604,入力_業務!$O$5:$O$1604,"会議出席負担金等",入力_業務!$P$5:$P$1604,M$2,入力_業務!$I$5:$I$1604,"確認済"),AK26)</f>
        <v>0</v>
      </c>
      <c r="N26" s="377">
        <f>IF(N$2&lt;=締月,SUMIFS(入力_業務!$J$5:$J$1604,入力_業務!$O$5:$O$1604,"会議出席負担金等",入力_業務!$P$5:$P$1604,N$2,入力_業務!$I$5:$I$1604,"確認済"),AL26)</f>
        <v>0</v>
      </c>
      <c r="O26" s="377">
        <f>IF(O$2&lt;=締月,SUMIFS(入力_業務!$J$5:$J$1604,入力_業務!$O$5:$O$1604,"会議出席負担金等",入力_業務!$P$5:$P$1604,O$2,入力_業務!$I$5:$I$1604,"確認済"),AM26)</f>
        <v>0</v>
      </c>
      <c r="P26" s="377">
        <f>SUM(C26:O26)</f>
        <v>0</v>
      </c>
      <c r="Q26" s="398" t="n">
        <v>0</v>
      </c>
      <c r="R26" s="393" t="n"/>
      <c r="S26" s="377">
        <f>SUM(Q26:R26)</f>
        <v>0</v>
      </c>
      <c r="T26" s="377">
        <f>S26-P26</f>
        <v>0</v>
      </c>
      <c r="U26" s="373" t="n"/>
      <c r="V26" s="378">
        <f>SUMIF($C$2:$N$2,"&lt;="&amp;締月,C26:N26)</f>
        <v>0</v>
      </c>
      <c r="W26" s="378">
        <f>S26-V26</f>
        <v>0</v>
      </c>
      <c r="X26" s="399" t="n">
        <v>1</v>
      </c>
      <c r="AA26" s="400" t="n">
        <v>0</v>
      </c>
      <c r="AB26" s="400" t="n">
        <v>0</v>
      </c>
      <c r="AC26" s="400" t="n">
        <v>0</v>
      </c>
      <c r="AD26" s="400" t="n">
        <v>0</v>
      </c>
      <c r="AE26" s="400" t="n">
        <v>0</v>
      </c>
      <c r="AF26" s="400" t="n">
        <v>0</v>
      </c>
      <c r="AG26" s="400" t="n">
        <v>0</v>
      </c>
      <c r="AH26" s="400" t="n">
        <v>0</v>
      </c>
      <c r="AI26" s="400" t="n">
        <v>0</v>
      </c>
      <c r="AJ26" s="400" t="n">
        <v>0</v>
      </c>
      <c r="AK26" s="400" t="n">
        <v>0</v>
      </c>
      <c r="AL26" s="400" t="n">
        <v>0</v>
      </c>
      <c r="AM26" s="400" t="n">
        <v>0</v>
      </c>
    </row>
    <row r="27" ht="18" customHeight="1" s="322">
      <c r="A27" s="343" t="n"/>
      <c r="B27" s="376" t="inlineStr">
        <is>
          <t>互助会費</t>
        </is>
      </c>
      <c r="C27" s="377">
        <f>IF(C$2&lt;=締月,SUMIFS(入力_業務!$J$5:$J$1604,入力_業務!$O$5:$O$1604,"互助会費",入力_業務!$P$5:$P$1604,C$2,入力_業務!$I$5:$I$1604,"確認済"),AA27)</f>
        <v>240</v>
      </c>
      <c r="D27" s="377">
        <f>IF(D$2&lt;=締月,SUMIFS(入力_業務!$J$5:$J$1604,入力_業務!$O$5:$O$1604,"互助会費",入力_業務!$P$5:$P$1604,D$2,入力_業務!$I$5:$I$1604,"確認済"),AB27)</f>
        <v>240</v>
      </c>
      <c r="E27" s="377">
        <f>IF(E$2&lt;=締月,SUMIFS(入力_業務!$J$5:$J$1604,入力_業務!$O$5:$O$1604,"互助会費",入力_業務!$P$5:$P$1604,E$2,入力_業務!$I$5:$I$1604,"確認済"),AC27)</f>
        <v>240</v>
      </c>
      <c r="F27" s="377">
        <f>IF(F$2&lt;=締月,SUMIFS(入力_業務!$J$5:$J$1604,入力_業務!$O$5:$O$1604,"互助会費",入力_業務!$P$5:$P$1604,F$2,入力_業務!$I$5:$I$1604,"確認済"),AD27)</f>
        <v>240</v>
      </c>
      <c r="G27" s="377">
        <f>IF(G$2&lt;=締月,SUMIFS(入力_業務!$J$5:$J$1604,入力_業務!$O$5:$O$1604,"互助会費",入力_業務!$P$5:$P$1604,G$2,入力_業務!$I$5:$I$1604,"確認済"),AE27)</f>
        <v>240</v>
      </c>
      <c r="H27" s="377">
        <f>IF(H$2&lt;=締月,SUMIFS(入力_業務!$J$5:$J$1604,入力_業務!$O$5:$O$1604,"互助会費",入力_業務!$P$5:$P$1604,H$2,入力_業務!$I$5:$I$1604,"確認済"),AF27)</f>
        <v>240</v>
      </c>
      <c r="I27" s="377">
        <f>IF(I$2&lt;=締月,SUMIFS(入力_業務!$J$5:$J$1604,入力_業務!$O$5:$O$1604,"互助会費",入力_業務!$P$5:$P$1604,I$2,入力_業務!$I$5:$I$1604,"確認済"),AG27)</f>
        <v>276</v>
      </c>
      <c r="J27" s="377">
        <f>IF(J$2&lt;=締月,SUMIFS(入力_業務!$J$5:$J$1604,入力_業務!$O$5:$O$1604,"互助会費",入力_業務!$P$5:$P$1604,J$2,入力_業務!$I$5:$I$1604,"確認済"),AH27)</f>
        <v>276</v>
      </c>
      <c r="K27" s="377">
        <f>IF(K$2&lt;=締月,SUMIFS(入力_業務!$J$5:$J$1604,入力_業務!$O$5:$O$1604,"互助会費",入力_業務!$P$5:$P$1604,K$2,入力_業務!$I$5:$I$1604,"確認済"),AI27)</f>
        <v>276</v>
      </c>
      <c r="L27" s="377">
        <f>IF(L$2&lt;=締月,SUMIFS(入力_業務!$J$5:$J$1604,入力_業務!$O$5:$O$1604,"互助会費",入力_業務!$P$5:$P$1604,L$2,入力_業務!$I$5:$I$1604,"確認済"),AJ27)</f>
        <v>356</v>
      </c>
      <c r="M27" s="377">
        <f>IF(M$2&lt;=締月,SUMIFS(入力_業務!$J$5:$J$1604,入力_業務!$O$5:$O$1604,"互助会費",入力_業務!$P$5:$P$1604,M$2,入力_業務!$I$5:$I$1604,"確認済"),AK27)</f>
        <v>284</v>
      </c>
      <c r="N27" s="377">
        <f>IF(N$2&lt;=締月,SUMIFS(入力_業務!$J$5:$J$1604,入力_業務!$O$5:$O$1604,"互助会費",入力_業務!$P$5:$P$1604,N$2,入力_業務!$I$5:$I$1604,"確認済"),AL27)</f>
        <v>284</v>
      </c>
      <c r="O27" s="377">
        <f>IF(O$2&lt;=締月,SUMIFS(入力_業務!$J$5:$J$1604,入力_業務!$O$5:$O$1604,"互助会費",入力_業務!$P$5:$P$1604,O$2,入力_業務!$I$5:$I$1604,"確認済"),AM27)</f>
        <v>0</v>
      </c>
      <c r="P27" s="377">
        <f>SUM(C27:O27)</f>
        <v>3192</v>
      </c>
      <c r="Q27" s="398" t="n">
        <v>1665000</v>
      </c>
      <c r="R27" s="401" t="n"/>
      <c r="S27" s="377">
        <f>SUM(Q27:R27)</f>
        <v>1665000</v>
      </c>
      <c r="T27" s="377">
        <f>S27-P27</f>
        <v>1661808</v>
      </c>
      <c r="U27" s="373" t="n"/>
      <c r="V27" s="378">
        <f>SUMIF($C$2:$N$2,"&lt;="&amp;締月,C27:N27)</f>
        <v>1440</v>
      </c>
      <c r="W27" s="373" t="n"/>
      <c r="X27" s="399" t="n">
        <v>1</v>
      </c>
      <c r="AA27" s="400" t="n">
        <v>240</v>
      </c>
      <c r="AB27" s="400" t="n">
        <v>240</v>
      </c>
      <c r="AC27" s="400" t="n">
        <v>240</v>
      </c>
      <c r="AD27" s="400" t="n">
        <v>240</v>
      </c>
      <c r="AE27" s="400" t="n">
        <v>240</v>
      </c>
      <c r="AF27" s="400" t="n">
        <v>240</v>
      </c>
      <c r="AG27" s="400" t="n">
        <v>276</v>
      </c>
      <c r="AH27" s="400" t="n">
        <v>276</v>
      </c>
      <c r="AI27" s="400" t="n">
        <v>276</v>
      </c>
      <c r="AJ27" s="400" t="n">
        <v>356</v>
      </c>
      <c r="AK27" s="400" t="n">
        <v>284</v>
      </c>
      <c r="AL27" s="400" t="n">
        <v>284</v>
      </c>
      <c r="AM27" s="400" t="n"/>
    </row>
    <row r="28" ht="18" customHeight="1" s="322">
      <c r="A28" s="343" t="n"/>
      <c r="B28" s="376" t="inlineStr">
        <is>
          <t>協会けんぽ保険料等</t>
        </is>
      </c>
      <c r="C28" s="377">
        <f>IF(C$2&lt;=締月,SUMIFS(入力_業務!$J$5:$J$1604,入力_業務!$O$5:$O$1604,"協会けんぽ保険料等",入力_業務!$P$5:$P$1604,C$2,入力_業務!$I$5:$I$1604,"確認済"),AA28)</f>
        <v>0</v>
      </c>
      <c r="D28" s="377">
        <f>IF(D$2&lt;=締月,SUMIFS(入力_業務!$J$5:$J$1604,入力_業務!$O$5:$O$1604,"協会けんぽ保険料等",入力_業務!$P$5:$P$1604,D$2,入力_業務!$I$5:$I$1604,"確認済"),AB28)</f>
        <v>0</v>
      </c>
      <c r="E28" s="377">
        <f>IF(E$2&lt;=締月,SUMIFS(入力_業務!$J$5:$J$1604,入力_業務!$O$5:$O$1604,"協会けんぽ保険料等",入力_業務!$P$5:$P$1604,E$2,入力_業務!$I$5:$I$1604,"確認済"),AC28)</f>
        <v>0</v>
      </c>
      <c r="F28" s="377">
        <f>IF(F$2&lt;=締月,SUMIFS(入力_業務!$J$5:$J$1604,入力_業務!$O$5:$O$1604,"協会けんぽ保険料等",入力_業務!$P$5:$P$1604,F$2,入力_業務!$I$5:$I$1604,"確認済"),AD28)</f>
        <v>0</v>
      </c>
      <c r="G28" s="377">
        <f>IF(G$2&lt;=締月,SUMIFS(入力_業務!$J$5:$J$1604,入力_業務!$O$5:$O$1604,"協会けんぽ保険料等",入力_業務!$P$5:$P$1604,G$2,入力_業務!$I$5:$I$1604,"確認済"),AE28)</f>
        <v>0</v>
      </c>
      <c r="H28" s="377">
        <f>IF(H$2&lt;=締月,SUMIFS(入力_業務!$J$5:$J$1604,入力_業務!$O$5:$O$1604,"協会けんぽ保険料等",入力_業務!$P$5:$P$1604,H$2,入力_業務!$I$5:$I$1604,"確認済"),AF28)</f>
        <v>0</v>
      </c>
      <c r="I28" s="377">
        <f>IF(I$2&lt;=締月,SUMIFS(入力_業務!$J$5:$J$1604,入力_業務!$O$5:$O$1604,"協会けんぽ保険料等",入力_業務!$P$5:$P$1604,I$2,入力_業務!$I$5:$I$1604,"確認済"),AG28)</f>
        <v>0</v>
      </c>
      <c r="J28" s="377">
        <f>IF(J$2&lt;=締月,SUMIFS(入力_業務!$J$5:$J$1604,入力_業務!$O$5:$O$1604,"協会けんぽ保険料等",入力_業務!$P$5:$P$1604,J$2,入力_業務!$I$5:$I$1604,"確認済"),AH28)</f>
        <v>0</v>
      </c>
      <c r="K28" s="377">
        <f>IF(K$2&lt;=締月,SUMIFS(入力_業務!$J$5:$J$1604,入力_業務!$O$5:$O$1604,"協会けんぽ保険料等",入力_業務!$P$5:$P$1604,K$2,入力_業務!$I$5:$I$1604,"確認済"),AI28)</f>
        <v>0</v>
      </c>
      <c r="L28" s="377">
        <f>IF(L$2&lt;=締月,SUMIFS(入力_業務!$J$5:$J$1604,入力_業務!$O$5:$O$1604,"協会けんぽ保険料等",入力_業務!$P$5:$P$1604,L$2,入力_業務!$I$5:$I$1604,"確認済"),AJ28)</f>
        <v>0</v>
      </c>
      <c r="M28" s="377">
        <f>IF(M$2&lt;=締月,SUMIFS(入力_業務!$J$5:$J$1604,入力_業務!$O$5:$O$1604,"協会けんぽ保険料等",入力_業務!$P$5:$P$1604,M$2,入力_業務!$I$5:$I$1604,"確認済"),AK28)</f>
        <v>0</v>
      </c>
      <c r="N28" s="377">
        <f>IF(N$2&lt;=締月,SUMIFS(入力_業務!$J$5:$J$1604,入力_業務!$O$5:$O$1604,"協会けんぽ保険料等",入力_業務!$P$5:$P$1604,N$2,入力_業務!$I$5:$I$1604,"確認済"),AL28)</f>
        <v>0</v>
      </c>
      <c r="O28" s="377">
        <f>IF(O$2&lt;=締月,SUMIFS(入力_業務!$J$5:$J$1604,入力_業務!$O$5:$O$1604,"協会けんぽ保険料等",入力_業務!$P$5:$P$1604,O$2,入力_業務!$I$5:$I$1604,"確認済"),AM28)</f>
        <v>0</v>
      </c>
      <c r="P28" s="377">
        <f>SUM(C28:O28)</f>
        <v>0</v>
      </c>
      <c r="Q28" s="343" t="n"/>
      <c r="R28" s="343" t="n"/>
      <c r="S28" s="343" t="n"/>
      <c r="T28" s="343" t="n"/>
      <c r="U28" s="373" t="n"/>
      <c r="V28" s="378">
        <f>SUMIF($C$2:$N$2,"&lt;="&amp;締月,C28:N28)</f>
        <v>0</v>
      </c>
      <c r="W28" s="373" t="n"/>
      <c r="X28" s="399" t="n">
        <v>1</v>
      </c>
      <c r="AA28" s="400" t="n"/>
      <c r="AB28" s="400" t="n"/>
      <c r="AC28" s="400" t="n"/>
      <c r="AD28" s="400" t="n"/>
      <c r="AE28" s="400" t="n"/>
      <c r="AF28" s="400" t="n"/>
      <c r="AG28" s="400" t="n"/>
      <c r="AH28" s="400" t="n"/>
      <c r="AI28" s="400" t="n"/>
      <c r="AJ28" s="400" t="n"/>
      <c r="AK28" s="400" t="n"/>
      <c r="AL28" s="400" t="n"/>
      <c r="AM28" s="400" t="n"/>
    </row>
    <row r="29" ht="18" customHeight="1" s="322">
      <c r="A29" s="343" t="n"/>
      <c r="B29" s="376" t="inlineStr">
        <is>
          <t>共済負担金等</t>
        </is>
      </c>
      <c r="C29" s="377">
        <f>IF(C$2&lt;=締月,SUMIFS(入力_業務!$J$5:$J$1604,入力_業務!$O$5:$O$1604,"共済負担金等",入力_業務!$P$5:$P$1604,C$2,入力_業務!$I$5:$I$1604,"確認済"),AA29)</f>
        <v>37074</v>
      </c>
      <c r="D29" s="377">
        <f>IF(D$2&lt;=締月,SUMIFS(入力_業務!$J$5:$J$1604,入力_業務!$O$5:$O$1604,"共済負担金等",入力_業務!$P$5:$P$1604,D$2,入力_業務!$I$5:$I$1604,"確認済"),AB29)</f>
        <v>37074</v>
      </c>
      <c r="E29" s="377">
        <f>IF(E$2&lt;=締月,SUMIFS(入力_業務!$J$5:$J$1604,入力_業務!$O$5:$O$1604,"共済負担金等",入力_業務!$P$5:$P$1604,E$2,入力_業務!$I$5:$I$1604,"確認済"),AC29)</f>
        <v>64323</v>
      </c>
      <c r="F29" s="377">
        <f>IF(F$2&lt;=締月,SUMIFS(入力_業務!$J$5:$J$1604,入力_業務!$O$5:$O$1604,"共済負担金等",入力_業務!$P$5:$P$1604,F$2,入力_業務!$I$5:$I$1604,"確認済"),AD29)</f>
        <v>37074</v>
      </c>
      <c r="G29" s="377">
        <f>IF(G$2&lt;=締月,SUMIFS(入力_業務!$J$5:$J$1604,入力_業務!$O$5:$O$1604,"共済負担金等",入力_業務!$P$5:$P$1604,G$2,入力_業務!$I$5:$I$1604,"確認済"),AE29)</f>
        <v>37074</v>
      </c>
      <c r="H29" s="377">
        <f>IF(H$2&lt;=締月,SUMIFS(入力_業務!$J$5:$J$1604,入力_業務!$O$5:$O$1604,"共済負担金等",入力_業務!$P$5:$P$1604,H$2,入力_業務!$I$5:$I$1604,"確認済"),AF29)</f>
        <v>37763</v>
      </c>
      <c r="I29" s="377">
        <f>IF(I$2&lt;=締月,SUMIFS(入力_業務!$J$5:$J$1604,入力_業務!$O$5:$O$1604,"共済負担金等",入力_業務!$P$5:$P$1604,I$2,入力_業務!$I$5:$I$1604,"確認済"),AG29)</f>
        <v>39697</v>
      </c>
      <c r="J29" s="377">
        <f>IF(J$2&lt;=締月,SUMIFS(入力_業務!$J$5:$J$1604,入力_業務!$O$5:$O$1604,"共済負担金等",入力_業務!$P$5:$P$1604,J$2,入力_業務!$I$5:$I$1604,"確認済"),AH29)</f>
        <v>39697</v>
      </c>
      <c r="K29" s="377">
        <f>IF(K$2&lt;=締月,SUMIFS(入力_業務!$J$5:$J$1604,入力_業務!$O$5:$O$1604,"共済負担金等",入力_業務!$P$5:$P$1604,K$2,入力_業務!$I$5:$I$1604,"確認済"),AI29)</f>
        <v>66980</v>
      </c>
      <c r="L29" s="377">
        <f>IF(L$2&lt;=締月,SUMIFS(入力_業務!$J$5:$J$1604,入力_業務!$O$5:$O$1604,"共済負担金等",入力_業務!$P$5:$P$1604,L$2,入力_業務!$I$5:$I$1604,"確認済"),AJ29)</f>
        <v>41273</v>
      </c>
      <c r="M29" s="377">
        <f>IF(M$2&lt;=締月,SUMIFS(入力_業務!$J$5:$J$1604,入力_業務!$O$5:$O$1604,"共済負担金等",入力_業務!$P$5:$P$1604,M$2,入力_業務!$I$5:$I$1604,"確認済"),AK29)</f>
        <v>39697</v>
      </c>
      <c r="N29" s="377">
        <f>IF(N$2&lt;=締月,SUMIFS(入力_業務!$J$5:$J$1604,入力_業務!$O$5:$O$1604,"共済負担金等",入力_業務!$P$5:$P$1604,N$2,入力_業務!$I$5:$I$1604,"確認済"),AL29)</f>
        <v>39697</v>
      </c>
      <c r="O29" s="377">
        <f>IF(O$2&lt;=締月,SUMIFS(入力_業務!$J$5:$J$1604,入力_業務!$O$5:$O$1604,"共済負担金等",入力_業務!$P$5:$P$1604,O$2,入力_業務!$I$5:$I$1604,"確認済"),AM29)</f>
        <v>0</v>
      </c>
      <c r="P29" s="377">
        <f>SUM(C29:O29)</f>
        <v>517423</v>
      </c>
      <c r="Q29" s="343" t="n"/>
      <c r="R29" s="343" t="n"/>
      <c r="S29" s="343" t="n"/>
      <c r="T29" s="343" t="n"/>
      <c r="U29" s="373" t="n"/>
      <c r="V29" s="378">
        <f>SUMIF($C$2:$N$2,"&lt;="&amp;締月,C29:N29)</f>
        <v>250382</v>
      </c>
      <c r="W29" s="373" t="n"/>
      <c r="X29" s="399" t="n">
        <v>1</v>
      </c>
      <c r="AA29" s="400" t="n">
        <v>37074</v>
      </c>
      <c r="AB29" s="400" t="n">
        <v>37074</v>
      </c>
      <c r="AC29" s="400" t="n">
        <v>64323</v>
      </c>
      <c r="AD29" s="400" t="n">
        <v>37074</v>
      </c>
      <c r="AE29" s="400" t="n">
        <v>37074</v>
      </c>
      <c r="AF29" s="400" t="n">
        <v>37763</v>
      </c>
      <c r="AG29" s="400" t="n">
        <v>39697</v>
      </c>
      <c r="AH29" s="400" t="n">
        <v>39697</v>
      </c>
      <c r="AI29" s="400" t="n">
        <v>66980</v>
      </c>
      <c r="AJ29" s="400" t="n">
        <v>41273</v>
      </c>
      <c r="AK29" s="400" t="n">
        <v>39697</v>
      </c>
      <c r="AL29" s="400" t="n">
        <v>39697</v>
      </c>
      <c r="AM29" s="400" t="n"/>
    </row>
    <row r="30" ht="18" customHeight="1" s="322">
      <c r="A30" s="343" t="n"/>
      <c r="B30" s="376" t="inlineStr">
        <is>
          <t>厚年負担金等</t>
        </is>
      </c>
      <c r="C30" s="377">
        <f>IF(C$2&lt;=締月,SUMIFS(入力_業務!$J$5:$J$1604,入力_業務!$O$5:$O$1604,"厚年負担金等",入力_業務!$P$5:$P$1604,C$2,入力_業務!$I$5:$I$1604,"確認済"),AA30)</f>
        <v>0</v>
      </c>
      <c r="D30" s="377">
        <f>IF(D$2&lt;=締月,SUMIFS(入力_業務!$J$5:$J$1604,入力_業務!$O$5:$O$1604,"厚年負担金等",入力_業務!$P$5:$P$1604,D$2,入力_業務!$I$5:$I$1604,"確認済"),AB30)</f>
        <v>0</v>
      </c>
      <c r="E30" s="377">
        <f>IF(E$2&lt;=締月,SUMIFS(入力_業務!$J$5:$J$1604,入力_業務!$O$5:$O$1604,"厚年負担金等",入力_業務!$P$5:$P$1604,E$2,入力_業務!$I$5:$I$1604,"確認済"),AC30)</f>
        <v>125532</v>
      </c>
      <c r="F30" s="377">
        <f>IF(F$2&lt;=締月,SUMIFS(入力_業務!$J$5:$J$1604,入力_業務!$O$5:$O$1604,"厚年負担金等",入力_業務!$P$5:$P$1604,F$2,入力_業務!$I$5:$I$1604,"確認済"),AD30)</f>
        <v>62766</v>
      </c>
      <c r="G30" s="377">
        <f>IF(G$2&lt;=締月,SUMIFS(入力_業務!$J$5:$J$1604,入力_業務!$O$5:$O$1604,"厚年負担金等",入力_業務!$P$5:$P$1604,G$2,入力_業務!$I$5:$I$1604,"確認済"),AE30)</f>
        <v>105276</v>
      </c>
      <c r="H30" s="377">
        <f>IF(H$2&lt;=締月,SUMIFS(入力_業務!$J$5:$J$1604,入力_業務!$O$5:$O$1604,"厚年負担金等",入力_業務!$P$5:$P$1604,H$2,入力_業務!$I$5:$I$1604,"確認済"),AF30)</f>
        <v>62766</v>
      </c>
      <c r="I30" s="377">
        <f>IF(I$2&lt;=締月,SUMIFS(入力_業務!$J$5:$J$1604,入力_業務!$O$5:$O$1604,"厚年負担金等",入力_業務!$P$5:$P$1604,I$2,入力_業務!$I$5:$I$1604,"確認済"),AG30)</f>
        <v>61815</v>
      </c>
      <c r="J30" s="377">
        <f>IF(J$2&lt;=締月,SUMIFS(入力_業務!$J$5:$J$1604,入力_業務!$O$5:$O$1604,"厚年負担金等",入力_業務!$P$5:$P$1604,J$2,入力_業務!$I$5:$I$1604,"確認済"),AH30)</f>
        <v>0</v>
      </c>
      <c r="K30" s="377">
        <f>IF(K$2&lt;=締月,SUMIFS(入力_業務!$J$5:$J$1604,入力_業務!$O$5:$O$1604,"厚年負担金等",入力_業務!$P$5:$P$1604,K$2,入力_業務!$I$5:$I$1604,"確認済"),AI30)</f>
        <v>59913</v>
      </c>
      <c r="L30" s="377">
        <f>IF(L$2&lt;=締月,SUMIFS(入力_業務!$J$5:$J$1604,入力_業務!$O$5:$O$1604,"厚年負担金等",入力_業務!$P$5:$P$1604,L$2,入力_業務!$I$5:$I$1604,"確認済"),AJ30)</f>
        <v>59913</v>
      </c>
      <c r="M30" s="377">
        <f>IF(M$2&lt;=締月,SUMIFS(入力_業務!$J$5:$J$1604,入力_業務!$O$5:$O$1604,"厚年負担金等",入力_業務!$P$5:$P$1604,M$2,入力_業務!$I$5:$I$1604,"確認済"),AK30)</f>
        <v>101092</v>
      </c>
      <c r="N30" s="377">
        <f>IF(N$2&lt;=締月,SUMIFS(入力_業務!$J$5:$J$1604,入力_業務!$O$5:$O$1604,"厚年負担金等",入力_業務!$P$5:$P$1604,N$2,入力_業務!$I$5:$I$1604,"確認済"),AL30)</f>
        <v>122203</v>
      </c>
      <c r="O30" s="377">
        <f>IF(O$2&lt;=締月,SUMIFS(入力_業務!$J$5:$J$1604,入力_業務!$O$5:$O$1604,"厚年負担金等",入力_業務!$P$5:$P$1604,O$2,入力_業務!$I$5:$I$1604,"確認済"),AM30)</f>
        <v>50403</v>
      </c>
      <c r="P30" s="377">
        <f>SUM(C30:O30)</f>
        <v>811679</v>
      </c>
      <c r="Q30" s="343" t="n"/>
      <c r="R30" s="343" t="n"/>
      <c r="S30" s="343" t="n"/>
      <c r="T30" s="343" t="n"/>
      <c r="U30" s="373" t="n"/>
      <c r="V30" s="378">
        <f>SUMIF($C$2:$N$2,"&lt;="&amp;締月,C30:N30)</f>
        <v>356340</v>
      </c>
      <c r="W30" s="373" t="n"/>
      <c r="X30" s="399" t="n">
        <v>1</v>
      </c>
      <c r="AA30" s="400" t="n">
        <v>0</v>
      </c>
      <c r="AB30" s="400" t="n">
        <v>0</v>
      </c>
      <c r="AC30" s="400" t="n">
        <v>125532</v>
      </c>
      <c r="AD30" s="400" t="n">
        <v>62766</v>
      </c>
      <c r="AE30" s="400" t="n">
        <v>105276</v>
      </c>
      <c r="AF30" s="400" t="n">
        <v>62766</v>
      </c>
      <c r="AG30" s="400" t="n">
        <v>61815</v>
      </c>
      <c r="AH30" s="400" t="n">
        <v>0</v>
      </c>
      <c r="AI30" s="400" t="n">
        <v>59913</v>
      </c>
      <c r="AJ30" s="400" t="n">
        <v>59913</v>
      </c>
      <c r="AK30" s="400" t="n">
        <v>101092</v>
      </c>
      <c r="AL30" s="400" t="n">
        <v>122203</v>
      </c>
      <c r="AM30" s="400" t="n">
        <v>50403</v>
      </c>
    </row>
    <row r="31" ht="18" customHeight="1" s="322">
      <c r="A31" s="343" t="n"/>
      <c r="B31" s="376" t="inlineStr">
        <is>
          <t>労災・雇用保険料</t>
        </is>
      </c>
      <c r="C31" s="377">
        <f>IF(C$2&lt;=締月,SUMIFS(入力_業務!$J$5:$J$1604,入力_業務!$O$5:$O$1604,"労災・雇用保険料",入力_業務!$P$5:$P$1604,C$2,入力_業務!$I$5:$I$1604,"確認済"),AA31)</f>
        <v>0</v>
      </c>
      <c r="D31" s="377">
        <f>IF(D$2&lt;=締月,SUMIFS(入力_業務!$J$5:$J$1604,入力_業務!$O$5:$O$1604,"労災・雇用保険料",入力_業務!$P$5:$P$1604,D$2,入力_業務!$I$5:$I$1604,"確認済"),AB31)</f>
        <v>0</v>
      </c>
      <c r="E31" s="377">
        <f>IF(E$2&lt;=締月,SUMIFS(入力_業務!$J$5:$J$1604,入力_業務!$O$5:$O$1604,"労災・雇用保険料",入力_業務!$P$5:$P$1604,E$2,入力_業務!$I$5:$I$1604,"確認済"),AC31)</f>
        <v>0</v>
      </c>
      <c r="F31" s="377">
        <f>IF(F$2&lt;=締月,SUMIFS(入力_業務!$J$5:$J$1604,入力_業務!$O$5:$O$1604,"労災・雇用保険料",入力_業務!$P$5:$P$1604,F$2,入力_業務!$I$5:$I$1604,"確認済"),AD31)</f>
        <v>108215</v>
      </c>
      <c r="G31" s="377">
        <f>IF(G$2&lt;=締月,SUMIFS(入力_業務!$J$5:$J$1604,入力_業務!$O$5:$O$1604,"労災・雇用保険料",入力_業務!$P$5:$P$1604,G$2,入力_業務!$I$5:$I$1604,"確認済"),AE31)</f>
        <v>0</v>
      </c>
      <c r="H31" s="377">
        <f>IF(H$2&lt;=締月,SUMIFS(入力_業務!$J$5:$J$1604,入力_業務!$O$5:$O$1604,"労災・雇用保険料",入力_業務!$P$5:$P$1604,H$2,入力_業務!$I$5:$I$1604,"確認済"),AF31)</f>
        <v>0</v>
      </c>
      <c r="I31" s="377">
        <f>IF(I$2&lt;=締月,SUMIFS(入力_業務!$J$5:$J$1604,入力_業務!$O$5:$O$1604,"労災・雇用保険料",入力_業務!$P$5:$P$1604,I$2,入力_業務!$I$5:$I$1604,"確認済"),AG31)</f>
        <v>0</v>
      </c>
      <c r="J31" s="377">
        <f>IF(J$2&lt;=締月,SUMIFS(入力_業務!$J$5:$J$1604,入力_業務!$O$5:$O$1604,"労災・雇用保険料",入力_業務!$P$5:$P$1604,J$2,入力_業務!$I$5:$I$1604,"確認済"),AH31)</f>
        <v>0</v>
      </c>
      <c r="K31" s="377">
        <f>IF(K$2&lt;=締月,SUMIFS(入力_業務!$J$5:$J$1604,入力_業務!$O$5:$O$1604,"労災・雇用保険料",入力_業務!$P$5:$P$1604,K$2,入力_業務!$I$5:$I$1604,"確認済"),AI31)</f>
        <v>0</v>
      </c>
      <c r="L31" s="377">
        <f>IF(L$2&lt;=締月,SUMIFS(入力_業務!$J$5:$J$1604,入力_業務!$O$5:$O$1604,"労災・雇用保険料",入力_業務!$P$5:$P$1604,L$2,入力_業務!$I$5:$I$1604,"確認済"),AJ31)</f>
        <v>0</v>
      </c>
      <c r="M31" s="377">
        <f>IF(M$2&lt;=締月,SUMIFS(入力_業務!$J$5:$J$1604,入力_業務!$O$5:$O$1604,"労災・雇用保険料",入力_業務!$P$5:$P$1604,M$2,入力_業務!$I$5:$I$1604,"確認済"),AK31)</f>
        <v>0</v>
      </c>
      <c r="N31" s="377">
        <f>IF(N$2&lt;=締月,SUMIFS(入力_業務!$J$5:$J$1604,入力_業務!$O$5:$O$1604,"労災・雇用保険料",入力_業務!$P$5:$P$1604,N$2,入力_業務!$I$5:$I$1604,"確認済"),AL31)</f>
        <v>0</v>
      </c>
      <c r="O31" s="377">
        <f>IF(O$2&lt;=締月,SUMIFS(入力_業務!$J$5:$J$1604,入力_業務!$O$5:$O$1604,"労災・雇用保険料",入力_業務!$P$5:$P$1604,O$2,入力_業務!$I$5:$I$1604,"確認済"),AM31)</f>
        <v>0</v>
      </c>
      <c r="P31" s="377">
        <f>SUM(C31:O31)</f>
        <v>108215</v>
      </c>
      <c r="Q31" s="343" t="n"/>
      <c r="R31" s="343" t="n"/>
      <c r="S31" s="343" t="n"/>
      <c r="T31" s="343" t="n"/>
      <c r="U31" s="373" t="n"/>
      <c r="V31" s="378">
        <f>SUMIF($C$2:$N$2,"&lt;="&amp;締月,C31:N31)</f>
        <v>108215</v>
      </c>
      <c r="W31" s="373" t="n"/>
      <c r="X31" s="399" t="n">
        <v>1</v>
      </c>
      <c r="AA31" s="400" t="n"/>
      <c r="AB31" s="400" t="n"/>
      <c r="AC31" s="400" t="n"/>
      <c r="AD31" s="400" t="n">
        <v>108215</v>
      </c>
      <c r="AE31" s="400" t="n"/>
      <c r="AF31" s="400" t="n"/>
      <c r="AG31" s="400" t="n"/>
      <c r="AH31" s="400" t="n"/>
      <c r="AI31" s="400" t="n"/>
      <c r="AJ31" s="400" t="n"/>
      <c r="AK31" s="400" t="n"/>
      <c r="AL31" s="400" t="n"/>
      <c r="AM31" s="400" t="n"/>
    </row>
    <row r="32" ht="18" customHeight="1" s="322">
      <c r="A32" s="343" t="n"/>
      <c r="B32" s="376" t="inlineStr">
        <is>
          <t>県社保協会費</t>
        </is>
      </c>
      <c r="C32" s="377">
        <f>IF(C$2&lt;=締月,SUMIFS(入力_業務!$J$5:$J$1604,入力_業務!$O$5:$O$1604,"県社保協会費",入力_業務!$P$5:$P$1604,C$2,入力_業務!$I$5:$I$1604,"確認済"),AA32)</f>
        <v>0</v>
      </c>
      <c r="D32" s="377">
        <f>IF(D$2&lt;=締月,SUMIFS(入力_業務!$J$5:$J$1604,入力_業務!$O$5:$O$1604,"県社保協会費",入力_業務!$P$5:$P$1604,D$2,入力_業務!$I$5:$I$1604,"確認済"),AB32)</f>
        <v>780</v>
      </c>
      <c r="E32" s="377">
        <f>IF(E$2&lt;=締月,SUMIFS(入力_業務!$J$5:$J$1604,入力_業務!$O$5:$O$1604,"県社保協会費",入力_業務!$P$5:$P$1604,E$2,入力_業務!$I$5:$I$1604,"確認済"),AC32)</f>
        <v>0</v>
      </c>
      <c r="F32" s="377">
        <f>IF(F$2&lt;=締月,SUMIFS(入力_業務!$J$5:$J$1604,入力_業務!$O$5:$O$1604,"県社保協会費",入力_業務!$P$5:$P$1604,F$2,入力_業務!$I$5:$I$1604,"確認済"),AD32)</f>
        <v>0</v>
      </c>
      <c r="G32" s="377">
        <f>IF(G$2&lt;=締月,SUMIFS(入力_業務!$J$5:$J$1604,入力_業務!$O$5:$O$1604,"県社保協会費",入力_業務!$P$5:$P$1604,G$2,入力_業務!$I$5:$I$1604,"確認済"),AE32)</f>
        <v>0</v>
      </c>
      <c r="H32" s="377">
        <f>IF(H$2&lt;=締月,SUMIFS(入力_業務!$J$5:$J$1604,入力_業務!$O$5:$O$1604,"県社保協会費",入力_業務!$P$5:$P$1604,H$2,入力_業務!$I$5:$I$1604,"確認済"),AF32)</f>
        <v>0</v>
      </c>
      <c r="I32" s="377">
        <f>IF(I$2&lt;=締月,SUMIFS(入力_業務!$J$5:$J$1604,入力_業務!$O$5:$O$1604,"県社保協会費",入力_業務!$P$5:$P$1604,I$2,入力_業務!$I$5:$I$1604,"確認済"),AG32)</f>
        <v>0</v>
      </c>
      <c r="J32" s="377">
        <f>IF(J$2&lt;=締月,SUMIFS(入力_業務!$J$5:$J$1604,入力_業務!$O$5:$O$1604,"県社保協会費",入力_業務!$P$5:$P$1604,J$2,入力_業務!$I$5:$I$1604,"確認済"),AH32)</f>
        <v>0</v>
      </c>
      <c r="K32" s="377">
        <f>IF(K$2&lt;=締月,SUMIFS(入力_業務!$J$5:$J$1604,入力_業務!$O$5:$O$1604,"県社保協会費",入力_業務!$P$5:$P$1604,K$2,入力_業務!$I$5:$I$1604,"確認済"),AI32)</f>
        <v>0</v>
      </c>
      <c r="L32" s="377">
        <f>IF(L$2&lt;=締月,SUMIFS(入力_業務!$J$5:$J$1604,入力_業務!$O$5:$O$1604,"県社保協会費",入力_業務!$P$5:$P$1604,L$2,入力_業務!$I$5:$I$1604,"確認済"),AJ32)</f>
        <v>0</v>
      </c>
      <c r="M32" s="377">
        <f>IF(M$2&lt;=締月,SUMIFS(入力_業務!$J$5:$J$1604,入力_業務!$O$5:$O$1604,"県社保協会費",入力_業務!$P$5:$P$1604,M$2,入力_業務!$I$5:$I$1604,"確認済"),AK32)</f>
        <v>0</v>
      </c>
      <c r="N32" s="377">
        <f>IF(N$2&lt;=締月,SUMIFS(入力_業務!$J$5:$J$1604,入力_業務!$O$5:$O$1604,"県社保協会費",入力_業務!$P$5:$P$1604,N$2,入力_業務!$I$5:$I$1604,"確認済"),AL32)</f>
        <v>0</v>
      </c>
      <c r="O32" s="377">
        <f>IF(O$2&lt;=締月,SUMIFS(入力_業務!$J$5:$J$1604,入力_業務!$O$5:$O$1604,"県社保協会費",入力_業務!$P$5:$P$1604,O$2,入力_業務!$I$5:$I$1604,"確認済"),AM32)</f>
        <v>0</v>
      </c>
      <c r="P32" s="377">
        <f>SUM(C32:O32)</f>
        <v>780</v>
      </c>
      <c r="Q32" s="398" t="n">
        <v>1000</v>
      </c>
      <c r="R32" s="393" t="n"/>
      <c r="S32" s="377">
        <f>SUM(Q32:R32)</f>
        <v>1000</v>
      </c>
      <c r="T32" s="377">
        <f>S32-P32</f>
        <v>220</v>
      </c>
      <c r="U32" s="373" t="n"/>
      <c r="V32" s="378">
        <f>SUMIF($C$2:$N$2,"&lt;="&amp;締月,C32:N32)</f>
        <v>780</v>
      </c>
      <c r="W32" s="378">
        <f>S32-V32</f>
        <v>220</v>
      </c>
      <c r="X32" s="399" t="n">
        <v>1</v>
      </c>
      <c r="AA32" s="400" t="n">
        <v>0</v>
      </c>
      <c r="AB32" s="400" t="n">
        <v>780</v>
      </c>
      <c r="AC32" s="400" t="n"/>
      <c r="AD32" s="400" t="n"/>
      <c r="AE32" s="400" t="n"/>
      <c r="AF32" s="400" t="n"/>
      <c r="AG32" s="400" t="n"/>
      <c r="AH32" s="400" t="n"/>
      <c r="AI32" s="400" t="n"/>
      <c r="AJ32" s="400" t="n"/>
      <c r="AK32" s="400" t="n"/>
      <c r="AL32" s="400" t="n"/>
      <c r="AM32" s="400" t="n"/>
    </row>
    <row r="33" ht="18" customHeight="1" s="322">
      <c r="A33" s="379" t="n"/>
      <c r="B33" s="380" t="inlineStr">
        <is>
          <t>計</t>
        </is>
      </c>
      <c r="C33" s="381">
        <f>SUM(C26:C32)</f>
        <v>37314</v>
      </c>
      <c r="D33" s="381">
        <f>SUM(D26:D32)</f>
        <v>38094</v>
      </c>
      <c r="E33" s="381">
        <f>SUM(E26:E32)</f>
        <v>190095</v>
      </c>
      <c r="F33" s="381">
        <f>SUM(F26:F32)</f>
        <v>208295</v>
      </c>
      <c r="G33" s="381">
        <f>SUM(G26:G32)</f>
        <v>142590</v>
      </c>
      <c r="H33" s="381">
        <f>SUM(H26:H32)</f>
        <v>100769</v>
      </c>
      <c r="I33" s="381">
        <f>SUM(I26:I32)</f>
        <v>101788</v>
      </c>
      <c r="J33" s="381">
        <f>SUM(J26:J32)</f>
        <v>39973</v>
      </c>
      <c r="K33" s="381">
        <f>SUM(K26:K32)</f>
        <v>127169</v>
      </c>
      <c r="L33" s="381">
        <f>SUM(L26:L32)</f>
        <v>101542</v>
      </c>
      <c r="M33" s="381">
        <f>SUM(M26:M32)</f>
        <v>141073</v>
      </c>
      <c r="N33" s="381">
        <f>SUM(N26:N32)</f>
        <v>162184</v>
      </c>
      <c r="O33" s="381">
        <f>SUM(O26:O32)</f>
        <v>50403</v>
      </c>
      <c r="P33" s="381">
        <f>SUM(P26:P32)</f>
        <v>1441289</v>
      </c>
      <c r="Q33" s="381">
        <f>SUM(Q26:Q32)</f>
        <v>1666000</v>
      </c>
      <c r="R33" s="397" t="n"/>
      <c r="S33" s="381">
        <f>SUM(Q33:R33)</f>
        <v>1666000</v>
      </c>
      <c r="T33" s="381">
        <f>S33-P33</f>
        <v>224711</v>
      </c>
      <c r="U33" s="373" t="n"/>
      <c r="V33" s="382">
        <f>SUMIF($C$2:$N$2,"&lt;="&amp;締月,C33:N33)</f>
        <v>717157</v>
      </c>
      <c r="W33" s="382">
        <f>S33-V33</f>
        <v>948843</v>
      </c>
    </row>
    <row r="34" ht="18" customHeight="1" s="322">
      <c r="A34" s="376" t="inlineStr">
        <is>
          <t>連合会分担金</t>
        </is>
      </c>
      <c r="B34" s="386" t="n"/>
      <c r="C34" s="377">
        <f>IF(C$2&lt;=締月,SUMIFS(入力_業務!$J$5:$J$1604,入力_業務!$O$5:$O$1604,"連合会分担金",入力_業務!$P$5:$P$1604,C$2,入力_業務!$I$5:$I$1604,"確認済"),AA34)</f>
        <v>0</v>
      </c>
      <c r="D34" s="377">
        <f>IF(D$2&lt;=締月,SUMIFS(入力_業務!$J$5:$J$1604,入力_業務!$O$5:$O$1604,"連合会分担金",入力_業務!$P$5:$P$1604,D$2,入力_業務!$I$5:$I$1604,"確認済"),AB34)</f>
        <v>0</v>
      </c>
      <c r="E34" s="377">
        <f>IF(E$2&lt;=締月,SUMIFS(入力_業務!$J$5:$J$1604,入力_業務!$O$5:$O$1604,"連合会分担金",入力_業務!$P$5:$P$1604,E$2,入力_業務!$I$5:$I$1604,"確認済"),AC34)</f>
        <v>0</v>
      </c>
      <c r="F34" s="377">
        <f>IF(F$2&lt;=締月,SUMIFS(入力_業務!$J$5:$J$1604,入力_業務!$O$5:$O$1604,"連合会分担金",入力_業務!$P$5:$P$1604,F$2,入力_業務!$I$5:$I$1604,"確認済"),AD34)</f>
        <v>0</v>
      </c>
      <c r="G34" s="377">
        <f>IF(G$2&lt;=締月,SUMIFS(入力_業務!$J$5:$J$1604,入力_業務!$O$5:$O$1604,"連合会分担金",入力_業務!$P$5:$P$1604,G$2,入力_業務!$I$5:$I$1604,"確認済"),AE34)</f>
        <v>0</v>
      </c>
      <c r="H34" s="377">
        <f>IF(H$2&lt;=締月,SUMIFS(入力_業務!$J$5:$J$1604,入力_業務!$O$5:$O$1604,"連合会分担金",入力_業務!$P$5:$P$1604,H$2,入力_業務!$I$5:$I$1604,"確認済"),AF34)</f>
        <v>20439958</v>
      </c>
      <c r="I34" s="377">
        <f>IF(I$2&lt;=締月,SUMIFS(入力_業務!$J$5:$J$1604,入力_業務!$O$5:$O$1604,"連合会分担金",入力_業務!$P$5:$P$1604,I$2,入力_業務!$I$5:$I$1604,"確認済"),AG34)</f>
        <v>0</v>
      </c>
      <c r="J34" s="377">
        <f>IF(J$2&lt;=締月,SUMIFS(入力_業務!$J$5:$J$1604,入力_業務!$O$5:$O$1604,"連合会分担金",入力_業務!$P$5:$P$1604,J$2,入力_業務!$I$5:$I$1604,"確認済"),AH34)</f>
        <v>0</v>
      </c>
      <c r="K34" s="377">
        <f>IF(K$2&lt;=締月,SUMIFS(入力_業務!$J$5:$J$1604,入力_業務!$O$5:$O$1604,"連合会分担金",入力_業務!$P$5:$P$1604,K$2,入力_業務!$I$5:$I$1604,"確認済"),AI34)</f>
        <v>0</v>
      </c>
      <c r="L34" s="377">
        <f>IF(L$2&lt;=締月,SUMIFS(入力_業務!$J$5:$J$1604,入力_業務!$O$5:$O$1604,"連合会分担金",入力_業務!$P$5:$P$1604,L$2,入力_業務!$I$5:$I$1604,"確認済"),AJ34)</f>
        <v>0</v>
      </c>
      <c r="M34" s="377">
        <f>IF(M$2&lt;=締月,SUMIFS(入力_業務!$J$5:$J$1604,入力_業務!$O$5:$O$1604,"連合会分担金",入力_業務!$P$5:$P$1604,M$2,入力_業務!$I$5:$I$1604,"確認済"),AK34)</f>
        <v>0</v>
      </c>
      <c r="N34" s="377">
        <f>IF(N$2&lt;=締月,SUMIFS(入力_業務!$J$5:$J$1604,入力_業務!$O$5:$O$1604,"連合会分担金",入力_業務!$P$5:$P$1604,N$2,入力_業務!$I$5:$I$1604,"確認済"),AL34)</f>
        <v>0</v>
      </c>
      <c r="O34" s="377">
        <f>IF(O$2&lt;=締月,SUMIFS(入力_業務!$J$5:$J$1604,入力_業務!$O$5:$O$1604,"連合会分担金",入力_業務!$P$5:$P$1604,O$2,入力_業務!$I$5:$I$1604,"確認済"),AM34)</f>
        <v>0</v>
      </c>
      <c r="P34" s="377">
        <f>SUM(C34:O34)</f>
        <v>20439958</v>
      </c>
      <c r="Q34" s="398" t="n">
        <v>20921000</v>
      </c>
      <c r="R34" s="393" t="n"/>
      <c r="S34" s="377">
        <f>SUM(Q34:R34)</f>
        <v>20921000</v>
      </c>
      <c r="T34" s="377">
        <f>S34-P34</f>
        <v>481042</v>
      </c>
      <c r="U34" s="373" t="n"/>
      <c r="V34" s="378">
        <f>SUMIF($C$2:$N$2,"&lt;="&amp;締月,C34:N34)</f>
        <v>20439958</v>
      </c>
      <c r="W34" s="378">
        <f>S34-V34</f>
        <v>481042</v>
      </c>
      <c r="X34" s="399" t="n">
        <v>1</v>
      </c>
      <c r="AA34" s="400" t="n"/>
      <c r="AB34" s="400" t="n"/>
      <c r="AC34" s="400" t="n"/>
      <c r="AD34" s="400" t="n"/>
      <c r="AE34" s="400" t="n"/>
      <c r="AF34" s="400" t="n">
        <v>20439958</v>
      </c>
      <c r="AG34" s="400" t="n"/>
      <c r="AH34" s="400" t="n"/>
      <c r="AI34" s="400" t="n"/>
      <c r="AJ34" s="400" t="n"/>
      <c r="AK34" s="400" t="n"/>
      <c r="AL34" s="400" t="n"/>
      <c r="AM34" s="400" t="n"/>
    </row>
    <row r="35" ht="18" customHeight="1" s="322">
      <c r="A35" s="376" t="inlineStr">
        <is>
          <t>事務費負担金払込金</t>
        </is>
      </c>
      <c r="B35" s="343" t="n"/>
      <c r="C35" s="377">
        <f>IF(C$2&lt;=締月,SUMIFS(入力_業務!$J$5:$J$1604,入力_業務!$O$5:$O$1604,"事務費負担金払込金",入力_業務!$P$5:$P$1604,C$2,入力_業務!$I$5:$I$1604,"確認済"),AA35)</f>
        <v>0</v>
      </c>
      <c r="D35" s="377">
        <f>IF(D$2&lt;=締月,SUMIFS(入力_業務!$J$5:$J$1604,入力_業務!$O$5:$O$1604,"事務費負担金払込金",入力_業務!$P$5:$P$1604,D$2,入力_業務!$I$5:$I$1604,"確認済"),AB35)</f>
        <v>0</v>
      </c>
      <c r="E35" s="377">
        <f>IF(E$2&lt;=締月,SUMIFS(入力_業務!$J$5:$J$1604,入力_業務!$O$5:$O$1604,"事務費負担金払込金",入力_業務!$P$5:$P$1604,E$2,入力_業務!$I$5:$I$1604,"確認済"),AC35)</f>
        <v>0</v>
      </c>
      <c r="F35" s="377">
        <f>IF(F$2&lt;=締月,SUMIFS(入力_業務!$J$5:$J$1604,入力_業務!$O$5:$O$1604,"事務費負担金払込金",入力_業務!$P$5:$P$1604,F$2,入力_業務!$I$5:$I$1604,"確認済"),AD35)</f>
        <v>0</v>
      </c>
      <c r="G35" s="377">
        <f>IF(G$2&lt;=締月,SUMIFS(入力_業務!$J$5:$J$1604,入力_業務!$O$5:$O$1604,"事務費負担金払込金",入力_業務!$P$5:$P$1604,G$2,入力_業務!$I$5:$I$1604,"確認済"),AE35)</f>
        <v>0</v>
      </c>
      <c r="H35" s="377">
        <f>IF(H$2&lt;=締月,SUMIFS(入力_業務!$J$5:$J$1604,入力_業務!$O$5:$O$1604,"事務費負担金払込金",入力_業務!$P$5:$P$1604,H$2,入力_業務!$I$5:$I$1604,"確認済"),AF35)</f>
        <v>0</v>
      </c>
      <c r="I35" s="377">
        <f>IF(I$2&lt;=締月,SUMIFS(入力_業務!$J$5:$J$1604,入力_業務!$O$5:$O$1604,"事務費負担金払込金",入力_業務!$P$5:$P$1604,I$2,入力_業務!$I$5:$I$1604,"確認済"),AG35)</f>
        <v>0</v>
      </c>
      <c r="J35" s="377">
        <f>IF(J$2&lt;=締月,SUMIFS(入力_業務!$J$5:$J$1604,入力_業務!$O$5:$O$1604,"事務費負担金払込金",入力_業務!$P$5:$P$1604,J$2,入力_業務!$I$5:$I$1604,"確認済"),AH35)</f>
        <v>0</v>
      </c>
      <c r="K35" s="377">
        <f>IF(K$2&lt;=締月,SUMIFS(入力_業務!$J$5:$J$1604,入力_業務!$O$5:$O$1604,"事務費負担金払込金",入力_業務!$P$5:$P$1604,K$2,入力_業務!$I$5:$I$1604,"確認済"),AI35)</f>
        <v>0</v>
      </c>
      <c r="L35" s="377">
        <f>IF(L$2&lt;=締月,SUMIFS(入力_業務!$J$5:$J$1604,入力_業務!$O$5:$O$1604,"事務費負担金払込金",入力_業務!$P$5:$P$1604,L$2,入力_業務!$I$5:$I$1604,"確認済"),AJ35)</f>
        <v>0</v>
      </c>
      <c r="M35" s="377">
        <f>IF(M$2&lt;=締月,SUMIFS(入力_業務!$J$5:$J$1604,入力_業務!$O$5:$O$1604,"事務費負担金払込金",入力_業務!$P$5:$P$1604,M$2,入力_業務!$I$5:$I$1604,"確認済"),AK35)</f>
        <v>0</v>
      </c>
      <c r="N35" s="377">
        <f>IF(N$2&lt;=締月,SUMIFS(入力_業務!$J$5:$J$1604,入力_業務!$O$5:$O$1604,"事務費負担金払込金",入力_業務!$P$5:$P$1604,N$2,入力_業務!$I$5:$I$1604,"確認済"),AL35)</f>
        <v>0</v>
      </c>
      <c r="O35" s="377">
        <f>IF(O$2&lt;=締月,SUMIFS(入力_業務!$J$5:$J$1604,入力_業務!$O$5:$O$1604,"事務費負担金払込金",入力_業務!$P$5:$P$1604,O$2,入力_業務!$I$5:$I$1604,"確認済"),AM35)</f>
        <v>0</v>
      </c>
      <c r="P35" s="377">
        <f>SUM(C35:O35)</f>
        <v>0</v>
      </c>
      <c r="Q35" s="398" t="n">
        <v>0</v>
      </c>
      <c r="R35" s="393" t="n"/>
      <c r="S35" s="377">
        <f>SUM(Q35:R35)</f>
        <v>0</v>
      </c>
      <c r="T35" s="377">
        <f>S35-P35</f>
        <v>0</v>
      </c>
      <c r="U35" s="373" t="n"/>
      <c r="V35" s="378">
        <f>SUMIF($C$2:$N$2,"&lt;="&amp;締月,C35:N35)</f>
        <v>0</v>
      </c>
      <c r="W35" s="378">
        <f>S35-V35</f>
        <v>0</v>
      </c>
      <c r="X35" s="399" t="n">
        <v>1</v>
      </c>
      <c r="AA35" s="400" t="n"/>
      <c r="AB35" s="400" t="n"/>
      <c r="AC35" s="400" t="n"/>
      <c r="AD35" s="400" t="n"/>
      <c r="AE35" s="400" t="n"/>
      <c r="AF35" s="400" t="n"/>
      <c r="AG35" s="400" t="n"/>
      <c r="AH35" s="400" t="n"/>
      <c r="AI35" s="400" t="n"/>
      <c r="AJ35" s="400" t="n"/>
      <c r="AK35" s="400" t="n"/>
      <c r="AL35" s="400" t="n"/>
      <c r="AM35" s="400" t="n"/>
    </row>
    <row r="36" ht="18" customHeight="1" s="322">
      <c r="A36" s="376" t="inlineStr">
        <is>
          <t>雑費</t>
        </is>
      </c>
      <c r="B36" s="386" t="n"/>
      <c r="C36" s="377">
        <f>IF(C$2&lt;=締月,SUMIFS(入力_業務!$J$5:$J$1604,入力_業務!$O$5:$O$1604,"雑費",入力_業務!$P$5:$P$1604,C$2,入力_業務!$I$5:$I$1604,"確認済"),AA36)</f>
        <v>0</v>
      </c>
      <c r="D36" s="377">
        <f>IF(D$2&lt;=締月,SUMIFS(入力_業務!$J$5:$J$1604,入力_業務!$O$5:$O$1604,"雑費",入力_業務!$P$5:$P$1604,D$2,入力_業務!$I$5:$I$1604,"確認済"),AB36)</f>
        <v>0</v>
      </c>
      <c r="E36" s="377">
        <f>IF(E$2&lt;=締月,SUMIFS(入力_業務!$J$5:$J$1604,入力_業務!$O$5:$O$1604,"雑費",入力_業務!$P$5:$P$1604,E$2,入力_業務!$I$5:$I$1604,"確認済"),AC36)</f>
        <v>0</v>
      </c>
      <c r="F36" s="377">
        <f>IF(F$2&lt;=締月,SUMIFS(入力_業務!$J$5:$J$1604,入力_業務!$O$5:$O$1604,"雑費",入力_業務!$P$5:$P$1604,F$2,入力_業務!$I$5:$I$1604,"確認済"),AD36)</f>
        <v>0</v>
      </c>
      <c r="G36" s="377">
        <f>IF(G$2&lt;=締月,SUMIFS(入力_業務!$J$5:$J$1604,入力_業務!$O$5:$O$1604,"雑費",入力_業務!$P$5:$P$1604,G$2,入力_業務!$I$5:$I$1604,"確認済"),AE36)</f>
        <v>0</v>
      </c>
      <c r="H36" s="377">
        <f>IF(H$2&lt;=締月,SUMIFS(入力_業務!$J$5:$J$1604,入力_業務!$O$5:$O$1604,"雑費",入力_業務!$P$5:$P$1604,H$2,入力_業務!$I$5:$I$1604,"確認済"),AF36)</f>
        <v>0</v>
      </c>
      <c r="I36" s="377">
        <f>IF(I$2&lt;=締月,SUMIFS(入力_業務!$J$5:$J$1604,入力_業務!$O$5:$O$1604,"雑費",入力_業務!$P$5:$P$1604,I$2,入力_業務!$I$5:$I$1604,"確認済"),AG36)</f>
        <v>0</v>
      </c>
      <c r="J36" s="377">
        <f>IF(J$2&lt;=締月,SUMIFS(入力_業務!$J$5:$J$1604,入力_業務!$O$5:$O$1604,"雑費",入力_業務!$P$5:$P$1604,J$2,入力_業務!$I$5:$I$1604,"確認済"),AH36)</f>
        <v>0</v>
      </c>
      <c r="K36" s="377">
        <f>IF(K$2&lt;=締月,SUMIFS(入力_業務!$J$5:$J$1604,入力_業務!$O$5:$O$1604,"雑費",入力_業務!$P$5:$P$1604,K$2,入力_業務!$I$5:$I$1604,"確認済"),AI36)</f>
        <v>0</v>
      </c>
      <c r="L36" s="377">
        <f>IF(L$2&lt;=締月,SUMIFS(入力_業務!$J$5:$J$1604,入力_業務!$O$5:$O$1604,"雑費",入力_業務!$P$5:$P$1604,L$2,入力_業務!$I$5:$I$1604,"確認済"),AJ36)</f>
        <v>0</v>
      </c>
      <c r="M36" s="377">
        <f>IF(M$2&lt;=締月,SUMIFS(入力_業務!$J$5:$J$1604,入力_業務!$O$5:$O$1604,"雑費",入力_業務!$P$5:$P$1604,M$2,入力_業務!$I$5:$I$1604,"確認済"),AK36)</f>
        <v>0</v>
      </c>
      <c r="N36" s="377">
        <f>IF(N$2&lt;=締月,SUMIFS(入力_業務!$J$5:$J$1604,入力_業務!$O$5:$O$1604,"雑費",入力_業務!$P$5:$P$1604,N$2,入力_業務!$I$5:$I$1604,"確認済"),AL36)</f>
        <v>0</v>
      </c>
      <c r="O36" s="377">
        <f>IF(O$2&lt;=締月,SUMIFS(入力_業務!$J$5:$J$1604,入力_業務!$O$5:$O$1604,"雑費",入力_業務!$P$5:$P$1604,O$2,入力_業務!$I$5:$I$1604,"確認済"),AM36)</f>
        <v>0</v>
      </c>
      <c r="P36" s="377">
        <f>SUM(C36:O36)</f>
        <v>0</v>
      </c>
      <c r="Q36" s="398" t="n">
        <v>0</v>
      </c>
      <c r="R36" s="393" t="n"/>
      <c r="S36" s="377">
        <f>SUM(Q36:R36)</f>
        <v>0</v>
      </c>
      <c r="T36" s="377">
        <f>S36-P36</f>
        <v>0</v>
      </c>
      <c r="U36" s="373" t="n"/>
      <c r="V36" s="378">
        <f>SUMIF($C$2:$N$2,"&lt;="&amp;締月,C36:N36)</f>
        <v>0</v>
      </c>
      <c r="W36" s="378">
        <f>S36-V36</f>
        <v>0</v>
      </c>
      <c r="X36" s="399" t="n">
        <v>1</v>
      </c>
      <c r="AA36" s="400" t="n"/>
      <c r="AB36" s="400" t="n"/>
      <c r="AC36" s="400" t="n"/>
      <c r="AD36" s="400" t="n"/>
      <c r="AE36" s="400" t="n"/>
      <c r="AF36" s="400" t="n"/>
      <c r="AG36" s="400" t="n"/>
      <c r="AH36" s="400" t="n"/>
      <c r="AI36" s="400" t="n"/>
      <c r="AJ36" s="400" t="n"/>
      <c r="AK36" s="400" t="n"/>
      <c r="AL36" s="400" t="n"/>
      <c r="AM36" s="400" t="n"/>
    </row>
    <row r="37" ht="18" customHeight="1" s="322">
      <c r="A37" s="376" t="inlineStr">
        <is>
          <t>減価償却費</t>
        </is>
      </c>
      <c r="B37" s="386" t="n"/>
      <c r="C37" s="377">
        <f>IF(C$2&lt;=締月,SUMIFS(入力_業務!$J$5:$J$1604,入力_業務!$O$5:$O$1604,"減価償却費",入力_業務!$P$5:$P$1604,C$2,入力_業務!$I$5:$I$1604,"確認済"),AA37)</f>
        <v>0</v>
      </c>
      <c r="D37" s="377">
        <f>IF(D$2&lt;=締月,SUMIFS(入力_業務!$J$5:$J$1604,入力_業務!$O$5:$O$1604,"減価償却費",入力_業務!$P$5:$P$1604,D$2,入力_業務!$I$5:$I$1604,"確認済"),AB37)</f>
        <v>0</v>
      </c>
      <c r="E37" s="377">
        <f>IF(E$2&lt;=締月,SUMIFS(入力_業務!$J$5:$J$1604,入力_業務!$O$5:$O$1604,"減価償却費",入力_業務!$P$5:$P$1604,E$2,入力_業務!$I$5:$I$1604,"確認済"),AC37)</f>
        <v>0</v>
      </c>
      <c r="F37" s="377">
        <f>IF(F$2&lt;=締月,SUMIFS(入力_業務!$J$5:$J$1604,入力_業務!$O$5:$O$1604,"減価償却費",入力_業務!$P$5:$P$1604,F$2,入力_業務!$I$5:$I$1604,"確認済"),AD37)</f>
        <v>0</v>
      </c>
      <c r="G37" s="377">
        <f>IF(G$2&lt;=締月,SUMIFS(入力_業務!$J$5:$J$1604,入力_業務!$O$5:$O$1604,"減価償却費",入力_業務!$P$5:$P$1604,G$2,入力_業務!$I$5:$I$1604,"確認済"),AE37)</f>
        <v>0</v>
      </c>
      <c r="H37" s="377">
        <f>IF(H$2&lt;=締月,SUMIFS(入力_業務!$J$5:$J$1604,入力_業務!$O$5:$O$1604,"減価償却費",入力_業務!$P$5:$P$1604,H$2,入力_業務!$I$5:$I$1604,"確認済"),AF37)</f>
        <v>0</v>
      </c>
      <c r="I37" s="377">
        <f>IF(I$2&lt;=締月,SUMIFS(入力_業務!$J$5:$J$1604,入力_業務!$O$5:$O$1604,"減価償却費",入力_業務!$P$5:$P$1604,I$2,入力_業務!$I$5:$I$1604,"確認済"),AG37)</f>
        <v>0</v>
      </c>
      <c r="J37" s="377">
        <f>IF(J$2&lt;=締月,SUMIFS(入力_業務!$J$5:$J$1604,入力_業務!$O$5:$O$1604,"減価償却費",入力_業務!$P$5:$P$1604,J$2,入力_業務!$I$5:$I$1604,"確認済"),AH37)</f>
        <v>0</v>
      </c>
      <c r="K37" s="377">
        <f>IF(K$2&lt;=締月,SUMIFS(入力_業務!$J$5:$J$1604,入力_業務!$O$5:$O$1604,"減価償却費",入力_業務!$P$5:$P$1604,K$2,入力_業務!$I$5:$I$1604,"確認済"),AI37)</f>
        <v>0</v>
      </c>
      <c r="L37" s="377">
        <f>IF(L$2&lt;=締月,SUMIFS(入力_業務!$J$5:$J$1604,入力_業務!$O$5:$O$1604,"減価償却費",入力_業務!$P$5:$P$1604,L$2,入力_業務!$I$5:$I$1604,"確認済"),AJ37)</f>
        <v>0</v>
      </c>
      <c r="M37" s="377">
        <f>IF(M$2&lt;=締月,SUMIFS(入力_業務!$J$5:$J$1604,入力_業務!$O$5:$O$1604,"減価償却費",入力_業務!$P$5:$P$1604,M$2,入力_業務!$I$5:$I$1604,"確認済"),AK37)</f>
        <v>0</v>
      </c>
      <c r="N37" s="377">
        <f>IF(N$2&lt;=締月,SUMIFS(入力_業務!$J$5:$J$1604,入力_業務!$O$5:$O$1604,"減価償却費",入力_業務!$P$5:$P$1604,N$2,入力_業務!$I$5:$I$1604,"確認済"),AL37)</f>
        <v>0</v>
      </c>
      <c r="O37" s="377">
        <f>IF(O$2&lt;=締月,SUMIFS(入力_業務!$J$5:$J$1604,入力_業務!$O$5:$O$1604,"減価償却費",入力_業務!$P$5:$P$1604,O$2,入力_業務!$I$5:$I$1604,"確認済"),AM37)</f>
        <v>176556</v>
      </c>
      <c r="P37" s="377">
        <f>SUM(C37:O37)</f>
        <v>176556</v>
      </c>
      <c r="Q37" s="398" t="n">
        <v>172000</v>
      </c>
      <c r="R37" s="393" t="n"/>
      <c r="S37" s="377">
        <f>SUM(Q37:R37)</f>
        <v>172000</v>
      </c>
      <c r="T37" s="377">
        <f>S37-P37</f>
        <v>-4556</v>
      </c>
      <c r="U37" s="384" t="inlineStr">
        <is>
          <t>検算</t>
        </is>
      </c>
      <c r="V37" s="378">
        <f>SUMIF($C$2:$N$2,"&lt;="&amp;締月,C37:N37)</f>
        <v>0</v>
      </c>
      <c r="W37" s="378">
        <f>S37-V37</f>
        <v>172000</v>
      </c>
      <c r="X37" s="399" t="n">
        <v>1</v>
      </c>
      <c r="AA37" s="400" t="n"/>
      <c r="AB37" s="400" t="n"/>
      <c r="AC37" s="400" t="n"/>
      <c r="AD37" s="400" t="n"/>
      <c r="AE37" s="400" t="n"/>
      <c r="AF37" s="400" t="n"/>
      <c r="AG37" s="400" t="n"/>
      <c r="AH37" s="400" t="n"/>
      <c r="AI37" s="400" t="n"/>
      <c r="AJ37" s="400" t="n"/>
      <c r="AK37" s="400" t="n"/>
      <c r="AL37" s="400" t="n"/>
      <c r="AM37" s="400" t="n">
        <v>176556</v>
      </c>
    </row>
    <row r="38" ht="18" customHeight="1" s="322">
      <c r="A38" s="380" t="inlineStr">
        <is>
          <t>合　　　計</t>
        </is>
      </c>
      <c r="B38" s="388" t="n"/>
      <c r="C38" s="381">
        <f>SUM(C4+C9+C10+C11+C18+C19+C20+C21+C22+C23+C24+C25+C33+C34+C35+C36+C37)</f>
        <v>534591</v>
      </c>
      <c r="D38" s="381">
        <f>SUM(D4+D9+D10+D11+D18+D19+D20+D21+D22+D23+D24+D25+D33+D34+D35+D36+D37)</f>
        <v>4087081</v>
      </c>
      <c r="E38" s="381">
        <f>SUM(E4+E9+E10+E11+E18+E19+E20+E21+E22+E23+E24+E25+E33+E34+E35+E36+E37)</f>
        <v>2455166</v>
      </c>
      <c r="F38" s="381">
        <f>SUM(F4+F9+F10+F11+F18+F19+F20+F21+F22+F23+F24+F25+F33+F34+F35+F36+F37)</f>
        <v>1972276</v>
      </c>
      <c r="G38" s="381">
        <f>SUM(G4+G9+G10+G11+G18+G19+G20+G21+G22+G23+G24+G25+G33+G34+G35+G36+G37)</f>
        <v>2709341</v>
      </c>
      <c r="H38" s="381">
        <f>SUM(H4+H9+H10+H11+H18+H19+H20+H21+H22+H23+H24+H25+H33+H34+H35+H36+H37)</f>
        <v>24070375</v>
      </c>
      <c r="I38" s="381">
        <f>SUM(I4+I9+I10+I11+I18+I19+I20+I21+I22+I23+I24+I25+I33+I34+I35+I36+I37)</f>
        <v>2454418</v>
      </c>
      <c r="J38" s="381">
        <f>SUM(J4+J9+J10+J11+J18+J19+J20+J21+J22+J23+J24+J25+J33+J34+J35+J36+J37)</f>
        <v>2501632</v>
      </c>
      <c r="K38" s="381">
        <f>SUM(K4+K9+K10+K11+K18+K19+K20+K21+K22+K23+K24+K25+K33+K34+K35+K36+K37)</f>
        <v>5009376</v>
      </c>
      <c r="L38" s="381">
        <f>SUM(L4+L9+L10+L11+L18+L19+L20+L21+L22+L23+L24+L25+L33+L34+L35+L36+L37)</f>
        <v>2079276</v>
      </c>
      <c r="M38" s="381">
        <f>SUM(M4+M9+M10+M11+M18+M19+M20+M21+M22+M23+M24+M25+M33+M34+M35+M36+M37)</f>
        <v>2212970</v>
      </c>
      <c r="N38" s="381">
        <f>SUM(N4+N9+N10+N11+N18+N19+N20+N21+N22+N23+N24+N25+N33+N34+N35+N36+N37)</f>
        <v>2135536</v>
      </c>
      <c r="O38" s="381">
        <f>SUM(O4+O9+O10+O11+O18+O19+O20+O21+O22+O23+O24+O25+O33+O34+O35+O36+O37)</f>
        <v>3204092</v>
      </c>
      <c r="P38" s="381">
        <f>SUM(P4+P9+P10+P11+P18+P19+P20+P21+P22+P23+P24+P25+P33+P34+P35+P36+P37)</f>
        <v>55426130</v>
      </c>
      <c r="Q38" s="381">
        <f>SUM(Q4+Q9+Q10+Q11+Q18+Q19+Q20+Q21+Q22+Q23+Q24+Q25+Q33+Q34+Q35+Q36+Q37)</f>
        <v>59014000</v>
      </c>
      <c r="R38" s="381">
        <f>SUM(R4+R9+R10+R11+R18+R19+R20+R21+R22+R23+R24+R25+R33+R34+R35+R36+R37)</f>
        <v>0</v>
      </c>
      <c r="S38" s="381">
        <f>SUM(S4+S9+S10+S11+S18+S19+S20+S21+S22+S23+S24+S25+S33+S34+S35+S36+S37)</f>
        <v>59014000</v>
      </c>
      <c r="T38" s="381">
        <f>S38-P38</f>
        <v>3587870</v>
      </c>
      <c r="U38" s="383">
        <f>P38-Q38</f>
        <v>-3587870</v>
      </c>
      <c r="V38" s="382">
        <f>SUMIF($C$2:$N$2,"&lt;="&amp;締月,C38:N38)</f>
        <v>35828830</v>
      </c>
      <c r="W38" s="382">
        <f>S38-V38</f>
        <v>23185170</v>
      </c>
    </row>
    <row r="39" ht="18" customHeight="1" s="322">
      <c r="A39" s="389" t="inlineStr">
        <is>
          <t>収益</t>
        </is>
      </c>
      <c r="B39" s="339" t="n"/>
      <c r="C39" s="339" t="n"/>
      <c r="D39" s="339" t="n"/>
      <c r="E39" s="339" t="n"/>
      <c r="F39" s="339" t="n"/>
      <c r="G39" s="339" t="n"/>
      <c r="H39" s="339" t="n"/>
      <c r="I39" s="339" t="n"/>
      <c r="J39" s="339" t="n"/>
      <c r="K39" s="339" t="n"/>
      <c r="L39" s="339" t="n"/>
      <c r="M39" s="339" t="n"/>
      <c r="N39" s="339" t="n"/>
      <c r="O39" s="339" t="n"/>
      <c r="P39" s="402" t="inlineStr">
        <is>
          <t>概算受領額</t>
        </is>
      </c>
      <c r="Q39" s="339" t="n"/>
      <c r="R39" s="339" t="n"/>
      <c r="S39" s="339" t="n"/>
      <c r="T39" s="339" t="n"/>
      <c r="U39" s="339" t="n"/>
      <c r="V39" s="339" t="n"/>
      <c r="W39" s="339" t="n"/>
    </row>
    <row r="40" ht="22" customHeight="1" s="322">
      <c r="A40" s="372" t="inlineStr">
        <is>
          <t>区　　　分</t>
        </is>
      </c>
      <c r="B40" s="327" t="n"/>
      <c r="C40" s="372" t="inlineStr">
        <is>
          <t>４月</t>
        </is>
      </c>
      <c r="D40" s="372" t="inlineStr">
        <is>
          <t>５月</t>
        </is>
      </c>
      <c r="E40" s="372" t="inlineStr">
        <is>
          <t>６月</t>
        </is>
      </c>
      <c r="F40" s="372" t="inlineStr">
        <is>
          <t>７月</t>
        </is>
      </c>
      <c r="G40" s="372" t="inlineStr">
        <is>
          <t>８月</t>
        </is>
      </c>
      <c r="H40" s="372" t="inlineStr">
        <is>
          <t>９月</t>
        </is>
      </c>
      <c r="I40" s="372" t="inlineStr">
        <is>
          <t>１０月</t>
        </is>
      </c>
      <c r="J40" s="372" t="inlineStr">
        <is>
          <t>１１月</t>
        </is>
      </c>
      <c r="K40" s="372" t="inlineStr">
        <is>
          <t>１２月</t>
        </is>
      </c>
      <c r="L40" s="372" t="inlineStr">
        <is>
          <t>１月</t>
        </is>
      </c>
      <c r="M40" s="372" t="inlineStr">
        <is>
          <t>２月</t>
        </is>
      </c>
      <c r="N40" s="372" t="inlineStr">
        <is>
          <t>３月</t>
        </is>
      </c>
      <c r="O40" s="372" t="inlineStr">
        <is>
          <t>短期繰入予定額</t>
        </is>
      </c>
      <c r="P40" s="372" t="inlineStr">
        <is>
          <t>収入済計</t>
        </is>
      </c>
      <c r="Q40" s="372" t="inlineStr">
        <is>
          <t>精算額</t>
        </is>
      </c>
      <c r="R40" s="372" t="inlineStr">
        <is>
          <t>精算返納額</t>
        </is>
      </c>
      <c r="S40" s="372" t="inlineStr">
        <is>
          <t>予算額</t>
        </is>
      </c>
      <c r="T40" s="372" t="inlineStr">
        <is>
          <t>予算現額</t>
        </is>
      </c>
      <c r="U40" s="373" t="n"/>
      <c r="V40" s="373" t="n"/>
      <c r="W40" s="373" t="n"/>
    </row>
    <row r="41" ht="18" customHeight="1" s="322">
      <c r="A41" s="376" t="inlineStr">
        <is>
          <t>地方公共団体負担金</t>
        </is>
      </c>
      <c r="B41" s="343" t="n"/>
      <c r="C41" s="398" t="n">
        <v>2268000</v>
      </c>
      <c r="D41" s="398" t="n">
        <v>2150000</v>
      </c>
      <c r="E41" s="398" t="n">
        <v>2609000</v>
      </c>
      <c r="F41" s="398" t="n">
        <v>2725000</v>
      </c>
      <c r="G41" s="398" t="n">
        <v>2151000</v>
      </c>
      <c r="H41" s="398" t="n">
        <v>12794000</v>
      </c>
      <c r="I41" s="398" t="n">
        <v>2477000</v>
      </c>
      <c r="J41" s="398" t="n">
        <v>2228000</v>
      </c>
      <c r="K41" s="398" t="n">
        <v>2894000</v>
      </c>
      <c r="L41" s="398" t="n">
        <v>2560000</v>
      </c>
      <c r="M41" s="398" t="n">
        <v>2209000</v>
      </c>
      <c r="N41" s="398" t="n">
        <v>3606000</v>
      </c>
      <c r="O41" s="398" t="n">
        <v>2075480</v>
      </c>
      <c r="P41" s="377">
        <f>SUM(C41:O41)</f>
        <v>42746480</v>
      </c>
      <c r="Q41" s="391" t="n"/>
      <c r="R41" s="398" t="n">
        <v>-11744404</v>
      </c>
      <c r="S41" s="398" t="n">
        <v>40815000</v>
      </c>
      <c r="T41" s="377">
        <f>P41+Q41+R41</f>
        <v>31002076</v>
      </c>
      <c r="U41" s="373" t="n"/>
      <c r="V41" s="378">
        <f>SUMIF($C$2:$N$2,"&lt;="&amp;締月,C41:N41)</f>
        <v>24697000</v>
      </c>
      <c r="W41" s="373" t="n"/>
    </row>
    <row r="42" ht="18" customHeight="1" s="322">
      <c r="A42" s="376" t="inlineStr">
        <is>
          <t>雑収入</t>
        </is>
      </c>
      <c r="B42" s="343" t="n"/>
      <c r="C42" s="393" t="n"/>
      <c r="D42" s="393" t="n"/>
      <c r="E42" s="393" t="n"/>
      <c r="F42" s="393" t="n"/>
      <c r="G42" s="393" t="n"/>
      <c r="H42" s="393" t="n"/>
      <c r="I42" s="393" t="n"/>
      <c r="J42" s="393" t="n"/>
      <c r="K42" s="393" t="n"/>
      <c r="L42" s="393" t="n"/>
      <c r="M42" s="393" t="n"/>
      <c r="N42" s="393" t="n"/>
      <c r="O42" s="393" t="n"/>
      <c r="P42" s="377">
        <f>SUM(C42:O42)</f>
        <v>0</v>
      </c>
      <c r="Q42" s="391" t="n"/>
      <c r="R42" s="403" t="n"/>
      <c r="S42" s="398" t="n">
        <v>0</v>
      </c>
      <c r="T42" s="377">
        <f>SUM(Q42:R42)</f>
        <v>0</v>
      </c>
      <c r="U42" s="373" t="n"/>
      <c r="V42" s="378">
        <f>SUMIF($C$2:$N$2,"&lt;="&amp;締月,C42:N42)</f>
        <v>0</v>
      </c>
      <c r="W42" s="373" t="n"/>
    </row>
    <row r="43" ht="18" customHeight="1" s="322">
      <c r="A43" s="376" t="inlineStr">
        <is>
          <t>連合会交付金</t>
        </is>
      </c>
      <c r="B43" s="343" t="n"/>
      <c r="C43" s="393" t="n"/>
      <c r="D43" s="393" t="n"/>
      <c r="E43" s="393" t="n"/>
      <c r="F43" s="393" t="n"/>
      <c r="G43" s="393" t="n"/>
      <c r="H43" s="393" t="n"/>
      <c r="I43" s="393" t="n"/>
      <c r="J43" s="393" t="n"/>
      <c r="K43" s="393" t="n"/>
      <c r="L43" s="393" t="n"/>
      <c r="M43" s="393" t="n"/>
      <c r="N43" s="393" t="n"/>
      <c r="O43" s="393" t="n"/>
      <c r="P43" s="377">
        <f>SUM(C43:O43)</f>
        <v>0</v>
      </c>
      <c r="Q43" s="391" t="n"/>
      <c r="R43" s="403" t="n"/>
      <c r="S43" s="398" t="n">
        <v>0</v>
      </c>
      <c r="T43" s="377">
        <f>SUM(Q43:R43)</f>
        <v>0</v>
      </c>
      <c r="U43" s="373" t="n"/>
      <c r="V43" s="378">
        <f>SUMIF($C$2:$N$2,"&lt;="&amp;締月,C43:N43)</f>
        <v>0</v>
      </c>
      <c r="W43" s="373" t="n"/>
    </row>
    <row r="44" ht="18" customHeight="1" s="322">
      <c r="A44" s="376" t="inlineStr">
        <is>
          <t>短期経理より繰入</t>
        </is>
      </c>
      <c r="B44" s="343" t="n"/>
      <c r="C44" s="393" t="n"/>
      <c r="D44" s="393" t="n"/>
      <c r="E44" s="393" t="n"/>
      <c r="F44" s="393" t="n"/>
      <c r="G44" s="393" t="n"/>
      <c r="H44" s="393" t="n"/>
      <c r="I44" s="393" t="n"/>
      <c r="J44" s="393" t="n"/>
      <c r="K44" s="393" t="n"/>
      <c r="L44" s="393" t="n"/>
      <c r="M44" s="393" t="n"/>
      <c r="N44" s="393" t="n"/>
      <c r="O44" s="398" t="n">
        <v>7580026</v>
      </c>
      <c r="P44" s="377">
        <f>SUM(C44:O44)</f>
        <v>7580026</v>
      </c>
      <c r="Q44" s="391" t="n"/>
      <c r="R44" s="393" t="n"/>
      <c r="S44" s="398" t="n">
        <v>13605000</v>
      </c>
      <c r="T44" s="377">
        <f>SUM(Q44:R44)</f>
        <v>0</v>
      </c>
      <c r="U44" s="373" t="n"/>
      <c r="V44" s="378">
        <f>SUMIF($C$2:$N$2,"&lt;="&amp;締月,C44:N44)</f>
        <v>0</v>
      </c>
      <c r="W44" s="373" t="n"/>
    </row>
    <row r="45" ht="18" customHeight="1" s="322">
      <c r="A45" s="376" t="inlineStr">
        <is>
          <t>当期損失金</t>
        </is>
      </c>
      <c r="B45" s="343" t="n"/>
      <c r="C45" s="401" t="n"/>
      <c r="D45" s="401" t="n"/>
      <c r="E45" s="401" t="n"/>
      <c r="F45" s="401" t="n"/>
      <c r="G45" s="401" t="n"/>
      <c r="H45" s="401" t="n"/>
      <c r="I45" s="401" t="n"/>
      <c r="J45" s="401" t="n"/>
      <c r="K45" s="401" t="n"/>
      <c r="L45" s="401" t="n"/>
      <c r="M45" s="401" t="n"/>
      <c r="N45" s="401" t="n"/>
      <c r="O45" s="401" t="n"/>
      <c r="P45" s="377">
        <f>SUM(C45:O45)</f>
        <v>0</v>
      </c>
      <c r="Q45" s="391" t="n"/>
      <c r="R45" s="393" t="n"/>
      <c r="S45" s="398" t="n">
        <v>0</v>
      </c>
      <c r="T45" s="377">
        <f>SUM(Q45:R45)</f>
        <v>0</v>
      </c>
      <c r="U45" s="373" t="n"/>
      <c r="V45" s="378">
        <f>SUMIF($C$2:$N$2,"&lt;="&amp;締月,C45:N45)</f>
        <v>0</v>
      </c>
      <c r="W45" s="373" t="n"/>
    </row>
    <row r="46" ht="18" customHeight="1" s="322">
      <c r="A46" s="380" t="inlineStr">
        <is>
          <t>合　　　計</t>
        </is>
      </c>
      <c r="B46" s="379" t="n"/>
      <c r="C46" s="381">
        <f>SUM(C41+C42+C43+C44)</f>
        <v>2268000</v>
      </c>
      <c r="D46" s="381">
        <f>SUM(D41+D42+D43+D44)</f>
        <v>2150000</v>
      </c>
      <c r="E46" s="381">
        <f>SUM(E41+E42+E43+E44)</f>
        <v>2609000</v>
      </c>
      <c r="F46" s="381">
        <f>SUM(F41+F42+F43+F44)</f>
        <v>2725000</v>
      </c>
      <c r="G46" s="381">
        <f>SUM(G41+G42+G43+G44)</f>
        <v>2151000</v>
      </c>
      <c r="H46" s="381">
        <f>SUM(H41+H42+H43+H44)</f>
        <v>12794000</v>
      </c>
      <c r="I46" s="381">
        <f>SUM(I41+I42+I43+I44)</f>
        <v>2477000</v>
      </c>
      <c r="J46" s="381">
        <f>SUM(J41+J42+J43+J44)</f>
        <v>2228000</v>
      </c>
      <c r="K46" s="381">
        <f>SUM(K41+K42+K43+K44)</f>
        <v>2894000</v>
      </c>
      <c r="L46" s="381">
        <f>SUM(L41+L42+L43+L44)</f>
        <v>2560000</v>
      </c>
      <c r="M46" s="381">
        <f>SUM(M41+M42+M43+M44)</f>
        <v>2209000</v>
      </c>
      <c r="N46" s="381">
        <f>SUM(N41+N42+N43+N44)</f>
        <v>3606000</v>
      </c>
      <c r="O46" s="381">
        <f>SUM(O41+O42+O43+O44)</f>
        <v>9655506</v>
      </c>
      <c r="P46" s="381">
        <f>SUM(P41+P42+P43+P44)</f>
        <v>50326506</v>
      </c>
      <c r="Q46" s="381">
        <f>Q41+Q42+Q43+Q44+Q45</f>
        <v>0</v>
      </c>
      <c r="R46" s="381">
        <f>R41+R42+R43+R44+R45</f>
        <v>-11744404</v>
      </c>
      <c r="S46" s="381">
        <f>S41+S42+S43+S44+S45</f>
        <v>54420000</v>
      </c>
      <c r="T46" s="381">
        <f>SUM(T41:T45)</f>
        <v>31002076</v>
      </c>
      <c r="U46" s="373" t="n"/>
      <c r="V46" s="382">
        <f>SUMIF($C$2:$N$2,"&lt;="&amp;締月,C46:N46)</f>
        <v>24697000</v>
      </c>
      <c r="W46" s="373" t="n"/>
    </row>
    <row r="47">
      <c r="A47" s="373" t="n"/>
      <c r="B47" s="373" t="n"/>
      <c r="C47" s="373" t="n"/>
      <c r="D47" s="373" t="n"/>
      <c r="E47" s="373" t="n"/>
      <c r="F47" s="373" t="n"/>
      <c r="G47" s="373" t="n"/>
      <c r="H47" s="373" t="n"/>
      <c r="I47" s="373" t="n"/>
      <c r="J47" s="373" t="n"/>
      <c r="K47" s="373" t="n"/>
      <c r="L47" s="373" t="n"/>
      <c r="M47" s="373" t="n"/>
      <c r="N47" s="373" t="n"/>
      <c r="O47" s="373" t="n"/>
      <c r="P47" s="373" t="n"/>
      <c r="Q47" s="373" t="n"/>
      <c r="R47" s="373" t="n"/>
      <c r="S47" s="373" t="n"/>
      <c r="T47" s="373" t="n"/>
      <c r="U47" s="373" t="n"/>
      <c r="V47" s="373" t="n"/>
      <c r="W47" s="373" t="n"/>
    </row>
    <row r="48" ht="18" customHeight="1" s="322">
      <c r="A48" s="380" t="inlineStr">
        <is>
          <t>収益－費用</t>
        </is>
      </c>
      <c r="B48" s="379" t="n"/>
      <c r="C48" s="381">
        <f>C46-C38</f>
        <v>1733409</v>
      </c>
      <c r="D48" s="381">
        <f>D46-D38</f>
        <v>-1937081</v>
      </c>
      <c r="E48" s="381">
        <f>E46-E38</f>
        <v>153834</v>
      </c>
      <c r="F48" s="381">
        <f>F46-F38</f>
        <v>752724</v>
      </c>
      <c r="G48" s="381">
        <f>G46-G38</f>
        <v>-558341</v>
      </c>
      <c r="H48" s="381">
        <f>H46-H38</f>
        <v>-11276375</v>
      </c>
      <c r="I48" s="381">
        <f>I46-I38</f>
        <v>22582</v>
      </c>
      <c r="J48" s="381">
        <f>J46-J38</f>
        <v>-273632</v>
      </c>
      <c r="K48" s="381">
        <f>K46-K38</f>
        <v>-2115376</v>
      </c>
      <c r="L48" s="381">
        <f>L46-L38</f>
        <v>480724</v>
      </c>
      <c r="M48" s="381">
        <f>M46-M38</f>
        <v>-3970</v>
      </c>
      <c r="N48" s="381">
        <f>N46-N38</f>
        <v>1470464</v>
      </c>
      <c r="O48" s="381">
        <f>O46-O38</f>
        <v>6451414</v>
      </c>
      <c r="P48" s="381">
        <f>P46-P38</f>
        <v>-5099624</v>
      </c>
      <c r="Q48" s="381">
        <f>Q46-Q38</f>
        <v>-59014000</v>
      </c>
      <c r="R48" s="381">
        <f>R46-R38</f>
        <v>-11744404</v>
      </c>
      <c r="S48" s="381">
        <f>S46-S38</f>
        <v>-4594000</v>
      </c>
      <c r="T48" s="381">
        <f>T46-T38</f>
        <v>27414206</v>
      </c>
      <c r="U48" s="373" t="n"/>
      <c r="V48" s="382">
        <f>SUMIF($C$2:$N$2,"&lt;="&amp;締月,C48:N48)</f>
        <v>-11131830</v>
      </c>
      <c r="W48" s="373" t="n"/>
    </row>
    <row r="49" ht="27" customHeight="1" s="322">
      <c r="A49" s="373" t="n"/>
      <c r="B49" s="373" t="n"/>
      <c r="C49" s="373" t="n"/>
      <c r="D49" s="373" t="n"/>
      <c r="E49" s="373" t="n"/>
      <c r="F49" s="373" t="n"/>
      <c r="G49" s="373" t="n"/>
      <c r="H49" s="373" t="n"/>
      <c r="I49" s="373" t="n"/>
      <c r="J49" s="373" t="n"/>
      <c r="K49" s="373" t="n"/>
      <c r="L49" s="373" t="n"/>
      <c r="M49" s="373" t="n"/>
      <c r="N49" s="373" t="n"/>
      <c r="O49" s="373" t="n"/>
      <c r="P49" s="373" t="n"/>
      <c r="Q49" s="373" t="n"/>
      <c r="R49" s="373" t="n"/>
      <c r="S49" s="373" t="n"/>
      <c r="T49" s="373" t="n"/>
      <c r="U49" s="373" t="n"/>
      <c r="V49" s="373" t="n"/>
      <c r="W49" s="373" t="n"/>
    </row>
    <row r="50" ht="22" customHeight="1" s="322">
      <c r="A50" s="327" t="n"/>
      <c r="B50" s="372" t="inlineStr">
        <is>
          <t>参考（職員給与）</t>
        </is>
      </c>
      <c r="C50" s="372" t="inlineStr">
        <is>
          <t>４月支払</t>
        </is>
      </c>
      <c r="D50" s="372" t="inlineStr">
        <is>
          <t>５月支払</t>
        </is>
      </c>
      <c r="E50" s="372" t="inlineStr">
        <is>
          <t>６月支払</t>
        </is>
      </c>
      <c r="F50" s="372" t="inlineStr">
        <is>
          <t>７月支払</t>
        </is>
      </c>
      <c r="G50" s="372" t="inlineStr">
        <is>
          <t>８月支払</t>
        </is>
      </c>
      <c r="H50" s="372" t="inlineStr">
        <is>
          <t>９月支払</t>
        </is>
      </c>
      <c r="I50" s="372" t="inlineStr">
        <is>
          <t>１０月支払</t>
        </is>
      </c>
      <c r="J50" s="372" t="inlineStr">
        <is>
          <t>１１月支払</t>
        </is>
      </c>
      <c r="K50" s="372" t="inlineStr">
        <is>
          <t>１２月支払</t>
        </is>
      </c>
      <c r="L50" s="372" t="inlineStr">
        <is>
          <t>１月支払</t>
        </is>
      </c>
      <c r="M50" s="372" t="inlineStr">
        <is>
          <t>２月支払</t>
        </is>
      </c>
      <c r="N50" s="372" t="inlineStr">
        <is>
          <t>３月支払</t>
        </is>
      </c>
      <c r="O50" s="372" t="inlineStr">
        <is>
          <t>未払</t>
        </is>
      </c>
      <c r="P50" s="327" t="n"/>
      <c r="Q50" s="372" t="inlineStr">
        <is>
          <t>合計</t>
        </is>
      </c>
      <c r="R50" s="327" t="n"/>
      <c r="S50" s="327" t="n"/>
      <c r="T50" s="327" t="n"/>
      <c r="U50" s="373" t="n"/>
      <c r="V50" s="373" t="n"/>
      <c r="W50" s="373" t="n"/>
    </row>
    <row r="51" ht="18" customHeight="1" s="322">
      <c r="A51" s="343" t="n"/>
      <c r="B51" s="376" t="inlineStr">
        <is>
          <t>職員基本給</t>
        </is>
      </c>
      <c r="C51" s="393" t="n"/>
      <c r="D51" s="393" t="n"/>
      <c r="E51" s="393" t="n"/>
      <c r="F51" s="393" t="n"/>
      <c r="G51" s="393" t="n"/>
      <c r="H51" s="393" t="n"/>
      <c r="I51" s="393" t="n"/>
      <c r="J51" s="393" t="n"/>
      <c r="K51" s="393" t="n"/>
      <c r="L51" s="393" t="n"/>
      <c r="M51" s="393" t="n"/>
      <c r="N51" s="393" t="n"/>
      <c r="O51" s="393" t="n"/>
      <c r="P51" s="343" t="n"/>
      <c r="Q51" s="377">
        <f>SUM(C51:O51)</f>
        <v>0</v>
      </c>
      <c r="R51" s="393" t="n"/>
      <c r="S51" s="393" t="n"/>
      <c r="T51" s="343" t="n"/>
      <c r="U51" s="373" t="n"/>
      <c r="V51" s="378">
        <f>SUMIF($C$2:$N$2,"&lt;="&amp;締月,C51:N51)</f>
        <v>0</v>
      </c>
      <c r="W51" s="373" t="n"/>
    </row>
    <row r="52" ht="18" customFormat="1" customHeight="1" s="395">
      <c r="A52" s="379" t="n"/>
      <c r="B52" s="380" t="inlineStr">
        <is>
          <t>基本給計</t>
        </is>
      </c>
      <c r="C52" s="381">
        <f>SUM(C51:C51)</f>
        <v>0</v>
      </c>
      <c r="D52" s="381">
        <f>SUM(D51:D51)</f>
        <v>0</v>
      </c>
      <c r="E52" s="381">
        <f>SUM(E51:E51)</f>
        <v>0</v>
      </c>
      <c r="F52" s="381">
        <f>SUM(F51:F51)</f>
        <v>0</v>
      </c>
      <c r="G52" s="381">
        <f>SUM(G51:G51)</f>
        <v>0</v>
      </c>
      <c r="H52" s="381">
        <f>SUM(H51:H51)</f>
        <v>0</v>
      </c>
      <c r="I52" s="381">
        <f>SUM(I51:I51)</f>
        <v>0</v>
      </c>
      <c r="J52" s="381">
        <f>SUM(J51:J51)</f>
        <v>0</v>
      </c>
      <c r="K52" s="381">
        <f>SUM(K51:K51)</f>
        <v>0</v>
      </c>
      <c r="L52" s="381">
        <f>SUM(L51:L51)</f>
        <v>0</v>
      </c>
      <c r="M52" s="381">
        <f>SUM(M51:M51)</f>
        <v>0</v>
      </c>
      <c r="N52" s="381">
        <f>SUM(N51:N51)</f>
        <v>0</v>
      </c>
      <c r="O52" s="381">
        <f>SUM(O51:O51)</f>
        <v>0</v>
      </c>
      <c r="P52" s="379" t="n"/>
      <c r="Q52" s="381">
        <f>SUM(C52:O52)</f>
        <v>0</v>
      </c>
      <c r="R52" s="379" t="n"/>
      <c r="S52" s="379" t="n"/>
      <c r="T52" s="379" t="n"/>
      <c r="U52" s="373" t="n"/>
      <c r="V52" s="382">
        <f>SUMIF($C$2:$N$2,"&lt;="&amp;締月,C52:N52)</f>
        <v>0</v>
      </c>
      <c r="W52" s="373" t="n"/>
    </row>
    <row r="53" ht="18" customHeight="1" s="322">
      <c r="A53" s="343" t="n"/>
      <c r="B53" s="376" t="inlineStr">
        <is>
          <t>手当（賞与以外）</t>
        </is>
      </c>
      <c r="C53" s="393" t="n"/>
      <c r="D53" s="393" t="n"/>
      <c r="E53" s="393" t="n"/>
      <c r="F53" s="393" t="n"/>
      <c r="G53" s="393" t="n"/>
      <c r="H53" s="393" t="n"/>
      <c r="I53" s="393" t="n"/>
      <c r="J53" s="393" t="n"/>
      <c r="K53" s="393" t="n"/>
      <c r="L53" s="393" t="n"/>
      <c r="M53" s="393" t="n"/>
      <c r="N53" s="393" t="n"/>
      <c r="O53" s="393" t="n"/>
      <c r="P53" s="343" t="n"/>
      <c r="Q53" s="377">
        <f>SUM(C53:O53)</f>
        <v>0</v>
      </c>
      <c r="R53" s="393" t="n"/>
      <c r="S53" s="393" t="n"/>
      <c r="T53" s="343" t="n"/>
      <c r="U53" s="373" t="n"/>
      <c r="V53" s="378">
        <f>SUMIF($C$2:$N$2,"&lt;="&amp;締月,C53:N53)</f>
        <v>0</v>
      </c>
      <c r="W53" s="373" t="n"/>
    </row>
    <row r="54" ht="18" customHeight="1" s="322">
      <c r="A54" s="343" t="n"/>
      <c r="B54" s="376" t="inlineStr">
        <is>
          <t>賞与</t>
        </is>
      </c>
      <c r="C54" s="343" t="n"/>
      <c r="D54" s="393" t="n"/>
      <c r="E54" s="393" t="n"/>
      <c r="F54" s="393" t="n"/>
      <c r="G54" s="393" t="n"/>
      <c r="H54" s="393" t="n"/>
      <c r="I54" s="393" t="n"/>
      <c r="J54" s="393" t="n"/>
      <c r="K54" s="393" t="n"/>
      <c r="L54" s="393" t="n"/>
      <c r="M54" s="393" t="n"/>
      <c r="N54" s="393" t="n"/>
      <c r="O54" s="343" t="n"/>
      <c r="P54" s="343" t="n"/>
      <c r="Q54" s="377">
        <f>SUM(C54:O54)</f>
        <v>0</v>
      </c>
      <c r="R54" s="393" t="n"/>
      <c r="S54" s="393" t="n"/>
      <c r="T54" s="343" t="n"/>
      <c r="U54" s="373" t="n"/>
      <c r="V54" s="378">
        <f>SUMIF($C$2:$N$2,"&lt;="&amp;締月,C54:N54)</f>
        <v>0</v>
      </c>
      <c r="W54" s="373" t="n"/>
    </row>
    <row r="55" ht="18" customFormat="1" customHeight="1" s="395">
      <c r="A55" s="379" t="n"/>
      <c r="B55" s="380" t="inlineStr">
        <is>
          <t>手当計</t>
        </is>
      </c>
      <c r="C55" s="381">
        <f>SUM(C53:C54)</f>
        <v>0</v>
      </c>
      <c r="D55" s="381">
        <f>SUM(D53:D54)</f>
        <v>0</v>
      </c>
      <c r="E55" s="381">
        <f>SUM(E53:E54)</f>
        <v>0</v>
      </c>
      <c r="F55" s="381">
        <f>SUM(F53:F54)</f>
        <v>0</v>
      </c>
      <c r="G55" s="381">
        <f>SUM(G53:G54)</f>
        <v>0</v>
      </c>
      <c r="H55" s="381">
        <f>SUM(H53:H54)</f>
        <v>0</v>
      </c>
      <c r="I55" s="381">
        <f>SUM(I53:I54)</f>
        <v>0</v>
      </c>
      <c r="J55" s="381">
        <f>SUM(J53:J54)</f>
        <v>0</v>
      </c>
      <c r="K55" s="381">
        <f>SUM(K53:K54)</f>
        <v>0</v>
      </c>
      <c r="L55" s="381">
        <f>SUM(L53:L54)</f>
        <v>0</v>
      </c>
      <c r="M55" s="381">
        <f>SUM(M53:M54)</f>
        <v>0</v>
      </c>
      <c r="N55" s="381">
        <f>SUM(N53:N54)</f>
        <v>0</v>
      </c>
      <c r="O55" s="381">
        <f>SUM(O53:O54)</f>
        <v>0</v>
      </c>
      <c r="P55" s="379" t="n"/>
      <c r="Q55" s="381">
        <f>SUM(C55:O55)</f>
        <v>0</v>
      </c>
      <c r="R55" s="379" t="n"/>
      <c r="S55" s="379" t="n"/>
      <c r="T55" s="379" t="n"/>
      <c r="U55" s="373" t="n"/>
      <c r="V55" s="382">
        <f>SUMIF($C$2:$N$2,"&lt;="&amp;締月,C55:N55)</f>
        <v>0</v>
      </c>
      <c r="W55" s="373" t="n"/>
    </row>
    <row r="56" ht="18" customHeight="1" s="322">
      <c r="A56" s="343" t="n"/>
      <c r="B56" s="376" t="inlineStr">
        <is>
          <t>嘱託報酬</t>
        </is>
      </c>
      <c r="C56" s="377">
        <f>IF(C$2&lt;=締月,SUMIFS(入力_業務!$J$5:$J$1604,入力_業務!$O$5:$O$1604,"非常勤職員手当",入力_業務!$P$5:$P$1604,C$2,入力_業務!$I$5:$I$1604,"確認済")-C57,AA56)</f>
        <v>317340</v>
      </c>
      <c r="D56" s="377">
        <f>IF(D$2&lt;=締月,SUMIFS(入力_業務!$J$5:$J$1604,入力_業務!$O$5:$O$1604,"非常勤職員手当",入力_業務!$P$5:$P$1604,D$2,入力_業務!$I$5:$I$1604,"確認済")-D57,AB56)</f>
        <v>248436</v>
      </c>
      <c r="E56" s="377">
        <f>IF(E$2&lt;=締月,SUMIFS(入力_業務!$J$5:$J$1604,入力_業務!$O$5:$O$1604,"非常勤職員手当",入力_業務!$P$5:$P$1604,E$2,入力_業務!$I$5:$I$1604,"確認済")-E57,AC56)</f>
        <v>250504</v>
      </c>
      <c r="F56" s="377">
        <f>IF(F$2&lt;=締月,SUMIFS(入力_業務!$J$5:$J$1604,入力_業務!$O$5:$O$1604,"非常勤職員手当",入力_業務!$P$5:$P$1604,F$2,入力_業務!$I$5:$I$1604,"確認済")-F57,AD56)</f>
        <v>256708</v>
      </c>
      <c r="G56" s="377">
        <f>IF(G$2&lt;=締月,SUMIFS(入力_業務!$J$5:$J$1604,入力_業務!$O$5:$O$1604,"非常勤職員手当",入力_業務!$P$5:$P$1604,G$2,入力_業務!$I$5:$I$1604,"確認済")-G57,AE56)</f>
        <v>244300</v>
      </c>
      <c r="H56" s="377">
        <f>IF(H$2&lt;=締月,SUMIFS(入力_業務!$J$5:$J$1604,入力_業務!$O$5:$O$1604,"非常勤職員手当",入力_業務!$P$5:$P$1604,H$2,入力_業務!$I$5:$I$1604,"確認済")-H57,AF56)</f>
        <v>258776</v>
      </c>
      <c r="I56" s="377">
        <f>IF(I$2&lt;=締月,SUMIFS(入力_業務!$J$5:$J$1604,入力_業務!$O$5:$O$1604,"非常勤職員手当",入力_業務!$P$5:$P$1604,I$2,入力_業務!$I$5:$I$1604,"確認済")-I57,AG56)</f>
        <v>383109</v>
      </c>
      <c r="J56" s="377">
        <f>IF(J$2&lt;=締月,SUMIFS(入力_業務!$J$5:$J$1604,入力_業務!$O$5:$O$1604,"非常勤職員手当",入力_業務!$P$5:$P$1604,J$2,入力_業務!$I$5:$I$1604,"確認済")-J57,AH56)</f>
        <v>227838</v>
      </c>
      <c r="K56" s="377">
        <f>IF(K$2&lt;=締月,SUMIFS(入力_業務!$J$5:$J$1604,入力_業務!$O$5:$O$1604,"非常勤職員手当",入力_業務!$P$5:$P$1604,K$2,入力_業務!$I$5:$I$1604,"確認済")-K57,AI56)</f>
        <v>308956</v>
      </c>
      <c r="L56" s="377">
        <f>IF(L$2&lt;=締月,SUMIFS(入力_業務!$J$5:$J$1604,入力_業務!$O$5:$O$1604,"非常勤職員手当",入力_業務!$P$5:$P$1604,L$2,入力_業務!$I$5:$I$1604,"確認済")-L57,AJ56)</f>
        <v>228265</v>
      </c>
      <c r="M56" s="377">
        <f>IF(M$2&lt;=締月,SUMIFS(入力_業務!$J$5:$J$1604,入力_業務!$O$5:$O$1604,"非常勤職員手当",入力_業務!$P$5:$P$1604,M$2,入力_業務!$I$5:$I$1604,"確認済")-M57,AK56)</f>
        <v>232335</v>
      </c>
      <c r="N56" s="377">
        <f>IF(N$2&lt;=締月,SUMIFS(入力_業務!$J$5:$J$1604,入力_業務!$O$5:$O$1604,"非常勤職員手当",入力_業務!$P$5:$P$1604,N$2,入力_業務!$I$5:$I$1604,"確認済")-N57,AL56)</f>
        <v>234370</v>
      </c>
      <c r="O56" s="377">
        <f>IF(O$2&lt;=締月,SUMIFS(入力_業務!$J$5:$J$1604,入力_業務!$O$5:$O$1604,"非常勤職員手当",入力_業務!$P$5:$P$1604,O$2,入力_業務!$I$5:$I$1604,"確認済")-O57,AM56)</f>
        <v>42640</v>
      </c>
      <c r="P56" s="343" t="n"/>
      <c r="Q56" s="377">
        <f>SUM(C56:O56)</f>
        <v>3233577</v>
      </c>
      <c r="R56" s="393" t="n"/>
      <c r="S56" s="393" t="n"/>
      <c r="T56" s="343" t="n"/>
      <c r="U56" s="373" t="n"/>
      <c r="V56" s="378">
        <f>SUMIF($C$2:$N$2,"&lt;="&amp;締月,C56:N56)</f>
        <v>1576064</v>
      </c>
      <c r="W56" s="373" t="n"/>
      <c r="X56" s="399" t="n">
        <v>1</v>
      </c>
      <c r="AA56" s="400" t="n">
        <v>317340</v>
      </c>
      <c r="AB56" s="400" t="n">
        <v>248436</v>
      </c>
      <c r="AC56" s="400" t="n">
        <v>250504</v>
      </c>
      <c r="AD56" s="400" t="n">
        <v>256708</v>
      </c>
      <c r="AE56" s="400" t="n">
        <v>244300</v>
      </c>
      <c r="AF56" s="400" t="n">
        <v>258776</v>
      </c>
      <c r="AG56" s="400" t="n">
        <v>383109</v>
      </c>
      <c r="AH56" s="400" t="n">
        <v>227838</v>
      </c>
      <c r="AI56" s="400" t="n">
        <v>308956</v>
      </c>
      <c r="AJ56" s="400" t="n">
        <v>228265</v>
      </c>
      <c r="AK56" s="400" t="n">
        <v>232335</v>
      </c>
      <c r="AL56" s="400" t="n">
        <v>234370</v>
      </c>
      <c r="AM56" s="400" t="n">
        <v>42640</v>
      </c>
    </row>
    <row r="57" ht="18" customHeight="1" s="322">
      <c r="A57" s="343" t="n"/>
      <c r="B57" s="376" t="inlineStr">
        <is>
          <t>増額報酬</t>
        </is>
      </c>
      <c r="C57" s="377">
        <f>IF(C$2&lt;=締月,SUMIFS(入力_業務!$J$5:$J$1604,入力_業務!$O$5:$O$1604,"非常勤職員手当",入力_業務!$P$5:$P$1604,C$2,入力_業務!$I$5:$I$1604,"確認済",入力_業務!$F$5:$F$1604,"*賞与*"),AA57)</f>
        <v>0</v>
      </c>
      <c r="D57" s="377">
        <f>IF(D$2&lt;=締月,SUMIFS(入力_業務!$J$5:$J$1604,入力_業務!$O$5:$O$1604,"非常勤職員手当",入力_業務!$P$5:$P$1604,D$2,入力_業務!$I$5:$I$1604,"確認済",入力_業務!$F$5:$F$1604,"*賞与*"),AB57)</f>
        <v>0</v>
      </c>
      <c r="E57" s="377">
        <f>IF(E$2&lt;=締月,SUMIFS(入力_業務!$J$5:$J$1604,入力_業務!$O$5:$O$1604,"非常勤職員手当",入力_業務!$P$5:$P$1604,E$2,入力_業務!$I$5:$I$1604,"確認済",入力_業務!$F$5:$F$1604,"*賞与*"),AC57)</f>
        <v>447795</v>
      </c>
      <c r="F57" s="377">
        <f>IF(F$2&lt;=締月,SUMIFS(入力_業務!$J$5:$J$1604,入力_業務!$O$5:$O$1604,"非常勤職員手当",入力_業務!$P$5:$P$1604,F$2,入力_業務!$I$5:$I$1604,"確認済",入力_業務!$F$5:$F$1604,"*賞与*"),AD57)</f>
        <v>0</v>
      </c>
      <c r="G57" s="377">
        <f>IF(G$2&lt;=締月,SUMIFS(入力_業務!$J$5:$J$1604,入力_業務!$O$5:$O$1604,"非常勤職員手当",入力_業務!$P$5:$P$1604,G$2,入力_業務!$I$5:$I$1604,"確認済",入力_業務!$F$5:$F$1604,"*賞与*"),AE57)</f>
        <v>0</v>
      </c>
      <c r="H57" s="377">
        <f>IF(H$2&lt;=締月,SUMIFS(入力_業務!$J$5:$J$1604,入力_業務!$O$5:$O$1604,"非常勤職員手当",入力_業務!$P$5:$P$1604,H$2,入力_業務!$I$5:$I$1604,"確認済",入力_業務!$F$5:$F$1604,"*賞与*"),AF57)</f>
        <v>0</v>
      </c>
      <c r="I57" s="377">
        <f>IF(I$2&lt;=締月,SUMIFS(入力_業務!$J$5:$J$1604,入力_業務!$O$5:$O$1604,"非常勤職員手当",入力_業務!$P$5:$P$1604,I$2,入力_業務!$I$5:$I$1604,"確認済",入力_業務!$F$5:$F$1604,"*賞与*"),AG57)</f>
        <v>0</v>
      </c>
      <c r="J57" s="377">
        <f>IF(J$2&lt;=締月,SUMIFS(入力_業務!$J$5:$J$1604,入力_業務!$O$5:$O$1604,"非常勤職員手当",入力_業務!$P$5:$P$1604,J$2,入力_業務!$I$5:$I$1604,"確認済",入力_業務!$F$5:$F$1604,"*賞与*"),AH57)</f>
        <v>0</v>
      </c>
      <c r="K57" s="377">
        <f>IF(K$2&lt;=締月,SUMIFS(入力_業務!$J$5:$J$1604,入力_業務!$O$5:$O$1604,"非常勤職員手当",入力_業務!$P$5:$P$1604,K$2,入力_業務!$I$5:$I$1604,"確認済",入力_業務!$F$5:$F$1604,"*賞与*"),AI57)</f>
        <v>433105</v>
      </c>
      <c r="L57" s="377">
        <f>IF(L$2&lt;=締月,SUMIFS(入力_業務!$J$5:$J$1604,入力_業務!$O$5:$O$1604,"非常勤職員手当",入力_業務!$P$5:$P$1604,L$2,入力_業務!$I$5:$I$1604,"確認済",入力_業務!$F$5:$F$1604,"*賞与*"),AJ57)</f>
        <v>0</v>
      </c>
      <c r="M57" s="377">
        <f>IF(M$2&lt;=締月,SUMIFS(入力_業務!$J$5:$J$1604,入力_業務!$O$5:$O$1604,"非常勤職員手当",入力_業務!$P$5:$P$1604,M$2,入力_業務!$I$5:$I$1604,"確認済",入力_業務!$F$5:$F$1604,"*賞与*"),AK57)</f>
        <v>0</v>
      </c>
      <c r="N57" s="377">
        <f>IF(N$2&lt;=締月,SUMIFS(入力_業務!$J$5:$J$1604,入力_業務!$O$5:$O$1604,"非常勤職員手当",入力_業務!$P$5:$P$1604,N$2,入力_業務!$I$5:$I$1604,"確認済",入力_業務!$F$5:$F$1604,"*賞与*"),AL57)</f>
        <v>0</v>
      </c>
      <c r="O57" s="377">
        <f>IF(O$2&lt;=締月,SUMIFS(入力_業務!$J$5:$J$1604,入力_業務!$O$5:$O$1604,"非常勤職員手当",入力_業務!$P$5:$P$1604,O$2,入力_業務!$I$5:$I$1604,"確認済",入力_業務!$F$5:$F$1604,"*賞与*"),AM57)</f>
        <v>0</v>
      </c>
      <c r="P57" s="343" t="n"/>
      <c r="Q57" s="377">
        <f>SUM(C57:O57)</f>
        <v>880900</v>
      </c>
      <c r="R57" s="393" t="n"/>
      <c r="S57" s="393" t="n"/>
      <c r="T57" s="343" t="n"/>
      <c r="U57" s="373" t="n"/>
      <c r="V57" s="378">
        <f>SUMIF($C$2:$N$2,"&lt;="&amp;締月,C57:N57)</f>
        <v>447795</v>
      </c>
      <c r="W57" s="373" t="n"/>
      <c r="X57" s="399" t="n">
        <v>1</v>
      </c>
      <c r="AA57" s="400" t="n"/>
      <c r="AB57" s="400" t="n"/>
      <c r="AC57" s="400" t="n">
        <v>447795</v>
      </c>
      <c r="AD57" s="400" t="n"/>
      <c r="AE57" s="400" t="n"/>
      <c r="AF57" s="400" t="n"/>
      <c r="AG57" s="400" t="n"/>
      <c r="AH57" s="400" t="n"/>
      <c r="AI57" s="400" t="n">
        <v>433105</v>
      </c>
      <c r="AJ57" s="400" t="n"/>
      <c r="AK57" s="400" t="n"/>
      <c r="AL57" s="400" t="n"/>
      <c r="AM57" s="400" t="n"/>
    </row>
    <row r="58" ht="18" customFormat="1" customHeight="1" s="395">
      <c r="A58" s="379" t="n"/>
      <c r="B58" s="380" t="inlineStr">
        <is>
          <t>非常勤手当計</t>
        </is>
      </c>
      <c r="C58" s="381">
        <f>SUM(C56:C57)</f>
        <v>317340</v>
      </c>
      <c r="D58" s="381">
        <f>SUM(D56:D57)</f>
        <v>248436</v>
      </c>
      <c r="E58" s="381">
        <f>SUM(E56:E57)</f>
        <v>698299</v>
      </c>
      <c r="F58" s="381">
        <f>SUM(F56:F57)</f>
        <v>256708</v>
      </c>
      <c r="G58" s="381">
        <f>SUM(G56:G57)</f>
        <v>244300</v>
      </c>
      <c r="H58" s="381">
        <f>SUM(H56:H57)</f>
        <v>258776</v>
      </c>
      <c r="I58" s="381">
        <f>SUM(I56:I57)</f>
        <v>383109</v>
      </c>
      <c r="J58" s="381">
        <f>SUM(J56:J57)</f>
        <v>227838</v>
      </c>
      <c r="K58" s="381">
        <f>SUM(K56:K57)</f>
        <v>742061</v>
      </c>
      <c r="L58" s="381">
        <f>SUM(L56:L57)</f>
        <v>228265</v>
      </c>
      <c r="M58" s="381">
        <f>SUM(M56:M57)</f>
        <v>232335</v>
      </c>
      <c r="N58" s="381">
        <f>SUM(N56:N57)</f>
        <v>234370</v>
      </c>
      <c r="O58" s="381">
        <f>SUM(O56:O57)</f>
        <v>42640</v>
      </c>
      <c r="P58" s="379" t="n"/>
      <c r="Q58" s="381">
        <f>SUM(C58:O58)</f>
        <v>4114477</v>
      </c>
      <c r="R58" s="379" t="n"/>
      <c r="S58" s="379" t="n"/>
      <c r="T58" s="379" t="n"/>
      <c r="U58" s="373" t="n"/>
      <c r="V58" s="382">
        <f>SUMIF($C$2:$N$2,"&lt;="&amp;締月,C58:N58)</f>
        <v>2023859</v>
      </c>
      <c r="W58" s="373" t="n"/>
    </row>
    <row r="59" ht="18" customHeight="1" s="322">
      <c r="A59" s="343" t="n"/>
      <c r="B59" s="376" t="inlineStr">
        <is>
          <t>臨時賃金</t>
        </is>
      </c>
      <c r="C59" s="377">
        <f>IF(C$2&lt;=締月,SUMIFS(入力_業務!$J$5:$J$1604,入力_業務!$O$5:$O$1604,"賃金",入力_業務!$P$5:$P$1604,C$2,入力_業務!$I$5:$I$1604,"確認済"),AA59)</f>
        <v>0</v>
      </c>
      <c r="D59" s="377">
        <f>IF(D$2&lt;=締月,SUMIFS(入力_業務!$J$5:$J$1604,入力_業務!$O$5:$O$1604,"賃金",入力_業務!$P$5:$P$1604,D$2,入力_業務!$I$5:$I$1604,"確認済"),AB59)</f>
        <v>425880</v>
      </c>
      <c r="E59" s="377">
        <f>IF(E$2&lt;=締月,SUMIFS(入力_業務!$J$5:$J$1604,入力_業務!$O$5:$O$1604,"賃金",入力_業務!$P$5:$P$1604,E$2,入力_業務!$I$5:$I$1604,"確認済"),AC59)</f>
        <v>365040</v>
      </c>
      <c r="F59" s="377">
        <f>IF(F$2&lt;=締月,SUMIFS(入力_業務!$J$5:$J$1604,入力_業務!$O$5:$O$1604,"賃金",入力_業務!$P$5:$P$1604,F$2,入力_業務!$I$5:$I$1604,"確認済"),AD59)</f>
        <v>446160</v>
      </c>
      <c r="G59" s="377">
        <f>IF(G$2&lt;=締月,SUMIFS(入力_業務!$J$5:$J$1604,入力_業務!$O$5:$O$1604,"賃金",入力_業務!$P$5:$P$1604,G$2,入力_業務!$I$5:$I$1604,"確認済"),AE59)</f>
        <v>445720</v>
      </c>
      <c r="H59" s="377">
        <f>IF(H$2&lt;=締月,SUMIFS(入力_業務!$J$5:$J$1604,入力_業務!$O$5:$O$1604,"賃金",入力_業務!$P$5:$P$1604,H$2,入力_業務!$I$5:$I$1604,"確認済"),AF59)</f>
        <v>384480</v>
      </c>
      <c r="I59" s="377">
        <f>IF(I$2&lt;=締月,SUMIFS(入力_業務!$J$5:$J$1604,入力_業務!$O$5:$O$1604,"賃金",入力_業務!$P$5:$P$1604,I$2,入力_業務!$I$5:$I$1604,"確認済"),AG59)</f>
        <v>389160</v>
      </c>
      <c r="J59" s="377">
        <f>IF(J$2&lt;=締月,SUMIFS(入力_業務!$J$5:$J$1604,入力_業務!$O$5:$O$1604,"賃金",入力_業務!$P$5:$P$1604,J$2,入力_業務!$I$5:$I$1604,"確認済"),AH59)</f>
        <v>416580</v>
      </c>
      <c r="K59" s="377">
        <f>IF(K$2&lt;=締月,SUMIFS(入力_業務!$J$5:$J$1604,入力_業務!$O$5:$O$1604,"賃金",入力_業務!$P$5:$P$1604,K$2,入力_業務!$I$5:$I$1604,"確認済"),AI59)</f>
        <v>340920</v>
      </c>
      <c r="L59" s="377">
        <f>IF(L$2&lt;=締月,SUMIFS(入力_業務!$J$5:$J$1604,入力_業務!$O$5:$O$1604,"賃金",入力_業務!$P$5:$P$1604,L$2,入力_業務!$I$5:$I$1604,"確認済"),AJ59)</f>
        <v>377520</v>
      </c>
      <c r="M59" s="377">
        <f>IF(M$2&lt;=締月,SUMIFS(入力_業務!$J$5:$J$1604,入力_業務!$O$5:$O$1604,"賃金",入力_業務!$P$5:$P$1604,M$2,入力_業務!$I$5:$I$1604,"確認済"),AK59)</f>
        <v>359120</v>
      </c>
      <c r="N59" s="377">
        <f>IF(N$2&lt;=締月,SUMIFS(入力_業務!$J$5:$J$1604,入力_業務!$O$5:$O$1604,"賃金",入力_業務!$P$5:$P$1604,N$2,入力_業務!$I$5:$I$1604,"確認済"),AL59)</f>
        <v>339340</v>
      </c>
      <c r="O59" s="377">
        <f>IF(O$2&lt;=締月,SUMIFS(入力_業務!$J$5:$J$1604,入力_業務!$O$5:$O$1604,"賃金",入力_業務!$P$5:$P$1604,O$2,入力_業務!$I$5:$I$1604,"確認済"),AM59)</f>
        <v>339568</v>
      </c>
      <c r="P59" s="343" t="n"/>
      <c r="Q59" s="377">
        <f>SUM(C59:O59)</f>
        <v>4629488</v>
      </c>
      <c r="R59" s="393" t="n"/>
      <c r="S59" s="393" t="n"/>
      <c r="T59" s="343" t="n"/>
      <c r="U59" s="373" t="n"/>
      <c r="V59" s="378">
        <f>SUMIF($C$2:$N$2,"&lt;="&amp;締月,C59:N59)</f>
        <v>2067280</v>
      </c>
      <c r="W59" s="373" t="n"/>
      <c r="X59" s="399" t="n">
        <v>1</v>
      </c>
      <c r="AA59" s="400" t="n">
        <v>0</v>
      </c>
      <c r="AB59" s="400" t="n">
        <v>425880</v>
      </c>
      <c r="AC59" s="400" t="n">
        <v>365040</v>
      </c>
      <c r="AD59" s="400" t="n">
        <v>446160</v>
      </c>
      <c r="AE59" s="400" t="n">
        <v>445720</v>
      </c>
      <c r="AF59" s="400" t="n">
        <v>384480</v>
      </c>
      <c r="AG59" s="400" t="n">
        <v>389160</v>
      </c>
      <c r="AH59" s="400" t="n">
        <v>416580</v>
      </c>
      <c r="AI59" s="400" t="n">
        <v>340920</v>
      </c>
      <c r="AJ59" s="400" t="n">
        <v>377520</v>
      </c>
      <c r="AK59" s="400" t="n">
        <v>359120</v>
      </c>
      <c r="AL59" s="400" t="n">
        <v>339340</v>
      </c>
      <c r="AM59" s="400" t="n">
        <v>339568</v>
      </c>
    </row>
    <row r="60" ht="18" customFormat="1" customHeight="1" s="404">
      <c r="A60" s="379" t="n"/>
      <c r="B60" s="405" t="inlineStr">
        <is>
          <t>賃金計</t>
        </is>
      </c>
      <c r="C60" s="406">
        <f>SUM(C59)</f>
        <v>0</v>
      </c>
      <c r="D60" s="406">
        <f>SUM(D59)</f>
        <v>425880</v>
      </c>
      <c r="E60" s="406">
        <f>SUM(E59)</f>
        <v>365040</v>
      </c>
      <c r="F60" s="406">
        <f>SUM(F59)</f>
        <v>446160</v>
      </c>
      <c r="G60" s="406">
        <f>SUM(G59)</f>
        <v>445720</v>
      </c>
      <c r="H60" s="406">
        <f>SUM(H59)</f>
        <v>384480</v>
      </c>
      <c r="I60" s="406">
        <f>SUM(I59)</f>
        <v>389160</v>
      </c>
      <c r="J60" s="406">
        <f>SUM(J59)</f>
        <v>416580</v>
      </c>
      <c r="K60" s="406">
        <f>SUM(K59)</f>
        <v>340920</v>
      </c>
      <c r="L60" s="406">
        <f>SUM(L59)</f>
        <v>377520</v>
      </c>
      <c r="M60" s="406">
        <f>SUM(M59)</f>
        <v>359120</v>
      </c>
      <c r="N60" s="406">
        <f>SUM(N59)</f>
        <v>339340</v>
      </c>
      <c r="O60" s="406">
        <f>SUM(O59)</f>
        <v>339568</v>
      </c>
      <c r="P60" s="396" t="n"/>
      <c r="Q60" s="406">
        <f>SUM(C60:O60)</f>
        <v>4629488</v>
      </c>
      <c r="R60" s="396" t="n"/>
      <c r="S60" s="396" t="n"/>
      <c r="T60" s="379" t="n"/>
      <c r="U60" s="373" t="n"/>
      <c r="V60" s="382">
        <f>SUMIF($C$2:$N$2,"&lt;="&amp;締月,C60:N60)</f>
        <v>2067280</v>
      </c>
      <c r="W60" s="373" t="n"/>
    </row>
    <row r="61">
      <c r="A61" s="373" t="n"/>
      <c r="B61" s="373" t="n"/>
      <c r="C61" s="373" t="n"/>
      <c r="D61" s="373" t="n"/>
      <c r="E61" s="373" t="n"/>
      <c r="F61" s="373" t="n"/>
      <c r="G61" s="373" t="n"/>
      <c r="H61" s="373" t="n"/>
      <c r="I61" s="373" t="n"/>
      <c r="J61" s="373" t="n"/>
      <c r="K61" s="373" t="n"/>
      <c r="L61" s="373" t="n"/>
      <c r="M61" s="373" t="n"/>
      <c r="N61" s="373" t="n"/>
      <c r="O61" s="373" t="n"/>
      <c r="P61" s="373" t="n"/>
      <c r="Q61" s="373" t="n"/>
      <c r="R61" s="373" t="n"/>
      <c r="S61" s="373" t="n"/>
      <c r="T61" s="373" t="n"/>
      <c r="U61" s="373" t="n"/>
      <c r="V61" s="373" t="n"/>
      <c r="W61" s="373" t="n"/>
    </row>
    <row r="62" ht="18" customHeight="1" s="322">
      <c r="A62" s="379" t="n"/>
      <c r="B62" s="380" t="inlineStr">
        <is>
          <t>合計</t>
        </is>
      </c>
      <c r="C62" s="381">
        <f>C52+C55+C58</f>
        <v>317340</v>
      </c>
      <c r="D62" s="381">
        <f>D52+D55+D58+D60</f>
        <v>674316</v>
      </c>
      <c r="E62" s="381">
        <f>E52+E55+E58+E60</f>
        <v>1063339</v>
      </c>
      <c r="F62" s="381">
        <f>F52+F55+F58+F60</f>
        <v>702868</v>
      </c>
      <c r="G62" s="381">
        <f>G52+G55+G58+G60</f>
        <v>690020</v>
      </c>
      <c r="H62" s="381">
        <f>H52+H55+H58+H60</f>
        <v>643256</v>
      </c>
      <c r="I62" s="381">
        <f>I52+I55+I58+I60</f>
        <v>772269</v>
      </c>
      <c r="J62" s="381">
        <f>J52+J55+J58+J60</f>
        <v>644418</v>
      </c>
      <c r="K62" s="381">
        <f>K52+K55+K58+K60</f>
        <v>1082981</v>
      </c>
      <c r="L62" s="381">
        <f>L52+L55+L58+L60</f>
        <v>605785</v>
      </c>
      <c r="M62" s="381">
        <f>M52+M55+M58+M60</f>
        <v>591455</v>
      </c>
      <c r="N62" s="381">
        <f>N52+N55+N58+N60</f>
        <v>573710</v>
      </c>
      <c r="O62" s="381">
        <f>O52+O55+O58+O60</f>
        <v>382208</v>
      </c>
      <c r="P62" s="379" t="n"/>
      <c r="Q62" s="381">
        <f>SUM(C62:O62)</f>
        <v>8743965</v>
      </c>
      <c r="R62" s="397" t="n"/>
      <c r="S62" s="397" t="n"/>
      <c r="T62" s="379" t="n"/>
      <c r="U62" s="373" t="n"/>
      <c r="V62" s="382">
        <f>SUMIF($C$2:$N$2,"&lt;="&amp;締月,C62:N62)</f>
        <v>4091139</v>
      </c>
      <c r="W62" s="373" t="n"/>
    </row>
  </sheetData>
  <mergeCells count="31">
    <mergeCell ref="A48:B48"/>
    <mergeCell ref="A24:B24"/>
    <mergeCell ref="A5:A9"/>
    <mergeCell ref="A12:A18"/>
    <mergeCell ref="A11:B11"/>
    <mergeCell ref="A45:B45"/>
    <mergeCell ref="P1:W1"/>
    <mergeCell ref="Q27:Q31"/>
    <mergeCell ref="A25:B25"/>
    <mergeCell ref="A41:B41"/>
    <mergeCell ref="A46:B46"/>
    <mergeCell ref="A3:B3"/>
    <mergeCell ref="T27:T31"/>
    <mergeCell ref="A21:B21"/>
    <mergeCell ref="A2:B2"/>
    <mergeCell ref="A42:B42"/>
    <mergeCell ref="A23:B23"/>
    <mergeCell ref="S27:S31"/>
    <mergeCell ref="A22:B22"/>
    <mergeCell ref="A35:B35"/>
    <mergeCell ref="A4:B4"/>
    <mergeCell ref="A20:B20"/>
    <mergeCell ref="A26:A33"/>
    <mergeCell ref="A43:B43"/>
    <mergeCell ref="A19:B19"/>
    <mergeCell ref="A10:B10"/>
    <mergeCell ref="A1:O1"/>
    <mergeCell ref="A44:B44"/>
    <mergeCell ref="A40:B40"/>
    <mergeCell ref="R27:R31"/>
    <mergeCell ref="A39:B39"/>
  </mergeCells>
  <conditionalFormatting sqref="C4:N62">
    <cfRule type="expression" priority="1" dxfId="11">
      <formula>AND(ISNUMBER(C4),C$2&lt;&gt;"",C$2&gt;締月)</formula>
    </cfRule>
  </conditionalFormatting>
  <conditionalFormatting sqref="O4:O62">
    <cfRule type="expression" priority="2" dxfId="7">
      <formula>AND(ISNUMBER(O4),締月&lt;13)</formula>
    </cfRule>
  </conditionalFormatting>
  <printOptions horizontalCentered="0" verticalCentered="0" headings="0" gridLines="0" gridLinesSet="1"/>
  <pageMargins left="0.590277777777778" right="0.196527777777778" top="0.359722222222222" bottom="0.209722222222222" header="0.196527777777778" footer="0.196527777777778"/>
  <pageSetup orientation="landscape" paperSize="8" scale="70" fitToHeight="0" fitToWidth="1" pageOrder="downThenOver" blackAndWhite="0" draft="0" horizontalDpi="300" verticalDpi="300" copies="1"/>
  <rowBreaks count="1" manualBreakCount="1">
    <brk id="49" min="0" max="16383" man="1"/>
  </rowBreaks>
  <colBreaks count="1" manualBreakCount="1">
    <brk id="20" min="0" max="65535" man="1"/>
  </colBreaks>
  <legacyDrawing xmlns:r="http://schemas.openxmlformats.org/officeDocument/2006/relationships" r:id="anysvml"/>
</worksheet>
</file>

<file path=xl/worksheets/sheet7.xml><?xml version="1.0" encoding="utf-8"?>
<worksheet xmlns="http://schemas.openxmlformats.org/spreadsheetml/2006/main">
  <sheetPr filterMode="0">
    <tabColor rgb="001F3864"/>
    <outlinePr summaryBelow="1" summaryRight="1"/>
    <pageSetUpPr fitToPage="1"/>
  </sheetPr>
  <dimension ref="A1:AM62"/>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4" activePane="bottomRight" state="frozen"/>
      <selection pane="topRight"/>
      <selection pane="bottomLeft"/>
      <selection pane="bottomRight" activeCell="A1" activeCellId="0" sqref="A1"/>
      <selection pane="topRight" activeCell="H11" activeCellId="0" sqref="H11"/>
    </sheetView>
  </sheetViews>
  <sheetFormatPr baseColWidth="8" defaultColWidth="8.8671875" defaultRowHeight="18" zeroHeight="0" outlineLevelRow="0"/>
  <cols>
    <col width="14" customWidth="1" style="367" min="1" max="1"/>
    <col width="20" customWidth="1" style="367" min="2" max="2"/>
    <col width="12.5" customWidth="1" style="367" min="3" max="13"/>
    <col width="12.5" customWidth="1" style="322" min="4" max="4"/>
    <col width="12.5" customWidth="1" style="322" min="5" max="5"/>
    <col width="12.5" customWidth="1" style="322" min="6" max="6"/>
    <col width="12.5" customWidth="1" style="322" min="7" max="7"/>
    <col width="12.5" customWidth="1" style="322" min="8" max="8"/>
    <col width="12.5" customWidth="1" style="322" min="9" max="9"/>
    <col width="12.5" customWidth="1" style="322" min="10" max="10"/>
    <col width="12.5" customWidth="1" style="322" min="11" max="11"/>
    <col width="12.5" customWidth="1" style="322" min="12" max="12"/>
    <col width="12.5" customWidth="1" style="322" min="13" max="13"/>
    <col width="12.5" customWidth="1" style="367" min="14" max="14"/>
    <col width="12.5" customWidth="1" style="367" min="15" max="15"/>
    <col width="13.5" customWidth="1" style="367" min="16" max="20"/>
    <col width="13.5" customWidth="1" style="322" min="17" max="17"/>
    <col width="13.5" customWidth="1" style="322" min="18" max="18"/>
    <col width="13.5" customWidth="1" style="322" min="19" max="19"/>
    <col width="13.5" customWidth="1" style="322" min="20" max="20"/>
    <col width="12" customWidth="1" style="367" min="21" max="21"/>
    <col width="13.5" customWidth="1" style="367" min="22" max="22"/>
    <col width="13.5" customWidth="1" style="367" min="23" max="257"/>
    <col hidden="1" width="13" customWidth="1" style="322" min="24" max="24"/>
    <col hidden="1" outlineLevel="1" width="11" customWidth="1" style="322" min="27" max="39"/>
    <col width="11" customWidth="1" style="322" min="28" max="28"/>
    <col width="11" customWidth="1" style="322" min="29" max="29"/>
    <col width="11" customWidth="1" style="322" min="30" max="30"/>
    <col width="11" customWidth="1" style="322" min="31" max="31"/>
    <col width="11" customWidth="1" style="322" min="32" max="32"/>
    <col width="11" customWidth="1" style="322" min="33" max="33"/>
    <col width="11" customWidth="1" style="322" min="34" max="34"/>
    <col width="11" customWidth="1" style="322" min="35" max="35"/>
    <col width="11" customWidth="1" style="322" min="36" max="36"/>
    <col width="11" customWidth="1" style="322" min="37" max="37"/>
    <col width="11" customWidth="1" style="322" min="38" max="38"/>
    <col width="11" customWidth="1" style="322" min="39" max="39"/>
  </cols>
  <sheetData>
    <row r="1" ht="26" customHeight="1" s="322">
      <c r="A1" s="323" t="str">
        <f>"令和"&amp;年度&amp;"年度　業務経理（長期給付事務分）　費用収益表"</f>
        <v>令和8年度　業務経理（長期給付事務分）　費用収益表</v>
      </c>
      <c r="B1" s="324" t="n"/>
      <c r="C1" s="324" t="n"/>
      <c r="D1" s="324" t="n"/>
      <c r="E1" s="324" t="n"/>
      <c r="F1" s="324" t="n"/>
      <c r="G1" s="324" t="n"/>
      <c r="H1" s="324" t="n"/>
      <c r="I1" s="324" t="n"/>
      <c r="J1" s="324" t="n"/>
      <c r="K1" s="324" t="n"/>
      <c r="L1" s="324" t="n"/>
      <c r="M1" s="324" t="n"/>
      <c r="N1" s="324" t="n"/>
      <c r="O1" s="324" t="n"/>
      <c r="P1" s="407" t="inlineStr">
        <is>
          <t>緑字＝未締め月（前年実績・見込）／黒字＝締め済み／青字＝手入力セル</t>
        </is>
      </c>
      <c r="Q1" s="324" t="n"/>
      <c r="R1" s="324" t="n"/>
      <c r="S1" s="324" t="n"/>
      <c r="T1" s="324" t="n"/>
      <c r="U1" s="324" t="n"/>
      <c r="V1" s="324" t="n"/>
      <c r="W1" s="324" t="n"/>
    </row>
    <row r="2" ht="18" customHeight="1" s="322">
      <c r="A2" s="369" t="inlineStr">
        <is>
          <t>費用</t>
        </is>
      </c>
      <c r="B2" s="339" t="n"/>
      <c r="C2" s="370" t="n">
        <v>1</v>
      </c>
      <c r="D2" s="370" t="n">
        <v>2</v>
      </c>
      <c r="E2" s="370" t="n">
        <v>3</v>
      </c>
      <c r="F2" s="370" t="n">
        <v>4</v>
      </c>
      <c r="G2" s="370" t="n">
        <v>5</v>
      </c>
      <c r="H2" s="370" t="n">
        <v>6</v>
      </c>
      <c r="I2" s="370" t="n">
        <v>7</v>
      </c>
      <c r="J2" s="370" t="n">
        <v>8</v>
      </c>
      <c r="K2" s="370" t="n">
        <v>9</v>
      </c>
      <c r="L2" s="370" t="n">
        <v>10</v>
      </c>
      <c r="M2" s="370" t="n">
        <v>11</v>
      </c>
      <c r="N2" s="370" t="n">
        <v>12</v>
      </c>
      <c r="O2" s="370" t="n">
        <v>13</v>
      </c>
      <c r="P2" s="339" t="n"/>
      <c r="Q2" s="339" t="n"/>
      <c r="R2" s="339" t="n"/>
      <c r="S2" s="339" t="n"/>
      <c r="T2" s="339" t="n"/>
      <c r="U2" s="339" t="n"/>
      <c r="V2" s="339" t="n"/>
      <c r="W2" s="339" t="n"/>
      <c r="AA2" s="371" t="inlineStr">
        <is>
          <t>▼ 参考値（旧表の値：未締め月に表示される前年実績・見込）</t>
        </is>
      </c>
    </row>
    <row r="3" ht="22" customHeight="1" s="322">
      <c r="A3" s="372" t="inlineStr">
        <is>
          <t>支払月</t>
        </is>
      </c>
      <c r="B3" s="327" t="n"/>
      <c r="C3" s="372" t="inlineStr">
        <is>
          <t>４月支払</t>
        </is>
      </c>
      <c r="D3" s="372" t="inlineStr">
        <is>
          <t>５月</t>
        </is>
      </c>
      <c r="E3" s="372" t="inlineStr">
        <is>
          <t>６月</t>
        </is>
      </c>
      <c r="F3" s="372" t="inlineStr">
        <is>
          <t>７月</t>
        </is>
      </c>
      <c r="G3" s="372" t="inlineStr">
        <is>
          <t>８月</t>
        </is>
      </c>
      <c r="H3" s="372" t="inlineStr">
        <is>
          <t>９月</t>
        </is>
      </c>
      <c r="I3" s="372" t="inlineStr">
        <is>
          <t>１０月</t>
        </is>
      </c>
      <c r="J3" s="372" t="inlineStr">
        <is>
          <t>１１月</t>
        </is>
      </c>
      <c r="K3" s="372" t="inlineStr">
        <is>
          <t>１２月</t>
        </is>
      </c>
      <c r="L3" s="372" t="inlineStr">
        <is>
          <t>１月</t>
        </is>
      </c>
      <c r="M3" s="372" t="inlineStr">
        <is>
          <t>２月</t>
        </is>
      </c>
      <c r="N3" s="372" t="inlineStr">
        <is>
          <t>３月</t>
        </is>
      </c>
      <c r="O3" s="372" t="inlineStr">
        <is>
          <t>４月(未払）</t>
        </is>
      </c>
      <c r="P3" s="372" t="inlineStr">
        <is>
          <t>決算額</t>
        </is>
      </c>
      <c r="Q3" s="372" t="inlineStr">
        <is>
          <t>予算額</t>
        </is>
      </c>
      <c r="R3" s="372" t="inlineStr">
        <is>
          <t>流用振替額</t>
        </is>
      </c>
      <c r="S3" s="372" t="inlineStr">
        <is>
          <t>予算現額</t>
        </is>
      </c>
      <c r="T3" s="372" t="inlineStr">
        <is>
          <t>不用額</t>
        </is>
      </c>
      <c r="U3" s="373" t="n"/>
      <c r="V3" s="327" t="inlineStr">
        <is>
          <t>締め月まで
累計</t>
        </is>
      </c>
      <c r="W3" s="327" t="inlineStr">
        <is>
          <t>予算残額
（現在）</t>
        </is>
      </c>
      <c r="X3" s="374" t="inlineStr">
        <is>
          <t>台帳連動</t>
        </is>
      </c>
      <c r="AA3" s="375" t="inlineStr">
        <is>
          <t>4月</t>
        </is>
      </c>
      <c r="AB3" s="375" t="inlineStr">
        <is>
          <t>5月</t>
        </is>
      </c>
      <c r="AC3" s="375" t="inlineStr">
        <is>
          <t>6月</t>
        </is>
      </c>
      <c r="AD3" s="375" t="inlineStr">
        <is>
          <t>7月</t>
        </is>
      </c>
      <c r="AE3" s="375" t="inlineStr">
        <is>
          <t>8月</t>
        </is>
      </c>
      <c r="AF3" s="375" t="inlineStr">
        <is>
          <t>9月</t>
        </is>
      </c>
      <c r="AG3" s="375" t="inlineStr">
        <is>
          <t>10月</t>
        </is>
      </c>
      <c r="AH3" s="375" t="inlineStr">
        <is>
          <t>11月</t>
        </is>
      </c>
      <c r="AI3" s="375" t="inlineStr">
        <is>
          <t>12月</t>
        </is>
      </c>
      <c r="AJ3" s="375" t="inlineStr">
        <is>
          <t>1月</t>
        </is>
      </c>
      <c r="AK3" s="375" t="inlineStr">
        <is>
          <t>2月</t>
        </is>
      </c>
      <c r="AL3" s="375" t="inlineStr">
        <is>
          <t>3月</t>
        </is>
      </c>
      <c r="AM3" s="375" t="inlineStr">
        <is>
          <t>4月(未払)</t>
        </is>
      </c>
    </row>
    <row r="4" ht="18" customHeight="1" s="322">
      <c r="A4" s="376" t="inlineStr">
        <is>
          <t>役員報酬</t>
        </is>
      </c>
      <c r="B4" s="343" t="n"/>
      <c r="C4" s="377">
        <f>IF(C$2&lt;=締月,SUMIFS(入力_業務!$N$5:$N$1604,入力_業務!$O$5:$O$1604,"役員報酬",入力_業務!$P$5:$P$1604,C$2,入力_業務!$I$5:$I$1604,"確認済"),AA4)</f>
        <v>0</v>
      </c>
      <c r="D4" s="377">
        <f>IF(D$2&lt;=締月,SUMIFS(入力_業務!$N$5:$N$1604,入力_業務!$O$5:$O$1604,"役員報酬",入力_業務!$P$5:$P$1604,D$2,入力_業務!$I$5:$I$1604,"確認済"),AB4)</f>
        <v>0</v>
      </c>
      <c r="E4" s="377">
        <f>IF(E$2&lt;=締月,SUMIFS(入力_業務!$N$5:$N$1604,入力_業務!$O$5:$O$1604,"役員報酬",入力_業務!$P$5:$P$1604,E$2,入力_業務!$I$5:$I$1604,"確認済"),AC4)</f>
        <v>11478</v>
      </c>
      <c r="F4" s="377">
        <f>IF(F$2&lt;=締月,SUMIFS(入力_業務!$N$5:$N$1604,入力_業務!$O$5:$O$1604,"役員報酬",入力_業務!$P$5:$P$1604,F$2,入力_業務!$I$5:$I$1604,"確認済"),AD4)</f>
        <v>0</v>
      </c>
      <c r="G4" s="377">
        <f>IF(G$2&lt;=締月,SUMIFS(入力_業務!$N$5:$N$1604,入力_業務!$O$5:$O$1604,"役員報酬",入力_業務!$P$5:$P$1604,G$2,入力_業務!$I$5:$I$1604,"確認済"),AE4)</f>
        <v>0</v>
      </c>
      <c r="H4" s="377">
        <f>IF(H$2&lt;=締月,SUMIFS(入力_業務!$N$5:$N$1604,入力_業務!$O$5:$O$1604,"役員報酬",入力_業務!$P$5:$P$1604,H$2,入力_業務!$I$5:$I$1604,"確認済"),AF4)</f>
        <v>0</v>
      </c>
      <c r="I4" s="377">
        <f>IF(I$2&lt;=締月,SUMIFS(入力_業務!$N$5:$N$1604,入力_業務!$O$5:$O$1604,"役員報酬",入力_業務!$P$5:$P$1604,I$2,入力_業務!$I$5:$I$1604,"確認済"),AG4)</f>
        <v>0</v>
      </c>
      <c r="J4" s="377">
        <f>IF(J$2&lt;=締月,SUMIFS(入力_業務!$N$5:$N$1604,入力_業務!$O$5:$O$1604,"役員報酬",入力_業務!$P$5:$P$1604,J$2,入力_業務!$I$5:$I$1604,"確認済"),AH4)</f>
        <v>0</v>
      </c>
      <c r="K4" s="377">
        <f>IF(K$2&lt;=締月,SUMIFS(入力_業務!$N$5:$N$1604,入力_業務!$O$5:$O$1604,"役員報酬",入力_業務!$P$5:$P$1604,K$2,入力_業務!$I$5:$I$1604,"確認済"),AI4)</f>
        <v>0</v>
      </c>
      <c r="L4" s="377">
        <f>IF(L$2&lt;=締月,SUMIFS(入力_業務!$N$5:$N$1604,入力_業務!$O$5:$O$1604,"役員報酬",入力_業務!$P$5:$P$1604,L$2,入力_業務!$I$5:$I$1604,"確認済"),AJ4)</f>
        <v>0</v>
      </c>
      <c r="M4" s="377">
        <f>IF(M$2&lt;=締月,SUMIFS(入力_業務!$N$5:$N$1604,入力_業務!$O$5:$O$1604,"役員報酬",入力_業務!$P$5:$P$1604,M$2,入力_業務!$I$5:$I$1604,"確認済"),AK4)</f>
        <v>0</v>
      </c>
      <c r="N4" s="377">
        <f>IF(N$2&lt;=締月,SUMIFS(入力_業務!$N$5:$N$1604,入力_業務!$O$5:$O$1604,"役員報酬",入力_業務!$P$5:$P$1604,N$2,入力_業務!$I$5:$I$1604,"確認済"),AL4)</f>
        <v>5739</v>
      </c>
      <c r="O4" s="377">
        <f>IF(O$2&lt;=締月,SUMIFS(入力_業務!$N$5:$N$1604,入力_業務!$O$5:$O$1604,"役員報酬",入力_業務!$P$5:$P$1604,O$2,入力_業務!$I$5:$I$1604,"確認済"),AM4)</f>
        <v>0</v>
      </c>
      <c r="P4" s="377">
        <f>SUM(C4:O4)</f>
        <v>17217</v>
      </c>
      <c r="Q4" s="398" t="n">
        <v>17000</v>
      </c>
      <c r="R4" s="393" t="n"/>
      <c r="S4" s="377">
        <f>SUM(Q4:R4)</f>
        <v>17000</v>
      </c>
      <c r="T4" s="377">
        <f>S4-P4</f>
        <v>-217</v>
      </c>
      <c r="U4" s="373" t="n"/>
      <c r="V4" s="378">
        <f>SUMIF($C$2:$N$2,"&lt;="&amp;締月,C4:N4)</f>
        <v>11478</v>
      </c>
      <c r="W4" s="378">
        <f>S4-V4</f>
        <v>5522</v>
      </c>
      <c r="X4" s="399" t="n">
        <v>1</v>
      </c>
      <c r="AA4" s="400" t="n">
        <v>0</v>
      </c>
      <c r="AB4" s="400" t="n">
        <v>0</v>
      </c>
      <c r="AC4" s="400" t="n">
        <v>11478</v>
      </c>
      <c r="AD4" s="400" t="n">
        <v>0</v>
      </c>
      <c r="AE4" s="400" t="n">
        <v>0</v>
      </c>
      <c r="AF4" s="400" t="n">
        <v>0</v>
      </c>
      <c r="AG4" s="400" t="n">
        <v>0</v>
      </c>
      <c r="AH4" s="400" t="n">
        <v>0</v>
      </c>
      <c r="AI4" s="400" t="n">
        <v>0</v>
      </c>
      <c r="AJ4" s="400" t="n">
        <v>0</v>
      </c>
      <c r="AK4" s="400" t="n">
        <v>0</v>
      </c>
      <c r="AL4" s="400" t="n">
        <v>5739</v>
      </c>
      <c r="AM4" s="400" t="n">
        <v>0</v>
      </c>
    </row>
    <row r="5" ht="18" customHeight="1" s="322">
      <c r="A5" s="376" t="inlineStr">
        <is>
          <t>職員給与</t>
        </is>
      </c>
      <c r="B5" s="376" t="inlineStr">
        <is>
          <t>基本給</t>
        </is>
      </c>
      <c r="C5" s="377">
        <f>C52</f>
        <v>0</v>
      </c>
      <c r="D5" s="377">
        <f>D52</f>
        <v>0</v>
      </c>
      <c r="E5" s="377">
        <f>E52</f>
        <v>0</v>
      </c>
      <c r="F5" s="377">
        <f>F52</f>
        <v>0</v>
      </c>
      <c r="G5" s="377">
        <f>G52</f>
        <v>0</v>
      </c>
      <c r="H5" s="377">
        <f>H52</f>
        <v>0</v>
      </c>
      <c r="I5" s="377">
        <f>I52</f>
        <v>0</v>
      </c>
      <c r="J5" s="377">
        <f>J52</f>
        <v>0</v>
      </c>
      <c r="K5" s="377">
        <f>K52</f>
        <v>0</v>
      </c>
      <c r="L5" s="377">
        <f>L52</f>
        <v>0</v>
      </c>
      <c r="M5" s="377">
        <f>M52</f>
        <v>0</v>
      </c>
      <c r="N5" s="377">
        <f>N52</f>
        <v>0</v>
      </c>
      <c r="O5" s="377">
        <f>O52</f>
        <v>0</v>
      </c>
      <c r="P5" s="377">
        <f>SUM(C5:O5)</f>
        <v>0</v>
      </c>
      <c r="Q5" s="398" t="n">
        <v>0</v>
      </c>
      <c r="R5" s="393" t="n"/>
      <c r="S5" s="377">
        <f>SUM(Q5:R5)</f>
        <v>0</v>
      </c>
      <c r="T5" s="377">
        <f>S5-P5</f>
        <v>0</v>
      </c>
      <c r="U5" s="373" t="n"/>
      <c r="V5" s="378">
        <f>SUMIF($C$2:$N$2,"&lt;="&amp;締月,C5:N5)</f>
        <v>0</v>
      </c>
      <c r="W5" s="378">
        <f>S5-V5</f>
        <v>0</v>
      </c>
    </row>
    <row r="6" ht="18" customHeight="1" s="322">
      <c r="A6" s="343" t="n"/>
      <c r="B6" s="376" t="inlineStr">
        <is>
          <t>諸手当</t>
        </is>
      </c>
      <c r="C6" s="377">
        <f>C55</f>
        <v>0</v>
      </c>
      <c r="D6" s="377">
        <f>D55</f>
        <v>0</v>
      </c>
      <c r="E6" s="377">
        <f>E55</f>
        <v>0</v>
      </c>
      <c r="F6" s="377">
        <f>F55</f>
        <v>0</v>
      </c>
      <c r="G6" s="377">
        <f>G55</f>
        <v>0</v>
      </c>
      <c r="H6" s="377">
        <f>H55</f>
        <v>0</v>
      </c>
      <c r="I6" s="377">
        <f>I55</f>
        <v>0</v>
      </c>
      <c r="J6" s="377">
        <f>J55</f>
        <v>0</v>
      </c>
      <c r="K6" s="377">
        <f>K55</f>
        <v>0</v>
      </c>
      <c r="L6" s="377">
        <f>L55</f>
        <v>0</v>
      </c>
      <c r="M6" s="377">
        <f>M55</f>
        <v>0</v>
      </c>
      <c r="N6" s="377">
        <f>N55</f>
        <v>0</v>
      </c>
      <c r="O6" s="377">
        <f>O55</f>
        <v>0</v>
      </c>
      <c r="P6" s="377">
        <f>SUM(C6:O6)</f>
        <v>0</v>
      </c>
      <c r="Q6" s="398" t="n">
        <v>0</v>
      </c>
      <c r="R6" s="393" t="n"/>
      <c r="S6" s="377">
        <f>SUM(Q6:R6)</f>
        <v>0</v>
      </c>
      <c r="T6" s="377">
        <f>S6-P6</f>
        <v>0</v>
      </c>
      <c r="U6" s="373" t="n"/>
      <c r="V6" s="378">
        <f>SUMIF($C$2:$N$2,"&lt;="&amp;締月,C6:N6)</f>
        <v>0</v>
      </c>
      <c r="W6" s="378">
        <f>S6-V6</f>
        <v>0</v>
      </c>
    </row>
    <row r="7" ht="18" customHeight="1" s="322">
      <c r="A7" s="343" t="n"/>
      <c r="B7" s="376" t="inlineStr">
        <is>
          <t>非常勤職員手当</t>
        </is>
      </c>
      <c r="C7" s="377">
        <f>C58</f>
        <v>380800</v>
      </c>
      <c r="D7" s="377">
        <f>D58</f>
        <v>380800</v>
      </c>
      <c r="E7" s="377">
        <f>E58</f>
        <v>1248490</v>
      </c>
      <c r="F7" s="377">
        <f>F58</f>
        <v>380800</v>
      </c>
      <c r="G7" s="377">
        <f>G58</f>
        <v>380800</v>
      </c>
      <c r="H7" s="377">
        <f>H58</f>
        <v>380800</v>
      </c>
      <c r="I7" s="377">
        <f>I58</f>
        <v>381773</v>
      </c>
      <c r="J7" s="377">
        <f>J58</f>
        <v>381773</v>
      </c>
      <c r="K7" s="377">
        <f>K58</f>
        <v>1170332</v>
      </c>
      <c r="L7" s="377">
        <f>L58</f>
        <v>395611</v>
      </c>
      <c r="M7" s="377">
        <f>M58</f>
        <v>395611</v>
      </c>
      <c r="N7" s="377">
        <f>N58</f>
        <v>464977</v>
      </c>
      <c r="O7" s="377">
        <f>O58</f>
        <v>0</v>
      </c>
      <c r="P7" s="377">
        <f>SUM(C7:O7)</f>
        <v>6342567</v>
      </c>
      <c r="Q7" s="398" t="n">
        <v>7453000</v>
      </c>
      <c r="R7" s="393" t="n"/>
      <c r="S7" s="377">
        <f>SUM(Q7:R7)</f>
        <v>7453000</v>
      </c>
      <c r="T7" s="377">
        <f>S7-P7</f>
        <v>1110433</v>
      </c>
      <c r="U7" s="373" t="n"/>
      <c r="V7" s="378">
        <f>SUMIF($C$2:$N$2,"&lt;="&amp;締月,C7:N7)</f>
        <v>3152490</v>
      </c>
      <c r="W7" s="378">
        <f>S7-V7</f>
        <v>4300510</v>
      </c>
    </row>
    <row r="8" ht="18" customHeight="1" s="322">
      <c r="A8" s="343" t="n"/>
      <c r="B8" s="376" t="inlineStr">
        <is>
          <t>退職給与金</t>
        </is>
      </c>
      <c r="C8" s="393" t="n"/>
      <c r="D8" s="393" t="n"/>
      <c r="E8" s="393" t="n"/>
      <c r="F8" s="393" t="n"/>
      <c r="G8" s="393" t="n"/>
      <c r="H8" s="393" t="n"/>
      <c r="I8" s="393" t="n"/>
      <c r="J8" s="393" t="n"/>
      <c r="K8" s="393" t="n"/>
      <c r="L8" s="393" t="n"/>
      <c r="M8" s="393" t="n"/>
      <c r="N8" s="393" t="n"/>
      <c r="O8" s="393" t="n"/>
      <c r="P8" s="377">
        <f>SUM(C8:O8)</f>
        <v>0</v>
      </c>
      <c r="Q8" s="398" t="n">
        <v>0</v>
      </c>
      <c r="R8" s="393" t="n"/>
      <c r="S8" s="377">
        <f>SUM(Q8:R8)</f>
        <v>0</v>
      </c>
      <c r="T8" s="377">
        <f>S8-P8</f>
        <v>0</v>
      </c>
      <c r="U8" s="373" t="n"/>
      <c r="V8" s="378">
        <f>SUMIF($C$2:$N$2,"&lt;="&amp;締月,C8:N8)</f>
        <v>0</v>
      </c>
      <c r="W8" s="378">
        <f>S8-V8</f>
        <v>0</v>
      </c>
    </row>
    <row r="9" ht="18" customHeight="1" s="322">
      <c r="A9" s="379" t="n"/>
      <c r="B9" s="380" t="inlineStr">
        <is>
          <t>計</t>
        </is>
      </c>
      <c r="C9" s="381">
        <f>SUM(C5:C8)</f>
        <v>380800</v>
      </c>
      <c r="D9" s="381">
        <f>SUM(D5:D8)</f>
        <v>380800</v>
      </c>
      <c r="E9" s="381">
        <f>SUM(E5:E8)</f>
        <v>1248490</v>
      </c>
      <c r="F9" s="381">
        <f>SUM(F5:F8)</f>
        <v>380800</v>
      </c>
      <c r="G9" s="381">
        <f>SUM(G5:G8)</f>
        <v>380800</v>
      </c>
      <c r="H9" s="381">
        <f>SUM(H5:H8)</f>
        <v>380800</v>
      </c>
      <c r="I9" s="381">
        <f>SUM(I5:I8)</f>
        <v>381773</v>
      </c>
      <c r="J9" s="381">
        <f>SUM(J5:J8)</f>
        <v>381773</v>
      </c>
      <c r="K9" s="381">
        <f>SUM(K5:K8)</f>
        <v>1170332</v>
      </c>
      <c r="L9" s="381">
        <f>SUM(L5:L8)</f>
        <v>395611</v>
      </c>
      <c r="M9" s="381">
        <f>SUM(M5:M8)</f>
        <v>395611</v>
      </c>
      <c r="N9" s="381">
        <f>SUM(N5:N8)</f>
        <v>464977</v>
      </c>
      <c r="O9" s="381">
        <f>SUM(O5:O8)</f>
        <v>0</v>
      </c>
      <c r="P9" s="381">
        <f>SUM(P5:P8)</f>
        <v>6342567</v>
      </c>
      <c r="Q9" s="381">
        <f>SUM(Q5:Q8)</f>
        <v>7453000</v>
      </c>
      <c r="R9" s="397" t="n"/>
      <c r="S9" s="381">
        <f>SUM(Q9:R9)</f>
        <v>7453000</v>
      </c>
      <c r="T9" s="381">
        <f>S9-P9</f>
        <v>1110433</v>
      </c>
      <c r="U9" s="373" t="n"/>
      <c r="V9" s="382">
        <f>SUMIF($C$2:$N$2,"&lt;="&amp;締月,C9:N9)</f>
        <v>3152490</v>
      </c>
      <c r="W9" s="382">
        <f>S9-V9</f>
        <v>4300510</v>
      </c>
    </row>
    <row r="10" ht="18" customHeight="1" s="322">
      <c r="A10" s="385" t="inlineStr">
        <is>
          <t>厚生費</t>
        </is>
      </c>
      <c r="B10" s="343" t="n"/>
      <c r="C10" s="377">
        <f>IF(C$2&lt;=締月,SUMIFS(入力_業務!$N$5:$N$1604,入力_業務!$O$5:$O$1604,"厚生費",入力_業務!$P$5:$P$1604,C$2,入力_業務!$I$5:$I$1604,"確認済"),AA10)</f>
        <v>0</v>
      </c>
      <c r="D10" s="377">
        <f>IF(D$2&lt;=締月,SUMIFS(入力_業務!$N$5:$N$1604,入力_業務!$O$5:$O$1604,"厚生費",入力_業務!$P$5:$P$1604,D$2,入力_業務!$I$5:$I$1604,"確認済"),AB10)</f>
        <v>0</v>
      </c>
      <c r="E10" s="377">
        <f>IF(E$2&lt;=締月,SUMIFS(入力_業務!$N$5:$N$1604,入力_業務!$O$5:$O$1604,"厚生費",入力_業務!$P$5:$P$1604,E$2,入力_業務!$I$5:$I$1604,"確認済"),AC10)</f>
        <v>0</v>
      </c>
      <c r="F10" s="377">
        <f>IF(F$2&lt;=締月,SUMIFS(入力_業務!$N$5:$N$1604,入力_業務!$O$5:$O$1604,"厚生費",入力_業務!$P$5:$P$1604,F$2,入力_業務!$I$5:$I$1604,"確認済"),AD10)</f>
        <v>0</v>
      </c>
      <c r="G10" s="377">
        <f>IF(G$2&lt;=締月,SUMIFS(入力_業務!$N$5:$N$1604,入力_業務!$O$5:$O$1604,"厚生費",入力_業務!$P$5:$P$1604,G$2,入力_業務!$I$5:$I$1604,"確認済"),AE10)</f>
        <v>1980</v>
      </c>
      <c r="H10" s="377">
        <f>IF(H$2&lt;=締月,SUMIFS(入力_業務!$N$5:$N$1604,入力_業務!$O$5:$O$1604,"厚生費",入力_業務!$P$5:$P$1604,H$2,入力_業務!$I$5:$I$1604,"確認済"),AF10)</f>
        <v>1980</v>
      </c>
      <c r="I10" s="377">
        <f>IF(I$2&lt;=締月,SUMIFS(入力_業務!$N$5:$N$1604,入力_業務!$O$5:$O$1604,"厚生費",入力_業務!$P$5:$P$1604,I$2,入力_業務!$I$5:$I$1604,"確認済"),AG10)</f>
        <v>0</v>
      </c>
      <c r="J10" s="377">
        <f>IF(J$2&lt;=締月,SUMIFS(入力_業務!$N$5:$N$1604,入力_業務!$O$5:$O$1604,"厚生費",入力_業務!$P$5:$P$1604,J$2,入力_業務!$I$5:$I$1604,"確認済"),AH10)</f>
        <v>0</v>
      </c>
      <c r="K10" s="377">
        <f>IF(K$2&lt;=締月,SUMIFS(入力_業務!$N$5:$N$1604,入力_業務!$O$5:$O$1604,"厚生費",入力_業務!$P$5:$P$1604,K$2,入力_業務!$I$5:$I$1604,"確認済"),AI10)</f>
        <v>0</v>
      </c>
      <c r="L10" s="377">
        <f>IF(L$2&lt;=締月,SUMIFS(入力_業務!$N$5:$N$1604,入力_業務!$O$5:$O$1604,"厚生費",入力_業務!$P$5:$P$1604,L$2,入力_業務!$I$5:$I$1604,"確認済"),AJ10)</f>
        <v>0</v>
      </c>
      <c r="M10" s="377">
        <f>IF(M$2&lt;=締月,SUMIFS(入力_業務!$N$5:$N$1604,入力_業務!$O$5:$O$1604,"厚生費",入力_業務!$P$5:$P$1604,M$2,入力_業務!$I$5:$I$1604,"確認済"),AK10)</f>
        <v>0</v>
      </c>
      <c r="N10" s="377">
        <f>IF(N$2&lt;=締月,SUMIFS(入力_業務!$N$5:$N$1604,入力_業務!$O$5:$O$1604,"厚生費",入力_業務!$P$5:$P$1604,N$2,入力_業務!$I$5:$I$1604,"確認済"),AL10)</f>
        <v>0</v>
      </c>
      <c r="O10" s="377">
        <f>IF(O$2&lt;=締月,SUMIFS(入力_業務!$N$5:$N$1604,入力_業務!$O$5:$O$1604,"厚生費",入力_業務!$P$5:$P$1604,O$2,入力_業務!$I$5:$I$1604,"確認済"),AM10)</f>
        <v>0</v>
      </c>
      <c r="P10" s="377">
        <f>SUM(C10:O10)</f>
        <v>3960</v>
      </c>
      <c r="Q10" s="398" t="n">
        <v>25000</v>
      </c>
      <c r="R10" s="393" t="n"/>
      <c r="S10" s="377">
        <f>SUM(Q10:R10)</f>
        <v>25000</v>
      </c>
      <c r="T10" s="377">
        <f>S10-P10</f>
        <v>21040</v>
      </c>
      <c r="U10" s="373" t="n"/>
      <c r="V10" s="378">
        <f>SUMIF($C$2:$N$2,"&lt;="&amp;締月,C10:N10)</f>
        <v>3960</v>
      </c>
      <c r="W10" s="378">
        <f>S10-V10</f>
        <v>21040</v>
      </c>
      <c r="X10" s="399" t="n">
        <v>1</v>
      </c>
      <c r="AA10" s="400" t="n">
        <v>0</v>
      </c>
      <c r="AB10" s="400" t="n">
        <v>0</v>
      </c>
      <c r="AC10" s="400" t="n">
        <v>0</v>
      </c>
      <c r="AD10" s="400" t="n">
        <v>0</v>
      </c>
      <c r="AE10" s="400" t="n">
        <v>1980</v>
      </c>
      <c r="AF10" s="400" t="n">
        <v>1980</v>
      </c>
      <c r="AG10" s="400" t="n">
        <v>0</v>
      </c>
      <c r="AH10" s="400" t="n">
        <v>0</v>
      </c>
      <c r="AI10" s="400" t="n">
        <v>0</v>
      </c>
      <c r="AJ10" s="400" t="n">
        <v>0</v>
      </c>
      <c r="AK10" s="400" t="n">
        <v>0</v>
      </c>
      <c r="AL10" s="400" t="n">
        <v>0</v>
      </c>
      <c r="AM10" s="400" t="n">
        <v>0</v>
      </c>
    </row>
    <row r="11" ht="18" customHeight="1" s="322">
      <c r="A11" s="376" t="inlineStr">
        <is>
          <t>旅費</t>
        </is>
      </c>
      <c r="B11" s="343" t="n"/>
      <c r="C11" s="377">
        <f>IF(C$2&lt;=締月,SUMIFS(入力_業務!$N$5:$N$1604,入力_業務!$O$5:$O$1604,"旅費",入力_業務!$P$5:$P$1604,C$2,入力_業務!$I$5:$I$1604,"確認済"),AA11)</f>
        <v>0</v>
      </c>
      <c r="D11" s="377">
        <f>IF(D$2&lt;=締月,SUMIFS(入力_業務!$N$5:$N$1604,入力_業務!$O$5:$O$1604,"旅費",入力_業務!$P$5:$P$1604,D$2,入力_業務!$I$5:$I$1604,"確認済"),AB11)</f>
        <v>0</v>
      </c>
      <c r="E11" s="377">
        <f>IF(E$2&lt;=締月,SUMIFS(入力_業務!$N$5:$N$1604,入力_業務!$O$5:$O$1604,"旅費",入力_業務!$P$5:$P$1604,E$2,入力_業務!$I$5:$I$1604,"確認済"),AC11)</f>
        <v>43264</v>
      </c>
      <c r="F11" s="377">
        <f>IF(F$2&lt;=締月,SUMIFS(入力_業務!$N$5:$N$1604,入力_業務!$O$5:$O$1604,"旅費",入力_業務!$P$5:$P$1604,F$2,入力_業務!$I$5:$I$1604,"確認済"),AD11)</f>
        <v>0</v>
      </c>
      <c r="G11" s="377">
        <f>IF(G$2&lt;=締月,SUMIFS(入力_業務!$N$5:$N$1604,入力_業務!$O$5:$O$1604,"旅費",入力_業務!$P$5:$P$1604,G$2,入力_業務!$I$5:$I$1604,"確認済"),AE11)</f>
        <v>31712</v>
      </c>
      <c r="H11" s="377">
        <f>IF(H$2&lt;=締月,SUMIFS(入力_業務!$N$5:$N$1604,入力_業務!$O$5:$O$1604,"旅費",入力_業務!$P$5:$P$1604,H$2,入力_業務!$I$5:$I$1604,"確認済"),AF11)</f>
        <v>0</v>
      </c>
      <c r="I11" s="377">
        <f>IF(I$2&lt;=締月,SUMIFS(入力_業務!$N$5:$N$1604,入力_業務!$O$5:$O$1604,"旅費",入力_業務!$P$5:$P$1604,I$2,入力_業務!$I$5:$I$1604,"確認済"),AG11)</f>
        <v>0</v>
      </c>
      <c r="J11" s="377">
        <f>IF(J$2&lt;=締月,SUMIFS(入力_業務!$N$5:$N$1604,入力_業務!$O$5:$O$1604,"旅費",入力_業務!$P$5:$P$1604,J$2,入力_業務!$I$5:$I$1604,"確認済"),AH11)</f>
        <v>20316</v>
      </c>
      <c r="K11" s="377">
        <f>IF(K$2&lt;=締月,SUMIFS(入力_業務!$N$5:$N$1604,入力_業務!$O$5:$O$1604,"旅費",入力_業務!$P$5:$P$1604,K$2,入力_業務!$I$5:$I$1604,"確認済"),AI11)</f>
        <v>0</v>
      </c>
      <c r="L11" s="377">
        <f>IF(L$2&lt;=締月,SUMIFS(入力_業務!$N$5:$N$1604,入力_業務!$O$5:$O$1604,"旅費",入力_業務!$P$5:$P$1604,L$2,入力_業務!$I$5:$I$1604,"確認済"),AJ11)</f>
        <v>0</v>
      </c>
      <c r="M11" s="377">
        <f>IF(M$2&lt;=締月,SUMIFS(入力_業務!$N$5:$N$1604,入力_業務!$O$5:$O$1604,"旅費",入力_業務!$P$5:$P$1604,M$2,入力_業務!$I$5:$I$1604,"確認済"),AK11)</f>
        <v>20524</v>
      </c>
      <c r="N11" s="377">
        <f>IF(N$2&lt;=締月,SUMIFS(入力_業務!$N$5:$N$1604,入力_業務!$O$5:$O$1604,"旅費",入力_業務!$P$5:$P$1604,N$2,入力_業務!$I$5:$I$1604,"確認済"),AL11)</f>
        <v>0</v>
      </c>
      <c r="O11" s="377">
        <f>IF(O$2&lt;=締月,SUMIFS(入力_業務!$N$5:$N$1604,入力_業務!$O$5:$O$1604,"旅費",入力_業務!$P$5:$P$1604,O$2,入力_業務!$I$5:$I$1604,"確認済"),AM11)</f>
        <v>0</v>
      </c>
      <c r="P11" s="377">
        <f>SUM(C11:O11)</f>
        <v>115816</v>
      </c>
      <c r="Q11" s="398" t="n">
        <v>599000</v>
      </c>
      <c r="R11" s="393" t="n"/>
      <c r="S11" s="377">
        <f>SUM(Q11:R11)</f>
        <v>599000</v>
      </c>
      <c r="T11" s="377">
        <f>S11-P11</f>
        <v>483184</v>
      </c>
      <c r="U11" s="373" t="n"/>
      <c r="V11" s="383">
        <f>SUMIF($C$2:$N$2,"&lt;="&amp;締月,C11:N11)</f>
        <v>74976</v>
      </c>
      <c r="W11" s="383">
        <f>S11-V11</f>
        <v>524024</v>
      </c>
      <c r="X11" s="399" t="n">
        <v>1</v>
      </c>
      <c r="AA11" s="400" t="n">
        <v>0</v>
      </c>
      <c r="AB11" s="400" t="n">
        <v>0</v>
      </c>
      <c r="AC11" s="400" t="n">
        <v>43264</v>
      </c>
      <c r="AD11" s="400" t="n">
        <v>0</v>
      </c>
      <c r="AE11" s="400" t="n">
        <v>31712</v>
      </c>
      <c r="AF11" s="400" t="n">
        <v>0</v>
      </c>
      <c r="AG11" s="400" t="n">
        <v>0</v>
      </c>
      <c r="AH11" s="400" t="n">
        <v>20316</v>
      </c>
      <c r="AI11" s="400" t="n">
        <v>0</v>
      </c>
      <c r="AJ11" s="400" t="n">
        <v>0</v>
      </c>
      <c r="AK11" s="400" t="n">
        <v>20524</v>
      </c>
      <c r="AL11" s="400" t="n">
        <v>0</v>
      </c>
      <c r="AM11" s="400" t="n">
        <v>0</v>
      </c>
    </row>
    <row r="12" ht="18" customHeight="1" s="322">
      <c r="A12" s="376" t="inlineStr">
        <is>
          <t>事務費</t>
        </is>
      </c>
      <c r="B12" s="376" t="inlineStr">
        <is>
          <t>事務用消耗品費</t>
        </is>
      </c>
      <c r="C12" s="377">
        <f>IF(C$2&lt;=締月,SUMIFS(入力_業務!$N$5:$N$1604,入力_業務!$O$5:$O$1604,"事務用消耗品費",入力_業務!$P$5:$P$1604,C$2,入力_業務!$I$5:$I$1604,"確認済"),AA12)</f>
        <v>8778</v>
      </c>
      <c r="D12" s="377">
        <f>IF(D$2&lt;=締月,SUMIFS(入力_業務!$N$5:$N$1604,入力_業務!$O$5:$O$1604,"事務用消耗品費",入力_業務!$P$5:$P$1604,D$2,入力_業務!$I$5:$I$1604,"確認済"),AB12)</f>
        <v>14040</v>
      </c>
      <c r="E12" s="377">
        <f>IF(E$2&lt;=締月,SUMIFS(入力_業務!$N$5:$N$1604,入力_業務!$O$5:$O$1604,"事務用消耗品費",入力_業務!$P$5:$P$1604,E$2,入力_業務!$I$5:$I$1604,"確認済"),AC12)</f>
        <v>53130</v>
      </c>
      <c r="F12" s="377">
        <f>IF(F$2&lt;=締月,SUMIFS(入力_業務!$N$5:$N$1604,入力_業務!$O$5:$O$1604,"事務用消耗品費",入力_業務!$P$5:$P$1604,F$2,入力_業務!$I$5:$I$1604,"確認済"),AD12)</f>
        <v>0</v>
      </c>
      <c r="G12" s="377">
        <f>IF(G$2&lt;=締月,SUMIFS(入力_業務!$N$5:$N$1604,入力_業務!$O$5:$O$1604,"事務用消耗品費",入力_業務!$P$5:$P$1604,G$2,入力_業務!$I$5:$I$1604,"確認済"),AE12)</f>
        <v>0</v>
      </c>
      <c r="H12" s="377">
        <f>IF(H$2&lt;=締月,SUMIFS(入力_業務!$N$5:$N$1604,入力_業務!$O$5:$O$1604,"事務用消耗品費",入力_業務!$P$5:$P$1604,H$2,入力_業務!$I$5:$I$1604,"確認済"),AF12)</f>
        <v>0</v>
      </c>
      <c r="I12" s="377">
        <f>IF(I$2&lt;=締月,SUMIFS(入力_業務!$N$5:$N$1604,入力_業務!$O$5:$O$1604,"事務用消耗品費",入力_業務!$P$5:$P$1604,I$2,入力_業務!$I$5:$I$1604,"確認済"),AG12)</f>
        <v>147320</v>
      </c>
      <c r="J12" s="377">
        <f>IF(J$2&lt;=締月,SUMIFS(入力_業務!$N$5:$N$1604,入力_業務!$O$5:$O$1604,"事務用消耗品費",入力_業務!$P$5:$P$1604,J$2,入力_業務!$I$5:$I$1604,"確認済"),AH12)</f>
        <v>203853</v>
      </c>
      <c r="K12" s="377">
        <f>IF(K$2&lt;=締月,SUMIFS(入力_業務!$N$5:$N$1604,入力_業務!$O$5:$O$1604,"事務用消耗品費",入力_業務!$P$5:$P$1604,K$2,入力_業務!$I$5:$I$1604,"確認済"),AI12)</f>
        <v>0</v>
      </c>
      <c r="L12" s="377">
        <f>IF(L$2&lt;=締月,SUMIFS(入力_業務!$N$5:$N$1604,入力_業務!$O$5:$O$1604,"事務用消耗品費",入力_業務!$P$5:$P$1604,L$2,入力_業務!$I$5:$I$1604,"確認済"),AJ12)</f>
        <v>71787</v>
      </c>
      <c r="M12" s="377">
        <f>IF(M$2&lt;=締月,SUMIFS(入力_業務!$N$5:$N$1604,入力_業務!$O$5:$O$1604,"事務用消耗品費",入力_業務!$P$5:$P$1604,M$2,入力_業務!$I$5:$I$1604,"確認済"),AK12)</f>
        <v>0</v>
      </c>
      <c r="N12" s="377">
        <f>IF(N$2&lt;=締月,SUMIFS(入力_業務!$N$5:$N$1604,入力_業務!$O$5:$O$1604,"事務用消耗品費",入力_業務!$P$5:$P$1604,N$2,入力_業務!$I$5:$I$1604,"確認済"),AL12)</f>
        <v>76096</v>
      </c>
      <c r="O12" s="377">
        <f>IF(O$2&lt;=締月,SUMIFS(入力_業務!$N$5:$N$1604,入力_業務!$O$5:$O$1604,"事務用消耗品費",入力_業務!$P$5:$P$1604,O$2,入力_業務!$I$5:$I$1604,"確認済"),AM12)</f>
        <v>99001</v>
      </c>
      <c r="P12" s="377">
        <f>SUM(C12:O12)</f>
        <v>674005</v>
      </c>
      <c r="Q12" s="398" t="n">
        <v>580000</v>
      </c>
      <c r="R12" s="393" t="n"/>
      <c r="S12" s="377">
        <f>SUM(Q12:R12)</f>
        <v>580000</v>
      </c>
      <c r="T12" s="377">
        <f>S12-P12</f>
        <v>-94005</v>
      </c>
      <c r="U12" s="373" t="n"/>
      <c r="V12" s="383">
        <f>SUMIF($C$2:$N$2,"&lt;="&amp;締月,C12:N12)</f>
        <v>75948</v>
      </c>
      <c r="W12" s="383">
        <f>S12-V12</f>
        <v>504052</v>
      </c>
      <c r="X12" s="399" t="n">
        <v>1</v>
      </c>
      <c r="AA12" s="400" t="n">
        <v>8778</v>
      </c>
      <c r="AB12" s="400" t="n">
        <v>14040</v>
      </c>
      <c r="AC12" s="400" t="n">
        <v>53130</v>
      </c>
      <c r="AD12" s="400" t="n">
        <v>0</v>
      </c>
      <c r="AE12" s="400" t="n">
        <v>0</v>
      </c>
      <c r="AF12" s="400" t="n">
        <v>0</v>
      </c>
      <c r="AG12" s="400" t="n">
        <v>147320</v>
      </c>
      <c r="AH12" s="400" t="n">
        <v>203853</v>
      </c>
      <c r="AI12" s="400" t="n">
        <v>0</v>
      </c>
      <c r="AJ12" s="400" t="n">
        <v>71787</v>
      </c>
      <c r="AK12" s="400" t="n">
        <v>0</v>
      </c>
      <c r="AL12" s="400" t="n">
        <v>76096</v>
      </c>
      <c r="AM12" s="400" t="n">
        <v>99001</v>
      </c>
    </row>
    <row r="13" ht="18" customHeight="1" s="322">
      <c r="A13" s="343" t="n"/>
      <c r="B13" s="376" t="inlineStr">
        <is>
          <t>図書印刷費</t>
        </is>
      </c>
      <c r="C13" s="377">
        <f>IF(C$2&lt;=締月,SUMIFS(入力_業務!$N$5:$N$1604,入力_業務!$O$5:$O$1604,"図書印刷費",入力_業務!$P$5:$P$1604,C$2,入力_業務!$I$5:$I$1604,"確認済"),AA13)</f>
        <v>0</v>
      </c>
      <c r="D13" s="377">
        <f>IF(D$2&lt;=締月,SUMIFS(入力_業務!$N$5:$N$1604,入力_業務!$O$5:$O$1604,"図書印刷費",入力_業務!$P$5:$P$1604,D$2,入力_業務!$I$5:$I$1604,"確認済"),AB13)</f>
        <v>0</v>
      </c>
      <c r="E13" s="377">
        <f>IF(E$2&lt;=締月,SUMIFS(入力_業務!$N$5:$N$1604,入力_業務!$O$5:$O$1604,"図書印刷費",入力_業務!$P$5:$P$1604,E$2,入力_業務!$I$5:$I$1604,"確認済"),AC13)</f>
        <v>17600</v>
      </c>
      <c r="F13" s="377">
        <f>IF(F$2&lt;=締月,SUMIFS(入力_業務!$N$5:$N$1604,入力_業務!$O$5:$O$1604,"図書印刷費",入力_業務!$P$5:$P$1604,F$2,入力_業務!$I$5:$I$1604,"確認済"),AD13)</f>
        <v>0</v>
      </c>
      <c r="G13" s="377">
        <f>IF(G$2&lt;=締月,SUMIFS(入力_業務!$N$5:$N$1604,入力_業務!$O$5:$O$1604,"図書印刷費",入力_業務!$P$5:$P$1604,G$2,入力_業務!$I$5:$I$1604,"確認済"),AE13)</f>
        <v>73810</v>
      </c>
      <c r="H13" s="377">
        <f>IF(H$2&lt;=締月,SUMIFS(入力_業務!$N$5:$N$1604,入力_業務!$O$5:$O$1604,"図書印刷費",入力_業務!$P$5:$P$1604,H$2,入力_業務!$I$5:$I$1604,"確認済"),AF13)</f>
        <v>247676</v>
      </c>
      <c r="I13" s="377">
        <f>IF(I$2&lt;=締月,SUMIFS(入力_業務!$N$5:$N$1604,入力_業務!$O$5:$O$1604,"図書印刷費",入力_業務!$P$5:$P$1604,I$2,入力_業務!$I$5:$I$1604,"確認済"),AG13)</f>
        <v>15465</v>
      </c>
      <c r="J13" s="377">
        <f>IF(J$2&lt;=締月,SUMIFS(入力_業務!$N$5:$N$1604,入力_業務!$O$5:$O$1604,"図書印刷費",入力_業務!$P$5:$P$1604,J$2,入力_業務!$I$5:$I$1604,"確認済"),AH13)</f>
        <v>0</v>
      </c>
      <c r="K13" s="377">
        <f>IF(K$2&lt;=締月,SUMIFS(入力_業務!$N$5:$N$1604,入力_業務!$O$5:$O$1604,"図書印刷費",入力_業務!$P$5:$P$1604,K$2,入力_業務!$I$5:$I$1604,"確認済"),AI13)</f>
        <v>72239</v>
      </c>
      <c r="L13" s="377">
        <f>IF(L$2&lt;=締月,SUMIFS(入力_業務!$N$5:$N$1604,入力_業務!$O$5:$O$1604,"図書印刷費",入力_業務!$P$5:$P$1604,L$2,入力_業務!$I$5:$I$1604,"確認済"),AJ13)</f>
        <v>22050</v>
      </c>
      <c r="M13" s="377">
        <f>IF(M$2&lt;=締月,SUMIFS(入力_業務!$N$5:$N$1604,入力_業務!$O$5:$O$1604,"図書印刷費",入力_業務!$P$5:$P$1604,M$2,入力_業務!$I$5:$I$1604,"確認済"),AK13)</f>
        <v>26400</v>
      </c>
      <c r="N13" s="377">
        <f>IF(N$2&lt;=締月,SUMIFS(入力_業務!$N$5:$N$1604,入力_業務!$O$5:$O$1604,"図書印刷費",入力_業務!$P$5:$P$1604,N$2,入力_業務!$I$5:$I$1604,"確認済"),AL13)</f>
        <v>26757</v>
      </c>
      <c r="O13" s="377">
        <f>IF(O$2&lt;=締月,SUMIFS(入力_業務!$N$5:$N$1604,入力_業務!$O$5:$O$1604,"図書印刷費",入力_業務!$P$5:$P$1604,O$2,入力_業務!$I$5:$I$1604,"確認済"),AM13)</f>
        <v>0</v>
      </c>
      <c r="P13" s="377">
        <f>SUM(C13:O13)</f>
        <v>501997</v>
      </c>
      <c r="Q13" s="398" t="n">
        <v>595000</v>
      </c>
      <c r="R13" s="393" t="n"/>
      <c r="S13" s="377">
        <f>SUM(Q13:R13)</f>
        <v>595000</v>
      </c>
      <c r="T13" s="377">
        <f>S13-P13</f>
        <v>93003</v>
      </c>
      <c r="U13" s="384" t="inlineStr">
        <is>
          <t xml:space="preserve">          </t>
        </is>
      </c>
      <c r="V13" s="383">
        <f>SUMIF($C$2:$N$2,"&lt;="&amp;締月,C13:N13)</f>
        <v>339086</v>
      </c>
      <c r="W13" s="383">
        <f>S13-V13</f>
        <v>255914</v>
      </c>
      <c r="X13" s="399" t="n">
        <v>1</v>
      </c>
      <c r="AA13" s="400" t="n">
        <v>0</v>
      </c>
      <c r="AB13" s="400" t="n">
        <v>0</v>
      </c>
      <c r="AC13" s="400" t="n">
        <v>17600</v>
      </c>
      <c r="AD13" s="400" t="n">
        <v>0</v>
      </c>
      <c r="AE13" s="400" t="n">
        <v>73810</v>
      </c>
      <c r="AF13" s="400" t="n">
        <v>247676</v>
      </c>
      <c r="AG13" s="400" t="n">
        <v>15465</v>
      </c>
      <c r="AH13" s="400" t="n">
        <v>0</v>
      </c>
      <c r="AI13" s="400" t="n">
        <v>72239</v>
      </c>
      <c r="AJ13" s="400" t="n">
        <v>22050</v>
      </c>
      <c r="AK13" s="400" t="n">
        <v>26400</v>
      </c>
      <c r="AL13" s="400" t="n">
        <v>26757</v>
      </c>
      <c r="AM13" s="400" t="n">
        <v>0</v>
      </c>
    </row>
    <row r="14" ht="18" customHeight="1" s="322">
      <c r="A14" s="343" t="n"/>
      <c r="B14" s="376" t="inlineStr">
        <is>
          <t>送金料</t>
        </is>
      </c>
      <c r="C14" s="377">
        <f>IF(C$2&lt;=締月,SUMIFS(入力_業務!$N$5:$N$1604,入力_業務!$O$5:$O$1604,"送金料",入力_業務!$P$5:$P$1604,C$2,入力_業務!$I$5:$I$1604,"確認済"),AA14)</f>
        <v>0</v>
      </c>
      <c r="D14" s="377">
        <f>IF(D$2&lt;=締月,SUMIFS(入力_業務!$N$5:$N$1604,入力_業務!$O$5:$O$1604,"送金料",入力_業務!$P$5:$P$1604,D$2,入力_業務!$I$5:$I$1604,"確認済"),AB14)</f>
        <v>18493</v>
      </c>
      <c r="E14" s="377">
        <f>IF(E$2&lt;=締月,SUMIFS(入力_業務!$N$5:$N$1604,入力_業務!$O$5:$O$1604,"送金料",入力_業務!$P$5:$P$1604,E$2,入力_業務!$I$5:$I$1604,"確認済"),AC14)</f>
        <v>12725</v>
      </c>
      <c r="F14" s="377">
        <f>IF(F$2&lt;=締月,SUMIFS(入力_業務!$N$5:$N$1604,入力_業務!$O$5:$O$1604,"送金料",入力_業務!$P$5:$P$1604,F$2,入力_業務!$I$5:$I$1604,"確認済"),AD14)</f>
        <v>13965</v>
      </c>
      <c r="G14" s="377">
        <f>IF(G$2&lt;=締月,SUMIFS(入力_業務!$N$5:$N$1604,入力_業務!$O$5:$O$1604,"送金料",入力_業務!$P$5:$P$1604,G$2,入力_業務!$I$5:$I$1604,"確認済"),AE14)</f>
        <v>14994</v>
      </c>
      <c r="H14" s="377">
        <f>IF(H$2&lt;=締月,SUMIFS(入力_業務!$N$5:$N$1604,入力_業務!$O$5:$O$1604,"送金料",入力_業務!$P$5:$P$1604,H$2,入力_業務!$I$5:$I$1604,"確認済"),AF14)</f>
        <v>14984</v>
      </c>
      <c r="I14" s="377">
        <f>IF(I$2&lt;=締月,SUMIFS(入力_業務!$N$5:$N$1604,入力_業務!$O$5:$O$1604,"送金料",入力_業務!$P$5:$P$1604,I$2,入力_業務!$I$5:$I$1604,"確認済"),AG14)</f>
        <v>16238</v>
      </c>
      <c r="J14" s="377">
        <f>IF(J$2&lt;=締月,SUMIFS(入力_業務!$N$5:$N$1604,入力_業務!$O$5:$O$1604,"送金料",入力_業務!$P$5:$P$1604,J$2,入力_業務!$I$5:$I$1604,"確認済"),AH14)</f>
        <v>15579</v>
      </c>
      <c r="K14" s="377">
        <f>IF(K$2&lt;=締月,SUMIFS(入力_業務!$N$5:$N$1604,入力_業務!$O$5:$O$1604,"送金料",入力_業務!$P$5:$P$1604,K$2,入力_業務!$I$5:$I$1604,"確認済"),AI14)</f>
        <v>16554</v>
      </c>
      <c r="L14" s="377">
        <f>IF(L$2&lt;=締月,SUMIFS(入力_業務!$N$5:$N$1604,入力_業務!$O$5:$O$1604,"送金料",入力_業務!$P$5:$P$1604,L$2,入力_業務!$I$5:$I$1604,"確認済"),AJ14)</f>
        <v>16224</v>
      </c>
      <c r="M14" s="377">
        <f>IF(M$2&lt;=締月,SUMIFS(入力_業務!$N$5:$N$1604,入力_業務!$O$5:$O$1604,"送金料",入力_業務!$P$5:$P$1604,M$2,入力_業務!$I$5:$I$1604,"確認済"),AK14)</f>
        <v>16564</v>
      </c>
      <c r="N14" s="377">
        <f>IF(N$2&lt;=締月,SUMIFS(入力_業務!$N$5:$N$1604,入力_業務!$O$5:$O$1604,"送金料",入力_業務!$P$5:$P$1604,N$2,入力_業務!$I$5:$I$1604,"確認済"),AL14)</f>
        <v>14994</v>
      </c>
      <c r="O14" s="377">
        <f>IF(O$2&lt;=締月,SUMIFS(入力_業務!$N$5:$N$1604,入力_業務!$O$5:$O$1604,"送金料",入力_業務!$P$5:$P$1604,O$2,入力_業務!$I$5:$I$1604,"確認済"),AM14)</f>
        <v>16240</v>
      </c>
      <c r="P14" s="377">
        <f>SUM(C14:O14)</f>
        <v>187554</v>
      </c>
      <c r="Q14" s="398" t="n">
        <v>249000</v>
      </c>
      <c r="R14" s="393" t="n"/>
      <c r="S14" s="377">
        <f>SUM(Q14:R14)</f>
        <v>249000</v>
      </c>
      <c r="T14" s="377">
        <f>S14-P14</f>
        <v>61446</v>
      </c>
      <c r="U14" s="373" t="n"/>
      <c r="V14" s="383">
        <f>SUMIF($C$2:$N$2,"&lt;="&amp;締月,C14:N14)</f>
        <v>75161</v>
      </c>
      <c r="W14" s="383">
        <f>S14-V14</f>
        <v>173839</v>
      </c>
      <c r="X14" s="399" t="n">
        <v>1</v>
      </c>
      <c r="AA14" s="400" t="n">
        <v>0</v>
      </c>
      <c r="AB14" s="400" t="n">
        <v>18493</v>
      </c>
      <c r="AC14" s="400" t="n">
        <v>12725</v>
      </c>
      <c r="AD14" s="400" t="n">
        <v>13965</v>
      </c>
      <c r="AE14" s="400" t="n">
        <v>14994</v>
      </c>
      <c r="AF14" s="400" t="n">
        <v>14984</v>
      </c>
      <c r="AG14" s="400" t="n">
        <v>16238</v>
      </c>
      <c r="AH14" s="400" t="n">
        <v>15579</v>
      </c>
      <c r="AI14" s="400" t="n">
        <v>16554</v>
      </c>
      <c r="AJ14" s="400" t="n">
        <v>16224</v>
      </c>
      <c r="AK14" s="400" t="n">
        <v>16564</v>
      </c>
      <c r="AL14" s="400" t="n">
        <v>14994</v>
      </c>
      <c r="AM14" s="400" t="n">
        <v>16240</v>
      </c>
    </row>
    <row r="15" ht="18" customHeight="1" s="322">
      <c r="A15" s="343" t="n"/>
      <c r="B15" s="376" t="inlineStr">
        <is>
          <t>通信運搬費</t>
        </is>
      </c>
      <c r="C15" s="377">
        <f>IF(C$2&lt;=締月,SUMIFS(入力_業務!$N$5:$N$1604,入力_業務!$O$5:$O$1604,"通信運搬費",入力_業務!$P$5:$P$1604,C$2,入力_業務!$I$5:$I$1604,"確認済"),AA15)</f>
        <v>0</v>
      </c>
      <c r="D15" s="377">
        <f>IF(D$2&lt;=締月,SUMIFS(入力_業務!$N$5:$N$1604,入力_業務!$O$5:$O$1604,"通信運搬費",入力_業務!$P$5:$P$1604,D$2,入力_業務!$I$5:$I$1604,"確認済"),AB15)</f>
        <v>147246</v>
      </c>
      <c r="E15" s="377">
        <f>IF(E$2&lt;=締月,SUMIFS(入力_業務!$N$5:$N$1604,入力_業務!$O$5:$O$1604,"通信運搬費",入力_業務!$P$5:$P$1604,E$2,入力_業務!$I$5:$I$1604,"確認済"),AC15)</f>
        <v>21810</v>
      </c>
      <c r="F15" s="377">
        <f>IF(F$2&lt;=締月,SUMIFS(入力_業務!$N$5:$N$1604,入力_業務!$O$5:$O$1604,"通信運搬費",入力_業務!$P$5:$P$1604,F$2,入力_業務!$I$5:$I$1604,"確認済"),AD15)</f>
        <v>1534000</v>
      </c>
      <c r="G15" s="377">
        <f>IF(G$2&lt;=締月,SUMIFS(入力_業務!$N$5:$N$1604,入力_業務!$O$5:$O$1604,"通信運搬費",入力_業務!$P$5:$P$1604,G$2,入力_業務!$I$5:$I$1604,"確認済"),AE15)</f>
        <v>31370</v>
      </c>
      <c r="H15" s="377">
        <f>IF(H$2&lt;=締月,SUMIFS(入力_業務!$N$5:$N$1604,入力_業務!$O$5:$O$1604,"通信運搬費",入力_業務!$P$5:$P$1604,H$2,入力_業務!$I$5:$I$1604,"確認済"),AF15)</f>
        <v>83355</v>
      </c>
      <c r="I15" s="377">
        <f>IF(I$2&lt;=締月,SUMIFS(入力_業務!$N$5:$N$1604,入力_業務!$O$5:$O$1604,"通信運搬費",入力_業務!$P$5:$P$1604,I$2,入力_業務!$I$5:$I$1604,"確認済"),AG15)</f>
        <v>271700</v>
      </c>
      <c r="J15" s="377">
        <f>IF(J$2&lt;=締月,SUMIFS(入力_業務!$N$5:$N$1604,入力_業務!$O$5:$O$1604,"通信運搬費",入力_業務!$P$5:$P$1604,J$2,入力_業務!$I$5:$I$1604,"確認済"),AH15)</f>
        <v>1138006</v>
      </c>
      <c r="K15" s="377">
        <f>IF(K$2&lt;=締月,SUMIFS(入力_業務!$N$5:$N$1604,入力_業務!$O$5:$O$1604,"通信運搬費",入力_業務!$P$5:$P$1604,K$2,入力_業務!$I$5:$I$1604,"確認済"),AI15)</f>
        <v>56815</v>
      </c>
      <c r="L15" s="377">
        <f>IF(L$2&lt;=締月,SUMIFS(入力_業務!$N$5:$N$1604,入力_業務!$O$5:$O$1604,"通信運搬費",入力_業務!$P$5:$P$1604,L$2,入力_業務!$I$5:$I$1604,"確認済"),AJ15)</f>
        <v>1249035</v>
      </c>
      <c r="M15" s="377">
        <f>IF(M$2&lt;=締月,SUMIFS(入力_業務!$N$5:$N$1604,入力_業務!$O$5:$O$1604,"通信運搬費",入力_業務!$P$5:$P$1604,M$2,入力_業務!$I$5:$I$1604,"確認済"),AK15)</f>
        <v>792478</v>
      </c>
      <c r="N15" s="377">
        <f>IF(N$2&lt;=締月,SUMIFS(入力_業務!$N$5:$N$1604,入力_業務!$O$5:$O$1604,"通信運搬費",入力_業務!$P$5:$P$1604,N$2,入力_業務!$I$5:$I$1604,"確認済"),AL15)</f>
        <v>833717</v>
      </c>
      <c r="O15" s="377">
        <f>IF(O$2&lt;=締月,SUMIFS(入力_業務!$N$5:$N$1604,入力_業務!$O$5:$O$1604,"通信運搬費",入力_業務!$P$5:$P$1604,O$2,入力_業務!$I$5:$I$1604,"確認済"),AM15)</f>
        <v>65946</v>
      </c>
      <c r="P15" s="377">
        <f>SUM(C15:O15)</f>
        <v>6225478</v>
      </c>
      <c r="Q15" s="398" t="n">
        <v>7518000</v>
      </c>
      <c r="R15" s="393" t="n"/>
      <c r="S15" s="377">
        <f>SUM(Q15:R15)</f>
        <v>7518000</v>
      </c>
      <c r="T15" s="377">
        <f>S15-P15</f>
        <v>1292522</v>
      </c>
      <c r="U15" s="373" t="n"/>
      <c r="V15" s="378">
        <f>SUMIF($C$2:$N$2,"&lt;="&amp;締月,C15:N15)</f>
        <v>1817781</v>
      </c>
      <c r="W15" s="378">
        <f>S15-V15</f>
        <v>5700219</v>
      </c>
      <c r="X15" s="399" t="n">
        <v>1</v>
      </c>
      <c r="AA15" s="400" t="n">
        <v>0</v>
      </c>
      <c r="AB15" s="400" t="n">
        <v>147246</v>
      </c>
      <c r="AC15" s="400" t="n">
        <v>21810</v>
      </c>
      <c r="AD15" s="400" t="n">
        <v>1534000</v>
      </c>
      <c r="AE15" s="400" t="n">
        <v>31370</v>
      </c>
      <c r="AF15" s="400" t="n">
        <v>83355</v>
      </c>
      <c r="AG15" s="400" t="n">
        <v>271700</v>
      </c>
      <c r="AH15" s="400" t="n">
        <v>1138006</v>
      </c>
      <c r="AI15" s="400" t="n">
        <v>56815</v>
      </c>
      <c r="AJ15" s="400" t="n">
        <v>1249035</v>
      </c>
      <c r="AK15" s="400" t="n">
        <v>792478</v>
      </c>
      <c r="AL15" s="400" t="n">
        <v>833717</v>
      </c>
      <c r="AM15" s="400" t="n">
        <v>65946</v>
      </c>
    </row>
    <row r="16" ht="18" customHeight="1" s="322">
      <c r="A16" s="343" t="n"/>
      <c r="B16" s="376" t="inlineStr">
        <is>
          <t>会議費</t>
        </is>
      </c>
      <c r="C16" s="377">
        <f>IF(C$2&lt;=締月,SUMIFS(入力_業務!$N$5:$N$1604,入力_業務!$O$5:$O$1604,"会議費",入力_業務!$P$5:$P$1604,C$2,入力_業務!$I$5:$I$1604,"確認済"),AA16)</f>
        <v>0</v>
      </c>
      <c r="D16" s="377">
        <f>IF(D$2&lt;=締月,SUMIFS(入力_業務!$N$5:$N$1604,入力_業務!$O$5:$O$1604,"会議費",入力_業務!$P$5:$P$1604,D$2,入力_業務!$I$5:$I$1604,"確認済"),AB16)</f>
        <v>0</v>
      </c>
      <c r="E16" s="377">
        <f>IF(E$2&lt;=締月,SUMIFS(入力_業務!$N$5:$N$1604,入力_業務!$O$5:$O$1604,"会議費",入力_業務!$P$5:$P$1604,E$2,入力_業務!$I$5:$I$1604,"確認済"),AC16)</f>
        <v>0</v>
      </c>
      <c r="F16" s="377">
        <f>IF(F$2&lt;=締月,SUMIFS(入力_業務!$N$5:$N$1604,入力_業務!$O$5:$O$1604,"会議費",入力_業務!$P$5:$P$1604,F$2,入力_業務!$I$5:$I$1604,"確認済"),AD16)</f>
        <v>0</v>
      </c>
      <c r="G16" s="377">
        <f>IF(G$2&lt;=締月,SUMIFS(入力_業務!$N$5:$N$1604,入力_業務!$O$5:$O$1604,"会議費",入力_業務!$P$5:$P$1604,G$2,入力_業務!$I$5:$I$1604,"確認済"),AE16)</f>
        <v>0</v>
      </c>
      <c r="H16" s="377">
        <f>IF(H$2&lt;=締月,SUMIFS(入力_業務!$N$5:$N$1604,入力_業務!$O$5:$O$1604,"会議費",入力_業務!$P$5:$P$1604,H$2,入力_業務!$I$5:$I$1604,"確認済"),AF16)</f>
        <v>0</v>
      </c>
      <c r="I16" s="377">
        <f>IF(I$2&lt;=締月,SUMIFS(入力_業務!$N$5:$N$1604,入力_業務!$O$5:$O$1604,"会議費",入力_業務!$P$5:$P$1604,I$2,入力_業務!$I$5:$I$1604,"確認済"),AG16)</f>
        <v>0</v>
      </c>
      <c r="J16" s="377">
        <f>IF(J$2&lt;=締月,SUMIFS(入力_業務!$N$5:$N$1604,入力_業務!$O$5:$O$1604,"会議費",入力_業務!$P$5:$P$1604,J$2,入力_業務!$I$5:$I$1604,"確認済"),AH16)</f>
        <v>0</v>
      </c>
      <c r="K16" s="377">
        <f>IF(K$2&lt;=締月,SUMIFS(入力_業務!$N$5:$N$1604,入力_業務!$O$5:$O$1604,"会議費",入力_業務!$P$5:$P$1604,K$2,入力_業務!$I$5:$I$1604,"確認済"),AI16)</f>
        <v>0</v>
      </c>
      <c r="L16" s="377">
        <f>IF(L$2&lt;=締月,SUMIFS(入力_業務!$N$5:$N$1604,入力_業務!$O$5:$O$1604,"会議費",入力_業務!$P$5:$P$1604,L$2,入力_業務!$I$5:$I$1604,"確認済"),AJ16)</f>
        <v>0</v>
      </c>
      <c r="M16" s="377">
        <f>IF(M$2&lt;=締月,SUMIFS(入力_業務!$N$5:$N$1604,入力_業務!$O$5:$O$1604,"会議費",入力_業務!$P$5:$P$1604,M$2,入力_業務!$I$5:$I$1604,"確認済"),AK16)</f>
        <v>0</v>
      </c>
      <c r="N16" s="377">
        <f>IF(N$2&lt;=締月,SUMIFS(入力_業務!$N$5:$N$1604,入力_業務!$O$5:$O$1604,"会議費",入力_業務!$P$5:$P$1604,N$2,入力_業務!$I$5:$I$1604,"確認済"),AL16)</f>
        <v>0</v>
      </c>
      <c r="O16" s="377">
        <f>IF(O$2&lt;=締月,SUMIFS(入力_業務!$N$5:$N$1604,入力_業務!$O$5:$O$1604,"会議費",入力_業務!$P$5:$P$1604,O$2,入力_業務!$I$5:$I$1604,"確認済"),AM16)</f>
        <v>0</v>
      </c>
      <c r="P16" s="377">
        <f>SUM(C16:O16)</f>
        <v>0</v>
      </c>
      <c r="Q16" s="398" t="n">
        <v>0</v>
      </c>
      <c r="R16" s="393" t="n"/>
      <c r="S16" s="377">
        <f>SUM(Q16:R16)</f>
        <v>0</v>
      </c>
      <c r="T16" s="377">
        <f>S16-P16</f>
        <v>0</v>
      </c>
      <c r="U16" s="373" t="n"/>
      <c r="V16" s="378">
        <f>SUMIF($C$2:$N$2,"&lt;="&amp;締月,C16:N16)</f>
        <v>0</v>
      </c>
      <c r="W16" s="378">
        <f>S16-V16</f>
        <v>0</v>
      </c>
      <c r="X16" s="399" t="n">
        <v>1</v>
      </c>
      <c r="AA16" s="400" t="n">
        <v>0</v>
      </c>
      <c r="AB16" s="400" t="n">
        <v>0</v>
      </c>
      <c r="AC16" s="400" t="n">
        <v>0</v>
      </c>
      <c r="AD16" s="400" t="n">
        <v>0</v>
      </c>
      <c r="AE16" s="400" t="n">
        <v>0</v>
      </c>
      <c r="AF16" s="400" t="n">
        <v>0</v>
      </c>
      <c r="AG16" s="400" t="n">
        <v>0</v>
      </c>
      <c r="AH16" s="400" t="n">
        <v>0</v>
      </c>
      <c r="AI16" s="400" t="n">
        <v>0</v>
      </c>
      <c r="AJ16" s="400" t="n">
        <v>0</v>
      </c>
      <c r="AK16" s="400" t="n">
        <v>0</v>
      </c>
      <c r="AL16" s="400" t="n">
        <v>0</v>
      </c>
      <c r="AM16" s="400" t="n">
        <v>0</v>
      </c>
    </row>
    <row r="17" ht="18" customHeight="1" s="322">
      <c r="A17" s="343" t="n"/>
      <c r="B17" s="376" t="inlineStr">
        <is>
          <t>雑費</t>
        </is>
      </c>
      <c r="C17" s="377">
        <f>IF(C$2&lt;=締月,SUMIFS(入力_業務!$N$5:$N$1604,入力_業務!$O$5:$O$1604,"事務費・雑費",入力_業務!$P$5:$P$1604,C$2,入力_業務!$I$5:$I$1604,"確認済"),AA17)</f>
        <v>0</v>
      </c>
      <c r="D17" s="377">
        <f>IF(D$2&lt;=締月,SUMIFS(入力_業務!$N$5:$N$1604,入力_業務!$O$5:$O$1604,"事務費・雑費",入力_業務!$P$5:$P$1604,D$2,入力_業務!$I$5:$I$1604,"確認済"),AB17)</f>
        <v>0</v>
      </c>
      <c r="E17" s="377">
        <f>IF(E$2&lt;=締月,SUMIFS(入力_業務!$N$5:$N$1604,入力_業務!$O$5:$O$1604,"事務費・雑費",入力_業務!$P$5:$P$1604,E$2,入力_業務!$I$5:$I$1604,"確認済"),AC17)</f>
        <v>0</v>
      </c>
      <c r="F17" s="377">
        <f>IF(F$2&lt;=締月,SUMIFS(入力_業務!$N$5:$N$1604,入力_業務!$O$5:$O$1604,"事務費・雑費",入力_業務!$P$5:$P$1604,F$2,入力_業務!$I$5:$I$1604,"確認済"),AD17)</f>
        <v>0</v>
      </c>
      <c r="G17" s="377">
        <f>IF(G$2&lt;=締月,SUMIFS(入力_業務!$N$5:$N$1604,入力_業務!$O$5:$O$1604,"事務費・雑費",入力_業務!$P$5:$P$1604,G$2,入力_業務!$I$5:$I$1604,"確認済"),AE17)</f>
        <v>0</v>
      </c>
      <c r="H17" s="377">
        <f>IF(H$2&lt;=締月,SUMIFS(入力_業務!$N$5:$N$1604,入力_業務!$O$5:$O$1604,"事務費・雑費",入力_業務!$P$5:$P$1604,H$2,入力_業務!$I$5:$I$1604,"確認済"),AF17)</f>
        <v>0</v>
      </c>
      <c r="I17" s="377">
        <f>IF(I$2&lt;=締月,SUMIFS(入力_業務!$N$5:$N$1604,入力_業務!$O$5:$O$1604,"事務費・雑費",入力_業務!$P$5:$P$1604,I$2,入力_業務!$I$5:$I$1604,"確認済"),AG17)</f>
        <v>3300</v>
      </c>
      <c r="J17" s="377">
        <f>IF(J$2&lt;=締月,SUMIFS(入力_業務!$N$5:$N$1604,入力_業務!$O$5:$O$1604,"事務費・雑費",入力_業務!$P$5:$P$1604,J$2,入力_業務!$I$5:$I$1604,"確認済"),AH17)</f>
        <v>0</v>
      </c>
      <c r="K17" s="377">
        <f>IF(K$2&lt;=締月,SUMIFS(入力_業務!$N$5:$N$1604,入力_業務!$O$5:$O$1604,"事務費・雑費",入力_業務!$P$5:$P$1604,K$2,入力_業務!$I$5:$I$1604,"確認済"),AI17)</f>
        <v>0</v>
      </c>
      <c r="L17" s="377">
        <f>IF(L$2&lt;=締月,SUMIFS(入力_業務!$N$5:$N$1604,入力_業務!$O$5:$O$1604,"事務費・雑費",入力_業務!$P$5:$P$1604,L$2,入力_業務!$I$5:$I$1604,"確認済"),AJ17)</f>
        <v>0</v>
      </c>
      <c r="M17" s="377">
        <f>IF(M$2&lt;=締月,SUMIFS(入力_業務!$N$5:$N$1604,入力_業務!$O$5:$O$1604,"事務費・雑費",入力_業務!$P$5:$P$1604,M$2,入力_業務!$I$5:$I$1604,"確認済"),AK17)</f>
        <v>0</v>
      </c>
      <c r="N17" s="377">
        <f>IF(N$2&lt;=締月,SUMIFS(入力_業務!$N$5:$N$1604,入力_業務!$O$5:$O$1604,"事務費・雑費",入力_業務!$P$5:$P$1604,N$2,入力_業務!$I$5:$I$1604,"確認済"),AL17)</f>
        <v>0</v>
      </c>
      <c r="O17" s="377">
        <f>IF(O$2&lt;=締月,SUMIFS(入力_業務!$N$5:$N$1604,入力_業務!$O$5:$O$1604,"事務費・雑費",入力_業務!$P$5:$P$1604,O$2,入力_業務!$I$5:$I$1604,"確認済"),AM17)</f>
        <v>3300</v>
      </c>
      <c r="P17" s="377">
        <f>SUM(C17:O17)</f>
        <v>6600</v>
      </c>
      <c r="Q17" s="398" t="n">
        <v>7000</v>
      </c>
      <c r="R17" s="393" t="n"/>
      <c r="S17" s="377">
        <f>SUM(Q17:R17)</f>
        <v>7000</v>
      </c>
      <c r="T17" s="377">
        <f>S17-P17</f>
        <v>400</v>
      </c>
      <c r="U17" s="373" t="n"/>
      <c r="V17" s="378">
        <f>SUMIF($C$2:$N$2,"&lt;="&amp;締月,C17:N17)</f>
        <v>0</v>
      </c>
      <c r="W17" s="378">
        <f>S17-V17</f>
        <v>7000</v>
      </c>
      <c r="X17" s="399" t="n">
        <v>1</v>
      </c>
      <c r="AA17" s="400" t="n">
        <v>0</v>
      </c>
      <c r="AB17" s="400" t="n">
        <v>0</v>
      </c>
      <c r="AC17" s="400" t="n">
        <v>0</v>
      </c>
      <c r="AD17" s="400" t="n">
        <v>0</v>
      </c>
      <c r="AE17" s="400" t="n">
        <v>0</v>
      </c>
      <c r="AF17" s="400" t="n">
        <v>0</v>
      </c>
      <c r="AG17" s="400" t="n">
        <v>3300</v>
      </c>
      <c r="AH17" s="400" t="n">
        <v>0</v>
      </c>
      <c r="AI17" s="400" t="n">
        <v>0</v>
      </c>
      <c r="AJ17" s="400" t="n">
        <v>0</v>
      </c>
      <c r="AK17" s="400" t="n">
        <v>0</v>
      </c>
      <c r="AL17" s="400" t="n">
        <v>0</v>
      </c>
      <c r="AM17" s="400" t="n">
        <v>3300</v>
      </c>
    </row>
    <row r="18" ht="17.25" customHeight="1" s="322">
      <c r="A18" s="379" t="n"/>
      <c r="B18" s="380" t="inlineStr">
        <is>
          <t>計</t>
        </is>
      </c>
      <c r="C18" s="381">
        <f>SUM(C12:C17)</f>
        <v>8778</v>
      </c>
      <c r="D18" s="381">
        <f>SUM(D12:D17)</f>
        <v>179779</v>
      </c>
      <c r="E18" s="381">
        <f>SUM(E12:E17)</f>
        <v>105265</v>
      </c>
      <c r="F18" s="381">
        <f>SUM(F12:F17)</f>
        <v>1547965</v>
      </c>
      <c r="G18" s="381">
        <f>SUM(G12:G17)</f>
        <v>120174</v>
      </c>
      <c r="H18" s="381">
        <f>SUM(H12:H17)</f>
        <v>346015</v>
      </c>
      <c r="I18" s="381">
        <f>SUM(I12:I17)</f>
        <v>454023</v>
      </c>
      <c r="J18" s="381">
        <f>SUM(J12:J17)</f>
        <v>1357438</v>
      </c>
      <c r="K18" s="381">
        <f>SUM(K12:K17)</f>
        <v>145608</v>
      </c>
      <c r="L18" s="381">
        <f>SUM(L12:L17)</f>
        <v>1359096</v>
      </c>
      <c r="M18" s="381">
        <f>SUM(M12:M17)</f>
        <v>835442</v>
      </c>
      <c r="N18" s="381">
        <f>SUM(N12:N17)</f>
        <v>951564</v>
      </c>
      <c r="O18" s="381">
        <f>SUM(O12:O17)</f>
        <v>184487</v>
      </c>
      <c r="P18" s="381">
        <f>SUM(P12:P17)</f>
        <v>7595634</v>
      </c>
      <c r="Q18" s="381">
        <f>SUM(Q12:Q17)</f>
        <v>8949000</v>
      </c>
      <c r="R18" s="397" t="n"/>
      <c r="S18" s="381">
        <f>SUM(Q18:R18)</f>
        <v>8949000</v>
      </c>
      <c r="T18" s="381">
        <f>S18-P18</f>
        <v>1353366</v>
      </c>
      <c r="U18" s="373" t="n"/>
      <c r="V18" s="382">
        <f>SUMIF($C$2:$N$2,"&lt;="&amp;締月,C18:N18)</f>
        <v>2307976</v>
      </c>
      <c r="W18" s="382">
        <f>S18-V18</f>
        <v>6641024</v>
      </c>
    </row>
    <row r="19" ht="17.25" customHeight="1" s="322">
      <c r="A19" s="385" t="inlineStr">
        <is>
          <t>賃金</t>
        </is>
      </c>
      <c r="B19" s="343" t="n"/>
      <c r="C19" s="377">
        <f>C59</f>
        <v>0</v>
      </c>
      <c r="D19" s="377">
        <f>D59</f>
        <v>0</v>
      </c>
      <c r="E19" s="377">
        <f>E59</f>
        <v>0</v>
      </c>
      <c r="F19" s="377">
        <f>F59</f>
        <v>0</v>
      </c>
      <c r="G19" s="377">
        <f>G59</f>
        <v>0</v>
      </c>
      <c r="H19" s="377">
        <f>H59</f>
        <v>0</v>
      </c>
      <c r="I19" s="377">
        <f>I59</f>
        <v>0</v>
      </c>
      <c r="J19" s="377">
        <f>J59</f>
        <v>0</v>
      </c>
      <c r="K19" s="377">
        <f>K59</f>
        <v>0</v>
      </c>
      <c r="L19" s="377">
        <f>L59</f>
        <v>0</v>
      </c>
      <c r="M19" s="377">
        <f>M59</f>
        <v>0</v>
      </c>
      <c r="N19" s="377">
        <f>N59</f>
        <v>0</v>
      </c>
      <c r="O19" s="377">
        <f>O59</f>
        <v>0</v>
      </c>
      <c r="P19" s="377">
        <f>SUM(C19:O19)</f>
        <v>0</v>
      </c>
      <c r="Q19" s="398" t="n">
        <v>0</v>
      </c>
      <c r="R19" s="393" t="n"/>
      <c r="S19" s="377">
        <f>SUM(Q19:R19)</f>
        <v>0</v>
      </c>
      <c r="T19" s="377">
        <f>S19-P19</f>
        <v>0</v>
      </c>
      <c r="U19" s="373" t="n"/>
      <c r="V19" s="378">
        <f>SUMIF($C$2:$N$2,"&lt;="&amp;締月,C19:N19)</f>
        <v>0</v>
      </c>
      <c r="W19" s="378">
        <f>S19-V19</f>
        <v>0</v>
      </c>
    </row>
    <row r="20" ht="18" customHeight="1" s="322">
      <c r="A20" s="376" t="inlineStr">
        <is>
          <t>委託費</t>
        </is>
      </c>
      <c r="B20" s="343" t="n"/>
      <c r="C20" s="377">
        <f>IF(C$2&lt;=締月,SUMIFS(入力_業務!$N$5:$N$1604,入力_業務!$O$5:$O$1604,"委託費",入力_業務!$P$5:$P$1604,C$2,入力_業務!$I$5:$I$1604,"確認済"),AA20)</f>
        <v>0</v>
      </c>
      <c r="D20" s="377">
        <f>IF(D$2&lt;=締月,SUMIFS(入力_業務!$N$5:$N$1604,入力_業務!$O$5:$O$1604,"委託費",入力_業務!$P$5:$P$1604,D$2,入力_業務!$I$5:$I$1604,"確認済"),AB20)</f>
        <v>0</v>
      </c>
      <c r="E20" s="377">
        <f>IF(E$2&lt;=締月,SUMIFS(入力_業務!$N$5:$N$1604,入力_業務!$O$5:$O$1604,"委託費",入力_業務!$P$5:$P$1604,E$2,入力_業務!$I$5:$I$1604,"確認済"),AC20)</f>
        <v>0</v>
      </c>
      <c r="F20" s="377">
        <f>IF(F$2&lt;=締月,SUMIFS(入力_業務!$N$5:$N$1604,入力_業務!$O$5:$O$1604,"委託費",入力_業務!$P$5:$P$1604,F$2,入力_業務!$I$5:$I$1604,"確認済"),AD20)</f>
        <v>176854</v>
      </c>
      <c r="G20" s="377">
        <f>IF(G$2&lt;=締月,SUMIFS(入力_業務!$N$5:$N$1604,入力_業務!$O$5:$O$1604,"委託費",入力_業務!$P$5:$P$1604,G$2,入力_業務!$I$5:$I$1604,"確認済"),AE20)</f>
        <v>1155425</v>
      </c>
      <c r="H20" s="377">
        <f>IF(H$2&lt;=締月,SUMIFS(入力_業務!$N$5:$N$1604,入力_業務!$O$5:$O$1604,"委託費",入力_業務!$P$5:$P$1604,H$2,入力_業務!$I$5:$I$1604,"確認済"),AF20)</f>
        <v>340931</v>
      </c>
      <c r="I20" s="377">
        <f>IF(I$2&lt;=締月,SUMIFS(入力_業務!$N$5:$N$1604,入力_業務!$O$5:$O$1604,"委託費",入力_業務!$P$5:$P$1604,I$2,入力_業務!$I$5:$I$1604,"確認済"),AG20)</f>
        <v>119283</v>
      </c>
      <c r="J20" s="377">
        <f>IF(J$2&lt;=締月,SUMIFS(入力_業務!$N$5:$N$1604,入力_業務!$O$5:$O$1604,"委託費",入力_業務!$P$5:$P$1604,J$2,入力_業務!$I$5:$I$1604,"確認済"),AH20)</f>
        <v>93256</v>
      </c>
      <c r="K20" s="377">
        <f>IF(K$2&lt;=締月,SUMIFS(入力_業務!$N$5:$N$1604,入力_業務!$O$5:$O$1604,"委託費",入力_業務!$P$5:$P$1604,K$2,入力_業務!$I$5:$I$1604,"確認済"),AI20)</f>
        <v>115828</v>
      </c>
      <c r="L20" s="377">
        <f>IF(L$2&lt;=締月,SUMIFS(入力_業務!$N$5:$N$1604,入力_業務!$O$5:$O$1604,"委託費",入力_業務!$P$5:$P$1604,L$2,入力_業務!$I$5:$I$1604,"確認済"),AJ20)</f>
        <v>85123</v>
      </c>
      <c r="M20" s="377">
        <f>IF(M$2&lt;=締月,SUMIFS(入力_業務!$N$5:$N$1604,入力_業務!$O$5:$O$1604,"委託費",入力_業務!$P$5:$P$1604,M$2,入力_業務!$I$5:$I$1604,"確認済"),AK20)</f>
        <v>126533</v>
      </c>
      <c r="N20" s="377">
        <f>IF(N$2&lt;=締月,SUMIFS(入力_業務!$N$5:$N$1604,入力_業務!$O$5:$O$1604,"委託費",入力_業務!$P$5:$P$1604,N$2,入力_業務!$I$5:$I$1604,"確認済"),AL20)</f>
        <v>78590</v>
      </c>
      <c r="O20" s="377">
        <f>IF(O$2&lt;=締月,SUMIFS(入力_業務!$N$5:$N$1604,入力_業務!$O$5:$O$1604,"委託費",入力_業務!$P$5:$P$1604,O$2,入力_業務!$I$5:$I$1604,"確認済"),AM20)</f>
        <v>164657</v>
      </c>
      <c r="P20" s="377">
        <f>SUM(C20:O20)</f>
        <v>2456480</v>
      </c>
      <c r="Q20" s="398" t="n">
        <v>2575000</v>
      </c>
      <c r="R20" s="393" t="n"/>
      <c r="S20" s="377">
        <f>SUM(Q20:R20)</f>
        <v>2575000</v>
      </c>
      <c r="T20" s="377">
        <f>S20-P20</f>
        <v>118520</v>
      </c>
      <c r="U20" s="373" t="n"/>
      <c r="V20" s="378">
        <f>SUMIF($C$2:$N$2,"&lt;="&amp;締月,C20:N20)</f>
        <v>1673210</v>
      </c>
      <c r="W20" s="378">
        <f>S20-V20</f>
        <v>901790</v>
      </c>
      <c r="X20" s="399" t="n">
        <v>1</v>
      </c>
      <c r="AA20" s="400" t="n">
        <v>0</v>
      </c>
      <c r="AB20" s="400" t="n">
        <v>0</v>
      </c>
      <c r="AC20" s="400" t="n">
        <v>0</v>
      </c>
      <c r="AD20" s="400" t="n">
        <v>176854</v>
      </c>
      <c r="AE20" s="400" t="n">
        <v>1155425</v>
      </c>
      <c r="AF20" s="400" t="n">
        <v>340931</v>
      </c>
      <c r="AG20" s="400" t="n">
        <v>119283</v>
      </c>
      <c r="AH20" s="400" t="n">
        <v>93256</v>
      </c>
      <c r="AI20" s="400" t="n">
        <v>115828</v>
      </c>
      <c r="AJ20" s="400" t="n">
        <v>85123</v>
      </c>
      <c r="AK20" s="400" t="n">
        <v>126533</v>
      </c>
      <c r="AL20" s="400" t="n">
        <v>78590</v>
      </c>
      <c r="AM20" s="400" t="n">
        <v>164657</v>
      </c>
    </row>
    <row r="21" ht="18" customHeight="1" s="322">
      <c r="A21" s="376" t="inlineStr">
        <is>
          <t>光熱水料</t>
        </is>
      </c>
      <c r="B21" s="343" t="n"/>
      <c r="C21" s="377">
        <f>IF(C$2&lt;=締月,SUMIFS(入力_業務!$N$5:$N$1604,入力_業務!$O$5:$O$1604,"光熱水料",入力_業務!$P$5:$P$1604,C$2,入力_業務!$I$5:$I$1604,"確認済"),AA21)</f>
        <v>0</v>
      </c>
      <c r="D21" s="377">
        <f>IF(D$2&lt;=締月,SUMIFS(入力_業務!$N$5:$N$1604,入力_業務!$O$5:$O$1604,"光熱水料",入力_業務!$P$5:$P$1604,D$2,入力_業務!$I$5:$I$1604,"確認済"),AB21)</f>
        <v>0</v>
      </c>
      <c r="E21" s="377">
        <f>IF(E$2&lt;=締月,SUMIFS(入力_業務!$N$5:$N$1604,入力_業務!$O$5:$O$1604,"光熱水料",入力_業務!$P$5:$P$1604,E$2,入力_業務!$I$5:$I$1604,"確認済"),AC21)</f>
        <v>0</v>
      </c>
      <c r="F21" s="377">
        <f>IF(F$2&lt;=締月,SUMIFS(入力_業務!$N$5:$N$1604,入力_業務!$O$5:$O$1604,"光熱水料",入力_業務!$P$5:$P$1604,F$2,入力_業務!$I$5:$I$1604,"確認済"),AD21)</f>
        <v>0</v>
      </c>
      <c r="G21" s="377">
        <f>IF(G$2&lt;=締月,SUMIFS(入力_業務!$N$5:$N$1604,入力_業務!$O$5:$O$1604,"光熱水料",入力_業務!$P$5:$P$1604,G$2,入力_業務!$I$5:$I$1604,"確認済"),AE21)</f>
        <v>0</v>
      </c>
      <c r="H21" s="377">
        <f>IF(H$2&lt;=締月,SUMIFS(入力_業務!$N$5:$N$1604,入力_業務!$O$5:$O$1604,"光熱水料",入力_業務!$P$5:$P$1604,H$2,入力_業務!$I$5:$I$1604,"確認済"),AF21)</f>
        <v>0</v>
      </c>
      <c r="I21" s="377">
        <f>IF(I$2&lt;=締月,SUMIFS(入力_業務!$N$5:$N$1604,入力_業務!$O$5:$O$1604,"光熱水料",入力_業務!$P$5:$P$1604,I$2,入力_業務!$I$5:$I$1604,"確認済"),AG21)</f>
        <v>0</v>
      </c>
      <c r="J21" s="377">
        <f>IF(J$2&lt;=締月,SUMIFS(入力_業務!$N$5:$N$1604,入力_業務!$O$5:$O$1604,"光熱水料",入力_業務!$P$5:$P$1604,J$2,入力_業務!$I$5:$I$1604,"確認済"),AH21)</f>
        <v>0</v>
      </c>
      <c r="K21" s="377">
        <f>IF(K$2&lt;=締月,SUMIFS(入力_業務!$N$5:$N$1604,入力_業務!$O$5:$O$1604,"光熱水料",入力_業務!$P$5:$P$1604,K$2,入力_業務!$I$5:$I$1604,"確認済"),AI21)</f>
        <v>50385</v>
      </c>
      <c r="L21" s="377">
        <f>IF(L$2&lt;=締月,SUMIFS(入力_業務!$N$5:$N$1604,入力_業務!$O$5:$O$1604,"光熱水料",入力_業務!$P$5:$P$1604,L$2,入力_業務!$I$5:$I$1604,"確認済"),AJ21)</f>
        <v>0</v>
      </c>
      <c r="M21" s="377">
        <f>IF(M$2&lt;=締月,SUMIFS(入力_業務!$N$5:$N$1604,入力_業務!$O$5:$O$1604,"光熱水料",入力_業務!$P$5:$P$1604,M$2,入力_業務!$I$5:$I$1604,"確認済"),AK21)</f>
        <v>0</v>
      </c>
      <c r="N21" s="377">
        <f>IF(N$2&lt;=締月,SUMIFS(入力_業務!$N$5:$N$1604,入力_業務!$O$5:$O$1604,"光熱水料",入力_業務!$P$5:$P$1604,N$2,入力_業務!$I$5:$I$1604,"確認済"),AL21)</f>
        <v>0</v>
      </c>
      <c r="O21" s="377">
        <f>IF(O$2&lt;=締月,SUMIFS(入力_業務!$N$5:$N$1604,入力_業務!$O$5:$O$1604,"光熱水料",入力_業務!$P$5:$P$1604,O$2,入力_業務!$I$5:$I$1604,"確認済"),AM21)</f>
        <v>58984</v>
      </c>
      <c r="P21" s="377">
        <f>SUM(C21:O21)</f>
        <v>109369</v>
      </c>
      <c r="Q21" s="398" t="n">
        <v>102000</v>
      </c>
      <c r="R21" s="393" t="n"/>
      <c r="S21" s="377">
        <f>SUM(Q21:R21)</f>
        <v>102000</v>
      </c>
      <c r="T21" s="377">
        <f>S21-P21</f>
        <v>-7369</v>
      </c>
      <c r="U21" s="373" t="n"/>
      <c r="V21" s="378">
        <f>SUMIF($C$2:$N$2,"&lt;="&amp;締月,C21:N21)</f>
        <v>0</v>
      </c>
      <c r="W21" s="378">
        <f>S21-V21</f>
        <v>102000</v>
      </c>
      <c r="X21" s="399" t="n">
        <v>1</v>
      </c>
      <c r="AA21" s="400" t="n">
        <v>0</v>
      </c>
      <c r="AB21" s="400" t="n">
        <v>0</v>
      </c>
      <c r="AC21" s="400" t="n">
        <v>0</v>
      </c>
      <c r="AD21" s="400" t="n">
        <v>0</v>
      </c>
      <c r="AE21" s="400" t="n">
        <v>0</v>
      </c>
      <c r="AF21" s="400" t="n">
        <v>0</v>
      </c>
      <c r="AG21" s="400" t="n">
        <v>0</v>
      </c>
      <c r="AH21" s="400" t="n">
        <v>0</v>
      </c>
      <c r="AI21" s="400" t="n">
        <v>50385</v>
      </c>
      <c r="AJ21" s="400" t="n">
        <v>0</v>
      </c>
      <c r="AK21" s="400" t="n">
        <v>0</v>
      </c>
      <c r="AL21" s="400" t="n">
        <v>0</v>
      </c>
      <c r="AM21" s="400" t="n">
        <v>58984</v>
      </c>
    </row>
    <row r="22" ht="18" customHeight="1" s="322">
      <c r="A22" s="376" t="inlineStr">
        <is>
          <t>修繕費</t>
        </is>
      </c>
      <c r="B22" s="343" t="n"/>
      <c r="C22" s="377">
        <f>IF(C$2&lt;=締月,SUMIFS(入力_業務!$N$5:$N$1604,入力_業務!$O$5:$O$1604,"修繕費",入力_業務!$P$5:$P$1604,C$2,入力_業務!$I$5:$I$1604,"確認済"),AA22)</f>
        <v>0</v>
      </c>
      <c r="D22" s="377">
        <f>IF(D$2&lt;=締月,SUMIFS(入力_業務!$N$5:$N$1604,入力_業務!$O$5:$O$1604,"修繕費",入力_業務!$P$5:$P$1604,D$2,入力_業務!$I$5:$I$1604,"確認済"),AB22)</f>
        <v>0</v>
      </c>
      <c r="E22" s="377">
        <f>IF(E$2&lt;=締月,SUMIFS(入力_業務!$N$5:$N$1604,入力_業務!$O$5:$O$1604,"修繕費",入力_業務!$P$5:$P$1604,E$2,入力_業務!$I$5:$I$1604,"確認済"),AC22)</f>
        <v>0</v>
      </c>
      <c r="F22" s="377">
        <f>IF(F$2&lt;=締月,SUMIFS(入力_業務!$N$5:$N$1604,入力_業務!$O$5:$O$1604,"修繕費",入力_業務!$P$5:$P$1604,F$2,入力_業務!$I$5:$I$1604,"確認済"),AD22)</f>
        <v>0</v>
      </c>
      <c r="G22" s="377">
        <f>IF(G$2&lt;=締月,SUMIFS(入力_業務!$N$5:$N$1604,入力_業務!$O$5:$O$1604,"修繕費",入力_業務!$P$5:$P$1604,G$2,入力_業務!$I$5:$I$1604,"確認済"),AE22)</f>
        <v>0</v>
      </c>
      <c r="H22" s="377">
        <f>IF(H$2&lt;=締月,SUMIFS(入力_業務!$N$5:$N$1604,入力_業務!$O$5:$O$1604,"修繕費",入力_業務!$P$5:$P$1604,H$2,入力_業務!$I$5:$I$1604,"確認済"),AF22)</f>
        <v>0</v>
      </c>
      <c r="I22" s="377">
        <f>IF(I$2&lt;=締月,SUMIFS(入力_業務!$N$5:$N$1604,入力_業務!$O$5:$O$1604,"修繕費",入力_業務!$P$5:$P$1604,I$2,入力_業務!$I$5:$I$1604,"確認済"),AG22)</f>
        <v>0</v>
      </c>
      <c r="J22" s="377">
        <f>IF(J$2&lt;=締月,SUMIFS(入力_業務!$N$5:$N$1604,入力_業務!$O$5:$O$1604,"修繕費",入力_業務!$P$5:$P$1604,J$2,入力_業務!$I$5:$I$1604,"確認済"),AH22)</f>
        <v>0</v>
      </c>
      <c r="K22" s="377">
        <f>IF(K$2&lt;=締月,SUMIFS(入力_業務!$N$5:$N$1604,入力_業務!$O$5:$O$1604,"修繕費",入力_業務!$P$5:$P$1604,K$2,入力_業務!$I$5:$I$1604,"確認済"),AI22)</f>
        <v>0</v>
      </c>
      <c r="L22" s="377">
        <f>IF(L$2&lt;=締月,SUMIFS(入力_業務!$N$5:$N$1604,入力_業務!$O$5:$O$1604,"修繕費",入力_業務!$P$5:$P$1604,L$2,入力_業務!$I$5:$I$1604,"確認済"),AJ22)</f>
        <v>0</v>
      </c>
      <c r="M22" s="377">
        <f>IF(M$2&lt;=締月,SUMIFS(入力_業務!$N$5:$N$1604,入力_業務!$O$5:$O$1604,"修繕費",入力_業務!$P$5:$P$1604,M$2,入力_業務!$I$5:$I$1604,"確認済"),AK22)</f>
        <v>0</v>
      </c>
      <c r="N22" s="377">
        <f>IF(N$2&lt;=締月,SUMIFS(入力_業務!$N$5:$N$1604,入力_業務!$O$5:$O$1604,"修繕費",入力_業務!$P$5:$P$1604,N$2,入力_業務!$I$5:$I$1604,"確認済"),AL22)</f>
        <v>0</v>
      </c>
      <c r="O22" s="377">
        <f>IF(O$2&lt;=締月,SUMIFS(入力_業務!$N$5:$N$1604,入力_業務!$O$5:$O$1604,"修繕費",入力_業務!$P$5:$P$1604,O$2,入力_業務!$I$5:$I$1604,"確認済"),AM22)</f>
        <v>0</v>
      </c>
      <c r="P22" s="377">
        <f>SUM(C22:O22)</f>
        <v>0</v>
      </c>
      <c r="Q22" s="393" t="n"/>
      <c r="R22" s="393" t="n"/>
      <c r="S22" s="377">
        <f>SUM(Q22:R22)</f>
        <v>0</v>
      </c>
      <c r="T22" s="377">
        <f>S22-P22</f>
        <v>0</v>
      </c>
      <c r="U22" s="373" t="n"/>
      <c r="V22" s="378">
        <f>SUMIF($C$2:$N$2,"&lt;="&amp;締月,C22:N22)</f>
        <v>0</v>
      </c>
      <c r="W22" s="378">
        <f>S22-V22</f>
        <v>0</v>
      </c>
      <c r="X22" s="399" t="n">
        <v>1</v>
      </c>
      <c r="AA22" s="400" t="n">
        <v>0</v>
      </c>
      <c r="AB22" s="400" t="n">
        <v>0</v>
      </c>
      <c r="AC22" s="400" t="n">
        <v>0</v>
      </c>
      <c r="AD22" s="400" t="n">
        <v>0</v>
      </c>
      <c r="AE22" s="400" t="n">
        <v>0</v>
      </c>
      <c r="AF22" s="400" t="n">
        <v>0</v>
      </c>
      <c r="AG22" s="400" t="n">
        <v>0</v>
      </c>
      <c r="AH22" s="400" t="n">
        <v>0</v>
      </c>
      <c r="AI22" s="400" t="n">
        <v>0</v>
      </c>
      <c r="AJ22" s="400" t="n">
        <v>0</v>
      </c>
      <c r="AK22" s="400" t="n">
        <v>0</v>
      </c>
      <c r="AL22" s="400" t="n">
        <v>0</v>
      </c>
      <c r="AM22" s="400" t="n"/>
    </row>
    <row r="23" ht="18" customHeight="1" s="322">
      <c r="A23" s="376" t="inlineStr">
        <is>
          <t>賃借料</t>
        </is>
      </c>
      <c r="B23" s="343" t="n"/>
      <c r="C23" s="377">
        <f>IF(C$2&lt;=締月,SUMIFS(入力_業務!$N$5:$N$1604,入力_業務!$O$5:$O$1604,"賃借料",入力_業務!$P$5:$P$1604,C$2,入力_業務!$I$5:$I$1604,"確認済"),AA23)</f>
        <v>0</v>
      </c>
      <c r="D23" s="377">
        <f>IF(D$2&lt;=締月,SUMIFS(入力_業務!$N$5:$N$1604,入力_業務!$O$5:$O$1604,"賃借料",入力_業務!$P$5:$P$1604,D$2,入力_業務!$I$5:$I$1604,"確認済"),AB23)</f>
        <v>69613</v>
      </c>
      <c r="E23" s="377">
        <f>IF(E$2&lt;=締月,SUMIFS(入力_業務!$N$5:$N$1604,入力_業務!$O$5:$O$1604,"賃借料",入力_業務!$P$5:$P$1604,E$2,入力_業務!$I$5:$I$1604,"確認済"),AC23)</f>
        <v>69613</v>
      </c>
      <c r="F23" s="377">
        <f>IF(F$2&lt;=締月,SUMIFS(入力_業務!$N$5:$N$1604,入力_業務!$O$5:$O$1604,"賃借料",入力_業務!$P$5:$P$1604,F$2,入力_業務!$I$5:$I$1604,"確認済"),AD23)</f>
        <v>69613</v>
      </c>
      <c r="G23" s="377">
        <f>IF(G$2&lt;=締月,SUMIFS(入力_業務!$N$5:$N$1604,入力_業務!$O$5:$O$1604,"賃借料",入力_業務!$P$5:$P$1604,G$2,入力_業務!$I$5:$I$1604,"確認済"),AE23)</f>
        <v>69613</v>
      </c>
      <c r="H23" s="377">
        <f>IF(H$2&lt;=締月,SUMIFS(入力_業務!$N$5:$N$1604,入力_業務!$O$5:$O$1604,"賃借料",入力_業務!$P$5:$P$1604,H$2,入力_業務!$I$5:$I$1604,"確認済"),AF23)</f>
        <v>69613</v>
      </c>
      <c r="I23" s="377">
        <f>IF(I$2&lt;=締月,SUMIFS(入力_業務!$N$5:$N$1604,入力_業務!$O$5:$O$1604,"賃借料",入力_業務!$P$5:$P$1604,I$2,入力_業務!$I$5:$I$1604,"確認済"),AG23)</f>
        <v>69613</v>
      </c>
      <c r="J23" s="377">
        <f>IF(J$2&lt;=締月,SUMIFS(入力_業務!$N$5:$N$1604,入力_業務!$O$5:$O$1604,"賃借料",入力_業務!$P$5:$P$1604,J$2,入力_業務!$I$5:$I$1604,"確認済"),AH23)</f>
        <v>116495</v>
      </c>
      <c r="K23" s="377">
        <f>IF(K$2&lt;=締月,SUMIFS(入力_業務!$N$5:$N$1604,入力_業務!$O$5:$O$1604,"賃借料",入力_業務!$P$5:$P$1604,K$2,入力_業務!$I$5:$I$1604,"確認済"),AI23)</f>
        <v>69613</v>
      </c>
      <c r="L23" s="377">
        <f>IF(L$2&lt;=締月,SUMIFS(入力_業務!$N$5:$N$1604,入力_業務!$O$5:$O$1604,"賃借料",入力_業務!$P$5:$P$1604,L$2,入力_業務!$I$5:$I$1604,"確認済"),AJ23)</f>
        <v>69613</v>
      </c>
      <c r="M23" s="377">
        <f>IF(M$2&lt;=締月,SUMIFS(入力_業務!$N$5:$N$1604,入力_業務!$O$5:$O$1604,"賃借料",入力_業務!$P$5:$P$1604,M$2,入力_業務!$I$5:$I$1604,"確認済"),AK23)</f>
        <v>69613</v>
      </c>
      <c r="N23" s="377">
        <f>IF(N$2&lt;=締月,SUMIFS(入力_業務!$N$5:$N$1604,入力_業務!$O$5:$O$1604,"賃借料",入力_業務!$P$5:$P$1604,N$2,入力_業務!$I$5:$I$1604,"確認済"),AL23)</f>
        <v>69613</v>
      </c>
      <c r="O23" s="377">
        <f>IF(O$2&lt;=締月,SUMIFS(入力_業務!$N$5:$N$1604,入力_業務!$O$5:$O$1604,"賃借料",入力_業務!$P$5:$P$1604,O$2,入力_業務!$I$5:$I$1604,"確認済"),AM23)</f>
        <v>88088</v>
      </c>
      <c r="P23" s="377">
        <f>SUM(C23:O23)</f>
        <v>900713</v>
      </c>
      <c r="Q23" s="398" t="n">
        <v>1027000</v>
      </c>
      <c r="R23" s="393" t="n"/>
      <c r="S23" s="377">
        <f>SUM(Q23:R23)</f>
        <v>1027000</v>
      </c>
      <c r="T23" s="377">
        <f>S23-P23</f>
        <v>126287</v>
      </c>
      <c r="U23" s="373" t="n"/>
      <c r="V23" s="378">
        <f>SUMIF($C$2:$N$2,"&lt;="&amp;締月,C23:N23)</f>
        <v>348065</v>
      </c>
      <c r="W23" s="378">
        <f>S23-V23</f>
        <v>678935</v>
      </c>
      <c r="X23" s="399" t="n">
        <v>1</v>
      </c>
      <c r="AA23" s="400" t="n">
        <v>0</v>
      </c>
      <c r="AB23" s="400" t="n">
        <v>69613</v>
      </c>
      <c r="AC23" s="400" t="n">
        <v>69613</v>
      </c>
      <c r="AD23" s="400" t="n">
        <v>69613</v>
      </c>
      <c r="AE23" s="400" t="n">
        <v>69613</v>
      </c>
      <c r="AF23" s="400" t="n">
        <v>69613</v>
      </c>
      <c r="AG23" s="400" t="n">
        <v>69613</v>
      </c>
      <c r="AH23" s="400" t="n">
        <v>116495</v>
      </c>
      <c r="AI23" s="400" t="n">
        <v>69613</v>
      </c>
      <c r="AJ23" s="400" t="n">
        <v>69613</v>
      </c>
      <c r="AK23" s="400" t="n">
        <v>69613</v>
      </c>
      <c r="AL23" s="400" t="n">
        <v>69613</v>
      </c>
      <c r="AM23" s="400" t="n">
        <v>88088</v>
      </c>
    </row>
    <row r="24" ht="18" customHeight="1" s="322">
      <c r="A24" s="376" t="inlineStr">
        <is>
          <t>普及費</t>
        </is>
      </c>
      <c r="B24" s="343" t="n"/>
      <c r="C24" s="377">
        <f>IF(C$2&lt;=締月,SUMIFS(入力_業務!$N$5:$N$1604,入力_業務!$O$5:$O$1604,"普及費",入力_業務!$P$5:$P$1604,C$2,入力_業務!$I$5:$I$1604,"確認済"),AA24)</f>
        <v>0</v>
      </c>
      <c r="D24" s="377">
        <f>IF(D$2&lt;=締月,SUMIFS(入力_業務!$N$5:$N$1604,入力_業務!$O$5:$O$1604,"普及費",入力_業務!$P$5:$P$1604,D$2,入力_業務!$I$5:$I$1604,"確認済"),AB24)</f>
        <v>0</v>
      </c>
      <c r="E24" s="377">
        <f>IF(E$2&lt;=締月,SUMIFS(入力_業務!$N$5:$N$1604,入力_業務!$O$5:$O$1604,"普及費",入力_業務!$P$5:$P$1604,E$2,入力_業務!$I$5:$I$1604,"確認済"),AC24)</f>
        <v>0</v>
      </c>
      <c r="F24" s="377">
        <f>IF(F$2&lt;=締月,SUMIFS(入力_業務!$N$5:$N$1604,入力_業務!$O$5:$O$1604,"普及費",入力_業務!$P$5:$P$1604,F$2,入力_業務!$I$5:$I$1604,"確認済"),AD24)</f>
        <v>0</v>
      </c>
      <c r="G24" s="377">
        <f>IF(G$2&lt;=締月,SUMIFS(入力_業務!$N$5:$N$1604,入力_業務!$O$5:$O$1604,"普及費",入力_業務!$P$5:$P$1604,G$2,入力_業務!$I$5:$I$1604,"確認済"),AE24)</f>
        <v>0</v>
      </c>
      <c r="H24" s="377">
        <f>IF(H$2&lt;=締月,SUMIFS(入力_業務!$N$5:$N$1604,入力_業務!$O$5:$O$1604,"普及費",入力_業務!$P$5:$P$1604,H$2,入力_業務!$I$5:$I$1604,"確認済"),AF24)</f>
        <v>0</v>
      </c>
      <c r="I24" s="377">
        <f>IF(I$2&lt;=締月,SUMIFS(入力_業務!$N$5:$N$1604,入力_業務!$O$5:$O$1604,"普及費",入力_業務!$P$5:$P$1604,I$2,入力_業務!$I$5:$I$1604,"確認済"),AG24)</f>
        <v>0</v>
      </c>
      <c r="J24" s="377">
        <f>IF(J$2&lt;=締月,SUMIFS(入力_業務!$N$5:$N$1604,入力_業務!$O$5:$O$1604,"普及費",入力_業務!$P$5:$P$1604,J$2,入力_業務!$I$5:$I$1604,"確認済"),AH24)</f>
        <v>151989</v>
      </c>
      <c r="K24" s="377">
        <f>IF(K$2&lt;=締月,SUMIFS(入力_業務!$N$5:$N$1604,入力_業務!$O$5:$O$1604,"普及費",入力_業務!$P$5:$P$1604,K$2,入力_業務!$I$5:$I$1604,"確認済"),AI24)</f>
        <v>0</v>
      </c>
      <c r="L24" s="377">
        <f>IF(L$2&lt;=締月,SUMIFS(入力_業務!$N$5:$N$1604,入力_業務!$O$5:$O$1604,"普及費",入力_業務!$P$5:$P$1604,L$2,入力_業務!$I$5:$I$1604,"確認済"),AJ24)</f>
        <v>227354</v>
      </c>
      <c r="M24" s="377">
        <f>IF(M$2&lt;=締月,SUMIFS(入力_業務!$N$5:$N$1604,入力_業務!$O$5:$O$1604,"普及費",入力_業務!$P$5:$P$1604,M$2,入力_業務!$I$5:$I$1604,"確認済"),AK24)</f>
        <v>0</v>
      </c>
      <c r="N24" s="377">
        <f>IF(N$2&lt;=締月,SUMIFS(入力_業務!$N$5:$N$1604,入力_業務!$O$5:$O$1604,"普及費",入力_業務!$P$5:$P$1604,N$2,入力_業務!$I$5:$I$1604,"確認済"),AL24)</f>
        <v>0</v>
      </c>
      <c r="O24" s="377">
        <f>IF(O$2&lt;=締月,SUMIFS(入力_業務!$N$5:$N$1604,入力_業務!$O$5:$O$1604,"普及費",入力_業務!$P$5:$P$1604,O$2,入力_業務!$I$5:$I$1604,"確認済"),AM24)</f>
        <v>250322</v>
      </c>
      <c r="P24" s="377">
        <f>SUM(C24:O24)</f>
        <v>629665</v>
      </c>
      <c r="Q24" s="398" t="n">
        <v>993000</v>
      </c>
      <c r="R24" s="393" t="n"/>
      <c r="S24" s="377">
        <f>SUM(Q24:R24)</f>
        <v>993000</v>
      </c>
      <c r="T24" s="377">
        <f>S24-P24</f>
        <v>363335</v>
      </c>
      <c r="U24" s="373" t="n"/>
      <c r="V24" s="378">
        <f>SUMIF($C$2:$N$2,"&lt;="&amp;締月,C24:N24)</f>
        <v>0</v>
      </c>
      <c r="W24" s="378">
        <f>S24-V24</f>
        <v>993000</v>
      </c>
      <c r="X24" s="399" t="n">
        <v>1</v>
      </c>
      <c r="AA24" s="400" t="n">
        <v>0</v>
      </c>
      <c r="AB24" s="400" t="n">
        <v>0</v>
      </c>
      <c r="AC24" s="400" t="n">
        <v>0</v>
      </c>
      <c r="AD24" s="400" t="n">
        <v>0</v>
      </c>
      <c r="AE24" s="400" t="n">
        <v>0</v>
      </c>
      <c r="AF24" s="400" t="n">
        <v>0</v>
      </c>
      <c r="AG24" s="400" t="n">
        <v>0</v>
      </c>
      <c r="AH24" s="400" t="n">
        <v>151989</v>
      </c>
      <c r="AI24" s="400" t="n">
        <v>0</v>
      </c>
      <c r="AJ24" s="400" t="n">
        <v>227354</v>
      </c>
      <c r="AK24" s="400" t="n">
        <v>0</v>
      </c>
      <c r="AL24" s="400" t="n">
        <v>0</v>
      </c>
      <c r="AM24" s="400" t="n">
        <v>250322</v>
      </c>
    </row>
    <row r="25" ht="18" customHeight="1" s="322">
      <c r="A25" s="376" t="inlineStr">
        <is>
          <t>諸謝金</t>
        </is>
      </c>
      <c r="B25" s="343" t="n"/>
      <c r="C25" s="377">
        <f>IF(C$2&lt;=締月,SUMIFS(入力_業務!$N$5:$N$1604,入力_業務!$O$5:$O$1604,"諸謝金",入力_業務!$P$5:$P$1604,C$2,入力_業務!$I$5:$I$1604,"確認済"),AA25)</f>
        <v>0</v>
      </c>
      <c r="D25" s="377">
        <f>IF(D$2&lt;=締月,SUMIFS(入力_業務!$N$5:$N$1604,入力_業務!$O$5:$O$1604,"諸謝金",入力_業務!$P$5:$P$1604,D$2,入力_業務!$I$5:$I$1604,"確認済"),AB25)</f>
        <v>0</v>
      </c>
      <c r="E25" s="377">
        <f>IF(E$2&lt;=締月,SUMIFS(入力_業務!$N$5:$N$1604,入力_業務!$O$5:$O$1604,"諸謝金",入力_業務!$P$5:$P$1604,E$2,入力_業務!$I$5:$I$1604,"確認済"),AC25)</f>
        <v>0</v>
      </c>
      <c r="F25" s="377">
        <f>IF(F$2&lt;=締月,SUMIFS(入力_業務!$N$5:$N$1604,入力_業務!$O$5:$O$1604,"諸謝金",入力_業務!$P$5:$P$1604,F$2,入力_業務!$I$5:$I$1604,"確認済"),AD25)</f>
        <v>0</v>
      </c>
      <c r="G25" s="377">
        <f>IF(G$2&lt;=締月,SUMIFS(入力_業務!$N$5:$N$1604,入力_業務!$O$5:$O$1604,"諸謝金",入力_業務!$P$5:$P$1604,G$2,入力_業務!$I$5:$I$1604,"確認済"),AE25)</f>
        <v>0</v>
      </c>
      <c r="H25" s="377">
        <f>IF(H$2&lt;=締月,SUMIFS(入力_業務!$N$5:$N$1604,入力_業務!$O$5:$O$1604,"諸謝金",入力_業務!$P$5:$P$1604,H$2,入力_業務!$I$5:$I$1604,"確認済"),AF25)</f>
        <v>0</v>
      </c>
      <c r="I25" s="377">
        <f>IF(I$2&lt;=締月,SUMIFS(入力_業務!$N$5:$N$1604,入力_業務!$O$5:$O$1604,"諸謝金",入力_業務!$P$5:$P$1604,I$2,入力_業務!$I$5:$I$1604,"確認済"),AG25)</f>
        <v>0</v>
      </c>
      <c r="J25" s="377">
        <f>IF(J$2&lt;=締月,SUMIFS(入力_業務!$N$5:$N$1604,入力_業務!$O$5:$O$1604,"諸謝金",入力_業務!$P$5:$P$1604,J$2,入力_業務!$I$5:$I$1604,"確認済"),AH25)</f>
        <v>0</v>
      </c>
      <c r="K25" s="377">
        <f>IF(K$2&lt;=締月,SUMIFS(入力_業務!$N$5:$N$1604,入力_業務!$O$5:$O$1604,"諸謝金",入力_業務!$P$5:$P$1604,K$2,入力_業務!$I$5:$I$1604,"確認済"),AI25)</f>
        <v>0</v>
      </c>
      <c r="L25" s="377">
        <f>IF(L$2&lt;=締月,SUMIFS(入力_業務!$N$5:$N$1604,入力_業務!$O$5:$O$1604,"諸謝金",入力_業務!$P$5:$P$1604,L$2,入力_業務!$I$5:$I$1604,"確認済"),AJ25)</f>
        <v>0</v>
      </c>
      <c r="M25" s="377">
        <f>IF(M$2&lt;=締月,SUMIFS(入力_業務!$N$5:$N$1604,入力_業務!$O$5:$O$1604,"諸謝金",入力_業務!$P$5:$P$1604,M$2,入力_業務!$I$5:$I$1604,"確認済"),AK25)</f>
        <v>0</v>
      </c>
      <c r="N25" s="377">
        <f>IF(N$2&lt;=締月,SUMIFS(入力_業務!$N$5:$N$1604,入力_業務!$O$5:$O$1604,"諸謝金",入力_業務!$P$5:$P$1604,N$2,入力_業務!$I$5:$I$1604,"確認済"),AL25)</f>
        <v>0</v>
      </c>
      <c r="O25" s="377">
        <f>IF(O$2&lt;=締月,SUMIFS(入力_業務!$N$5:$N$1604,入力_業務!$O$5:$O$1604,"諸謝金",入力_業務!$P$5:$P$1604,O$2,入力_業務!$I$5:$I$1604,"確認済"),AM25)</f>
        <v>0</v>
      </c>
      <c r="P25" s="377">
        <f>SUM(C25:O25)</f>
        <v>0</v>
      </c>
      <c r="Q25" s="398" t="n">
        <v>0</v>
      </c>
      <c r="R25" s="393" t="n"/>
      <c r="S25" s="377">
        <f>SUM(Q25:R25)</f>
        <v>0</v>
      </c>
      <c r="T25" s="377">
        <f>S25-P25</f>
        <v>0</v>
      </c>
      <c r="U25" s="373" t="n"/>
      <c r="V25" s="378">
        <f>SUMIF($C$2:$N$2,"&lt;="&amp;締月,C25:N25)</f>
        <v>0</v>
      </c>
      <c r="W25" s="378">
        <f>S25-V25</f>
        <v>0</v>
      </c>
      <c r="X25" s="399" t="n">
        <v>1</v>
      </c>
      <c r="AA25" s="400" t="n">
        <v>0</v>
      </c>
      <c r="AB25" s="400" t="n">
        <v>0</v>
      </c>
      <c r="AC25" s="400" t="n">
        <v>0</v>
      </c>
      <c r="AD25" s="400" t="n">
        <v>0</v>
      </c>
      <c r="AE25" s="400" t="n">
        <v>0</v>
      </c>
      <c r="AF25" s="400" t="n">
        <v>0</v>
      </c>
      <c r="AG25" s="400" t="n">
        <v>0</v>
      </c>
      <c r="AH25" s="400" t="n">
        <v>0</v>
      </c>
      <c r="AI25" s="400" t="n">
        <v>0</v>
      </c>
      <c r="AJ25" s="400" t="n">
        <v>0</v>
      </c>
      <c r="AK25" s="400" t="n">
        <v>0</v>
      </c>
      <c r="AL25" s="400" t="n">
        <v>0</v>
      </c>
      <c r="AM25" s="400" t="n">
        <v>0</v>
      </c>
    </row>
    <row r="26" ht="18" customHeight="1" s="322">
      <c r="A26" s="376" t="inlineStr">
        <is>
          <t>負担金</t>
        </is>
      </c>
      <c r="B26" s="376" t="inlineStr">
        <is>
          <t>会議出席負担金等</t>
        </is>
      </c>
      <c r="C26" s="377">
        <f>IF(C$2&lt;=締月,SUMIFS(入力_業務!$N$5:$N$1604,入力_業務!$O$5:$O$1604,"会議出席負担金等",入力_業務!$P$5:$P$1604,C$2,入力_業務!$I$5:$I$1604,"確認済"),AA26)</f>
        <v>0</v>
      </c>
      <c r="D26" s="377">
        <f>IF(D$2&lt;=締月,SUMIFS(入力_業務!$N$5:$N$1604,入力_業務!$O$5:$O$1604,"会議出席負担金等",入力_業務!$P$5:$P$1604,D$2,入力_業務!$I$5:$I$1604,"確認済"),AB26)</f>
        <v>0</v>
      </c>
      <c r="E26" s="377">
        <f>IF(E$2&lt;=締月,SUMIFS(入力_業務!$N$5:$N$1604,入力_業務!$O$5:$O$1604,"会議出席負担金等",入力_業務!$P$5:$P$1604,E$2,入力_業務!$I$5:$I$1604,"確認済"),AC26)</f>
        <v>0</v>
      </c>
      <c r="F26" s="377">
        <f>IF(F$2&lt;=締月,SUMIFS(入力_業務!$N$5:$N$1604,入力_業務!$O$5:$O$1604,"会議出席負担金等",入力_業務!$P$5:$P$1604,F$2,入力_業務!$I$5:$I$1604,"確認済"),AD26)</f>
        <v>0</v>
      </c>
      <c r="G26" s="377">
        <f>IF(G$2&lt;=締月,SUMIFS(入力_業務!$N$5:$N$1604,入力_業務!$O$5:$O$1604,"会議出席負担金等",入力_業務!$P$5:$P$1604,G$2,入力_業務!$I$5:$I$1604,"確認済"),AE26)</f>
        <v>0</v>
      </c>
      <c r="H26" s="377">
        <f>IF(H$2&lt;=締月,SUMIFS(入力_業務!$N$5:$N$1604,入力_業務!$O$5:$O$1604,"会議出席負担金等",入力_業務!$P$5:$P$1604,H$2,入力_業務!$I$5:$I$1604,"確認済"),AF26)</f>
        <v>0</v>
      </c>
      <c r="I26" s="377">
        <f>IF(I$2&lt;=締月,SUMIFS(入力_業務!$N$5:$N$1604,入力_業務!$O$5:$O$1604,"会議出席負担金等",入力_業務!$P$5:$P$1604,I$2,入力_業務!$I$5:$I$1604,"確認済"),AG26)</f>
        <v>0</v>
      </c>
      <c r="J26" s="377">
        <f>IF(J$2&lt;=締月,SUMIFS(入力_業務!$N$5:$N$1604,入力_業務!$O$5:$O$1604,"会議出席負担金等",入力_業務!$P$5:$P$1604,J$2,入力_業務!$I$5:$I$1604,"確認済"),AH26)</f>
        <v>0</v>
      </c>
      <c r="K26" s="377">
        <f>IF(K$2&lt;=締月,SUMIFS(入力_業務!$N$5:$N$1604,入力_業務!$O$5:$O$1604,"会議出席負担金等",入力_業務!$P$5:$P$1604,K$2,入力_業務!$I$5:$I$1604,"確認済"),AI26)</f>
        <v>0</v>
      </c>
      <c r="L26" s="377">
        <f>IF(L$2&lt;=締月,SUMIFS(入力_業務!$N$5:$N$1604,入力_業務!$O$5:$O$1604,"会議出席負担金等",入力_業務!$P$5:$P$1604,L$2,入力_業務!$I$5:$I$1604,"確認済"),AJ26)</f>
        <v>0</v>
      </c>
      <c r="M26" s="377">
        <f>IF(M$2&lt;=締月,SUMIFS(入力_業務!$N$5:$N$1604,入力_業務!$O$5:$O$1604,"会議出席負担金等",入力_業務!$P$5:$P$1604,M$2,入力_業務!$I$5:$I$1604,"確認済"),AK26)</f>
        <v>0</v>
      </c>
      <c r="N26" s="377">
        <f>IF(N$2&lt;=締月,SUMIFS(入力_業務!$N$5:$N$1604,入力_業務!$O$5:$O$1604,"会議出席負担金等",入力_業務!$P$5:$P$1604,N$2,入力_業務!$I$5:$I$1604,"確認済"),AL26)</f>
        <v>0</v>
      </c>
      <c r="O26" s="377">
        <f>IF(O$2&lt;=締月,SUMIFS(入力_業務!$N$5:$N$1604,入力_業務!$O$5:$O$1604,"会議出席負担金等",入力_業務!$P$5:$P$1604,O$2,入力_業務!$I$5:$I$1604,"確認済"),AM26)</f>
        <v>0</v>
      </c>
      <c r="P26" s="377">
        <f>SUM(C26:O26)</f>
        <v>0</v>
      </c>
      <c r="Q26" s="398" t="n">
        <v>0</v>
      </c>
      <c r="R26" s="393" t="n"/>
      <c r="S26" s="377">
        <f>SUM(Q26:R26)</f>
        <v>0</v>
      </c>
      <c r="T26" s="377">
        <f>S26-P26</f>
        <v>0</v>
      </c>
      <c r="U26" s="373" t="n"/>
      <c r="V26" s="378">
        <f>SUMIF($C$2:$N$2,"&lt;="&amp;締月,C26:N26)</f>
        <v>0</v>
      </c>
      <c r="W26" s="378">
        <f>S26-V26</f>
        <v>0</v>
      </c>
      <c r="X26" s="399" t="n">
        <v>1</v>
      </c>
      <c r="AA26" s="400" t="n">
        <v>0</v>
      </c>
      <c r="AB26" s="400" t="n">
        <v>0</v>
      </c>
      <c r="AC26" s="400" t="n">
        <v>0</v>
      </c>
      <c r="AD26" s="400" t="n">
        <v>0</v>
      </c>
      <c r="AE26" s="400" t="n">
        <v>0</v>
      </c>
      <c r="AF26" s="400" t="n">
        <v>0</v>
      </c>
      <c r="AG26" s="400" t="n">
        <v>0</v>
      </c>
      <c r="AH26" s="400" t="n">
        <v>0</v>
      </c>
      <c r="AI26" s="400" t="n">
        <v>0</v>
      </c>
      <c r="AJ26" s="400" t="n">
        <v>0</v>
      </c>
      <c r="AK26" s="400" t="n">
        <v>0</v>
      </c>
      <c r="AL26" s="400" t="n">
        <v>0</v>
      </c>
      <c r="AM26" s="400" t="n">
        <v>0</v>
      </c>
    </row>
    <row r="27" ht="18" customHeight="1" s="322">
      <c r="A27" s="343" t="n"/>
      <c r="B27" s="376" t="inlineStr">
        <is>
          <t>互助会費</t>
        </is>
      </c>
      <c r="C27" s="377">
        <f>IF(C$2&lt;=締月,SUMIFS(入力_業務!$N$5:$N$1604,入力_業務!$O$5:$O$1604,"互助会費",入力_業務!$P$5:$P$1604,C$2,入力_業務!$I$5:$I$1604,"確認済"),AA27)</f>
        <v>466</v>
      </c>
      <c r="D27" s="377">
        <f>IF(D$2&lt;=締月,SUMIFS(入力_業務!$N$5:$N$1604,入力_業務!$O$5:$O$1604,"互助会費",入力_業務!$P$5:$P$1604,D$2,入力_業務!$I$5:$I$1604,"確認済"),AB27)</f>
        <v>466</v>
      </c>
      <c r="E27" s="377">
        <f>IF(E$2&lt;=締月,SUMIFS(入力_業務!$N$5:$N$1604,入力_業務!$O$5:$O$1604,"互助会費",入力_業務!$P$5:$P$1604,E$2,入力_業務!$I$5:$I$1604,"確認済"),AC27)</f>
        <v>466</v>
      </c>
      <c r="F27" s="377">
        <f>IF(F$2&lt;=締月,SUMIFS(入力_業務!$N$5:$N$1604,入力_業務!$O$5:$O$1604,"互助会費",入力_業務!$P$5:$P$1604,F$2,入力_業務!$I$5:$I$1604,"確認済"),AD27)</f>
        <v>466</v>
      </c>
      <c r="G27" s="377">
        <f>IF(G$2&lt;=締月,SUMIFS(入力_業務!$N$5:$N$1604,入力_業務!$O$5:$O$1604,"互助会費",入力_業務!$P$5:$P$1604,G$2,入力_業務!$I$5:$I$1604,"確認済"),AE27)</f>
        <v>466</v>
      </c>
      <c r="H27" s="377">
        <f>IF(H$2&lt;=締月,SUMIFS(入力_業務!$N$5:$N$1604,入力_業務!$O$5:$O$1604,"互助会費",入力_業務!$P$5:$P$1604,H$2,入力_業務!$I$5:$I$1604,"確認済"),AF27)</f>
        <v>466</v>
      </c>
      <c r="I27" s="377">
        <f>IF(I$2&lt;=締月,SUMIFS(入力_業務!$N$5:$N$1604,入力_業務!$O$5:$O$1604,"互助会費",入力_業務!$P$5:$P$1604,I$2,入力_業務!$I$5:$I$1604,"確認済"),AG27)</f>
        <v>535</v>
      </c>
      <c r="J27" s="377">
        <f>IF(J$2&lt;=締月,SUMIFS(入力_業務!$N$5:$N$1604,入力_業務!$O$5:$O$1604,"互助会費",入力_業務!$P$5:$P$1604,J$2,入力_業務!$I$5:$I$1604,"確認済"),AH27)</f>
        <v>535</v>
      </c>
      <c r="K27" s="377">
        <f>IF(K$2&lt;=締月,SUMIFS(入力_業務!$N$5:$N$1604,入力_業務!$O$5:$O$1604,"互助会費",入力_業務!$P$5:$P$1604,K$2,入力_業務!$I$5:$I$1604,"確認済"),AI27)</f>
        <v>535</v>
      </c>
      <c r="L27" s="377">
        <f>IF(L$2&lt;=締月,SUMIFS(入力_業務!$N$5:$N$1604,入力_業務!$O$5:$O$1604,"互助会費",入力_業務!$P$5:$P$1604,L$2,入力_業務!$I$5:$I$1604,"確認済"),AJ27)</f>
        <v>725</v>
      </c>
      <c r="M27" s="377">
        <f>IF(M$2&lt;=締月,SUMIFS(入力_業務!$N$5:$N$1604,入力_業務!$O$5:$O$1604,"互助会費",入力_業務!$P$5:$P$1604,M$2,入力_業務!$I$5:$I$1604,"確認済"),AK27)</f>
        <v>554</v>
      </c>
      <c r="N27" s="377">
        <f>IF(N$2&lt;=締月,SUMIFS(入力_業務!$N$5:$N$1604,入力_業務!$O$5:$O$1604,"互助会費",入力_業務!$P$5:$P$1604,N$2,入力_業務!$I$5:$I$1604,"確認済"),AL27)</f>
        <v>554</v>
      </c>
      <c r="O27" s="377">
        <f>IF(O$2&lt;=締月,SUMIFS(入力_業務!$N$5:$N$1604,入力_業務!$O$5:$O$1604,"互助会費",入力_業務!$P$5:$P$1604,O$2,入力_業務!$I$5:$I$1604,"確認済"),AM27)</f>
        <v>0</v>
      </c>
      <c r="P27" s="377">
        <f>SUM(C27:O27)</f>
        <v>6234</v>
      </c>
      <c r="Q27" s="398" t="n">
        <v>1155000</v>
      </c>
      <c r="R27" s="401" t="n"/>
      <c r="S27" s="377">
        <f>SUM(Q27:R27)</f>
        <v>1155000</v>
      </c>
      <c r="T27" s="377">
        <f>S27-P27-P28-P29-P30-P31</f>
        <v>125916</v>
      </c>
      <c r="U27" s="373" t="n"/>
      <c r="V27" s="378">
        <f>SUMIF($C$2:$N$2,"&lt;="&amp;締月,C27:N27)</f>
        <v>2796</v>
      </c>
      <c r="W27" s="373" t="n"/>
      <c r="X27" s="399" t="n">
        <v>1</v>
      </c>
      <c r="AA27" s="400" t="n">
        <v>466</v>
      </c>
      <c r="AB27" s="400" t="n">
        <v>466</v>
      </c>
      <c r="AC27" s="400" t="n">
        <v>466</v>
      </c>
      <c r="AD27" s="400" t="n">
        <v>466</v>
      </c>
      <c r="AE27" s="400" t="n">
        <v>466</v>
      </c>
      <c r="AF27" s="400" t="n">
        <v>466</v>
      </c>
      <c r="AG27" s="400" t="n">
        <v>535</v>
      </c>
      <c r="AH27" s="400" t="n">
        <v>535</v>
      </c>
      <c r="AI27" s="400" t="n">
        <v>535</v>
      </c>
      <c r="AJ27" s="400" t="n">
        <v>725</v>
      </c>
      <c r="AK27" s="400" t="n">
        <v>554</v>
      </c>
      <c r="AL27" s="400" t="n">
        <v>554</v>
      </c>
      <c r="AM27" s="400" t="n">
        <v>0</v>
      </c>
    </row>
    <row r="28" ht="18" customHeight="1" s="322">
      <c r="A28" s="343" t="n"/>
      <c r="B28" s="376" t="inlineStr">
        <is>
          <t>協会けんぽ保険料等</t>
        </is>
      </c>
      <c r="C28" s="377">
        <f>IF(C$2&lt;=締月,SUMIFS(入力_業務!$N$5:$N$1604,入力_業務!$O$5:$O$1604,"協会けんぽ保険料等",入力_業務!$P$5:$P$1604,C$2,入力_業務!$I$5:$I$1604,"確認済"),AA28)</f>
        <v>0</v>
      </c>
      <c r="D28" s="377">
        <f>IF(D$2&lt;=締月,SUMIFS(入力_業務!$N$5:$N$1604,入力_業務!$O$5:$O$1604,"協会けんぽ保険料等",入力_業務!$P$5:$P$1604,D$2,入力_業務!$I$5:$I$1604,"確認済"),AB28)</f>
        <v>0</v>
      </c>
      <c r="E28" s="377">
        <f>IF(E$2&lt;=締月,SUMIFS(入力_業務!$N$5:$N$1604,入力_業務!$O$5:$O$1604,"協会けんぽ保険料等",入力_業務!$P$5:$P$1604,E$2,入力_業務!$I$5:$I$1604,"確認済"),AC28)</f>
        <v>0</v>
      </c>
      <c r="F28" s="377">
        <f>IF(F$2&lt;=締月,SUMIFS(入力_業務!$N$5:$N$1604,入力_業務!$O$5:$O$1604,"協会けんぽ保険料等",入力_業務!$P$5:$P$1604,F$2,入力_業務!$I$5:$I$1604,"確認済"),AD28)</f>
        <v>0</v>
      </c>
      <c r="G28" s="377">
        <f>IF(G$2&lt;=締月,SUMIFS(入力_業務!$N$5:$N$1604,入力_業務!$O$5:$O$1604,"協会けんぽ保険料等",入力_業務!$P$5:$P$1604,G$2,入力_業務!$I$5:$I$1604,"確認済"),AE28)</f>
        <v>0</v>
      </c>
      <c r="H28" s="377">
        <f>IF(H$2&lt;=締月,SUMIFS(入力_業務!$N$5:$N$1604,入力_業務!$O$5:$O$1604,"協会けんぽ保険料等",入力_業務!$P$5:$P$1604,H$2,入力_業務!$I$5:$I$1604,"確認済"),AF28)</f>
        <v>0</v>
      </c>
      <c r="I28" s="377">
        <f>IF(I$2&lt;=締月,SUMIFS(入力_業務!$N$5:$N$1604,入力_業務!$O$5:$O$1604,"協会けんぽ保険料等",入力_業務!$P$5:$P$1604,I$2,入力_業務!$I$5:$I$1604,"確認済"),AG28)</f>
        <v>0</v>
      </c>
      <c r="J28" s="377">
        <f>IF(J$2&lt;=締月,SUMIFS(入力_業務!$N$5:$N$1604,入力_業務!$O$5:$O$1604,"協会けんぽ保険料等",入力_業務!$P$5:$P$1604,J$2,入力_業務!$I$5:$I$1604,"確認済"),AH28)</f>
        <v>0</v>
      </c>
      <c r="K28" s="377">
        <f>IF(K$2&lt;=締月,SUMIFS(入力_業務!$N$5:$N$1604,入力_業務!$O$5:$O$1604,"協会けんぽ保険料等",入力_業務!$P$5:$P$1604,K$2,入力_業務!$I$5:$I$1604,"確認済"),AI28)</f>
        <v>0</v>
      </c>
      <c r="L28" s="377">
        <f>IF(L$2&lt;=締月,SUMIFS(入力_業務!$N$5:$N$1604,入力_業務!$O$5:$O$1604,"協会けんぽ保険料等",入力_業務!$P$5:$P$1604,L$2,入力_業務!$I$5:$I$1604,"確認済"),AJ28)</f>
        <v>0</v>
      </c>
      <c r="M28" s="377">
        <f>IF(M$2&lt;=締月,SUMIFS(入力_業務!$N$5:$N$1604,入力_業務!$O$5:$O$1604,"協会けんぽ保険料等",入力_業務!$P$5:$P$1604,M$2,入力_業務!$I$5:$I$1604,"確認済"),AK28)</f>
        <v>0</v>
      </c>
      <c r="N28" s="377">
        <f>IF(N$2&lt;=締月,SUMIFS(入力_業務!$N$5:$N$1604,入力_業務!$O$5:$O$1604,"協会けんぽ保険料等",入力_業務!$P$5:$P$1604,N$2,入力_業務!$I$5:$I$1604,"確認済"),AL28)</f>
        <v>0</v>
      </c>
      <c r="O28" s="377">
        <f>IF(O$2&lt;=締月,SUMIFS(入力_業務!$N$5:$N$1604,入力_業務!$O$5:$O$1604,"協会けんぽ保険料等",入力_業務!$P$5:$P$1604,O$2,入力_業務!$I$5:$I$1604,"確認済"),AM28)</f>
        <v>0</v>
      </c>
      <c r="P28" s="377">
        <f>SUM(C28:O28)</f>
        <v>0</v>
      </c>
      <c r="Q28" s="343" t="n"/>
      <c r="R28" s="343" t="n"/>
      <c r="S28" s="343" t="n"/>
      <c r="T28" s="343" t="n"/>
      <c r="U28" s="373" t="n"/>
      <c r="V28" s="378">
        <f>SUMIF($C$2:$N$2,"&lt;="&amp;締月,C28:N28)</f>
        <v>0</v>
      </c>
      <c r="W28" s="373" t="n"/>
      <c r="X28" s="399" t="n">
        <v>1</v>
      </c>
      <c r="AA28" s="400" t="n"/>
      <c r="AB28" s="400" t="n"/>
      <c r="AC28" s="400" t="n"/>
      <c r="AD28" s="400" t="n"/>
      <c r="AE28" s="400" t="n"/>
      <c r="AF28" s="400" t="n"/>
      <c r="AG28" s="400" t="n"/>
      <c r="AH28" s="400" t="n"/>
      <c r="AI28" s="400" t="n"/>
      <c r="AJ28" s="400" t="n"/>
      <c r="AK28" s="400" t="n"/>
      <c r="AL28" s="400" t="n"/>
      <c r="AM28" s="400" t="n"/>
    </row>
    <row r="29" ht="18" customHeight="1" s="322">
      <c r="A29" s="343" t="n"/>
      <c r="B29" s="376" t="inlineStr">
        <is>
          <t>共済負担金等</t>
        </is>
      </c>
      <c r="C29" s="377">
        <f>IF(C$2&lt;=締月,SUMIFS(入力_業務!$N$5:$N$1604,入力_業務!$O$5:$O$1604,"共済負担金等",入力_業務!$P$5:$P$1604,C$2,入力_業務!$I$5:$I$1604,"確認済"),AA29)</f>
        <v>22035</v>
      </c>
      <c r="D29" s="377">
        <f>IF(D$2&lt;=締月,SUMIFS(入力_業務!$N$5:$N$1604,入力_業務!$O$5:$O$1604,"共済負担金等",入力_業務!$P$5:$P$1604,D$2,入力_業務!$I$5:$I$1604,"確認済"),AB29)</f>
        <v>22035</v>
      </c>
      <c r="E29" s="377">
        <f>IF(E$2&lt;=締月,SUMIFS(入力_業務!$N$5:$N$1604,入力_業務!$O$5:$O$1604,"共済負担金等",入力_業務!$P$5:$P$1604,E$2,入力_業務!$I$5:$I$1604,"確認済"),AC29)</f>
        <v>71165</v>
      </c>
      <c r="F29" s="377">
        <f>IF(F$2&lt;=締月,SUMIFS(入力_業務!$N$5:$N$1604,入力_業務!$O$5:$O$1604,"共済負担金等",入力_業務!$P$5:$P$1604,F$2,入力_業務!$I$5:$I$1604,"確認済"),AD29)</f>
        <v>22035</v>
      </c>
      <c r="G29" s="377">
        <f>IF(G$2&lt;=締月,SUMIFS(入力_業務!$N$5:$N$1604,入力_業務!$O$5:$O$1604,"共済負担金等",入力_業務!$P$5:$P$1604,G$2,入力_業務!$I$5:$I$1604,"確認済"),AE29)</f>
        <v>22035</v>
      </c>
      <c r="H29" s="377">
        <f>IF(H$2&lt;=締月,SUMIFS(入力_業務!$N$5:$N$1604,入力_業務!$O$5:$O$1604,"共済負担金等",入力_業務!$P$5:$P$1604,H$2,入力_業務!$I$5:$I$1604,"確認済"),AF29)</f>
        <v>20974</v>
      </c>
      <c r="I29" s="377">
        <f>IF(I$2&lt;=締月,SUMIFS(入力_業務!$N$5:$N$1604,入力_業務!$O$5:$O$1604,"共済負担金等",入力_業務!$P$5:$P$1604,I$2,入力_業務!$I$5:$I$1604,"確認済"),AG29)</f>
        <v>22835</v>
      </c>
      <c r="J29" s="377">
        <f>IF(J$2&lt;=締月,SUMIFS(入力_業務!$N$5:$N$1604,入力_業務!$O$5:$O$1604,"共済負担金等",入力_業務!$P$5:$P$1604,J$2,入力_業務!$I$5:$I$1604,"確認済"),AH29)</f>
        <v>22835</v>
      </c>
      <c r="K29" s="377">
        <f>IF(K$2&lt;=締月,SUMIFS(入力_業務!$N$5:$N$1604,入力_業務!$O$5:$O$1604,"共済負担金等",入力_業務!$P$5:$P$1604,K$2,入力_業務!$I$5:$I$1604,"確認済"),AI29)</f>
        <v>60083</v>
      </c>
      <c r="L29" s="377">
        <f>IF(L$2&lt;=締月,SUMIFS(入力_業務!$N$5:$N$1604,入力_業務!$O$5:$O$1604,"共済負担金等",入力_業務!$P$5:$P$1604,L$2,入力_業務!$I$5:$I$1604,"確認済"),AJ29)</f>
        <v>25338</v>
      </c>
      <c r="M29" s="377">
        <f>IF(M$2&lt;=締月,SUMIFS(入力_業務!$N$5:$N$1604,入力_業務!$O$5:$O$1604,"共済負担金等",入力_業務!$P$5:$P$1604,M$2,入力_業務!$I$5:$I$1604,"確認済"),AK29)</f>
        <v>22835</v>
      </c>
      <c r="N29" s="377">
        <f>IF(N$2&lt;=締月,SUMIFS(入力_業務!$N$5:$N$1604,入力_業務!$O$5:$O$1604,"共済負担金等",入力_業務!$P$5:$P$1604,N$2,入力_業務!$I$5:$I$1604,"確認済"),AL29)</f>
        <v>26637</v>
      </c>
      <c r="O29" s="377">
        <f>IF(O$2&lt;=締月,SUMIFS(入力_業務!$N$5:$N$1604,入力_業務!$O$5:$O$1604,"共済負担金等",入力_業務!$P$5:$P$1604,O$2,入力_業務!$I$5:$I$1604,"確認済"),AM29)</f>
        <v>0</v>
      </c>
      <c r="P29" s="377">
        <f>SUM(C29:O29)</f>
        <v>360842</v>
      </c>
      <c r="Q29" s="343" t="n"/>
      <c r="R29" s="343" t="n"/>
      <c r="S29" s="343" t="n"/>
      <c r="T29" s="343" t="n"/>
      <c r="U29" s="373" t="n"/>
      <c r="V29" s="378">
        <f>SUMIF($C$2:$N$2,"&lt;="&amp;締月,C29:N29)</f>
        <v>180279</v>
      </c>
      <c r="W29" s="373" t="n"/>
      <c r="X29" s="399" t="n">
        <v>1</v>
      </c>
      <c r="AA29" s="400" t="n">
        <v>22035</v>
      </c>
      <c r="AB29" s="400" t="n">
        <v>22035</v>
      </c>
      <c r="AC29" s="400" t="n">
        <v>71165</v>
      </c>
      <c r="AD29" s="400" t="n">
        <v>22035</v>
      </c>
      <c r="AE29" s="400" t="n">
        <v>22035</v>
      </c>
      <c r="AF29" s="400" t="n">
        <v>20974</v>
      </c>
      <c r="AG29" s="400" t="n">
        <v>22835</v>
      </c>
      <c r="AH29" s="400" t="n">
        <v>22835</v>
      </c>
      <c r="AI29" s="400" t="n">
        <v>60083</v>
      </c>
      <c r="AJ29" s="400" t="n">
        <v>25338</v>
      </c>
      <c r="AK29" s="400" t="n">
        <v>22835</v>
      </c>
      <c r="AL29" s="400" t="n">
        <v>26637</v>
      </c>
      <c r="AM29" s="400" t="n"/>
    </row>
    <row r="30" ht="18" customHeight="1" s="322">
      <c r="A30" s="343" t="n"/>
      <c r="B30" s="376" t="inlineStr">
        <is>
          <t>厚年負担金等</t>
        </is>
      </c>
      <c r="C30" s="377">
        <f>IF(C$2&lt;=締月,SUMIFS(入力_業務!$N$5:$N$1604,入力_業務!$O$5:$O$1604,"厚年負担金等",入力_業務!$P$5:$P$1604,C$2,入力_業務!$I$5:$I$1604,"確認済"),AA30)</f>
        <v>0</v>
      </c>
      <c r="D30" s="377">
        <f>IF(D$2&lt;=締月,SUMIFS(入力_業務!$N$5:$N$1604,入力_業務!$O$5:$O$1604,"厚年負担金等",入力_業務!$P$5:$P$1604,D$2,入力_業務!$I$5:$I$1604,"確認済"),AB30)</f>
        <v>0</v>
      </c>
      <c r="E30" s="377">
        <f>IF(E$2&lt;=締月,SUMIFS(入力_業務!$N$5:$N$1604,入力_業務!$O$5:$O$1604,"厚年負担金等",入力_業務!$P$5:$P$1604,E$2,入力_業務!$I$5:$I$1604,"確認済"),AC30)</f>
        <v>74178</v>
      </c>
      <c r="F30" s="377">
        <f>IF(F$2&lt;=締月,SUMIFS(入力_業務!$N$5:$N$1604,入力_業務!$O$5:$O$1604,"厚年負担金等",入力_業務!$P$5:$P$1604,F$2,入力_業務!$I$5:$I$1604,"確認済"),AD30)</f>
        <v>37089</v>
      </c>
      <c r="G30" s="377">
        <f>IF(G$2&lt;=締月,SUMIFS(入力_業務!$N$5:$N$1604,入力_業務!$O$5:$O$1604,"厚年負担金等",入力_業務!$P$5:$P$1604,G$2,入力_業務!$I$5:$I$1604,"確認済"),AE30)</f>
        <v>119541</v>
      </c>
      <c r="H30" s="377">
        <f>IF(H$2&lt;=締月,SUMIFS(入力_業務!$N$5:$N$1604,入力_業務!$O$5:$O$1604,"厚年負担金等",入力_業務!$P$5:$P$1604,H$2,入力_業務!$I$5:$I$1604,"確認済"),AF30)</f>
        <v>37089</v>
      </c>
      <c r="I30" s="377">
        <f>IF(I$2&lt;=締月,SUMIFS(入力_業務!$N$5:$N$1604,入力_業務!$O$5:$O$1604,"厚年負担金等",入力_業務!$P$5:$P$1604,I$2,入力_業務!$I$5:$I$1604,"確認済"),AG30)</f>
        <v>37089</v>
      </c>
      <c r="J30" s="377">
        <f>IF(J$2&lt;=締月,SUMIFS(入力_業務!$N$5:$N$1604,入力_業務!$O$5:$O$1604,"厚年負担金等",入力_業務!$P$5:$P$1604,J$2,入力_業務!$I$5:$I$1604,"確認済"),AH30)</f>
        <v>0</v>
      </c>
      <c r="K30" s="377">
        <f>IF(K$2&lt;=締月,SUMIFS(入力_業務!$N$5:$N$1604,入力_業務!$O$5:$O$1604,"厚年負担金等",入力_業務!$P$5:$P$1604,K$2,入力_業務!$I$5:$I$1604,"確認済"),AI30)</f>
        <v>37089</v>
      </c>
      <c r="L30" s="377">
        <f>IF(L$2&lt;=締月,SUMIFS(入力_業務!$N$5:$N$1604,入力_業務!$O$5:$O$1604,"厚年負担金等",入力_業務!$P$5:$P$1604,L$2,入力_業務!$I$5:$I$1604,"確認済"),AJ30)</f>
        <v>37089</v>
      </c>
      <c r="M30" s="377">
        <f>IF(M$2&lt;=締月,SUMIFS(入力_業務!$N$5:$N$1604,入力_業務!$O$5:$O$1604,"厚年負担金等",入力_業務!$P$5:$P$1604,M$2,入力_業務!$I$5:$I$1604,"確認済"),AK30)</f>
        <v>96147</v>
      </c>
      <c r="N30" s="377">
        <f>IF(N$2&lt;=締月,SUMIFS(入力_業務!$N$5:$N$1604,入力_業務!$O$5:$O$1604,"厚年負担金等",入力_業務!$P$5:$P$1604,N$2,入力_業務!$I$5:$I$1604,"確認済"),AL30)</f>
        <v>78076</v>
      </c>
      <c r="O30" s="377">
        <f>IF(O$2&lt;=締月,SUMIFS(入力_業務!$N$5:$N$1604,入力_業務!$O$5:$O$1604,"厚年負担金等",入力_業務!$P$5:$P$1604,O$2,入力_業務!$I$5:$I$1604,"確認済"),AM30)</f>
        <v>37469</v>
      </c>
      <c r="P30" s="377">
        <f>SUM(C30:O30)</f>
        <v>590856</v>
      </c>
      <c r="Q30" s="343" t="n"/>
      <c r="R30" s="343" t="n"/>
      <c r="S30" s="343" t="n"/>
      <c r="T30" s="343" t="n"/>
      <c r="U30" s="373" t="n"/>
      <c r="V30" s="378">
        <f>SUMIF($C$2:$N$2,"&lt;="&amp;締月,C30:N30)</f>
        <v>267897</v>
      </c>
      <c r="W30" s="373" t="n"/>
      <c r="X30" s="399" t="n">
        <v>1</v>
      </c>
      <c r="AA30" s="400" t="n">
        <v>0</v>
      </c>
      <c r="AB30" s="400" t="n">
        <v>0</v>
      </c>
      <c r="AC30" s="400" t="n">
        <v>74178</v>
      </c>
      <c r="AD30" s="400" t="n">
        <v>37089</v>
      </c>
      <c r="AE30" s="400" t="n">
        <v>119541</v>
      </c>
      <c r="AF30" s="400" t="n">
        <v>37089</v>
      </c>
      <c r="AG30" s="400" t="n">
        <v>37089</v>
      </c>
      <c r="AH30" s="400" t="n">
        <v>0</v>
      </c>
      <c r="AI30" s="400" t="n">
        <v>37089</v>
      </c>
      <c r="AJ30" s="400" t="n">
        <v>37089</v>
      </c>
      <c r="AK30" s="400" t="n">
        <v>96147</v>
      </c>
      <c r="AL30" s="400" t="n">
        <v>78076</v>
      </c>
      <c r="AM30" s="400" t="n">
        <v>37469</v>
      </c>
    </row>
    <row r="31" ht="18" customHeight="1" s="322">
      <c r="A31" s="343" t="n"/>
      <c r="B31" s="376" t="inlineStr">
        <is>
          <t>労災・雇用保険料</t>
        </is>
      </c>
      <c r="C31" s="377">
        <f>IF(C$2&lt;=締月,SUMIFS(入力_業務!$N$5:$N$1604,入力_業務!$O$5:$O$1604,"労災・雇用保険料",入力_業務!$P$5:$P$1604,C$2,入力_業務!$I$5:$I$1604,"確認済"),AA31)</f>
        <v>0</v>
      </c>
      <c r="D31" s="377">
        <f>IF(D$2&lt;=締月,SUMIFS(入力_業務!$N$5:$N$1604,入力_業務!$O$5:$O$1604,"労災・雇用保険料",入力_業務!$P$5:$P$1604,D$2,入力_業務!$I$5:$I$1604,"確認済"),AB31)</f>
        <v>0</v>
      </c>
      <c r="E31" s="377">
        <f>IF(E$2&lt;=締月,SUMIFS(入力_業務!$N$5:$N$1604,入力_業務!$O$5:$O$1604,"労災・雇用保険料",入力_業務!$P$5:$P$1604,E$2,入力_業務!$I$5:$I$1604,"確認済"),AC31)</f>
        <v>0</v>
      </c>
      <c r="F31" s="377">
        <f>IF(F$2&lt;=締月,SUMIFS(入力_業務!$N$5:$N$1604,入力_業務!$O$5:$O$1604,"労災・雇用保険料",入力_業務!$P$5:$P$1604,F$2,入力_業務!$I$5:$I$1604,"確認済"),AD31)</f>
        <v>71152</v>
      </c>
      <c r="G31" s="377">
        <f>IF(G$2&lt;=締月,SUMIFS(入力_業務!$N$5:$N$1604,入力_業務!$O$5:$O$1604,"労災・雇用保険料",入力_業務!$P$5:$P$1604,G$2,入力_業務!$I$5:$I$1604,"確認済"),AE31)</f>
        <v>0</v>
      </c>
      <c r="H31" s="377">
        <f>IF(H$2&lt;=締月,SUMIFS(入力_業務!$N$5:$N$1604,入力_業務!$O$5:$O$1604,"労災・雇用保険料",入力_業務!$P$5:$P$1604,H$2,入力_業務!$I$5:$I$1604,"確認済"),AF31)</f>
        <v>0</v>
      </c>
      <c r="I31" s="377">
        <f>IF(I$2&lt;=締月,SUMIFS(入力_業務!$N$5:$N$1604,入力_業務!$O$5:$O$1604,"労災・雇用保険料",入力_業務!$P$5:$P$1604,I$2,入力_業務!$I$5:$I$1604,"確認済"),AG31)</f>
        <v>0</v>
      </c>
      <c r="J31" s="377">
        <f>IF(J$2&lt;=締月,SUMIFS(入力_業務!$N$5:$N$1604,入力_業務!$O$5:$O$1604,"労災・雇用保険料",入力_業務!$P$5:$P$1604,J$2,入力_業務!$I$5:$I$1604,"確認済"),AH31)</f>
        <v>0</v>
      </c>
      <c r="K31" s="377">
        <f>IF(K$2&lt;=締月,SUMIFS(入力_業務!$N$5:$N$1604,入力_業務!$O$5:$O$1604,"労災・雇用保険料",入力_業務!$P$5:$P$1604,K$2,入力_業務!$I$5:$I$1604,"確認済"),AI31)</f>
        <v>0</v>
      </c>
      <c r="L31" s="377">
        <f>IF(L$2&lt;=締月,SUMIFS(入力_業務!$N$5:$N$1604,入力_業務!$O$5:$O$1604,"労災・雇用保険料",入力_業務!$P$5:$P$1604,L$2,入力_業務!$I$5:$I$1604,"確認済"),AJ31)</f>
        <v>0</v>
      </c>
      <c r="M31" s="377">
        <f>IF(M$2&lt;=締月,SUMIFS(入力_業務!$N$5:$N$1604,入力_業務!$O$5:$O$1604,"労災・雇用保険料",入力_業務!$P$5:$P$1604,M$2,入力_業務!$I$5:$I$1604,"確認済"),AK31)</f>
        <v>0</v>
      </c>
      <c r="N31" s="377">
        <f>IF(N$2&lt;=締月,SUMIFS(入力_業務!$N$5:$N$1604,入力_業務!$O$5:$O$1604,"労災・雇用保険料",入力_業務!$P$5:$P$1604,N$2,入力_業務!$I$5:$I$1604,"確認済"),AL31)</f>
        <v>0</v>
      </c>
      <c r="O31" s="377">
        <f>IF(O$2&lt;=締月,SUMIFS(入力_業務!$N$5:$N$1604,入力_業務!$O$5:$O$1604,"労災・雇用保険料",入力_業務!$P$5:$P$1604,O$2,入力_業務!$I$5:$I$1604,"確認済"),AM31)</f>
        <v>0</v>
      </c>
      <c r="P31" s="377">
        <f>SUM(C31:O31)</f>
        <v>71152</v>
      </c>
      <c r="Q31" s="343" t="n"/>
      <c r="R31" s="343" t="n"/>
      <c r="S31" s="343" t="n"/>
      <c r="T31" s="343" t="n"/>
      <c r="U31" s="373" t="n"/>
      <c r="V31" s="378">
        <f>SUMIF($C$2:$N$2,"&lt;="&amp;締月,C31:N31)</f>
        <v>71152</v>
      </c>
      <c r="W31" s="373" t="n"/>
      <c r="X31" s="399" t="n">
        <v>1</v>
      </c>
      <c r="AA31" s="400" t="n"/>
      <c r="AB31" s="400" t="n"/>
      <c r="AC31" s="400" t="n"/>
      <c r="AD31" s="400" t="n">
        <v>71152</v>
      </c>
      <c r="AE31" s="400" t="n"/>
      <c r="AF31" s="400" t="n"/>
      <c r="AG31" s="400" t="n"/>
      <c r="AH31" s="400" t="n"/>
      <c r="AI31" s="400" t="n"/>
      <c r="AJ31" s="400" t="n"/>
      <c r="AK31" s="400" t="n"/>
      <c r="AL31" s="400" t="n"/>
      <c r="AM31" s="400" t="n"/>
    </row>
    <row r="32" ht="18" customHeight="1" s="322">
      <c r="A32" s="343" t="n"/>
      <c r="B32" s="376" t="inlineStr">
        <is>
          <t>県社保協会費</t>
        </is>
      </c>
      <c r="C32" s="377">
        <f>IF(C$2&lt;=締月,SUMIFS(入力_業務!$N$5:$N$1604,入力_業務!$O$5:$O$1604,"県社保協会費",入力_業務!$P$5:$P$1604,C$2,入力_業務!$I$5:$I$1604,"確認済"),AA32)</f>
        <v>0</v>
      </c>
      <c r="D32" s="377">
        <f>IF(D$2&lt;=締月,SUMIFS(入力_業務!$N$5:$N$1604,入力_業務!$O$5:$O$1604,"県社保協会費",入力_業務!$P$5:$P$1604,D$2,入力_業務!$I$5:$I$1604,"確認済"),AB32)</f>
        <v>520</v>
      </c>
      <c r="E32" s="377">
        <f>IF(E$2&lt;=締月,SUMIFS(入力_業務!$N$5:$N$1604,入力_業務!$O$5:$O$1604,"県社保協会費",入力_業務!$P$5:$P$1604,E$2,入力_業務!$I$5:$I$1604,"確認済"),AC32)</f>
        <v>0</v>
      </c>
      <c r="F32" s="377">
        <f>IF(F$2&lt;=締月,SUMIFS(入力_業務!$N$5:$N$1604,入力_業務!$O$5:$O$1604,"県社保協会費",入力_業務!$P$5:$P$1604,F$2,入力_業務!$I$5:$I$1604,"確認済"),AD32)</f>
        <v>0</v>
      </c>
      <c r="G32" s="377">
        <f>IF(G$2&lt;=締月,SUMIFS(入力_業務!$N$5:$N$1604,入力_業務!$O$5:$O$1604,"県社保協会費",入力_業務!$P$5:$P$1604,G$2,入力_業務!$I$5:$I$1604,"確認済"),AE32)</f>
        <v>0</v>
      </c>
      <c r="H32" s="377">
        <f>IF(H$2&lt;=締月,SUMIFS(入力_業務!$N$5:$N$1604,入力_業務!$O$5:$O$1604,"県社保協会費",入力_業務!$P$5:$P$1604,H$2,入力_業務!$I$5:$I$1604,"確認済"),AF32)</f>
        <v>0</v>
      </c>
      <c r="I32" s="377">
        <f>IF(I$2&lt;=締月,SUMIFS(入力_業務!$N$5:$N$1604,入力_業務!$O$5:$O$1604,"県社保協会費",入力_業務!$P$5:$P$1604,I$2,入力_業務!$I$5:$I$1604,"確認済"),AG32)</f>
        <v>0</v>
      </c>
      <c r="J32" s="377">
        <f>IF(J$2&lt;=締月,SUMIFS(入力_業務!$N$5:$N$1604,入力_業務!$O$5:$O$1604,"県社保協会費",入力_業務!$P$5:$P$1604,J$2,入力_業務!$I$5:$I$1604,"確認済"),AH32)</f>
        <v>0</v>
      </c>
      <c r="K32" s="377">
        <f>IF(K$2&lt;=締月,SUMIFS(入力_業務!$N$5:$N$1604,入力_業務!$O$5:$O$1604,"県社保協会費",入力_業務!$P$5:$P$1604,K$2,入力_業務!$I$5:$I$1604,"確認済"),AI32)</f>
        <v>0</v>
      </c>
      <c r="L32" s="377">
        <f>IF(L$2&lt;=締月,SUMIFS(入力_業務!$N$5:$N$1604,入力_業務!$O$5:$O$1604,"県社保協会費",入力_業務!$P$5:$P$1604,L$2,入力_業務!$I$5:$I$1604,"確認済"),AJ32)</f>
        <v>0</v>
      </c>
      <c r="M32" s="377">
        <f>IF(M$2&lt;=締月,SUMIFS(入力_業務!$N$5:$N$1604,入力_業務!$O$5:$O$1604,"県社保協会費",入力_業務!$P$5:$P$1604,M$2,入力_業務!$I$5:$I$1604,"確認済"),AK32)</f>
        <v>0</v>
      </c>
      <c r="N32" s="377">
        <f>IF(N$2&lt;=締月,SUMIFS(入力_業務!$N$5:$N$1604,入力_業務!$O$5:$O$1604,"県社保協会費",入力_業務!$P$5:$P$1604,N$2,入力_業務!$I$5:$I$1604,"確認済"),AL32)</f>
        <v>0</v>
      </c>
      <c r="O32" s="377">
        <f>IF(O$2&lt;=締月,SUMIFS(入力_業務!$N$5:$N$1604,入力_業務!$O$5:$O$1604,"県社保協会費",入力_業務!$P$5:$P$1604,O$2,入力_業務!$I$5:$I$1604,"確認済"),AM32)</f>
        <v>0</v>
      </c>
      <c r="P32" s="377">
        <f>SUM(C32:O32)</f>
        <v>520</v>
      </c>
      <c r="Q32" s="398" t="n">
        <v>1000</v>
      </c>
      <c r="R32" s="393" t="n"/>
      <c r="S32" s="377">
        <f>SUM(Q32:R32)</f>
        <v>1000</v>
      </c>
      <c r="T32" s="377">
        <f>S32-P32</f>
        <v>480</v>
      </c>
      <c r="U32" s="373" t="n"/>
      <c r="V32" s="378">
        <f>SUMIF($C$2:$N$2,"&lt;="&amp;締月,C32:N32)</f>
        <v>520</v>
      </c>
      <c r="W32" s="378">
        <f>S32-V32</f>
        <v>480</v>
      </c>
      <c r="X32" s="399" t="n">
        <v>1</v>
      </c>
      <c r="AA32" s="400" t="n">
        <v>0</v>
      </c>
      <c r="AB32" s="400" t="n">
        <v>520</v>
      </c>
      <c r="AC32" s="400" t="n"/>
      <c r="AD32" s="400" t="n"/>
      <c r="AE32" s="400" t="n"/>
      <c r="AF32" s="400" t="n"/>
      <c r="AG32" s="400" t="n"/>
      <c r="AH32" s="400" t="n"/>
      <c r="AI32" s="400" t="n"/>
      <c r="AJ32" s="400" t="n"/>
      <c r="AK32" s="400" t="n"/>
      <c r="AL32" s="400" t="n"/>
      <c r="AM32" s="400" t="n"/>
    </row>
    <row r="33" ht="18" customHeight="1" s="322">
      <c r="A33" s="379" t="n"/>
      <c r="B33" s="380" t="inlineStr">
        <is>
          <t>計</t>
        </is>
      </c>
      <c r="C33" s="381">
        <f>SUM(C26:C32)</f>
        <v>22501</v>
      </c>
      <c r="D33" s="381">
        <f>SUM(D26:D32)</f>
        <v>23021</v>
      </c>
      <c r="E33" s="381">
        <f>SUM(E26:E32)</f>
        <v>145809</v>
      </c>
      <c r="F33" s="381">
        <f>SUM(F26:F32)</f>
        <v>130742</v>
      </c>
      <c r="G33" s="381">
        <f>SUM(G26:G32)</f>
        <v>142042</v>
      </c>
      <c r="H33" s="381">
        <f>SUM(H26:H32)</f>
        <v>58529</v>
      </c>
      <c r="I33" s="381">
        <f>SUM(I26:I32)</f>
        <v>60459</v>
      </c>
      <c r="J33" s="381">
        <f>SUM(J26:J32)</f>
        <v>23370</v>
      </c>
      <c r="K33" s="381">
        <f>SUM(K26:K32)</f>
        <v>97707</v>
      </c>
      <c r="L33" s="381">
        <f>SUM(L26:L32)</f>
        <v>63152</v>
      </c>
      <c r="M33" s="381">
        <f>SUM(M26:M32)</f>
        <v>119536</v>
      </c>
      <c r="N33" s="381">
        <f>SUM(N26:N32)</f>
        <v>105267</v>
      </c>
      <c r="O33" s="381">
        <f>SUM(O26:O32)</f>
        <v>37469</v>
      </c>
      <c r="P33" s="381">
        <f>SUM(P26:P32)</f>
        <v>1029604</v>
      </c>
      <c r="Q33" s="381">
        <f>SUM(Q26:Q32)</f>
        <v>1156000</v>
      </c>
      <c r="R33" s="397" t="n"/>
      <c r="S33" s="381">
        <f>SUM(Q33:R33)</f>
        <v>1156000</v>
      </c>
      <c r="T33" s="381">
        <f>S33-P33</f>
        <v>126396</v>
      </c>
      <c r="U33" s="373" t="n"/>
      <c r="V33" s="382">
        <f>SUMIF($C$2:$N$2,"&lt;="&amp;締月,C33:N33)</f>
        <v>522644</v>
      </c>
      <c r="W33" s="382">
        <f>S33-V33</f>
        <v>633356</v>
      </c>
    </row>
    <row r="34" ht="18" customHeight="1" s="322">
      <c r="A34" s="376" t="inlineStr">
        <is>
          <t>連合会分担金</t>
        </is>
      </c>
      <c r="B34" s="386" t="n"/>
      <c r="C34" s="377">
        <f>IF(C$2&lt;=締月,SUMIFS(入力_業務!$N$5:$N$1604,入力_業務!$O$5:$O$1604,"連合会分担金",入力_業務!$P$5:$P$1604,C$2,入力_業務!$I$5:$I$1604,"確認済"),AA34)</f>
        <v>0</v>
      </c>
      <c r="D34" s="377">
        <f>IF(D$2&lt;=締月,SUMIFS(入力_業務!$N$5:$N$1604,入力_業務!$O$5:$O$1604,"連合会分担金",入力_業務!$P$5:$P$1604,D$2,入力_業務!$I$5:$I$1604,"確認済"),AB34)</f>
        <v>0</v>
      </c>
      <c r="E34" s="377">
        <f>IF(E$2&lt;=締月,SUMIFS(入力_業務!$N$5:$N$1604,入力_業務!$O$5:$O$1604,"連合会分担金",入力_業務!$P$5:$P$1604,E$2,入力_業務!$I$5:$I$1604,"確認済"),AC34)</f>
        <v>0</v>
      </c>
      <c r="F34" s="377">
        <f>IF(F$2&lt;=締月,SUMIFS(入力_業務!$N$5:$N$1604,入力_業務!$O$5:$O$1604,"連合会分担金",入力_業務!$P$5:$P$1604,F$2,入力_業務!$I$5:$I$1604,"確認済"),AD34)</f>
        <v>0</v>
      </c>
      <c r="G34" s="377">
        <f>IF(G$2&lt;=締月,SUMIFS(入力_業務!$N$5:$N$1604,入力_業務!$O$5:$O$1604,"連合会分担金",入力_業務!$P$5:$P$1604,G$2,入力_業務!$I$5:$I$1604,"確認済"),AE34)</f>
        <v>0</v>
      </c>
      <c r="H34" s="377">
        <f>IF(H$2&lt;=締月,SUMIFS(入力_業務!$N$5:$N$1604,入力_業務!$O$5:$O$1604,"連合会分担金",入力_業務!$P$5:$P$1604,H$2,入力_業務!$I$5:$I$1604,"確認済"),AF34)</f>
        <v>0</v>
      </c>
      <c r="I34" s="377">
        <f>IF(I$2&lt;=締月,SUMIFS(入力_業務!$N$5:$N$1604,入力_業務!$O$5:$O$1604,"連合会分担金",入力_業務!$P$5:$P$1604,I$2,入力_業務!$I$5:$I$1604,"確認済"),AG34)</f>
        <v>0</v>
      </c>
      <c r="J34" s="377">
        <f>IF(J$2&lt;=締月,SUMIFS(入力_業務!$N$5:$N$1604,入力_業務!$O$5:$O$1604,"連合会分担金",入力_業務!$P$5:$P$1604,J$2,入力_業務!$I$5:$I$1604,"確認済"),AH34)</f>
        <v>0</v>
      </c>
      <c r="K34" s="377">
        <f>IF(K$2&lt;=締月,SUMIFS(入力_業務!$N$5:$N$1604,入力_業務!$O$5:$O$1604,"連合会分担金",入力_業務!$P$5:$P$1604,K$2,入力_業務!$I$5:$I$1604,"確認済"),AI34)</f>
        <v>0</v>
      </c>
      <c r="L34" s="377">
        <f>IF(L$2&lt;=締月,SUMIFS(入力_業務!$N$5:$N$1604,入力_業務!$O$5:$O$1604,"連合会分担金",入力_業務!$P$5:$P$1604,L$2,入力_業務!$I$5:$I$1604,"確認済"),AJ34)</f>
        <v>0</v>
      </c>
      <c r="M34" s="377">
        <f>IF(M$2&lt;=締月,SUMIFS(入力_業務!$N$5:$N$1604,入力_業務!$O$5:$O$1604,"連合会分担金",入力_業務!$P$5:$P$1604,M$2,入力_業務!$I$5:$I$1604,"確認済"),AK34)</f>
        <v>0</v>
      </c>
      <c r="N34" s="377">
        <f>IF(N$2&lt;=締月,SUMIFS(入力_業務!$N$5:$N$1604,入力_業務!$O$5:$O$1604,"連合会分担金",入力_業務!$P$5:$P$1604,N$2,入力_業務!$I$5:$I$1604,"確認済"),AL34)</f>
        <v>0</v>
      </c>
      <c r="O34" s="377">
        <f>IF(O$2&lt;=締月,SUMIFS(入力_業務!$N$5:$N$1604,入力_業務!$O$5:$O$1604,"連合会分担金",入力_業務!$P$5:$P$1604,O$2,入力_業務!$I$5:$I$1604,"確認済"),AM34)</f>
        <v>0</v>
      </c>
      <c r="P34" s="377">
        <f>SUM(C34:O34)</f>
        <v>0</v>
      </c>
      <c r="Q34" s="398" t="n">
        <v>0</v>
      </c>
      <c r="R34" s="393" t="n"/>
      <c r="S34" s="377">
        <f>SUM(Q34:R34)</f>
        <v>0</v>
      </c>
      <c r="T34" s="377">
        <f>S34-P34</f>
        <v>0</v>
      </c>
      <c r="U34" s="373" t="n"/>
      <c r="V34" s="378">
        <f>SUMIF($C$2:$N$2,"&lt;="&amp;締月,C34:N34)</f>
        <v>0</v>
      </c>
      <c r="W34" s="378">
        <f>S34-V34</f>
        <v>0</v>
      </c>
      <c r="X34" s="399" t="n">
        <v>1</v>
      </c>
      <c r="AA34" s="400" t="n"/>
      <c r="AB34" s="400" t="n"/>
      <c r="AC34" s="400" t="n"/>
      <c r="AD34" s="400" t="n"/>
      <c r="AE34" s="400" t="n"/>
      <c r="AF34" s="400" t="n"/>
      <c r="AG34" s="400" t="n"/>
      <c r="AH34" s="400" t="n"/>
      <c r="AI34" s="400" t="n"/>
      <c r="AJ34" s="400" t="n"/>
      <c r="AK34" s="400" t="n"/>
      <c r="AL34" s="400" t="n"/>
      <c r="AM34" s="400" t="n"/>
    </row>
    <row r="35" ht="18" customHeight="1" s="322">
      <c r="A35" s="376" t="inlineStr">
        <is>
          <t>事務費負担金払込金</t>
        </is>
      </c>
      <c r="B35" s="343" t="n"/>
      <c r="C35" s="377">
        <f>IF(C$2&lt;=締月,SUMIFS(入力_業務!$N$5:$N$1604,入力_業務!$O$5:$O$1604,"事務費負担金払込金",入力_業務!$P$5:$P$1604,C$2,入力_業務!$I$5:$I$1604,"確認済"),AA35)</f>
        <v>0</v>
      </c>
      <c r="D35" s="377">
        <f>IF(D$2&lt;=締月,SUMIFS(入力_業務!$N$5:$N$1604,入力_業務!$O$5:$O$1604,"事務費負担金払込金",入力_業務!$P$5:$P$1604,D$2,入力_業務!$I$5:$I$1604,"確認済"),AB35)</f>
        <v>5366000</v>
      </c>
      <c r="E35" s="377">
        <f>IF(E$2&lt;=締月,SUMIFS(入力_業務!$N$5:$N$1604,入力_業務!$O$5:$O$1604,"事務費負担金払込金",入力_業務!$P$5:$P$1604,E$2,入力_業務!$I$5:$I$1604,"確認済"),AC35)</f>
        <v>5366000</v>
      </c>
      <c r="F35" s="377">
        <f>IF(F$2&lt;=締月,SUMIFS(入力_業務!$N$5:$N$1604,入力_業務!$O$5:$O$1604,"事務費負担金払込金",入力_業務!$P$5:$P$1604,F$2,入力_業務!$I$5:$I$1604,"確認済"),AD35)</f>
        <v>5366000</v>
      </c>
      <c r="G35" s="377">
        <f>IF(G$2&lt;=締月,SUMIFS(入力_業務!$N$5:$N$1604,入力_業務!$O$5:$O$1604,"事務費負担金払込金",入力_業務!$P$5:$P$1604,G$2,入力_業務!$I$5:$I$1604,"確認済"),AE35)</f>
        <v>5366000</v>
      </c>
      <c r="H35" s="377">
        <f>IF(H$2&lt;=締月,SUMIFS(入力_業務!$N$5:$N$1604,入力_業務!$O$5:$O$1604,"事務費負担金払込金",入力_業務!$P$5:$P$1604,H$2,入力_業務!$I$5:$I$1604,"確認済"),AF35)</f>
        <v>5366000</v>
      </c>
      <c r="I35" s="377">
        <f>IF(I$2&lt;=締月,SUMIFS(入力_業務!$N$5:$N$1604,入力_業務!$O$5:$O$1604,"事務費負担金払込金",入力_業務!$P$5:$P$1604,I$2,入力_業務!$I$5:$I$1604,"確認済"),AG35)</f>
        <v>4513000</v>
      </c>
      <c r="J35" s="377">
        <f>IF(J$2&lt;=締月,SUMIFS(入力_業務!$N$5:$N$1604,入力_業務!$O$5:$O$1604,"事務費負担金払込金",入力_業務!$P$5:$P$1604,J$2,入力_業務!$I$5:$I$1604,"確認済"),AH35)</f>
        <v>4513000</v>
      </c>
      <c r="K35" s="377">
        <f>IF(K$2&lt;=締月,SUMIFS(入力_業務!$N$5:$N$1604,入力_業務!$O$5:$O$1604,"事務費負担金払込金",入力_業務!$P$5:$P$1604,K$2,入力_業務!$I$5:$I$1604,"確認済"),AI35)</f>
        <v>4513000</v>
      </c>
      <c r="L35" s="377">
        <f>IF(L$2&lt;=締月,SUMIFS(入力_業務!$N$5:$N$1604,入力_業務!$O$5:$O$1604,"事務費負担金払込金",入力_業務!$P$5:$P$1604,L$2,入力_業務!$I$5:$I$1604,"確認済"),AJ35)</f>
        <v>4513000</v>
      </c>
      <c r="M35" s="377">
        <f>IF(M$2&lt;=締月,SUMIFS(入力_業務!$N$5:$N$1604,入力_業務!$O$5:$O$1604,"事務費負担金払込金",入力_業務!$P$5:$P$1604,M$2,入力_業務!$I$5:$I$1604,"確認済"),AK35)</f>
        <v>4513000</v>
      </c>
      <c r="N35" s="377">
        <f>IF(N$2&lt;=締月,SUMIFS(入力_業務!$N$5:$N$1604,入力_業務!$O$5:$O$1604,"事務費負担金払込金",入力_業務!$P$5:$P$1604,N$2,入力_業務!$I$5:$I$1604,"確認済"),AL35)</f>
        <v>9023000</v>
      </c>
      <c r="O35" s="377">
        <f>IF(O$2&lt;=締月,SUMIFS(入力_業務!$N$5:$N$1604,入力_業務!$O$5:$O$1604,"事務費負担金払込金",入力_業務!$P$5:$P$1604,O$2,入力_業務!$I$5:$I$1604,"確認済"),AM35)</f>
        <v>0</v>
      </c>
      <c r="P35" s="377">
        <f>SUM(C35:O35)</f>
        <v>58418000</v>
      </c>
      <c r="Q35" s="398" t="n">
        <v>64386000</v>
      </c>
      <c r="R35" s="393" t="n"/>
      <c r="S35" s="377">
        <f>SUM(Q35:R35)</f>
        <v>64386000</v>
      </c>
      <c r="T35" s="377">
        <f>S35-P35</f>
        <v>5968000</v>
      </c>
      <c r="U35" s="373" t="n"/>
      <c r="V35" s="378">
        <f>SUMIF($C$2:$N$2,"&lt;="&amp;締月,C35:N35)</f>
        <v>26830000</v>
      </c>
      <c r="W35" s="378">
        <f>S35-V35</f>
        <v>37556000</v>
      </c>
      <c r="X35" s="399" t="n">
        <v>1</v>
      </c>
      <c r="AA35" s="400" t="n"/>
      <c r="AB35" s="400" t="n">
        <v>5366000</v>
      </c>
      <c r="AC35" s="400" t="n">
        <v>5366000</v>
      </c>
      <c r="AD35" s="400" t="n">
        <v>5366000</v>
      </c>
      <c r="AE35" s="400" t="n">
        <v>5366000</v>
      </c>
      <c r="AF35" s="400" t="n">
        <v>5366000</v>
      </c>
      <c r="AG35" s="400" t="n">
        <v>4513000</v>
      </c>
      <c r="AH35" s="400" t="n">
        <v>4513000</v>
      </c>
      <c r="AI35" s="400" t="n">
        <v>4513000</v>
      </c>
      <c r="AJ35" s="400" t="n">
        <v>4513000</v>
      </c>
      <c r="AK35" s="400" t="n">
        <v>4513000</v>
      </c>
      <c r="AL35" s="400" t="n">
        <v>9023000</v>
      </c>
      <c r="AM35" s="400" t="n">
        <v>0</v>
      </c>
    </row>
    <row r="36" ht="18" customHeight="1" s="322">
      <c r="A36" s="376" t="inlineStr">
        <is>
          <t>雑費</t>
        </is>
      </c>
      <c r="B36" s="386" t="n"/>
      <c r="C36" s="377">
        <f>IF(C$2&lt;=締月,SUMIFS(入力_業務!$N$5:$N$1604,入力_業務!$O$5:$O$1604,"雑費",入力_業務!$P$5:$P$1604,C$2,入力_業務!$I$5:$I$1604,"確認済"),AA36)</f>
        <v>0</v>
      </c>
      <c r="D36" s="377">
        <f>IF(D$2&lt;=締月,SUMIFS(入力_業務!$N$5:$N$1604,入力_業務!$O$5:$O$1604,"雑費",入力_業務!$P$5:$P$1604,D$2,入力_業務!$I$5:$I$1604,"確認済"),AB36)</f>
        <v>0</v>
      </c>
      <c r="E36" s="377">
        <f>IF(E$2&lt;=締月,SUMIFS(入力_業務!$N$5:$N$1604,入力_業務!$O$5:$O$1604,"雑費",入力_業務!$P$5:$P$1604,E$2,入力_業務!$I$5:$I$1604,"確認済"),AC36)</f>
        <v>0</v>
      </c>
      <c r="F36" s="377">
        <f>IF(F$2&lt;=締月,SUMIFS(入力_業務!$N$5:$N$1604,入力_業務!$O$5:$O$1604,"雑費",入力_業務!$P$5:$P$1604,F$2,入力_業務!$I$5:$I$1604,"確認済"),AD36)</f>
        <v>0</v>
      </c>
      <c r="G36" s="377">
        <f>IF(G$2&lt;=締月,SUMIFS(入力_業務!$N$5:$N$1604,入力_業務!$O$5:$O$1604,"雑費",入力_業務!$P$5:$P$1604,G$2,入力_業務!$I$5:$I$1604,"確認済"),AE36)</f>
        <v>0</v>
      </c>
      <c r="H36" s="377">
        <f>IF(H$2&lt;=締月,SUMIFS(入力_業務!$N$5:$N$1604,入力_業務!$O$5:$O$1604,"雑費",入力_業務!$P$5:$P$1604,H$2,入力_業務!$I$5:$I$1604,"確認済"),AF36)</f>
        <v>0</v>
      </c>
      <c r="I36" s="377">
        <f>IF(I$2&lt;=締月,SUMIFS(入力_業務!$N$5:$N$1604,入力_業務!$O$5:$O$1604,"雑費",入力_業務!$P$5:$P$1604,I$2,入力_業務!$I$5:$I$1604,"確認済"),AG36)</f>
        <v>0</v>
      </c>
      <c r="J36" s="377">
        <f>IF(J$2&lt;=締月,SUMIFS(入力_業務!$N$5:$N$1604,入力_業務!$O$5:$O$1604,"雑費",入力_業務!$P$5:$P$1604,J$2,入力_業務!$I$5:$I$1604,"確認済"),AH36)</f>
        <v>0</v>
      </c>
      <c r="K36" s="377">
        <f>IF(K$2&lt;=締月,SUMIFS(入力_業務!$N$5:$N$1604,入力_業務!$O$5:$O$1604,"雑費",入力_業務!$P$5:$P$1604,K$2,入力_業務!$I$5:$I$1604,"確認済"),AI36)</f>
        <v>0</v>
      </c>
      <c r="L36" s="377">
        <f>IF(L$2&lt;=締月,SUMIFS(入力_業務!$N$5:$N$1604,入力_業務!$O$5:$O$1604,"雑費",入力_業務!$P$5:$P$1604,L$2,入力_業務!$I$5:$I$1604,"確認済"),AJ36)</f>
        <v>0</v>
      </c>
      <c r="M36" s="377">
        <f>IF(M$2&lt;=締月,SUMIFS(入力_業務!$N$5:$N$1604,入力_業務!$O$5:$O$1604,"雑費",入力_業務!$P$5:$P$1604,M$2,入力_業務!$I$5:$I$1604,"確認済"),AK36)</f>
        <v>0</v>
      </c>
      <c r="N36" s="377">
        <f>IF(N$2&lt;=締月,SUMIFS(入力_業務!$N$5:$N$1604,入力_業務!$O$5:$O$1604,"雑費",入力_業務!$P$5:$P$1604,N$2,入力_業務!$I$5:$I$1604,"確認済"),AL36)</f>
        <v>0</v>
      </c>
      <c r="O36" s="377">
        <f>IF(O$2&lt;=締月,SUMIFS(入力_業務!$N$5:$N$1604,入力_業務!$O$5:$O$1604,"雑費",入力_業務!$P$5:$P$1604,O$2,入力_業務!$I$5:$I$1604,"確認済"),AM36)</f>
        <v>0</v>
      </c>
      <c r="P36" s="377">
        <f>SUM(C36:O36)</f>
        <v>0</v>
      </c>
      <c r="Q36" s="398" t="n">
        <v>0</v>
      </c>
      <c r="R36" s="393" t="n"/>
      <c r="S36" s="377">
        <f>SUM(Q36:R36)</f>
        <v>0</v>
      </c>
      <c r="T36" s="377">
        <f>S36-P36</f>
        <v>0</v>
      </c>
      <c r="U36" s="373" t="n"/>
      <c r="V36" s="378">
        <f>SUMIF($C$2:$N$2,"&lt;="&amp;締月,C36:N36)</f>
        <v>0</v>
      </c>
      <c r="W36" s="378">
        <f>S36-V36</f>
        <v>0</v>
      </c>
      <c r="X36" s="399" t="n">
        <v>1</v>
      </c>
      <c r="AA36" s="400" t="n"/>
      <c r="AB36" s="400" t="n"/>
      <c r="AC36" s="400" t="n"/>
      <c r="AD36" s="400" t="n"/>
      <c r="AE36" s="400" t="n"/>
      <c r="AF36" s="400" t="n"/>
      <c r="AG36" s="400" t="n"/>
      <c r="AH36" s="400" t="n"/>
      <c r="AI36" s="400" t="n"/>
      <c r="AJ36" s="400" t="n"/>
      <c r="AK36" s="400" t="n"/>
      <c r="AL36" s="400" t="n"/>
      <c r="AM36" s="400" t="n"/>
    </row>
    <row r="37" ht="18" customHeight="1" s="322">
      <c r="A37" s="376" t="inlineStr">
        <is>
          <t>減価償却費</t>
        </is>
      </c>
      <c r="B37" s="386" t="n"/>
      <c r="C37" s="377">
        <f>IF(C$2&lt;=締月,SUMIFS(入力_業務!$N$5:$N$1604,入力_業務!$O$5:$O$1604,"減価償却費",入力_業務!$P$5:$P$1604,C$2,入力_業務!$I$5:$I$1604,"確認済"),AA37)</f>
        <v>0</v>
      </c>
      <c r="D37" s="377">
        <f>IF(D$2&lt;=締月,SUMIFS(入力_業務!$N$5:$N$1604,入力_業務!$O$5:$O$1604,"減価償却費",入力_業務!$P$5:$P$1604,D$2,入力_業務!$I$5:$I$1604,"確認済"),AB37)</f>
        <v>0</v>
      </c>
      <c r="E37" s="377">
        <f>IF(E$2&lt;=締月,SUMIFS(入力_業務!$N$5:$N$1604,入力_業務!$O$5:$O$1604,"減価償却費",入力_業務!$P$5:$P$1604,E$2,入力_業務!$I$5:$I$1604,"確認済"),AC37)</f>
        <v>0</v>
      </c>
      <c r="F37" s="377">
        <f>IF(F$2&lt;=締月,SUMIFS(入力_業務!$N$5:$N$1604,入力_業務!$O$5:$O$1604,"減価償却費",入力_業務!$P$5:$P$1604,F$2,入力_業務!$I$5:$I$1604,"確認済"),AD37)</f>
        <v>0</v>
      </c>
      <c r="G37" s="377">
        <f>IF(G$2&lt;=締月,SUMIFS(入力_業務!$N$5:$N$1604,入力_業務!$O$5:$O$1604,"減価償却費",入力_業務!$P$5:$P$1604,G$2,入力_業務!$I$5:$I$1604,"確認済"),AE37)</f>
        <v>0</v>
      </c>
      <c r="H37" s="377">
        <f>IF(H$2&lt;=締月,SUMIFS(入力_業務!$N$5:$N$1604,入力_業務!$O$5:$O$1604,"減価償却費",入力_業務!$P$5:$P$1604,H$2,入力_業務!$I$5:$I$1604,"確認済"),AF37)</f>
        <v>0</v>
      </c>
      <c r="I37" s="377">
        <f>IF(I$2&lt;=締月,SUMIFS(入力_業務!$N$5:$N$1604,入力_業務!$O$5:$O$1604,"減価償却費",入力_業務!$P$5:$P$1604,I$2,入力_業務!$I$5:$I$1604,"確認済"),AG37)</f>
        <v>0</v>
      </c>
      <c r="J37" s="377">
        <f>IF(J$2&lt;=締月,SUMIFS(入力_業務!$N$5:$N$1604,入力_業務!$O$5:$O$1604,"減価償却費",入力_業務!$P$5:$P$1604,J$2,入力_業務!$I$5:$I$1604,"確認済"),AH37)</f>
        <v>0</v>
      </c>
      <c r="K37" s="377">
        <f>IF(K$2&lt;=締月,SUMIFS(入力_業務!$N$5:$N$1604,入力_業務!$O$5:$O$1604,"減価償却費",入力_業務!$P$5:$P$1604,K$2,入力_業務!$I$5:$I$1604,"確認済"),AI37)</f>
        <v>0</v>
      </c>
      <c r="L37" s="377">
        <f>IF(L$2&lt;=締月,SUMIFS(入力_業務!$N$5:$N$1604,入力_業務!$O$5:$O$1604,"減価償却費",入力_業務!$P$5:$P$1604,L$2,入力_業務!$I$5:$I$1604,"確認済"),AJ37)</f>
        <v>0</v>
      </c>
      <c r="M37" s="377">
        <f>IF(M$2&lt;=締月,SUMIFS(入力_業務!$N$5:$N$1604,入力_業務!$O$5:$O$1604,"減価償却費",入力_業務!$P$5:$P$1604,M$2,入力_業務!$I$5:$I$1604,"確認済"),AK37)</f>
        <v>0</v>
      </c>
      <c r="N37" s="377">
        <f>IF(N$2&lt;=締月,SUMIFS(入力_業務!$N$5:$N$1604,入力_業務!$O$5:$O$1604,"減価償却費",入力_業務!$P$5:$P$1604,N$2,入力_業務!$I$5:$I$1604,"確認済"),AL37)</f>
        <v>0</v>
      </c>
      <c r="O37" s="377">
        <f>IF(O$2&lt;=締月,SUMIFS(入力_業務!$N$5:$N$1604,入力_業務!$O$5:$O$1604,"減価償却費",入力_業務!$P$5:$P$1604,O$2,入力_業務!$I$5:$I$1604,"確認済"),AM37)</f>
        <v>0</v>
      </c>
      <c r="P37" s="377">
        <f>SUM(C37:O37)</f>
        <v>0</v>
      </c>
      <c r="Q37" s="398" t="n">
        <v>0</v>
      </c>
      <c r="R37" s="393" t="n"/>
      <c r="S37" s="377">
        <f>SUM(Q37:R37)</f>
        <v>0</v>
      </c>
      <c r="T37" s="377">
        <f>S37-P37</f>
        <v>0</v>
      </c>
      <c r="U37" s="384" t="inlineStr">
        <is>
          <t>検算</t>
        </is>
      </c>
      <c r="V37" s="378">
        <f>SUMIF($C$2:$N$2,"&lt;="&amp;締月,C37:N37)</f>
        <v>0</v>
      </c>
      <c r="W37" s="378">
        <f>S37-V37</f>
        <v>0</v>
      </c>
      <c r="X37" s="399" t="n">
        <v>1</v>
      </c>
      <c r="AA37" s="400" t="n"/>
      <c r="AB37" s="400" t="n"/>
      <c r="AC37" s="400" t="n"/>
      <c r="AD37" s="400" t="n"/>
      <c r="AE37" s="400" t="n"/>
      <c r="AF37" s="400" t="n"/>
      <c r="AG37" s="400" t="n"/>
      <c r="AH37" s="400" t="n"/>
      <c r="AI37" s="400" t="n"/>
      <c r="AJ37" s="400" t="n"/>
      <c r="AK37" s="400" t="n"/>
      <c r="AL37" s="400" t="n"/>
      <c r="AM37" s="400" t="n"/>
    </row>
    <row r="38" ht="18" customHeight="1" s="322">
      <c r="A38" s="380" t="inlineStr">
        <is>
          <t>合　　　計</t>
        </is>
      </c>
      <c r="B38" s="388" t="n"/>
      <c r="C38" s="381">
        <f>SUM(C4+C9+C10+C11+C18+C19+C20+C21+C22+C23+C24+C25+C33+C34+C35+C36+C37)</f>
        <v>412079</v>
      </c>
      <c r="D38" s="381">
        <f>SUM(D4+D9+D10+D11+D18+D19+D20+D21+D22+D23+D24+D25+D33+D34+D35+D36+D37)</f>
        <v>6019213</v>
      </c>
      <c r="E38" s="381">
        <f>SUM(E4+E9+E10+E11+E18+E19+E20+E21+E22+E23+E24+E25+E33+E34+E35+E36+E37)</f>
        <v>6989919</v>
      </c>
      <c r="F38" s="381">
        <f>SUM(F4+F9+F10+F11+F18+F19+F20+F21+F22+F23+F24+F25+F33+F34+F35+F36+F37)</f>
        <v>7671974</v>
      </c>
      <c r="G38" s="381">
        <f>SUM(G4+G9+G10+G11+G18+G19+G20+G21+G22+G23+G24+G25+G33+G34+G35+G36+G37)</f>
        <v>7267746</v>
      </c>
      <c r="H38" s="381">
        <f>SUM(H4+H9+H10+H11+H18+H19+H20+H21+H22+H23+H24+H25+H33+H34+H35+H36+H37)</f>
        <v>6563868</v>
      </c>
      <c r="I38" s="381">
        <f>SUM(I4+I9+I10+I11+I18+I19+I20+I21+I22+I23+I24+I25+I33+I34+I35+I36+I37)</f>
        <v>5598151</v>
      </c>
      <c r="J38" s="381">
        <f>SUM(J4+J9+J10+J11+J18+J19+J20+J21+J22+J23+J24+J25+J33+J34+J35+J36+J37)</f>
        <v>6657637</v>
      </c>
      <c r="K38" s="381">
        <f>SUM(K4+K9+K10+K11+K18+K19+K20+K21+K22+K23+K24+K25+K33+K34+K35+K36+K37)</f>
        <v>6162473</v>
      </c>
      <c r="L38" s="381">
        <f>SUM(L4+L9+L10+L11+L18+L19+L20+L21+L22+L23+L24+L25+L33+L34+L35+L36+L37)</f>
        <v>6712949</v>
      </c>
      <c r="M38" s="381">
        <f>SUM(M4+M9+M10+M11+M18+M19+M20+M21+M22+M23+M24+M25+M33+M34+M35+M36+M37)</f>
        <v>6080259</v>
      </c>
      <c r="N38" s="381">
        <f>SUM(N4+N9+N10+N11+N18+N19+N20+N21+N23+N24+N25+N33+N34+N35+N36+N37)</f>
        <v>10698750</v>
      </c>
      <c r="O38" s="381">
        <f>SUM(O4+O9+O10+O11+O18+O19+O20+O21+O23+O24+O25+O33+O34+O35+O36+O37)</f>
        <v>784007</v>
      </c>
      <c r="P38" s="381">
        <f>SUM(P4+P9+P10+P11+P18+P19+P20+P21+P23+P24+P25+P33+P34+P35+P36+P37)</f>
        <v>77619025</v>
      </c>
      <c r="Q38" s="381">
        <f>SUM(Q4+Q9+Q10+Q11+Q18+Q19+Q20+Q21+Q23+Q24+Q25+Q33+Q34+Q35+Q36+Q37)</f>
        <v>87282000</v>
      </c>
      <c r="R38" s="381">
        <f>SUM(R4+R9+R10+R11+R18+R19+R20+R21+R23+R24+R25+R33+R34+R35+R36+R37)</f>
        <v>0</v>
      </c>
      <c r="S38" s="381">
        <f>SUM(S4+S9+S10+S11+S18+S19+S20+S21+S23+S24+S25+S33+S34+S35+S36+S37)</f>
        <v>87282000</v>
      </c>
      <c r="T38" s="381">
        <f>S38-P38</f>
        <v>9662975</v>
      </c>
      <c r="U38" s="383">
        <f>P38-Q38</f>
        <v>-9662975</v>
      </c>
      <c r="V38" s="382">
        <f>SUMIF($C$2:$N$2,"&lt;="&amp;締月,C38:N38)</f>
        <v>34924799</v>
      </c>
      <c r="W38" s="382">
        <f>S38-V38</f>
        <v>52357201</v>
      </c>
    </row>
    <row r="39" ht="18" customHeight="1" s="322">
      <c r="A39" s="389" t="inlineStr">
        <is>
          <t>収益</t>
        </is>
      </c>
      <c r="B39" s="339" t="n"/>
      <c r="C39" s="339" t="n"/>
      <c r="D39" s="339" t="n"/>
      <c r="E39" s="339" t="n"/>
      <c r="F39" s="339" t="n"/>
      <c r="G39" s="339" t="n"/>
      <c r="H39" s="339" t="n"/>
      <c r="I39" s="339" t="n"/>
      <c r="J39" s="339" t="n"/>
      <c r="K39" s="339" t="n"/>
      <c r="L39" s="339" t="n"/>
      <c r="M39" s="339" t="n"/>
      <c r="N39" s="339" t="n"/>
      <c r="O39" s="339" t="n"/>
      <c r="P39" s="339" t="n"/>
      <c r="Q39" s="339" t="n"/>
      <c r="R39" s="339" t="n"/>
      <c r="S39" s="339" t="n"/>
      <c r="T39" s="339" t="n"/>
      <c r="U39" s="339" t="n"/>
      <c r="V39" s="339" t="n"/>
      <c r="W39" s="339" t="n"/>
    </row>
    <row r="40" ht="22" customHeight="1" s="322">
      <c r="A40" s="372" t="inlineStr">
        <is>
          <t>区　　　分</t>
        </is>
      </c>
      <c r="B40" s="327" t="n"/>
      <c r="C40" s="372" t="inlineStr">
        <is>
          <t>４月</t>
        </is>
      </c>
      <c r="D40" s="372" t="inlineStr">
        <is>
          <t>５月</t>
        </is>
      </c>
      <c r="E40" s="372" t="inlineStr">
        <is>
          <t>６月</t>
        </is>
      </c>
      <c r="F40" s="372" t="inlineStr">
        <is>
          <t>７月</t>
        </is>
      </c>
      <c r="G40" s="372" t="inlineStr">
        <is>
          <t>８月</t>
        </is>
      </c>
      <c r="H40" s="372" t="inlineStr">
        <is>
          <t>９月</t>
        </is>
      </c>
      <c r="I40" s="372" t="inlineStr">
        <is>
          <t>１０月</t>
        </is>
      </c>
      <c r="J40" s="372" t="inlineStr">
        <is>
          <t>１１月</t>
        </is>
      </c>
      <c r="K40" s="372" t="inlineStr">
        <is>
          <t>１２月</t>
        </is>
      </c>
      <c r="L40" s="372" t="inlineStr">
        <is>
          <t>１月</t>
        </is>
      </c>
      <c r="M40" s="372" t="inlineStr">
        <is>
          <t>２月</t>
        </is>
      </c>
      <c r="N40" s="372" t="inlineStr">
        <is>
          <t>３月</t>
        </is>
      </c>
      <c r="O40" s="372" t="inlineStr">
        <is>
          <t>長期繰入予定額</t>
        </is>
      </c>
      <c r="P40" s="372" t="inlineStr">
        <is>
          <t>収入済計</t>
        </is>
      </c>
      <c r="Q40" s="372" t="inlineStr">
        <is>
          <t>精算額</t>
        </is>
      </c>
      <c r="R40" s="372" t="inlineStr">
        <is>
          <t>精算返納額</t>
        </is>
      </c>
      <c r="S40" s="372" t="inlineStr">
        <is>
          <t>予算額</t>
        </is>
      </c>
      <c r="T40" s="372" t="inlineStr">
        <is>
          <t>予算現額</t>
        </is>
      </c>
      <c r="U40" s="373" t="n"/>
      <c r="V40" s="373" t="n"/>
      <c r="W40" s="373" t="n"/>
    </row>
    <row r="41" ht="18" customFormat="1" customHeight="1" s="390">
      <c r="A41" s="376" t="inlineStr">
        <is>
          <t>地方公共団体負担金</t>
        </is>
      </c>
      <c r="B41" s="343" t="n"/>
      <c r="C41" s="398" t="n">
        <v>4513000</v>
      </c>
      <c r="D41" s="398" t="n">
        <v>4513000</v>
      </c>
      <c r="E41" s="398" t="n">
        <v>5366000</v>
      </c>
      <c r="F41" s="398" t="n">
        <v>7823000</v>
      </c>
      <c r="G41" s="398" t="n">
        <v>4513000</v>
      </c>
      <c r="H41" s="398" t="n">
        <v>4513000</v>
      </c>
      <c r="I41" s="398" t="n">
        <v>4513000</v>
      </c>
      <c r="J41" s="398" t="n">
        <v>4513000</v>
      </c>
      <c r="K41" s="398" t="n">
        <v>4513000</v>
      </c>
      <c r="L41" s="398" t="n">
        <v>4513000</v>
      </c>
      <c r="M41" s="398" t="n">
        <v>4513000</v>
      </c>
      <c r="N41" s="398" t="n">
        <v>4510000</v>
      </c>
      <c r="O41" s="393" t="n"/>
      <c r="P41" s="377">
        <f>SUM(C41:O41)</f>
        <v>58316000</v>
      </c>
      <c r="Q41" s="391" t="n"/>
      <c r="R41" s="393" t="n"/>
      <c r="S41" s="398" t="n">
        <v>54153000</v>
      </c>
      <c r="T41" s="377">
        <f>SUM(Q41:R41)</f>
        <v>0</v>
      </c>
      <c r="U41" s="373" t="n"/>
      <c r="V41" s="378">
        <f>SUMIF($C$2:$N$2,"&lt;="&amp;締月,C41:N41)</f>
        <v>31241000</v>
      </c>
      <c r="W41" s="373" t="n"/>
    </row>
    <row r="42" ht="18" customFormat="1" customHeight="1" s="390">
      <c r="A42" s="376" t="inlineStr">
        <is>
          <t>雑収入</t>
        </is>
      </c>
      <c r="B42" s="343" t="n"/>
      <c r="C42" s="391" t="n"/>
      <c r="D42" s="391" t="n"/>
      <c r="E42" s="391" t="n"/>
      <c r="F42" s="391" t="n"/>
      <c r="G42" s="391" t="n"/>
      <c r="H42" s="391" t="n"/>
      <c r="I42" s="391" t="n"/>
      <c r="J42" s="393" t="n"/>
      <c r="K42" s="391" t="n"/>
      <c r="L42" s="391" t="n"/>
      <c r="M42" s="391" t="n"/>
      <c r="N42" s="398" t="n">
        <v>75258</v>
      </c>
      <c r="O42" s="391" t="n"/>
      <c r="P42" s="377">
        <f>SUM(C42:O42)</f>
        <v>75258</v>
      </c>
      <c r="Q42" s="403" t="n"/>
      <c r="R42" s="403" t="n"/>
      <c r="S42" s="398" t="n">
        <v>0</v>
      </c>
      <c r="T42" s="377">
        <f>SUM(Q42:R42)</f>
        <v>0</v>
      </c>
      <c r="U42" s="373" t="n"/>
      <c r="V42" s="378">
        <f>SUMIF($C$2:$N$2,"&lt;="&amp;締月,C42:N42)</f>
        <v>0</v>
      </c>
      <c r="W42" s="373" t="n"/>
    </row>
    <row r="43" ht="18" customFormat="1" customHeight="1" s="390">
      <c r="A43" s="376" t="inlineStr">
        <is>
          <t>連合会交付金</t>
        </is>
      </c>
      <c r="B43" s="343" t="n"/>
      <c r="C43" s="398" t="n">
        <v>0</v>
      </c>
      <c r="D43" s="398" t="n">
        <v>4513000</v>
      </c>
      <c r="E43" s="398" t="n">
        <v>5366000</v>
      </c>
      <c r="F43" s="398" t="n">
        <v>5366000</v>
      </c>
      <c r="G43" s="398" t="n">
        <v>5366000</v>
      </c>
      <c r="H43" s="408" t="n">
        <v>5369148</v>
      </c>
      <c r="I43" s="398" t="n">
        <v>0</v>
      </c>
      <c r="J43" s="398" t="n">
        <v>-261410</v>
      </c>
      <c r="K43" s="398" t="n">
        <v>0</v>
      </c>
      <c r="L43" s="398" t="n">
        <v>0</v>
      </c>
      <c r="M43" s="398" t="n">
        <v>0</v>
      </c>
      <c r="N43" s="398" t="n">
        <v>0</v>
      </c>
      <c r="O43" s="391" t="n"/>
      <c r="P43" s="377">
        <f>SUM(C43:O43)</f>
        <v>25718738</v>
      </c>
      <c r="Q43" s="403" t="n"/>
      <c r="R43" s="403" t="n"/>
      <c r="S43" s="398" t="n">
        <v>23147000</v>
      </c>
      <c r="T43" s="377">
        <f>SUM(Q43:R43)</f>
        <v>0</v>
      </c>
      <c r="U43" s="373" t="n"/>
      <c r="V43" s="378">
        <f>SUMIF($C$2:$N$2,"&lt;="&amp;締月,C43:N43)</f>
        <v>25980148</v>
      </c>
      <c r="W43" s="373" t="n"/>
    </row>
    <row r="44" ht="18" customFormat="1" customHeight="1" s="390">
      <c r="A44" s="376" t="inlineStr">
        <is>
          <t>長期経理より繰入</t>
        </is>
      </c>
      <c r="B44" s="343" t="n"/>
      <c r="C44" s="391" t="n"/>
      <c r="D44" s="391" t="n"/>
      <c r="E44" s="391" t="n"/>
      <c r="F44" s="391" t="n"/>
      <c r="G44" s="391" t="n"/>
      <c r="H44" s="391" t="n"/>
      <c r="I44" s="391" t="n"/>
      <c r="J44" s="391" t="n"/>
      <c r="K44" s="391" t="n"/>
      <c r="L44" s="391" t="n"/>
      <c r="M44" s="391" t="n"/>
      <c r="N44" s="391" t="n"/>
      <c r="O44" s="393" t="n"/>
      <c r="P44" s="377">
        <f>SUM(C44:O44)</f>
        <v>0</v>
      </c>
      <c r="Q44" s="391" t="n"/>
      <c r="R44" s="393" t="n"/>
      <c r="S44" s="398" t="n">
        <v>0</v>
      </c>
      <c r="T44" s="377">
        <f>SUM(Q44:R44)</f>
        <v>0</v>
      </c>
      <c r="U44" s="373" t="n"/>
      <c r="V44" s="378">
        <f>SUMIF($C$2:$N$2,"&lt;="&amp;締月,C44:N44)</f>
        <v>0</v>
      </c>
      <c r="W44" s="373" t="n"/>
    </row>
    <row r="45" ht="18" customFormat="1" customHeight="1" s="390">
      <c r="A45" s="376" t="inlineStr">
        <is>
          <t>当期損失金</t>
        </is>
      </c>
      <c r="B45" s="343" t="n"/>
      <c r="C45" s="409" t="n"/>
      <c r="D45" s="409" t="n"/>
      <c r="E45" s="409" t="n"/>
      <c r="F45" s="409" t="n"/>
      <c r="G45" s="409" t="n"/>
      <c r="H45" s="409" t="n"/>
      <c r="I45" s="409" t="n"/>
      <c r="J45" s="409" t="n"/>
      <c r="K45" s="409" t="n"/>
      <c r="L45" s="409" t="n"/>
      <c r="M45" s="409" t="n"/>
      <c r="N45" s="409" t="n"/>
      <c r="O45" s="409" t="n"/>
      <c r="P45" s="377">
        <f>SUM(C45:O45)</f>
        <v>0</v>
      </c>
      <c r="Q45" s="391" t="n"/>
      <c r="R45" s="393" t="n"/>
      <c r="S45" s="398" t="n">
        <v>0</v>
      </c>
      <c r="T45" s="377">
        <f>SUM(Q45:R45)</f>
        <v>0</v>
      </c>
      <c r="U45" s="373" t="n"/>
      <c r="V45" s="378">
        <f>SUMIF($C$2:$N$2,"&lt;="&amp;締月,C45:N45)</f>
        <v>0</v>
      </c>
      <c r="W45" s="373" t="n"/>
    </row>
    <row r="46" ht="18" customFormat="1" customHeight="1" s="390">
      <c r="A46" s="380" t="inlineStr">
        <is>
          <t>合　　　計</t>
        </is>
      </c>
      <c r="B46" s="379" t="n"/>
      <c r="C46" s="381">
        <f>SUM(C41+C42+C43+C44)</f>
        <v>4513000</v>
      </c>
      <c r="D46" s="381">
        <f>SUM(D41+D42+D43+D44)</f>
        <v>9026000</v>
      </c>
      <c r="E46" s="381">
        <f>SUM(E41+E42+E43+E44)</f>
        <v>10732000</v>
      </c>
      <c r="F46" s="381">
        <f>SUM(F41+F42+F43+F44)</f>
        <v>13189000</v>
      </c>
      <c r="G46" s="381">
        <f>SUM(G41+G42+G43+G44)</f>
        <v>9879000</v>
      </c>
      <c r="H46" s="381">
        <f>SUM(H41+H42+H43+H44)</f>
        <v>9882148</v>
      </c>
      <c r="I46" s="381">
        <f>SUM(I41+I42+I43+I44)</f>
        <v>4513000</v>
      </c>
      <c r="J46" s="381">
        <f>SUM(J41+J42+J43+J44)</f>
        <v>4251590</v>
      </c>
      <c r="K46" s="381">
        <f>SUM(K41+K42+K43+K44)</f>
        <v>4513000</v>
      </c>
      <c r="L46" s="381">
        <f>SUM(L41+L42+L43+L44)</f>
        <v>4513000</v>
      </c>
      <c r="M46" s="381">
        <f>SUM(M41+M42+M43+M44)</f>
        <v>4513000</v>
      </c>
      <c r="N46" s="381">
        <f>SUM(N41+N42+N43+N44)</f>
        <v>4585258</v>
      </c>
      <c r="O46" s="381">
        <f>SUM(O41+O42+O43+O44)</f>
        <v>0</v>
      </c>
      <c r="P46" s="381">
        <f>SUM(P41+P42+P43+P44)</f>
        <v>84109996</v>
      </c>
      <c r="Q46" s="381">
        <f>Q41+Q42+Q43+Q44+Q45</f>
        <v>0</v>
      </c>
      <c r="R46" s="381">
        <f>R41+R42+R43+R44+R45</f>
        <v>0</v>
      </c>
      <c r="S46" s="381">
        <f>S41+S42+S43+S44+S45</f>
        <v>77300000</v>
      </c>
      <c r="T46" s="381">
        <f>SUM(T41:T45)</f>
        <v>0</v>
      </c>
      <c r="U46" s="373" t="n"/>
      <c r="V46" s="382">
        <f>SUMIF($C$2:$N$2,"&lt;="&amp;締月,C46:N46)</f>
        <v>57221148</v>
      </c>
      <c r="W46" s="373" t="n"/>
    </row>
    <row r="47" ht="7.5" customHeight="1" s="322">
      <c r="A47" s="373" t="n"/>
      <c r="B47" s="373" t="n"/>
      <c r="C47" s="373" t="n"/>
      <c r="D47" s="373" t="n"/>
      <c r="E47" s="373" t="n"/>
      <c r="F47" s="373" t="n"/>
      <c r="G47" s="373" t="n"/>
      <c r="H47" s="373" t="n"/>
      <c r="I47" s="373" t="n"/>
      <c r="J47" s="373" t="n"/>
      <c r="K47" s="373" t="n"/>
      <c r="L47" s="373" t="n"/>
      <c r="M47" s="373" t="n"/>
      <c r="N47" s="373" t="n"/>
      <c r="O47" s="373" t="n"/>
      <c r="P47" s="373" t="n"/>
      <c r="Q47" s="373" t="n"/>
      <c r="R47" s="373" t="n"/>
      <c r="S47" s="373" t="n"/>
      <c r="T47" s="373" t="n"/>
      <c r="U47" s="373" t="n"/>
      <c r="V47" s="373" t="n"/>
      <c r="W47" s="373" t="n"/>
    </row>
    <row r="48" ht="18" customFormat="1" customHeight="1" s="390">
      <c r="A48" s="380" t="inlineStr">
        <is>
          <t>収益－費用</t>
        </is>
      </c>
      <c r="B48" s="379" t="n"/>
      <c r="C48" s="381">
        <f>C46-C38</f>
        <v>4100921</v>
      </c>
      <c r="D48" s="381">
        <f>D46-D38</f>
        <v>3006787</v>
      </c>
      <c r="E48" s="381">
        <f>E46-E38</f>
        <v>3742081</v>
      </c>
      <c r="F48" s="381">
        <f>F46-F38</f>
        <v>5517026</v>
      </c>
      <c r="G48" s="381">
        <f>G46-G38</f>
        <v>2611254</v>
      </c>
      <c r="H48" s="381">
        <f>H46-H38</f>
        <v>3318280</v>
      </c>
      <c r="I48" s="381">
        <f>I46-I38</f>
        <v>-1085151</v>
      </c>
      <c r="J48" s="381">
        <f>J46-J38</f>
        <v>-2406047</v>
      </c>
      <c r="K48" s="381">
        <f>K46-K38</f>
        <v>-1649473</v>
      </c>
      <c r="L48" s="381">
        <f>L46-L38</f>
        <v>-2199949</v>
      </c>
      <c r="M48" s="381">
        <f>M46-M38</f>
        <v>-1567259</v>
      </c>
      <c r="N48" s="381">
        <f>N46-N38</f>
        <v>-6113492</v>
      </c>
      <c r="O48" s="381">
        <f>O46-O38</f>
        <v>-784007</v>
      </c>
      <c r="P48" s="381">
        <f>P46-P38</f>
        <v>6490971</v>
      </c>
      <c r="Q48" s="381">
        <f>Q46-Q38</f>
        <v>-87282000</v>
      </c>
      <c r="R48" s="381">
        <f>R46-R38</f>
        <v>0</v>
      </c>
      <c r="S48" s="381">
        <f>S46-S38</f>
        <v>-9982000</v>
      </c>
      <c r="T48" s="381">
        <f>T46-T38</f>
        <v>-9662975</v>
      </c>
      <c r="U48" s="373" t="n"/>
      <c r="V48" s="382">
        <f>SUMIF($C$2:$N$2,"&lt;="&amp;締月,C48:N48)</f>
        <v>22296349</v>
      </c>
      <c r="W48" s="373" t="n"/>
    </row>
    <row r="49" ht="27" customHeight="1" s="322">
      <c r="A49" s="373" t="n"/>
      <c r="B49" s="373" t="n"/>
      <c r="C49" s="373" t="n"/>
      <c r="D49" s="373" t="n"/>
      <c r="E49" s="373" t="n"/>
      <c r="F49" s="373" t="n"/>
      <c r="G49" s="373" t="n"/>
      <c r="H49" s="373" t="n"/>
      <c r="I49" s="373" t="n"/>
      <c r="J49" s="373" t="n"/>
      <c r="K49" s="373" t="n"/>
      <c r="L49" s="373" t="n"/>
      <c r="M49" s="373" t="n"/>
      <c r="N49" s="373" t="n"/>
      <c r="O49" s="373" t="n"/>
      <c r="P49" s="373" t="n"/>
      <c r="Q49" s="373" t="n"/>
      <c r="R49" s="373" t="n"/>
      <c r="S49" s="373" t="n"/>
      <c r="T49" s="373" t="n"/>
      <c r="U49" s="373" t="n"/>
      <c r="V49" s="373" t="n"/>
      <c r="W49" s="373" t="n"/>
    </row>
    <row r="50" ht="22" customHeight="1" s="322">
      <c r="A50" s="327" t="n"/>
      <c r="B50" s="372" t="inlineStr">
        <is>
          <t>参考（職員給与）</t>
        </is>
      </c>
      <c r="C50" s="372" t="inlineStr">
        <is>
          <t>４月支払</t>
        </is>
      </c>
      <c r="D50" s="372" t="inlineStr">
        <is>
          <t>５月支払</t>
        </is>
      </c>
      <c r="E50" s="372" t="inlineStr">
        <is>
          <t>６月支払</t>
        </is>
      </c>
      <c r="F50" s="372" t="inlineStr">
        <is>
          <t>７月支払</t>
        </is>
      </c>
      <c r="G50" s="372" t="inlineStr">
        <is>
          <t>８月支払</t>
        </is>
      </c>
      <c r="H50" s="372" t="inlineStr">
        <is>
          <t>９月支払</t>
        </is>
      </c>
      <c r="I50" s="372" t="inlineStr">
        <is>
          <t>１０月支払</t>
        </is>
      </c>
      <c r="J50" s="372" t="inlineStr">
        <is>
          <t>１１月支払</t>
        </is>
      </c>
      <c r="K50" s="372" t="inlineStr">
        <is>
          <t>１２月支払</t>
        </is>
      </c>
      <c r="L50" s="372" t="inlineStr">
        <is>
          <t>１月支払</t>
        </is>
      </c>
      <c r="M50" s="372" t="inlineStr">
        <is>
          <t>２月支払</t>
        </is>
      </c>
      <c r="N50" s="372" t="inlineStr">
        <is>
          <t>３月支払</t>
        </is>
      </c>
      <c r="O50" s="372" t="inlineStr">
        <is>
          <t>未払</t>
        </is>
      </c>
      <c r="P50" s="327" t="n"/>
      <c r="Q50" s="372" t="inlineStr">
        <is>
          <t>合計</t>
        </is>
      </c>
      <c r="R50" s="327" t="n"/>
      <c r="S50" s="327" t="n"/>
      <c r="T50" s="327" t="n"/>
      <c r="U50" s="373" t="n"/>
      <c r="V50" s="373" t="n"/>
      <c r="W50" s="373" t="n"/>
    </row>
    <row r="51" ht="18" customHeight="1" s="322">
      <c r="A51" s="343" t="n"/>
      <c r="B51" s="376" t="inlineStr">
        <is>
          <t>職員基本給</t>
        </is>
      </c>
      <c r="C51" s="343" t="n"/>
      <c r="D51" s="343" t="n"/>
      <c r="E51" s="343" t="n"/>
      <c r="F51" s="343" t="n"/>
      <c r="G51" s="343" t="n"/>
      <c r="H51" s="343" t="n"/>
      <c r="I51" s="343" t="n"/>
      <c r="J51" s="343" t="n"/>
      <c r="K51" s="343" t="n"/>
      <c r="L51" s="343" t="n"/>
      <c r="M51" s="343" t="n"/>
      <c r="N51" s="343" t="n"/>
      <c r="O51" s="343" t="n"/>
      <c r="P51" s="343" t="n"/>
      <c r="Q51" s="377">
        <f>SUM(C51:O51)</f>
        <v>0</v>
      </c>
      <c r="R51" s="393" t="n"/>
      <c r="S51" s="393" t="n"/>
      <c r="T51" s="393" t="n"/>
      <c r="U51" s="373" t="n"/>
      <c r="V51" s="378">
        <f>SUMIF($C$2:$N$2,"&lt;="&amp;締月,C51:N51)</f>
        <v>0</v>
      </c>
      <c r="W51" s="373" t="n"/>
    </row>
    <row r="52" ht="18" customFormat="1" customHeight="1" s="395">
      <c r="A52" s="379" t="n"/>
      <c r="B52" s="380" t="inlineStr">
        <is>
          <t>基本給計</t>
        </is>
      </c>
      <c r="C52" s="381">
        <f>SUM(C51:C51)</f>
        <v>0</v>
      </c>
      <c r="D52" s="381">
        <f>SUM(D51:D51)</f>
        <v>0</v>
      </c>
      <c r="E52" s="381">
        <f>SUM(E51:E51)</f>
        <v>0</v>
      </c>
      <c r="F52" s="381">
        <f>SUM(F51:F51)</f>
        <v>0</v>
      </c>
      <c r="G52" s="381">
        <f>SUM(G51:G51)</f>
        <v>0</v>
      </c>
      <c r="H52" s="381">
        <f>SUM(H51:H51)</f>
        <v>0</v>
      </c>
      <c r="I52" s="381">
        <f>SUM(I51:I51)</f>
        <v>0</v>
      </c>
      <c r="J52" s="381">
        <f>SUM(J51:J51)</f>
        <v>0</v>
      </c>
      <c r="K52" s="381">
        <f>SUM(K51:K51)</f>
        <v>0</v>
      </c>
      <c r="L52" s="381">
        <f>SUM(L51:L51)</f>
        <v>0</v>
      </c>
      <c r="M52" s="381">
        <f>SUM(M51:M51)</f>
        <v>0</v>
      </c>
      <c r="N52" s="381">
        <f>SUM(N51:N51)</f>
        <v>0</v>
      </c>
      <c r="O52" s="381">
        <f>SUM(O51:O51)</f>
        <v>0</v>
      </c>
      <c r="P52" s="379" t="n"/>
      <c r="Q52" s="381">
        <f>SUM(C52:O52)</f>
        <v>0</v>
      </c>
      <c r="R52" s="379" t="n"/>
      <c r="S52" s="379" t="n"/>
      <c r="T52" s="379" t="n"/>
      <c r="U52" s="373" t="n"/>
      <c r="V52" s="382">
        <f>SUMIF($C$2:$N$2,"&lt;="&amp;締月,C52:N52)</f>
        <v>0</v>
      </c>
      <c r="W52" s="373" t="n"/>
    </row>
    <row r="53" ht="18" customHeight="1" s="322">
      <c r="A53" s="343" t="n"/>
      <c r="B53" s="376" t="inlineStr">
        <is>
          <t>手当（賞与以外）</t>
        </is>
      </c>
      <c r="C53" s="398" t="n">
        <v>0</v>
      </c>
      <c r="D53" s="398" t="n">
        <v>0</v>
      </c>
      <c r="E53" s="398" t="n">
        <v>0</v>
      </c>
      <c r="F53" s="398" t="n">
        <v>0</v>
      </c>
      <c r="G53" s="398" t="n">
        <v>0</v>
      </c>
      <c r="H53" s="398" t="n">
        <v>0</v>
      </c>
      <c r="I53" s="398" t="n">
        <v>0</v>
      </c>
      <c r="J53" s="398" t="n">
        <v>0</v>
      </c>
      <c r="K53" s="398" t="n">
        <v>0</v>
      </c>
      <c r="L53" s="398" t="n">
        <v>0</v>
      </c>
      <c r="M53" s="398" t="n">
        <v>0</v>
      </c>
      <c r="N53" s="398" t="n">
        <v>0</v>
      </c>
      <c r="O53" s="393" t="n"/>
      <c r="P53" s="343" t="n"/>
      <c r="Q53" s="377">
        <f>SUM(C53:O53)</f>
        <v>0</v>
      </c>
      <c r="R53" s="393" t="n"/>
      <c r="S53" s="393" t="n"/>
      <c r="T53" s="393" t="n"/>
      <c r="U53" s="373" t="n"/>
      <c r="V53" s="378">
        <f>SUMIF($C$2:$N$2,"&lt;="&amp;締月,C53:N53)</f>
        <v>0</v>
      </c>
      <c r="W53" s="373" t="n"/>
    </row>
    <row r="54" ht="18" customHeight="1" s="322">
      <c r="A54" s="343" t="n"/>
      <c r="B54" s="376" t="inlineStr">
        <is>
          <t>賞与</t>
        </is>
      </c>
      <c r="C54" s="393" t="n"/>
      <c r="D54" s="343" t="n"/>
      <c r="E54" s="398" t="n">
        <v>0</v>
      </c>
      <c r="F54" s="393" t="n"/>
      <c r="G54" s="393" t="n"/>
      <c r="H54" s="393" t="n"/>
      <c r="I54" s="393" t="n"/>
      <c r="J54" s="393" t="n"/>
      <c r="K54" s="398" t="n">
        <v>0</v>
      </c>
      <c r="L54" s="393" t="n"/>
      <c r="M54" s="393" t="n"/>
      <c r="N54" s="393" t="n"/>
      <c r="O54" s="393" t="n"/>
      <c r="P54" s="343" t="n"/>
      <c r="Q54" s="377">
        <f>SUM(C54:O54)</f>
        <v>0</v>
      </c>
      <c r="R54" s="393" t="n"/>
      <c r="S54" s="393" t="n"/>
      <c r="T54" s="393" t="n"/>
      <c r="U54" s="373" t="n"/>
      <c r="V54" s="378">
        <f>SUMIF($C$2:$N$2,"&lt;="&amp;締月,C54:N54)</f>
        <v>0</v>
      </c>
      <c r="W54" s="373" t="n"/>
    </row>
    <row r="55" ht="18" customFormat="1" customHeight="1" s="395">
      <c r="A55" s="379" t="n"/>
      <c r="B55" s="380" t="inlineStr">
        <is>
          <t>手当計</t>
        </is>
      </c>
      <c r="C55" s="381">
        <f>SUM(C53:C54)</f>
        <v>0</v>
      </c>
      <c r="D55" s="381">
        <f>SUM(D53:D54)</f>
        <v>0</v>
      </c>
      <c r="E55" s="381">
        <f>SUM(E53:E54)</f>
        <v>0</v>
      </c>
      <c r="F55" s="381">
        <f>SUM(F53:F54)</f>
        <v>0</v>
      </c>
      <c r="G55" s="381">
        <f>SUM(G53:G54)</f>
        <v>0</v>
      </c>
      <c r="H55" s="381">
        <f>SUM(H53:H54)</f>
        <v>0</v>
      </c>
      <c r="I55" s="381">
        <f>SUM(I53:I54)</f>
        <v>0</v>
      </c>
      <c r="J55" s="381">
        <f>SUM(J53:J54)</f>
        <v>0</v>
      </c>
      <c r="K55" s="381">
        <f>SUM(K53:K54)</f>
        <v>0</v>
      </c>
      <c r="L55" s="381">
        <f>SUM(L53:L54)</f>
        <v>0</v>
      </c>
      <c r="M55" s="381">
        <f>SUM(M53:M54)</f>
        <v>0</v>
      </c>
      <c r="N55" s="381">
        <f>SUM(N53:N54)</f>
        <v>0</v>
      </c>
      <c r="O55" s="381">
        <f>SUM(O53:O54)</f>
        <v>0</v>
      </c>
      <c r="P55" s="379" t="n"/>
      <c r="Q55" s="381">
        <f>SUM(C55:O55)</f>
        <v>0</v>
      </c>
      <c r="R55" s="379" t="n"/>
      <c r="S55" s="379" t="n"/>
      <c r="T55" s="379" t="n"/>
      <c r="U55" s="373" t="n"/>
      <c r="V55" s="382">
        <f>SUMIF($C$2:$N$2,"&lt;="&amp;締月,C55:N55)</f>
        <v>0</v>
      </c>
      <c r="W55" s="373" t="n"/>
    </row>
    <row r="56" ht="18" customHeight="1" s="322">
      <c r="A56" s="343" t="n"/>
      <c r="B56" s="376" t="inlineStr">
        <is>
          <t>嘱託報酬(通勤込み）</t>
        </is>
      </c>
      <c r="C56" s="377">
        <f>IF(C$2&lt;=締月,SUMIFS(入力_業務!$N$5:$N$1604,入力_業務!$O$5:$O$1604,"非常勤職員手当",入力_業務!$P$5:$P$1604,C$2,入力_業務!$I$5:$I$1604,"確認済")-C57,AA56)</f>
        <v>380800</v>
      </c>
      <c r="D56" s="377">
        <f>IF(D$2&lt;=締月,SUMIFS(入力_業務!$N$5:$N$1604,入力_業務!$O$5:$O$1604,"非常勤職員手当",入力_業務!$P$5:$P$1604,D$2,入力_業務!$I$5:$I$1604,"確認済")-D57,AB56)</f>
        <v>380800</v>
      </c>
      <c r="E56" s="377">
        <f>IF(E$2&lt;=締月,SUMIFS(入力_業務!$N$5:$N$1604,入力_業務!$O$5:$O$1604,"非常勤職員手当",入力_業務!$P$5:$P$1604,E$2,入力_業務!$I$5:$I$1604,"確認済")-E57,AC56)</f>
        <v>380800</v>
      </c>
      <c r="F56" s="377">
        <f>IF(F$2&lt;=締月,SUMIFS(入力_業務!$N$5:$N$1604,入力_業務!$O$5:$O$1604,"非常勤職員手当",入力_業務!$P$5:$P$1604,F$2,入力_業務!$I$5:$I$1604,"確認済")-F57,AD56)</f>
        <v>380800</v>
      </c>
      <c r="G56" s="377">
        <f>IF(G$2&lt;=締月,SUMIFS(入力_業務!$N$5:$N$1604,入力_業務!$O$5:$O$1604,"非常勤職員手当",入力_業務!$P$5:$P$1604,G$2,入力_業務!$I$5:$I$1604,"確認済")-G57,AE56)</f>
        <v>380800</v>
      </c>
      <c r="H56" s="377">
        <f>IF(H$2&lt;=締月,SUMIFS(入力_業務!$N$5:$N$1604,入力_業務!$O$5:$O$1604,"非常勤職員手当",入力_業務!$P$5:$P$1604,H$2,入力_業務!$I$5:$I$1604,"確認済")-H57,AF56)</f>
        <v>380800</v>
      </c>
      <c r="I56" s="377">
        <f>IF(I$2&lt;=締月,SUMIFS(入力_業務!$N$5:$N$1604,入力_業務!$O$5:$O$1604,"非常勤職員手当",入力_業務!$P$5:$P$1604,I$2,入力_業務!$I$5:$I$1604,"確認済")-I57,AG56)</f>
        <v>381773</v>
      </c>
      <c r="J56" s="377">
        <f>IF(J$2&lt;=締月,SUMIFS(入力_業務!$N$5:$N$1604,入力_業務!$O$5:$O$1604,"非常勤職員手当",入力_業務!$P$5:$P$1604,J$2,入力_業務!$I$5:$I$1604,"確認済")-J57,AH56)</f>
        <v>381773</v>
      </c>
      <c r="K56" s="377">
        <f>IF(K$2&lt;=締月,SUMIFS(入力_業務!$N$5:$N$1604,入力_業務!$O$5:$O$1604,"非常勤職員手当",入力_業務!$P$5:$P$1604,K$2,入力_業務!$I$5:$I$1604,"確認済")-K57,AI56)</f>
        <v>548800</v>
      </c>
      <c r="L56" s="377">
        <f>IF(L$2&lt;=締月,SUMIFS(入力_業務!$N$5:$N$1604,入力_業務!$O$5:$O$1604,"非常勤職員手当",入力_業務!$P$5:$P$1604,L$2,入力_業務!$I$5:$I$1604,"確認済")-L57,AJ56)</f>
        <v>395611</v>
      </c>
      <c r="M56" s="377">
        <f>IF(M$2&lt;=締月,SUMIFS(入力_業務!$N$5:$N$1604,入力_業務!$O$5:$O$1604,"非常勤職員手当",入力_業務!$P$5:$P$1604,M$2,入力_業務!$I$5:$I$1604,"確認済")-M57,AK56)</f>
        <v>395611</v>
      </c>
      <c r="N56" s="377">
        <f>IF(N$2&lt;=締月,SUMIFS(入力_業務!$N$5:$N$1604,入力_業務!$O$5:$O$1604,"非常勤職員手当",入力_業務!$P$5:$P$1604,N$2,入力_業務!$I$5:$I$1604,"確認済")-N57,AL56)</f>
        <v>464977</v>
      </c>
      <c r="O56" s="353">
        <f>IF(O$2&lt;=締月,SUMIFS(入力_業務!$N$5:$N$1604,入力_業務!$O$5:$O$1604,"非常勤職員手当",入力_業務!$P$5:$P$1604,O$2,入力_業務!$I$5:$I$1604,"確認済")-O57,AM56)</f>
        <v>0</v>
      </c>
      <c r="P56" s="343" t="n"/>
      <c r="Q56" s="377">
        <f>SUM(C56:O56)</f>
        <v>4853345</v>
      </c>
      <c r="R56" s="393" t="n"/>
      <c r="S56" s="393" t="n"/>
      <c r="T56" s="393" t="n"/>
      <c r="U56" s="373" t="n"/>
      <c r="V56" s="378">
        <f>SUMIF($C$2:$N$2,"&lt;="&amp;締月,C56:N56)</f>
        <v>2284800</v>
      </c>
      <c r="W56" s="373" t="n"/>
      <c r="X56" s="399" t="n">
        <v>1</v>
      </c>
      <c r="AA56" s="400" t="n">
        <v>380800</v>
      </c>
      <c r="AB56" s="400" t="n">
        <v>380800</v>
      </c>
      <c r="AC56" s="400" t="n">
        <v>380800</v>
      </c>
      <c r="AD56" s="400" t="n">
        <v>380800</v>
      </c>
      <c r="AE56" s="400" t="n">
        <v>380800</v>
      </c>
      <c r="AF56" s="400" t="n">
        <v>380800</v>
      </c>
      <c r="AG56" s="400" t="n">
        <v>381773</v>
      </c>
      <c r="AH56" s="400" t="n">
        <v>381773</v>
      </c>
      <c r="AI56" s="400" t="n">
        <v>548800</v>
      </c>
      <c r="AJ56" s="400" t="n">
        <v>395611</v>
      </c>
      <c r="AK56" s="400" t="n">
        <v>395611</v>
      </c>
      <c r="AL56" s="400" t="n">
        <v>464977</v>
      </c>
      <c r="AM56" s="400" t="n"/>
    </row>
    <row r="57" ht="18" customHeight="1" s="322">
      <c r="A57" s="343" t="n"/>
      <c r="B57" s="376" t="inlineStr">
        <is>
          <t>増額報酬</t>
        </is>
      </c>
      <c r="C57" s="377">
        <f>IF(C$2&lt;=締月,SUMIFS(入力_業務!$N$5:$N$1604,入力_業務!$O$5:$O$1604,"非常勤職員手当",入力_業務!$P$5:$P$1604,C$2,入力_業務!$I$5:$I$1604,"確認済",入力_業務!$F$5:$F$1604,"*賞与*"),AA57)</f>
        <v>0</v>
      </c>
      <c r="D57" s="377">
        <f>IF(D$2&lt;=締月,SUMIFS(入力_業務!$N$5:$N$1604,入力_業務!$O$5:$O$1604,"非常勤職員手当",入力_業務!$P$5:$P$1604,D$2,入力_業務!$I$5:$I$1604,"確認済",入力_業務!$F$5:$F$1604,"*賞与*"),AB57)</f>
        <v>0</v>
      </c>
      <c r="E57" s="377">
        <f>IF(E$2&lt;=締月,SUMIFS(入力_業務!$N$5:$N$1604,入力_業務!$O$5:$O$1604,"非常勤職員手当",入力_業務!$P$5:$P$1604,E$2,入力_業務!$I$5:$I$1604,"確認済",入力_業務!$F$5:$F$1604,"*賞与*"),AC57)</f>
        <v>867690</v>
      </c>
      <c r="F57" s="377">
        <f>IF(F$2&lt;=締月,SUMIFS(入力_業務!$N$5:$N$1604,入力_業務!$O$5:$O$1604,"非常勤職員手当",入力_業務!$P$5:$P$1604,F$2,入力_業務!$I$5:$I$1604,"確認済",入力_業務!$F$5:$F$1604,"*賞与*"),AD57)</f>
        <v>0</v>
      </c>
      <c r="G57" s="377">
        <f>IF(G$2&lt;=締月,SUMIFS(入力_業務!$N$5:$N$1604,入力_業務!$O$5:$O$1604,"非常勤職員手当",入力_業務!$P$5:$P$1604,G$2,入力_業務!$I$5:$I$1604,"確認済",入力_業務!$F$5:$F$1604,"*賞与*"),AE57)</f>
        <v>0</v>
      </c>
      <c r="H57" s="377">
        <f>IF(H$2&lt;=締月,SUMIFS(入力_業務!$N$5:$N$1604,入力_業務!$O$5:$O$1604,"非常勤職員手当",入力_業務!$P$5:$P$1604,H$2,入力_業務!$I$5:$I$1604,"確認済",入力_業務!$F$5:$F$1604,"*賞与*"),AF57)</f>
        <v>0</v>
      </c>
      <c r="I57" s="377">
        <f>IF(I$2&lt;=締月,SUMIFS(入力_業務!$N$5:$N$1604,入力_業務!$O$5:$O$1604,"非常勤職員手当",入力_業務!$P$5:$P$1604,I$2,入力_業務!$I$5:$I$1604,"確認済",入力_業務!$F$5:$F$1604,"*賞与*"),AG57)</f>
        <v>0</v>
      </c>
      <c r="J57" s="377">
        <f>IF(J$2&lt;=締月,SUMIFS(入力_業務!$N$5:$N$1604,入力_業務!$O$5:$O$1604,"非常勤職員手当",入力_業務!$P$5:$P$1604,J$2,入力_業務!$I$5:$I$1604,"確認済",入力_業務!$F$5:$F$1604,"*賞与*"),AH57)</f>
        <v>0</v>
      </c>
      <c r="K57" s="377">
        <f>IF(K$2&lt;=締月,SUMIFS(入力_業務!$N$5:$N$1604,入力_業務!$O$5:$O$1604,"非常勤職員手当",入力_業務!$P$5:$P$1604,K$2,入力_業務!$I$5:$I$1604,"確認済",入力_業務!$F$5:$F$1604,"*賞与*"),AI57)</f>
        <v>621532</v>
      </c>
      <c r="L57" s="377">
        <f>IF(L$2&lt;=締月,SUMIFS(入力_業務!$N$5:$N$1604,入力_業務!$O$5:$O$1604,"非常勤職員手当",入力_業務!$P$5:$P$1604,L$2,入力_業務!$I$5:$I$1604,"確認済",入力_業務!$F$5:$F$1604,"*賞与*"),AJ57)</f>
        <v>0</v>
      </c>
      <c r="M57" s="377">
        <f>IF(M$2&lt;=締月,SUMIFS(入力_業務!$N$5:$N$1604,入力_業務!$O$5:$O$1604,"非常勤職員手当",入力_業務!$P$5:$P$1604,M$2,入力_業務!$I$5:$I$1604,"確認済",入力_業務!$F$5:$F$1604,"*賞与*"),AK57)</f>
        <v>0</v>
      </c>
      <c r="N57" s="377">
        <f>IF(N$2&lt;=締月,SUMIFS(入力_業務!$N$5:$N$1604,入力_業務!$O$5:$O$1604,"非常勤職員手当",入力_業務!$P$5:$P$1604,N$2,入力_業務!$I$5:$I$1604,"確認済",入力_業務!$F$5:$F$1604,"*賞与*"),AL57)</f>
        <v>0</v>
      </c>
      <c r="O57" s="353">
        <f>IF(O$2&lt;=締月,SUMIFS(入力_業務!$N$5:$N$1604,入力_業務!$O$5:$O$1604,"非常勤職員手当",入力_業務!$P$5:$P$1604,O$2,入力_業務!$I$5:$I$1604,"確認済",入力_業務!$F$5:$F$1604,"*賞与*"),AM57)</f>
        <v>0</v>
      </c>
      <c r="P57" s="343" t="n"/>
      <c r="Q57" s="377">
        <f>SUM(C57:O57)</f>
        <v>1489222</v>
      </c>
      <c r="R57" s="393" t="n"/>
      <c r="S57" s="393" t="n"/>
      <c r="T57" s="393" t="n"/>
      <c r="U57" s="373" t="n"/>
      <c r="V57" s="378">
        <f>SUMIF($C$2:$N$2,"&lt;="&amp;締月,C57:N57)</f>
        <v>867690</v>
      </c>
      <c r="W57" s="373" t="n"/>
      <c r="X57" s="399" t="n">
        <v>1</v>
      </c>
      <c r="AA57" s="400" t="n"/>
      <c r="AB57" s="400" t="n"/>
      <c r="AC57" s="400" t="n">
        <v>867690</v>
      </c>
      <c r="AD57" s="400" t="n"/>
      <c r="AE57" s="400" t="n"/>
      <c r="AF57" s="400" t="n"/>
      <c r="AG57" s="400" t="n"/>
      <c r="AH57" s="400" t="n"/>
      <c r="AI57" s="400" t="n">
        <v>621532</v>
      </c>
      <c r="AJ57" s="400" t="n"/>
      <c r="AK57" s="400" t="n"/>
      <c r="AL57" s="400" t="n"/>
      <c r="AM57" s="400" t="n"/>
    </row>
    <row r="58" ht="18" customFormat="1" customHeight="1" s="395">
      <c r="A58" s="379" t="n"/>
      <c r="B58" s="380" t="inlineStr">
        <is>
          <t>非常勤手当計</t>
        </is>
      </c>
      <c r="C58" s="381">
        <f>C56</f>
        <v>380800</v>
      </c>
      <c r="D58" s="381">
        <f>D56</f>
        <v>380800</v>
      </c>
      <c r="E58" s="381">
        <f>E56+E57</f>
        <v>1248490</v>
      </c>
      <c r="F58" s="381">
        <f>F56</f>
        <v>380800</v>
      </c>
      <c r="G58" s="381">
        <f>G56</f>
        <v>380800</v>
      </c>
      <c r="H58" s="381">
        <f>H56</f>
        <v>380800</v>
      </c>
      <c r="I58" s="381">
        <f>I56</f>
        <v>381773</v>
      </c>
      <c r="J58" s="381">
        <f>J56</f>
        <v>381773</v>
      </c>
      <c r="K58" s="381">
        <f>K56+K57</f>
        <v>1170332</v>
      </c>
      <c r="L58" s="381">
        <f>L56</f>
        <v>395611</v>
      </c>
      <c r="M58" s="381">
        <f>M56</f>
        <v>395611</v>
      </c>
      <c r="N58" s="381">
        <f>N56+N57</f>
        <v>464977</v>
      </c>
      <c r="O58" s="410" t="n">
        <v>0</v>
      </c>
      <c r="P58" s="379" t="n"/>
      <c r="Q58" s="381">
        <f>SUM(C58:O58)</f>
        <v>6342567</v>
      </c>
      <c r="R58" s="379" t="n"/>
      <c r="S58" s="379" t="n"/>
      <c r="T58" s="379" t="n"/>
      <c r="U58" s="373" t="n"/>
      <c r="V58" s="382">
        <f>SUMIF($C$2:$N$2,"&lt;="&amp;締月,C58:N58)</f>
        <v>3152490</v>
      </c>
      <c r="W58" s="373" t="n"/>
    </row>
    <row r="59" ht="18" customHeight="1" s="322">
      <c r="A59" s="343" t="n"/>
      <c r="B59" s="376" t="inlineStr">
        <is>
          <t>臨時賃金</t>
        </is>
      </c>
      <c r="C59" s="377">
        <f>IF(C$2&lt;=締月,SUMIFS(入力_業務!$N$5:$N$1604,入力_業務!$O$5:$O$1604,"賃金",入力_業務!$P$5:$P$1604,C$2,入力_業務!$I$5:$I$1604,"確認済"),AA59)</f>
        <v>0</v>
      </c>
      <c r="D59" s="377">
        <f>IF(D$2&lt;=締月,SUMIFS(入力_業務!$N$5:$N$1604,入力_業務!$O$5:$O$1604,"賃金",入力_業務!$P$5:$P$1604,D$2,入力_業務!$I$5:$I$1604,"確認済"),AB59)</f>
        <v>0</v>
      </c>
      <c r="E59" s="377">
        <f>IF(E$2&lt;=締月,SUMIFS(入力_業務!$N$5:$N$1604,入力_業務!$O$5:$O$1604,"賃金",入力_業務!$P$5:$P$1604,E$2,入力_業務!$I$5:$I$1604,"確認済"),AC59)</f>
        <v>0</v>
      </c>
      <c r="F59" s="377">
        <f>IF(F$2&lt;=締月,SUMIFS(入力_業務!$N$5:$N$1604,入力_業務!$O$5:$O$1604,"賃金",入力_業務!$P$5:$P$1604,F$2,入力_業務!$I$5:$I$1604,"確認済"),AD59)</f>
        <v>0</v>
      </c>
      <c r="G59" s="377">
        <f>IF(G$2&lt;=締月,SUMIFS(入力_業務!$N$5:$N$1604,入力_業務!$O$5:$O$1604,"賃金",入力_業務!$P$5:$P$1604,G$2,入力_業務!$I$5:$I$1604,"確認済"),AE59)</f>
        <v>0</v>
      </c>
      <c r="H59" s="377">
        <f>IF(H$2&lt;=締月,SUMIFS(入力_業務!$N$5:$N$1604,入力_業務!$O$5:$O$1604,"賃金",入力_業務!$P$5:$P$1604,H$2,入力_業務!$I$5:$I$1604,"確認済"),AF59)</f>
        <v>0</v>
      </c>
      <c r="I59" s="377">
        <f>IF(I$2&lt;=締月,SUMIFS(入力_業務!$N$5:$N$1604,入力_業務!$O$5:$O$1604,"賃金",入力_業務!$P$5:$P$1604,I$2,入力_業務!$I$5:$I$1604,"確認済"),AG59)</f>
        <v>0</v>
      </c>
      <c r="J59" s="377">
        <f>IF(J$2&lt;=締月,SUMIFS(入力_業務!$N$5:$N$1604,入力_業務!$O$5:$O$1604,"賃金",入力_業務!$P$5:$P$1604,J$2,入力_業務!$I$5:$I$1604,"確認済"),AH59)</f>
        <v>0</v>
      </c>
      <c r="K59" s="377">
        <f>IF(K$2&lt;=締月,SUMIFS(入力_業務!$N$5:$N$1604,入力_業務!$O$5:$O$1604,"賃金",入力_業務!$P$5:$P$1604,K$2,入力_業務!$I$5:$I$1604,"確認済"),AI59)</f>
        <v>0</v>
      </c>
      <c r="L59" s="377">
        <f>IF(L$2&lt;=締月,SUMIFS(入力_業務!$N$5:$N$1604,入力_業務!$O$5:$O$1604,"賃金",入力_業務!$P$5:$P$1604,L$2,入力_業務!$I$5:$I$1604,"確認済"),AJ59)</f>
        <v>0</v>
      </c>
      <c r="M59" s="377">
        <f>IF(M$2&lt;=締月,SUMIFS(入力_業務!$N$5:$N$1604,入力_業務!$O$5:$O$1604,"賃金",入力_業務!$P$5:$P$1604,M$2,入力_業務!$I$5:$I$1604,"確認済"),AK59)</f>
        <v>0</v>
      </c>
      <c r="N59" s="377">
        <f>IF(N$2&lt;=締月,SUMIFS(入力_業務!$N$5:$N$1604,入力_業務!$O$5:$O$1604,"賃金",入力_業務!$P$5:$P$1604,N$2,入力_業務!$I$5:$I$1604,"確認済"),AL59)</f>
        <v>0</v>
      </c>
      <c r="O59" s="377">
        <f>IF(O$2&lt;=締月,SUMIFS(入力_業務!$N$5:$N$1604,入力_業務!$O$5:$O$1604,"賃金",入力_業務!$P$5:$P$1604,O$2,入力_業務!$I$5:$I$1604,"確認済"),AM59)</f>
        <v>0</v>
      </c>
      <c r="P59" s="343" t="n"/>
      <c r="Q59" s="377">
        <f>SUM(C59:O59)</f>
        <v>0</v>
      </c>
      <c r="R59" s="393" t="n"/>
      <c r="S59" s="393" t="n"/>
      <c r="T59" s="393" t="n"/>
      <c r="U59" s="373" t="n"/>
      <c r="V59" s="378">
        <f>SUMIF($C$2:$N$2,"&lt;="&amp;締月,C59:N59)</f>
        <v>0</v>
      </c>
      <c r="W59" s="373" t="n"/>
      <c r="X59" s="399" t="n">
        <v>1</v>
      </c>
      <c r="AA59" s="400" t="n"/>
      <c r="AB59" s="400" t="n"/>
      <c r="AC59" s="400" t="n"/>
      <c r="AD59" s="400" t="n"/>
      <c r="AE59" s="400" t="n"/>
      <c r="AF59" s="400" t="n"/>
      <c r="AG59" s="400" t="n"/>
      <c r="AH59" s="400" t="n"/>
      <c r="AI59" s="400" t="n"/>
      <c r="AJ59" s="400" t="n"/>
      <c r="AK59" s="400" t="n"/>
      <c r="AL59" s="400" t="n"/>
      <c r="AM59" s="400" t="n"/>
    </row>
    <row r="60" ht="18" customFormat="1" customHeight="1" s="404">
      <c r="A60" s="379" t="n"/>
      <c r="B60" s="405" t="inlineStr">
        <is>
          <t>賃金計</t>
        </is>
      </c>
      <c r="C60" s="406">
        <f>C59</f>
        <v>0</v>
      </c>
      <c r="D60" s="406">
        <f>D59</f>
        <v>0</v>
      </c>
      <c r="E60" s="406">
        <f>E59</f>
        <v>0</v>
      </c>
      <c r="F60" s="406">
        <f>F59</f>
        <v>0</v>
      </c>
      <c r="G60" s="406">
        <f>G59</f>
        <v>0</v>
      </c>
      <c r="H60" s="406">
        <f>H59</f>
        <v>0</v>
      </c>
      <c r="I60" s="406">
        <f>I59</f>
        <v>0</v>
      </c>
      <c r="J60" s="406">
        <f>J59</f>
        <v>0</v>
      </c>
      <c r="K60" s="406">
        <f>K59</f>
        <v>0</v>
      </c>
      <c r="L60" s="406">
        <f>L59</f>
        <v>0</v>
      </c>
      <c r="M60" s="406">
        <f>M59</f>
        <v>0</v>
      </c>
      <c r="N60" s="406">
        <f>N59</f>
        <v>0</v>
      </c>
      <c r="O60" s="411" t="n">
        <v>0</v>
      </c>
      <c r="P60" s="396" t="n"/>
      <c r="Q60" s="406">
        <f>SUM(C60:O60)</f>
        <v>0</v>
      </c>
      <c r="R60" s="396" t="n"/>
      <c r="S60" s="396" t="n"/>
      <c r="T60" s="379" t="n"/>
      <c r="U60" s="373" t="n"/>
      <c r="V60" s="382">
        <f>SUMIF($C$2:$N$2,"&lt;="&amp;締月,C60:N60)</f>
        <v>0</v>
      </c>
      <c r="W60" s="373" t="n"/>
    </row>
    <row r="61">
      <c r="A61" s="373" t="n"/>
      <c r="B61" s="373" t="n"/>
      <c r="C61" s="373" t="n"/>
      <c r="D61" s="373" t="n"/>
      <c r="E61" s="373" t="n"/>
      <c r="F61" s="373" t="n"/>
      <c r="G61" s="373" t="n"/>
      <c r="H61" s="373" t="n"/>
      <c r="I61" s="373" t="n"/>
      <c r="J61" s="373" t="n"/>
      <c r="K61" s="373" t="n"/>
      <c r="L61" s="373" t="n"/>
      <c r="M61" s="373" t="n"/>
      <c r="N61" s="373" t="n"/>
      <c r="O61" s="373" t="n"/>
      <c r="P61" s="373" t="n"/>
      <c r="Q61" s="373" t="n"/>
      <c r="R61" s="373" t="n"/>
      <c r="S61" s="373" t="n"/>
      <c r="T61" s="373" t="n"/>
      <c r="U61" s="373" t="n"/>
      <c r="V61" s="373" t="n"/>
      <c r="W61" s="373" t="n"/>
    </row>
    <row r="62" ht="18" customHeight="1" s="322">
      <c r="A62" s="379" t="n"/>
      <c r="B62" s="380" t="inlineStr">
        <is>
          <t>合計</t>
        </is>
      </c>
      <c r="C62" s="381">
        <f>C58</f>
        <v>380800</v>
      </c>
      <c r="D62" s="381">
        <f>D58</f>
        <v>380800</v>
      </c>
      <c r="E62" s="381">
        <f>E58</f>
        <v>1248490</v>
      </c>
      <c r="F62" s="381">
        <f>F58</f>
        <v>380800</v>
      </c>
      <c r="G62" s="381">
        <f>G58</f>
        <v>380800</v>
      </c>
      <c r="H62" s="381">
        <f>H58</f>
        <v>380800</v>
      </c>
      <c r="I62" s="381">
        <f>I58</f>
        <v>381773</v>
      </c>
      <c r="J62" s="381">
        <f>J58</f>
        <v>381773</v>
      </c>
      <c r="K62" s="381">
        <f>K58</f>
        <v>1170332</v>
      </c>
      <c r="L62" s="381">
        <f>L58</f>
        <v>395611</v>
      </c>
      <c r="M62" s="381">
        <f>M58</f>
        <v>395611</v>
      </c>
      <c r="N62" s="381">
        <f>N58</f>
        <v>464977</v>
      </c>
      <c r="O62" s="410" t="n">
        <v>0</v>
      </c>
      <c r="P62" s="379" t="n"/>
      <c r="Q62" s="381">
        <f>SUM(C62:O62)</f>
        <v>6342567</v>
      </c>
      <c r="R62" s="397" t="n"/>
      <c r="S62" s="397" t="n"/>
      <c r="T62" s="397" t="n"/>
      <c r="U62" s="373" t="n"/>
      <c r="V62" s="382">
        <f>SUMIF($C$2:$N$2,"&lt;="&amp;締月,C62:N62)</f>
        <v>3152490</v>
      </c>
      <c r="W62" s="373" t="n"/>
    </row>
  </sheetData>
  <mergeCells count="31">
    <mergeCell ref="A48:B48"/>
    <mergeCell ref="A24:B24"/>
    <mergeCell ref="A5:A9"/>
    <mergeCell ref="A12:A18"/>
    <mergeCell ref="A11:B11"/>
    <mergeCell ref="A45:B45"/>
    <mergeCell ref="P1:W1"/>
    <mergeCell ref="Q27:Q31"/>
    <mergeCell ref="A25:B25"/>
    <mergeCell ref="A41:B41"/>
    <mergeCell ref="A46:B46"/>
    <mergeCell ref="A3:B3"/>
    <mergeCell ref="T27:T31"/>
    <mergeCell ref="A21:B21"/>
    <mergeCell ref="A2:B2"/>
    <mergeCell ref="A42:B42"/>
    <mergeCell ref="A23:B23"/>
    <mergeCell ref="S27:S31"/>
    <mergeCell ref="A22:B22"/>
    <mergeCell ref="A35:B35"/>
    <mergeCell ref="A4:B4"/>
    <mergeCell ref="A20:B20"/>
    <mergeCell ref="A26:A33"/>
    <mergeCell ref="A43:B43"/>
    <mergeCell ref="A19:B19"/>
    <mergeCell ref="A10:B10"/>
    <mergeCell ref="A1:O1"/>
    <mergeCell ref="A44:B44"/>
    <mergeCell ref="A40:B40"/>
    <mergeCell ref="R27:R31"/>
    <mergeCell ref="A39:B39"/>
  </mergeCells>
  <conditionalFormatting sqref="C4:N62">
    <cfRule type="expression" priority="1" dxfId="11">
      <formula>AND(ISNUMBER(C4),C$2&lt;&gt;"",C$2&gt;締月)</formula>
    </cfRule>
  </conditionalFormatting>
  <conditionalFormatting sqref="O4:O62">
    <cfRule type="expression" priority="2" dxfId="7">
      <formula>AND(ISNUMBER(O4),締月&lt;13)</formula>
    </cfRule>
  </conditionalFormatting>
  <printOptions horizontalCentered="0" verticalCentered="0" headings="0" gridLines="0" gridLinesSet="1"/>
  <pageMargins left="0.590277777777778" right="0.196527777777778" top="0.275" bottom="0.196527777777778" header="0.196527777777778" footer="0.196527777777778"/>
  <pageSetup orientation="landscape" paperSize="8" scale="100" fitToHeight="0" fitToWidth="1" pageOrder="downThenOver" blackAndWhite="0" draft="0" cellComments="atEnd"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tabColor rgb="001F3864"/>
    <outlinePr summaryBelow="1" summaryRight="1"/>
    <pageSetUpPr fitToPage="1"/>
  </sheetPr>
  <dimension ref="A1:AM55"/>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4" activePane="bottomRight" state="frozen"/>
      <selection pane="topRight"/>
      <selection pane="bottomLeft"/>
      <selection pane="bottomRight" activeCell="A1" activeCellId="0" sqref="A1"/>
      <selection pane="topRight" activeCell="C1" activeCellId="0" sqref="C1"/>
      <selection pane="bottomLeft" activeCell="A25" activeCellId="0" sqref="A25"/>
      <selection pane="bottomRight" activeCell="K51" activeCellId="0" sqref="K51"/>
    </sheetView>
  </sheetViews>
  <sheetFormatPr baseColWidth="8" defaultColWidth="8.96484375" defaultRowHeight="18" zeroHeight="0" outlineLevelRow="0"/>
  <cols>
    <col width="14" customWidth="1" style="412" min="1" max="1"/>
    <col width="20" customWidth="1" style="412" min="2" max="2"/>
    <col width="12.5" customWidth="1" style="412" min="3" max="14"/>
    <col width="12.5" customWidth="1" style="322" min="4" max="4"/>
    <col width="12.5" customWidth="1" style="322" min="5" max="5"/>
    <col width="12.5" customWidth="1" style="322" min="6" max="6"/>
    <col width="12.5" customWidth="1" style="322" min="7" max="7"/>
    <col width="12.5" customWidth="1" style="322" min="8" max="8"/>
    <col width="12.5" customWidth="1" style="322" min="9" max="9"/>
    <col width="12.5" customWidth="1" style="322" min="10" max="10"/>
    <col width="12.5" customWidth="1" style="322" min="11" max="11"/>
    <col width="12.5" customWidth="1" style="322" min="12" max="12"/>
    <col width="12.5" customWidth="1" style="322" min="13" max="13"/>
    <col width="12.5" customWidth="1" style="322" min="14" max="14"/>
    <col width="12.5" customWidth="1" style="413" min="15" max="15"/>
    <col width="13.5" customWidth="1" style="412" min="16" max="20"/>
    <col width="13.5" customWidth="1" style="322" min="17" max="17"/>
    <col width="13.5" customWidth="1" style="322" min="18" max="18"/>
    <col width="13.5" customWidth="1" style="322" min="19" max="19"/>
    <col width="13.5" customWidth="1" style="322" min="20" max="20"/>
    <col width="12" customWidth="1" style="322" min="21" max="21"/>
    <col width="13.5" customWidth="1" style="412" min="22" max="22"/>
    <col width="13.5" customWidth="1" style="322" min="23" max="23"/>
    <col hidden="1" width="13" customWidth="1" style="322" min="24" max="24"/>
    <col hidden="1" outlineLevel="1" width="11" customWidth="1" style="322" min="27" max="39"/>
    <col width="11" customWidth="1" style="322" min="28" max="28"/>
    <col width="11" customWidth="1" style="322" min="29" max="29"/>
    <col width="11" customWidth="1" style="322" min="30" max="30"/>
    <col width="11" customWidth="1" style="322" min="31" max="31"/>
    <col width="11" customWidth="1" style="322" min="32" max="32"/>
    <col width="11" customWidth="1" style="322" min="33" max="33"/>
    <col width="11" customWidth="1" style="322" min="34" max="34"/>
    <col width="11" customWidth="1" style="322" min="35" max="35"/>
    <col width="11" customWidth="1" style="322" min="36" max="36"/>
    <col width="11" customWidth="1" style="322" min="37" max="37"/>
    <col width="11" customWidth="1" style="322" min="38" max="38"/>
    <col width="11" customWidth="1" style="322" min="39" max="39"/>
  </cols>
  <sheetData>
    <row r="1" ht="26" customHeight="1" s="322">
      <c r="A1" s="323" t="str">
        <f>"令和"&amp;年度&amp;"年度　貸付経理　費用収益表"</f>
        <v>令和8年度　貸付経理　費用収益表</v>
      </c>
      <c r="B1" s="324" t="n"/>
      <c r="C1" s="324" t="n"/>
      <c r="D1" s="324" t="n"/>
      <c r="E1" s="324" t="n"/>
      <c r="F1" s="324" t="n"/>
      <c r="G1" s="324" t="n"/>
      <c r="H1" s="324" t="n"/>
      <c r="I1" s="324" t="n"/>
      <c r="J1" s="324" t="n"/>
      <c r="K1" s="324" t="n"/>
      <c r="L1" s="324" t="n"/>
      <c r="M1" s="324" t="n"/>
      <c r="N1" s="324" t="n"/>
      <c r="O1" s="324" t="n"/>
      <c r="P1" s="368" t="inlineStr">
        <is>
          <t>緑字＝未締め月（前年実績・見込）／黒字＝締め済み／青字＝手入力セル</t>
        </is>
      </c>
      <c r="Q1" s="324" t="n"/>
      <c r="R1" s="324" t="n"/>
      <c r="S1" s="324" t="n"/>
      <c r="T1" s="324" t="n"/>
      <c r="U1" s="324" t="n"/>
      <c r="V1" s="324" t="n"/>
      <c r="W1" s="324" t="n"/>
    </row>
    <row r="2" ht="22.5" customHeight="1" s="322">
      <c r="A2" s="414" t="inlineStr">
        <is>
          <t>費用</t>
        </is>
      </c>
      <c r="B2" s="339" t="n"/>
      <c r="C2" s="415" t="n">
        <v>1</v>
      </c>
      <c r="D2" s="415" t="n">
        <v>2</v>
      </c>
      <c r="E2" s="415" t="n">
        <v>3</v>
      </c>
      <c r="F2" s="415" t="n">
        <v>4</v>
      </c>
      <c r="G2" s="415" t="n">
        <v>5</v>
      </c>
      <c r="H2" s="415" t="n">
        <v>6</v>
      </c>
      <c r="I2" s="415" t="n">
        <v>7</v>
      </c>
      <c r="J2" s="415" t="n">
        <v>8</v>
      </c>
      <c r="K2" s="415" t="n">
        <v>9</v>
      </c>
      <c r="L2" s="415" t="n">
        <v>10</v>
      </c>
      <c r="M2" s="415" t="n">
        <v>11</v>
      </c>
      <c r="N2" s="415" t="n">
        <v>12</v>
      </c>
      <c r="O2" s="415" t="n">
        <v>13</v>
      </c>
      <c r="P2" s="339" t="n"/>
      <c r="Q2" s="339" t="n"/>
      <c r="R2" s="339" t="n"/>
      <c r="S2" s="339" t="n"/>
      <c r="T2" s="339" t="n"/>
      <c r="U2" s="339" t="n"/>
      <c r="V2" s="339" t="n"/>
      <c r="W2" s="339" t="n"/>
      <c r="AA2" s="371" t="inlineStr">
        <is>
          <t>▼ 参考値（旧表の値：未締め月に表示される前年実績・見込）</t>
        </is>
      </c>
    </row>
    <row r="3" ht="22" customHeight="1" s="322">
      <c r="A3" s="327" t="inlineStr">
        <is>
          <t>支払月</t>
        </is>
      </c>
      <c r="B3" s="327" t="n"/>
      <c r="C3" s="327" t="inlineStr">
        <is>
          <t>４月</t>
        </is>
      </c>
      <c r="D3" s="327" t="inlineStr">
        <is>
          <t>５月</t>
        </is>
      </c>
      <c r="E3" s="327" t="inlineStr">
        <is>
          <t>６月</t>
        </is>
      </c>
      <c r="F3" s="327" t="inlineStr">
        <is>
          <t>７月</t>
        </is>
      </c>
      <c r="G3" s="327" t="inlineStr">
        <is>
          <t>８月</t>
        </is>
      </c>
      <c r="H3" s="327" t="inlineStr">
        <is>
          <t>９月</t>
        </is>
      </c>
      <c r="I3" s="327" t="inlineStr">
        <is>
          <t>１０月</t>
        </is>
      </c>
      <c r="J3" s="327" t="inlineStr">
        <is>
          <t>１１月</t>
        </is>
      </c>
      <c r="K3" s="327" t="inlineStr">
        <is>
          <t>１２月</t>
        </is>
      </c>
      <c r="L3" s="327" t="inlineStr">
        <is>
          <t>１月</t>
        </is>
      </c>
      <c r="M3" s="327" t="inlineStr">
        <is>
          <t>２月</t>
        </is>
      </c>
      <c r="N3" s="327" t="inlineStr">
        <is>
          <t>３月</t>
        </is>
      </c>
      <c r="O3" s="327" t="inlineStr">
        <is>
          <t>４月(未払）</t>
        </is>
      </c>
      <c r="P3" s="327" t="inlineStr">
        <is>
          <t>計</t>
        </is>
      </c>
      <c r="Q3" s="327" t="inlineStr">
        <is>
          <t>予算額</t>
        </is>
      </c>
      <c r="R3" s="372" t="inlineStr">
        <is>
          <t>流用振替額</t>
        </is>
      </c>
      <c r="S3" s="372" t="inlineStr">
        <is>
          <t>予算現額</t>
        </is>
      </c>
      <c r="T3" s="327" t="inlineStr">
        <is>
          <t>不用額</t>
        </is>
      </c>
      <c r="U3" s="373" t="n"/>
      <c r="V3" s="327" t="inlineStr">
        <is>
          <t>締め月まで
累計</t>
        </is>
      </c>
      <c r="W3" s="327" t="inlineStr">
        <is>
          <t>予算残額
（現在）</t>
        </is>
      </c>
      <c r="X3" s="374" t="inlineStr">
        <is>
          <t>台帳連動</t>
        </is>
      </c>
      <c r="AA3" s="375" t="inlineStr">
        <is>
          <t>4月</t>
        </is>
      </c>
      <c r="AB3" s="375" t="inlineStr">
        <is>
          <t>5月</t>
        </is>
      </c>
      <c r="AC3" s="375" t="inlineStr">
        <is>
          <t>6月</t>
        </is>
      </c>
      <c r="AD3" s="375" t="inlineStr">
        <is>
          <t>7月</t>
        </is>
      </c>
      <c r="AE3" s="375" t="inlineStr">
        <is>
          <t>8月</t>
        </is>
      </c>
      <c r="AF3" s="375" t="inlineStr">
        <is>
          <t>9月</t>
        </is>
      </c>
      <c r="AG3" s="375" t="inlineStr">
        <is>
          <t>10月</t>
        </is>
      </c>
      <c r="AH3" s="375" t="inlineStr">
        <is>
          <t>11月</t>
        </is>
      </c>
      <c r="AI3" s="375" t="inlineStr">
        <is>
          <t>12月</t>
        </is>
      </c>
      <c r="AJ3" s="375" t="inlineStr">
        <is>
          <t>1月</t>
        </is>
      </c>
      <c r="AK3" s="375" t="inlineStr">
        <is>
          <t>2月</t>
        </is>
      </c>
      <c r="AL3" s="375" t="inlineStr">
        <is>
          <t>3月</t>
        </is>
      </c>
      <c r="AM3" s="375" t="inlineStr">
        <is>
          <t>4月(未払)</t>
        </is>
      </c>
    </row>
    <row r="4" ht="18" customHeight="1" s="322">
      <c r="A4" s="385" t="inlineStr">
        <is>
          <t>職員給与</t>
        </is>
      </c>
      <c r="B4" s="385" t="inlineStr">
        <is>
          <t>非常勤職員手当</t>
        </is>
      </c>
      <c r="C4" s="353">
        <f>C45</f>
        <v>491490</v>
      </c>
      <c r="D4" s="353">
        <f>D45</f>
        <v>372800</v>
      </c>
      <c r="E4" s="353">
        <f>E45</f>
        <v>1239559</v>
      </c>
      <c r="F4" s="353">
        <f>F45</f>
        <v>372800</v>
      </c>
      <c r="G4" s="353">
        <f>G45</f>
        <v>372800</v>
      </c>
      <c r="H4" s="353">
        <f>H45</f>
        <v>372800</v>
      </c>
      <c r="I4" s="353">
        <f>I45</f>
        <v>474390</v>
      </c>
      <c r="J4" s="353">
        <f>J45</f>
        <v>357596</v>
      </c>
      <c r="K4" s="353">
        <f>K45</f>
        <v>1320657</v>
      </c>
      <c r="L4" s="353">
        <f>L45</f>
        <v>365100</v>
      </c>
      <c r="M4" s="353">
        <f>M45</f>
        <v>365100</v>
      </c>
      <c r="N4" s="353">
        <f>N45</f>
        <v>365100</v>
      </c>
      <c r="O4" s="416" t="n"/>
      <c r="P4" s="353">
        <f>SUM(C4:O4)</f>
        <v>6470192</v>
      </c>
      <c r="Q4" s="417" t="n">
        <v>7137000</v>
      </c>
      <c r="R4" s="418" t="n"/>
      <c r="S4" s="353">
        <f>SUM(Q4:R4)</f>
        <v>7137000</v>
      </c>
      <c r="T4" s="353">
        <f>S4-P4</f>
        <v>666808</v>
      </c>
      <c r="U4" s="373" t="n"/>
      <c r="V4" s="378">
        <f>SUMIF($C$2:$N$2,"&lt;="&amp;締月,C4:N4)</f>
        <v>3222249</v>
      </c>
      <c r="W4" s="378">
        <f>S4-V4</f>
        <v>3914751</v>
      </c>
    </row>
    <row r="5" ht="18" customHeight="1" s="322">
      <c r="A5" s="343" t="n"/>
      <c r="B5" s="385" t="inlineStr">
        <is>
          <t>退職給与引当金</t>
        </is>
      </c>
      <c r="C5" s="418" t="n"/>
      <c r="D5" s="418" t="n"/>
      <c r="E5" s="418" t="n"/>
      <c r="F5" s="418" t="n"/>
      <c r="G5" s="418" t="n"/>
      <c r="H5" s="418" t="n"/>
      <c r="I5" s="418" t="n"/>
      <c r="J5" s="418" t="n"/>
      <c r="K5" s="418" t="n"/>
      <c r="L5" s="418" t="n"/>
      <c r="M5" s="418" t="n"/>
      <c r="N5" s="418" t="n"/>
      <c r="O5" s="416" t="n"/>
      <c r="P5" s="353">
        <f>SUM(C5:O5)</f>
        <v>0</v>
      </c>
      <c r="Q5" s="417" t="n">
        <v>0</v>
      </c>
      <c r="R5" s="418" t="n"/>
      <c r="S5" s="353">
        <f>SUM(Q5:R5)</f>
        <v>0</v>
      </c>
      <c r="T5" s="353">
        <f>S5-P5</f>
        <v>0</v>
      </c>
      <c r="U5" s="373" t="n"/>
      <c r="V5" s="378">
        <f>SUMIF($C$2:$N$2,"&lt;="&amp;締月,C5:N5)</f>
        <v>0</v>
      </c>
      <c r="W5" s="378">
        <f>S5-V5</f>
        <v>0</v>
      </c>
    </row>
    <row r="6" ht="18" customHeight="1" s="322">
      <c r="A6" s="379" t="n"/>
      <c r="B6" s="405" t="inlineStr">
        <is>
          <t>計</t>
        </is>
      </c>
      <c r="C6" s="406">
        <f>SUM(C4:C5)</f>
        <v>491490</v>
      </c>
      <c r="D6" s="406">
        <f>SUM(D4:D5)</f>
        <v>372800</v>
      </c>
      <c r="E6" s="406">
        <f>SUM(E4:E5)</f>
        <v>1239559</v>
      </c>
      <c r="F6" s="406">
        <f>SUM(F4:F5)</f>
        <v>372800</v>
      </c>
      <c r="G6" s="406">
        <f>SUM(G4:G5)</f>
        <v>372800</v>
      </c>
      <c r="H6" s="406">
        <f>SUM(H4:H5)</f>
        <v>372800</v>
      </c>
      <c r="I6" s="406">
        <f>SUM(I4:I5)</f>
        <v>474390</v>
      </c>
      <c r="J6" s="406">
        <f>SUM(J4:J5)</f>
        <v>357596</v>
      </c>
      <c r="K6" s="406">
        <f>SUM(K4:K5)</f>
        <v>1320657</v>
      </c>
      <c r="L6" s="406">
        <f>SUM(L4:L5)</f>
        <v>365100</v>
      </c>
      <c r="M6" s="406">
        <f>SUM(M4:M5)</f>
        <v>365100</v>
      </c>
      <c r="N6" s="406">
        <f>SUM(N4:N5)</f>
        <v>365100</v>
      </c>
      <c r="O6" s="406">
        <f>SUM(O4:O5)</f>
        <v>0</v>
      </c>
      <c r="P6" s="406">
        <f>SUM(P4:P5)</f>
        <v>6470192</v>
      </c>
      <c r="Q6" s="406">
        <f>SUM(Q4:Q5)</f>
        <v>7137000</v>
      </c>
      <c r="R6" s="396" t="n"/>
      <c r="S6" s="406">
        <f>SUM(Q6:R6)</f>
        <v>7137000</v>
      </c>
      <c r="T6" s="406">
        <f>S6-P6</f>
        <v>666808</v>
      </c>
      <c r="U6" s="373" t="n"/>
      <c r="V6" s="382">
        <f>SUMIF($C$2:$N$2,"&lt;="&amp;締月,C6:N6)</f>
        <v>3222249</v>
      </c>
      <c r="W6" s="382">
        <f>S6-V6</f>
        <v>3914751</v>
      </c>
    </row>
    <row r="7" ht="18" customHeight="1" s="322">
      <c r="A7" s="385" t="inlineStr">
        <is>
          <t>厚生費</t>
        </is>
      </c>
      <c r="B7" s="343" t="n"/>
      <c r="C7" s="353">
        <f>IF(C$2&lt;=締月,SUMIFS(入力_貸付!$F$5:$F$404,入力_貸付!$D$5:$D$404,"厚生費",入力_貸付!$H$5:$H$404,C$2,入力_貸付!$G$5:$G$404,"確認済"),AA7)</f>
        <v>0</v>
      </c>
      <c r="D7" s="353">
        <f>IF(D$2&lt;=締月,SUMIFS(入力_貸付!$F$5:$F$404,入力_貸付!$D$5:$D$404,"厚生費",入力_貸付!$H$5:$H$404,D$2,入力_貸付!$G$5:$G$404,"確認済"),AB7)</f>
        <v>0</v>
      </c>
      <c r="E7" s="353">
        <f>IF(E$2&lt;=締月,SUMIFS(入力_貸付!$F$5:$F$404,入力_貸付!$D$5:$D$404,"厚生費",入力_貸付!$H$5:$H$404,E$2,入力_貸付!$G$5:$G$404,"確認済"),AC7)</f>
        <v>0</v>
      </c>
      <c r="F7" s="353">
        <f>IF(F$2&lt;=締月,SUMIFS(入力_貸付!$F$5:$F$404,入力_貸付!$D$5:$D$404,"厚生費",入力_貸付!$H$5:$H$404,F$2,入力_貸付!$G$5:$G$404,"確認済"),AD7)</f>
        <v>0</v>
      </c>
      <c r="G7" s="353">
        <f>IF(G$2&lt;=締月,SUMIFS(入力_貸付!$F$5:$F$404,入力_貸付!$D$5:$D$404,"厚生費",入力_貸付!$H$5:$H$404,G$2,入力_貸付!$G$5:$G$404,"確認済"),AE7)</f>
        <v>1980</v>
      </c>
      <c r="H7" s="353">
        <f>IF(H$2&lt;=締月,SUMIFS(入力_貸付!$F$5:$F$404,入力_貸付!$D$5:$D$404,"厚生費",入力_貸付!$H$5:$H$404,H$2,入力_貸付!$G$5:$G$404,"確認済"),AF7)</f>
        <v>21527</v>
      </c>
      <c r="I7" s="353">
        <f>IF(I$2&lt;=締月,SUMIFS(入力_貸付!$F$5:$F$404,入力_貸付!$D$5:$D$404,"厚生費",入力_貸付!$H$5:$H$404,I$2,入力_貸付!$G$5:$G$404,"確認済"),AG7)</f>
        <v>0</v>
      </c>
      <c r="J7" s="353">
        <f>IF(J$2&lt;=締月,SUMIFS(入力_貸付!$F$5:$F$404,入力_貸付!$D$5:$D$404,"厚生費",入力_貸付!$H$5:$H$404,J$2,入力_貸付!$G$5:$G$404,"確認済"),AH7)</f>
        <v>0</v>
      </c>
      <c r="K7" s="353">
        <f>IF(K$2&lt;=締月,SUMIFS(入力_貸付!$F$5:$F$404,入力_貸付!$D$5:$D$404,"厚生費",入力_貸付!$H$5:$H$404,K$2,入力_貸付!$G$5:$G$404,"確認済"),AI7)</f>
        <v>0</v>
      </c>
      <c r="L7" s="353">
        <f>IF(L$2&lt;=締月,SUMIFS(入力_貸付!$F$5:$F$404,入力_貸付!$D$5:$D$404,"厚生費",入力_貸付!$H$5:$H$404,L$2,入力_貸付!$G$5:$G$404,"確認済"),AJ7)</f>
        <v>0</v>
      </c>
      <c r="M7" s="353">
        <f>IF(M$2&lt;=締月,SUMIFS(入力_貸付!$F$5:$F$404,入力_貸付!$D$5:$D$404,"厚生費",入力_貸付!$H$5:$H$404,M$2,入力_貸付!$G$5:$G$404,"確認済"),AK7)</f>
        <v>10395</v>
      </c>
      <c r="N7" s="353">
        <f>IF(N$2&lt;=締月,SUMIFS(入力_貸付!$F$5:$F$404,入力_貸付!$D$5:$D$404,"厚生費",入力_貸付!$H$5:$H$404,N$2,入力_貸付!$G$5:$G$404,"確認済"),AL7)</f>
        <v>0</v>
      </c>
      <c r="O7" s="353">
        <f>IF(O$2&lt;=締月,SUMIFS(入力_貸付!$F$5:$F$404,入力_貸付!$D$5:$D$404,"厚生費",入力_貸付!$H$5:$H$404,O$2,入力_貸付!$G$5:$G$404,"確認済"),AM7)</f>
        <v>0</v>
      </c>
      <c r="P7" s="353">
        <f>SUM(C7:O7)</f>
        <v>33902</v>
      </c>
      <c r="Q7" s="417" t="n">
        <v>24000</v>
      </c>
      <c r="R7" s="418" t="n"/>
      <c r="S7" s="353">
        <f>SUM(Q7:R7)</f>
        <v>24000</v>
      </c>
      <c r="T7" s="353">
        <f>S7-P7</f>
        <v>-9902</v>
      </c>
      <c r="U7" s="373" t="n"/>
      <c r="V7" s="378">
        <f>SUMIF($C$2:$N$2,"&lt;="&amp;締月,C7:N7)</f>
        <v>23507</v>
      </c>
      <c r="W7" s="378">
        <f>S7-V7</f>
        <v>493</v>
      </c>
      <c r="X7" s="399" t="n">
        <v>1</v>
      </c>
      <c r="AA7" s="400" t="n"/>
      <c r="AB7" s="400" t="n"/>
      <c r="AC7" s="400" t="n"/>
      <c r="AD7" s="400" t="n"/>
      <c r="AE7" s="400" t="n">
        <v>1980</v>
      </c>
      <c r="AF7" s="400" t="n">
        <v>21527</v>
      </c>
      <c r="AG7" s="400" t="n"/>
      <c r="AH7" s="400" t="n"/>
      <c r="AI7" s="400" t="n"/>
      <c r="AJ7" s="400" t="n"/>
      <c r="AK7" s="400" t="n">
        <v>10395</v>
      </c>
      <c r="AL7" s="400" t="n"/>
      <c r="AM7" s="400" t="n"/>
    </row>
    <row r="8" ht="18" customHeight="1" s="322">
      <c r="A8" s="385" t="inlineStr">
        <is>
          <t>旅費</t>
        </is>
      </c>
      <c r="B8" s="343" t="n"/>
      <c r="C8" s="353">
        <f>IF(C$2&lt;=締月,SUMIFS(入力_貸付!$F$5:$F$404,入力_貸付!$D$5:$D$404,"旅費",入力_貸付!$H$5:$H$404,C$2,入力_貸付!$G$5:$G$404,"確認済"),AA8)</f>
        <v>0</v>
      </c>
      <c r="D8" s="353">
        <f>IF(D$2&lt;=締月,SUMIFS(入力_貸付!$F$5:$F$404,入力_貸付!$D$5:$D$404,"旅費",入力_貸付!$H$5:$H$404,D$2,入力_貸付!$G$5:$G$404,"確認済"),AB8)</f>
        <v>0</v>
      </c>
      <c r="E8" s="353">
        <f>IF(E$2&lt;=締月,SUMIFS(入力_貸付!$F$5:$F$404,入力_貸付!$D$5:$D$404,"旅費",入力_貸付!$H$5:$H$404,E$2,入力_貸付!$G$5:$G$404,"確認済"),AC8)</f>
        <v>0</v>
      </c>
      <c r="F8" s="353">
        <f>IF(F$2&lt;=締月,SUMIFS(入力_貸付!$F$5:$F$404,入力_貸付!$D$5:$D$404,"旅費",入力_貸付!$H$5:$H$404,F$2,入力_貸付!$G$5:$G$404,"確認済"),AD8)</f>
        <v>0</v>
      </c>
      <c r="G8" s="353">
        <f>IF(G$2&lt;=締月,SUMIFS(入力_貸付!$F$5:$F$404,入力_貸付!$D$5:$D$404,"旅費",入力_貸付!$H$5:$H$404,G$2,入力_貸付!$G$5:$G$404,"確認済"),AE8)</f>
        <v>0</v>
      </c>
      <c r="H8" s="353">
        <f>IF(H$2&lt;=締月,SUMIFS(入力_貸付!$F$5:$F$404,入力_貸付!$D$5:$D$404,"旅費",入力_貸付!$H$5:$H$404,H$2,入力_貸付!$G$5:$G$404,"確認済"),AF8)</f>
        <v>0</v>
      </c>
      <c r="I8" s="353">
        <f>IF(I$2&lt;=締月,SUMIFS(入力_貸付!$F$5:$F$404,入力_貸付!$D$5:$D$404,"旅費",入力_貸付!$H$5:$H$404,I$2,入力_貸付!$G$5:$G$404,"確認済"),AG8)</f>
        <v>0</v>
      </c>
      <c r="J8" s="353">
        <f>IF(J$2&lt;=締月,SUMIFS(入力_貸付!$F$5:$F$404,入力_貸付!$D$5:$D$404,"旅費",入力_貸付!$H$5:$H$404,J$2,入力_貸付!$G$5:$G$404,"確認済"),AH8)</f>
        <v>0</v>
      </c>
      <c r="K8" s="353">
        <f>IF(K$2&lt;=締月,SUMIFS(入力_貸付!$F$5:$F$404,入力_貸付!$D$5:$D$404,"旅費",入力_貸付!$H$5:$H$404,K$2,入力_貸付!$G$5:$G$404,"確認済"),AI8)</f>
        <v>0</v>
      </c>
      <c r="L8" s="353">
        <f>IF(L$2&lt;=締月,SUMIFS(入力_貸付!$F$5:$F$404,入力_貸付!$D$5:$D$404,"旅費",入力_貸付!$H$5:$H$404,L$2,入力_貸付!$G$5:$G$404,"確認済"),AJ8)</f>
        <v>0</v>
      </c>
      <c r="M8" s="353">
        <f>IF(M$2&lt;=締月,SUMIFS(入力_貸付!$F$5:$F$404,入力_貸付!$D$5:$D$404,"旅費",入力_貸付!$H$5:$H$404,M$2,入力_貸付!$G$5:$G$404,"確認済"),AK8)</f>
        <v>0</v>
      </c>
      <c r="N8" s="353">
        <f>IF(N$2&lt;=締月,SUMIFS(入力_貸付!$F$5:$F$404,入力_貸付!$D$5:$D$404,"旅費",入力_貸付!$H$5:$H$404,N$2,入力_貸付!$G$5:$G$404,"確認済"),AL8)</f>
        <v>0</v>
      </c>
      <c r="O8" s="353">
        <f>IF(O$2&lt;=締月,SUMIFS(入力_貸付!$F$5:$F$404,入力_貸付!$D$5:$D$404,"旅費",入力_貸付!$H$5:$H$404,O$2,入力_貸付!$G$5:$G$404,"確認済"),AM8)</f>
        <v>0</v>
      </c>
      <c r="P8" s="353">
        <f>SUM(C8:O8)</f>
        <v>0</v>
      </c>
      <c r="Q8" s="417" t="n">
        <v>227000</v>
      </c>
      <c r="R8" s="418" t="n"/>
      <c r="S8" s="353">
        <f>SUM(Q8:R8)</f>
        <v>227000</v>
      </c>
      <c r="T8" s="353">
        <f>S8-P8</f>
        <v>227000</v>
      </c>
      <c r="U8" s="373" t="n"/>
      <c r="V8" s="378">
        <f>SUMIF($C$2:$N$2,"&lt;="&amp;締月,C8:N8)</f>
        <v>0</v>
      </c>
      <c r="W8" s="378">
        <f>S8-V8</f>
        <v>227000</v>
      </c>
      <c r="X8" s="399" t="n">
        <v>1</v>
      </c>
      <c r="AA8" s="400" t="n"/>
      <c r="AB8" s="400" t="n"/>
      <c r="AC8" s="400" t="n"/>
      <c r="AD8" s="400" t="n"/>
      <c r="AE8" s="400" t="n"/>
      <c r="AF8" s="400" t="n"/>
      <c r="AG8" s="400" t="n"/>
      <c r="AH8" s="400" t="n"/>
      <c r="AI8" s="400" t="n"/>
      <c r="AJ8" s="400" t="n"/>
      <c r="AK8" s="400" t="n"/>
      <c r="AL8" s="400" t="n"/>
      <c r="AM8" s="400" t="n"/>
    </row>
    <row r="9" ht="18" customHeight="1" s="322">
      <c r="A9" s="385" t="inlineStr">
        <is>
          <t>事務費</t>
        </is>
      </c>
      <c r="B9" s="385" t="inlineStr">
        <is>
          <t>事務用消耗品費</t>
        </is>
      </c>
      <c r="C9" s="353">
        <f>IF(C$2&lt;=締月,SUMIFS(入力_貸付!$F$5:$F$404,入力_貸付!$D$5:$D$404,"事務用消耗品費",入力_貸付!$H$5:$H$404,C$2,入力_貸付!$G$5:$G$404,"確認済"),AA9)</f>
        <v>4389</v>
      </c>
      <c r="D9" s="353">
        <f>IF(D$2&lt;=締月,SUMIFS(入力_貸付!$F$5:$F$404,入力_貸付!$D$5:$D$404,"事務用消耗品費",入力_貸付!$H$5:$H$404,D$2,入力_貸付!$G$5:$G$404,"確認済"),AB9)</f>
        <v>0</v>
      </c>
      <c r="E9" s="353">
        <f>IF(E$2&lt;=締月,SUMIFS(入力_貸付!$F$5:$F$404,入力_貸付!$D$5:$D$404,"事務用消耗品費",入力_貸付!$H$5:$H$404,E$2,入力_貸付!$G$5:$G$404,"確認済"),AC9)</f>
        <v>11491</v>
      </c>
      <c r="F9" s="353">
        <f>IF(F$2&lt;=締月,SUMIFS(入力_貸付!$F$5:$F$404,入力_貸付!$D$5:$D$404,"事務用消耗品費",入力_貸付!$H$5:$H$404,F$2,入力_貸付!$G$5:$G$404,"確認済"),AD9)</f>
        <v>0</v>
      </c>
      <c r="G9" s="353">
        <f>IF(G$2&lt;=締月,SUMIFS(入力_貸付!$F$5:$F$404,入力_貸付!$D$5:$D$404,"事務用消耗品費",入力_貸付!$H$5:$H$404,G$2,入力_貸付!$G$5:$G$404,"確認済"),AE9)</f>
        <v>119079</v>
      </c>
      <c r="H9" s="353">
        <f>IF(H$2&lt;=締月,SUMIFS(入力_貸付!$F$5:$F$404,入力_貸付!$D$5:$D$404,"事務用消耗品費",入力_貸付!$H$5:$H$404,H$2,入力_貸付!$G$5:$G$404,"確認済"),AF9)</f>
        <v>0</v>
      </c>
      <c r="I9" s="353">
        <f>IF(I$2&lt;=締月,SUMIFS(入力_貸付!$F$5:$F$404,入力_貸付!$D$5:$D$404,"事務用消耗品費",入力_貸付!$H$5:$H$404,I$2,入力_貸付!$G$5:$G$404,"確認済"),AG9)</f>
        <v>0</v>
      </c>
      <c r="J9" s="353">
        <f>IF(J$2&lt;=締月,SUMIFS(入力_貸付!$F$5:$F$404,入力_貸付!$D$5:$D$404,"事務用消耗品費",入力_貸付!$H$5:$H$404,J$2,入力_貸付!$G$5:$G$404,"確認済"),AH9)</f>
        <v>25706</v>
      </c>
      <c r="K9" s="353">
        <f>IF(K$2&lt;=締月,SUMIFS(入力_貸付!$F$5:$F$404,入力_貸付!$D$5:$D$404,"事務用消耗品費",入力_貸付!$H$5:$H$404,K$2,入力_貸付!$G$5:$G$404,"確認済"),AI9)</f>
        <v>15382</v>
      </c>
      <c r="L9" s="353">
        <f>IF(L$2&lt;=締月,SUMIFS(入力_貸付!$F$5:$F$404,入力_貸付!$D$5:$D$404,"事務用消耗品費",入力_貸付!$H$5:$H$404,L$2,入力_貸付!$G$5:$G$404,"確認済"),AJ9)</f>
        <v>4644</v>
      </c>
      <c r="M9" s="353">
        <f>IF(M$2&lt;=締月,SUMIFS(入力_貸付!$F$5:$F$404,入力_貸付!$D$5:$D$404,"事務用消耗品費",入力_貸付!$H$5:$H$404,M$2,入力_貸付!$G$5:$G$404,"確認済"),AK9)</f>
        <v>50764</v>
      </c>
      <c r="N9" s="353">
        <f>IF(N$2&lt;=締月,SUMIFS(入力_貸付!$F$5:$F$404,入力_貸付!$D$5:$D$404,"事務用消耗品費",入力_貸付!$H$5:$H$404,N$2,入力_貸付!$G$5:$G$404,"確認済"),AL9)</f>
        <v>37950</v>
      </c>
      <c r="O9" s="353">
        <f>IF(O$2&lt;=締月,SUMIFS(入力_貸付!$F$5:$F$404,入力_貸付!$D$5:$D$404,"事務用消耗品費",入力_貸付!$H$5:$H$404,O$2,入力_貸付!$G$5:$G$404,"確認済"),AM9)</f>
        <v>0</v>
      </c>
      <c r="P9" s="353">
        <f>SUM(C9:O9)</f>
        <v>269405</v>
      </c>
      <c r="Q9" s="417" t="n">
        <v>442000</v>
      </c>
      <c r="R9" s="418" t="n"/>
      <c r="S9" s="353">
        <f>SUM(Q9:R9)</f>
        <v>442000</v>
      </c>
      <c r="T9" s="353">
        <f>S9-P9</f>
        <v>172595</v>
      </c>
      <c r="U9" s="373" t="n"/>
      <c r="V9" s="378">
        <f>SUMIF($C$2:$N$2,"&lt;="&amp;締月,C9:N9)</f>
        <v>134959</v>
      </c>
      <c r="W9" s="378">
        <f>S9-V9</f>
        <v>307041</v>
      </c>
      <c r="X9" s="399" t="n">
        <v>1</v>
      </c>
      <c r="AA9" s="400" t="n">
        <v>4389</v>
      </c>
      <c r="AB9" s="400" t="n"/>
      <c r="AC9" s="400" t="n">
        <v>11491</v>
      </c>
      <c r="AD9" s="400" t="n"/>
      <c r="AE9" s="400" t="n">
        <v>119079</v>
      </c>
      <c r="AF9" s="400" t="n"/>
      <c r="AG9" s="400" t="n"/>
      <c r="AH9" s="400" t="n">
        <v>25706</v>
      </c>
      <c r="AI9" s="400" t="n">
        <v>15382</v>
      </c>
      <c r="AJ9" s="400" t="n">
        <v>4644</v>
      </c>
      <c r="AK9" s="400" t="n">
        <v>50764</v>
      </c>
      <c r="AL9" s="400" t="n">
        <v>37950</v>
      </c>
      <c r="AM9" s="400" t="n">
        <v>0</v>
      </c>
    </row>
    <row r="10" ht="18" customHeight="1" s="322">
      <c r="A10" s="343" t="n"/>
      <c r="B10" s="385" t="inlineStr">
        <is>
          <t>図書印刷費</t>
        </is>
      </c>
      <c r="C10" s="353">
        <f>IF(C$2&lt;=締月,SUMIFS(入力_貸付!$F$5:$F$404,入力_貸付!$D$5:$D$404,"図書印刷費",入力_貸付!$H$5:$H$404,C$2,入力_貸付!$G$5:$G$404,"確認済"),AA10)</f>
        <v>0</v>
      </c>
      <c r="D10" s="353">
        <f>IF(D$2&lt;=締月,SUMIFS(入力_貸付!$F$5:$F$404,入力_貸付!$D$5:$D$404,"図書印刷費",入力_貸付!$H$5:$H$404,D$2,入力_貸付!$G$5:$G$404,"確認済"),AB10)</f>
        <v>0</v>
      </c>
      <c r="E10" s="353">
        <f>IF(E$2&lt;=締月,SUMIFS(入力_貸付!$F$5:$F$404,入力_貸付!$D$5:$D$404,"図書印刷費",入力_貸付!$H$5:$H$404,E$2,入力_貸付!$G$5:$G$404,"確認済"),AC10)</f>
        <v>0</v>
      </c>
      <c r="F10" s="353">
        <f>IF(F$2&lt;=締月,SUMIFS(入力_貸付!$F$5:$F$404,入力_貸付!$D$5:$D$404,"図書印刷費",入力_貸付!$H$5:$H$404,F$2,入力_貸付!$G$5:$G$404,"確認済"),AD10)</f>
        <v>6000</v>
      </c>
      <c r="G10" s="353">
        <f>IF(G$2&lt;=締月,SUMIFS(入力_貸付!$F$5:$F$404,入力_貸付!$D$5:$D$404,"図書印刷費",入力_貸付!$H$5:$H$404,G$2,入力_貸付!$G$5:$G$404,"確認済"),AE10)</f>
        <v>0</v>
      </c>
      <c r="H10" s="353">
        <f>IF(H$2&lt;=締月,SUMIFS(入力_貸付!$F$5:$F$404,入力_貸付!$D$5:$D$404,"図書印刷費",入力_貸付!$H$5:$H$404,H$2,入力_貸付!$G$5:$G$404,"確認済"),AF10)</f>
        <v>0</v>
      </c>
      <c r="I10" s="353">
        <f>IF(I$2&lt;=締月,SUMIFS(入力_貸付!$F$5:$F$404,入力_貸付!$D$5:$D$404,"図書印刷費",入力_貸付!$H$5:$H$404,I$2,入力_貸付!$G$5:$G$404,"確認済"),AG10)</f>
        <v>6000</v>
      </c>
      <c r="J10" s="353">
        <f>IF(J$2&lt;=締月,SUMIFS(入力_貸付!$F$5:$F$404,入力_貸付!$D$5:$D$404,"図書印刷費",入力_貸付!$H$5:$H$404,J$2,入力_貸付!$G$5:$G$404,"確認済"),AH10)</f>
        <v>0</v>
      </c>
      <c r="K10" s="353">
        <f>IF(K$2&lt;=締月,SUMIFS(入力_貸付!$F$5:$F$404,入力_貸付!$D$5:$D$404,"図書印刷費",入力_貸付!$H$5:$H$404,K$2,入力_貸付!$G$5:$G$404,"確認済"),AI10)</f>
        <v>0</v>
      </c>
      <c r="L10" s="353">
        <f>IF(L$2&lt;=締月,SUMIFS(入力_貸付!$F$5:$F$404,入力_貸付!$D$5:$D$404,"図書印刷費",入力_貸付!$H$5:$H$404,L$2,入力_貸付!$G$5:$G$404,"確認済"),AJ10)</f>
        <v>6000</v>
      </c>
      <c r="M10" s="353">
        <f>IF(M$2&lt;=締月,SUMIFS(入力_貸付!$F$5:$F$404,入力_貸付!$D$5:$D$404,"図書印刷費",入力_貸付!$H$5:$H$404,M$2,入力_貸付!$G$5:$G$404,"確認済"),AK10)</f>
        <v>0</v>
      </c>
      <c r="N10" s="353">
        <f>IF(N$2&lt;=締月,SUMIFS(入力_貸付!$F$5:$F$404,入力_貸付!$D$5:$D$404,"図書印刷費",入力_貸付!$H$5:$H$404,N$2,入力_貸付!$G$5:$G$404,"確認済"),AL10)</f>
        <v>0</v>
      </c>
      <c r="O10" s="353">
        <f>IF(O$2&lt;=締月,SUMIFS(入力_貸付!$F$5:$F$404,入力_貸付!$D$5:$D$404,"図書印刷費",入力_貸付!$H$5:$H$404,O$2,入力_貸付!$G$5:$G$404,"確認済"),AM10)</f>
        <v>15124</v>
      </c>
      <c r="P10" s="353">
        <f>SUM(C10:O10)</f>
        <v>33124</v>
      </c>
      <c r="Q10" s="417" t="n">
        <v>501000</v>
      </c>
      <c r="R10" s="418" t="n"/>
      <c r="S10" s="353">
        <f>SUM(Q10:R10)</f>
        <v>501000</v>
      </c>
      <c r="T10" s="353">
        <f>S10-P10</f>
        <v>467876</v>
      </c>
      <c r="U10" s="373" t="n"/>
      <c r="V10" s="378">
        <f>SUMIF($C$2:$N$2,"&lt;="&amp;締月,C10:N10)</f>
        <v>6000</v>
      </c>
      <c r="W10" s="378">
        <f>S10-V10</f>
        <v>495000</v>
      </c>
      <c r="X10" s="399" t="n">
        <v>1</v>
      </c>
      <c r="AA10" s="400" t="n"/>
      <c r="AB10" s="400" t="n"/>
      <c r="AC10" s="400" t="n"/>
      <c r="AD10" s="400" t="n">
        <v>6000</v>
      </c>
      <c r="AE10" s="400" t="n"/>
      <c r="AF10" s="400" t="n"/>
      <c r="AG10" s="400" t="n">
        <v>6000</v>
      </c>
      <c r="AH10" s="400" t="n"/>
      <c r="AI10" s="400" t="n"/>
      <c r="AJ10" s="400" t="n">
        <v>6000</v>
      </c>
      <c r="AK10" s="400" t="n"/>
      <c r="AL10" s="400" t="n"/>
      <c r="AM10" s="400" t="n">
        <v>15124</v>
      </c>
    </row>
    <row r="11" ht="18" customHeight="1" s="322">
      <c r="A11" s="343" t="n"/>
      <c r="B11" s="385" t="inlineStr">
        <is>
          <t>通信運搬費</t>
        </is>
      </c>
      <c r="C11" s="353">
        <f>IF(C$2&lt;=締月,SUMIFS(入力_貸付!$F$5:$F$404,入力_貸付!$D$5:$D$404,"通信運搬費",入力_貸付!$H$5:$H$404,C$2,入力_貸付!$G$5:$G$404,"確認済"),AA11)</f>
        <v>0</v>
      </c>
      <c r="D11" s="353">
        <f>IF(D$2&lt;=締月,SUMIFS(入力_貸付!$F$5:$F$404,入力_貸付!$D$5:$D$404,"通信運搬費",入力_貸付!$H$5:$H$404,D$2,入力_貸付!$G$5:$G$404,"確認済"),AB11)</f>
        <v>0</v>
      </c>
      <c r="E11" s="353">
        <f>IF(E$2&lt;=締月,SUMIFS(入力_貸付!$F$5:$F$404,入力_貸付!$D$5:$D$404,"通信運搬費",入力_貸付!$H$5:$H$404,E$2,入力_貸付!$G$5:$G$404,"確認済"),AC11)</f>
        <v>0</v>
      </c>
      <c r="F11" s="353">
        <f>IF(F$2&lt;=締月,SUMIFS(入力_貸付!$F$5:$F$404,入力_貸付!$D$5:$D$404,"通信運搬費",入力_貸付!$H$5:$H$404,F$2,入力_貸付!$G$5:$G$404,"確認済"),AD11)</f>
        <v>0</v>
      </c>
      <c r="G11" s="353">
        <f>IF(G$2&lt;=締月,SUMIFS(入力_貸付!$F$5:$F$404,入力_貸付!$D$5:$D$404,"通信運搬費",入力_貸付!$H$5:$H$404,G$2,入力_貸付!$G$5:$G$404,"確認済"),AE11)</f>
        <v>5979</v>
      </c>
      <c r="H11" s="353">
        <f>IF(H$2&lt;=締月,SUMIFS(入力_貸付!$F$5:$F$404,入力_貸付!$D$5:$D$404,"通信運搬費",入力_貸付!$H$5:$H$404,H$2,入力_貸付!$G$5:$G$404,"確認済"),AF11)</f>
        <v>0</v>
      </c>
      <c r="I11" s="353">
        <f>IF(I$2&lt;=締月,SUMIFS(入力_貸付!$F$5:$F$404,入力_貸付!$D$5:$D$404,"通信運搬費",入力_貸付!$H$5:$H$404,I$2,入力_貸付!$G$5:$G$404,"確認済"),AG11)</f>
        <v>0</v>
      </c>
      <c r="J11" s="353">
        <f>IF(J$2&lt;=締月,SUMIFS(入力_貸付!$F$5:$F$404,入力_貸付!$D$5:$D$404,"通信運搬費",入力_貸付!$H$5:$H$404,J$2,入力_貸付!$G$5:$G$404,"確認済"),AH11)</f>
        <v>0</v>
      </c>
      <c r="K11" s="353">
        <f>IF(K$2&lt;=締月,SUMIFS(入力_貸付!$F$5:$F$404,入力_貸付!$D$5:$D$404,"通信運搬費",入力_貸付!$H$5:$H$404,K$2,入力_貸付!$G$5:$G$404,"確認済"),AI11)</f>
        <v>0</v>
      </c>
      <c r="L11" s="353">
        <f>IF(L$2&lt;=締月,SUMIFS(入力_貸付!$F$5:$F$404,入力_貸付!$D$5:$D$404,"通信運搬費",入力_貸付!$H$5:$H$404,L$2,入力_貸付!$G$5:$G$404,"確認済"),AJ11)</f>
        <v>135450</v>
      </c>
      <c r="M11" s="353">
        <f>IF(M$2&lt;=締月,SUMIFS(入力_貸付!$F$5:$F$404,入力_貸付!$D$5:$D$404,"通信運搬費",入力_貸付!$H$5:$H$404,M$2,入力_貸付!$G$5:$G$404,"確認済"),AK11)</f>
        <v>0</v>
      </c>
      <c r="N11" s="353">
        <f>IF(N$2&lt;=締月,SUMIFS(入力_貸付!$F$5:$F$404,入力_貸付!$D$5:$D$404,"通信運搬費",入力_貸付!$H$5:$H$404,N$2,入力_貸付!$G$5:$G$404,"確認済"),AL11)</f>
        <v>0</v>
      </c>
      <c r="O11" s="353">
        <f>IF(O$2&lt;=締月,SUMIFS(入力_貸付!$F$5:$F$404,入力_貸付!$D$5:$D$404,"通信運搬費",入力_貸付!$H$5:$H$404,O$2,入力_貸付!$G$5:$G$404,"確認済"),AM11)</f>
        <v>0</v>
      </c>
      <c r="P11" s="353">
        <f>SUM(C11:O11)</f>
        <v>141429</v>
      </c>
      <c r="Q11" s="417" t="n">
        <v>336000</v>
      </c>
      <c r="R11" s="418" t="n"/>
      <c r="S11" s="353">
        <f>SUM(Q11:R11)</f>
        <v>336000</v>
      </c>
      <c r="T11" s="353">
        <f>S11-P11</f>
        <v>194571</v>
      </c>
      <c r="U11" s="373" t="n"/>
      <c r="V11" s="378">
        <f>SUMIF($C$2:$N$2,"&lt;="&amp;締月,C11:N11)</f>
        <v>5979</v>
      </c>
      <c r="W11" s="378">
        <f>S11-V11</f>
        <v>330021</v>
      </c>
      <c r="X11" s="399" t="n">
        <v>1</v>
      </c>
      <c r="AA11" s="400" t="n"/>
      <c r="AB11" s="400" t="n"/>
      <c r="AC11" s="400" t="n"/>
      <c r="AD11" s="400" t="n"/>
      <c r="AE11" s="400" t="n">
        <v>5979</v>
      </c>
      <c r="AF11" s="400" t="n"/>
      <c r="AG11" s="400" t="n"/>
      <c r="AH11" s="400" t="n"/>
      <c r="AI11" s="400" t="n"/>
      <c r="AJ11" s="400" t="n">
        <v>135450</v>
      </c>
      <c r="AK11" s="400" t="n"/>
      <c r="AL11" s="400" t="n"/>
      <c r="AM11" s="400" t="n"/>
    </row>
    <row r="12" ht="18" customHeight="1" s="322">
      <c r="A12" s="343" t="n"/>
      <c r="B12" s="385" t="inlineStr">
        <is>
          <t>会議費</t>
        </is>
      </c>
      <c r="C12" s="353">
        <f>IF(C$2&lt;=締月,SUMIFS(入力_貸付!$F$5:$F$404,入力_貸付!$D$5:$D$404,"会議費",入力_貸付!$H$5:$H$404,C$2,入力_貸付!$G$5:$G$404,"確認済"),AA12)</f>
        <v>0</v>
      </c>
      <c r="D12" s="353">
        <f>IF(D$2&lt;=締月,SUMIFS(入力_貸付!$F$5:$F$404,入力_貸付!$D$5:$D$404,"会議費",入力_貸付!$H$5:$H$404,D$2,入力_貸付!$G$5:$G$404,"確認済"),AB12)</f>
        <v>0</v>
      </c>
      <c r="E12" s="353">
        <f>IF(E$2&lt;=締月,SUMIFS(入力_貸付!$F$5:$F$404,入力_貸付!$D$5:$D$404,"会議費",入力_貸付!$H$5:$H$404,E$2,入力_貸付!$G$5:$G$404,"確認済"),AC12)</f>
        <v>0</v>
      </c>
      <c r="F12" s="353">
        <f>IF(F$2&lt;=締月,SUMIFS(入力_貸付!$F$5:$F$404,入力_貸付!$D$5:$D$404,"会議費",入力_貸付!$H$5:$H$404,F$2,入力_貸付!$G$5:$G$404,"確認済"),AD12)</f>
        <v>0</v>
      </c>
      <c r="G12" s="353">
        <f>IF(G$2&lt;=締月,SUMIFS(入力_貸付!$F$5:$F$404,入力_貸付!$D$5:$D$404,"会議費",入力_貸付!$H$5:$H$404,G$2,入力_貸付!$G$5:$G$404,"確認済"),AE12)</f>
        <v>0</v>
      </c>
      <c r="H12" s="353">
        <f>IF(H$2&lt;=締月,SUMIFS(入力_貸付!$F$5:$F$404,入力_貸付!$D$5:$D$404,"会議費",入力_貸付!$H$5:$H$404,H$2,入力_貸付!$G$5:$G$404,"確認済"),AF12)</f>
        <v>0</v>
      </c>
      <c r="I12" s="353">
        <f>IF(I$2&lt;=締月,SUMIFS(入力_貸付!$F$5:$F$404,入力_貸付!$D$5:$D$404,"会議費",入力_貸付!$H$5:$H$404,I$2,入力_貸付!$G$5:$G$404,"確認済"),AG12)</f>
        <v>0</v>
      </c>
      <c r="J12" s="353">
        <f>IF(J$2&lt;=締月,SUMIFS(入力_貸付!$F$5:$F$404,入力_貸付!$D$5:$D$404,"会議費",入力_貸付!$H$5:$H$404,J$2,入力_貸付!$G$5:$G$404,"確認済"),AH12)</f>
        <v>0</v>
      </c>
      <c r="K12" s="353">
        <f>IF(K$2&lt;=締月,SUMIFS(入力_貸付!$F$5:$F$404,入力_貸付!$D$5:$D$404,"会議費",入力_貸付!$H$5:$H$404,K$2,入力_貸付!$G$5:$G$404,"確認済"),AI12)</f>
        <v>0</v>
      </c>
      <c r="L12" s="353">
        <f>IF(L$2&lt;=締月,SUMIFS(入力_貸付!$F$5:$F$404,入力_貸付!$D$5:$D$404,"会議費",入力_貸付!$H$5:$H$404,L$2,入力_貸付!$G$5:$G$404,"確認済"),AJ12)</f>
        <v>0</v>
      </c>
      <c r="M12" s="353">
        <f>IF(M$2&lt;=締月,SUMIFS(入力_貸付!$F$5:$F$404,入力_貸付!$D$5:$D$404,"会議費",入力_貸付!$H$5:$H$404,M$2,入力_貸付!$G$5:$G$404,"確認済"),AK12)</f>
        <v>0</v>
      </c>
      <c r="N12" s="353">
        <f>IF(N$2&lt;=締月,SUMIFS(入力_貸付!$F$5:$F$404,入力_貸付!$D$5:$D$404,"会議費",入力_貸付!$H$5:$H$404,N$2,入力_貸付!$G$5:$G$404,"確認済"),AL12)</f>
        <v>0</v>
      </c>
      <c r="O12" s="353">
        <f>IF(O$2&lt;=締月,SUMIFS(入力_貸付!$F$5:$F$404,入力_貸付!$D$5:$D$404,"会議費",入力_貸付!$H$5:$H$404,O$2,入力_貸付!$G$5:$G$404,"確認済"),AM12)</f>
        <v>0</v>
      </c>
      <c r="P12" s="353">
        <f>SUM(C12:O12)</f>
        <v>0</v>
      </c>
      <c r="Q12" s="417" t="n">
        <v>20000</v>
      </c>
      <c r="R12" s="418" t="n"/>
      <c r="S12" s="353">
        <f>SUM(Q12:R12)</f>
        <v>20000</v>
      </c>
      <c r="T12" s="353">
        <f>S12-P12</f>
        <v>20000</v>
      </c>
      <c r="U12" s="373" t="n"/>
      <c r="V12" s="378">
        <f>SUMIF($C$2:$N$2,"&lt;="&amp;締月,C12:N12)</f>
        <v>0</v>
      </c>
      <c r="W12" s="378">
        <f>S12-V12</f>
        <v>20000</v>
      </c>
      <c r="X12" s="399" t="n">
        <v>1</v>
      </c>
      <c r="AA12" s="400" t="n"/>
      <c r="AB12" s="400" t="n"/>
      <c r="AC12" s="400" t="n"/>
      <c r="AD12" s="400" t="n"/>
      <c r="AE12" s="400" t="n"/>
      <c r="AF12" s="400" t="n"/>
      <c r="AG12" s="400" t="n"/>
      <c r="AH12" s="400" t="n"/>
      <c r="AI12" s="400" t="n"/>
      <c r="AJ12" s="400" t="n"/>
      <c r="AK12" s="400" t="n"/>
      <c r="AL12" s="400" t="n"/>
      <c r="AM12" s="400" t="n"/>
    </row>
    <row r="13" ht="18" customHeight="1" s="322">
      <c r="A13" s="343" t="n"/>
      <c r="B13" s="385" t="inlineStr">
        <is>
          <t>雑費</t>
        </is>
      </c>
      <c r="C13" s="353">
        <f>IF(C$2&lt;=締月,SUMIFS(入力_貸付!$F$5:$F$404,入力_貸付!$D$5:$D$404,"事務費・雑費",入力_貸付!$H$5:$H$404,C$2,入力_貸付!$G$5:$G$404,"確認済"),AA13)</f>
        <v>0</v>
      </c>
      <c r="D13" s="353">
        <f>IF(D$2&lt;=締月,SUMIFS(入力_貸付!$F$5:$F$404,入力_貸付!$D$5:$D$404,"事務費・雑費",入力_貸付!$H$5:$H$404,D$2,入力_貸付!$G$5:$G$404,"確認済"),AB13)</f>
        <v>16190</v>
      </c>
      <c r="E13" s="353">
        <f>IF(E$2&lt;=締月,SUMIFS(入力_貸付!$F$5:$F$404,入力_貸付!$D$5:$D$404,"事務費・雑費",入力_貸付!$H$5:$H$404,E$2,入力_貸付!$G$5:$G$404,"確認済"),AC13)</f>
        <v>5750</v>
      </c>
      <c r="F13" s="353">
        <f>IF(F$2&lt;=締月,SUMIFS(入力_貸付!$F$5:$F$404,入力_貸付!$D$5:$D$404,"事務費・雑費",入力_貸付!$H$5:$H$404,F$2,入力_貸付!$G$5:$G$404,"確認済"),AD13)</f>
        <v>6090</v>
      </c>
      <c r="G13" s="353">
        <f>IF(G$2&lt;=締月,SUMIFS(入力_貸付!$F$5:$F$404,入力_貸付!$D$5:$D$404,"事務費・雑費",入力_貸付!$H$5:$H$404,G$2,入力_貸付!$G$5:$G$404,"確認済"),AE13)</f>
        <v>5530</v>
      </c>
      <c r="H13" s="353">
        <f>IF(H$2&lt;=締月,SUMIFS(入力_貸付!$F$5:$F$404,入力_貸付!$D$5:$D$404,"事務費・雑費",入力_貸付!$H$5:$H$404,H$2,入力_貸付!$G$5:$G$404,"確認済"),AF13)</f>
        <v>5190</v>
      </c>
      <c r="I13" s="353">
        <f>IF(I$2&lt;=締月,SUMIFS(入力_貸付!$F$5:$F$404,入力_貸付!$D$5:$D$404,"事務費・雑費",入力_貸付!$H$5:$H$404,I$2,入力_貸付!$G$5:$G$404,"確認済"),AG13)</f>
        <v>4970</v>
      </c>
      <c r="J13" s="353">
        <f>IF(J$2&lt;=締月,SUMIFS(入力_貸付!$F$5:$F$404,入力_貸付!$D$5:$D$404,"事務費・雑費",入力_貸付!$H$5:$H$404,J$2,入力_貸付!$G$5:$G$404,"確認済"),AH13)</f>
        <v>5750</v>
      </c>
      <c r="K13" s="353">
        <f>IF(K$2&lt;=締月,SUMIFS(入力_貸付!$F$5:$F$404,入力_貸付!$D$5:$D$404,"事務費・雑費",入力_貸付!$H$5:$H$404,K$2,入力_貸付!$G$5:$G$404,"確認済"),AI13)</f>
        <v>9239</v>
      </c>
      <c r="L13" s="353">
        <f>IF(L$2&lt;=締月,SUMIFS(入力_貸付!$F$5:$F$404,入力_貸付!$D$5:$D$404,"事務費・雑費",入力_貸付!$H$5:$H$404,L$2,入力_貸付!$G$5:$G$404,"確認済"),AJ13)</f>
        <v>19630</v>
      </c>
      <c r="M13" s="353">
        <f>IF(M$2&lt;=締月,SUMIFS(入力_貸付!$F$5:$F$404,入力_貸付!$D$5:$D$404,"事務費・雑費",入力_貸付!$H$5:$H$404,M$2,入力_貸付!$G$5:$G$404,"確認済"),AK13)</f>
        <v>7190</v>
      </c>
      <c r="N13" s="353">
        <f>IF(N$2&lt;=締月,SUMIFS(入力_貸付!$F$5:$F$404,入力_貸付!$D$5:$D$404,"事務費・雑費",入力_貸付!$H$5:$H$404,N$2,入力_貸付!$G$5:$G$404,"確認済"),AL13)</f>
        <v>6200</v>
      </c>
      <c r="O13" s="353">
        <f>IF(O$2&lt;=締月,SUMIFS(入力_貸付!$F$5:$F$404,入力_貸付!$D$5:$D$404,"事務費・雑費",入力_貸付!$H$5:$H$404,O$2,入力_貸付!$G$5:$G$404,"確認済"),AM13)</f>
        <v>9735</v>
      </c>
      <c r="P13" s="353">
        <f>SUM(C13:O13)</f>
        <v>101464</v>
      </c>
      <c r="Q13" s="417" t="n">
        <v>190000</v>
      </c>
      <c r="R13" s="418" t="n"/>
      <c r="S13" s="353">
        <f>SUM(Q13:R13)</f>
        <v>190000</v>
      </c>
      <c r="T13" s="353">
        <f>S13-P13</f>
        <v>88536</v>
      </c>
      <c r="U13" s="373" t="n"/>
      <c r="V13" s="378">
        <f>SUMIF($C$2:$N$2,"&lt;="&amp;締月,C13:N13)</f>
        <v>38750</v>
      </c>
      <c r="W13" s="378">
        <f>S13-V13</f>
        <v>151250</v>
      </c>
      <c r="X13" s="399" t="n">
        <v>1</v>
      </c>
      <c r="AA13" s="400" t="n"/>
      <c r="AB13" s="400" t="n">
        <v>16190</v>
      </c>
      <c r="AC13" s="400" t="n">
        <v>5750</v>
      </c>
      <c r="AD13" s="400" t="n">
        <v>6090</v>
      </c>
      <c r="AE13" s="400" t="n">
        <v>5530</v>
      </c>
      <c r="AF13" s="400" t="n">
        <v>5190</v>
      </c>
      <c r="AG13" s="400" t="n">
        <v>4970</v>
      </c>
      <c r="AH13" s="400" t="n">
        <v>5750</v>
      </c>
      <c r="AI13" s="400" t="n">
        <v>9239</v>
      </c>
      <c r="AJ13" s="400" t="n">
        <v>19630</v>
      </c>
      <c r="AK13" s="400" t="n">
        <v>7190</v>
      </c>
      <c r="AL13" s="400" t="n">
        <v>6200</v>
      </c>
      <c r="AM13" s="400" t="n">
        <v>9735</v>
      </c>
    </row>
    <row r="14" ht="18" customHeight="1" s="322">
      <c r="A14" s="379" t="n"/>
      <c r="B14" s="405" t="inlineStr">
        <is>
          <t>計</t>
        </is>
      </c>
      <c r="C14" s="406">
        <f>SUM(C9:C13)</f>
        <v>4389</v>
      </c>
      <c r="D14" s="406">
        <f>SUM(D9:D13)</f>
        <v>16190</v>
      </c>
      <c r="E14" s="406">
        <f>SUM(E9:E13)</f>
        <v>17241</v>
      </c>
      <c r="F14" s="406">
        <f>SUM(F9:F13)</f>
        <v>12090</v>
      </c>
      <c r="G14" s="406">
        <f>SUM(G9:G13)</f>
        <v>130588</v>
      </c>
      <c r="H14" s="406">
        <f>SUM(H9:H13)</f>
        <v>5190</v>
      </c>
      <c r="I14" s="406">
        <f>SUM(I9:I13)</f>
        <v>10970</v>
      </c>
      <c r="J14" s="406">
        <f>SUM(J9:J13)</f>
        <v>31456</v>
      </c>
      <c r="K14" s="406">
        <f>SUM(K9:K13)</f>
        <v>24621</v>
      </c>
      <c r="L14" s="406">
        <f>SUM(L9:L13)</f>
        <v>165724</v>
      </c>
      <c r="M14" s="406">
        <f>SUM(M9:M13)</f>
        <v>57954</v>
      </c>
      <c r="N14" s="406">
        <f>SUM(N9:N13)</f>
        <v>44150</v>
      </c>
      <c r="O14" s="406">
        <f>SUM(O9:O13)</f>
        <v>24859</v>
      </c>
      <c r="P14" s="406">
        <f>SUM(P9:P13)</f>
        <v>545422</v>
      </c>
      <c r="Q14" s="406">
        <f>SUM(Q9:Q13)</f>
        <v>1489000</v>
      </c>
      <c r="R14" s="396" t="n"/>
      <c r="S14" s="406">
        <f>SUM(Q14:R14)</f>
        <v>1489000</v>
      </c>
      <c r="T14" s="406">
        <f>S14-P14</f>
        <v>943578</v>
      </c>
      <c r="U14" s="373" t="n"/>
      <c r="V14" s="382">
        <f>SUMIF($C$2:$N$2,"&lt;="&amp;締月,C14:N14)</f>
        <v>185688</v>
      </c>
      <c r="W14" s="382">
        <f>S14-V14</f>
        <v>1303312</v>
      </c>
    </row>
    <row r="15" ht="18" customHeight="1" s="322">
      <c r="A15" s="385" t="inlineStr">
        <is>
          <t>賃金</t>
        </is>
      </c>
      <c r="B15" s="343" t="n"/>
      <c r="C15" s="418" t="n"/>
      <c r="D15" s="353">
        <f>D47</f>
        <v>380700</v>
      </c>
      <c r="E15" s="353">
        <f>E47</f>
        <v>327555</v>
      </c>
      <c r="F15" s="353">
        <f>F47</f>
        <v>400770</v>
      </c>
      <c r="G15" s="353">
        <f>G47</f>
        <v>400380</v>
      </c>
      <c r="H15" s="353">
        <f>H47</f>
        <v>344580</v>
      </c>
      <c r="I15" s="353">
        <f>I47</f>
        <v>364625</v>
      </c>
      <c r="J15" s="353">
        <f>J47</f>
        <v>401920</v>
      </c>
      <c r="K15" s="353">
        <f>K47</f>
        <v>329655</v>
      </c>
      <c r="L15" s="353">
        <f>L47</f>
        <v>365270</v>
      </c>
      <c r="M15" s="353">
        <f>M47</f>
        <v>347335</v>
      </c>
      <c r="N15" s="353">
        <f>N47</f>
        <v>328425</v>
      </c>
      <c r="O15" s="353">
        <f>O47</f>
        <v>153280</v>
      </c>
      <c r="P15" s="353">
        <f>SUM(C15:O15)</f>
        <v>4144495</v>
      </c>
      <c r="Q15" s="417" t="n">
        <v>5520000</v>
      </c>
      <c r="R15" s="418" t="n"/>
      <c r="S15" s="353">
        <f>SUM(Q15:R15)</f>
        <v>5520000</v>
      </c>
      <c r="T15" s="353">
        <f>S15-P15</f>
        <v>1375505</v>
      </c>
      <c r="U15" s="373" t="n"/>
      <c r="V15" s="378">
        <f>SUMIF($C$2:$N$2,"&lt;="&amp;締月,C15:N15)</f>
        <v>1853985</v>
      </c>
      <c r="W15" s="378">
        <f>S15-V15</f>
        <v>3666015</v>
      </c>
    </row>
    <row r="16" ht="18" customHeight="1" s="322">
      <c r="A16" s="385" t="inlineStr">
        <is>
          <t>委託費</t>
        </is>
      </c>
      <c r="B16" s="419" t="n"/>
      <c r="C16" s="353">
        <f>IF(C$2&lt;=締月,SUMIFS(入力_貸付!$F$5:$F$404,入力_貸付!$D$5:$D$404,"委託費",入力_貸付!$H$5:$H$404,C$2,入力_貸付!$G$5:$G$404,"確認済"),AA16)</f>
        <v>0</v>
      </c>
      <c r="D16" s="353">
        <f>IF(D$2&lt;=締月,SUMIFS(入力_貸付!$F$5:$F$404,入力_貸付!$D$5:$D$404,"委託費",入力_貸付!$H$5:$H$404,D$2,入力_貸付!$G$5:$G$404,"確認済"),AB16)</f>
        <v>0</v>
      </c>
      <c r="E16" s="353">
        <f>IF(E$2&lt;=締月,SUMIFS(入力_貸付!$F$5:$F$404,入力_貸付!$D$5:$D$404,"委託費",入力_貸付!$H$5:$H$404,E$2,入力_貸付!$G$5:$G$404,"確認済"),AC16)</f>
        <v>0</v>
      </c>
      <c r="F16" s="353">
        <f>IF(F$2&lt;=締月,SUMIFS(入力_貸付!$F$5:$F$404,入力_貸付!$D$5:$D$404,"委託費",入力_貸付!$H$5:$H$404,F$2,入力_貸付!$G$5:$G$404,"確認済"),AD16)</f>
        <v>0</v>
      </c>
      <c r="G16" s="353">
        <f>IF(G$2&lt;=締月,SUMIFS(入力_貸付!$F$5:$F$404,入力_貸付!$D$5:$D$404,"委託費",入力_貸付!$H$5:$H$404,G$2,入力_貸付!$G$5:$G$404,"確認済"),AE16)</f>
        <v>0</v>
      </c>
      <c r="H16" s="353">
        <f>IF(H$2&lt;=締月,SUMIFS(入力_貸付!$F$5:$F$404,入力_貸付!$D$5:$D$404,"委託費",入力_貸付!$H$5:$H$404,H$2,入力_貸付!$G$5:$G$404,"確認済"),AF16)</f>
        <v>153120</v>
      </c>
      <c r="I16" s="353">
        <f>IF(I$2&lt;=締月,SUMIFS(入力_貸付!$F$5:$F$404,入力_貸付!$D$5:$D$404,"委託費",入力_貸付!$H$5:$H$404,I$2,入力_貸付!$G$5:$G$404,"確認済"),AG16)</f>
        <v>36943</v>
      </c>
      <c r="J16" s="353">
        <f>IF(J$2&lt;=締月,SUMIFS(入力_貸付!$F$5:$F$404,入力_貸付!$D$5:$D$404,"委託費",入力_貸付!$H$5:$H$404,J$2,入力_貸付!$G$5:$G$404,"確認済"),AH16)</f>
        <v>0</v>
      </c>
      <c r="K16" s="353">
        <f>IF(K$2&lt;=締月,SUMIFS(入力_貸付!$F$5:$F$404,入力_貸付!$D$5:$D$404,"委託費",入力_貸付!$H$5:$H$404,K$2,入力_貸付!$G$5:$G$404,"確認済"),AI16)</f>
        <v>0</v>
      </c>
      <c r="L16" s="353">
        <f>IF(L$2&lt;=締月,SUMIFS(入力_貸付!$F$5:$F$404,入力_貸付!$D$5:$D$404,"委託費",入力_貸付!$H$5:$H$404,L$2,入力_貸付!$G$5:$G$404,"確認済"),AJ16)</f>
        <v>0</v>
      </c>
      <c r="M16" s="353">
        <f>IF(M$2&lt;=締月,SUMIFS(入力_貸付!$F$5:$F$404,入力_貸付!$D$5:$D$404,"委託費",入力_貸付!$H$5:$H$404,M$2,入力_貸付!$G$5:$G$404,"確認済"),AK16)</f>
        <v>0</v>
      </c>
      <c r="N16" s="353">
        <f>IF(N$2&lt;=締月,SUMIFS(入力_貸付!$F$5:$F$404,入力_貸付!$D$5:$D$404,"委託費",入力_貸付!$H$5:$H$404,N$2,入力_貸付!$G$5:$G$404,"確認済"),AL16)</f>
        <v>0</v>
      </c>
      <c r="O16" s="353">
        <f>IF(O$2&lt;=締月,SUMIFS(入力_貸付!$F$5:$F$404,入力_貸付!$D$5:$D$404,"委託費",入力_貸付!$H$5:$H$404,O$2,入力_貸付!$G$5:$G$404,"確認済"),AM16)</f>
        <v>192720</v>
      </c>
      <c r="P16" s="353">
        <f>SUM(C16:O16)</f>
        <v>382783</v>
      </c>
      <c r="Q16" s="417" t="n">
        <v>525000</v>
      </c>
      <c r="R16" s="418" t="n"/>
      <c r="S16" s="353">
        <f>SUM(Q16:R16)</f>
        <v>525000</v>
      </c>
      <c r="T16" s="353">
        <f>S16-P16</f>
        <v>142217</v>
      </c>
      <c r="U16" s="373" t="n"/>
      <c r="V16" s="378">
        <f>SUMIF($C$2:$N$2,"&lt;="&amp;締月,C16:N16)</f>
        <v>153120</v>
      </c>
      <c r="W16" s="378">
        <f>S16-V16</f>
        <v>371880</v>
      </c>
      <c r="X16" s="399" t="n">
        <v>1</v>
      </c>
      <c r="AA16" s="400" t="n"/>
      <c r="AB16" s="400" t="n"/>
      <c r="AC16" s="400" t="n"/>
      <c r="AD16" s="400" t="n"/>
      <c r="AE16" s="400" t="n"/>
      <c r="AF16" s="400" t="n">
        <v>153120</v>
      </c>
      <c r="AG16" s="400" t="n">
        <v>36943</v>
      </c>
      <c r="AH16" s="400" t="n"/>
      <c r="AI16" s="400" t="n"/>
      <c r="AJ16" s="400" t="n"/>
      <c r="AK16" s="400" t="n"/>
      <c r="AL16" s="400" t="n"/>
      <c r="AM16" s="400" t="n">
        <v>192720</v>
      </c>
    </row>
    <row r="17" ht="18" customHeight="1" s="322">
      <c r="A17" s="385" t="inlineStr">
        <is>
          <t>修繕費</t>
        </is>
      </c>
      <c r="B17" s="419" t="n"/>
      <c r="C17" s="353">
        <f>IF(C$2&lt;=締月,SUMIFS(入力_貸付!$F$5:$F$404,入力_貸付!$D$5:$D$404,"修繕費",入力_貸付!$H$5:$H$404,C$2,入力_貸付!$G$5:$G$404,"確認済"),AA17)</f>
        <v>0</v>
      </c>
      <c r="D17" s="353">
        <f>IF(D$2&lt;=締月,SUMIFS(入力_貸付!$F$5:$F$404,入力_貸付!$D$5:$D$404,"修繕費",入力_貸付!$H$5:$H$404,D$2,入力_貸付!$G$5:$G$404,"確認済"),AB17)</f>
        <v>0</v>
      </c>
      <c r="E17" s="353">
        <f>IF(E$2&lt;=締月,SUMIFS(入力_貸付!$F$5:$F$404,入力_貸付!$D$5:$D$404,"修繕費",入力_貸付!$H$5:$H$404,E$2,入力_貸付!$G$5:$G$404,"確認済"),AC17)</f>
        <v>0</v>
      </c>
      <c r="F17" s="353">
        <f>IF(F$2&lt;=締月,SUMIFS(入力_貸付!$F$5:$F$404,入力_貸付!$D$5:$D$404,"修繕費",入力_貸付!$H$5:$H$404,F$2,入力_貸付!$G$5:$G$404,"確認済"),AD17)</f>
        <v>0</v>
      </c>
      <c r="G17" s="353">
        <f>IF(G$2&lt;=締月,SUMIFS(入力_貸付!$F$5:$F$404,入力_貸付!$D$5:$D$404,"修繕費",入力_貸付!$H$5:$H$404,G$2,入力_貸付!$G$5:$G$404,"確認済"),AE17)</f>
        <v>0</v>
      </c>
      <c r="H17" s="353">
        <f>IF(H$2&lt;=締月,SUMIFS(入力_貸付!$F$5:$F$404,入力_貸付!$D$5:$D$404,"修繕費",入力_貸付!$H$5:$H$404,H$2,入力_貸付!$G$5:$G$404,"確認済"),AF17)</f>
        <v>0</v>
      </c>
      <c r="I17" s="353">
        <f>IF(I$2&lt;=締月,SUMIFS(入力_貸付!$F$5:$F$404,入力_貸付!$D$5:$D$404,"修繕費",入力_貸付!$H$5:$H$404,I$2,入力_貸付!$G$5:$G$404,"確認済"),AG17)</f>
        <v>0</v>
      </c>
      <c r="J17" s="353">
        <f>IF(J$2&lt;=締月,SUMIFS(入力_貸付!$F$5:$F$404,入力_貸付!$D$5:$D$404,"修繕費",入力_貸付!$H$5:$H$404,J$2,入力_貸付!$G$5:$G$404,"確認済"),AH17)</f>
        <v>0</v>
      </c>
      <c r="K17" s="353">
        <f>IF(K$2&lt;=締月,SUMIFS(入力_貸付!$F$5:$F$404,入力_貸付!$D$5:$D$404,"修繕費",入力_貸付!$H$5:$H$404,K$2,入力_貸付!$G$5:$G$404,"確認済"),AI17)</f>
        <v>0</v>
      </c>
      <c r="L17" s="353">
        <f>IF(L$2&lt;=締月,SUMIFS(入力_貸付!$F$5:$F$404,入力_貸付!$D$5:$D$404,"修繕費",入力_貸付!$H$5:$H$404,L$2,入力_貸付!$G$5:$G$404,"確認済"),AJ17)</f>
        <v>0</v>
      </c>
      <c r="M17" s="353">
        <f>IF(M$2&lt;=締月,SUMIFS(入力_貸付!$F$5:$F$404,入力_貸付!$D$5:$D$404,"修繕費",入力_貸付!$H$5:$H$404,M$2,入力_貸付!$G$5:$G$404,"確認済"),AK17)</f>
        <v>0</v>
      </c>
      <c r="N17" s="353">
        <f>IF(N$2&lt;=締月,SUMIFS(入力_貸付!$F$5:$F$404,入力_貸付!$D$5:$D$404,"修繕費",入力_貸付!$H$5:$H$404,N$2,入力_貸付!$G$5:$G$404,"確認済"),AL17)</f>
        <v>0</v>
      </c>
      <c r="O17" s="353">
        <f>IF(O$2&lt;=締月,SUMIFS(入力_貸付!$F$5:$F$404,入力_貸付!$D$5:$D$404,"修繕費",入力_貸付!$H$5:$H$404,O$2,入力_貸付!$G$5:$G$404,"確認済"),AM17)</f>
        <v>0</v>
      </c>
      <c r="P17" s="353">
        <f>SUM(C17:O17)</f>
        <v>0</v>
      </c>
      <c r="Q17" s="417" t="n">
        <v>100000</v>
      </c>
      <c r="R17" s="418" t="n"/>
      <c r="S17" s="353">
        <f>SUM(Q17:R17)</f>
        <v>100000</v>
      </c>
      <c r="T17" s="353">
        <f>S17-P17</f>
        <v>100000</v>
      </c>
      <c r="U17" s="373" t="n"/>
      <c r="V17" s="378">
        <f>SUMIF($C$2:$N$2,"&lt;="&amp;締月,C17:N17)</f>
        <v>0</v>
      </c>
      <c r="W17" s="378">
        <f>S17-V17</f>
        <v>100000</v>
      </c>
      <c r="X17" s="399" t="n">
        <v>1</v>
      </c>
      <c r="AA17" s="400" t="n"/>
      <c r="AB17" s="400" t="n"/>
      <c r="AC17" s="400" t="n"/>
      <c r="AD17" s="400" t="n"/>
      <c r="AE17" s="400" t="n"/>
      <c r="AF17" s="400" t="n"/>
      <c r="AG17" s="400" t="n"/>
      <c r="AH17" s="400" t="n"/>
      <c r="AI17" s="400" t="n"/>
      <c r="AJ17" s="400" t="n"/>
      <c r="AK17" s="400" t="n"/>
      <c r="AL17" s="400" t="n"/>
      <c r="AM17" s="400" t="n"/>
    </row>
    <row r="18" ht="18" customHeight="1" s="322">
      <c r="A18" s="385" t="inlineStr">
        <is>
          <t>賃借料</t>
        </is>
      </c>
      <c r="B18" s="419" t="n"/>
      <c r="C18" s="353">
        <f>IF(C$2&lt;=締月,SUMIFS(入力_貸付!$F$5:$F$404,入力_貸付!$D$5:$D$404,"賃借料",入力_貸付!$H$5:$H$404,C$2,入力_貸付!$G$5:$G$404,"確認済"),AA18)</f>
        <v>0</v>
      </c>
      <c r="D18" s="353">
        <f>IF(D$2&lt;=締月,SUMIFS(入力_貸付!$F$5:$F$404,入力_貸付!$D$5:$D$404,"賃借料",入力_貸付!$H$5:$H$404,D$2,入力_貸付!$G$5:$G$404,"確認済"),AB18)</f>
        <v>74674</v>
      </c>
      <c r="E18" s="353">
        <f>IF(E$2&lt;=締月,SUMIFS(入力_貸付!$F$5:$F$404,入力_貸付!$D$5:$D$404,"賃借料",入力_貸付!$H$5:$H$404,E$2,入力_貸付!$G$5:$G$404,"確認済"),AC18)</f>
        <v>74674</v>
      </c>
      <c r="F18" s="353">
        <f>IF(F$2&lt;=締月,SUMIFS(入力_貸付!$F$5:$F$404,入力_貸付!$D$5:$D$404,"賃借料",入力_貸付!$H$5:$H$404,F$2,入力_貸付!$G$5:$G$404,"確認済"),AD18)</f>
        <v>74674</v>
      </c>
      <c r="G18" s="353">
        <f>IF(G$2&lt;=締月,SUMIFS(入力_貸付!$F$5:$F$404,入力_貸付!$D$5:$D$404,"賃借料",入力_貸付!$H$5:$H$404,G$2,入力_貸付!$G$5:$G$404,"確認済"),AE18)</f>
        <v>74674</v>
      </c>
      <c r="H18" s="353">
        <f>IF(H$2&lt;=締月,SUMIFS(入力_貸付!$F$5:$F$404,入力_貸付!$D$5:$D$404,"賃借料",入力_貸付!$H$5:$H$404,H$2,入力_貸付!$G$5:$G$404,"確認済"),AF18)</f>
        <v>74674</v>
      </c>
      <c r="I18" s="353">
        <f>IF(I$2&lt;=締月,SUMIFS(入力_貸付!$F$5:$F$404,入力_貸付!$D$5:$D$404,"賃借料",入力_貸付!$H$5:$H$404,I$2,入力_貸付!$G$5:$G$404,"確認済"),AG18)</f>
        <v>74674</v>
      </c>
      <c r="J18" s="353">
        <f>IF(J$2&lt;=締月,SUMIFS(入力_貸付!$F$5:$F$404,入力_貸付!$D$5:$D$404,"賃借料",入力_貸付!$H$5:$H$404,J$2,入力_貸付!$G$5:$G$404,"確認済"),AH18)</f>
        <v>74674</v>
      </c>
      <c r="K18" s="353">
        <f>IF(K$2&lt;=締月,SUMIFS(入力_貸付!$F$5:$F$404,入力_貸付!$D$5:$D$404,"賃借料",入力_貸付!$H$5:$H$404,K$2,入力_貸付!$G$5:$G$404,"確認済"),AI18)</f>
        <v>74674</v>
      </c>
      <c r="L18" s="353">
        <f>IF(L$2&lt;=締月,SUMIFS(入力_貸付!$F$5:$F$404,入力_貸付!$D$5:$D$404,"賃借料",入力_貸付!$H$5:$H$404,L$2,入力_貸付!$G$5:$G$404,"確認済"),AJ18)</f>
        <v>74674</v>
      </c>
      <c r="M18" s="353">
        <f>IF(M$2&lt;=締月,SUMIFS(入力_貸付!$F$5:$F$404,入力_貸付!$D$5:$D$404,"賃借料",入力_貸付!$H$5:$H$404,M$2,入力_貸付!$G$5:$G$404,"確認済"),AK18)</f>
        <v>74674</v>
      </c>
      <c r="N18" s="353">
        <f>IF(N$2&lt;=締月,SUMIFS(入力_貸付!$F$5:$F$404,入力_貸付!$D$5:$D$404,"賃借料",入力_貸付!$H$5:$H$404,N$2,入力_貸付!$G$5:$G$404,"確認済"),AL18)</f>
        <v>74674</v>
      </c>
      <c r="O18" s="353">
        <f>IF(O$2&lt;=締月,SUMIFS(入力_貸付!$F$5:$F$404,入力_貸付!$D$5:$D$404,"賃借料",入力_貸付!$H$5:$H$404,O$2,入力_貸付!$G$5:$G$404,"確認済"),AM18)</f>
        <v>55757</v>
      </c>
      <c r="P18" s="353">
        <f>SUM(C18:O18)</f>
        <v>877171</v>
      </c>
      <c r="Q18" s="417" t="n">
        <v>882000</v>
      </c>
      <c r="R18" s="418" t="n"/>
      <c r="S18" s="353">
        <f>SUM(Q18:R18)</f>
        <v>882000</v>
      </c>
      <c r="T18" s="353">
        <f>S18-P18</f>
        <v>4829</v>
      </c>
      <c r="U18" s="373" t="n"/>
      <c r="V18" s="378">
        <f>SUMIF($C$2:$N$2,"&lt;="&amp;締月,C18:N18)</f>
        <v>373370</v>
      </c>
      <c r="W18" s="378">
        <f>S18-V18</f>
        <v>508630</v>
      </c>
      <c r="X18" s="399" t="n">
        <v>1</v>
      </c>
      <c r="AA18" s="400" t="n"/>
      <c r="AB18" s="400" t="n">
        <v>74674</v>
      </c>
      <c r="AC18" s="400" t="n">
        <v>74674</v>
      </c>
      <c r="AD18" s="400" t="n">
        <v>74674</v>
      </c>
      <c r="AE18" s="400" t="n">
        <v>74674</v>
      </c>
      <c r="AF18" s="400" t="n">
        <v>74674</v>
      </c>
      <c r="AG18" s="400" t="n">
        <v>74674</v>
      </c>
      <c r="AH18" s="400" t="n">
        <v>74674</v>
      </c>
      <c r="AI18" s="400" t="n">
        <v>74674</v>
      </c>
      <c r="AJ18" s="400" t="n">
        <v>74674</v>
      </c>
      <c r="AK18" s="400" t="n">
        <v>74674</v>
      </c>
      <c r="AL18" s="400" t="n">
        <v>74674</v>
      </c>
      <c r="AM18" s="400" t="n">
        <v>55757</v>
      </c>
    </row>
    <row r="19" ht="18" customHeight="1" s="322">
      <c r="A19" s="385" t="inlineStr">
        <is>
          <t>普及費</t>
        </is>
      </c>
      <c r="B19" s="419" t="n"/>
      <c r="C19" s="353">
        <f>IF(C$2&lt;=締月,SUMIFS(入力_貸付!$F$5:$F$404,入力_貸付!$D$5:$D$404,"普及費",入力_貸付!$H$5:$H$404,C$2,入力_貸付!$G$5:$G$404,"確認済"),AA19)</f>
        <v>0</v>
      </c>
      <c r="D19" s="353">
        <f>IF(D$2&lt;=締月,SUMIFS(入力_貸付!$F$5:$F$404,入力_貸付!$D$5:$D$404,"普及費",入力_貸付!$H$5:$H$404,D$2,入力_貸付!$G$5:$G$404,"確認済"),AB19)</f>
        <v>0</v>
      </c>
      <c r="E19" s="353">
        <f>IF(E$2&lt;=締月,SUMIFS(入力_貸付!$F$5:$F$404,入力_貸付!$D$5:$D$404,"普及費",入力_貸付!$H$5:$H$404,E$2,入力_貸付!$G$5:$G$404,"確認済"),AC19)</f>
        <v>0</v>
      </c>
      <c r="F19" s="353">
        <f>IF(F$2&lt;=締月,SUMIFS(入力_貸付!$F$5:$F$404,入力_貸付!$D$5:$D$404,"普及費",入力_貸付!$H$5:$H$404,F$2,入力_貸付!$G$5:$G$404,"確認済"),AD19)</f>
        <v>0</v>
      </c>
      <c r="G19" s="353">
        <f>IF(G$2&lt;=締月,SUMIFS(入力_貸付!$F$5:$F$404,入力_貸付!$D$5:$D$404,"普及費",入力_貸付!$H$5:$H$404,G$2,入力_貸付!$G$5:$G$404,"確認済"),AE19)</f>
        <v>242770</v>
      </c>
      <c r="H19" s="353">
        <f>IF(H$2&lt;=締月,SUMIFS(入力_貸付!$F$5:$F$404,入力_貸付!$D$5:$D$404,"普及費",入力_貸付!$H$5:$H$404,H$2,入力_貸付!$G$5:$G$404,"確認済"),AF19)</f>
        <v>0</v>
      </c>
      <c r="I19" s="353">
        <f>IF(I$2&lt;=締月,SUMIFS(入力_貸付!$F$5:$F$404,入力_貸付!$D$5:$D$404,"普及費",入力_貸付!$H$5:$H$404,I$2,入力_貸付!$G$5:$G$404,"確認済"),AG19)</f>
        <v>0</v>
      </c>
      <c r="J19" s="353">
        <f>IF(J$2&lt;=締月,SUMIFS(入力_貸付!$F$5:$F$404,入力_貸付!$D$5:$D$404,"普及費",入力_貸付!$H$5:$H$404,J$2,入力_貸付!$G$5:$G$404,"確認済"),AH19)</f>
        <v>0</v>
      </c>
      <c r="K19" s="353">
        <f>IF(K$2&lt;=締月,SUMIFS(入力_貸付!$F$5:$F$404,入力_貸付!$D$5:$D$404,"普及費",入力_貸付!$H$5:$H$404,K$2,入力_貸付!$G$5:$G$404,"確認済"),AI19)</f>
        <v>0</v>
      </c>
      <c r="L19" s="353">
        <f>IF(L$2&lt;=締月,SUMIFS(入力_貸付!$F$5:$F$404,入力_貸付!$D$5:$D$404,"普及費",入力_貸付!$H$5:$H$404,L$2,入力_貸付!$G$5:$G$404,"確認済"),AJ19)</f>
        <v>0</v>
      </c>
      <c r="M19" s="353">
        <f>IF(M$2&lt;=締月,SUMIFS(入力_貸付!$F$5:$F$404,入力_貸付!$D$5:$D$404,"普及費",入力_貸付!$H$5:$H$404,M$2,入力_貸付!$G$5:$G$404,"確認済"),AK19)</f>
        <v>0</v>
      </c>
      <c r="N19" s="353">
        <f>IF(N$2&lt;=締月,SUMIFS(入力_貸付!$F$5:$F$404,入力_貸付!$D$5:$D$404,"普及費",入力_貸付!$H$5:$H$404,N$2,入力_貸付!$G$5:$G$404,"確認済"),AL19)</f>
        <v>0</v>
      </c>
      <c r="O19" s="353">
        <f>IF(O$2&lt;=締月,SUMIFS(入力_貸付!$F$5:$F$404,入力_貸付!$D$5:$D$404,"普及費",入力_貸付!$H$5:$H$404,O$2,入力_貸付!$G$5:$G$404,"確認済"),AM19)</f>
        <v>0</v>
      </c>
      <c r="P19" s="353">
        <f>SUM(C19:O19)</f>
        <v>242770</v>
      </c>
      <c r="Q19" s="417" t="n">
        <v>648000</v>
      </c>
      <c r="R19" s="418" t="n"/>
      <c r="S19" s="353">
        <f>SUM(Q19:R19)</f>
        <v>648000</v>
      </c>
      <c r="T19" s="353">
        <f>S19-P19</f>
        <v>405230</v>
      </c>
      <c r="U19" s="373" t="n"/>
      <c r="V19" s="378">
        <f>SUMIF($C$2:$N$2,"&lt;="&amp;締月,C19:N19)</f>
        <v>242770</v>
      </c>
      <c r="W19" s="378">
        <f>S19-V19</f>
        <v>405230</v>
      </c>
      <c r="X19" s="399" t="n">
        <v>1</v>
      </c>
      <c r="AA19" s="400" t="n"/>
      <c r="AB19" s="400" t="n"/>
      <c r="AC19" s="400" t="n"/>
      <c r="AD19" s="400" t="n"/>
      <c r="AE19" s="400" t="n">
        <v>242770</v>
      </c>
      <c r="AF19" s="400" t="n"/>
      <c r="AG19" s="400" t="n"/>
      <c r="AH19" s="400" t="n"/>
      <c r="AI19" s="400" t="n"/>
      <c r="AJ19" s="400" t="n"/>
      <c r="AK19" s="400" t="n"/>
      <c r="AL19" s="400" t="n"/>
      <c r="AM19" s="400" t="n"/>
    </row>
    <row r="20" ht="18" customHeight="1" s="322">
      <c r="A20" s="385" t="inlineStr">
        <is>
          <t>食糧費</t>
        </is>
      </c>
      <c r="B20" s="419" t="n"/>
      <c r="C20" s="353">
        <f>IF(C$2&lt;=締月,SUMIFS(入力_貸付!$F$5:$F$404,入力_貸付!$D$5:$D$404,"食糧費",入力_貸付!$H$5:$H$404,C$2,入力_貸付!$G$5:$G$404,"確認済"),AA20)</f>
        <v>0</v>
      </c>
      <c r="D20" s="353">
        <f>IF(D$2&lt;=締月,SUMIFS(入力_貸付!$F$5:$F$404,入力_貸付!$D$5:$D$404,"食糧費",入力_貸付!$H$5:$H$404,D$2,入力_貸付!$G$5:$G$404,"確認済"),AB20)</f>
        <v>0</v>
      </c>
      <c r="E20" s="353">
        <f>IF(E$2&lt;=締月,SUMIFS(入力_貸付!$F$5:$F$404,入力_貸付!$D$5:$D$404,"食糧費",入力_貸付!$H$5:$H$404,E$2,入力_貸付!$G$5:$G$404,"確認済"),AC20)</f>
        <v>0</v>
      </c>
      <c r="F20" s="353">
        <f>IF(F$2&lt;=締月,SUMIFS(入力_貸付!$F$5:$F$404,入力_貸付!$D$5:$D$404,"食糧費",入力_貸付!$H$5:$H$404,F$2,入力_貸付!$G$5:$G$404,"確認済"),AD20)</f>
        <v>0</v>
      </c>
      <c r="G20" s="353">
        <f>IF(G$2&lt;=締月,SUMIFS(入力_貸付!$F$5:$F$404,入力_貸付!$D$5:$D$404,"食糧費",入力_貸付!$H$5:$H$404,G$2,入力_貸付!$G$5:$G$404,"確認済"),AE20)</f>
        <v>0</v>
      </c>
      <c r="H20" s="353">
        <f>IF(H$2&lt;=締月,SUMIFS(入力_貸付!$F$5:$F$404,入力_貸付!$D$5:$D$404,"食糧費",入力_貸付!$H$5:$H$404,H$2,入力_貸付!$G$5:$G$404,"確認済"),AF20)</f>
        <v>0</v>
      </c>
      <c r="I20" s="353">
        <f>IF(I$2&lt;=締月,SUMIFS(入力_貸付!$F$5:$F$404,入力_貸付!$D$5:$D$404,"食糧費",入力_貸付!$H$5:$H$404,I$2,入力_貸付!$G$5:$G$404,"確認済"),AG20)</f>
        <v>0</v>
      </c>
      <c r="J20" s="353">
        <f>IF(J$2&lt;=締月,SUMIFS(入力_貸付!$F$5:$F$404,入力_貸付!$D$5:$D$404,"食糧費",入力_貸付!$H$5:$H$404,J$2,入力_貸付!$G$5:$G$404,"確認済"),AH20)</f>
        <v>0</v>
      </c>
      <c r="K20" s="353">
        <f>IF(K$2&lt;=締月,SUMIFS(入力_貸付!$F$5:$F$404,入力_貸付!$D$5:$D$404,"食糧費",入力_貸付!$H$5:$H$404,K$2,入力_貸付!$G$5:$G$404,"確認済"),AI20)</f>
        <v>0</v>
      </c>
      <c r="L20" s="353">
        <f>IF(L$2&lt;=締月,SUMIFS(入力_貸付!$F$5:$F$404,入力_貸付!$D$5:$D$404,"食糧費",入力_貸付!$H$5:$H$404,L$2,入力_貸付!$G$5:$G$404,"確認済"),AJ20)</f>
        <v>0</v>
      </c>
      <c r="M20" s="353">
        <f>IF(M$2&lt;=締月,SUMIFS(入力_貸付!$F$5:$F$404,入力_貸付!$D$5:$D$404,"食糧費",入力_貸付!$H$5:$H$404,M$2,入力_貸付!$G$5:$G$404,"確認済"),AK20)</f>
        <v>0</v>
      </c>
      <c r="N20" s="353">
        <f>IF(N$2&lt;=締月,SUMIFS(入力_貸付!$F$5:$F$404,入力_貸付!$D$5:$D$404,"食糧費",入力_貸付!$H$5:$H$404,N$2,入力_貸付!$G$5:$G$404,"確認済"),AL20)</f>
        <v>0</v>
      </c>
      <c r="O20" s="353">
        <f>IF(O$2&lt;=締月,SUMIFS(入力_貸付!$F$5:$F$404,入力_貸付!$D$5:$D$404,"食糧費",入力_貸付!$H$5:$H$404,O$2,入力_貸付!$G$5:$G$404,"確認済"),AM20)</f>
        <v>0</v>
      </c>
      <c r="P20" s="353">
        <f>SUM(C20:O20)</f>
        <v>0</v>
      </c>
      <c r="Q20" s="417" t="n">
        <v>0</v>
      </c>
      <c r="R20" s="418" t="n"/>
      <c r="S20" s="353">
        <f>SUM(Q20:R20)</f>
        <v>0</v>
      </c>
      <c r="T20" s="353">
        <f>S20-P20</f>
        <v>0</v>
      </c>
      <c r="U20" s="373" t="n"/>
      <c r="V20" s="378">
        <f>SUMIF($C$2:$N$2,"&lt;="&amp;締月,C20:N20)</f>
        <v>0</v>
      </c>
      <c r="W20" s="378">
        <f>S20-V20</f>
        <v>0</v>
      </c>
      <c r="X20" s="399" t="n">
        <v>1</v>
      </c>
      <c r="AA20" s="400" t="n"/>
      <c r="AB20" s="400" t="n"/>
      <c r="AC20" s="400" t="n"/>
      <c r="AD20" s="400" t="n"/>
      <c r="AE20" s="400" t="n"/>
      <c r="AF20" s="400" t="n"/>
      <c r="AG20" s="400" t="n"/>
      <c r="AH20" s="400" t="n"/>
      <c r="AI20" s="400" t="n"/>
      <c r="AJ20" s="400" t="n"/>
      <c r="AK20" s="400" t="n"/>
      <c r="AL20" s="400" t="n"/>
      <c r="AM20" s="400" t="n"/>
    </row>
    <row r="21" ht="18" customHeight="1" s="322">
      <c r="A21" s="385" t="inlineStr">
        <is>
          <t>負担金</t>
        </is>
      </c>
      <c r="B21" s="385" t="inlineStr">
        <is>
          <t>互助会費</t>
        </is>
      </c>
      <c r="C21" s="417" t="n">
        <v>468</v>
      </c>
      <c r="D21" s="417" t="n">
        <v>468</v>
      </c>
      <c r="E21" s="417" t="n">
        <v>468</v>
      </c>
      <c r="F21" s="417" t="n">
        <v>468</v>
      </c>
      <c r="G21" s="417" t="n">
        <v>468</v>
      </c>
      <c r="H21" s="417" t="n">
        <v>468</v>
      </c>
      <c r="I21" s="417" t="n">
        <v>534</v>
      </c>
      <c r="J21" s="417" t="n">
        <v>534</v>
      </c>
      <c r="K21" s="417" t="n">
        <v>534</v>
      </c>
      <c r="L21" s="417" t="n">
        <v>684</v>
      </c>
      <c r="M21" s="417" t="n">
        <v>549</v>
      </c>
      <c r="N21" s="417" t="n">
        <v>549</v>
      </c>
      <c r="O21" s="416" t="n"/>
      <c r="P21" s="353">
        <f>SUM(C21:O21)</f>
        <v>6192</v>
      </c>
      <c r="Q21" s="417" t="n">
        <v>2177000</v>
      </c>
      <c r="R21" s="420" t="n"/>
      <c r="S21" s="353">
        <f>SUM(Q21:R21)</f>
        <v>2177000</v>
      </c>
      <c r="T21" s="353">
        <f>S21-SUM(P21:P25)</f>
        <v>292352</v>
      </c>
      <c r="U21" s="373" t="n"/>
      <c r="V21" s="378">
        <f>SUMIF($C$2:$N$2,"&lt;="&amp;締月,C21:N21)</f>
        <v>2808</v>
      </c>
      <c r="W21" s="373" t="n"/>
    </row>
    <row r="22" ht="18" customHeight="1" s="322">
      <c r="A22" s="343" t="n"/>
      <c r="B22" s="385" t="inlineStr">
        <is>
          <t>協会けんぽ保険料等</t>
        </is>
      </c>
      <c r="C22" s="418" t="n"/>
      <c r="D22" s="418" t="n"/>
      <c r="E22" s="418" t="n"/>
      <c r="F22" s="418" t="n"/>
      <c r="G22" s="418" t="n"/>
      <c r="H22" s="418" t="n"/>
      <c r="I22" s="418" t="n"/>
      <c r="J22" s="418" t="n"/>
      <c r="K22" s="418" t="n"/>
      <c r="L22" s="418" t="n"/>
      <c r="M22" s="418" t="n"/>
      <c r="N22" s="418" t="n"/>
      <c r="O22" s="416" t="n"/>
      <c r="P22" s="353">
        <f>SUM(C22:O22)</f>
        <v>0</v>
      </c>
      <c r="Q22" s="343" t="n"/>
      <c r="R22" s="343" t="n"/>
      <c r="S22" s="343" t="n"/>
      <c r="T22" s="343" t="n"/>
      <c r="U22" s="373" t="n"/>
      <c r="V22" s="378">
        <f>SUMIF($C$2:$N$2,"&lt;="&amp;締月,C22:N22)</f>
        <v>0</v>
      </c>
      <c r="W22" s="373" t="n"/>
    </row>
    <row r="23" ht="18" customHeight="1" s="322">
      <c r="A23" s="343" t="n"/>
      <c r="B23" s="385" t="inlineStr">
        <is>
          <t>共済負担金等</t>
        </is>
      </c>
      <c r="C23" s="417" t="n">
        <v>45719</v>
      </c>
      <c r="D23" s="417" t="n">
        <v>45719</v>
      </c>
      <c r="E23" s="417" t="n">
        <v>98509</v>
      </c>
      <c r="F23" s="417" t="n">
        <v>45719</v>
      </c>
      <c r="G23" s="417" t="n">
        <v>199402</v>
      </c>
      <c r="H23" s="417" t="n">
        <v>45719</v>
      </c>
      <c r="I23" s="417" t="n">
        <v>47257</v>
      </c>
      <c r="J23" s="417" t="n">
        <v>47257</v>
      </c>
      <c r="K23" s="417" t="n">
        <v>99869</v>
      </c>
      <c r="L23" s="417" t="n">
        <v>49972</v>
      </c>
      <c r="M23" s="417" t="n">
        <v>47257</v>
      </c>
      <c r="N23" s="417" t="n">
        <v>47257</v>
      </c>
      <c r="O23" s="416" t="n"/>
      <c r="P23" s="353">
        <f>SUM(C23:O23)</f>
        <v>819656</v>
      </c>
      <c r="Q23" s="343" t="n"/>
      <c r="R23" s="343" t="n"/>
      <c r="S23" s="343" t="n"/>
      <c r="T23" s="343" t="n"/>
      <c r="U23" s="373" t="n"/>
      <c r="V23" s="378">
        <f>SUMIF($C$2:$N$2,"&lt;="&amp;締月,C23:N23)</f>
        <v>480787</v>
      </c>
      <c r="W23" s="373" t="n"/>
    </row>
    <row r="24" ht="18" customHeight="1" s="322">
      <c r="A24" s="343" t="n"/>
      <c r="B24" s="385" t="inlineStr">
        <is>
          <t>厚生年金保険料等</t>
        </is>
      </c>
      <c r="C24" s="353">
        <f>IF(C$2&lt;=締月,SUMIFS(入力_貸付!$F$5:$F$404,入力_貸付!$D$5:$D$404,"厚生年金保険料等",入力_貸付!$H$5:$H$404,C$2,入力_貸付!$G$5:$G$404,"確認済"),AA24)</f>
        <v>0</v>
      </c>
      <c r="D24" s="353">
        <f>IF(D$2&lt;=締月,SUMIFS(入力_貸付!$F$5:$F$404,入力_貸付!$D$5:$D$404,"厚生年金保険料等",入力_貸付!$H$5:$H$404,D$2,入力_貸付!$G$5:$G$404,"確認済"),AB24)</f>
        <v>72040</v>
      </c>
      <c r="E24" s="353">
        <f>IF(E$2&lt;=締月,SUMIFS(入力_貸付!$F$5:$F$404,入力_貸付!$D$5:$D$404,"厚生年金保険料等",入力_貸付!$H$5:$H$404,E$2,入力_貸付!$G$5:$G$404,"確認済"),AC24)</f>
        <v>142650</v>
      </c>
      <c r="F24" s="353">
        <f>IF(F$2&lt;=締月,SUMIFS(入力_貸付!$F$5:$F$404,入力_貸付!$D$5:$D$404,"厚生年金保険料等",入力_貸付!$H$5:$H$404,F$2,入力_貸付!$G$5:$G$404,"確認済"),AD24)</f>
        <v>71325</v>
      </c>
      <c r="G24" s="353">
        <f>IF(G$2&lt;=締月,SUMIFS(入力_貸付!$F$5:$F$404,入力_貸付!$D$5:$D$404,"厚生年金保険料等",入力_貸付!$H$5:$H$404,G$2,入力_貸付!$G$5:$G$404,"確認済"),AE24)</f>
        <v>0</v>
      </c>
      <c r="H24" s="353">
        <f>IF(H$2&lt;=締月,SUMIFS(入力_貸付!$F$5:$F$404,入力_貸付!$D$5:$D$404,"厚生年金保険料等",入力_貸付!$H$5:$H$404,H$2,入力_貸付!$G$5:$G$404,"確認済"),AF24)</f>
        <v>71325</v>
      </c>
      <c r="I24" s="353">
        <f>IF(I$2&lt;=締月,SUMIFS(入力_貸付!$F$5:$F$404,入力_貸付!$D$5:$D$404,"厚生年金保険料等",入力_貸付!$H$5:$H$404,I$2,入力_貸付!$G$5:$G$404,"確認済"),AG24)</f>
        <v>71325</v>
      </c>
      <c r="J24" s="353">
        <f>IF(J$2&lt;=締月,SUMIFS(入力_貸付!$F$5:$F$404,入力_貸付!$D$5:$D$404,"厚生年金保険料等",入力_貸付!$H$5:$H$404,J$2,入力_貸付!$G$5:$G$404,"確認済"),AH24)</f>
        <v>0</v>
      </c>
      <c r="K24" s="353">
        <f>IF(K$2&lt;=締月,SUMIFS(入力_貸付!$F$5:$F$404,入力_貸付!$D$5:$D$404,"厚生年金保険料等",入力_貸付!$H$5:$H$404,K$2,入力_貸付!$G$5:$G$404,"確認済"),AI24)</f>
        <v>71325</v>
      </c>
      <c r="L24" s="353">
        <f>IF(L$2&lt;=締月,SUMIFS(入力_貸付!$F$5:$F$404,入力_貸付!$D$5:$D$404,"厚生年金保険料等",入力_貸付!$H$5:$H$404,L$2,入力_貸付!$G$5:$G$404,"確認済"),AJ24)</f>
        <v>71325</v>
      </c>
      <c r="M24" s="353">
        <f>IF(M$2&lt;=締月,SUMIFS(入力_貸付!$F$5:$F$404,入力_貸付!$D$5:$D$404,"厚生年金保険料等",入力_貸付!$H$5:$H$404,M$2,入力_貸付!$G$5:$G$404,"確認済"),AK24)</f>
        <v>150733</v>
      </c>
      <c r="N24" s="353">
        <f>IF(N$2&lt;=締月,SUMIFS(入力_貸付!$F$5:$F$404,入力_貸付!$D$5:$D$404,"厚生年金保険料等",入力_貸付!$H$5:$H$404,N$2,入力_貸付!$G$5:$G$404,"確認済"),AL24)</f>
        <v>146739</v>
      </c>
      <c r="O24" s="353">
        <f>IF(O$2&lt;=締月,SUMIFS(入力_貸付!$F$5:$F$404,入力_貸付!$D$5:$D$404,"厚生年金保険料等",入力_貸付!$H$5:$H$404,O$2,入力_貸付!$G$5:$G$404,"確認済"),AM24)</f>
        <v>60864</v>
      </c>
      <c r="P24" s="353">
        <f>SUM(D24:O24)</f>
        <v>929651</v>
      </c>
      <c r="Q24" s="343" t="n"/>
      <c r="R24" s="343" t="n"/>
      <c r="S24" s="343" t="n"/>
      <c r="T24" s="343" t="n"/>
      <c r="U24" s="373" t="n"/>
      <c r="V24" s="378">
        <f>SUMIF($C$2:$N$2,"&lt;="&amp;締月,C24:N24)</f>
        <v>357340</v>
      </c>
      <c r="W24" s="373" t="n"/>
      <c r="X24" s="399" t="n">
        <v>1</v>
      </c>
      <c r="AA24" s="400" t="n"/>
      <c r="AB24" s="400" t="n">
        <v>72040</v>
      </c>
      <c r="AC24" s="400" t="n">
        <v>142650</v>
      </c>
      <c r="AD24" s="400" t="n">
        <v>71325</v>
      </c>
      <c r="AE24" s="400" t="n"/>
      <c r="AF24" s="400" t="n">
        <v>71325</v>
      </c>
      <c r="AG24" s="400" t="n">
        <v>71325</v>
      </c>
      <c r="AH24" s="400" t="n"/>
      <c r="AI24" s="400" t="n">
        <v>71325</v>
      </c>
      <c r="AJ24" s="400" t="n">
        <v>71325</v>
      </c>
      <c r="AK24" s="400" t="n">
        <v>150733</v>
      </c>
      <c r="AL24" s="400" t="n">
        <v>146739</v>
      </c>
      <c r="AM24" s="400" t="n">
        <v>60864</v>
      </c>
    </row>
    <row r="25" ht="18" customHeight="1" s="322">
      <c r="A25" s="343" t="n"/>
      <c r="B25" s="385" t="inlineStr">
        <is>
          <t>労災・雇用等保険料</t>
        </is>
      </c>
      <c r="C25" s="353">
        <f>IF(C$2&lt;=締月,SUMIFS(入力_貸付!$F$5:$F$404,入力_貸付!$D$5:$D$404,"労災・雇用等保険料",入力_貸付!$H$5:$H$404,C$2,入力_貸付!$G$5:$G$404,"確認済"),AA25)</f>
        <v>0</v>
      </c>
      <c r="D25" s="377">
        <f>IF(D$2&lt;=締月,SUMIFS(入力_貸付!$F$5:$F$404,入力_貸付!$D$5:$D$404,"労災・雇用等保険料",入力_貸付!$H$5:$H$404,D$2,入力_貸付!$G$5:$G$404,"確認済"),AB25)</f>
        <v>0</v>
      </c>
      <c r="E25" s="377">
        <f>IF(E$2&lt;=締月,SUMIFS(入力_貸付!$F$5:$F$404,入力_貸付!$D$5:$D$404,"労災・雇用等保険料",入力_貸付!$H$5:$H$404,E$2,入力_貸付!$G$5:$G$404,"確認済"),AC25)</f>
        <v>0</v>
      </c>
      <c r="F25" s="353">
        <f>IF(F$2&lt;=締月,SUMIFS(入力_貸付!$F$5:$F$404,入力_貸付!$D$5:$D$404,"労災・雇用等保険料",入力_貸付!$H$5:$H$404,F$2,入力_貸付!$G$5:$G$404,"確認済"),AD25)</f>
        <v>129149</v>
      </c>
      <c r="G25" s="353">
        <f>IF(G$2&lt;=締月,SUMIFS(入力_貸付!$F$5:$F$404,入力_貸付!$D$5:$D$404,"労災・雇用等保険料",入力_貸付!$H$5:$H$404,G$2,入力_貸付!$G$5:$G$404,"確認済"),AE25)</f>
        <v>0</v>
      </c>
      <c r="H25" s="353">
        <f>IF(H$2&lt;=締月,SUMIFS(入力_貸付!$F$5:$F$404,入力_貸付!$D$5:$D$404,"労災・雇用等保険料",入力_貸付!$H$5:$H$404,H$2,入力_貸付!$G$5:$G$404,"確認済"),AF25)</f>
        <v>0</v>
      </c>
      <c r="I25" s="353">
        <f>IF(I$2&lt;=締月,SUMIFS(入力_貸付!$F$5:$F$404,入力_貸付!$D$5:$D$404,"労災・雇用等保険料",入力_貸付!$H$5:$H$404,I$2,入力_貸付!$G$5:$G$404,"確認済"),AG25)</f>
        <v>0</v>
      </c>
      <c r="J25" s="353">
        <f>IF(J$2&lt;=締月,SUMIFS(入力_貸付!$F$5:$F$404,入力_貸付!$D$5:$D$404,"労災・雇用等保険料",入力_貸付!$H$5:$H$404,J$2,入力_貸付!$G$5:$G$404,"確認済"),AH25)</f>
        <v>0</v>
      </c>
      <c r="K25" s="353">
        <f>IF(K$2&lt;=締月,SUMIFS(入力_貸付!$F$5:$F$404,入力_貸付!$D$5:$D$404,"労災・雇用等保険料",入力_貸付!$H$5:$H$404,K$2,入力_貸付!$G$5:$G$404,"確認済"),AI25)</f>
        <v>0</v>
      </c>
      <c r="L25" s="353">
        <f>IF(L$2&lt;=締月,SUMIFS(入力_貸付!$F$5:$F$404,入力_貸付!$D$5:$D$404,"労災・雇用等保険料",入力_貸付!$H$5:$H$404,L$2,入力_貸付!$G$5:$G$404,"確認済"),AJ25)</f>
        <v>0</v>
      </c>
      <c r="M25" s="353">
        <f>IF(M$2&lt;=締月,SUMIFS(入力_貸付!$F$5:$F$404,入力_貸付!$D$5:$D$404,"労災・雇用等保険料",入力_貸付!$H$5:$H$404,M$2,入力_貸付!$G$5:$G$404,"確認済"),AK25)</f>
        <v>0</v>
      </c>
      <c r="N25" s="353">
        <f>IF(N$2&lt;=締月,SUMIFS(入力_貸付!$F$5:$F$404,入力_貸付!$D$5:$D$404,"労災・雇用等保険料",入力_貸付!$H$5:$H$404,N$2,入力_貸付!$G$5:$G$404,"確認済"),AL25)</f>
        <v>0</v>
      </c>
      <c r="O25" s="353">
        <f>IF(O$2&lt;=締月,SUMIFS(入力_貸付!$F$5:$F$404,入力_貸付!$D$5:$D$404,"労災・雇用等保険料",入力_貸付!$H$5:$H$404,O$2,入力_貸付!$G$5:$G$404,"確認済"),AM25)</f>
        <v>0</v>
      </c>
      <c r="P25" s="353">
        <f>SUM(C25:O25)</f>
        <v>129149</v>
      </c>
      <c r="Q25" s="343" t="n"/>
      <c r="R25" s="343" t="n"/>
      <c r="S25" s="343" t="n"/>
      <c r="T25" s="343" t="n"/>
      <c r="U25" s="373" t="n"/>
      <c r="V25" s="378">
        <f>SUMIF($C$2:$N$2,"&lt;="&amp;締月,C25:N25)</f>
        <v>129149</v>
      </c>
      <c r="W25" s="373" t="n"/>
      <c r="X25" s="399" t="n">
        <v>1</v>
      </c>
      <c r="AA25" s="400" t="n"/>
      <c r="AB25" s="400" t="n"/>
      <c r="AC25" s="400" t="n"/>
      <c r="AD25" s="400" t="n">
        <v>129149</v>
      </c>
      <c r="AE25" s="400" t="n"/>
      <c r="AF25" s="400" t="n"/>
      <c r="AG25" s="400" t="n"/>
      <c r="AH25" s="400" t="n"/>
      <c r="AI25" s="400" t="n"/>
      <c r="AJ25" s="400" t="n"/>
      <c r="AK25" s="400" t="n"/>
      <c r="AL25" s="400" t="n"/>
      <c r="AM25" s="400" t="n"/>
    </row>
    <row r="26" ht="18" customHeight="1" s="322">
      <c r="A26" s="343" t="n"/>
      <c r="B26" s="385" t="inlineStr">
        <is>
          <t>その他負担金</t>
        </is>
      </c>
      <c r="C26" s="353">
        <f>IF(C$2&lt;=締月,SUMIFS(入力_貸付!$F$5:$F$404,入力_貸付!$D$5:$D$404,"その他負担金",入力_貸付!$H$5:$H$404,C$2,入力_貸付!$G$5:$G$404,"確認済"),AA26)</f>
        <v>0</v>
      </c>
      <c r="D26" s="353">
        <f>IF(D$2&lt;=締月,SUMIFS(入力_貸付!$F$5:$F$404,入力_貸付!$D$5:$D$404,"その他負担金",入力_貸付!$H$5:$H$404,D$2,入力_貸付!$G$5:$G$404,"確認済"),AB26)</f>
        <v>0</v>
      </c>
      <c r="E26" s="353">
        <f>IF(E$2&lt;=締月,SUMIFS(入力_貸付!$F$5:$F$404,入力_貸付!$D$5:$D$404,"その他負担金",入力_貸付!$H$5:$H$404,E$2,入力_貸付!$G$5:$G$404,"確認済"),AC26)</f>
        <v>0</v>
      </c>
      <c r="F26" s="353">
        <f>IF(F$2&lt;=締月,SUMIFS(入力_貸付!$F$5:$F$404,入力_貸付!$D$5:$D$404,"その他負担金",入力_貸付!$H$5:$H$404,F$2,入力_貸付!$G$5:$G$404,"確認済"),AD26)</f>
        <v>0</v>
      </c>
      <c r="G26" s="353">
        <f>IF(G$2&lt;=締月,SUMIFS(入力_貸付!$F$5:$F$404,入力_貸付!$D$5:$D$404,"その他負担金",入力_貸付!$H$5:$H$404,G$2,入力_貸付!$G$5:$G$404,"確認済"),AE26)</f>
        <v>0</v>
      </c>
      <c r="H26" s="353">
        <f>IF(H$2&lt;=締月,SUMIFS(入力_貸付!$F$5:$F$404,入力_貸付!$D$5:$D$404,"その他負担金",入力_貸付!$H$5:$H$404,H$2,入力_貸付!$G$5:$G$404,"確認済"),AF26)</f>
        <v>0</v>
      </c>
      <c r="I26" s="353">
        <f>IF(I$2&lt;=締月,SUMIFS(入力_貸付!$F$5:$F$404,入力_貸付!$D$5:$D$404,"その他負担金",入力_貸付!$H$5:$H$404,I$2,入力_貸付!$G$5:$G$404,"確認済"),AG26)</f>
        <v>0</v>
      </c>
      <c r="J26" s="353">
        <f>IF(J$2&lt;=締月,SUMIFS(入力_貸付!$F$5:$F$404,入力_貸付!$D$5:$D$404,"その他負担金",入力_貸付!$H$5:$H$404,J$2,入力_貸付!$G$5:$G$404,"確認済"),AH26)</f>
        <v>0</v>
      </c>
      <c r="K26" s="353">
        <f>IF(K$2&lt;=締月,SUMIFS(入力_貸付!$F$5:$F$404,入力_貸付!$D$5:$D$404,"その他負担金",入力_貸付!$H$5:$H$404,K$2,入力_貸付!$G$5:$G$404,"確認済"),AI26)</f>
        <v>0</v>
      </c>
      <c r="L26" s="353">
        <f>IF(L$2&lt;=締月,SUMIFS(入力_貸付!$F$5:$F$404,入力_貸付!$D$5:$D$404,"その他負担金",入力_貸付!$H$5:$H$404,L$2,入力_貸付!$G$5:$G$404,"確認済"),AJ26)</f>
        <v>0</v>
      </c>
      <c r="M26" s="353">
        <f>IF(M$2&lt;=締月,SUMIFS(入力_貸付!$F$5:$F$404,入力_貸付!$D$5:$D$404,"その他負担金",入力_貸付!$H$5:$H$404,M$2,入力_貸付!$G$5:$G$404,"確認済"),AK26)</f>
        <v>0</v>
      </c>
      <c r="N26" s="353">
        <f>IF(N$2&lt;=締月,SUMIFS(入力_貸付!$F$5:$F$404,入力_貸付!$D$5:$D$404,"その他負担金",入力_貸付!$H$5:$H$404,N$2,入力_貸付!$G$5:$G$404,"確認済"),AL26)</f>
        <v>0</v>
      </c>
      <c r="O26" s="353">
        <f>IF(O$2&lt;=締月,SUMIFS(入力_貸付!$F$5:$F$404,入力_貸付!$D$5:$D$404,"その他負担金",入力_貸付!$H$5:$H$404,O$2,入力_貸付!$G$5:$G$404,"確認済"),AM26)</f>
        <v>0</v>
      </c>
      <c r="P26" s="353">
        <f>SUM(C26:O26)</f>
        <v>0</v>
      </c>
      <c r="Q26" s="417" t="n">
        <v>33000</v>
      </c>
      <c r="R26" s="418" t="n"/>
      <c r="S26" s="353">
        <f>SUM(Q26:R26)</f>
        <v>33000</v>
      </c>
      <c r="T26" s="353">
        <f>S26-P26</f>
        <v>33000</v>
      </c>
      <c r="U26" s="373" t="n"/>
      <c r="V26" s="378">
        <f>SUMIF($C$2:$N$2,"&lt;="&amp;締月,C26:N26)</f>
        <v>0</v>
      </c>
      <c r="W26" s="378">
        <f>S26-V26</f>
        <v>33000</v>
      </c>
      <c r="X26" s="399" t="n">
        <v>1</v>
      </c>
      <c r="AA26" s="400" t="n"/>
      <c r="AB26" s="400" t="n"/>
      <c r="AC26" s="400" t="n"/>
      <c r="AD26" s="400" t="n"/>
      <c r="AE26" s="400" t="n"/>
      <c r="AF26" s="400" t="n"/>
      <c r="AG26" s="400" t="n"/>
      <c r="AH26" s="400" t="n"/>
      <c r="AI26" s="400" t="n"/>
      <c r="AJ26" s="400" t="n"/>
      <c r="AK26" s="400" t="n"/>
      <c r="AL26" s="400" t="n"/>
      <c r="AM26" s="400" t="n"/>
    </row>
    <row r="27" ht="18" customHeight="1" s="322">
      <c r="A27" s="379" t="n"/>
      <c r="B27" s="405" t="inlineStr">
        <is>
          <t>計</t>
        </is>
      </c>
      <c r="C27" s="406">
        <f>SUM(C21:C26)</f>
        <v>46187</v>
      </c>
      <c r="D27" s="406">
        <f>SUM(D21:D26)</f>
        <v>118227</v>
      </c>
      <c r="E27" s="406">
        <f>SUM(E21:E26)</f>
        <v>241627</v>
      </c>
      <c r="F27" s="406">
        <f>SUM(F21:F26)</f>
        <v>246661</v>
      </c>
      <c r="G27" s="406">
        <f>SUM(G21:G26)</f>
        <v>199870</v>
      </c>
      <c r="H27" s="406">
        <f>SUM(H21:H26)</f>
        <v>117512</v>
      </c>
      <c r="I27" s="406">
        <f>SUM(I21:I26)</f>
        <v>119116</v>
      </c>
      <c r="J27" s="406">
        <f>SUM(J21:J26)</f>
        <v>47791</v>
      </c>
      <c r="K27" s="406">
        <f>SUM(K21:K26)</f>
        <v>171728</v>
      </c>
      <c r="L27" s="406">
        <f>SUM(L21:L26)</f>
        <v>121981</v>
      </c>
      <c r="M27" s="406">
        <f>SUM(M21:M26)</f>
        <v>198539</v>
      </c>
      <c r="N27" s="406">
        <f>SUM(N21:N26)</f>
        <v>194545</v>
      </c>
      <c r="O27" s="406">
        <f>SUM(O21:O26)</f>
        <v>60864</v>
      </c>
      <c r="P27" s="406">
        <f>SUM(P21:P26)</f>
        <v>1884648</v>
      </c>
      <c r="Q27" s="406">
        <f>SUM(Q21:Q26)</f>
        <v>2210000</v>
      </c>
      <c r="R27" s="406">
        <f>SUM(R21:R26)</f>
        <v>0</v>
      </c>
      <c r="S27" s="406">
        <f>SUM(Q27:R27)</f>
        <v>2210000</v>
      </c>
      <c r="T27" s="406">
        <f>S27-P27</f>
        <v>325352</v>
      </c>
      <c r="U27" s="373" t="n"/>
      <c r="V27" s="382">
        <f>SUMIF($C$2:$N$2,"&lt;="&amp;締月,C27:N27)</f>
        <v>970084</v>
      </c>
      <c r="W27" s="382">
        <f>S27-V27</f>
        <v>1239916</v>
      </c>
    </row>
    <row r="28" ht="18" customHeight="1" s="322">
      <c r="A28" s="385" t="inlineStr">
        <is>
          <t>支払利息</t>
        </is>
      </c>
      <c r="B28" s="343" t="n"/>
      <c r="C28" s="418" t="n"/>
      <c r="D28" s="418" t="n"/>
      <c r="E28" s="418" t="n"/>
      <c r="F28" s="418" t="n"/>
      <c r="G28" s="418" t="n"/>
      <c r="H28" s="418" t="n"/>
      <c r="I28" s="418" t="n"/>
      <c r="J28" s="418" t="n"/>
      <c r="K28" s="418" t="n"/>
      <c r="L28" s="418" t="n"/>
      <c r="M28" s="418" t="n"/>
      <c r="N28" s="418" t="n"/>
      <c r="O28" s="418" t="n"/>
      <c r="P28" s="353">
        <f>SUM(C28:O28)</f>
        <v>0</v>
      </c>
      <c r="Q28" s="417" t="n">
        <v>0</v>
      </c>
      <c r="R28" s="418" t="n"/>
      <c r="S28" s="353">
        <f>SUM(Q28:R28)</f>
        <v>0</v>
      </c>
      <c r="T28" s="353">
        <f>S28-P28</f>
        <v>0</v>
      </c>
      <c r="U28" s="373" t="n"/>
      <c r="V28" s="378">
        <f>SUMIF($C$2:$N$2,"&lt;="&amp;締月,C28:N28)</f>
        <v>0</v>
      </c>
      <c r="W28" s="378">
        <f>S28-V28</f>
        <v>0</v>
      </c>
    </row>
    <row r="29" ht="18" customHeight="1" s="322">
      <c r="A29" s="385" t="inlineStr">
        <is>
          <t>連合会払込金</t>
        </is>
      </c>
      <c r="B29" s="343" t="n"/>
      <c r="C29" s="353">
        <f>IF(C$2&lt;=締月,SUMIFS(入力_貸付!$F$5:$F$404,入力_貸付!$D$5:$D$404,"連合会払込金",入力_貸付!$H$5:$H$404,C$2,入力_貸付!$G$5:$G$404,"確認済"),AA29)</f>
        <v>0</v>
      </c>
      <c r="D29" s="353">
        <f>IF(D$2&lt;=締月,SUMIFS(入力_貸付!$F$5:$F$404,入力_貸付!$D$5:$D$404,"連合会払込金",入力_貸付!$H$5:$H$404,D$2,入力_貸付!$G$5:$G$404,"確認済"),AB29)</f>
        <v>0</v>
      </c>
      <c r="E29" s="353">
        <f>IF(E$2&lt;=締月,SUMIFS(入力_貸付!$F$5:$F$404,入力_貸付!$D$5:$D$404,"連合会払込金",入力_貸付!$H$5:$H$404,E$2,入力_貸付!$G$5:$G$404,"確認済"),AC29)</f>
        <v>0</v>
      </c>
      <c r="F29" s="353">
        <f>IF(F$2&lt;=締月,SUMIFS(入力_貸付!$F$5:$F$404,入力_貸付!$D$5:$D$404,"連合会払込金",入力_貸付!$H$5:$H$404,F$2,入力_貸付!$G$5:$G$404,"確認済"),AD29)</f>
        <v>0</v>
      </c>
      <c r="G29" s="353">
        <f>IF(G$2&lt;=締月,SUMIFS(入力_貸付!$F$5:$F$404,入力_貸付!$D$5:$D$404,"連合会払込金",入力_貸付!$H$5:$H$404,G$2,入力_貸付!$G$5:$G$404,"確認済"),AE29)</f>
        <v>0</v>
      </c>
      <c r="H29" s="353">
        <f>IF(H$2&lt;=締月,SUMIFS(入力_貸付!$F$5:$F$404,入力_貸付!$D$5:$D$404,"連合会払込金",入力_貸付!$H$5:$H$404,H$2,入力_貸付!$G$5:$G$404,"確認済"),AF29)</f>
        <v>0</v>
      </c>
      <c r="I29" s="353">
        <f>IF(I$2&lt;=締月,SUMIFS(入力_貸付!$F$5:$F$404,入力_貸付!$D$5:$D$404,"連合会払込金",入力_貸付!$H$5:$H$404,I$2,入力_貸付!$G$5:$G$404,"確認済"),AG29)</f>
        <v>0</v>
      </c>
      <c r="J29" s="353">
        <f>IF(J$2&lt;=締月,SUMIFS(入力_貸付!$F$5:$F$404,入力_貸付!$D$5:$D$404,"連合会払込金",入力_貸付!$H$5:$H$404,J$2,入力_貸付!$G$5:$G$404,"確認済"),AH29)</f>
        <v>0</v>
      </c>
      <c r="K29" s="353">
        <f>IF(K$2&lt;=締月,SUMIFS(入力_貸付!$F$5:$F$404,入力_貸付!$D$5:$D$404,"連合会払込金",入力_貸付!$H$5:$H$404,K$2,入力_貸付!$G$5:$G$404,"確認済"),AI29)</f>
        <v>0</v>
      </c>
      <c r="L29" s="353">
        <f>IF(L$2&lt;=締月,SUMIFS(入力_貸付!$F$5:$F$404,入力_貸付!$D$5:$D$404,"連合会払込金",入力_貸付!$H$5:$H$404,L$2,入力_貸付!$G$5:$G$404,"確認済"),AJ29)</f>
        <v>0</v>
      </c>
      <c r="M29" s="353">
        <f>IF(M$2&lt;=締月,SUMIFS(入力_貸付!$F$5:$F$404,入力_貸付!$D$5:$D$404,"連合会払込金",入力_貸付!$H$5:$H$404,M$2,入力_貸付!$G$5:$G$404,"確認済"),AK29)</f>
        <v>0</v>
      </c>
      <c r="N29" s="353">
        <f>IF(N$2&lt;=締月,SUMIFS(入力_貸付!$F$5:$F$404,入力_貸付!$D$5:$D$404,"連合会払込金",入力_貸付!$H$5:$H$404,N$2,入力_貸付!$G$5:$G$404,"確認済"),AL29)</f>
        <v>0</v>
      </c>
      <c r="O29" s="353">
        <f>IF(O$2&lt;=締月,SUMIFS(入力_貸付!$F$5:$F$404,入力_貸付!$D$5:$D$404,"連合会払込金",入力_貸付!$H$5:$H$404,O$2,入力_貸付!$G$5:$G$404,"確認済"),AM29)</f>
        <v>107690</v>
      </c>
      <c r="P29" s="353">
        <f>SUM(C29:O29)</f>
        <v>107690</v>
      </c>
      <c r="Q29" s="417" t="n">
        <v>0</v>
      </c>
      <c r="R29" s="418" t="n"/>
      <c r="S29" s="353">
        <f>SUM(Q29:R29)</f>
        <v>0</v>
      </c>
      <c r="T29" s="353">
        <f>S29-P29</f>
        <v>-107690</v>
      </c>
      <c r="U29" s="373" t="n"/>
      <c r="V29" s="378">
        <f>SUMIF($C$2:$N$2,"&lt;="&amp;締月,C29:N29)</f>
        <v>0</v>
      </c>
      <c r="W29" s="378">
        <f>S29-V29</f>
        <v>0</v>
      </c>
      <c r="X29" s="399" t="n">
        <v>1</v>
      </c>
      <c r="AA29" s="400" t="n"/>
      <c r="AB29" s="400" t="n"/>
      <c r="AC29" s="400" t="n"/>
      <c r="AD29" s="400" t="n"/>
      <c r="AE29" s="400" t="n"/>
      <c r="AF29" s="400" t="n"/>
      <c r="AG29" s="400" t="n"/>
      <c r="AH29" s="400" t="n"/>
      <c r="AI29" s="400" t="n"/>
      <c r="AJ29" s="400" t="n"/>
      <c r="AK29" s="400" t="n"/>
      <c r="AL29" s="400" t="n"/>
      <c r="AM29" s="400" t="n">
        <v>107690</v>
      </c>
    </row>
    <row r="30" ht="18" customHeight="1" s="322">
      <c r="A30" s="385" t="inlineStr">
        <is>
          <t>雑費</t>
        </is>
      </c>
      <c r="B30" s="419" t="n"/>
      <c r="C30" s="353">
        <f>IF(C$2&lt;=締月,SUMIFS(入力_貸付!$F$5:$F$404,入力_貸付!$D$5:$D$404,"雑費",入力_貸付!$H$5:$H$404,C$2,入力_貸付!$G$5:$G$404,"確認済"),AA30)</f>
        <v>0</v>
      </c>
      <c r="D30" s="353">
        <f>IF(D$2&lt;=締月,SUMIFS(入力_貸付!$F$5:$F$404,入力_貸付!$D$5:$D$404,"雑費",入力_貸付!$H$5:$H$404,D$2,入力_貸付!$G$5:$G$404,"確認済"),AB30)</f>
        <v>0</v>
      </c>
      <c r="E30" s="353">
        <f>IF(E$2&lt;=締月,SUMIFS(入力_貸付!$F$5:$F$404,入力_貸付!$D$5:$D$404,"雑費",入力_貸付!$H$5:$H$404,E$2,入力_貸付!$G$5:$G$404,"確認済"),AC30)</f>
        <v>0</v>
      </c>
      <c r="F30" s="353">
        <f>IF(F$2&lt;=締月,SUMIFS(入力_貸付!$F$5:$F$404,入力_貸付!$D$5:$D$404,"雑費",入力_貸付!$H$5:$H$404,F$2,入力_貸付!$G$5:$G$404,"確認済"),AD30)</f>
        <v>0</v>
      </c>
      <c r="G30" s="353">
        <f>IF(G$2&lt;=締月,SUMIFS(入力_貸付!$F$5:$F$404,入力_貸付!$D$5:$D$404,"雑費",入力_貸付!$H$5:$H$404,G$2,入力_貸付!$G$5:$G$404,"確認済"),AE30)</f>
        <v>0</v>
      </c>
      <c r="H30" s="353">
        <f>IF(H$2&lt;=締月,SUMIFS(入力_貸付!$F$5:$F$404,入力_貸付!$D$5:$D$404,"雑費",入力_貸付!$H$5:$H$404,H$2,入力_貸付!$G$5:$G$404,"確認済"),AF30)</f>
        <v>0</v>
      </c>
      <c r="I30" s="353">
        <f>IF(I$2&lt;=締月,SUMIFS(入力_貸付!$F$5:$F$404,入力_貸付!$D$5:$D$404,"雑費",入力_貸付!$H$5:$H$404,I$2,入力_貸付!$G$5:$G$404,"確認済"),AG30)</f>
        <v>0</v>
      </c>
      <c r="J30" s="353">
        <f>IF(J$2&lt;=締月,SUMIFS(入力_貸付!$F$5:$F$404,入力_貸付!$D$5:$D$404,"雑費",入力_貸付!$H$5:$H$404,J$2,入力_貸付!$G$5:$G$404,"確認済"),AH30)</f>
        <v>0</v>
      </c>
      <c r="K30" s="353">
        <f>IF(K$2&lt;=締月,SUMIFS(入力_貸付!$F$5:$F$404,入力_貸付!$D$5:$D$404,"雑費",入力_貸付!$H$5:$H$404,K$2,入力_貸付!$G$5:$G$404,"確認済"),AI30)</f>
        <v>0</v>
      </c>
      <c r="L30" s="353">
        <f>IF(L$2&lt;=締月,SUMIFS(入力_貸付!$F$5:$F$404,入力_貸付!$D$5:$D$404,"雑費",入力_貸付!$H$5:$H$404,L$2,入力_貸付!$G$5:$G$404,"確認済"),AJ30)</f>
        <v>0</v>
      </c>
      <c r="M30" s="353">
        <f>IF(M$2&lt;=締月,SUMIFS(入力_貸付!$F$5:$F$404,入力_貸付!$D$5:$D$404,"雑費",入力_貸付!$H$5:$H$404,M$2,入力_貸付!$G$5:$G$404,"確認済"),AK30)</f>
        <v>0</v>
      </c>
      <c r="N30" s="353">
        <f>IF(N$2&lt;=締月,SUMIFS(入力_貸付!$F$5:$F$404,入力_貸付!$D$5:$D$404,"雑費",入力_貸付!$H$5:$H$404,N$2,入力_貸付!$G$5:$G$404,"確認済"),AL30)</f>
        <v>0</v>
      </c>
      <c r="O30" s="353">
        <f>IF(O$2&lt;=締月,SUMIFS(入力_貸付!$F$5:$F$404,入力_貸付!$D$5:$D$404,"雑費",入力_貸付!$H$5:$H$404,O$2,入力_貸付!$G$5:$G$404,"確認済"),AM30)</f>
        <v>0</v>
      </c>
      <c r="P30" s="353">
        <f>SUM(C30:O30)</f>
        <v>0</v>
      </c>
      <c r="Q30" s="417" t="n">
        <v>0</v>
      </c>
      <c r="R30" s="418" t="n"/>
      <c r="S30" s="353">
        <f>SUM(Q30:R30)</f>
        <v>0</v>
      </c>
      <c r="T30" s="353">
        <f>S30-P30</f>
        <v>0</v>
      </c>
      <c r="U30" s="373" t="n"/>
      <c r="V30" s="378">
        <f>SUMIF($C$2:$N$2,"&lt;="&amp;締月,C30:N30)</f>
        <v>0</v>
      </c>
      <c r="W30" s="378">
        <f>S30-V30</f>
        <v>0</v>
      </c>
      <c r="X30" s="399" t="n">
        <v>1</v>
      </c>
      <c r="AA30" s="400" t="n"/>
      <c r="AB30" s="400" t="n"/>
      <c r="AC30" s="400" t="n"/>
      <c r="AD30" s="400" t="n"/>
      <c r="AE30" s="400" t="n"/>
      <c r="AF30" s="400" t="n"/>
      <c r="AG30" s="400" t="n"/>
      <c r="AH30" s="400" t="n"/>
      <c r="AI30" s="400" t="n"/>
      <c r="AJ30" s="400" t="n"/>
      <c r="AK30" s="400" t="n"/>
      <c r="AL30" s="400" t="n"/>
      <c r="AM30" s="400" t="n">
        <v>0</v>
      </c>
    </row>
    <row r="31" ht="18" customHeight="1" s="322">
      <c r="A31" s="405" t="inlineStr">
        <is>
          <t>合　　　計</t>
        </is>
      </c>
      <c r="B31" s="421" t="n"/>
      <c r="C31" s="406">
        <f>SUM(C6+C7+C8+C14+C15+C16+C17+C18+C19+C20+C27+C28+C29+C30)</f>
        <v>542066</v>
      </c>
      <c r="D31" s="406">
        <f>SUM(D6+D7+D8+D14+D15+D16+D17+D18+D19+D20+D27+D28+D29+D30)</f>
        <v>962591</v>
      </c>
      <c r="E31" s="406">
        <f>SUM(E6+E7+E8+E14+E15+E16+E17+E18+E19+E20+E27+E28+E29+E30)</f>
        <v>1900656</v>
      </c>
      <c r="F31" s="406">
        <f>SUM(F6+F7+F8+F14+F15+F16+F17+F18+F19+F20+F27+F28+F29+F30)</f>
        <v>1106995</v>
      </c>
      <c r="G31" s="406">
        <f>SUM(G6+G7+G8+G14+G15+G16+G17+G18+G19+G20+G27+G28+G29+G30)</f>
        <v>1423062</v>
      </c>
      <c r="H31" s="406">
        <f>SUM(H6+H7+H8+H14+H15+H16+H17+H18+H19+H20+H27+H28+H29+H30)</f>
        <v>1089403</v>
      </c>
      <c r="I31" s="406">
        <f>SUM(I6+I7+I8+I14+I15+I16+I17+I18+I19+I20+I27+I28+I29+I30)</f>
        <v>1080718</v>
      </c>
      <c r="J31" s="406">
        <f>SUM(J6+J7+J8+J14+J15+J16+J17+J18+J19+J20+J27+J28+J29+J30)</f>
        <v>913437</v>
      </c>
      <c r="K31" s="406">
        <f>SUM(K6,K7,K8,K14,K15,K16,K17,K18,K19,K20,K27,K28,K29,K30)</f>
        <v>1921335</v>
      </c>
      <c r="L31" s="406">
        <f>SUM(L6+L7+L8+L14+L15+L16+L17+L18+L19+L20+L27+L28+L29+L30)</f>
        <v>1092749</v>
      </c>
      <c r="M31" s="406">
        <f>SUM(M6+M7+M8+M14+M15+M16+M17+M18+M19+M20+M27+M28+M29+M30)</f>
        <v>1053997</v>
      </c>
      <c r="N31" s="406">
        <f>SUM(N6+N7+N8+N14+N15+N16+N17+N18+N19+N20+N27+N28+N29+N30)</f>
        <v>1006894</v>
      </c>
      <c r="O31" s="406">
        <f>SUM(O6+O7+O8+O14+O15+O16+O17+O18+O19+O20+O27+O28+O29+O30)</f>
        <v>595170</v>
      </c>
      <c r="P31" s="406">
        <f>SUM(P6+P7+P8+P14+P15+P16+P17+P18+P19+P20+P27+P28+P29+P30)</f>
        <v>14689073</v>
      </c>
      <c r="Q31" s="406">
        <f>SUM(Q6+Q7+Q8+Q14+Q15+Q16+Q17+Q18+Q19+Q20+Q27+Q28+Q29+Q30)</f>
        <v>18762000</v>
      </c>
      <c r="R31" s="406">
        <f>SUM(R6+R7+R8+R14+R15+R16+R17+R18+R19+R20+R27+R28+R29+R30)</f>
        <v>0</v>
      </c>
      <c r="S31" s="406">
        <f>SUM(S6+S7+S8+S14+S15+S16+S17+S18+S19+S20+S27+S28+S29+S30)</f>
        <v>18762000</v>
      </c>
      <c r="T31" s="406">
        <f>SUM(T6+T7+T8+T14+T15+T16+T17+T18+T19+T20+T27+T28+T29+T30)</f>
        <v>4072927</v>
      </c>
      <c r="U31" s="373" t="n"/>
      <c r="V31" s="382">
        <f>SUMIF($C$2:$N$2,"&lt;="&amp;締月,C31:N31)</f>
        <v>7024773</v>
      </c>
      <c r="W31" s="382">
        <f>S31-V31</f>
        <v>11737227</v>
      </c>
    </row>
    <row r="32" ht="18" customFormat="1" customHeight="1" s="367">
      <c r="A32" s="389" t="inlineStr">
        <is>
          <t>収益</t>
        </is>
      </c>
      <c r="B32" s="339" t="n"/>
      <c r="C32" s="339" t="n"/>
      <c r="D32" s="339" t="n"/>
      <c r="E32" s="339" t="n"/>
      <c r="F32" s="339" t="n"/>
      <c r="G32" s="339" t="n"/>
      <c r="H32" s="339" t="n"/>
      <c r="I32" s="339" t="n"/>
      <c r="J32" s="339" t="n"/>
      <c r="K32" s="339" t="n"/>
      <c r="L32" s="339" t="n"/>
      <c r="M32" s="339" t="n"/>
      <c r="N32" s="339" t="n"/>
      <c r="O32" s="339" t="n"/>
      <c r="P32" s="402" t="inlineStr">
        <is>
          <t>概算受領額</t>
        </is>
      </c>
      <c r="Q32" s="339" t="n"/>
      <c r="R32" s="339" t="n"/>
      <c r="S32" s="339" t="n"/>
      <c r="T32" s="339" t="n"/>
      <c r="U32" s="339" t="n"/>
      <c r="V32" s="339" t="n"/>
      <c r="W32" s="339" t="n"/>
    </row>
    <row r="33" ht="22" customFormat="1" customHeight="1" s="367">
      <c r="A33" s="372" t="inlineStr">
        <is>
          <t>区　　　分</t>
        </is>
      </c>
      <c r="B33" s="327" t="n"/>
      <c r="C33" s="372" t="inlineStr">
        <is>
          <t>４月</t>
        </is>
      </c>
      <c r="D33" s="372" t="inlineStr">
        <is>
          <t>５月</t>
        </is>
      </c>
      <c r="E33" s="372" t="inlineStr">
        <is>
          <t>６月</t>
        </is>
      </c>
      <c r="F33" s="372" t="inlineStr">
        <is>
          <t>７月</t>
        </is>
      </c>
      <c r="G33" s="372" t="inlineStr">
        <is>
          <t>８月</t>
        </is>
      </c>
      <c r="H33" s="372" t="inlineStr">
        <is>
          <t>９月</t>
        </is>
      </c>
      <c r="I33" s="372" t="inlineStr">
        <is>
          <t>１０月</t>
        </is>
      </c>
      <c r="J33" s="372" t="inlineStr">
        <is>
          <t>１１月</t>
        </is>
      </c>
      <c r="K33" s="372" t="inlineStr">
        <is>
          <t>１２月</t>
        </is>
      </c>
      <c r="L33" s="372" t="inlineStr">
        <is>
          <t>１月</t>
        </is>
      </c>
      <c r="M33" s="372" t="inlineStr">
        <is>
          <t>２月</t>
        </is>
      </c>
      <c r="N33" s="372" t="inlineStr">
        <is>
          <t>３月</t>
        </is>
      </c>
      <c r="O33" s="372" t="inlineStr">
        <is>
          <t>４月(未収）</t>
        </is>
      </c>
      <c r="P33" s="372" t="inlineStr">
        <is>
          <t>収入済計</t>
        </is>
      </c>
      <c r="Q33" s="372" t="inlineStr">
        <is>
          <t>予算額</t>
        </is>
      </c>
      <c r="R33" s="372" t="inlineStr">
        <is>
          <t>精算返納額</t>
        </is>
      </c>
      <c r="S33" s="372" t="inlineStr">
        <is>
          <t>予算現額</t>
        </is>
      </c>
      <c r="T33" s="372" t="inlineStr">
        <is>
          <t>余剰金</t>
        </is>
      </c>
      <c r="U33" s="373" t="n"/>
      <c r="V33" s="373" t="n"/>
      <c r="W33" s="373" t="n"/>
    </row>
    <row r="34" ht="18" customFormat="1" customHeight="1" s="367">
      <c r="A34" s="376" t="inlineStr">
        <is>
          <t>連合会交付金</t>
        </is>
      </c>
      <c r="B34" s="343" t="n"/>
      <c r="C34" s="401" t="n"/>
      <c r="D34" s="401" t="n"/>
      <c r="E34" s="401" t="n"/>
      <c r="F34" s="401" t="n"/>
      <c r="G34" s="398" t="n">
        <v>21000</v>
      </c>
      <c r="H34" s="401" t="n"/>
      <c r="I34" s="401" t="n"/>
      <c r="J34" s="401" t="n"/>
      <c r="K34" s="401" t="n"/>
      <c r="L34" s="401" t="n"/>
      <c r="M34" s="398" t="n">
        <v>21000</v>
      </c>
      <c r="N34" s="401" t="n"/>
      <c r="O34" s="401" t="n"/>
      <c r="P34" s="377">
        <f>SUM(C34:O34)</f>
        <v>42000</v>
      </c>
      <c r="Q34" s="398" t="n">
        <v>44000</v>
      </c>
      <c r="R34" s="393" t="n"/>
      <c r="S34" s="398" t="n">
        <v>0</v>
      </c>
      <c r="T34" s="377">
        <f>SUM(Q34:R34)</f>
        <v>44000</v>
      </c>
      <c r="U34" s="373" t="n"/>
      <c r="V34" s="378">
        <f>SUMIF($C$2:$N$2,"&lt;="&amp;締月,C34:N34)</f>
        <v>21000</v>
      </c>
      <c r="W34" s="373" t="n"/>
    </row>
    <row r="35" ht="18" customFormat="1" customHeight="1" s="367">
      <c r="A35" s="376" t="inlineStr">
        <is>
          <t>組合員貸付金利息</t>
        </is>
      </c>
      <c r="B35" s="343" t="n"/>
      <c r="C35" s="417" t="n">
        <v>809638</v>
      </c>
      <c r="D35" s="417" t="n">
        <v>894954</v>
      </c>
      <c r="E35" s="417" t="n">
        <v>974223</v>
      </c>
      <c r="F35" s="417" t="n">
        <v>632156</v>
      </c>
      <c r="G35" s="417" t="n">
        <v>808696</v>
      </c>
      <c r="H35" s="417" t="n">
        <v>802084</v>
      </c>
      <c r="I35" s="417" t="n">
        <v>838256</v>
      </c>
      <c r="J35" s="417" t="n">
        <v>820237</v>
      </c>
      <c r="K35" s="417" t="n">
        <v>1204671</v>
      </c>
      <c r="L35" s="417" t="n">
        <v>814454</v>
      </c>
      <c r="M35" s="417" t="n">
        <v>813390</v>
      </c>
      <c r="N35" s="417" t="n">
        <v>801567</v>
      </c>
      <c r="O35" s="398" t="n">
        <v>247126</v>
      </c>
      <c r="P35" s="377">
        <f>SUM(C35:O35)</f>
        <v>10461452</v>
      </c>
      <c r="Q35" s="398" t="n">
        <v>10679000</v>
      </c>
      <c r="R35" s="393" t="n"/>
      <c r="S35" s="398" t="n">
        <v>0</v>
      </c>
      <c r="T35" s="377">
        <f>SUM(Q35:R35)</f>
        <v>10679000</v>
      </c>
      <c r="U35" s="373" t="n"/>
      <c r="V35" s="378">
        <f>SUMIF($C$2:$N$2,"&lt;="&amp;締月,C35:N35)</f>
        <v>4921751</v>
      </c>
      <c r="W35" s="373" t="n"/>
    </row>
    <row r="36" ht="18" customFormat="1" customHeight="1" s="367">
      <c r="A36" s="380" t="inlineStr">
        <is>
          <t>合　　　計</t>
        </is>
      </c>
      <c r="B36" s="379" t="n"/>
      <c r="C36" s="381">
        <f>SUM(C34+C35)</f>
        <v>809638</v>
      </c>
      <c r="D36" s="381">
        <f>SUM(D34+D35)</f>
        <v>894954</v>
      </c>
      <c r="E36" s="381">
        <f>SUM(E34+E35)</f>
        <v>974223</v>
      </c>
      <c r="F36" s="381">
        <f>SUM(F34+F35)</f>
        <v>632156</v>
      </c>
      <c r="G36" s="381">
        <f>SUM(G34+G35)</f>
        <v>829696</v>
      </c>
      <c r="H36" s="381">
        <f>SUM(H34+H35)</f>
        <v>802084</v>
      </c>
      <c r="I36" s="381">
        <f>SUM(I34+I35)</f>
        <v>838256</v>
      </c>
      <c r="J36" s="381">
        <f>SUM(J34+J35)</f>
        <v>820237</v>
      </c>
      <c r="K36" s="381">
        <f>SUM(K34+K35)</f>
        <v>1204671</v>
      </c>
      <c r="L36" s="381">
        <f>SUM(L34+L35)</f>
        <v>814454</v>
      </c>
      <c r="M36" s="381">
        <f>SUM(M34+M35)</f>
        <v>834390</v>
      </c>
      <c r="N36" s="381">
        <f>SUM(N34+N35)</f>
        <v>801567</v>
      </c>
      <c r="O36" s="381">
        <f>SUM(O34+O35)</f>
        <v>247126</v>
      </c>
      <c r="P36" s="381">
        <f>SUM(P34+P35)</f>
        <v>10503452</v>
      </c>
      <c r="Q36" s="381">
        <f>SUM(Q34+Q35)</f>
        <v>10723000</v>
      </c>
      <c r="R36" s="381">
        <f>SUM(R34+R35)</f>
        <v>0</v>
      </c>
      <c r="S36" s="381">
        <f>SUM(S34+S35)</f>
        <v>0</v>
      </c>
      <c r="T36" s="381">
        <f>SUM(T34:T35)</f>
        <v>10723000</v>
      </c>
      <c r="U36" s="373" t="n"/>
      <c r="V36" s="382">
        <f>SUMIF($C$2:$N$2,"&lt;="&amp;締月,C36:N36)</f>
        <v>4942751</v>
      </c>
      <c r="W36" s="373" t="n"/>
    </row>
    <row r="37" ht="18" customFormat="1" customHeight="1" s="367">
      <c r="A37" s="373" t="n"/>
      <c r="B37" s="373" t="n"/>
      <c r="C37" s="373" t="n"/>
      <c r="D37" s="373" t="n"/>
      <c r="E37" s="373" t="n"/>
      <c r="F37" s="373" t="n"/>
      <c r="G37" s="373" t="n"/>
      <c r="H37" s="373" t="n"/>
      <c r="I37" s="373" t="n"/>
      <c r="J37" s="373" t="n"/>
      <c r="K37" s="373" t="n"/>
      <c r="L37" s="373" t="n"/>
      <c r="M37" s="373" t="n"/>
      <c r="N37" s="373" t="n"/>
      <c r="O37" s="373" t="n"/>
      <c r="P37" s="373" t="n"/>
      <c r="Q37" s="373" t="n"/>
      <c r="R37" s="373" t="n"/>
      <c r="S37" s="373" t="n"/>
      <c r="T37" s="373" t="n"/>
      <c r="U37" s="373" t="n"/>
      <c r="V37" s="373" t="n"/>
      <c r="W37" s="373" t="n"/>
    </row>
    <row r="38" ht="18" customFormat="1" customHeight="1" s="367">
      <c r="A38" s="380" t="inlineStr">
        <is>
          <t>収益－費用</t>
        </is>
      </c>
      <c r="B38" s="379" t="n"/>
      <c r="C38" s="381">
        <f>C36-C31</f>
        <v>267572</v>
      </c>
      <c r="D38" s="381">
        <f>D36-D31</f>
        <v>-67637</v>
      </c>
      <c r="E38" s="381">
        <f>E36-E31</f>
        <v>-926433</v>
      </c>
      <c r="F38" s="381">
        <f>F36-F31</f>
        <v>-474839</v>
      </c>
      <c r="G38" s="381">
        <f>G36-G31</f>
        <v>-593366</v>
      </c>
      <c r="H38" s="381">
        <f>H36-H31</f>
        <v>-287319</v>
      </c>
      <c r="I38" s="381">
        <f>I36-I31</f>
        <v>-242462</v>
      </c>
      <c r="J38" s="381">
        <f>J36-J31</f>
        <v>-93200</v>
      </c>
      <c r="K38" s="381">
        <f>K36-K31</f>
        <v>-716664</v>
      </c>
      <c r="L38" s="381">
        <f>L36-L31</f>
        <v>-278295</v>
      </c>
      <c r="M38" s="381">
        <f>M36-M31</f>
        <v>-219607</v>
      </c>
      <c r="N38" s="381">
        <f>N36-N31</f>
        <v>-205327</v>
      </c>
      <c r="O38" s="381">
        <f>O36-O31</f>
        <v>-348044</v>
      </c>
      <c r="P38" s="381">
        <f>P36-P31</f>
        <v>-4185621</v>
      </c>
      <c r="Q38" s="381">
        <f>Q36-Q31</f>
        <v>-8039000</v>
      </c>
      <c r="R38" s="392" t="n"/>
      <c r="S38" s="392" t="n"/>
      <c r="T38" s="397" t="n"/>
      <c r="U38" s="373" t="n"/>
      <c r="V38" s="382">
        <f>SUMIF($C$2:$N$2,"&lt;="&amp;締月,C38:N38)</f>
        <v>-2082022</v>
      </c>
      <c r="W38" s="373" t="n"/>
    </row>
    <row r="39" ht="18" customHeight="1" s="322">
      <c r="A39" s="373" t="n"/>
      <c r="B39" s="373" t="n"/>
      <c r="C39" s="373" t="n"/>
      <c r="D39" s="373" t="n"/>
      <c r="E39" s="373" t="n"/>
      <c r="F39" s="373" t="n"/>
      <c r="G39" s="373" t="n"/>
      <c r="H39" s="373" t="n"/>
      <c r="I39" s="373" t="n"/>
      <c r="J39" s="373" t="n"/>
      <c r="K39" s="373" t="n"/>
      <c r="L39" s="373" t="n"/>
      <c r="M39" s="373" t="n"/>
      <c r="N39" s="373" t="n"/>
      <c r="O39" s="373" t="n"/>
      <c r="P39" s="373" t="n"/>
      <c r="Q39" s="373" t="n"/>
      <c r="R39" s="373" t="n"/>
      <c r="S39" s="373" t="n"/>
      <c r="T39" s="422" t="n"/>
      <c r="U39" s="373" t="n"/>
      <c r="V39" s="373" t="n"/>
      <c r="W39" s="373" t="n"/>
    </row>
    <row r="40" ht="18" customHeight="1" s="322">
      <c r="A40" s="373" t="n"/>
      <c r="B40" s="373" t="n"/>
      <c r="C40" s="373" t="n"/>
      <c r="D40" s="423" t="n"/>
      <c r="E40" s="373" t="n"/>
      <c r="F40" s="373" t="n"/>
      <c r="G40" s="373" t="n"/>
      <c r="H40" s="373" t="n"/>
      <c r="I40" s="373" t="n"/>
      <c r="J40" s="373" t="n"/>
      <c r="K40" s="373" t="n"/>
      <c r="L40" s="373" t="n"/>
      <c r="M40" s="373" t="n"/>
      <c r="N40" s="373" t="n"/>
      <c r="O40" s="373" t="n"/>
      <c r="P40" s="373" t="n"/>
      <c r="Q40" s="373" t="n"/>
      <c r="R40" s="373" t="n"/>
      <c r="S40" s="373" t="n"/>
      <c r="T40" s="373" t="n"/>
      <c r="U40" s="373" t="n"/>
      <c r="V40" s="373" t="n"/>
      <c r="W40" s="373" t="n"/>
    </row>
    <row r="41" ht="22" customHeight="1" s="322">
      <c r="A41" s="327" t="n"/>
      <c r="B41" s="327" t="inlineStr">
        <is>
          <t>参考（職員給与）</t>
        </is>
      </c>
      <c r="C41" s="327" t="inlineStr">
        <is>
          <t>４月支払</t>
        </is>
      </c>
      <c r="D41" s="424" t="inlineStr">
        <is>
          <t>５月支払</t>
        </is>
      </c>
      <c r="E41" s="327" t="inlineStr">
        <is>
          <t>６月支払</t>
        </is>
      </c>
      <c r="F41" s="327" t="inlineStr">
        <is>
          <t>７月支払</t>
        </is>
      </c>
      <c r="G41" s="327" t="inlineStr">
        <is>
          <t>８月支払</t>
        </is>
      </c>
      <c r="H41" s="327" t="inlineStr">
        <is>
          <t>９月支払</t>
        </is>
      </c>
      <c r="I41" s="327" t="inlineStr">
        <is>
          <t>１０月支払</t>
        </is>
      </c>
      <c r="J41" s="327" t="inlineStr">
        <is>
          <t>１１月支払</t>
        </is>
      </c>
      <c r="K41" s="327" t="inlineStr">
        <is>
          <t>１２月支払</t>
        </is>
      </c>
      <c r="L41" s="327" t="inlineStr">
        <is>
          <t>１月支払</t>
        </is>
      </c>
      <c r="M41" s="327" t="inlineStr">
        <is>
          <t>２月支払</t>
        </is>
      </c>
      <c r="N41" s="327" t="inlineStr">
        <is>
          <t>３月支払</t>
        </is>
      </c>
      <c r="O41" s="327" t="inlineStr">
        <is>
          <t>未払</t>
        </is>
      </c>
      <c r="P41" s="327" t="n"/>
      <c r="Q41" s="327" t="inlineStr">
        <is>
          <t>合計</t>
        </is>
      </c>
      <c r="R41" s="327" t="n"/>
      <c r="S41" s="327" t="n"/>
      <c r="T41" s="327" t="n"/>
      <c r="U41" s="373" t="n"/>
      <c r="V41" s="373" t="n"/>
      <c r="W41" s="373" t="n"/>
    </row>
    <row r="42" ht="18" customHeight="1" s="322">
      <c r="A42" s="373" t="n"/>
      <c r="B42" s="425" t="n"/>
      <c r="C42" s="425" t="n"/>
      <c r="D42" s="423" t="n"/>
      <c r="E42" s="425" t="n"/>
      <c r="F42" s="425" t="n"/>
      <c r="G42" s="425" t="n"/>
      <c r="H42" s="425" t="n"/>
      <c r="I42" s="425" t="n"/>
      <c r="J42" s="425" t="n"/>
      <c r="K42" s="425" t="n"/>
      <c r="L42" s="425" t="n"/>
      <c r="M42" s="425" t="n"/>
      <c r="N42" s="425" t="n"/>
      <c r="O42" s="426" t="n"/>
      <c r="P42" s="373" t="n"/>
      <c r="Q42" s="373" t="n"/>
      <c r="R42" s="373" t="n"/>
      <c r="S42" s="373" t="n"/>
      <c r="T42" s="373" t="n"/>
      <c r="U42" s="373" t="n"/>
      <c r="V42" s="373" t="n"/>
      <c r="W42" s="373" t="n"/>
    </row>
    <row r="43" ht="18" customHeight="1" s="322">
      <c r="A43" s="343" t="n"/>
      <c r="B43" s="385" t="inlineStr">
        <is>
          <t>嘱託報酬</t>
        </is>
      </c>
      <c r="C43" s="417" t="n">
        <v>491490</v>
      </c>
      <c r="D43" s="417" t="n">
        <v>372800</v>
      </c>
      <c r="E43" s="417" t="n">
        <v>372800</v>
      </c>
      <c r="F43" s="417" t="n">
        <v>372800</v>
      </c>
      <c r="G43" s="417" t="n">
        <v>372800</v>
      </c>
      <c r="H43" s="417" t="n">
        <v>372800</v>
      </c>
      <c r="I43" s="417" t="n">
        <v>474390</v>
      </c>
      <c r="J43" s="417" t="n">
        <v>357596</v>
      </c>
      <c r="K43" s="417" t="n">
        <v>484762</v>
      </c>
      <c r="L43" s="417" t="n">
        <v>365100</v>
      </c>
      <c r="M43" s="417" t="n">
        <v>365100</v>
      </c>
      <c r="N43" s="417" t="n">
        <v>365100</v>
      </c>
      <c r="O43" s="416" t="n"/>
      <c r="P43" s="343" t="n"/>
      <c r="Q43" s="353">
        <f>SUM(C43:O43)</f>
        <v>4767538</v>
      </c>
      <c r="R43" s="418" t="n"/>
      <c r="S43" s="418" t="n"/>
      <c r="T43" s="343" t="n"/>
      <c r="U43" s="373" t="n"/>
      <c r="V43" s="378">
        <f>SUMIF($C$2:$N$2,"&lt;="&amp;締月,C43:N43)</f>
        <v>2355490</v>
      </c>
      <c r="W43" s="373" t="n"/>
    </row>
    <row r="44" ht="18" customHeight="1" s="322">
      <c r="A44" s="343" t="n"/>
      <c r="B44" s="385" t="inlineStr">
        <is>
          <t>増額報酬</t>
        </is>
      </c>
      <c r="C44" s="418" t="n"/>
      <c r="D44" s="427" t="n"/>
      <c r="E44" s="417" t="n">
        <v>866759</v>
      </c>
      <c r="F44" s="418" t="n"/>
      <c r="G44" s="418" t="n"/>
      <c r="H44" s="418" t="n"/>
      <c r="I44" s="418" t="n"/>
      <c r="J44" s="418" t="n"/>
      <c r="K44" s="417" t="n">
        <v>835895</v>
      </c>
      <c r="L44" s="418" t="n"/>
      <c r="M44" s="418" t="n"/>
      <c r="N44" s="418" t="n"/>
      <c r="O44" s="416" t="n"/>
      <c r="P44" s="343" t="n"/>
      <c r="Q44" s="353">
        <f>SUM(C44:O44)</f>
        <v>1702654</v>
      </c>
      <c r="R44" s="418" t="n"/>
      <c r="S44" s="418" t="n"/>
      <c r="T44" s="343" t="n"/>
      <c r="U44" s="373" t="n"/>
      <c r="V44" s="378">
        <f>SUMIF($C$2:$N$2,"&lt;="&amp;締月,C44:N44)</f>
        <v>866759</v>
      </c>
      <c r="W44" s="373" t="n"/>
    </row>
    <row r="45" ht="18" customFormat="1" customHeight="1" s="404">
      <c r="A45" s="379" t="n"/>
      <c r="B45" s="405" t="inlineStr">
        <is>
          <t>非常勤手当計</t>
        </is>
      </c>
      <c r="C45" s="406">
        <f>SUM(C43:C44)</f>
        <v>491490</v>
      </c>
      <c r="D45" s="406">
        <f>SUM(D43:D44)</f>
        <v>372800</v>
      </c>
      <c r="E45" s="406">
        <f>SUM(E43:E44)</f>
        <v>1239559</v>
      </c>
      <c r="F45" s="406">
        <f>SUM(F43:F44)</f>
        <v>372800</v>
      </c>
      <c r="G45" s="406">
        <f>SUM(G43:G44)</f>
        <v>372800</v>
      </c>
      <c r="H45" s="406">
        <f>SUM(H43:H44)</f>
        <v>372800</v>
      </c>
      <c r="I45" s="406">
        <f>SUM(I43:I44)</f>
        <v>474390</v>
      </c>
      <c r="J45" s="406">
        <f>SUM(J43:J44)</f>
        <v>357596</v>
      </c>
      <c r="K45" s="406">
        <f>SUM(K43:K44)</f>
        <v>1320657</v>
      </c>
      <c r="L45" s="406">
        <f>SUM(L43:L44)</f>
        <v>365100</v>
      </c>
      <c r="M45" s="406">
        <f>SUM(M43:M44)</f>
        <v>365100</v>
      </c>
      <c r="N45" s="406">
        <f>SUM(N43:N44)</f>
        <v>365100</v>
      </c>
      <c r="O45" s="406">
        <f>SUM(O43:O44)</f>
        <v>0</v>
      </c>
      <c r="P45" s="379" t="n"/>
      <c r="Q45" s="406">
        <f>SUM(C45:O45)</f>
        <v>6470192</v>
      </c>
      <c r="R45" s="396" t="n"/>
      <c r="S45" s="396" t="n"/>
      <c r="T45" s="379" t="n"/>
      <c r="U45" s="373" t="n"/>
      <c r="V45" s="382">
        <f>SUMIF($C$2:$N$2,"&lt;="&amp;締月,C45:N45)</f>
        <v>3222249</v>
      </c>
      <c r="W45" s="373" t="n"/>
    </row>
    <row r="46" ht="18" customFormat="1" customHeight="1" s="404">
      <c r="A46" s="373" t="n"/>
      <c r="B46" s="428" t="n"/>
      <c r="C46" s="429" t="n"/>
      <c r="D46" s="423" t="n"/>
      <c r="E46" s="429" t="n"/>
      <c r="F46" s="429" t="n"/>
      <c r="G46" s="429" t="n"/>
      <c r="H46" s="429" t="n"/>
      <c r="I46" s="429" t="n"/>
      <c r="J46" s="429" t="n"/>
      <c r="K46" s="429" t="n"/>
      <c r="L46" s="429" t="n"/>
      <c r="M46" s="429" t="n"/>
      <c r="N46" s="429" t="n"/>
      <c r="O46" s="430" t="n"/>
      <c r="P46" s="373" t="n"/>
      <c r="Q46" s="429" t="n"/>
      <c r="R46" s="429" t="n"/>
      <c r="S46" s="429" t="n"/>
      <c r="T46" s="373" t="n"/>
      <c r="U46" s="373" t="n"/>
      <c r="V46" s="373" t="n"/>
      <c r="W46" s="373" t="n"/>
    </row>
    <row r="47" ht="18" customHeight="1" s="322">
      <c r="A47" s="343" t="n"/>
      <c r="B47" s="385" t="inlineStr">
        <is>
          <t>臨時賃金</t>
        </is>
      </c>
      <c r="C47" s="417" t="n">
        <v>0</v>
      </c>
      <c r="D47" s="417" t="n">
        <v>380700</v>
      </c>
      <c r="E47" s="417" t="n">
        <v>327555</v>
      </c>
      <c r="F47" s="417" t="n">
        <v>400770</v>
      </c>
      <c r="G47" s="417" t="n">
        <v>400380</v>
      </c>
      <c r="H47" s="417" t="n">
        <v>344580</v>
      </c>
      <c r="I47" s="417" t="n">
        <v>364625</v>
      </c>
      <c r="J47" s="417" t="n">
        <v>401920</v>
      </c>
      <c r="K47" s="417" t="n">
        <v>329655</v>
      </c>
      <c r="L47" s="417" t="n">
        <v>365270</v>
      </c>
      <c r="M47" s="417" t="n">
        <v>347335</v>
      </c>
      <c r="N47" s="417" t="n">
        <v>328425</v>
      </c>
      <c r="O47" s="417" t="n">
        <v>153280</v>
      </c>
      <c r="P47" s="343" t="n"/>
      <c r="Q47" s="353">
        <f>SUM(C47:O47)</f>
        <v>4144495</v>
      </c>
      <c r="R47" s="418" t="n"/>
      <c r="S47" s="418" t="n"/>
      <c r="T47" s="343" t="n"/>
      <c r="U47" s="373" t="n"/>
      <c r="V47" s="378">
        <f>SUMIF($C$2:$N$2,"&lt;="&amp;締月,C47:N47)</f>
        <v>1853985</v>
      </c>
      <c r="W47" s="373" t="n"/>
    </row>
    <row r="48" ht="18" customFormat="1" customHeight="1" s="404">
      <c r="A48" s="379" t="n"/>
      <c r="B48" s="405" t="inlineStr">
        <is>
          <t>賃金計</t>
        </is>
      </c>
      <c r="C48" s="406">
        <f>SUM(C47)</f>
        <v>0</v>
      </c>
      <c r="D48" s="406">
        <f>SUM(D47)</f>
        <v>380700</v>
      </c>
      <c r="E48" s="406">
        <f>SUM(E47)</f>
        <v>327555</v>
      </c>
      <c r="F48" s="406">
        <f>SUM(F47)</f>
        <v>400770</v>
      </c>
      <c r="G48" s="406">
        <f>SUM(G47)</f>
        <v>400380</v>
      </c>
      <c r="H48" s="406">
        <f>SUM(H47)</f>
        <v>344580</v>
      </c>
      <c r="I48" s="406">
        <f>SUM(I47)</f>
        <v>364625</v>
      </c>
      <c r="J48" s="406">
        <f>SUM(J47)</f>
        <v>401920</v>
      </c>
      <c r="K48" s="406">
        <f>SUM(K47)</f>
        <v>329655</v>
      </c>
      <c r="L48" s="406">
        <f>SUM(L47)</f>
        <v>365270</v>
      </c>
      <c r="M48" s="406">
        <f>SUM(M47)</f>
        <v>347335</v>
      </c>
      <c r="N48" s="406">
        <f>SUM(N47)</f>
        <v>328425</v>
      </c>
      <c r="O48" s="406">
        <f>SUM(O47)</f>
        <v>153280</v>
      </c>
      <c r="P48" s="396" t="n"/>
      <c r="Q48" s="406">
        <f>SUM(C48:O48)</f>
        <v>4144495</v>
      </c>
      <c r="R48" s="396" t="n"/>
      <c r="S48" s="396" t="n"/>
      <c r="T48" s="379" t="n"/>
      <c r="U48" s="373" t="n"/>
      <c r="V48" s="382">
        <f>SUMIF($C$2:$N$2,"&lt;="&amp;締月,C48:N48)</f>
        <v>1853985</v>
      </c>
      <c r="W48" s="373" t="n"/>
    </row>
    <row r="49" ht="18" customHeight="1" s="322">
      <c r="A49" s="379" t="n"/>
      <c r="B49" s="405" t="inlineStr">
        <is>
          <t>合計</t>
        </is>
      </c>
      <c r="C49" s="406">
        <f>C45+C48</f>
        <v>491490</v>
      </c>
      <c r="D49" s="406">
        <f>D45+D48</f>
        <v>753500</v>
      </c>
      <c r="E49" s="406">
        <f>E45+E48</f>
        <v>1567114</v>
      </c>
      <c r="F49" s="406">
        <f>F45+F48</f>
        <v>773570</v>
      </c>
      <c r="G49" s="406">
        <f>G45+G48</f>
        <v>773180</v>
      </c>
      <c r="H49" s="406">
        <f>H45+H48</f>
        <v>717380</v>
      </c>
      <c r="I49" s="406">
        <f>I45+I48</f>
        <v>839015</v>
      </c>
      <c r="J49" s="406">
        <f>J45+J48</f>
        <v>759516</v>
      </c>
      <c r="K49" s="406">
        <f>K45+K48</f>
        <v>1650312</v>
      </c>
      <c r="L49" s="406">
        <f>L45+L48</f>
        <v>730370</v>
      </c>
      <c r="M49" s="406">
        <f>M45+M48</f>
        <v>712435</v>
      </c>
      <c r="N49" s="406">
        <f>N45+N48</f>
        <v>693525</v>
      </c>
      <c r="O49" s="406">
        <f>O45+O48</f>
        <v>153280</v>
      </c>
      <c r="P49" s="379" t="n"/>
      <c r="Q49" s="406">
        <f>SUM(C49:O49)</f>
        <v>10614687</v>
      </c>
      <c r="R49" s="396" t="n"/>
      <c r="S49" s="396" t="n"/>
      <c r="T49" s="379" t="n"/>
      <c r="U49" s="373" t="n"/>
      <c r="V49" s="382">
        <f>SUMIF($C$2:$N$2,"&lt;="&amp;締月,C49:N49)</f>
        <v>5076234</v>
      </c>
      <c r="W49" s="373" t="n"/>
    </row>
    <row r="50" ht="18" customHeight="1" s="322">
      <c r="A50" s="373" t="n"/>
      <c r="B50" s="373" t="n"/>
      <c r="C50" s="373" t="n"/>
      <c r="D50" s="423" t="n"/>
      <c r="E50" s="373" t="n"/>
      <c r="F50" s="373" t="n"/>
      <c r="G50" s="373" t="n"/>
      <c r="H50" s="373" t="n"/>
      <c r="I50" s="373" t="n"/>
      <c r="J50" s="373" t="n"/>
      <c r="K50" s="373" t="n"/>
      <c r="L50" s="373" t="n"/>
      <c r="M50" s="373" t="n"/>
      <c r="N50" s="373" t="n"/>
      <c r="O50" s="373" t="n"/>
      <c r="P50" s="373" t="n"/>
      <c r="Q50" s="373" t="n"/>
      <c r="R50" s="373" t="n"/>
      <c r="S50" s="373" t="n"/>
      <c r="T50" s="373" t="n"/>
      <c r="U50" s="373" t="n"/>
      <c r="V50" s="373" t="n"/>
      <c r="W50" s="373" t="n"/>
    </row>
    <row r="51">
      <c r="A51" s="373" t="n"/>
      <c r="B51" s="373" t="n"/>
      <c r="C51" s="373" t="n"/>
      <c r="D51" s="373" t="n"/>
      <c r="E51" s="373" t="n"/>
      <c r="F51" s="373" t="n"/>
      <c r="G51" s="373" t="n"/>
      <c r="H51" s="373" t="n"/>
      <c r="I51" s="373" t="n"/>
      <c r="J51" s="373" t="n"/>
      <c r="K51" s="373" t="n"/>
      <c r="L51" s="373" t="n"/>
      <c r="M51" s="373" t="n"/>
      <c r="N51" s="373" t="n"/>
      <c r="O51" s="373" t="n"/>
      <c r="P51" s="373" t="n"/>
      <c r="Q51" s="373" t="n"/>
      <c r="R51" s="373" t="n"/>
      <c r="S51" s="373" t="n"/>
      <c r="T51" s="373" t="n"/>
      <c r="U51" s="373" t="n"/>
      <c r="V51" s="373" t="n"/>
      <c r="W51" s="373" t="n"/>
    </row>
    <row r="52" ht="18" customHeight="1" s="322">
      <c r="A52" s="373" t="n"/>
      <c r="B52" s="373" t="n"/>
      <c r="C52" s="425" t="n"/>
      <c r="D52" s="425" t="n"/>
      <c r="E52" s="425" t="n"/>
      <c r="F52" s="425" t="n"/>
      <c r="G52" s="425" t="n"/>
      <c r="H52" s="425" t="n"/>
      <c r="I52" s="425" t="n"/>
      <c r="J52" s="425" t="n"/>
      <c r="K52" s="425" t="n"/>
      <c r="L52" s="425" t="n"/>
      <c r="M52" s="425" t="n"/>
      <c r="N52" s="425" t="n"/>
      <c r="O52" s="426" t="n"/>
      <c r="P52" s="373" t="n"/>
      <c r="Q52" s="373" t="n"/>
      <c r="R52" s="373" t="n"/>
      <c r="S52" s="373" t="n"/>
      <c r="T52" s="373" t="n"/>
      <c r="U52" s="373" t="n"/>
      <c r="V52" s="373" t="n"/>
      <c r="W52" s="373" t="n"/>
    </row>
    <row r="53" ht="18" customFormat="1" customHeight="1" s="367">
      <c r="A53" s="343" t="n"/>
      <c r="B53" s="376" t="inlineStr">
        <is>
          <t>新規貸付金</t>
        </is>
      </c>
      <c r="C53" s="398" t="n">
        <v>17990000</v>
      </c>
      <c r="D53" s="398" t="n">
        <v>10200000</v>
      </c>
      <c r="E53" s="398" t="n">
        <v>4140000</v>
      </c>
      <c r="F53" s="398" t="n">
        <v>7150000</v>
      </c>
      <c r="G53" s="398" t="n">
        <v>6140000</v>
      </c>
      <c r="H53" s="398" t="n">
        <v>4000000</v>
      </c>
      <c r="I53" s="398" t="n">
        <v>6150000</v>
      </c>
      <c r="J53" s="398" t="n">
        <v>11400000</v>
      </c>
      <c r="K53" s="398" t="n">
        <v>8100000</v>
      </c>
      <c r="L53" s="398" t="n">
        <v>10520000</v>
      </c>
      <c r="M53" s="398" t="n">
        <v>9040000</v>
      </c>
      <c r="N53" s="398" t="n">
        <v>35670000</v>
      </c>
      <c r="O53" s="431" t="n"/>
      <c r="P53" s="343" t="n"/>
      <c r="Q53" s="343" t="n"/>
      <c r="R53" s="343" t="n"/>
      <c r="S53" s="343" t="n"/>
      <c r="T53" s="343" t="n"/>
      <c r="U53" s="373" t="n"/>
      <c r="V53" s="378">
        <f>SUMIF($C$2:$N$2,"&lt;="&amp;締月,C53:N53)</f>
        <v>49620000</v>
      </c>
      <c r="W53" s="373" t="n"/>
    </row>
    <row r="54" ht="18" customHeight="1" s="322">
      <c r="A54" s="373" t="n"/>
      <c r="B54" s="373" t="n"/>
      <c r="C54" s="425" t="n"/>
      <c r="D54" s="425" t="n"/>
      <c r="E54" s="425" t="n"/>
      <c r="F54" s="425" t="n"/>
      <c r="G54" s="425" t="n"/>
      <c r="H54" s="425" t="n"/>
      <c r="I54" s="425" t="n"/>
      <c r="J54" s="425" t="n"/>
      <c r="K54" s="425" t="n"/>
      <c r="L54" s="425" t="n"/>
      <c r="M54" s="425" t="n"/>
      <c r="N54" s="425" t="n"/>
      <c r="O54" s="426" t="n"/>
      <c r="P54" s="373" t="n"/>
      <c r="Q54" s="373" t="n"/>
      <c r="R54" s="373" t="n"/>
      <c r="S54" s="373" t="n"/>
      <c r="T54" s="373" t="n"/>
      <c r="U54" s="373" t="n"/>
      <c r="V54" s="373" t="n"/>
      <c r="W54" s="373" t="n"/>
    </row>
    <row r="55" ht="18" customHeight="1" s="322">
      <c r="A55" s="343" t="n"/>
      <c r="B55" s="432" t="inlineStr">
        <is>
          <t>人件費</t>
        </is>
      </c>
      <c r="C55" s="353">
        <f>SUM(C49,C23,C26,C21,C24,C25)</f>
        <v>537677</v>
      </c>
      <c r="D55" s="353">
        <f>SUM(D49,D23,D26,D21,D24,D25)</f>
        <v>871727</v>
      </c>
      <c r="E55" s="353">
        <f>SUM(E49,E23,E26,E21,E24,E25)</f>
        <v>1808741</v>
      </c>
      <c r="F55" s="353">
        <f>SUM(F49,F23,F26,F21,F24,F25)</f>
        <v>1020231</v>
      </c>
      <c r="G55" s="353">
        <f>SUM(G49,G23,G26,G21,G24,G25)</f>
        <v>973050</v>
      </c>
      <c r="H55" s="353">
        <f>SUM(H49,H23,H26,H21,H24,H25)</f>
        <v>834892</v>
      </c>
      <c r="I55" s="353">
        <f>SUM(I49,I23,I26,I21,I24,I25)</f>
        <v>958131</v>
      </c>
      <c r="J55" s="353">
        <f>SUM(J49,J23,J26,J21,J24,J25)</f>
        <v>807307</v>
      </c>
      <c r="K55" s="353">
        <f>SUM(K49,K23,K26,K21,K24,K25)</f>
        <v>1822040</v>
      </c>
      <c r="L55" s="353">
        <f>SUM(L49,L23,L26,L21,L24,L25)</f>
        <v>852351</v>
      </c>
      <c r="M55" s="353">
        <f>SUM(M49,M23,M26,M21,M24,M25)</f>
        <v>910974</v>
      </c>
      <c r="N55" s="353">
        <f>SUM(N49,N23,N26,N21,N24,N25)</f>
        <v>888070</v>
      </c>
      <c r="O55" s="353">
        <f>SUM(O49,O23,O26,O21,O24,O25)</f>
        <v>214144</v>
      </c>
      <c r="P55" s="343" t="n"/>
      <c r="Q55" s="343" t="n"/>
      <c r="R55" s="343" t="n"/>
      <c r="S55" s="343" t="n"/>
      <c r="T55" s="343" t="n"/>
      <c r="U55" s="373" t="n"/>
      <c r="V55" s="378">
        <f>SUMIF($C$2:$N$2,"&lt;="&amp;締月,C55:N55)</f>
        <v>6046318</v>
      </c>
      <c r="W55" s="373" t="n"/>
    </row>
  </sheetData>
  <mergeCells count="22">
    <mergeCell ref="A9:A14"/>
    <mergeCell ref="R21:R25"/>
    <mergeCell ref="A15:B15"/>
    <mergeCell ref="T21:T25"/>
    <mergeCell ref="A36:B36"/>
    <mergeCell ref="P1:W1"/>
    <mergeCell ref="A21:A27"/>
    <mergeCell ref="A4:A6"/>
    <mergeCell ref="A7:B7"/>
    <mergeCell ref="A3:B3"/>
    <mergeCell ref="A2:B2"/>
    <mergeCell ref="A33:B33"/>
    <mergeCell ref="Q21:Q25"/>
    <mergeCell ref="A32:B32"/>
    <mergeCell ref="S21:S25"/>
    <mergeCell ref="A8:B8"/>
    <mergeCell ref="A35:B35"/>
    <mergeCell ref="A38:B38"/>
    <mergeCell ref="A29:B29"/>
    <mergeCell ref="A28:B28"/>
    <mergeCell ref="A1:O1"/>
    <mergeCell ref="A34:B34"/>
  </mergeCells>
  <conditionalFormatting sqref="C4:N55">
    <cfRule type="expression" priority="1" dxfId="11">
      <formula>AND(ISNUMBER(C4),C$2&lt;&gt;"",C$2&gt;締月)</formula>
    </cfRule>
  </conditionalFormatting>
  <conditionalFormatting sqref="O4:O55">
    <cfRule type="expression" priority="2" dxfId="7">
      <formula>AND(ISNUMBER(O4),締月&lt;13)</formula>
    </cfRule>
  </conditionalFormatting>
  <printOptions horizontalCentered="0" verticalCentered="0" headings="0" gridLines="0" gridLinesSet="1"/>
  <pageMargins left="0.472222222222222" right="0.196527777777778" top="0.629861111111111" bottom="0" header="0.511811023622047" footer="0.511811023622047"/>
  <pageSetup orientation="landscape" paperSize="8" scale="100" fitToHeight="0" fitToWidth="1" pageOrder="downThenOver" blackAndWhite="0" draft="0" cellComments="atEnd" horizontalDpi="300" verticalDpi="300" copies="1"/>
  <legacyDrawing xmlns:r="http://schemas.openxmlformats.org/officeDocument/2006/relationships" r:id="anysvml"/>
</worksheet>
</file>

<file path=xl/worksheets/sheet9.xml><?xml version="1.0" encoding="utf-8"?>
<worksheet xmlns="http://schemas.openxmlformats.org/spreadsheetml/2006/main">
  <sheetPr>
    <tabColor rgb="002E75B6"/>
    <outlinePr summaryBelow="1" summaryRight="1"/>
    <pageSetUpPr fitToPage="1"/>
  </sheetPr>
  <dimension ref="A1:N32"/>
  <sheetViews>
    <sheetView showGridLines="0" tabSelected="0" workbookViewId="0">
      <pane ySplit="6" topLeftCell="A7" activePane="bottomLeft" state="frozen"/>
      <selection pane="bottomLeft" activeCell="A1" sqref="A1"/>
    </sheetView>
  </sheetViews>
  <sheetFormatPr baseColWidth="8" defaultRowHeight="15"/>
  <cols>
    <col width="2" customWidth="1" style="322" min="1" max="1"/>
    <col width="22" customWidth="1" style="322" min="2" max="2"/>
    <col width="13" customWidth="1" style="322" min="3" max="3"/>
    <col width="13" customWidth="1" style="322" min="4" max="4"/>
    <col width="13" customWidth="1" style="322" min="5" max="5"/>
    <col width="13" customWidth="1" style="322" min="6" max="6"/>
    <col width="13" customWidth="1" style="322" min="7" max="7"/>
    <col width="3" customWidth="1" style="322" min="8" max="8"/>
    <col width="22" customWidth="1" style="322" min="9" max="9"/>
    <col width="13" customWidth="1" style="322" min="10" max="10"/>
    <col width="13" customWidth="1" style="322" min="11" max="11"/>
    <col width="13" customWidth="1" style="322" min="12" max="12"/>
    <col width="13" customWidth="1" style="322" min="13" max="13"/>
    <col width="13" customWidth="1" style="322" min="14" max="14"/>
  </cols>
  <sheetData>
    <row r="1" ht="26" customHeight="1" s="322">
      <c r="A1" s="323" t="inlineStr">
        <is>
          <t>給付区分別執行額　業務経理（旧：「給付区分別執行額（月別）」「同（年度分）」）</t>
        </is>
      </c>
      <c r="B1" s="324" t="n"/>
      <c r="C1" s="324" t="n"/>
      <c r="D1" s="324" t="n"/>
      <c r="E1" s="324" t="n"/>
      <c r="F1" s="324" t="n"/>
      <c r="G1" s="324" t="n"/>
      <c r="H1" s="324" t="n"/>
      <c r="I1" s="324" t="n"/>
      <c r="J1" s="324" t="n"/>
      <c r="K1" s="324" t="n"/>
      <c r="L1" s="324" t="n"/>
      <c r="M1" s="324" t="n"/>
      <c r="N1" s="324" t="n"/>
    </row>
    <row r="2" ht="30" customHeight="1" s="322">
      <c r="A2" s="325" t="inlineStr">
        <is>
          <t>台帳の「確認済」だけを集計します。左：選んだ月の分　右：締め月までの年度累計（単位：円）。</t>
        </is>
      </c>
    </row>
    <row r="4">
      <c r="B4" s="331" t="inlineStr">
        <is>
          <t>集計する月</t>
        </is>
      </c>
      <c r="C4" s="433" t="inlineStr">
        <is>
          <t>9月</t>
        </is>
      </c>
      <c r="D4" s="399">
        <f>MATCH(C4,科目表!$N$6:$N$17,0)</f>
        <v>6</v>
      </c>
      <c r="I4" s="331" t="inlineStr">
        <is>
          <t>年度累計（締め月まで）</t>
        </is>
      </c>
    </row>
    <row r="6" ht="22" customHeight="1" s="322">
      <c r="B6" s="327" t="inlineStr">
        <is>
          <t>科　目</t>
        </is>
      </c>
      <c r="C6" s="327" t="inlineStr">
        <is>
          <t>執行額</t>
        </is>
      </c>
      <c r="D6" s="327" t="inlineStr">
        <is>
          <t>短期</t>
        </is>
      </c>
      <c r="E6" s="327" t="inlineStr">
        <is>
          <t>厚年</t>
        </is>
      </c>
      <c r="F6" s="327" t="inlineStr">
        <is>
          <t>経過的</t>
        </is>
      </c>
      <c r="G6" s="327" t="inlineStr">
        <is>
          <t>退職等</t>
        </is>
      </c>
      <c r="I6" s="327" t="inlineStr">
        <is>
          <t>科　目</t>
        </is>
      </c>
      <c r="J6" s="327" t="inlineStr">
        <is>
          <t>執行額</t>
        </is>
      </c>
      <c r="K6" s="327" t="inlineStr">
        <is>
          <t>短期</t>
        </is>
      </c>
      <c r="L6" s="327" t="inlineStr">
        <is>
          <t>厚年</t>
        </is>
      </c>
      <c r="M6" s="327" t="inlineStr">
        <is>
          <t>経過的</t>
        </is>
      </c>
      <c r="N6" s="327" t="inlineStr">
        <is>
          <t>退職等</t>
        </is>
      </c>
    </row>
    <row r="7">
      <c r="B7" s="343" t="inlineStr">
        <is>
          <t>役員報酬</t>
        </is>
      </c>
      <c r="C7" s="353">
        <f>SUMIFS(入力_業務!$G$5:$G$1604,入力_業務!$D$5:$D$1604,$B7,入力_業務!$I$5:$I$1604,"確認済",入力_業務!$P$5:$P$1604,$D$4)</f>
        <v>0</v>
      </c>
      <c r="D7" s="353">
        <f>SUMIFS(入力_業務!$J$5:$J$1604,入力_業務!$D$5:$D$1604,$B7,入力_業務!$I$5:$I$1604,"確認済",入力_業務!$P$5:$P$1604,$D$4)</f>
        <v>0</v>
      </c>
      <c r="E7" s="353">
        <f>SUMIFS(入力_業務!$K$5:$K$1604,入力_業務!$D$5:$D$1604,$B7,入力_業務!$I$5:$I$1604,"確認済",入力_業務!$P$5:$P$1604,$D$4)</f>
        <v>0</v>
      </c>
      <c r="F7" s="353">
        <f>SUMIFS(入力_業務!$L$5:$L$1604,入力_業務!$D$5:$D$1604,$B7,入力_業務!$I$5:$I$1604,"確認済",入力_業務!$P$5:$P$1604,$D$4)</f>
        <v>0</v>
      </c>
      <c r="G7" s="353">
        <f>SUMIFS(入力_業務!$M$5:$M$1604,入力_業務!$D$5:$D$1604,$B7,入力_業務!$I$5:$I$1604,"確認済",入力_業務!$P$5:$P$1604,$D$4)</f>
        <v>0</v>
      </c>
      <c r="I7" s="343" t="inlineStr">
        <is>
          <t>役員報酬</t>
        </is>
      </c>
      <c r="J7" s="353">
        <f>SUMIFS(入力_業務!$G$5:$G$1604,入力_業務!$D$5:$D$1604,$I7,入力_業務!$I$5:$I$1604,"確認済",入力_業務!$P$5:$P$1604,"&lt;="&amp;締月)</f>
        <v>22000</v>
      </c>
      <c r="K7" s="353">
        <f>SUMIFS(入力_業務!$J$5:$J$1604,入力_業務!$D$5:$D$1604,$I7,入力_業務!$I$5:$I$1604,"確認済",入力_業務!$P$5:$P$1604,"&lt;="&amp;締月)</f>
        <v>10522</v>
      </c>
      <c r="L7" s="353">
        <f>SUMIFS(入力_業務!$K$5:$K$1604,入力_業務!$D$5:$D$1604,$I7,入力_業務!$I$5:$I$1604,"確認済",入力_業務!$P$5:$P$1604,"&lt;="&amp;締月)</f>
        <v>9566</v>
      </c>
      <c r="M7" s="353">
        <f>SUMIFS(入力_業務!$L$5:$L$1604,入力_業務!$D$5:$D$1604,$I7,入力_業務!$I$5:$I$1604,"確認済",入力_業務!$P$5:$P$1604,"&lt;="&amp;締月)</f>
        <v>956</v>
      </c>
      <c r="N7" s="353">
        <f>SUMIFS(入力_業務!$M$5:$M$1604,入力_業務!$D$5:$D$1604,$I7,入力_業務!$I$5:$I$1604,"確認済",入力_業務!$P$5:$P$1604,"&lt;="&amp;締月)</f>
        <v>956</v>
      </c>
    </row>
    <row r="8">
      <c r="B8" s="343" t="inlineStr">
        <is>
          <t>職員給与</t>
        </is>
      </c>
      <c r="C8" s="353">
        <f>SUMIFS(入力_業務!$G$5:$G$1604,入力_業務!$D$5:$D$1604,$B8,入力_業務!$I$5:$I$1604,"確認済",入力_業務!$P$5:$P$1604,$D$4)</f>
        <v>639576</v>
      </c>
      <c r="D8" s="353">
        <f>SUMIFS(入力_業務!$J$5:$J$1604,入力_業務!$D$5:$D$1604,$B8,入力_業務!$I$5:$I$1604,"確認済",入力_業務!$P$5:$P$1604,$D$4)</f>
        <v>258776</v>
      </c>
      <c r="E8" s="353">
        <f>SUMIFS(入力_業務!$K$5:$K$1604,入力_業務!$D$5:$D$1604,$B8,入力_業務!$I$5:$I$1604,"確認済",入力_業務!$P$5:$P$1604,$D$4)</f>
        <v>317334</v>
      </c>
      <c r="F8" s="353">
        <f>SUMIFS(入力_業務!$L$5:$L$1604,入力_業務!$D$5:$D$1604,$B8,入力_業務!$I$5:$I$1604,"確認済",入力_業務!$P$5:$P$1604,$D$4)</f>
        <v>31733</v>
      </c>
      <c r="G8" s="353">
        <f>SUMIFS(入力_業務!$M$5:$M$1604,入力_業務!$D$5:$D$1604,$B8,入力_業務!$I$5:$I$1604,"確認済",入力_業務!$P$5:$P$1604,$D$4)</f>
        <v>31733</v>
      </c>
      <c r="I8" s="343" t="inlineStr">
        <is>
          <t>職員給与</t>
        </is>
      </c>
      <c r="J8" s="353">
        <f>SUMIFS(入力_業務!$G$5:$G$1604,入力_業務!$D$5:$D$1604,$I8,入力_業務!$I$5:$I$1604,"確認済",入力_業務!$P$5:$P$1604,"&lt;="&amp;締月)</f>
        <v>5176349</v>
      </c>
      <c r="K8" s="353">
        <f>SUMIFS(入力_業務!$J$5:$J$1604,入力_業務!$D$5:$D$1604,$I8,入力_業務!$I$5:$I$1604,"確認済",入力_業務!$P$5:$P$1604,"&lt;="&amp;締月)</f>
        <v>2023859</v>
      </c>
      <c r="L8" s="353">
        <f>SUMIFS(入力_業務!$K$5:$K$1604,入力_業務!$D$5:$D$1604,$I8,入力_業務!$I$5:$I$1604,"確認済",入力_業務!$P$5:$P$1604,"&lt;="&amp;締月)</f>
        <v>2627078</v>
      </c>
      <c r="M8" s="353">
        <f>SUMIFS(入力_業務!$L$5:$L$1604,入力_業務!$D$5:$D$1604,$I8,入力_業務!$I$5:$I$1604,"確認済",入力_業務!$P$5:$P$1604,"&lt;="&amp;締月)</f>
        <v>262706</v>
      </c>
      <c r="N8" s="353">
        <f>SUMIFS(入力_業務!$M$5:$M$1604,入力_業務!$D$5:$D$1604,$I8,入力_業務!$I$5:$I$1604,"確認済",入力_業務!$P$5:$P$1604,"&lt;="&amp;締月)</f>
        <v>262706</v>
      </c>
    </row>
    <row r="9">
      <c r="B9" s="343" t="inlineStr">
        <is>
          <t>厚生費</t>
        </is>
      </c>
      <c r="C9" s="353">
        <f>SUMIFS(入力_業務!$G$5:$G$1604,入力_業務!$D$5:$D$1604,$B9,入力_業務!$I$5:$I$1604,"確認済",入力_業務!$P$5:$P$1604,$D$4)</f>
        <v>16874</v>
      </c>
      <c r="D9" s="353">
        <f>SUMIFS(入力_業務!$J$5:$J$1604,入力_業務!$D$5:$D$1604,$B9,入力_業務!$I$5:$I$1604,"確認済",入力_業務!$P$5:$P$1604,$D$4)</f>
        <v>14894</v>
      </c>
      <c r="E9" s="353">
        <f>SUMIFS(入力_業務!$K$5:$K$1604,入力_業務!$D$5:$D$1604,$B9,入力_業務!$I$5:$I$1604,"確認済",入力_業務!$P$5:$P$1604,$D$4)</f>
        <v>1650</v>
      </c>
      <c r="F9" s="353">
        <f>SUMIFS(入力_業務!$L$5:$L$1604,入力_業務!$D$5:$D$1604,$B9,入力_業務!$I$5:$I$1604,"確認済",入力_業務!$P$5:$P$1604,$D$4)</f>
        <v>165</v>
      </c>
      <c r="G9" s="353">
        <f>SUMIFS(入力_業務!$M$5:$M$1604,入力_業務!$D$5:$D$1604,$B9,入力_業務!$I$5:$I$1604,"確認済",入力_業務!$P$5:$P$1604,$D$4)</f>
        <v>165</v>
      </c>
      <c r="I9" s="343" t="inlineStr">
        <is>
          <t>厚生費</t>
        </is>
      </c>
      <c r="J9" s="353">
        <f>SUMIFS(入力_業務!$G$5:$G$1604,入力_業務!$D$5:$D$1604,$I9,入力_業務!$I$5:$I$1604,"確認済",入力_業務!$P$5:$P$1604,"&lt;="&amp;締月)</f>
        <v>18854</v>
      </c>
      <c r="K9" s="353">
        <f>SUMIFS(入力_業務!$J$5:$J$1604,入力_業務!$D$5:$D$1604,$I9,入力_業務!$I$5:$I$1604,"確認済",入力_業務!$P$5:$P$1604,"&lt;="&amp;締月)</f>
        <v>14894</v>
      </c>
      <c r="L9" s="353">
        <f>SUMIFS(入力_業務!$K$5:$K$1604,入力_業務!$D$5:$D$1604,$I9,入力_業務!$I$5:$I$1604,"確認済",入力_業務!$P$5:$P$1604,"&lt;="&amp;締月)</f>
        <v>3300</v>
      </c>
      <c r="M9" s="353">
        <f>SUMIFS(入力_業務!$L$5:$L$1604,入力_業務!$D$5:$D$1604,$I9,入力_業務!$I$5:$I$1604,"確認済",入力_業務!$P$5:$P$1604,"&lt;="&amp;締月)</f>
        <v>330</v>
      </c>
      <c r="N9" s="353">
        <f>SUMIFS(入力_業務!$M$5:$M$1604,入力_業務!$D$5:$D$1604,$I9,入力_業務!$I$5:$I$1604,"確認済",入力_業務!$P$5:$P$1604,"&lt;="&amp;締月)</f>
        <v>330</v>
      </c>
    </row>
    <row r="10">
      <c r="B10" s="343" t="inlineStr">
        <is>
          <t>旅費</t>
        </is>
      </c>
      <c r="C10" s="353">
        <f>SUMIFS(入力_業務!$G$5:$G$1604,入力_業務!$D$5:$D$1604,$B10,入力_業務!$I$5:$I$1604,"確認済",入力_業務!$P$5:$P$1604,$D$4)</f>
        <v>0</v>
      </c>
      <c r="D10" s="353">
        <f>SUMIFS(入力_業務!$J$5:$J$1604,入力_業務!$D$5:$D$1604,$B10,入力_業務!$I$5:$I$1604,"確認済",入力_業務!$P$5:$P$1604,$D$4)</f>
        <v>0</v>
      </c>
      <c r="E10" s="353">
        <f>SUMIFS(入力_業務!$K$5:$K$1604,入力_業務!$D$5:$D$1604,$B10,入力_業務!$I$5:$I$1604,"確認済",入力_業務!$P$5:$P$1604,$D$4)</f>
        <v>0</v>
      </c>
      <c r="F10" s="353">
        <f>SUMIFS(入力_業務!$L$5:$L$1604,入力_業務!$D$5:$D$1604,$B10,入力_業務!$I$5:$I$1604,"確認済",入力_業務!$P$5:$P$1604,$D$4)</f>
        <v>0</v>
      </c>
      <c r="G10" s="353">
        <f>SUMIFS(入力_業務!$M$5:$M$1604,入力_業務!$D$5:$D$1604,$B10,入力_業務!$I$5:$I$1604,"確認済",入力_業務!$P$5:$P$1604,$D$4)</f>
        <v>0</v>
      </c>
      <c r="I10" s="343" t="inlineStr">
        <is>
          <t>旅費</t>
        </is>
      </c>
      <c r="J10" s="353">
        <f>SUMIFS(入力_業務!$G$5:$G$1604,入力_業務!$D$5:$D$1604,$I10,入力_業務!$I$5:$I$1604,"確認済",入力_業務!$P$5:$P$1604,"&lt;="&amp;締月)</f>
        <v>143700</v>
      </c>
      <c r="K10" s="353">
        <f>SUMIFS(入力_業務!$J$5:$J$1604,入力_業務!$D$5:$D$1604,$I10,入力_業務!$I$5:$I$1604,"確認済",入力_業務!$P$5:$P$1604,"&lt;="&amp;締月)</f>
        <v>68724</v>
      </c>
      <c r="L10" s="353">
        <f>SUMIFS(入力_業務!$K$5:$K$1604,入力_業務!$D$5:$D$1604,$I10,入力_業務!$I$5:$I$1604,"確認済",入力_業務!$P$5:$P$1604,"&lt;="&amp;締月)</f>
        <v>62478</v>
      </c>
      <c r="M10" s="353">
        <f>SUMIFS(入力_業務!$L$5:$L$1604,入力_業務!$D$5:$D$1604,$I10,入力_業務!$I$5:$I$1604,"確認済",入力_業務!$P$5:$P$1604,"&lt;="&amp;締月)</f>
        <v>6249</v>
      </c>
      <c r="N10" s="353">
        <f>SUMIFS(入力_業務!$M$5:$M$1604,入力_業務!$D$5:$D$1604,$I10,入力_業務!$I$5:$I$1604,"確認済",入力_業務!$P$5:$P$1604,"&lt;="&amp;締月)</f>
        <v>6249</v>
      </c>
    </row>
    <row r="11">
      <c r="B11" s="343" t="inlineStr">
        <is>
          <t>事務費</t>
        </is>
      </c>
      <c r="C11" s="353">
        <f>SUMIFS(入力_業務!$G$5:$G$1604,入力_業務!$D$5:$D$1604,$B11,入力_業務!$I$5:$I$1604,"確認済",入力_業務!$P$5:$P$1604,$D$4)</f>
        <v>767930</v>
      </c>
      <c r="D11" s="353">
        <f>SUMIFS(入力_業務!$J$5:$J$1604,入力_業務!$D$5:$D$1604,$B11,入力_業務!$I$5:$I$1604,"確認済",入力_業務!$P$5:$P$1604,$D$4)</f>
        <v>421915</v>
      </c>
      <c r="E11" s="353">
        <f>SUMIFS(入力_業務!$K$5:$K$1604,入力_業務!$D$5:$D$1604,$B11,入力_業務!$I$5:$I$1604,"確認済",入力_業務!$P$5:$P$1604,$D$4)</f>
        <v>288345</v>
      </c>
      <c r="F11" s="353">
        <f>SUMIFS(入力_業務!$L$5:$L$1604,入力_業務!$D$5:$D$1604,$B11,入力_業務!$I$5:$I$1604,"確認済",入力_業務!$P$5:$P$1604,$D$4)</f>
        <v>28835</v>
      </c>
      <c r="G11" s="353">
        <f>SUMIFS(入力_業務!$M$5:$M$1604,入力_業務!$D$5:$D$1604,$B11,入力_業務!$I$5:$I$1604,"確認済",入力_業務!$P$5:$P$1604,$D$4)</f>
        <v>28835</v>
      </c>
      <c r="I11" s="343" t="inlineStr">
        <is>
          <t>事務費</t>
        </is>
      </c>
      <c r="J11" s="353">
        <f>SUMIFS(入力_業務!$G$5:$G$1604,入力_業務!$D$5:$D$1604,$I11,入力_業務!$I$5:$I$1604,"確認済",入力_業務!$P$5:$P$1604,"&lt;="&amp;締月)</f>
        <v>4421837</v>
      </c>
      <c r="K11" s="353">
        <f>SUMIFS(入力_業務!$J$5:$J$1604,入力_業務!$D$5:$D$1604,$I11,入力_業務!$I$5:$I$1604,"確認済",入力_業務!$P$5:$P$1604,"&lt;="&amp;締月)</f>
        <v>2113861</v>
      </c>
      <c r="L11" s="353">
        <f>SUMIFS(入力_業務!$K$5:$K$1604,入力_業務!$D$5:$D$1604,$I11,入力_業務!$I$5:$I$1604,"確認済",入力_業務!$P$5:$P$1604,"&lt;="&amp;締月)</f>
        <v>1923306</v>
      </c>
      <c r="M11" s="353">
        <f>SUMIFS(入力_業務!$L$5:$L$1604,入力_業務!$D$5:$D$1604,$I11,入力_業務!$I$5:$I$1604,"確認済",入力_業務!$P$5:$P$1604,"&lt;="&amp;締月)</f>
        <v>192335</v>
      </c>
      <c r="N11" s="353">
        <f>SUMIFS(入力_業務!$M$5:$M$1604,入力_業務!$D$5:$D$1604,$I11,入力_業務!$I$5:$I$1604,"確認済",入力_業務!$P$5:$P$1604,"&lt;="&amp;締月)</f>
        <v>192335</v>
      </c>
    </row>
    <row r="12">
      <c r="B12" s="343" t="inlineStr">
        <is>
          <t>賃金</t>
        </is>
      </c>
      <c r="C12" s="353">
        <f>SUMIFS(入力_業務!$G$5:$G$1604,入力_業務!$D$5:$D$1604,$B12,入力_業務!$I$5:$I$1604,"確認済",入力_業務!$P$5:$P$1604,$D$4)</f>
        <v>384480</v>
      </c>
      <c r="D12" s="353">
        <f>SUMIFS(入力_業務!$J$5:$J$1604,入力_業務!$D$5:$D$1604,$B12,入力_業務!$I$5:$I$1604,"確認済",入力_業務!$P$5:$P$1604,$D$4)</f>
        <v>384480</v>
      </c>
      <c r="E12" s="353">
        <f>SUMIFS(入力_業務!$K$5:$K$1604,入力_業務!$D$5:$D$1604,$B12,入力_業務!$I$5:$I$1604,"確認済",入力_業務!$P$5:$P$1604,$D$4)</f>
        <v>0</v>
      </c>
      <c r="F12" s="353">
        <f>SUMIFS(入力_業務!$L$5:$L$1604,入力_業務!$D$5:$D$1604,$B12,入力_業務!$I$5:$I$1604,"確認済",入力_業務!$P$5:$P$1604,$D$4)</f>
        <v>0</v>
      </c>
      <c r="G12" s="353">
        <f>SUMIFS(入力_業務!$M$5:$M$1604,入力_業務!$D$5:$D$1604,$B12,入力_業務!$I$5:$I$1604,"確認済",入力_業務!$P$5:$P$1604,$D$4)</f>
        <v>0</v>
      </c>
      <c r="I12" s="343" t="inlineStr">
        <is>
          <t>賃金</t>
        </is>
      </c>
      <c r="J12" s="353">
        <f>SUMIFS(入力_業務!$G$5:$G$1604,入力_業務!$D$5:$D$1604,$I12,入力_業務!$I$5:$I$1604,"確認済",入力_業務!$P$5:$P$1604,"&lt;="&amp;締月)</f>
        <v>2067280</v>
      </c>
      <c r="K12" s="353">
        <f>SUMIFS(入力_業務!$J$5:$J$1604,入力_業務!$D$5:$D$1604,$I12,入力_業務!$I$5:$I$1604,"確認済",入力_業務!$P$5:$P$1604,"&lt;="&amp;締月)</f>
        <v>2067280</v>
      </c>
      <c r="L12" s="353">
        <f>SUMIFS(入力_業務!$K$5:$K$1604,入力_業務!$D$5:$D$1604,$I12,入力_業務!$I$5:$I$1604,"確認済",入力_業務!$P$5:$P$1604,"&lt;="&amp;締月)</f>
        <v>0</v>
      </c>
      <c r="M12" s="353">
        <f>SUMIFS(入力_業務!$L$5:$L$1604,入力_業務!$D$5:$D$1604,$I12,入力_業務!$I$5:$I$1604,"確認済",入力_業務!$P$5:$P$1604,"&lt;="&amp;締月)</f>
        <v>0</v>
      </c>
      <c r="N12" s="353">
        <f>SUMIFS(入力_業務!$M$5:$M$1604,入力_業務!$D$5:$D$1604,$I12,入力_業務!$I$5:$I$1604,"確認済",入力_業務!$P$5:$P$1604,"&lt;="&amp;締月)</f>
        <v>0</v>
      </c>
    </row>
    <row r="13">
      <c r="B13" s="343" t="inlineStr">
        <is>
          <t>委託費</t>
        </is>
      </c>
      <c r="C13" s="353">
        <f>SUMIFS(入力_業務!$G$5:$G$1604,入力_業務!$D$5:$D$1604,$B13,入力_業務!$I$5:$I$1604,"確認済",入力_業務!$P$5:$P$1604,$D$4)</f>
        <v>2099782</v>
      </c>
      <c r="D13" s="353">
        <f>SUMIFS(入力_業務!$J$5:$J$1604,入力_業務!$D$5:$D$1604,$B13,入力_業務!$I$5:$I$1604,"確認済",入力_業務!$P$5:$P$1604,$D$4)</f>
        <v>1758851</v>
      </c>
      <c r="E13" s="353">
        <f>SUMIFS(入力_業務!$K$5:$K$1604,入力_業務!$D$5:$D$1604,$B13,入力_業務!$I$5:$I$1604,"確認済",入力_業務!$P$5:$P$1604,$D$4)</f>
        <v>298337</v>
      </c>
      <c r="F13" s="353">
        <f>SUMIFS(入力_業務!$L$5:$L$1604,入力_業務!$D$5:$D$1604,$B13,入力_業務!$I$5:$I$1604,"確認済",入力_業務!$P$5:$P$1604,$D$4)</f>
        <v>29834</v>
      </c>
      <c r="G13" s="353">
        <f>SUMIFS(入力_業務!$M$5:$M$1604,入力_業務!$D$5:$D$1604,$B13,入力_業務!$I$5:$I$1604,"確認済",入力_業務!$P$5:$P$1604,$D$4)</f>
        <v>12760</v>
      </c>
      <c r="I13" s="343" t="inlineStr">
        <is>
          <t>委託費</t>
        </is>
      </c>
      <c r="J13" s="353">
        <f>SUMIFS(入力_業務!$G$5:$G$1604,入力_業務!$D$5:$D$1604,$I13,入力_業務!$I$5:$I$1604,"確認済",入力_業務!$P$5:$P$1604,"&lt;="&amp;締月)</f>
        <v>6220860</v>
      </c>
      <c r="K13" s="353">
        <f>SUMIFS(入力_業務!$J$5:$J$1604,入力_業務!$D$5:$D$1604,$I13,入力_業務!$I$5:$I$1604,"確認済",入力_業務!$P$5:$P$1604,"&lt;="&amp;締月)</f>
        <v>4547650</v>
      </c>
      <c r="L13" s="353">
        <f>SUMIFS(入力_業務!$K$5:$K$1604,入力_業務!$D$5:$D$1604,$I13,入力_業務!$I$5:$I$1604,"確認済",入力_業務!$P$5:$P$1604,"&lt;="&amp;締月)</f>
        <v>635297</v>
      </c>
      <c r="M13" s="353">
        <f>SUMIFS(入力_業務!$L$5:$L$1604,入力_業務!$D$5:$D$1604,$I13,入力_業務!$I$5:$I$1604,"確認済",入力_業務!$P$5:$P$1604,"&lt;="&amp;締月)</f>
        <v>63530</v>
      </c>
      <c r="N13" s="353">
        <f>SUMIFS(入力_業務!$M$5:$M$1604,入力_業務!$D$5:$D$1604,$I13,入力_業務!$I$5:$I$1604,"確認済",入力_業務!$P$5:$P$1604,"&lt;="&amp;締月)</f>
        <v>974383</v>
      </c>
    </row>
    <row r="14">
      <c r="B14" s="343" t="inlineStr">
        <is>
          <t>光熱水料</t>
        </is>
      </c>
      <c r="C14" s="353">
        <f>SUMIFS(入力_業務!$G$5:$G$1604,入力_業務!$D$5:$D$1604,$B14,入力_業務!$I$5:$I$1604,"確認済",入力_業務!$P$5:$P$1604,$D$4)</f>
        <v>0</v>
      </c>
      <c r="D14" s="353">
        <f>SUMIFS(入力_業務!$J$5:$J$1604,入力_業務!$D$5:$D$1604,$B14,入力_業務!$I$5:$I$1604,"確認済",入力_業務!$P$5:$P$1604,$D$4)</f>
        <v>0</v>
      </c>
      <c r="E14" s="353">
        <f>SUMIFS(入力_業務!$K$5:$K$1604,入力_業務!$D$5:$D$1604,$B14,入力_業務!$I$5:$I$1604,"確認済",入力_業務!$P$5:$P$1604,$D$4)</f>
        <v>0</v>
      </c>
      <c r="F14" s="353">
        <f>SUMIFS(入力_業務!$L$5:$L$1604,入力_業務!$D$5:$D$1604,$B14,入力_業務!$I$5:$I$1604,"確認済",入力_業務!$P$5:$P$1604,$D$4)</f>
        <v>0</v>
      </c>
      <c r="G14" s="353">
        <f>SUMIFS(入力_業務!$M$5:$M$1604,入力_業務!$D$5:$D$1604,$B14,入力_業務!$I$5:$I$1604,"確認済",入力_業務!$P$5:$P$1604,$D$4)</f>
        <v>0</v>
      </c>
      <c r="I14" s="343" t="inlineStr">
        <is>
          <t>光熱水料</t>
        </is>
      </c>
      <c r="J14" s="353">
        <f>SUMIFS(入力_業務!$G$5:$G$1604,入力_業務!$D$5:$D$1604,$I14,入力_業務!$I$5:$I$1604,"確認済",入力_業務!$P$5:$P$1604,"&lt;="&amp;締月)</f>
        <v>0</v>
      </c>
      <c r="K14" s="353">
        <f>SUMIFS(入力_業務!$J$5:$J$1604,入力_業務!$D$5:$D$1604,$I14,入力_業務!$I$5:$I$1604,"確認済",入力_業務!$P$5:$P$1604,"&lt;="&amp;締月)</f>
        <v>0</v>
      </c>
      <c r="L14" s="353">
        <f>SUMIFS(入力_業務!$K$5:$K$1604,入力_業務!$D$5:$D$1604,$I14,入力_業務!$I$5:$I$1604,"確認済",入力_業務!$P$5:$P$1604,"&lt;="&amp;締月)</f>
        <v>0</v>
      </c>
      <c r="M14" s="353">
        <f>SUMIFS(入力_業務!$L$5:$L$1604,入力_業務!$D$5:$D$1604,$I14,入力_業務!$I$5:$I$1604,"確認済",入力_業務!$P$5:$P$1604,"&lt;="&amp;締月)</f>
        <v>0</v>
      </c>
      <c r="N14" s="353">
        <f>SUMIFS(入力_業務!$M$5:$M$1604,入力_業務!$D$5:$D$1604,$I14,入力_業務!$I$5:$I$1604,"確認済",入力_業務!$P$5:$P$1604,"&lt;="&amp;締月)</f>
        <v>0</v>
      </c>
    </row>
    <row r="15">
      <c r="B15" s="343" t="inlineStr">
        <is>
          <t>修繕費</t>
        </is>
      </c>
      <c r="C15" s="353">
        <f>SUMIFS(入力_業務!$G$5:$G$1604,入力_業務!$D$5:$D$1604,$B15,入力_業務!$I$5:$I$1604,"確認済",入力_業務!$P$5:$P$1604,$D$4)</f>
        <v>0</v>
      </c>
      <c r="D15" s="353">
        <f>SUMIFS(入力_業務!$J$5:$J$1604,入力_業務!$D$5:$D$1604,$B15,入力_業務!$I$5:$I$1604,"確認済",入力_業務!$P$5:$P$1604,$D$4)</f>
        <v>0</v>
      </c>
      <c r="E15" s="353">
        <f>SUMIFS(入力_業務!$K$5:$K$1604,入力_業務!$D$5:$D$1604,$B15,入力_業務!$I$5:$I$1604,"確認済",入力_業務!$P$5:$P$1604,$D$4)</f>
        <v>0</v>
      </c>
      <c r="F15" s="353">
        <f>SUMIFS(入力_業務!$L$5:$L$1604,入力_業務!$D$5:$D$1604,$B15,入力_業務!$I$5:$I$1604,"確認済",入力_業務!$P$5:$P$1604,$D$4)</f>
        <v>0</v>
      </c>
      <c r="G15" s="353">
        <f>SUMIFS(入力_業務!$M$5:$M$1604,入力_業務!$D$5:$D$1604,$B15,入力_業務!$I$5:$I$1604,"確認済",入力_業務!$P$5:$P$1604,$D$4)</f>
        <v>0</v>
      </c>
      <c r="I15" s="343" t="inlineStr">
        <is>
          <t>修繕費</t>
        </is>
      </c>
      <c r="J15" s="353">
        <f>SUMIFS(入力_業務!$G$5:$G$1604,入力_業務!$D$5:$D$1604,$I15,入力_業務!$I$5:$I$1604,"確認済",入力_業務!$P$5:$P$1604,"&lt;="&amp;締月)</f>
        <v>0</v>
      </c>
      <c r="K15" s="353">
        <f>SUMIFS(入力_業務!$J$5:$J$1604,入力_業務!$D$5:$D$1604,$I15,入力_業務!$I$5:$I$1604,"確認済",入力_業務!$P$5:$P$1604,"&lt;="&amp;締月)</f>
        <v>0</v>
      </c>
      <c r="L15" s="353">
        <f>SUMIFS(入力_業務!$K$5:$K$1604,入力_業務!$D$5:$D$1604,$I15,入力_業務!$I$5:$I$1604,"確認済",入力_業務!$P$5:$P$1604,"&lt;="&amp;締月)</f>
        <v>0</v>
      </c>
      <c r="M15" s="353">
        <f>SUMIFS(入力_業務!$L$5:$L$1604,入力_業務!$D$5:$D$1604,$I15,入力_業務!$I$5:$I$1604,"確認済",入力_業務!$P$5:$P$1604,"&lt;="&amp;締月)</f>
        <v>0</v>
      </c>
      <c r="N15" s="353">
        <f>SUMIFS(入力_業務!$M$5:$M$1604,入力_業務!$D$5:$D$1604,$I15,入力_業務!$I$5:$I$1604,"確認済",入力_業務!$P$5:$P$1604,"&lt;="&amp;締月)</f>
        <v>0</v>
      </c>
    </row>
    <row r="16">
      <c r="B16" s="343" t="inlineStr">
        <is>
          <t>賃借料</t>
        </is>
      </c>
      <c r="C16" s="353">
        <f>SUMIFS(入力_業務!$G$5:$G$1604,入力_業務!$D$5:$D$1604,$B16,入力_業務!$I$5:$I$1604,"確認済",入力_業務!$P$5:$P$1604,$D$4)</f>
        <v>760345</v>
      </c>
      <c r="D16" s="353">
        <f>SUMIFS(入力_業務!$J$5:$J$1604,入力_業務!$D$5:$D$1604,$B16,入力_業務!$I$5:$I$1604,"確認済",入力_業務!$P$5:$P$1604,$D$4)</f>
        <v>690732</v>
      </c>
      <c r="E16" s="353">
        <f>SUMIFS(入力_業務!$K$5:$K$1604,入力_業務!$D$5:$D$1604,$B16,入力_業務!$I$5:$I$1604,"確認済",入力_業務!$P$5:$P$1604,$D$4)</f>
        <v>58011</v>
      </c>
      <c r="F16" s="353">
        <f>SUMIFS(入力_業務!$L$5:$L$1604,入力_業務!$D$5:$D$1604,$B16,入力_業務!$I$5:$I$1604,"確認済",入力_業務!$P$5:$P$1604,$D$4)</f>
        <v>5801</v>
      </c>
      <c r="G16" s="353">
        <f>SUMIFS(入力_業務!$M$5:$M$1604,入力_業務!$D$5:$D$1604,$B16,入力_業務!$I$5:$I$1604,"確認済",入力_業務!$P$5:$P$1604,$D$4)</f>
        <v>5801</v>
      </c>
      <c r="I16" s="343" t="inlineStr">
        <is>
          <t>賃借料</t>
        </is>
      </c>
      <c r="J16" s="353">
        <f>SUMIFS(入力_業務!$G$5:$G$1604,入力_業務!$D$5:$D$1604,$I16,入力_業務!$I$5:$I$1604,"確認済",入力_業務!$P$5:$P$1604,"&lt;="&amp;締月)</f>
        <v>3801725</v>
      </c>
      <c r="K16" s="353">
        <f>SUMIFS(入力_業務!$J$5:$J$1604,入力_業務!$D$5:$D$1604,$I16,入力_業務!$I$5:$I$1604,"確認済",入力_業務!$P$5:$P$1604,"&lt;="&amp;締月)</f>
        <v>3453660</v>
      </c>
      <c r="L16" s="353">
        <f>SUMIFS(入力_業務!$K$5:$K$1604,入力_業務!$D$5:$D$1604,$I16,入力_業務!$I$5:$I$1604,"確認済",入力_業務!$P$5:$P$1604,"&lt;="&amp;締月)</f>
        <v>290055</v>
      </c>
      <c r="M16" s="353">
        <f>SUMIFS(入力_業務!$L$5:$L$1604,入力_業務!$D$5:$D$1604,$I16,入力_業務!$I$5:$I$1604,"確認済",入力_業務!$P$5:$P$1604,"&lt;="&amp;締月)</f>
        <v>29005</v>
      </c>
      <c r="N16" s="353">
        <f>SUMIFS(入力_業務!$M$5:$M$1604,入力_業務!$D$5:$D$1604,$I16,入力_業務!$I$5:$I$1604,"確認済",入力_業務!$P$5:$P$1604,"&lt;="&amp;締月)</f>
        <v>29005</v>
      </c>
    </row>
    <row r="17">
      <c r="B17" s="343" t="inlineStr">
        <is>
          <t>調査研究費</t>
        </is>
      </c>
      <c r="C17" s="353">
        <f>SUMIFS(入力_業務!$G$5:$G$1604,入力_業務!$D$5:$D$1604,$B17,入力_業務!$I$5:$I$1604,"確認済",入力_業務!$P$5:$P$1604,$D$4)</f>
        <v>0</v>
      </c>
      <c r="D17" s="353">
        <f>SUMIFS(入力_業務!$J$5:$J$1604,入力_業務!$D$5:$D$1604,$B17,入力_業務!$I$5:$I$1604,"確認済",入力_業務!$P$5:$P$1604,$D$4)</f>
        <v>0</v>
      </c>
      <c r="E17" s="353">
        <f>SUMIFS(入力_業務!$K$5:$K$1604,入力_業務!$D$5:$D$1604,$B17,入力_業務!$I$5:$I$1604,"確認済",入力_業務!$P$5:$P$1604,$D$4)</f>
        <v>0</v>
      </c>
      <c r="F17" s="353">
        <f>SUMIFS(入力_業務!$L$5:$L$1604,入力_業務!$D$5:$D$1604,$B17,入力_業務!$I$5:$I$1604,"確認済",入力_業務!$P$5:$P$1604,$D$4)</f>
        <v>0</v>
      </c>
      <c r="G17" s="353">
        <f>SUMIFS(入力_業務!$M$5:$M$1604,入力_業務!$D$5:$D$1604,$B17,入力_業務!$I$5:$I$1604,"確認済",入力_業務!$P$5:$P$1604,$D$4)</f>
        <v>0</v>
      </c>
      <c r="I17" s="343" t="inlineStr">
        <is>
          <t>調査研究費</t>
        </is>
      </c>
      <c r="J17" s="353">
        <f>SUMIFS(入力_業務!$G$5:$G$1604,入力_業務!$D$5:$D$1604,$I17,入力_業務!$I$5:$I$1604,"確認済",入力_業務!$P$5:$P$1604,"&lt;="&amp;締月)</f>
        <v>0</v>
      </c>
      <c r="K17" s="353">
        <f>SUMIFS(入力_業務!$J$5:$J$1604,入力_業務!$D$5:$D$1604,$I17,入力_業務!$I$5:$I$1604,"確認済",入力_業務!$P$5:$P$1604,"&lt;="&amp;締月)</f>
        <v>0</v>
      </c>
      <c r="L17" s="353">
        <f>SUMIFS(入力_業務!$K$5:$K$1604,入力_業務!$D$5:$D$1604,$I17,入力_業務!$I$5:$I$1604,"確認済",入力_業務!$P$5:$P$1604,"&lt;="&amp;締月)</f>
        <v>0</v>
      </c>
      <c r="M17" s="353">
        <f>SUMIFS(入力_業務!$L$5:$L$1604,入力_業務!$D$5:$D$1604,$I17,入力_業務!$I$5:$I$1604,"確認済",入力_業務!$P$5:$P$1604,"&lt;="&amp;締月)</f>
        <v>0</v>
      </c>
      <c r="N17" s="353">
        <f>SUMIFS(入力_業務!$M$5:$M$1604,入力_業務!$D$5:$D$1604,$I17,入力_業務!$I$5:$I$1604,"確認済",入力_業務!$P$5:$P$1604,"&lt;="&amp;締月)</f>
        <v>0</v>
      </c>
    </row>
    <row r="18">
      <c r="B18" s="343" t="inlineStr">
        <is>
          <t>普及費</t>
        </is>
      </c>
      <c r="C18" s="353">
        <f>SUMIFS(入力_業務!$G$5:$G$1604,入力_業務!$D$5:$D$1604,$B18,入力_業務!$I$5:$I$1604,"確認済",入力_業務!$P$5:$P$1604,$D$4)</f>
        <v>0</v>
      </c>
      <c r="D18" s="353">
        <f>SUMIFS(入力_業務!$J$5:$J$1604,入力_業務!$D$5:$D$1604,$B18,入力_業務!$I$5:$I$1604,"確認済",入力_業務!$P$5:$P$1604,$D$4)</f>
        <v>0</v>
      </c>
      <c r="E18" s="353">
        <f>SUMIFS(入力_業務!$K$5:$K$1604,入力_業務!$D$5:$D$1604,$B18,入力_業務!$I$5:$I$1604,"確認済",入力_業務!$P$5:$P$1604,$D$4)</f>
        <v>0</v>
      </c>
      <c r="F18" s="353">
        <f>SUMIFS(入力_業務!$L$5:$L$1604,入力_業務!$D$5:$D$1604,$B18,入力_業務!$I$5:$I$1604,"確認済",入力_業務!$P$5:$P$1604,$D$4)</f>
        <v>0</v>
      </c>
      <c r="G18" s="353">
        <f>SUMIFS(入力_業務!$M$5:$M$1604,入力_業務!$D$5:$D$1604,$B18,入力_業務!$I$5:$I$1604,"確認済",入力_業務!$P$5:$P$1604,$D$4)</f>
        <v>0</v>
      </c>
      <c r="I18" s="343" t="inlineStr">
        <is>
          <t>普及費</t>
        </is>
      </c>
      <c r="J18" s="353">
        <f>SUMIFS(入力_業務!$G$5:$G$1604,入力_業務!$D$5:$D$1604,$I18,入力_業務!$I$5:$I$1604,"確認済",入力_業務!$P$5:$P$1604,"&lt;="&amp;締月)</f>
        <v>371265</v>
      </c>
      <c r="K18" s="353">
        <f>SUMIFS(入力_業務!$J$5:$J$1604,入力_業務!$D$5:$D$1604,$I18,入力_業務!$I$5:$I$1604,"確認済",入力_業務!$P$5:$P$1604,"&lt;="&amp;締月)</f>
        <v>371265</v>
      </c>
      <c r="L18" s="353">
        <f>SUMIFS(入力_業務!$K$5:$K$1604,入力_業務!$D$5:$D$1604,$I18,入力_業務!$I$5:$I$1604,"確認済",入力_業務!$P$5:$P$1604,"&lt;="&amp;締月)</f>
        <v>0</v>
      </c>
      <c r="M18" s="353">
        <f>SUMIFS(入力_業務!$L$5:$L$1604,入力_業務!$D$5:$D$1604,$I18,入力_業務!$I$5:$I$1604,"確認済",入力_業務!$P$5:$P$1604,"&lt;="&amp;締月)</f>
        <v>0</v>
      </c>
      <c r="N18" s="353">
        <f>SUMIFS(入力_業務!$M$5:$M$1604,入力_業務!$D$5:$D$1604,$I18,入力_業務!$I$5:$I$1604,"確認済",入力_業務!$P$5:$P$1604,"&lt;="&amp;締月)</f>
        <v>0</v>
      </c>
    </row>
    <row r="19">
      <c r="B19" s="343" t="inlineStr">
        <is>
          <t>諸謝金</t>
        </is>
      </c>
      <c r="C19" s="353">
        <f>SUMIFS(入力_業務!$G$5:$G$1604,入力_業務!$D$5:$D$1604,$B19,入力_業務!$I$5:$I$1604,"確認済",入力_業務!$P$5:$P$1604,$D$4)</f>
        <v>0</v>
      </c>
      <c r="D19" s="353">
        <f>SUMIFS(入力_業務!$J$5:$J$1604,入力_業務!$D$5:$D$1604,$B19,入力_業務!$I$5:$I$1604,"確認済",入力_業務!$P$5:$P$1604,$D$4)</f>
        <v>0</v>
      </c>
      <c r="E19" s="353">
        <f>SUMIFS(入力_業務!$K$5:$K$1604,入力_業務!$D$5:$D$1604,$B19,入力_業務!$I$5:$I$1604,"確認済",入力_業務!$P$5:$P$1604,$D$4)</f>
        <v>0</v>
      </c>
      <c r="F19" s="353">
        <f>SUMIFS(入力_業務!$L$5:$L$1604,入力_業務!$D$5:$D$1604,$B19,入力_業務!$I$5:$I$1604,"確認済",入力_業務!$P$5:$P$1604,$D$4)</f>
        <v>0</v>
      </c>
      <c r="G19" s="353">
        <f>SUMIFS(入力_業務!$M$5:$M$1604,入力_業務!$D$5:$D$1604,$B19,入力_業務!$I$5:$I$1604,"確認済",入力_業務!$P$5:$P$1604,$D$4)</f>
        <v>0</v>
      </c>
      <c r="I19" s="343" t="inlineStr">
        <is>
          <t>諸謝金</t>
        </is>
      </c>
      <c r="J19" s="353">
        <f>SUMIFS(入力_業務!$G$5:$G$1604,入力_業務!$D$5:$D$1604,$I19,入力_業務!$I$5:$I$1604,"確認済",入力_業務!$P$5:$P$1604,"&lt;="&amp;締月)</f>
        <v>0</v>
      </c>
      <c r="K19" s="353">
        <f>SUMIFS(入力_業務!$J$5:$J$1604,入力_業務!$D$5:$D$1604,$I19,入力_業務!$I$5:$I$1604,"確認済",入力_業務!$P$5:$P$1604,"&lt;="&amp;締月)</f>
        <v>0</v>
      </c>
      <c r="L19" s="353">
        <f>SUMIFS(入力_業務!$K$5:$K$1604,入力_業務!$D$5:$D$1604,$I19,入力_業務!$I$5:$I$1604,"確認済",入力_業務!$P$5:$P$1604,"&lt;="&amp;締月)</f>
        <v>0</v>
      </c>
      <c r="M19" s="353">
        <f>SUMIFS(入力_業務!$L$5:$L$1604,入力_業務!$D$5:$D$1604,$I19,入力_業務!$I$5:$I$1604,"確認済",入力_業務!$P$5:$P$1604,"&lt;="&amp;締月)</f>
        <v>0</v>
      </c>
      <c r="N19" s="353">
        <f>SUMIFS(入力_業務!$M$5:$M$1604,入力_業務!$D$5:$D$1604,$I19,入力_業務!$I$5:$I$1604,"確認済",入力_業務!$P$5:$P$1604,"&lt;="&amp;締月)</f>
        <v>0</v>
      </c>
    </row>
    <row r="20">
      <c r="B20" s="343" t="inlineStr">
        <is>
          <t>負担金</t>
        </is>
      </c>
      <c r="C20" s="353">
        <f>SUMIFS(入力_業務!$G$5:$G$1604,入力_業務!$D$5:$D$1604,$B20,入力_業務!$I$5:$I$1604,"確認済",入力_業務!$P$5:$P$1604,$D$4)</f>
        <v>159298</v>
      </c>
      <c r="D20" s="353">
        <f>SUMIFS(入力_業務!$J$5:$J$1604,入力_業務!$D$5:$D$1604,$B20,入力_業務!$I$5:$I$1604,"確認済",入力_業務!$P$5:$P$1604,$D$4)</f>
        <v>100769</v>
      </c>
      <c r="E20" s="353">
        <f>SUMIFS(入力_業務!$K$5:$K$1604,入力_業務!$D$5:$D$1604,$B20,入力_業務!$I$5:$I$1604,"確認済",入力_業務!$P$5:$P$1604,$D$4)</f>
        <v>48773</v>
      </c>
      <c r="F20" s="353">
        <f>SUMIFS(入力_業務!$L$5:$L$1604,入力_業務!$D$5:$D$1604,$B20,入力_業務!$I$5:$I$1604,"確認済",入力_業務!$P$5:$P$1604,$D$4)</f>
        <v>4878</v>
      </c>
      <c r="G20" s="353">
        <f>SUMIFS(入力_業務!$M$5:$M$1604,入力_業務!$D$5:$D$1604,$B20,入力_業務!$I$5:$I$1604,"確認済",入力_業務!$P$5:$P$1604,$D$4)</f>
        <v>4878</v>
      </c>
      <c r="I20" s="343" t="inlineStr">
        <is>
          <t>負担金</t>
        </is>
      </c>
      <c r="J20" s="353">
        <f>SUMIFS(入力_業務!$G$5:$G$1604,入力_業務!$D$5:$D$1604,$I20,入力_業務!$I$5:$I$1604,"確認済",入力_業務!$P$5:$P$1604,"&lt;="&amp;締月)</f>
        <v>1239801</v>
      </c>
      <c r="K20" s="353">
        <f>SUMIFS(入力_業務!$J$5:$J$1604,入力_業務!$D$5:$D$1604,$I20,入力_業務!$I$5:$I$1604,"確認済",入力_業務!$P$5:$P$1604,"&lt;="&amp;締月)</f>
        <v>717157</v>
      </c>
      <c r="L20" s="353">
        <f>SUMIFS(入力_業務!$K$5:$K$1604,入力_業務!$D$5:$D$1604,$I20,入力_業務!$I$5:$I$1604,"確認済",入力_業務!$P$5:$P$1604,"&lt;="&amp;締月)</f>
        <v>435536</v>
      </c>
      <c r="M20" s="353">
        <f>SUMIFS(入力_業務!$L$5:$L$1604,入力_業務!$D$5:$D$1604,$I20,入力_業務!$I$5:$I$1604,"確認済",入力_業務!$P$5:$P$1604,"&lt;="&amp;締月)</f>
        <v>43554</v>
      </c>
      <c r="N20" s="353">
        <f>SUMIFS(入力_業務!$M$5:$M$1604,入力_業務!$D$5:$D$1604,$I20,入力_業務!$I$5:$I$1604,"確認済",入力_業務!$P$5:$P$1604,"&lt;="&amp;締月)</f>
        <v>43554</v>
      </c>
    </row>
    <row r="21">
      <c r="B21" s="343" t="inlineStr">
        <is>
          <t>仮払消費税</t>
        </is>
      </c>
      <c r="C21" s="353">
        <f>SUMIFS(入力_業務!$G$5:$G$1604,入力_業務!$D$5:$D$1604,$B21,入力_業務!$I$5:$I$1604,"確認済",入力_業務!$P$5:$P$1604,$D$4)</f>
        <v>0</v>
      </c>
      <c r="D21" s="353">
        <f>SUMIFS(入力_業務!$J$5:$J$1604,入力_業務!$D$5:$D$1604,$B21,入力_業務!$I$5:$I$1604,"確認済",入力_業務!$P$5:$P$1604,$D$4)</f>
        <v>0</v>
      </c>
      <c r="E21" s="353">
        <f>SUMIFS(入力_業務!$K$5:$K$1604,入力_業務!$D$5:$D$1604,$B21,入力_業務!$I$5:$I$1604,"確認済",入力_業務!$P$5:$P$1604,$D$4)</f>
        <v>0</v>
      </c>
      <c r="F21" s="353">
        <f>SUMIFS(入力_業務!$L$5:$L$1604,入力_業務!$D$5:$D$1604,$B21,入力_業務!$I$5:$I$1604,"確認済",入力_業務!$P$5:$P$1604,$D$4)</f>
        <v>0</v>
      </c>
      <c r="G21" s="353">
        <f>SUMIFS(入力_業務!$M$5:$M$1604,入力_業務!$D$5:$D$1604,$B21,入力_業務!$I$5:$I$1604,"確認済",入力_業務!$P$5:$P$1604,$D$4)</f>
        <v>0</v>
      </c>
      <c r="I21" s="343" t="inlineStr">
        <is>
          <t>仮払消費税</t>
        </is>
      </c>
      <c r="J21" s="353">
        <f>SUMIFS(入力_業務!$G$5:$G$1604,入力_業務!$D$5:$D$1604,$I21,入力_業務!$I$5:$I$1604,"確認済",入力_業務!$P$5:$P$1604,"&lt;="&amp;締月)</f>
        <v>0</v>
      </c>
      <c r="K21" s="353">
        <f>SUMIFS(入力_業務!$J$5:$J$1604,入力_業務!$D$5:$D$1604,$I21,入力_業務!$I$5:$I$1604,"確認済",入力_業務!$P$5:$P$1604,"&lt;="&amp;締月)</f>
        <v>0</v>
      </c>
      <c r="L21" s="353">
        <f>SUMIFS(入力_業務!$K$5:$K$1604,入力_業務!$D$5:$D$1604,$I21,入力_業務!$I$5:$I$1604,"確認済",入力_業務!$P$5:$P$1604,"&lt;="&amp;締月)</f>
        <v>0</v>
      </c>
      <c r="M21" s="353">
        <f>SUMIFS(入力_業務!$L$5:$L$1604,入力_業務!$D$5:$D$1604,$I21,入力_業務!$I$5:$I$1604,"確認済",入力_業務!$P$5:$P$1604,"&lt;="&amp;締月)</f>
        <v>0</v>
      </c>
      <c r="N21" s="353">
        <f>SUMIFS(入力_業務!$M$5:$M$1604,入力_業務!$D$5:$D$1604,$I21,入力_業務!$I$5:$I$1604,"確認済",入力_業務!$P$5:$P$1604,"&lt;="&amp;締月)</f>
        <v>0</v>
      </c>
    </row>
    <row r="22">
      <c r="B22" s="343" t="inlineStr">
        <is>
          <t>交際費</t>
        </is>
      </c>
      <c r="C22" s="353">
        <f>SUMIFS(入力_業務!$G$5:$G$1604,入力_業務!$D$5:$D$1604,$B22,入力_業務!$I$5:$I$1604,"確認済",入力_業務!$P$5:$P$1604,$D$4)</f>
        <v>0</v>
      </c>
      <c r="D22" s="353">
        <f>SUMIFS(入力_業務!$J$5:$J$1604,入力_業務!$D$5:$D$1604,$B22,入力_業務!$I$5:$I$1604,"確認済",入力_業務!$P$5:$P$1604,$D$4)</f>
        <v>0</v>
      </c>
      <c r="E22" s="353">
        <f>SUMIFS(入力_業務!$K$5:$K$1604,入力_業務!$D$5:$D$1604,$B22,入力_業務!$I$5:$I$1604,"確認済",入力_業務!$P$5:$P$1604,$D$4)</f>
        <v>0</v>
      </c>
      <c r="F22" s="353">
        <f>SUMIFS(入力_業務!$L$5:$L$1604,入力_業務!$D$5:$D$1604,$B22,入力_業務!$I$5:$I$1604,"確認済",入力_業務!$P$5:$P$1604,$D$4)</f>
        <v>0</v>
      </c>
      <c r="G22" s="353">
        <f>SUMIFS(入力_業務!$M$5:$M$1604,入力_業務!$D$5:$D$1604,$B22,入力_業務!$I$5:$I$1604,"確認済",入力_業務!$P$5:$P$1604,$D$4)</f>
        <v>0</v>
      </c>
      <c r="I22" s="343" t="inlineStr">
        <is>
          <t>交際費</t>
        </is>
      </c>
      <c r="J22" s="353">
        <f>SUMIFS(入力_業務!$G$5:$G$1604,入力_業務!$D$5:$D$1604,$I22,入力_業務!$I$5:$I$1604,"確認済",入力_業務!$P$5:$P$1604,"&lt;="&amp;締月)</f>
        <v>0</v>
      </c>
      <c r="K22" s="353">
        <f>SUMIFS(入力_業務!$J$5:$J$1604,入力_業務!$D$5:$D$1604,$I22,入力_業務!$I$5:$I$1604,"確認済",入力_業務!$P$5:$P$1604,"&lt;="&amp;締月)</f>
        <v>0</v>
      </c>
      <c r="L22" s="353">
        <f>SUMIFS(入力_業務!$K$5:$K$1604,入力_業務!$D$5:$D$1604,$I22,入力_業務!$I$5:$I$1604,"確認済",入力_業務!$P$5:$P$1604,"&lt;="&amp;締月)</f>
        <v>0</v>
      </c>
      <c r="M22" s="353">
        <f>SUMIFS(入力_業務!$L$5:$L$1604,入力_業務!$D$5:$D$1604,$I22,入力_業務!$I$5:$I$1604,"確認済",入力_業務!$P$5:$P$1604,"&lt;="&amp;締月)</f>
        <v>0</v>
      </c>
      <c r="N22" s="353">
        <f>SUMIFS(入力_業務!$M$5:$M$1604,入力_業務!$D$5:$D$1604,$I22,入力_業務!$I$5:$I$1604,"確認済",入力_業務!$P$5:$P$1604,"&lt;="&amp;締月)</f>
        <v>0</v>
      </c>
    </row>
    <row r="23">
      <c r="B23" s="343" t="inlineStr">
        <is>
          <t>選挙費</t>
        </is>
      </c>
      <c r="C23" s="353">
        <f>SUMIFS(入力_業務!$G$5:$G$1604,入力_業務!$D$5:$D$1604,$B23,入力_業務!$I$5:$I$1604,"確認済",入力_業務!$P$5:$P$1604,$D$4)</f>
        <v>0</v>
      </c>
      <c r="D23" s="353">
        <f>SUMIFS(入力_業務!$J$5:$J$1604,入力_業務!$D$5:$D$1604,$B23,入力_業務!$I$5:$I$1604,"確認済",入力_業務!$P$5:$P$1604,$D$4)</f>
        <v>0</v>
      </c>
      <c r="E23" s="353">
        <f>SUMIFS(入力_業務!$K$5:$K$1604,入力_業務!$D$5:$D$1604,$B23,入力_業務!$I$5:$I$1604,"確認済",入力_業務!$P$5:$P$1604,$D$4)</f>
        <v>0</v>
      </c>
      <c r="F23" s="353">
        <f>SUMIFS(入力_業務!$L$5:$L$1604,入力_業務!$D$5:$D$1604,$B23,入力_業務!$I$5:$I$1604,"確認済",入力_業務!$P$5:$P$1604,$D$4)</f>
        <v>0</v>
      </c>
      <c r="G23" s="353">
        <f>SUMIFS(入力_業務!$M$5:$M$1604,入力_業務!$D$5:$D$1604,$B23,入力_業務!$I$5:$I$1604,"確認済",入力_業務!$P$5:$P$1604,$D$4)</f>
        <v>0</v>
      </c>
      <c r="I23" s="343" t="inlineStr">
        <is>
          <t>選挙費</t>
        </is>
      </c>
      <c r="J23" s="353">
        <f>SUMIFS(入力_業務!$G$5:$G$1604,入力_業務!$D$5:$D$1604,$I23,入力_業務!$I$5:$I$1604,"確認済",入力_業務!$P$5:$P$1604,"&lt;="&amp;締月)</f>
        <v>0</v>
      </c>
      <c r="K23" s="353">
        <f>SUMIFS(入力_業務!$J$5:$J$1604,入力_業務!$D$5:$D$1604,$I23,入力_業務!$I$5:$I$1604,"確認済",入力_業務!$P$5:$P$1604,"&lt;="&amp;締月)</f>
        <v>0</v>
      </c>
      <c r="L23" s="353">
        <f>SUMIFS(入力_業務!$K$5:$K$1604,入力_業務!$D$5:$D$1604,$I23,入力_業務!$I$5:$I$1604,"確認済",入力_業務!$P$5:$P$1604,"&lt;="&amp;締月)</f>
        <v>0</v>
      </c>
      <c r="M23" s="353">
        <f>SUMIFS(入力_業務!$L$5:$L$1604,入力_業務!$D$5:$D$1604,$I23,入力_業務!$I$5:$I$1604,"確認済",入力_業務!$P$5:$P$1604,"&lt;="&amp;締月)</f>
        <v>0</v>
      </c>
      <c r="N23" s="353">
        <f>SUMIFS(入力_業務!$M$5:$M$1604,入力_業務!$D$5:$D$1604,$I23,入力_業務!$I$5:$I$1604,"確認済",入力_業務!$P$5:$P$1604,"&lt;="&amp;締月)</f>
        <v>0</v>
      </c>
    </row>
    <row r="24">
      <c r="B24" s="343" t="inlineStr">
        <is>
          <t>事務費負担金払込金</t>
        </is>
      </c>
      <c r="C24" s="353">
        <f>SUMIFS(入力_業務!$G$5:$G$1604,入力_業務!$D$5:$D$1604,$B24,入力_業務!$I$5:$I$1604,"確認済",入力_業務!$P$5:$P$1604,$D$4)</f>
        <v>5366000</v>
      </c>
      <c r="D24" s="353">
        <f>SUMIFS(入力_業務!$J$5:$J$1604,入力_業務!$D$5:$D$1604,$B24,入力_業務!$I$5:$I$1604,"確認済",入力_業務!$P$5:$P$1604,$D$4)</f>
        <v>0</v>
      </c>
      <c r="E24" s="353">
        <f>SUMIFS(入力_業務!$K$5:$K$1604,入力_業務!$D$5:$D$1604,$B24,入力_業務!$I$5:$I$1604,"確認済",入力_業務!$P$5:$P$1604,$D$4)</f>
        <v>4878182</v>
      </c>
      <c r="F24" s="353">
        <f>SUMIFS(入力_業務!$L$5:$L$1604,入力_業務!$D$5:$D$1604,$B24,入力_業務!$I$5:$I$1604,"確認済",入力_業務!$P$5:$P$1604,$D$4)</f>
        <v>487818</v>
      </c>
      <c r="G24" s="353">
        <f>SUMIFS(入力_業務!$M$5:$M$1604,入力_業務!$D$5:$D$1604,$B24,入力_業務!$I$5:$I$1604,"確認済",入力_業務!$P$5:$P$1604,$D$4)</f>
        <v>0</v>
      </c>
      <c r="I24" s="343" t="inlineStr">
        <is>
          <t>事務費負担金払込金</t>
        </is>
      </c>
      <c r="J24" s="353">
        <f>SUMIFS(入力_業務!$G$5:$G$1604,入力_業務!$D$5:$D$1604,$I24,入力_業務!$I$5:$I$1604,"確認済",入力_業務!$P$5:$P$1604,"&lt;="&amp;締月)</f>
        <v>26830000</v>
      </c>
      <c r="K24" s="353">
        <f>SUMIFS(入力_業務!$J$5:$J$1604,入力_業務!$D$5:$D$1604,$I24,入力_業務!$I$5:$I$1604,"確認済",入力_業務!$P$5:$P$1604,"&lt;="&amp;締月)</f>
        <v>0</v>
      </c>
      <c r="L24" s="353">
        <f>SUMIFS(入力_業務!$K$5:$K$1604,入力_業務!$D$5:$D$1604,$I24,入力_業務!$I$5:$I$1604,"確認済",入力_業務!$P$5:$P$1604,"&lt;="&amp;締月)</f>
        <v>24390910</v>
      </c>
      <c r="M24" s="353">
        <f>SUMIFS(入力_業務!$L$5:$L$1604,入力_業務!$D$5:$D$1604,$I24,入力_業務!$I$5:$I$1604,"確認済",入力_業務!$P$5:$P$1604,"&lt;="&amp;締月)</f>
        <v>2439090</v>
      </c>
      <c r="N24" s="353">
        <f>SUMIFS(入力_業務!$M$5:$M$1604,入力_業務!$D$5:$D$1604,$I24,入力_業務!$I$5:$I$1604,"確認済",入力_業務!$P$5:$P$1604,"&lt;="&amp;締月)</f>
        <v>0</v>
      </c>
    </row>
    <row r="25">
      <c r="B25" s="343" t="inlineStr">
        <is>
          <t>雑費</t>
        </is>
      </c>
      <c r="C25" s="353">
        <f>SUMIFS(入力_業務!$G$5:$G$1604,入力_業務!$D$5:$D$1604,$B25,入力_業務!$I$5:$I$1604,"確認済",入力_業務!$P$5:$P$1604,$D$4)</f>
        <v>0</v>
      </c>
      <c r="D25" s="353">
        <f>SUMIFS(入力_業務!$J$5:$J$1604,入力_業務!$D$5:$D$1604,$B25,入力_業務!$I$5:$I$1604,"確認済",入力_業務!$P$5:$P$1604,$D$4)</f>
        <v>0</v>
      </c>
      <c r="E25" s="353">
        <f>SUMIFS(入力_業務!$K$5:$K$1604,入力_業務!$D$5:$D$1604,$B25,入力_業務!$I$5:$I$1604,"確認済",入力_業務!$P$5:$P$1604,$D$4)</f>
        <v>0</v>
      </c>
      <c r="F25" s="353">
        <f>SUMIFS(入力_業務!$L$5:$L$1604,入力_業務!$D$5:$D$1604,$B25,入力_業務!$I$5:$I$1604,"確認済",入力_業務!$P$5:$P$1604,$D$4)</f>
        <v>0</v>
      </c>
      <c r="G25" s="353">
        <f>SUMIFS(入力_業務!$M$5:$M$1604,入力_業務!$D$5:$D$1604,$B25,入力_業務!$I$5:$I$1604,"確認済",入力_業務!$P$5:$P$1604,$D$4)</f>
        <v>0</v>
      </c>
      <c r="I25" s="343" t="inlineStr">
        <is>
          <t>雑費</t>
        </is>
      </c>
      <c r="J25" s="353">
        <f>SUMIFS(入力_業務!$G$5:$G$1604,入力_業務!$D$5:$D$1604,$I25,入力_業務!$I$5:$I$1604,"確認済",入力_業務!$P$5:$P$1604,"&lt;="&amp;締月)</f>
        <v>0</v>
      </c>
      <c r="K25" s="353">
        <f>SUMIFS(入力_業務!$J$5:$J$1604,入力_業務!$D$5:$D$1604,$I25,入力_業務!$I$5:$I$1604,"確認済",入力_業務!$P$5:$P$1604,"&lt;="&amp;締月)</f>
        <v>0</v>
      </c>
      <c r="L25" s="353">
        <f>SUMIFS(入力_業務!$K$5:$K$1604,入力_業務!$D$5:$D$1604,$I25,入力_業務!$I$5:$I$1604,"確認済",入力_業務!$P$5:$P$1604,"&lt;="&amp;締月)</f>
        <v>0</v>
      </c>
      <c r="M25" s="353">
        <f>SUMIFS(入力_業務!$L$5:$L$1604,入力_業務!$D$5:$D$1604,$I25,入力_業務!$I$5:$I$1604,"確認済",入力_業務!$P$5:$P$1604,"&lt;="&amp;締月)</f>
        <v>0</v>
      </c>
      <c r="N25" s="353">
        <f>SUMIFS(入力_業務!$M$5:$M$1604,入力_業務!$D$5:$D$1604,$I25,入力_業務!$I$5:$I$1604,"確認済",入力_業務!$P$5:$P$1604,"&lt;="&amp;締月)</f>
        <v>0</v>
      </c>
    </row>
    <row r="26">
      <c r="B26" s="343" t="inlineStr">
        <is>
          <t>減価償却費</t>
        </is>
      </c>
      <c r="C26" s="353">
        <f>SUMIFS(入力_業務!$G$5:$G$1604,入力_業務!$D$5:$D$1604,$B26,入力_業務!$I$5:$I$1604,"確認済",入力_業務!$P$5:$P$1604,$D$4)</f>
        <v>0</v>
      </c>
      <c r="D26" s="353">
        <f>SUMIFS(入力_業務!$J$5:$J$1604,入力_業務!$D$5:$D$1604,$B26,入力_業務!$I$5:$I$1604,"確認済",入力_業務!$P$5:$P$1604,$D$4)</f>
        <v>0</v>
      </c>
      <c r="E26" s="353">
        <f>SUMIFS(入力_業務!$K$5:$K$1604,入力_業務!$D$5:$D$1604,$B26,入力_業務!$I$5:$I$1604,"確認済",入力_業務!$P$5:$P$1604,$D$4)</f>
        <v>0</v>
      </c>
      <c r="F26" s="353">
        <f>SUMIFS(入力_業務!$L$5:$L$1604,入力_業務!$D$5:$D$1604,$B26,入力_業務!$I$5:$I$1604,"確認済",入力_業務!$P$5:$P$1604,$D$4)</f>
        <v>0</v>
      </c>
      <c r="G26" s="353">
        <f>SUMIFS(入力_業務!$M$5:$M$1604,入力_業務!$D$5:$D$1604,$B26,入力_業務!$I$5:$I$1604,"確認済",入力_業務!$P$5:$P$1604,$D$4)</f>
        <v>0</v>
      </c>
      <c r="I26" s="343" t="inlineStr">
        <is>
          <t>減価償却費</t>
        </is>
      </c>
      <c r="J26" s="353">
        <f>SUMIFS(入力_業務!$G$5:$G$1604,入力_業務!$D$5:$D$1604,$I26,入力_業務!$I$5:$I$1604,"確認済",入力_業務!$P$5:$P$1604,"&lt;="&amp;締月)</f>
        <v>0</v>
      </c>
      <c r="K26" s="353">
        <f>SUMIFS(入力_業務!$J$5:$J$1604,入力_業務!$D$5:$D$1604,$I26,入力_業務!$I$5:$I$1604,"確認済",入力_業務!$P$5:$P$1604,"&lt;="&amp;締月)</f>
        <v>0</v>
      </c>
      <c r="L26" s="353">
        <f>SUMIFS(入力_業務!$K$5:$K$1604,入力_業務!$D$5:$D$1604,$I26,入力_業務!$I$5:$I$1604,"確認済",入力_業務!$P$5:$P$1604,"&lt;="&amp;締月)</f>
        <v>0</v>
      </c>
      <c r="M26" s="353">
        <f>SUMIFS(入力_業務!$L$5:$L$1604,入力_業務!$D$5:$D$1604,$I26,入力_業務!$I$5:$I$1604,"確認済",入力_業務!$P$5:$P$1604,"&lt;="&amp;締月)</f>
        <v>0</v>
      </c>
      <c r="N26" s="353">
        <f>SUMIFS(入力_業務!$M$5:$M$1604,入力_業務!$D$5:$D$1604,$I26,入力_業務!$I$5:$I$1604,"確認済",入力_業務!$P$5:$P$1604,"&lt;="&amp;締月)</f>
        <v>0</v>
      </c>
    </row>
    <row r="27">
      <c r="B27" s="343" t="inlineStr">
        <is>
          <t>連合会分担金</t>
        </is>
      </c>
      <c r="C27" s="353">
        <f>SUMIFS(入力_業務!$G$5:$G$1604,入力_業務!$D$5:$D$1604,$B27,入力_業務!$I$5:$I$1604,"確認済",入力_業務!$P$5:$P$1604,$D$4)</f>
        <v>20439958</v>
      </c>
      <c r="D27" s="353">
        <f>SUMIFS(入力_業務!$J$5:$J$1604,入力_業務!$D$5:$D$1604,$B27,入力_業務!$I$5:$I$1604,"確認済",入力_業務!$P$5:$P$1604,$D$4)</f>
        <v>20439958</v>
      </c>
      <c r="E27" s="353">
        <f>SUMIFS(入力_業務!$K$5:$K$1604,入力_業務!$D$5:$D$1604,$B27,入力_業務!$I$5:$I$1604,"確認済",入力_業務!$P$5:$P$1604,$D$4)</f>
        <v>0</v>
      </c>
      <c r="F27" s="353">
        <f>SUMIFS(入力_業務!$L$5:$L$1604,入力_業務!$D$5:$D$1604,$B27,入力_業務!$I$5:$I$1604,"確認済",入力_業務!$P$5:$P$1604,$D$4)</f>
        <v>0</v>
      </c>
      <c r="G27" s="353">
        <f>SUMIFS(入力_業務!$M$5:$M$1604,入力_業務!$D$5:$D$1604,$B27,入力_業務!$I$5:$I$1604,"確認済",入力_業務!$P$5:$P$1604,$D$4)</f>
        <v>0</v>
      </c>
      <c r="I27" s="343" t="inlineStr">
        <is>
          <t>連合会分担金</t>
        </is>
      </c>
      <c r="J27" s="353">
        <f>SUMIFS(入力_業務!$G$5:$G$1604,入力_業務!$D$5:$D$1604,$I27,入力_業務!$I$5:$I$1604,"確認済",入力_業務!$P$5:$P$1604,"&lt;="&amp;締月)</f>
        <v>20439958</v>
      </c>
      <c r="K27" s="353">
        <f>SUMIFS(入力_業務!$J$5:$J$1604,入力_業務!$D$5:$D$1604,$I27,入力_業務!$I$5:$I$1604,"確認済",入力_業務!$P$5:$P$1604,"&lt;="&amp;締月)</f>
        <v>20439958</v>
      </c>
      <c r="L27" s="353">
        <f>SUMIFS(入力_業務!$K$5:$K$1604,入力_業務!$D$5:$D$1604,$I27,入力_業務!$I$5:$I$1604,"確認済",入力_業務!$P$5:$P$1604,"&lt;="&amp;締月)</f>
        <v>0</v>
      </c>
      <c r="M27" s="353">
        <f>SUMIFS(入力_業務!$L$5:$L$1604,入力_業務!$D$5:$D$1604,$I27,入力_業務!$I$5:$I$1604,"確認済",入力_業務!$P$5:$P$1604,"&lt;="&amp;締月)</f>
        <v>0</v>
      </c>
      <c r="N27" s="353">
        <f>SUMIFS(入力_業務!$M$5:$M$1604,入力_業務!$D$5:$D$1604,$I27,入力_業務!$I$5:$I$1604,"確認済",入力_業務!$P$5:$P$1604,"&lt;="&amp;締月)</f>
        <v>0</v>
      </c>
    </row>
    <row r="28">
      <c r="B28" s="343" t="inlineStr">
        <is>
          <t>支払利息</t>
        </is>
      </c>
      <c r="C28" s="353">
        <f>SUMIFS(入力_業務!$G$5:$G$1604,入力_業務!$D$5:$D$1604,$B28,入力_業務!$I$5:$I$1604,"確認済",入力_業務!$P$5:$P$1604,$D$4)</f>
        <v>0</v>
      </c>
      <c r="D28" s="353">
        <f>SUMIFS(入力_業務!$J$5:$J$1604,入力_業務!$D$5:$D$1604,$B28,入力_業務!$I$5:$I$1604,"確認済",入力_業務!$P$5:$P$1604,$D$4)</f>
        <v>0</v>
      </c>
      <c r="E28" s="353">
        <f>SUMIFS(入力_業務!$K$5:$K$1604,入力_業務!$D$5:$D$1604,$B28,入力_業務!$I$5:$I$1604,"確認済",入力_業務!$P$5:$P$1604,$D$4)</f>
        <v>0</v>
      </c>
      <c r="F28" s="353">
        <f>SUMIFS(入力_業務!$L$5:$L$1604,入力_業務!$D$5:$D$1604,$B28,入力_業務!$I$5:$I$1604,"確認済",入力_業務!$P$5:$P$1604,$D$4)</f>
        <v>0</v>
      </c>
      <c r="G28" s="353">
        <f>SUMIFS(入力_業務!$M$5:$M$1604,入力_業務!$D$5:$D$1604,$B28,入力_業務!$I$5:$I$1604,"確認済",入力_業務!$P$5:$P$1604,$D$4)</f>
        <v>0</v>
      </c>
      <c r="I28" s="343" t="inlineStr">
        <is>
          <t>支払利息</t>
        </is>
      </c>
      <c r="J28" s="353">
        <f>SUMIFS(入力_業務!$G$5:$G$1604,入力_業務!$D$5:$D$1604,$I28,入力_業務!$I$5:$I$1604,"確認済",入力_業務!$P$5:$P$1604,"&lt;="&amp;締月)</f>
        <v>0</v>
      </c>
      <c r="K28" s="353">
        <f>SUMIFS(入力_業務!$J$5:$J$1604,入力_業務!$D$5:$D$1604,$I28,入力_業務!$I$5:$I$1604,"確認済",入力_業務!$P$5:$P$1604,"&lt;="&amp;締月)</f>
        <v>0</v>
      </c>
      <c r="L28" s="353">
        <f>SUMIFS(入力_業務!$K$5:$K$1604,入力_業務!$D$5:$D$1604,$I28,入力_業務!$I$5:$I$1604,"確認済",入力_業務!$P$5:$P$1604,"&lt;="&amp;締月)</f>
        <v>0</v>
      </c>
      <c r="M28" s="353">
        <f>SUMIFS(入力_業務!$L$5:$L$1604,入力_業務!$D$5:$D$1604,$I28,入力_業務!$I$5:$I$1604,"確認済",入力_業務!$P$5:$P$1604,"&lt;="&amp;締月)</f>
        <v>0</v>
      </c>
      <c r="N28" s="353">
        <f>SUMIFS(入力_業務!$M$5:$M$1604,入力_業務!$D$5:$D$1604,$I28,入力_業務!$I$5:$I$1604,"確認済",入力_業務!$P$5:$P$1604,"&lt;="&amp;締月)</f>
        <v>0</v>
      </c>
    </row>
    <row r="29">
      <c r="B29" s="343" t="inlineStr">
        <is>
          <t>雑損</t>
        </is>
      </c>
      <c r="C29" s="353">
        <f>SUMIFS(入力_業務!$G$5:$G$1604,入力_業務!$D$5:$D$1604,$B29,入力_業務!$I$5:$I$1604,"確認済",入力_業務!$P$5:$P$1604,$D$4)</f>
        <v>0</v>
      </c>
      <c r="D29" s="353">
        <f>SUMIFS(入力_業務!$J$5:$J$1604,入力_業務!$D$5:$D$1604,$B29,入力_業務!$I$5:$I$1604,"確認済",入力_業務!$P$5:$P$1604,$D$4)</f>
        <v>0</v>
      </c>
      <c r="E29" s="353">
        <f>SUMIFS(入力_業務!$K$5:$K$1604,入力_業務!$D$5:$D$1604,$B29,入力_業務!$I$5:$I$1604,"確認済",入力_業務!$P$5:$P$1604,$D$4)</f>
        <v>0</v>
      </c>
      <c r="F29" s="353">
        <f>SUMIFS(入力_業務!$L$5:$L$1604,入力_業務!$D$5:$D$1604,$B29,入力_業務!$I$5:$I$1604,"確認済",入力_業務!$P$5:$P$1604,$D$4)</f>
        <v>0</v>
      </c>
      <c r="G29" s="353">
        <f>SUMIFS(入力_業務!$M$5:$M$1604,入力_業務!$D$5:$D$1604,$B29,入力_業務!$I$5:$I$1604,"確認済",入力_業務!$P$5:$P$1604,$D$4)</f>
        <v>0</v>
      </c>
      <c r="I29" s="343" t="inlineStr">
        <is>
          <t>雑損</t>
        </is>
      </c>
      <c r="J29" s="353">
        <f>SUMIFS(入力_業務!$G$5:$G$1604,入力_業務!$D$5:$D$1604,$I29,入力_業務!$I$5:$I$1604,"確認済",入力_業務!$P$5:$P$1604,"&lt;="&amp;締月)</f>
        <v>0</v>
      </c>
      <c r="K29" s="353">
        <f>SUMIFS(入力_業務!$J$5:$J$1604,入力_業務!$D$5:$D$1604,$I29,入力_業務!$I$5:$I$1604,"確認済",入力_業務!$P$5:$P$1604,"&lt;="&amp;締月)</f>
        <v>0</v>
      </c>
      <c r="L29" s="353">
        <f>SUMIFS(入力_業務!$K$5:$K$1604,入力_業務!$D$5:$D$1604,$I29,入力_業務!$I$5:$I$1604,"確認済",入力_業務!$P$5:$P$1604,"&lt;="&amp;締月)</f>
        <v>0</v>
      </c>
      <c r="M29" s="353">
        <f>SUMIFS(入力_業務!$L$5:$L$1604,入力_業務!$D$5:$D$1604,$I29,入力_業務!$I$5:$I$1604,"確認済",入力_業務!$P$5:$P$1604,"&lt;="&amp;締月)</f>
        <v>0</v>
      </c>
      <c r="N29" s="353">
        <f>SUMIFS(入力_業務!$M$5:$M$1604,入力_業務!$D$5:$D$1604,$I29,入力_業務!$I$5:$I$1604,"確認済",入力_業務!$P$5:$P$1604,"&lt;="&amp;締月)</f>
        <v>0</v>
      </c>
    </row>
    <row r="30">
      <c r="B30" s="343" t="inlineStr">
        <is>
          <t>特別修繕引当金繰入</t>
        </is>
      </c>
      <c r="C30" s="353">
        <f>SUMIFS(入力_業務!$G$5:$G$1604,入力_業務!$D$5:$D$1604,$B30,入力_業務!$I$5:$I$1604,"確認済",入力_業務!$P$5:$P$1604,$D$4)</f>
        <v>0</v>
      </c>
      <c r="D30" s="353">
        <f>SUMIFS(入力_業務!$J$5:$J$1604,入力_業務!$D$5:$D$1604,$B30,入力_業務!$I$5:$I$1604,"確認済",入力_業務!$P$5:$P$1604,$D$4)</f>
        <v>0</v>
      </c>
      <c r="E30" s="353">
        <f>SUMIFS(入力_業務!$K$5:$K$1604,入力_業務!$D$5:$D$1604,$B30,入力_業務!$I$5:$I$1604,"確認済",入力_業務!$P$5:$P$1604,$D$4)</f>
        <v>0</v>
      </c>
      <c r="F30" s="353">
        <f>SUMIFS(入力_業務!$L$5:$L$1604,入力_業務!$D$5:$D$1604,$B30,入力_業務!$I$5:$I$1604,"確認済",入力_業務!$P$5:$P$1604,$D$4)</f>
        <v>0</v>
      </c>
      <c r="G30" s="353">
        <f>SUMIFS(入力_業務!$M$5:$M$1604,入力_業務!$D$5:$D$1604,$B30,入力_業務!$I$5:$I$1604,"確認済",入力_業務!$P$5:$P$1604,$D$4)</f>
        <v>0</v>
      </c>
      <c r="I30" s="343" t="inlineStr">
        <is>
          <t>特別修繕引当金繰入</t>
        </is>
      </c>
      <c r="J30" s="353">
        <f>SUMIFS(入力_業務!$G$5:$G$1604,入力_業務!$D$5:$D$1604,$I30,入力_業務!$I$5:$I$1604,"確認済",入力_業務!$P$5:$P$1604,"&lt;="&amp;締月)</f>
        <v>0</v>
      </c>
      <c r="K30" s="353">
        <f>SUMIFS(入力_業務!$J$5:$J$1604,入力_業務!$D$5:$D$1604,$I30,入力_業務!$I$5:$I$1604,"確認済",入力_業務!$P$5:$P$1604,"&lt;="&amp;締月)</f>
        <v>0</v>
      </c>
      <c r="L30" s="353">
        <f>SUMIFS(入力_業務!$K$5:$K$1604,入力_業務!$D$5:$D$1604,$I30,入力_業務!$I$5:$I$1604,"確認済",入力_業務!$P$5:$P$1604,"&lt;="&amp;締月)</f>
        <v>0</v>
      </c>
      <c r="M30" s="353">
        <f>SUMIFS(入力_業務!$L$5:$L$1604,入力_業務!$D$5:$D$1604,$I30,入力_業務!$I$5:$I$1604,"確認済",入力_業務!$P$5:$P$1604,"&lt;="&amp;締月)</f>
        <v>0</v>
      </c>
      <c r="N30" s="353">
        <f>SUMIFS(入力_業務!$M$5:$M$1604,入力_業務!$D$5:$D$1604,$I30,入力_業務!$I$5:$I$1604,"確認済",入力_業務!$P$5:$P$1604,"&lt;="&amp;締月)</f>
        <v>0</v>
      </c>
    </row>
    <row r="31">
      <c r="B31" s="346" t="inlineStr">
        <is>
          <t>合　計</t>
        </is>
      </c>
      <c r="C31" s="356">
        <f>SUM(C7:C30)</f>
        <v>30634243</v>
      </c>
      <c r="D31" s="356">
        <f>SUM(D7:D30)</f>
        <v>24070375</v>
      </c>
      <c r="E31" s="356">
        <f>SUM(E7:E30)</f>
        <v>5890632</v>
      </c>
      <c r="F31" s="356">
        <f>SUM(F7:F30)</f>
        <v>589064</v>
      </c>
      <c r="G31" s="356">
        <f>SUM(G7:G30)</f>
        <v>84172</v>
      </c>
      <c r="I31" s="346" t="inlineStr">
        <is>
          <t>合　計</t>
        </is>
      </c>
      <c r="J31" s="356">
        <f>SUM(J7:J30)</f>
        <v>70753629</v>
      </c>
      <c r="K31" s="356">
        <f>SUM(K7:K30)</f>
        <v>35828830</v>
      </c>
      <c r="L31" s="356">
        <f>SUM(L7:L30)</f>
        <v>30377526</v>
      </c>
      <c r="M31" s="356">
        <f>SUM(M7:M30)</f>
        <v>3037755</v>
      </c>
      <c r="N31" s="356">
        <f>SUM(N7:N30)</f>
        <v>1509518</v>
      </c>
    </row>
    <row r="32">
      <c r="B32" s="337" t="inlineStr">
        <is>
          <t>検算（執行額＝4区分の合計）</t>
        </is>
      </c>
      <c r="C32" s="434" t="str">
        <f>IF(C31=SUM(D31:G31),"OK","NG")</f>
        <v>OK</v>
      </c>
      <c r="I32" s="337" t="inlineStr">
        <is>
          <t>検算（執行額＝4区分の合計）</t>
        </is>
      </c>
      <c r="J32" s="434" t="str">
        <f>IF(J31=SUM(K31:N31),"OK","NG")</f>
        <v>OK</v>
      </c>
    </row>
  </sheetData>
  <mergeCells count="2">
    <mergeCell ref="A2:N2"/>
    <mergeCell ref="A1:N1"/>
  </mergeCells>
  <dataValidations count="1">
    <dataValidation sqref="C4" showDropDown="0" showInputMessage="0" showErrorMessage="0" allowBlank="0" type="list">
      <formula1>=科目表!$N$6:$N$17</formula1>
    </dataValidation>
  </dataValidations>
  <printOptions horizontalCentered="1"/>
  <pageMargins left="0.4" right="0.4" top="0.5" bottom="0.5" header="0.5" footer="0.5"/>
  <pageSetup orientation="landscape" paperSize="9" fitToHeight="0" fitToWidth="1"/>
</worksheet>
</file>

<file path=xl/worksheets/sheet10.xml><?xml version="1.0" encoding="utf-8"?>
<worksheet xmlns="http://schemas.openxmlformats.org/spreadsheetml/2006/main">
  <sheetPr>
    <tabColor rgb="007F7F7F"/>
    <outlinePr summaryBelow="1" summaryRight="1"/>
    <pageSetUpPr fitToPage="1"/>
  </sheetPr>
  <dimension ref="A1:Q50"/>
  <sheetViews>
    <sheetView showGridLines="0" tabSelected="0" workbookViewId="0">
      <selection activeCell="A1" sqref="A1"/>
    </sheetView>
  </sheetViews>
  <sheetFormatPr baseColWidth="8" defaultRowHeight="15"/>
  <cols>
    <col width="30" customWidth="1" style="322" min="1" max="1"/>
    <col width="22" customWidth="1" style="322" min="2" max="2"/>
    <col width="3" customWidth="1" style="322" min="3" max="3"/>
    <col width="3" customWidth="1" style="322" min="4" max="4"/>
    <col width="3" customWidth="1" style="322" min="5" max="5"/>
    <col width="20" customWidth="1" style="322" min="6" max="6"/>
    <col width="20" customWidth="1" style="322" min="7" max="7"/>
    <col width="3" customWidth="1" style="322" min="8" max="8"/>
    <col width="11" customWidth="1" style="322" min="9" max="9"/>
    <col width="52" customWidth="1" style="322" min="10" max="10"/>
    <col width="22" customWidth="1" style="322" min="11" max="11"/>
    <col width="16" customWidth="1" style="322" min="12" max="12"/>
    <col width="3" customWidth="1" style="322" min="13" max="13"/>
    <col width="13" customWidth="1" style="322" min="14" max="14"/>
    <col width="3" customWidth="1" style="322" min="15" max="15"/>
    <col width="9" customWidth="1" style="322" min="16" max="16"/>
    <col width="60" customWidth="1" style="322" min="17" max="17"/>
  </cols>
  <sheetData>
    <row r="1" ht="26" customHeight="1" s="322">
      <c r="A1" s="323" t="inlineStr">
        <is>
          <t>科目表　（入力シートのプルダウンと、費用収益表への振り分けルール）</t>
        </is>
      </c>
      <c r="B1" s="324" t="n"/>
      <c r="C1" s="324" t="n"/>
      <c r="D1" s="324" t="n"/>
      <c r="E1" s="324" t="n"/>
      <c r="F1" s="324" t="n"/>
      <c r="G1" s="324" t="n"/>
      <c r="H1" s="324" t="n"/>
      <c r="I1" s="324" t="n"/>
      <c r="J1" s="324" t="n"/>
      <c r="K1" s="324" t="n"/>
      <c r="L1" s="324" t="n"/>
    </row>
    <row r="2" ht="30" customHeight="1" s="322">
      <c r="A2" s="325" t="inlineStr">
        <is>
          <t>ふだんは触りません。新しい科目の組み合わせを使うときだけ、左の表に1行追加してください（A列＝中項目|小項目、B列＝費用収益表の行）。</t>
        </is>
      </c>
    </row>
    <row r="4" ht="22" customHeight="1" s="322">
      <c r="A4" s="327" t="inlineStr">
        <is>
          <t>中項目|小項目</t>
        </is>
      </c>
      <c r="B4" s="327" t="inlineStr">
        <is>
          <t>費用収益表の行</t>
        </is>
      </c>
      <c r="F4" s="327" t="inlineStr">
        <is>
          <t>中項目一覧</t>
        </is>
      </c>
      <c r="G4" s="327" t="inlineStr">
        <is>
          <t>小項目一覧</t>
        </is>
      </c>
      <c r="I4" s="327" t="inlineStr">
        <is>
          <t>状態一覧</t>
        </is>
      </c>
      <c r="J4" s="327" t="inlineStr">
        <is>
          <t>意味</t>
        </is>
      </c>
      <c r="K4" s="327" t="inlineStr">
        <is>
          <t>貸付 科目</t>
        </is>
      </c>
      <c r="L4" s="327" t="inlineStr">
        <is>
          <t>費用収益表の行番号</t>
        </is>
      </c>
      <c r="N4" s="327" t="inlineStr">
        <is>
          <t>締め月一覧</t>
        </is>
      </c>
      <c r="P4" s="327" t="inlineStr">
        <is>
          <t>経費区分</t>
        </is>
      </c>
      <c r="Q4" s="327" t="inlineStr">
        <is>
          <t>按分方法（旧：端数処理シート）</t>
        </is>
      </c>
    </row>
    <row r="5">
      <c r="A5" s="362" t="inlineStr">
        <is>
          <t>役員報酬|</t>
        </is>
      </c>
      <c r="B5" s="362" t="inlineStr">
        <is>
          <t>役員報酬</t>
        </is>
      </c>
      <c r="F5" s="343" t="inlineStr">
        <is>
          <t>役員報酬</t>
        </is>
      </c>
      <c r="G5" s="343" t="inlineStr">
        <is>
          <t>非常勤職員手当</t>
        </is>
      </c>
      <c r="I5" s="343" t="inlineStr">
        <is>
          <t>昨年実績</t>
        </is>
      </c>
      <c r="J5" s="435" t="inlineStr">
        <is>
          <t>昨年実績のまま（赤字）。今年の支払が確定するまで残す</t>
        </is>
      </c>
      <c r="K5" s="362" t="inlineStr">
        <is>
          <t>厚生費</t>
        </is>
      </c>
      <c r="L5" s="360" t="n">
        <v>7</v>
      </c>
      <c r="N5" s="343" t="inlineStr">
        <is>
          <t>なし</t>
        </is>
      </c>
      <c r="P5" s="352" t="n">
        <v>1</v>
      </c>
      <c r="Q5" s="435" t="inlineStr">
        <is>
          <t>共通：短期11：厚年10：経過的1：退職等1で按分。端数は短期で調整</t>
        </is>
      </c>
    </row>
    <row r="6">
      <c r="A6" s="362" t="inlineStr">
        <is>
          <t>職員給与|</t>
        </is>
      </c>
      <c r="B6" s="362" t="inlineStr">
        <is>
          <t>非常勤職員手当</t>
        </is>
      </c>
      <c r="F6" s="343" t="inlineStr">
        <is>
          <t>職員給与</t>
        </is>
      </c>
      <c r="G6" s="343" t="inlineStr">
        <is>
          <t>送金料</t>
        </is>
      </c>
      <c r="I6" s="343" t="inlineStr">
        <is>
          <t>未確認</t>
        </is>
      </c>
      <c r="J6" s="435" t="inlineStr">
        <is>
          <t>今年の支払として入力済み・伝票は未確認（黒字）</t>
        </is>
      </c>
      <c r="K6" s="362" t="inlineStr">
        <is>
          <t>旅費</t>
        </is>
      </c>
      <c r="L6" s="360" t="n">
        <v>8</v>
      </c>
      <c r="N6" s="343" t="inlineStr">
        <is>
          <t>4月</t>
        </is>
      </c>
      <c r="P6" s="352" t="n">
        <v>2</v>
      </c>
      <c r="Q6" s="435" t="inlineStr">
        <is>
          <t>短期のみ</t>
        </is>
      </c>
    </row>
    <row r="7">
      <c r="A7" s="362" t="inlineStr">
        <is>
          <t>職員給与|非常勤職員手当</t>
        </is>
      </c>
      <c r="B7" s="362" t="inlineStr">
        <is>
          <t>非常勤職員手当</t>
        </is>
      </c>
      <c r="F7" s="343" t="inlineStr">
        <is>
          <t>厚生費</t>
        </is>
      </c>
      <c r="G7" s="343" t="inlineStr">
        <is>
          <t>通信運搬費</t>
        </is>
      </c>
      <c r="I7" s="343" t="inlineStr">
        <is>
          <t>確認済</t>
        </is>
      </c>
      <c r="J7" s="435" t="inlineStr">
        <is>
          <t>支払伝票を確認済み（青塗り）。締め月までの分が費用収益表に計上される</t>
        </is>
      </c>
      <c r="K7" s="362" t="inlineStr">
        <is>
          <t>事務用消耗品費</t>
        </is>
      </c>
      <c r="L7" s="360" t="n">
        <v>9</v>
      </c>
      <c r="N7" s="343" t="inlineStr">
        <is>
          <t>5月</t>
        </is>
      </c>
      <c r="P7" s="352" t="n">
        <v>3</v>
      </c>
      <c r="Q7" s="435" t="inlineStr">
        <is>
          <t>長期共通：厚年10：経過的1：退職等1で按分。端数は厚年で調整</t>
        </is>
      </c>
    </row>
    <row r="8">
      <c r="A8" s="362" t="inlineStr">
        <is>
          <t>厚生費|</t>
        </is>
      </c>
      <c r="B8" s="362" t="inlineStr">
        <is>
          <t>厚生費</t>
        </is>
      </c>
      <c r="F8" s="343" t="inlineStr">
        <is>
          <t>旅費</t>
        </is>
      </c>
      <c r="G8" s="343" t="inlineStr">
        <is>
          <t>ガス料</t>
        </is>
      </c>
      <c r="I8" s="343" t="inlineStr">
        <is>
          <t>支払なし</t>
        </is>
      </c>
      <c r="J8" s="435" t="inlineStr">
        <is>
          <t>今年度は支払なし。集計から除外（行は残す）</t>
        </is>
      </c>
      <c r="K8" s="362" t="inlineStr">
        <is>
          <t>図書印刷費</t>
        </is>
      </c>
      <c r="L8" s="360" t="n">
        <v>10</v>
      </c>
      <c r="N8" s="343" t="inlineStr">
        <is>
          <t>6月</t>
        </is>
      </c>
      <c r="P8" s="352" t="n">
        <v>4</v>
      </c>
      <c r="Q8" s="435" t="inlineStr">
        <is>
          <t>厚年のみ</t>
        </is>
      </c>
    </row>
    <row r="9">
      <c r="A9" s="362" t="inlineStr">
        <is>
          <t>厚生費|健康診断費</t>
        </is>
      </c>
      <c r="B9" s="362" t="inlineStr">
        <is>
          <t>厚生費</t>
        </is>
      </c>
      <c r="F9" s="343" t="inlineStr">
        <is>
          <t>事務費</t>
        </is>
      </c>
      <c r="G9" s="343" t="inlineStr">
        <is>
          <t>退職給与金</t>
        </is>
      </c>
      <c r="K9" s="362" t="inlineStr">
        <is>
          <t>通信運搬費</t>
        </is>
      </c>
      <c r="L9" s="360" t="n">
        <v>11</v>
      </c>
      <c r="N9" s="343" t="inlineStr">
        <is>
          <t>7月</t>
        </is>
      </c>
      <c r="P9" s="352" t="n">
        <v>5</v>
      </c>
      <c r="Q9" s="435" t="inlineStr">
        <is>
          <t>厚年＋経過的：10：1で按分。端数は経過的で調整</t>
        </is>
      </c>
    </row>
    <row r="10">
      <c r="A10" s="362" t="inlineStr">
        <is>
          <t>旅費|</t>
        </is>
      </c>
      <c r="B10" s="362" t="inlineStr">
        <is>
          <t>旅費</t>
        </is>
      </c>
      <c r="F10" s="343" t="inlineStr">
        <is>
          <t>賃金</t>
        </is>
      </c>
      <c r="G10" s="343" t="inlineStr">
        <is>
          <t>健康診断費</t>
        </is>
      </c>
      <c r="K10" s="362" t="inlineStr">
        <is>
          <t>会議費</t>
        </is>
      </c>
      <c r="L10" s="360" t="n">
        <v>12</v>
      </c>
      <c r="N10" s="343" t="inlineStr">
        <is>
          <t>8月</t>
        </is>
      </c>
      <c r="P10" s="352" t="n">
        <v>6</v>
      </c>
      <c r="Q10" s="435" t="inlineStr">
        <is>
          <t>退職等のみ</t>
        </is>
      </c>
    </row>
    <row r="11">
      <c r="A11" s="362" t="inlineStr">
        <is>
          <t>事務費|事務用消耗品費</t>
        </is>
      </c>
      <c r="B11" s="362" t="inlineStr">
        <is>
          <t>事務用消耗品費</t>
        </is>
      </c>
      <c r="F11" s="343" t="inlineStr">
        <is>
          <t>委託費</t>
        </is>
      </c>
      <c r="G11" s="343" t="inlineStr">
        <is>
          <t>事務用消耗品費</t>
        </is>
      </c>
      <c r="K11" s="362" t="inlineStr">
        <is>
          <t>事務費・雑費</t>
        </is>
      </c>
      <c r="L11" s="360" t="n">
        <v>13</v>
      </c>
      <c r="N11" s="343" t="inlineStr">
        <is>
          <t>9月</t>
        </is>
      </c>
      <c r="P11" s="352" t="n">
        <v>7</v>
      </c>
      <c r="Q11" s="435" t="inlineStr">
        <is>
          <t>厚年＋退職等：10：1で按分。端数は退職等で調整</t>
        </is>
      </c>
    </row>
    <row r="12">
      <c r="A12" s="362" t="inlineStr">
        <is>
          <t>事務費|図書印刷費</t>
        </is>
      </c>
      <c r="B12" s="362" t="inlineStr">
        <is>
          <t>図書印刷費</t>
        </is>
      </c>
      <c r="F12" s="343" t="inlineStr">
        <is>
          <t>光熱水料</t>
        </is>
      </c>
      <c r="G12" s="343" t="inlineStr">
        <is>
          <t>図書印刷費</t>
        </is>
      </c>
      <c r="K12" s="362" t="inlineStr">
        <is>
          <t>委託費</t>
        </is>
      </c>
      <c r="L12" s="360" t="n">
        <v>16</v>
      </c>
      <c r="N12" s="343" t="inlineStr">
        <is>
          <t>10月</t>
        </is>
      </c>
      <c r="P12" s="352" t="n">
        <v>8</v>
      </c>
      <c r="Q12" s="435" t="inlineStr">
        <is>
          <t>経過的のみ</t>
        </is>
      </c>
    </row>
    <row r="13">
      <c r="A13" s="362" t="inlineStr">
        <is>
          <t>事務費|送金料</t>
        </is>
      </c>
      <c r="B13" s="362" t="inlineStr">
        <is>
          <t>送金料</t>
        </is>
      </c>
      <c r="F13" s="343" t="inlineStr">
        <is>
          <t>修繕費</t>
        </is>
      </c>
      <c r="G13" s="343" t="inlineStr">
        <is>
          <t>会議費</t>
        </is>
      </c>
      <c r="K13" s="362" t="inlineStr">
        <is>
          <t>修繕費</t>
        </is>
      </c>
      <c r="L13" s="360" t="n">
        <v>17</v>
      </c>
      <c r="N13" s="343" t="inlineStr">
        <is>
          <t>11月</t>
        </is>
      </c>
    </row>
    <row r="14">
      <c r="A14" s="362" t="inlineStr">
        <is>
          <t>事務費|通信運搬費</t>
        </is>
      </c>
      <c r="B14" s="362" t="inlineStr">
        <is>
          <t>通信運搬費</t>
        </is>
      </c>
      <c r="F14" s="343" t="inlineStr">
        <is>
          <t>賃借料</t>
        </is>
      </c>
      <c r="G14" s="343" t="inlineStr">
        <is>
          <t>雑費</t>
        </is>
      </c>
      <c r="K14" s="362" t="inlineStr">
        <is>
          <t>賃借料</t>
        </is>
      </c>
      <c r="L14" s="360" t="n">
        <v>18</v>
      </c>
      <c r="N14" s="343" t="inlineStr">
        <is>
          <t>12月</t>
        </is>
      </c>
    </row>
    <row r="15">
      <c r="A15" s="362" t="inlineStr">
        <is>
          <t>事務費|会議費</t>
        </is>
      </c>
      <c r="B15" s="362" t="inlineStr">
        <is>
          <t>会議費</t>
        </is>
      </c>
      <c r="F15" s="343" t="inlineStr">
        <is>
          <t>調査研究費</t>
        </is>
      </c>
      <c r="G15" s="343" t="inlineStr">
        <is>
          <t>電気料</t>
        </is>
      </c>
      <c r="K15" s="362" t="inlineStr">
        <is>
          <t>普及費</t>
        </is>
      </c>
      <c r="L15" s="360" t="n">
        <v>19</v>
      </c>
      <c r="N15" s="343" t="inlineStr">
        <is>
          <t>1月</t>
        </is>
      </c>
    </row>
    <row r="16">
      <c r="A16" s="362" t="inlineStr">
        <is>
          <t>事務費|雑費</t>
        </is>
      </c>
      <c r="B16" s="362" t="inlineStr">
        <is>
          <t>事務費・雑費</t>
        </is>
      </c>
      <c r="F16" s="343" t="inlineStr">
        <is>
          <t>普及費</t>
        </is>
      </c>
      <c r="G16" s="343" t="inlineStr">
        <is>
          <t>協会けんぽ保険料等</t>
        </is>
      </c>
      <c r="K16" s="362" t="inlineStr">
        <is>
          <t>食糧費</t>
        </is>
      </c>
      <c r="L16" s="360" t="n">
        <v>20</v>
      </c>
      <c r="N16" s="343" t="inlineStr">
        <is>
          <t>2月</t>
        </is>
      </c>
    </row>
    <row r="17">
      <c r="A17" s="362" t="inlineStr">
        <is>
          <t>事務費|</t>
        </is>
      </c>
      <c r="B17" s="362" t="inlineStr">
        <is>
          <t>事務費・雑費</t>
        </is>
      </c>
      <c r="F17" s="343" t="inlineStr">
        <is>
          <t>諸謝金</t>
        </is>
      </c>
      <c r="G17" s="343" t="inlineStr">
        <is>
          <t>厚年負担金等</t>
        </is>
      </c>
      <c r="K17" s="362" t="inlineStr">
        <is>
          <t>厚生年金保険料等</t>
        </is>
      </c>
      <c r="L17" s="360" t="n">
        <v>24</v>
      </c>
      <c r="N17" s="343" t="inlineStr">
        <is>
          <t>3月</t>
        </is>
      </c>
    </row>
    <row r="18">
      <c r="A18" s="362" t="inlineStr">
        <is>
          <t>賃金|</t>
        </is>
      </c>
      <c r="B18" s="362" t="inlineStr">
        <is>
          <t>賃金</t>
        </is>
      </c>
      <c r="F18" s="343" t="inlineStr">
        <is>
          <t>器具及び備品</t>
        </is>
      </c>
      <c r="G18" s="343" t="inlineStr">
        <is>
          <t>労災・雇用保険料</t>
        </is>
      </c>
      <c r="K18" s="362" t="inlineStr">
        <is>
          <t>労災・雇用等保険料</t>
        </is>
      </c>
      <c r="L18" s="360" t="n">
        <v>25</v>
      </c>
      <c r="N18" s="343" t="inlineStr">
        <is>
          <t>4月(未払)</t>
        </is>
      </c>
    </row>
    <row r="19">
      <c r="A19" s="362" t="inlineStr">
        <is>
          <t>委託費|</t>
        </is>
      </c>
      <c r="B19" s="362" t="inlineStr">
        <is>
          <t>委託費</t>
        </is>
      </c>
      <c r="F19" s="343" t="inlineStr">
        <is>
          <t>負担金</t>
        </is>
      </c>
      <c r="G19" s="343" t="inlineStr">
        <is>
          <t>会議出席負担金等</t>
        </is>
      </c>
      <c r="K19" s="362" t="inlineStr">
        <is>
          <t>その他負担金</t>
        </is>
      </c>
      <c r="L19" s="360" t="n">
        <v>26</v>
      </c>
    </row>
    <row r="20">
      <c r="A20" s="362" t="inlineStr">
        <is>
          <t>光熱水料|</t>
        </is>
      </c>
      <c r="B20" s="362" t="inlineStr">
        <is>
          <t>光熱水料</t>
        </is>
      </c>
      <c r="F20" s="343" t="inlineStr">
        <is>
          <t>仮払消費税</t>
        </is>
      </c>
      <c r="G20" s="343" t="inlineStr">
        <is>
          <t>市町村連合会分担金</t>
        </is>
      </c>
      <c r="K20" s="362" t="inlineStr">
        <is>
          <t>連合会払込金</t>
        </is>
      </c>
      <c r="L20" s="360" t="n">
        <v>29</v>
      </c>
    </row>
    <row r="21">
      <c r="A21" s="362" t="inlineStr">
        <is>
          <t>光熱水料|ガス料</t>
        </is>
      </c>
      <c r="B21" s="362" t="inlineStr">
        <is>
          <t>光熱水料</t>
        </is>
      </c>
      <c r="F21" s="343" t="inlineStr">
        <is>
          <t>交際費</t>
        </is>
      </c>
      <c r="G21" s="343" t="inlineStr">
        <is>
          <t>互助会費</t>
        </is>
      </c>
      <c r="K21" s="362" t="inlineStr">
        <is>
          <t>雑費</t>
        </is>
      </c>
      <c r="L21" s="360" t="n">
        <v>30</v>
      </c>
    </row>
    <row r="22">
      <c r="A22" s="362" t="inlineStr">
        <is>
          <t>光熱水料|水道料</t>
        </is>
      </c>
      <c r="B22" s="362" t="inlineStr">
        <is>
          <t>光熱水料</t>
        </is>
      </c>
      <c r="F22" s="343" t="inlineStr">
        <is>
          <t>選挙費</t>
        </is>
      </c>
      <c r="G22" s="343" t="inlineStr">
        <is>
          <t>水道料</t>
        </is>
      </c>
    </row>
    <row r="23">
      <c r="A23" s="362" t="inlineStr">
        <is>
          <t>光熱水料|電気料</t>
        </is>
      </c>
      <c r="B23" s="362" t="inlineStr">
        <is>
          <t>光熱水料</t>
        </is>
      </c>
      <c r="F23" s="343" t="inlineStr">
        <is>
          <t>事務費負担金払込金</t>
        </is>
      </c>
      <c r="G23" s="343" t="inlineStr">
        <is>
          <t>負担金</t>
        </is>
      </c>
    </row>
    <row r="24">
      <c r="A24" s="362" t="inlineStr">
        <is>
          <t>修繕費|</t>
        </is>
      </c>
      <c r="B24" s="362" t="inlineStr">
        <is>
          <t>修繕費</t>
        </is>
      </c>
      <c r="F24" s="343" t="inlineStr">
        <is>
          <t>雑費</t>
        </is>
      </c>
    </row>
    <row r="25">
      <c r="A25" s="362" t="inlineStr">
        <is>
          <t>賃借料|</t>
        </is>
      </c>
      <c r="B25" s="362" t="inlineStr">
        <is>
          <t>賃借料</t>
        </is>
      </c>
      <c r="F25" s="343" t="inlineStr">
        <is>
          <t>減価償却費</t>
        </is>
      </c>
    </row>
    <row r="26">
      <c r="A26" s="362" t="inlineStr">
        <is>
          <t>普及費|</t>
        </is>
      </c>
      <c r="B26" s="362" t="inlineStr">
        <is>
          <t>普及費</t>
        </is>
      </c>
      <c r="F26" s="343" t="inlineStr">
        <is>
          <t>連合会分担金</t>
        </is>
      </c>
    </row>
    <row r="27">
      <c r="A27" s="362" t="inlineStr">
        <is>
          <t>諸謝金|</t>
        </is>
      </c>
      <c r="B27" s="362" t="inlineStr">
        <is>
          <t>諸謝金</t>
        </is>
      </c>
      <c r="F27" s="343" t="inlineStr">
        <is>
          <t>支払利息</t>
        </is>
      </c>
    </row>
    <row r="28">
      <c r="A28" s="362" t="inlineStr">
        <is>
          <t>負担金|互助会費</t>
        </is>
      </c>
      <c r="B28" s="362" t="inlineStr">
        <is>
          <t>互助会費</t>
        </is>
      </c>
      <c r="F28" s="343" t="inlineStr">
        <is>
          <t>立替金</t>
        </is>
      </c>
    </row>
    <row r="29">
      <c r="A29" s="362" t="inlineStr">
        <is>
          <t>負担金|会議出席負担金等</t>
        </is>
      </c>
      <c r="B29" s="362" t="inlineStr">
        <is>
          <t>会議出席負担金等</t>
        </is>
      </c>
      <c r="F29" s="343" t="inlineStr">
        <is>
          <t>前払費用</t>
        </is>
      </c>
    </row>
    <row r="30">
      <c r="A30" s="362" t="inlineStr">
        <is>
          <t>負担金|協会けんぽ保険料等</t>
        </is>
      </c>
      <c r="B30" s="362" t="inlineStr">
        <is>
          <t>協会けんぽ保険料等</t>
        </is>
      </c>
      <c r="F30" s="343" t="inlineStr">
        <is>
          <t>前期損益修正損</t>
        </is>
      </c>
    </row>
    <row r="31">
      <c r="A31" s="362" t="inlineStr">
        <is>
          <t>負担金|厚年負担金等</t>
        </is>
      </c>
      <c r="B31" s="362" t="inlineStr">
        <is>
          <t>厚年負担金等</t>
        </is>
      </c>
    </row>
    <row r="32">
      <c r="A32" s="362" t="inlineStr">
        <is>
          <t>負担金|労災・雇用保険料</t>
        </is>
      </c>
      <c r="B32" s="362" t="inlineStr">
        <is>
          <t>労災・雇用保険料</t>
        </is>
      </c>
    </row>
    <row r="33">
      <c r="A33" s="362" t="inlineStr">
        <is>
          <t>負担金|負担金</t>
        </is>
      </c>
      <c r="B33" s="362" t="inlineStr">
        <is>
          <t>共済負担金等</t>
        </is>
      </c>
    </row>
    <row r="34">
      <c r="A34" s="362" t="inlineStr">
        <is>
          <t>負担金|</t>
        </is>
      </c>
      <c r="B34" s="362" t="inlineStr">
        <is>
          <t>県社保協会費</t>
        </is>
      </c>
    </row>
    <row r="35">
      <c r="A35" s="362" t="inlineStr">
        <is>
          <t>連合会分担金|</t>
        </is>
      </c>
      <c r="B35" s="362" t="inlineStr">
        <is>
          <t>連合会分担金</t>
        </is>
      </c>
    </row>
    <row r="36">
      <c r="A36" s="362" t="inlineStr">
        <is>
          <t>連合会分担金|市町村連合会分担金</t>
        </is>
      </c>
      <c r="B36" s="362" t="inlineStr">
        <is>
          <t>連合会分担金</t>
        </is>
      </c>
    </row>
    <row r="37">
      <c r="A37" s="362" t="inlineStr">
        <is>
          <t>事務費負担金払込金|</t>
        </is>
      </c>
      <c r="B37" s="362" t="inlineStr">
        <is>
          <t>事務費負担金払込金</t>
        </is>
      </c>
    </row>
    <row r="38">
      <c r="A38" s="362" t="inlineStr">
        <is>
          <t>雑費|</t>
        </is>
      </c>
      <c r="B38" s="362" t="inlineStr">
        <is>
          <t>雑費</t>
        </is>
      </c>
    </row>
    <row r="39">
      <c r="A39" s="362" t="inlineStr">
        <is>
          <t>減価償却費|</t>
        </is>
      </c>
      <c r="B39" s="362" t="inlineStr">
        <is>
          <t>減価償却費</t>
        </is>
      </c>
    </row>
    <row r="40">
      <c r="A40" s="362" t="inlineStr">
        <is>
          <t>器具及び備品|</t>
        </is>
      </c>
      <c r="B40" s="362" t="inlineStr">
        <is>
          <t>対象外</t>
        </is>
      </c>
    </row>
    <row r="41">
      <c r="A41" s="362" t="inlineStr">
        <is>
          <t>前期損益修正損|</t>
        </is>
      </c>
      <c r="B41" s="362" t="inlineStr">
        <is>
          <t>対象外</t>
        </is>
      </c>
    </row>
    <row r="42">
      <c r="A42" s="362" t="inlineStr">
        <is>
          <t>立替金|</t>
        </is>
      </c>
      <c r="B42" s="362" t="inlineStr">
        <is>
          <t>対象外</t>
        </is>
      </c>
    </row>
    <row r="43">
      <c r="A43" s="362" t="inlineStr">
        <is>
          <t>仮払消費税|</t>
        </is>
      </c>
      <c r="B43" s="362" t="inlineStr">
        <is>
          <t>対象外</t>
        </is>
      </c>
    </row>
    <row r="44">
      <c r="A44" s="362" t="inlineStr">
        <is>
          <t>調査研究費|</t>
        </is>
      </c>
      <c r="B44" s="362" t="inlineStr">
        <is>
          <t>対象外</t>
        </is>
      </c>
    </row>
    <row r="45">
      <c r="A45" s="362" t="inlineStr">
        <is>
          <t>交際費|</t>
        </is>
      </c>
      <c r="B45" s="362" t="inlineStr">
        <is>
          <t>対象外</t>
        </is>
      </c>
    </row>
    <row r="46">
      <c r="A46" s="362" t="inlineStr">
        <is>
          <t>選挙費|</t>
        </is>
      </c>
      <c r="B46" s="362" t="inlineStr">
        <is>
          <t>対象外</t>
        </is>
      </c>
    </row>
    <row r="47">
      <c r="A47" s="362" t="inlineStr">
        <is>
          <t>前払費用|</t>
        </is>
      </c>
      <c r="B47" s="362" t="inlineStr">
        <is>
          <t>対象外</t>
        </is>
      </c>
    </row>
    <row r="48">
      <c r="A48" s="362" t="inlineStr">
        <is>
          <t>特別修繕引当金繰入|</t>
        </is>
      </c>
      <c r="B48" s="362" t="inlineStr">
        <is>
          <t>対象外</t>
        </is>
      </c>
    </row>
    <row r="49">
      <c r="A49" s="362" t="inlineStr">
        <is>
          <t>支払利息|</t>
        </is>
      </c>
      <c r="B49" s="362" t="inlineStr">
        <is>
          <t>対象外</t>
        </is>
      </c>
    </row>
    <row r="50">
      <c r="A50" s="362" t="inlineStr">
        <is>
          <t>雑損|</t>
        </is>
      </c>
      <c r="B50" s="362" t="inlineStr">
        <is>
          <t>対象外</t>
        </is>
      </c>
    </row>
  </sheetData>
  <mergeCells count="2">
    <mergeCell ref="A2:L2"/>
    <mergeCell ref="A1:L1"/>
  </mergeCells>
  <printOptions horizontalCentered="1"/>
  <pageMargins left="0.4" right="0.4" top="0.5" bottom="0.5" header="0.5" footer="0.5"/>
  <pageSetup orientation="landscape" paperSize="9" fitToHeight="0" fitToWidth="1"/>
</worksheet>
</file>

<file path=xl/worksheets/sheet11.xml><?xml version="1.0" encoding="utf-8"?>
<worksheet xmlns="http://schemas.openxmlformats.org/spreadsheetml/2006/main">
  <sheetPr>
    <tabColor rgb="00548235"/>
    <outlinePr summaryBelow="1" summaryRight="1"/>
    <pageSetUpPr fitToPage="1"/>
  </sheetPr>
  <dimension ref="A1:G15"/>
  <sheetViews>
    <sheetView showGridLines="0" tabSelected="0" workbookViewId="0">
      <selection activeCell="A1" sqref="A1"/>
    </sheetView>
  </sheetViews>
  <sheetFormatPr baseColWidth="8" defaultRowHeight="15"/>
  <cols>
    <col width="2" customWidth="1" style="322" min="1" max="1"/>
    <col width="62" customWidth="1" style="322" min="2" max="2"/>
    <col width="17" customWidth="1" style="322" min="3" max="3"/>
    <col width="17" customWidth="1" style="322" min="4" max="4"/>
    <col width="14" customWidth="1" style="322" min="5" max="5"/>
    <col width="9" customWidth="1" style="322" min="6" max="6"/>
    <col width="60" customWidth="1" style="322" min="7" max="7"/>
  </cols>
  <sheetData>
    <row r="1" ht="26" customHeight="1" s="322">
      <c r="A1" s="323" t="inlineStr">
        <is>
          <t>検算　（数字が食い違っていないかを自動で確かめます）</t>
        </is>
      </c>
      <c r="B1" s="324" t="n"/>
      <c r="C1" s="324" t="n"/>
      <c r="D1" s="324" t="n"/>
      <c r="E1" s="324" t="n"/>
      <c r="F1" s="324" t="n"/>
      <c r="G1" s="324" t="n"/>
    </row>
    <row r="2" ht="30" customHeight="1" s="322">
      <c r="A2" s="325" t="inlineStr">
        <is>
          <t>「結果」が全部 OK ならこのブックの数字は台帳・費用収益表・旧表と一致しています。NG があれば、その行の説明を見て入力シートを直してください。</t>
        </is>
      </c>
    </row>
    <row r="3">
      <c r="B3" s="333" t="inlineStr">
        <is>
          <t>NG の件数</t>
        </is>
      </c>
      <c r="C3" s="436">
        <f>COUNTIF(F6:F15,"NG")</f>
        <v>0</v>
      </c>
      <c r="F3" s="437">
        <f>C3</f>
        <v>0</v>
      </c>
    </row>
    <row r="5" ht="22" customHeight="1" s="322">
      <c r="B5" s="327" t="inlineStr">
        <is>
          <t>確認項目</t>
        </is>
      </c>
      <c r="C5" s="327" t="inlineStr">
        <is>
          <t>期待値（台帳側）</t>
        </is>
      </c>
      <c r="D5" s="327" t="inlineStr">
        <is>
          <t>実際（費用収益表側）</t>
        </is>
      </c>
      <c r="E5" s="327" t="inlineStr">
        <is>
          <t>差</t>
        </is>
      </c>
      <c r="F5" s="327" t="inlineStr">
        <is>
          <t>結果</t>
        </is>
      </c>
      <c r="G5" s="327" t="inlineStr">
        <is>
          <t>見方</t>
        </is>
      </c>
    </row>
    <row r="6" ht="28" customHeight="1" s="322">
      <c r="B6" s="438" t="inlineStr">
        <is>
          <t>業務：合計表 ＝ 短期表 ＋ 長期表（費用・全月）</t>
        </is>
      </c>
      <c r="C6" s="344">
        <f>SUM('費用収益表_業務短期'!C38:O38)+SUM('費用収益表_業務長期'!C38:O38)</f>
        <v>133045155</v>
      </c>
      <c r="D6" s="344">
        <f>SUM('費用収益表_業務合計'!C38:O38)</f>
        <v>133045155</v>
      </c>
      <c r="E6" s="344">
        <f>D6-C6</f>
        <v>0</v>
      </c>
      <c r="F6" s="355" t="str">
        <f>IF(ABS(E6)&lt;0.5,"OK","NG")</f>
        <v>OK</v>
      </c>
      <c r="G6" s="439" t="inlineStr">
        <is>
          <t>短期と長期を足した値が合計表と一致するか</t>
        </is>
      </c>
    </row>
    <row r="7" ht="28" customHeight="1" s="322">
      <c r="B7" s="438" t="inlineStr">
        <is>
          <t>業務：合計表 ＝ 短期表 ＋ 長期表（収益・全月）</t>
        </is>
      </c>
      <c r="C7" s="344">
        <f>SUM('費用収益表_業務短期'!C46:O46)+SUM('費用収益表_業務長期'!C46:O46)</f>
        <v>134436502</v>
      </c>
      <c r="D7" s="344">
        <f>SUM('費用収益表_業務合計'!C47:O47)</f>
        <v>134436502</v>
      </c>
      <c r="E7" s="344">
        <f>D7-C7</f>
        <v>0</v>
      </c>
      <c r="F7" s="355" t="str">
        <f>IF(ABS(E7)&lt;0.5,"OK","NG")</f>
        <v>OK</v>
      </c>
      <c r="G7" s="439" t="inlineStr">
        <is>
          <t>合計表の収益合計は47行目（繰入が2行あるため）</t>
        </is>
      </c>
    </row>
    <row r="8" ht="28" customHeight="1" s="322">
      <c r="B8" s="438" t="inlineStr">
        <is>
          <t>業務（短期）：台帳の確認済 ＝ 費用収益表への計上額（締め月まで）</t>
        </is>
      </c>
      <c r="C8" s="344">
        <f>SUMIFS(入力_業務!$J$5:$J$1604,入力_業務!$I$5:$I$1604,"確認済",入力_業務!$P$5:$P$1604,"&lt;="&amp;締月,入力_業務!$O$5:$O$1604,"&lt;&gt;対象外")</f>
        <v>35828830</v>
      </c>
      <c r="D8" s="344">
        <f>SUMPRODUCT('費用収益表_業務短期'!$X$4:$X$62,'費用収益表_業務短期'!$V$4:$V$62)</f>
        <v>35828830</v>
      </c>
      <c r="E8" s="344">
        <f>D8-C8</f>
        <v>0</v>
      </c>
      <c r="F8" s="355" t="str">
        <f>IF(ABS(E8)&lt;0.5,"OK","NG")</f>
        <v>OK</v>
      </c>
      <c r="G8" s="439" t="inlineStr">
        <is>
          <t>台帳に入力した確認済の金額が、漏れなく・二重にならず費用収益表へ入っているか</t>
        </is>
      </c>
    </row>
    <row r="9" ht="28" customHeight="1" s="322">
      <c r="B9" s="438" t="inlineStr">
        <is>
          <t>業務（長期）：台帳の確認済 ＝ 費用収益表への計上額（締め月まで）</t>
        </is>
      </c>
      <c r="C9" s="344">
        <f>SUMIFS(入力_業務!$N$5:$N$1604,入力_業務!$I$5:$I$1604,"確認済",入力_業務!$P$5:$P$1604,"&lt;="&amp;締月,入力_業務!$O$5:$O$1604,"&lt;&gt;対象外")</f>
        <v>34924799</v>
      </c>
      <c r="D9" s="344">
        <f>SUMPRODUCT('費用収益表_業務長期'!$X$4:$X$62,'費用収益表_業務長期'!$V$4:$V$62)</f>
        <v>34924799</v>
      </c>
      <c r="E9" s="344">
        <f>D9-C9</f>
        <v>0</v>
      </c>
      <c r="F9" s="355" t="str">
        <f>IF(ABS(E9)&lt;0.5,"OK","NG")</f>
        <v>OK</v>
      </c>
      <c r="G9" s="439" t="inlineStr"/>
    </row>
    <row r="10" ht="28" customHeight="1" s="322">
      <c r="B10" s="438" t="inlineStr">
        <is>
          <t>貸付：台帳の確認済 ＝ 費用収益表への計上額（締め月まで）</t>
        </is>
      </c>
      <c r="C10" s="344">
        <f>SUMIFS(入力_貸付!$F$5:$F$404,入力_貸付!$G$5:$G$404,"確認済",入力_貸付!$H$5:$H$404,"&lt;="&amp;締月)</f>
        <v>1464944</v>
      </c>
      <c r="D10" s="344">
        <f>SUMPRODUCT('費用収益表_貸付'!$X$4:$X$62,'費用収益表_貸付'!$V$4:$V$62)</f>
        <v>1464944</v>
      </c>
      <c r="E10" s="344">
        <f>D10-C10</f>
        <v>0</v>
      </c>
      <c r="F10" s="355" t="str">
        <f>IF(ABS(E10)&lt;0.5,"OK","NG")</f>
        <v>OK</v>
      </c>
      <c r="G10" s="439" t="inlineStr"/>
    </row>
    <row r="11" ht="28" customHeight="1" s="322">
      <c r="B11" s="438" t="inlineStr">
        <is>
          <t>入力_業務：点検に指摘のある行数（按分不一致・科目未登録・年度外の日付ほか）</t>
        </is>
      </c>
      <c r="C11" s="344">
        <f>0</f>
        <v>0</v>
      </c>
      <c r="D11" s="344">
        <f>COUNTIF(入力_業務!$Q$5:$Q$1604,"?*")</f>
        <v>0</v>
      </c>
      <c r="E11" s="344">
        <f>D11-C11</f>
        <v>0</v>
      </c>
      <c r="F11" s="355" t="str">
        <f>IF(ABS(E11)&lt;0.5,"OK","NG")</f>
        <v>OK</v>
      </c>
      <c r="G11" s="439" t="inlineStr">
        <is>
          <t>「入力_業務」の点検列を見て直す</t>
        </is>
      </c>
    </row>
    <row r="12" ht="28" customHeight="1" s="322">
      <c r="B12" s="438" t="inlineStr">
        <is>
          <t>入力_貸付：点検に指摘のある行数</t>
        </is>
      </c>
      <c r="C12" s="344">
        <f>0</f>
        <v>0</v>
      </c>
      <c r="D12" s="344">
        <f>COUNTIF(入力_貸付!$J$5:$J$404,"?*")</f>
        <v>0</v>
      </c>
      <c r="E12" s="344">
        <f>D12-C12</f>
        <v>0</v>
      </c>
      <c r="F12" s="355" t="str">
        <f>IF(ABS(E12)&lt;0.5,"OK","NG")</f>
        <v>OK</v>
      </c>
      <c r="G12" s="439" t="inlineStr">
        <is>
          <t>「入力_貸付」の点検列を見て直す</t>
        </is>
      </c>
    </row>
    <row r="13" ht="28" customHeight="1" s="322">
      <c r="B13" s="438" t="inlineStr">
        <is>
          <t>業務：締め月までに「未確認」が残っていない</t>
        </is>
      </c>
      <c r="C13" s="344">
        <f>0</f>
        <v>0</v>
      </c>
      <c r="D13" s="344">
        <f>COUNTIFS(入力_業務!$P$5:$P$1604,"&lt;="&amp;締月,入力_業務!$I$5:$I$1604,"未確認")</f>
        <v>0</v>
      </c>
      <c r="E13" s="344">
        <f>D13-C13</f>
        <v>0</v>
      </c>
      <c r="F13" s="355" t="str">
        <f>IF(ABS(E13)&lt;0.5,"OK","NG")</f>
        <v>OK</v>
      </c>
      <c r="G13" s="439" t="inlineStr">
        <is>
          <t>伝票を確認して「確認済」にしてから締める</t>
        </is>
      </c>
    </row>
    <row r="14" ht="28" customHeight="1" s="322">
      <c r="B14" s="438" t="inlineStr">
        <is>
          <t>貸付：締め月までに「未確認」が残っていない</t>
        </is>
      </c>
      <c r="C14" s="344">
        <f>0</f>
        <v>0</v>
      </c>
      <c r="D14" s="344">
        <f>COUNTIFS(入力_貸付!$H$5:$H$404,"&lt;="&amp;締月,入力_貸付!$G$5:$G$404,"未確認")</f>
        <v>0</v>
      </c>
      <c r="E14" s="344">
        <f>D14-C14</f>
        <v>0</v>
      </c>
      <c r="F14" s="355" t="str">
        <f>IF(ABS(E14)&lt;0.5,"OK","NG")</f>
        <v>OK</v>
      </c>
      <c r="G14" s="439" t="inlineStr"/>
    </row>
    <row r="15" ht="28" customHeight="1" s="322">
      <c r="B15" s="438" t="inlineStr">
        <is>
          <t>旧・費用収益表との一致（旧表で確定計上済みの月＝9月締めの状態）</t>
        </is>
      </c>
      <c r="C15" s="344">
        <f>0</f>
        <v>0</v>
      </c>
      <c r="D15" s="344">
        <f>旧表照合!$C$9</f>
        <v>0</v>
      </c>
      <c r="E15" s="344">
        <f>D15-C15</f>
        <v>0</v>
      </c>
      <c r="F15" s="355" t="str">
        <f>IF(ABS(E15)&lt;0.5,"OK","NG")</f>
        <v>OK</v>
      </c>
      <c r="G15" s="439" t="inlineStr">
        <is>
          <t>「今回締める月」が9月のときだけ比較します（他の月は対象外として0扱い）</t>
        </is>
      </c>
    </row>
  </sheetData>
  <mergeCells count="2">
    <mergeCell ref="A2:G2"/>
    <mergeCell ref="A1:G1"/>
  </mergeCells>
  <conditionalFormatting sqref="F6:F15">
    <cfRule type="expression" priority="1" dxfId="4">
      <formula>F6="NG"</formula>
    </cfRule>
    <cfRule type="expression" priority="2" dxfId="1">
      <formula>F6="OK"</formula>
    </cfRule>
  </conditionalFormatting>
  <printOptions horizontalCentered="1"/>
  <pageMargins left="0.4" right="0.4" top="0.5" bottom="0.5" header="0.5" footer="0.5"/>
  <pageSetup orientation="landscape" paperSize="9" fitToHeight="0" fitToWidth="1"/>
</worksheet>
</file>

<file path=xl/worksheets/sheet12.xml><?xml version="1.0" encoding="utf-8"?>
<worksheet xmlns="http://schemas.openxmlformats.org/spreadsheetml/2006/main">
  <sheetPr>
    <tabColor rgb="007F7F7F"/>
    <outlinePr summaryBelow="1" summaryRight="1"/>
    <pageSetUpPr/>
  </sheetPr>
  <dimension ref="A1:AR284"/>
  <sheetViews>
    <sheetView showGridLines="0" tabSelected="0" workbookViewId="0">
      <selection activeCell="A1" sqref="A1"/>
    </sheetView>
  </sheetViews>
  <sheetFormatPr baseColWidth="8" defaultRowHeight="15"/>
  <cols>
    <col width="26" customWidth="1" style="322" min="1" max="1"/>
    <col width="14" customWidth="1" style="322" min="2" max="2"/>
    <col width="14" customWidth="1" style="322" min="3" max="3"/>
    <col width="14" customWidth="1" style="322" min="4" max="4"/>
  </cols>
  <sheetData>
    <row r="1" ht="26" customHeight="1" s="322">
      <c r="A1" s="323" t="inlineStr">
        <is>
          <t>旧表照合　（旧・費用収益表の数値と、このブックの費用収益表を1セルずつ突き合わせ）</t>
        </is>
      </c>
      <c r="B1" s="324" t="n"/>
      <c r="C1" s="324" t="n"/>
      <c r="D1" s="324" t="n"/>
      <c r="E1" s="324" t="n"/>
      <c r="F1" s="324" t="n"/>
      <c r="G1" s="324" t="n"/>
      <c r="H1" s="324" t="n"/>
    </row>
    <row r="2" ht="30" customHeight="1" s="322">
      <c r="A2" s="325" t="inlineStr">
        <is>
          <t>旧表（9月締め時点の数値）を値で貼ってあり、差を1セルずつ計算します。「今回締める月」が9月のときに不一致が 0 であれば、旧表と完全に一致しています。</t>
        </is>
      </c>
    </row>
    <row r="4" ht="22" customHeight="1" s="322">
      <c r="A4" s="327" t="inlineStr">
        <is>
          <t>費用収益表</t>
        </is>
      </c>
      <c r="B4" s="327" t="inlineStr">
        <is>
          <t>比較したセル数</t>
        </is>
      </c>
      <c r="C4" s="327" t="inlineStr">
        <is>
          <t>不一致セル数</t>
        </is>
      </c>
      <c r="D4" s="327" t="inlineStr">
        <is>
          <t>最大の差</t>
        </is>
      </c>
    </row>
    <row r="5">
      <c r="A5" s="343" t="inlineStr">
        <is>
          <t>費用収益表_業務合計</t>
        </is>
      </c>
      <c r="B5" s="440">
        <f>COUNT(Z16:AR74)</f>
        <v>1121</v>
      </c>
      <c r="C5" s="440">
        <f>SUMPRODUCT(--(ABS(Z16:AR74)&gt;0.5))</f>
        <v>0</v>
      </c>
      <c r="D5" s="440">
        <f>MAX(MAX(Z16:AR74),-MIN(Z16:AR74))</f>
        <v>0</v>
      </c>
    </row>
    <row r="6">
      <c r="A6" s="343" t="inlineStr">
        <is>
          <t>費用収益表_業務短期</t>
        </is>
      </c>
      <c r="B6" s="440">
        <f>COUNT(Z86:AR144)</f>
        <v>1121</v>
      </c>
      <c r="C6" s="440">
        <f>SUMPRODUCT(--(ABS(Z86:AR144)&gt;0.5))</f>
        <v>0</v>
      </c>
      <c r="D6" s="440">
        <f>MAX(MAX(Z86:AR144),-MIN(Z86:AR144))</f>
        <v>0</v>
      </c>
    </row>
    <row r="7">
      <c r="A7" s="343" t="inlineStr">
        <is>
          <t>費用収益表_業務長期</t>
        </is>
      </c>
      <c r="B7" s="440">
        <f>COUNT(Z156:AR214)</f>
        <v>1121</v>
      </c>
      <c r="C7" s="440">
        <f>SUMPRODUCT(--(ABS(Z156:AR214)&gt;0.5))</f>
        <v>0</v>
      </c>
      <c r="D7" s="440">
        <f>MAX(MAX(Z156:AR214),-MIN(Z156:AR214))</f>
        <v>0</v>
      </c>
    </row>
    <row r="8">
      <c r="A8" s="343" t="inlineStr">
        <is>
          <t>費用収益表_貸付</t>
        </is>
      </c>
      <c r="B8" s="440">
        <f>COUNT(Z226:AR284)</f>
        <v>1121</v>
      </c>
      <c r="C8" s="440">
        <f>SUMPRODUCT(--(ABS(Z226:AR284)&gt;0.5))</f>
        <v>0</v>
      </c>
      <c r="D8" s="440">
        <f>MAX(MAX(Z226:AR284),-MIN(Z226:AR284))</f>
        <v>0</v>
      </c>
    </row>
    <row r="9">
      <c r="A9" s="346" t="inlineStr">
        <is>
          <t>合計（検算シートへ）</t>
        </is>
      </c>
      <c r="B9" s="441">
        <f>SUM(B5:B8)</f>
        <v>4484</v>
      </c>
      <c r="C9" s="441">
        <f>IF(締月=6,SUM(C5:C8),0)</f>
        <v>0</v>
      </c>
      <c r="D9" s="441">
        <f>MAX(D5:D8)</f>
        <v>0</v>
      </c>
    </row>
    <row r="11">
      <c r="A11" s="442" t="inlineStr">
        <is>
          <t>【費用収益表_業務合計】 旧表の値（A:W）／ 差（Z:AV）</t>
        </is>
      </c>
    </row>
    <row r="16">
      <c r="C16" s="443" t="n">
        <v>0</v>
      </c>
      <c r="D16" s="443" t="n">
        <v>0</v>
      </c>
      <c r="E16" s="443" t="n">
        <v>22000</v>
      </c>
      <c r="F16" s="443" t="n">
        <v>0</v>
      </c>
      <c r="G16" s="443" t="n">
        <v>0</v>
      </c>
      <c r="H16" s="443" t="n">
        <v>0</v>
      </c>
      <c r="I16" s="443" t="n">
        <v>0</v>
      </c>
      <c r="J16" s="443" t="n">
        <v>0</v>
      </c>
      <c r="K16" s="443" t="n">
        <v>0</v>
      </c>
      <c r="L16" s="443" t="n">
        <v>0</v>
      </c>
      <c r="M16" s="443" t="n">
        <v>0</v>
      </c>
      <c r="N16" s="443" t="n">
        <v>11000</v>
      </c>
      <c r="O16" s="443" t="n">
        <v>0</v>
      </c>
      <c r="P16" s="443" t="n">
        <v>33000</v>
      </c>
      <c r="Q16" s="443" t="n">
        <v>33000</v>
      </c>
      <c r="R16" s="443" t="n">
        <v>0</v>
      </c>
      <c r="S16" s="443" t="n">
        <v>33000</v>
      </c>
      <c r="T16" s="443" t="n">
        <v>0</v>
      </c>
      <c r="Z16" s="444">
        <f>N('費用収益表_業務合計'!C4)-N(C16)</f>
        <v>0</v>
      </c>
      <c r="AA16" s="444">
        <f>N('費用収益表_業務合計'!D4)-N(D16)</f>
        <v>0</v>
      </c>
      <c r="AB16" s="444">
        <f>N('費用収益表_業務合計'!E4)-N(E16)</f>
        <v>0</v>
      </c>
      <c r="AC16" s="444">
        <f>N('費用収益表_業務合計'!F4)-N(F16)</f>
        <v>0</v>
      </c>
      <c r="AD16" s="444">
        <f>N('費用収益表_業務合計'!G4)-N(G16)</f>
        <v>0</v>
      </c>
      <c r="AE16" s="444">
        <f>N('費用収益表_業務合計'!H4)-N(H16)</f>
        <v>0</v>
      </c>
      <c r="AF16" s="444">
        <f>N('費用収益表_業務合計'!I4)-N(I16)</f>
        <v>0</v>
      </c>
      <c r="AG16" s="444">
        <f>N('費用収益表_業務合計'!J4)-N(J16)</f>
        <v>0</v>
      </c>
      <c r="AH16" s="444">
        <f>N('費用収益表_業務合計'!K4)-N(K16)</f>
        <v>0</v>
      </c>
      <c r="AI16" s="444">
        <f>N('費用収益表_業務合計'!L4)-N(L16)</f>
        <v>0</v>
      </c>
      <c r="AJ16" s="444">
        <f>N('費用収益表_業務合計'!M4)-N(M16)</f>
        <v>0</v>
      </c>
      <c r="AK16" s="444">
        <f>N('費用収益表_業務合計'!N4)-N(N16)</f>
        <v>0</v>
      </c>
      <c r="AL16" s="444">
        <f>N('費用収益表_業務合計'!O4)-N(O16)</f>
        <v>0</v>
      </c>
      <c r="AM16" s="444">
        <f>N('費用収益表_業務合計'!P4)-N(P16)</f>
        <v>0</v>
      </c>
      <c r="AN16" s="444">
        <f>N('費用収益表_業務合計'!Q4)-N(Q16)</f>
        <v>0</v>
      </c>
      <c r="AO16" s="444">
        <f>N('費用収益表_業務合計'!R4)-N(R16)</f>
        <v>0</v>
      </c>
      <c r="AP16" s="444">
        <f>N('費用収益表_業務合計'!S4)-N(S16)</f>
        <v>0</v>
      </c>
      <c r="AQ16" s="444">
        <f>N('費用収益表_業務合計'!T4)-N(T16)</f>
        <v>0</v>
      </c>
      <c r="AR16" s="444">
        <f>N('費用収益表_業務合計'!U4)-N(U16)</f>
        <v>0</v>
      </c>
    </row>
    <row r="17">
      <c r="C17" s="443" t="n">
        <v>0</v>
      </c>
      <c r="D17" s="443" t="n">
        <v>0</v>
      </c>
      <c r="E17" s="443" t="n">
        <v>0</v>
      </c>
      <c r="F17" s="443" t="n">
        <v>0</v>
      </c>
      <c r="G17" s="443" t="n">
        <v>0</v>
      </c>
      <c r="H17" s="443" t="n">
        <v>0</v>
      </c>
      <c r="I17" s="443" t="n">
        <v>0</v>
      </c>
      <c r="J17" s="443" t="n">
        <v>0</v>
      </c>
      <c r="K17" s="443" t="n">
        <v>0</v>
      </c>
      <c r="L17" s="443" t="n">
        <v>0</v>
      </c>
      <c r="M17" s="443" t="n">
        <v>0</v>
      </c>
      <c r="N17" s="443" t="n">
        <v>0</v>
      </c>
      <c r="O17" s="443" t="n">
        <v>0</v>
      </c>
      <c r="P17" s="443" t="n">
        <v>0</v>
      </c>
      <c r="Q17" s="443" t="n">
        <v>0</v>
      </c>
      <c r="R17" s="443" t="n">
        <v>0</v>
      </c>
      <c r="S17" s="443" t="n">
        <v>0</v>
      </c>
      <c r="T17" s="443" t="n">
        <v>0</v>
      </c>
      <c r="Z17" s="444">
        <f>N('費用収益表_業務合計'!C5)-N(C17)</f>
        <v>0</v>
      </c>
      <c r="AA17" s="444">
        <f>N('費用収益表_業務合計'!D5)-N(D17)</f>
        <v>0</v>
      </c>
      <c r="AB17" s="444">
        <f>N('費用収益表_業務合計'!E5)-N(E17)</f>
        <v>0</v>
      </c>
      <c r="AC17" s="444">
        <f>N('費用収益表_業務合計'!F5)-N(F17)</f>
        <v>0</v>
      </c>
      <c r="AD17" s="444">
        <f>N('費用収益表_業務合計'!G5)-N(G17)</f>
        <v>0</v>
      </c>
      <c r="AE17" s="444">
        <f>N('費用収益表_業務合計'!H5)-N(H17)</f>
        <v>0</v>
      </c>
      <c r="AF17" s="444">
        <f>N('費用収益表_業務合計'!I5)-N(I17)</f>
        <v>0</v>
      </c>
      <c r="AG17" s="444">
        <f>N('費用収益表_業務合計'!J5)-N(J17)</f>
        <v>0</v>
      </c>
      <c r="AH17" s="444">
        <f>N('費用収益表_業務合計'!K5)-N(K17)</f>
        <v>0</v>
      </c>
      <c r="AI17" s="444">
        <f>N('費用収益表_業務合計'!L5)-N(L17)</f>
        <v>0</v>
      </c>
      <c r="AJ17" s="444">
        <f>N('費用収益表_業務合計'!M5)-N(M17)</f>
        <v>0</v>
      </c>
      <c r="AK17" s="444">
        <f>N('費用収益表_業務合計'!N5)-N(N17)</f>
        <v>0</v>
      </c>
      <c r="AL17" s="444">
        <f>N('費用収益表_業務合計'!O5)-N(O17)</f>
        <v>0</v>
      </c>
      <c r="AM17" s="444">
        <f>N('費用収益表_業務合計'!P5)-N(P17)</f>
        <v>0</v>
      </c>
      <c r="AN17" s="444">
        <f>N('費用収益表_業務合計'!Q5)-N(Q17)</f>
        <v>0</v>
      </c>
      <c r="AO17" s="444">
        <f>N('費用収益表_業務合計'!R5)-N(R17)</f>
        <v>0</v>
      </c>
      <c r="AP17" s="444">
        <f>N('費用収益表_業務合計'!S5)-N(S17)</f>
        <v>0</v>
      </c>
      <c r="AQ17" s="444">
        <f>N('費用収益表_業務合計'!T5)-N(T17)</f>
        <v>0</v>
      </c>
      <c r="AR17" s="444">
        <f>N('費用収益表_業務合計'!U5)-N(U17)</f>
        <v>0</v>
      </c>
    </row>
    <row r="18">
      <c r="C18" s="443" t="n">
        <v>0</v>
      </c>
      <c r="D18" s="443" t="n">
        <v>0</v>
      </c>
      <c r="E18" s="443" t="n">
        <v>0</v>
      </c>
      <c r="F18" s="443" t="n">
        <v>0</v>
      </c>
      <c r="G18" s="443" t="n">
        <v>0</v>
      </c>
      <c r="H18" s="443" t="n">
        <v>0</v>
      </c>
      <c r="I18" s="443" t="n">
        <v>0</v>
      </c>
      <c r="J18" s="443" t="n">
        <v>0</v>
      </c>
      <c r="K18" s="443" t="n">
        <v>0</v>
      </c>
      <c r="L18" s="443" t="n">
        <v>0</v>
      </c>
      <c r="M18" s="443" t="n">
        <v>0</v>
      </c>
      <c r="N18" s="443" t="n">
        <v>0</v>
      </c>
      <c r="O18" s="443" t="n">
        <v>0</v>
      </c>
      <c r="P18" s="443" t="n">
        <v>0</v>
      </c>
      <c r="Q18" s="443" t="n">
        <v>0</v>
      </c>
      <c r="R18" s="443" t="n">
        <v>0</v>
      </c>
      <c r="S18" s="443" t="n">
        <v>0</v>
      </c>
      <c r="T18" s="443" t="n">
        <v>0</v>
      </c>
      <c r="Z18" s="444">
        <f>N('費用収益表_業務合計'!C6)-N(C18)</f>
        <v>0</v>
      </c>
      <c r="AA18" s="444">
        <f>N('費用収益表_業務合計'!D6)-N(D18)</f>
        <v>0</v>
      </c>
      <c r="AB18" s="444">
        <f>N('費用収益表_業務合計'!E6)-N(E18)</f>
        <v>0</v>
      </c>
      <c r="AC18" s="444">
        <f>N('費用収益表_業務合計'!F6)-N(F18)</f>
        <v>0</v>
      </c>
      <c r="AD18" s="444">
        <f>N('費用収益表_業務合計'!G6)-N(G18)</f>
        <v>0</v>
      </c>
      <c r="AE18" s="444">
        <f>N('費用収益表_業務合計'!H6)-N(H18)</f>
        <v>0</v>
      </c>
      <c r="AF18" s="444">
        <f>N('費用収益表_業務合計'!I6)-N(I18)</f>
        <v>0</v>
      </c>
      <c r="AG18" s="444">
        <f>N('費用収益表_業務合計'!J6)-N(J18)</f>
        <v>0</v>
      </c>
      <c r="AH18" s="444">
        <f>N('費用収益表_業務合計'!K6)-N(K18)</f>
        <v>0</v>
      </c>
      <c r="AI18" s="444">
        <f>N('費用収益表_業務合計'!L6)-N(L18)</f>
        <v>0</v>
      </c>
      <c r="AJ18" s="444">
        <f>N('費用収益表_業務合計'!M6)-N(M18)</f>
        <v>0</v>
      </c>
      <c r="AK18" s="444">
        <f>N('費用収益表_業務合計'!N6)-N(N18)</f>
        <v>0</v>
      </c>
      <c r="AL18" s="444">
        <f>N('費用収益表_業務合計'!O6)-N(O18)</f>
        <v>0</v>
      </c>
      <c r="AM18" s="444">
        <f>N('費用収益表_業務合計'!P6)-N(P18)</f>
        <v>0</v>
      </c>
      <c r="AN18" s="444">
        <f>N('費用収益表_業務合計'!Q6)-N(Q18)</f>
        <v>0</v>
      </c>
      <c r="AO18" s="444">
        <f>N('費用収益表_業務合計'!R6)-N(R18)</f>
        <v>0</v>
      </c>
      <c r="AP18" s="444">
        <f>N('費用収益表_業務合計'!S6)-N(S18)</f>
        <v>0</v>
      </c>
      <c r="AQ18" s="444">
        <f>N('費用収益表_業務合計'!T6)-N(T18)</f>
        <v>0</v>
      </c>
      <c r="AR18" s="444">
        <f>N('費用収益表_業務合計'!U6)-N(U18)</f>
        <v>0</v>
      </c>
    </row>
    <row r="19">
      <c r="C19" s="443" t="n">
        <v>698140</v>
      </c>
      <c r="D19" s="443" t="n">
        <v>629236</v>
      </c>
      <c r="E19" s="443" t="n">
        <v>1946789</v>
      </c>
      <c r="F19" s="443" t="n">
        <v>637508</v>
      </c>
      <c r="G19" s="443" t="n">
        <v>625100</v>
      </c>
      <c r="H19" s="443" t="n">
        <v>639576</v>
      </c>
      <c r="I19" s="443" t="n">
        <v>764882</v>
      </c>
      <c r="J19" s="443" t="n">
        <v>609611</v>
      </c>
      <c r="K19" s="443" t="n">
        <v>1912393</v>
      </c>
      <c r="L19" s="443" t="n">
        <v>623876</v>
      </c>
      <c r="M19" s="443" t="n">
        <v>627946</v>
      </c>
      <c r="N19" s="443" t="n">
        <v>699347</v>
      </c>
      <c r="O19" s="443" t="n">
        <v>42640</v>
      </c>
      <c r="P19" s="443" t="n">
        <v>10457044</v>
      </c>
      <c r="Q19" s="443" t="n">
        <v>11834000</v>
      </c>
      <c r="R19" s="443" t="n">
        <v>0</v>
      </c>
      <c r="S19" s="443" t="n">
        <v>11834000</v>
      </c>
      <c r="T19" s="443" t="n">
        <v>1376956</v>
      </c>
      <c r="Z19" s="444">
        <f>N('費用収益表_業務合計'!C7)-N(C19)</f>
        <v>0</v>
      </c>
      <c r="AA19" s="444">
        <f>N('費用収益表_業務合計'!D7)-N(D19)</f>
        <v>0</v>
      </c>
      <c r="AB19" s="444">
        <f>N('費用収益表_業務合計'!E7)-N(E19)</f>
        <v>0</v>
      </c>
      <c r="AC19" s="444">
        <f>N('費用収益表_業務合計'!F7)-N(F19)</f>
        <v>0</v>
      </c>
      <c r="AD19" s="444">
        <f>N('費用収益表_業務合計'!G7)-N(G19)</f>
        <v>0</v>
      </c>
      <c r="AE19" s="444">
        <f>N('費用収益表_業務合計'!H7)-N(H19)</f>
        <v>0</v>
      </c>
      <c r="AF19" s="444">
        <f>N('費用収益表_業務合計'!I7)-N(I19)</f>
        <v>0</v>
      </c>
      <c r="AG19" s="444">
        <f>N('費用収益表_業務合計'!J7)-N(J19)</f>
        <v>0</v>
      </c>
      <c r="AH19" s="444">
        <f>N('費用収益表_業務合計'!K7)-N(K19)</f>
        <v>0</v>
      </c>
      <c r="AI19" s="444">
        <f>N('費用収益表_業務合計'!L7)-N(L19)</f>
        <v>0</v>
      </c>
      <c r="AJ19" s="444">
        <f>N('費用収益表_業務合計'!M7)-N(M19)</f>
        <v>0</v>
      </c>
      <c r="AK19" s="444">
        <f>N('費用収益表_業務合計'!N7)-N(N19)</f>
        <v>0</v>
      </c>
      <c r="AL19" s="444">
        <f>N('費用収益表_業務合計'!O7)-N(O19)</f>
        <v>0</v>
      </c>
      <c r="AM19" s="444">
        <f>N('費用収益表_業務合計'!P7)-N(P19)</f>
        <v>0</v>
      </c>
      <c r="AN19" s="444">
        <f>N('費用収益表_業務合計'!Q7)-N(Q19)</f>
        <v>0</v>
      </c>
      <c r="AO19" s="444">
        <f>N('費用収益表_業務合計'!R7)-N(R19)</f>
        <v>0</v>
      </c>
      <c r="AP19" s="444">
        <f>N('費用収益表_業務合計'!S7)-N(S19)</f>
        <v>0</v>
      </c>
      <c r="AQ19" s="444">
        <f>N('費用収益表_業務合計'!T7)-N(T19)</f>
        <v>0</v>
      </c>
      <c r="AR19" s="444">
        <f>N('費用収益表_業務合計'!U7)-N(U19)</f>
        <v>0</v>
      </c>
    </row>
    <row r="20">
      <c r="C20" s="443" t="n">
        <v>0</v>
      </c>
      <c r="D20" s="443" t="n">
        <v>0</v>
      </c>
      <c r="E20" s="443" t="n">
        <v>0</v>
      </c>
      <c r="F20" s="443" t="n">
        <v>0</v>
      </c>
      <c r="G20" s="443" t="n">
        <v>0</v>
      </c>
      <c r="H20" s="443" t="n">
        <v>0</v>
      </c>
      <c r="I20" s="443" t="n">
        <v>0</v>
      </c>
      <c r="J20" s="443" t="n">
        <v>0</v>
      </c>
      <c r="K20" s="443" t="n">
        <v>0</v>
      </c>
      <c r="L20" s="443" t="n">
        <v>0</v>
      </c>
      <c r="M20" s="443" t="n">
        <v>0</v>
      </c>
      <c r="N20" s="443" t="n">
        <v>0</v>
      </c>
      <c r="O20" s="443" t="n">
        <v>0</v>
      </c>
      <c r="P20" s="443" t="n">
        <v>0</v>
      </c>
      <c r="Q20" s="443" t="n">
        <v>0</v>
      </c>
      <c r="R20" s="443" t="n">
        <v>0</v>
      </c>
      <c r="S20" s="443" t="n">
        <v>0</v>
      </c>
      <c r="T20" s="443" t="n">
        <v>0</v>
      </c>
      <c r="Z20" s="444">
        <f>N('費用収益表_業務合計'!C8)-N(C20)</f>
        <v>0</v>
      </c>
      <c r="AA20" s="444">
        <f>N('費用収益表_業務合計'!D8)-N(D20)</f>
        <v>0</v>
      </c>
      <c r="AB20" s="444">
        <f>N('費用収益表_業務合計'!E8)-N(E20)</f>
        <v>0</v>
      </c>
      <c r="AC20" s="444">
        <f>N('費用収益表_業務合計'!F8)-N(F20)</f>
        <v>0</v>
      </c>
      <c r="AD20" s="444">
        <f>N('費用収益表_業務合計'!G8)-N(G20)</f>
        <v>0</v>
      </c>
      <c r="AE20" s="444">
        <f>N('費用収益表_業務合計'!H8)-N(H20)</f>
        <v>0</v>
      </c>
      <c r="AF20" s="444">
        <f>N('費用収益表_業務合計'!I8)-N(I20)</f>
        <v>0</v>
      </c>
      <c r="AG20" s="444">
        <f>N('費用収益表_業務合計'!J8)-N(J20)</f>
        <v>0</v>
      </c>
      <c r="AH20" s="444">
        <f>N('費用収益表_業務合計'!K8)-N(K20)</f>
        <v>0</v>
      </c>
      <c r="AI20" s="444">
        <f>N('費用収益表_業務合計'!L8)-N(L20)</f>
        <v>0</v>
      </c>
      <c r="AJ20" s="444">
        <f>N('費用収益表_業務合計'!M8)-N(M20)</f>
        <v>0</v>
      </c>
      <c r="AK20" s="444">
        <f>N('費用収益表_業務合計'!N8)-N(N20)</f>
        <v>0</v>
      </c>
      <c r="AL20" s="444">
        <f>N('費用収益表_業務合計'!O8)-N(O20)</f>
        <v>0</v>
      </c>
      <c r="AM20" s="444">
        <f>N('費用収益表_業務合計'!P8)-N(P20)</f>
        <v>0</v>
      </c>
      <c r="AN20" s="444">
        <f>N('費用収益表_業務合計'!Q8)-N(Q20)</f>
        <v>0</v>
      </c>
      <c r="AO20" s="444">
        <f>N('費用収益表_業務合計'!R8)-N(R20)</f>
        <v>0</v>
      </c>
      <c r="AP20" s="444">
        <f>N('費用収益表_業務合計'!S8)-N(S20)</f>
        <v>0</v>
      </c>
      <c r="AQ20" s="444">
        <f>N('費用収益表_業務合計'!T8)-N(T20)</f>
        <v>0</v>
      </c>
      <c r="AR20" s="444">
        <f>N('費用収益表_業務合計'!U8)-N(U20)</f>
        <v>0</v>
      </c>
    </row>
    <row r="21">
      <c r="C21" s="443" t="n">
        <v>698140</v>
      </c>
      <c r="D21" s="443" t="n">
        <v>629236</v>
      </c>
      <c r="E21" s="443" t="n">
        <v>1946789</v>
      </c>
      <c r="F21" s="443" t="n">
        <v>637508</v>
      </c>
      <c r="G21" s="443" t="n">
        <v>625100</v>
      </c>
      <c r="H21" s="443" t="n">
        <v>639576</v>
      </c>
      <c r="I21" s="443" t="n">
        <v>764882</v>
      </c>
      <c r="J21" s="443" t="n">
        <v>609611</v>
      </c>
      <c r="K21" s="443" t="n">
        <v>1912393</v>
      </c>
      <c r="L21" s="443" t="n">
        <v>623876</v>
      </c>
      <c r="M21" s="443" t="n">
        <v>627946</v>
      </c>
      <c r="N21" s="443" t="n">
        <v>699347</v>
      </c>
      <c r="O21" s="443" t="n">
        <v>42640</v>
      </c>
      <c r="P21" s="443" t="n">
        <v>10457044</v>
      </c>
      <c r="Q21" s="443" t="n">
        <v>11834000</v>
      </c>
      <c r="R21" s="443" t="n">
        <v>0</v>
      </c>
      <c r="S21" s="443" t="n">
        <v>11834000</v>
      </c>
      <c r="T21" s="443" t="n">
        <v>1376956</v>
      </c>
      <c r="Z21" s="444">
        <f>N('費用収益表_業務合計'!C9)-N(C21)</f>
        <v>0</v>
      </c>
      <c r="AA21" s="444">
        <f>N('費用収益表_業務合計'!D9)-N(D21)</f>
        <v>0</v>
      </c>
      <c r="AB21" s="444">
        <f>N('費用収益表_業務合計'!E9)-N(E21)</f>
        <v>0</v>
      </c>
      <c r="AC21" s="444">
        <f>N('費用収益表_業務合計'!F9)-N(F21)</f>
        <v>0</v>
      </c>
      <c r="AD21" s="444">
        <f>N('費用収益表_業務合計'!G9)-N(G21)</f>
        <v>0</v>
      </c>
      <c r="AE21" s="444">
        <f>N('費用収益表_業務合計'!H9)-N(H21)</f>
        <v>0</v>
      </c>
      <c r="AF21" s="444">
        <f>N('費用収益表_業務合計'!I9)-N(I21)</f>
        <v>0</v>
      </c>
      <c r="AG21" s="444">
        <f>N('費用収益表_業務合計'!J9)-N(J21)</f>
        <v>0</v>
      </c>
      <c r="AH21" s="444">
        <f>N('費用収益表_業務合計'!K9)-N(K21)</f>
        <v>0</v>
      </c>
      <c r="AI21" s="444">
        <f>N('費用収益表_業務合計'!L9)-N(L21)</f>
        <v>0</v>
      </c>
      <c r="AJ21" s="444">
        <f>N('費用収益表_業務合計'!M9)-N(M21)</f>
        <v>0</v>
      </c>
      <c r="AK21" s="444">
        <f>N('費用収益表_業務合計'!N9)-N(N21)</f>
        <v>0</v>
      </c>
      <c r="AL21" s="444">
        <f>N('費用収益表_業務合計'!O9)-N(O21)</f>
        <v>0</v>
      </c>
      <c r="AM21" s="444">
        <f>N('費用収益表_業務合計'!P9)-N(P21)</f>
        <v>0</v>
      </c>
      <c r="AN21" s="444">
        <f>N('費用収益表_業務合計'!Q9)-N(Q21)</f>
        <v>0</v>
      </c>
      <c r="AO21" s="444">
        <f>N('費用収益表_業務合計'!R9)-N(R21)</f>
        <v>0</v>
      </c>
      <c r="AP21" s="444">
        <f>N('費用収益表_業務合計'!S9)-N(S21)</f>
        <v>0</v>
      </c>
      <c r="AQ21" s="444">
        <f>N('費用収益表_業務合計'!T9)-N(T21)</f>
        <v>0</v>
      </c>
      <c r="AR21" s="444">
        <f>N('費用収益表_業務合計'!U9)-N(U21)</f>
        <v>0</v>
      </c>
    </row>
    <row r="22">
      <c r="C22" s="443" t="n">
        <v>0</v>
      </c>
      <c r="D22" s="443" t="n">
        <v>0</v>
      </c>
      <c r="E22" s="443" t="n">
        <v>0</v>
      </c>
      <c r="F22" s="443" t="n">
        <v>0</v>
      </c>
      <c r="G22" s="443" t="n">
        <v>1980</v>
      </c>
      <c r="H22" s="443" t="n">
        <v>16874</v>
      </c>
      <c r="I22" s="443" t="n">
        <v>0</v>
      </c>
      <c r="J22" s="443" t="n">
        <v>0</v>
      </c>
      <c r="K22" s="443" t="n">
        <v>0</v>
      </c>
      <c r="L22" s="443" t="n">
        <v>0</v>
      </c>
      <c r="M22" s="443" t="n">
        <v>0</v>
      </c>
      <c r="N22" s="443" t="n">
        <v>0</v>
      </c>
      <c r="O22" s="443" t="n">
        <v>0</v>
      </c>
      <c r="P22" s="443" t="n">
        <v>18854</v>
      </c>
      <c r="Q22" s="443" t="n">
        <v>87000</v>
      </c>
      <c r="R22" s="443" t="n">
        <v>0</v>
      </c>
      <c r="S22" s="443" t="n">
        <v>87000</v>
      </c>
      <c r="T22" s="443" t="n">
        <v>68146</v>
      </c>
      <c r="Z22" s="444">
        <f>N('費用収益表_業務合計'!C10)-N(C22)</f>
        <v>0</v>
      </c>
      <c r="AA22" s="444">
        <f>N('費用収益表_業務合計'!D10)-N(D22)</f>
        <v>0</v>
      </c>
      <c r="AB22" s="444">
        <f>N('費用収益表_業務合計'!E10)-N(E22)</f>
        <v>0</v>
      </c>
      <c r="AC22" s="444">
        <f>N('費用収益表_業務合計'!F10)-N(F22)</f>
        <v>0</v>
      </c>
      <c r="AD22" s="444">
        <f>N('費用収益表_業務合計'!G10)-N(G22)</f>
        <v>0</v>
      </c>
      <c r="AE22" s="444">
        <f>N('費用収益表_業務合計'!H10)-N(H22)</f>
        <v>0</v>
      </c>
      <c r="AF22" s="444">
        <f>N('費用収益表_業務合計'!I10)-N(I22)</f>
        <v>0</v>
      </c>
      <c r="AG22" s="444">
        <f>N('費用収益表_業務合計'!J10)-N(J22)</f>
        <v>0</v>
      </c>
      <c r="AH22" s="444">
        <f>N('費用収益表_業務合計'!K10)-N(K22)</f>
        <v>0</v>
      </c>
      <c r="AI22" s="444">
        <f>N('費用収益表_業務合計'!L10)-N(L22)</f>
        <v>0</v>
      </c>
      <c r="AJ22" s="444">
        <f>N('費用収益表_業務合計'!M10)-N(M22)</f>
        <v>0</v>
      </c>
      <c r="AK22" s="444">
        <f>N('費用収益表_業務合計'!N10)-N(N22)</f>
        <v>0</v>
      </c>
      <c r="AL22" s="444">
        <f>N('費用収益表_業務合計'!O10)-N(O22)</f>
        <v>0</v>
      </c>
      <c r="AM22" s="444">
        <f>N('費用収益表_業務合計'!P10)-N(P22)</f>
        <v>0</v>
      </c>
      <c r="AN22" s="444">
        <f>N('費用収益表_業務合計'!Q10)-N(Q22)</f>
        <v>0</v>
      </c>
      <c r="AO22" s="444">
        <f>N('費用収益表_業務合計'!R10)-N(R22)</f>
        <v>0</v>
      </c>
      <c r="AP22" s="444">
        <f>N('費用収益表_業務合計'!S10)-N(S22)</f>
        <v>0</v>
      </c>
      <c r="AQ22" s="444">
        <f>N('費用収益表_業務合計'!T10)-N(T22)</f>
        <v>0</v>
      </c>
      <c r="AR22" s="444">
        <f>N('費用収益表_業務合計'!U10)-N(U22)</f>
        <v>0</v>
      </c>
    </row>
    <row r="23">
      <c r="C23" s="443" t="n">
        <v>0</v>
      </c>
      <c r="D23" s="443" t="n">
        <v>0</v>
      </c>
      <c r="E23" s="443" t="n">
        <v>82920</v>
      </c>
      <c r="F23" s="443" t="n">
        <v>0</v>
      </c>
      <c r="G23" s="443" t="n">
        <v>60780</v>
      </c>
      <c r="H23" s="443" t="n">
        <v>0</v>
      </c>
      <c r="I23" s="443" t="n">
        <v>0</v>
      </c>
      <c r="J23" s="443" t="n">
        <v>38940</v>
      </c>
      <c r="K23" s="443" t="n">
        <v>80902</v>
      </c>
      <c r="L23" s="443" t="n">
        <v>0</v>
      </c>
      <c r="M23" s="443" t="n">
        <v>39340</v>
      </c>
      <c r="N23" s="443" t="n">
        <v>0</v>
      </c>
      <c r="O23" s="443" t="n">
        <v>0</v>
      </c>
      <c r="P23" s="443" t="n">
        <v>302882</v>
      </c>
      <c r="Q23" s="443" t="n">
        <v>697000</v>
      </c>
      <c r="R23" s="443" t="n">
        <v>0</v>
      </c>
      <c r="S23" s="443" t="n">
        <v>697000</v>
      </c>
      <c r="T23" s="443" t="n">
        <v>394118</v>
      </c>
      <c r="Z23" s="444">
        <f>N('費用収益表_業務合計'!C11)-N(C23)</f>
        <v>0</v>
      </c>
      <c r="AA23" s="444">
        <f>N('費用収益表_業務合計'!D11)-N(D23)</f>
        <v>0</v>
      </c>
      <c r="AB23" s="444">
        <f>N('費用収益表_業務合計'!E11)-N(E23)</f>
        <v>0</v>
      </c>
      <c r="AC23" s="444">
        <f>N('費用収益表_業務合計'!F11)-N(F23)</f>
        <v>0</v>
      </c>
      <c r="AD23" s="444">
        <f>N('費用収益表_業務合計'!G11)-N(G23)</f>
        <v>0</v>
      </c>
      <c r="AE23" s="444">
        <f>N('費用収益表_業務合計'!H11)-N(H23)</f>
        <v>0</v>
      </c>
      <c r="AF23" s="444">
        <f>N('費用収益表_業務合計'!I11)-N(I23)</f>
        <v>0</v>
      </c>
      <c r="AG23" s="444">
        <f>N('費用収益表_業務合計'!J11)-N(J23)</f>
        <v>0</v>
      </c>
      <c r="AH23" s="444">
        <f>N('費用収益表_業務合計'!K11)-N(K23)</f>
        <v>0</v>
      </c>
      <c r="AI23" s="444">
        <f>N('費用収益表_業務合計'!L11)-N(L23)</f>
        <v>0</v>
      </c>
      <c r="AJ23" s="444">
        <f>N('費用収益表_業務合計'!M11)-N(M23)</f>
        <v>0</v>
      </c>
      <c r="AK23" s="444">
        <f>N('費用収益表_業務合計'!N11)-N(N23)</f>
        <v>0</v>
      </c>
      <c r="AL23" s="444">
        <f>N('費用収益表_業務合計'!O11)-N(O23)</f>
        <v>0</v>
      </c>
      <c r="AM23" s="444">
        <f>N('費用収益表_業務合計'!P11)-N(P23)</f>
        <v>0</v>
      </c>
      <c r="AN23" s="444">
        <f>N('費用収益表_業務合計'!Q11)-N(Q23)</f>
        <v>0</v>
      </c>
      <c r="AO23" s="444">
        <f>N('費用収益表_業務合計'!R11)-N(R23)</f>
        <v>0</v>
      </c>
      <c r="AP23" s="444">
        <f>N('費用収益表_業務合計'!S11)-N(S23)</f>
        <v>0</v>
      </c>
      <c r="AQ23" s="444">
        <f>N('費用収益表_業務合計'!T11)-N(T23)</f>
        <v>0</v>
      </c>
      <c r="AR23" s="444">
        <f>N('費用収益表_業務合計'!U11)-N(U23)</f>
        <v>0</v>
      </c>
    </row>
    <row r="24">
      <c r="C24" s="443" t="n">
        <v>29260</v>
      </c>
      <c r="D24" s="443" t="n">
        <v>72448</v>
      </c>
      <c r="E24" s="443" t="n">
        <v>91498</v>
      </c>
      <c r="F24" s="443" t="n">
        <v>0</v>
      </c>
      <c r="G24" s="443" t="n">
        <v>131903</v>
      </c>
      <c r="H24" s="443" t="n">
        <v>45203</v>
      </c>
      <c r="I24" s="443" t="n">
        <v>147320</v>
      </c>
      <c r="J24" s="443" t="n">
        <v>417870</v>
      </c>
      <c r="K24" s="443" t="n">
        <v>62330</v>
      </c>
      <c r="L24" s="443" t="n">
        <v>143574</v>
      </c>
      <c r="M24" s="443" t="n">
        <v>49487</v>
      </c>
      <c r="N24" s="443" t="n">
        <v>180694</v>
      </c>
      <c r="O24" s="443" t="n">
        <v>199581</v>
      </c>
      <c r="P24" s="443" t="n">
        <v>1571168</v>
      </c>
      <c r="Q24" s="443" t="n">
        <v>2117000</v>
      </c>
      <c r="R24" s="443" t="n">
        <v>0</v>
      </c>
      <c r="S24" s="443" t="n">
        <v>2117000</v>
      </c>
      <c r="T24" s="443" t="n">
        <v>545832</v>
      </c>
      <c r="Z24" s="444">
        <f>N('費用収益表_業務合計'!C12)-N(C24)</f>
        <v>0</v>
      </c>
      <c r="AA24" s="444">
        <f>N('費用収益表_業務合計'!D12)-N(D24)</f>
        <v>0</v>
      </c>
      <c r="AB24" s="444">
        <f>N('費用収益表_業務合計'!E12)-N(E24)</f>
        <v>0</v>
      </c>
      <c r="AC24" s="444">
        <f>N('費用収益表_業務合計'!F12)-N(F24)</f>
        <v>0</v>
      </c>
      <c r="AD24" s="444">
        <f>N('費用収益表_業務合計'!G12)-N(G24)</f>
        <v>0</v>
      </c>
      <c r="AE24" s="444">
        <f>N('費用収益表_業務合計'!H12)-N(H24)</f>
        <v>0</v>
      </c>
      <c r="AF24" s="444">
        <f>N('費用収益表_業務合計'!I12)-N(I24)</f>
        <v>0</v>
      </c>
      <c r="AG24" s="444">
        <f>N('費用収益表_業務合計'!J12)-N(J24)</f>
        <v>0</v>
      </c>
      <c r="AH24" s="444">
        <f>N('費用収益表_業務合計'!K12)-N(K24)</f>
        <v>0</v>
      </c>
      <c r="AI24" s="444">
        <f>N('費用収益表_業務合計'!L12)-N(L24)</f>
        <v>0</v>
      </c>
      <c r="AJ24" s="444">
        <f>N('費用収益表_業務合計'!M12)-N(M24)</f>
        <v>0</v>
      </c>
      <c r="AK24" s="444">
        <f>N('費用収益表_業務合計'!N12)-N(N24)</f>
        <v>0</v>
      </c>
      <c r="AL24" s="444">
        <f>N('費用収益表_業務合計'!O12)-N(O24)</f>
        <v>0</v>
      </c>
      <c r="AM24" s="444">
        <f>N('費用収益表_業務合計'!P12)-N(P24)</f>
        <v>0</v>
      </c>
      <c r="AN24" s="444">
        <f>N('費用収益表_業務合計'!Q12)-N(Q24)</f>
        <v>0</v>
      </c>
      <c r="AO24" s="444">
        <f>N('費用収益表_業務合計'!R12)-N(R24)</f>
        <v>0</v>
      </c>
      <c r="AP24" s="444">
        <f>N('費用収益表_業務合計'!S12)-N(S24)</f>
        <v>0</v>
      </c>
      <c r="AQ24" s="444">
        <f>N('費用収益表_業務合計'!T12)-N(T24)</f>
        <v>0</v>
      </c>
      <c r="AR24" s="444">
        <f>N('費用収益表_業務合計'!U12)-N(U24)</f>
        <v>0</v>
      </c>
    </row>
    <row r="25">
      <c r="C25" s="443" t="n">
        <v>99220</v>
      </c>
      <c r="D25" s="443" t="n">
        <v>33154</v>
      </c>
      <c r="E25" s="443" t="n">
        <v>50754</v>
      </c>
      <c r="F25" s="443" t="n">
        <v>33154</v>
      </c>
      <c r="G25" s="443" t="n">
        <v>271964</v>
      </c>
      <c r="H25" s="443" t="n">
        <v>434830</v>
      </c>
      <c r="I25" s="443" t="n">
        <v>48619</v>
      </c>
      <c r="J25" s="443" t="n">
        <v>260854</v>
      </c>
      <c r="K25" s="443" t="n">
        <v>336393</v>
      </c>
      <c r="L25" s="443" t="n">
        <v>55204</v>
      </c>
      <c r="M25" s="443" t="n">
        <v>59554</v>
      </c>
      <c r="N25" s="443" t="n">
        <v>192065</v>
      </c>
      <c r="O25" s="443" t="n">
        <v>116600</v>
      </c>
      <c r="P25" s="443" t="n">
        <v>1992365</v>
      </c>
      <c r="Q25" s="443" t="n">
        <v>1934000</v>
      </c>
      <c r="R25" s="443" t="n">
        <v>0</v>
      </c>
      <c r="S25" s="443" t="n">
        <v>1934000</v>
      </c>
      <c r="T25" s="443" t="n">
        <v>-58365</v>
      </c>
      <c r="Z25" s="444">
        <f>N('費用収益表_業務合計'!C13)-N(C25)</f>
        <v>0</v>
      </c>
      <c r="AA25" s="444">
        <f>N('費用収益表_業務合計'!D13)-N(D25)</f>
        <v>0</v>
      </c>
      <c r="AB25" s="444">
        <f>N('費用収益表_業務合計'!E13)-N(E25)</f>
        <v>0</v>
      </c>
      <c r="AC25" s="444">
        <f>N('費用収益表_業務合計'!F13)-N(F25)</f>
        <v>0</v>
      </c>
      <c r="AD25" s="444">
        <f>N('費用収益表_業務合計'!G13)-N(G25)</f>
        <v>0</v>
      </c>
      <c r="AE25" s="444">
        <f>N('費用収益表_業務合計'!H13)-N(H25)</f>
        <v>0</v>
      </c>
      <c r="AF25" s="444">
        <f>N('費用収益表_業務合計'!I13)-N(I25)</f>
        <v>0</v>
      </c>
      <c r="AG25" s="444">
        <f>N('費用収益表_業務合計'!J13)-N(J25)</f>
        <v>0</v>
      </c>
      <c r="AH25" s="444">
        <f>N('費用収益表_業務合計'!K13)-N(K25)</f>
        <v>0</v>
      </c>
      <c r="AI25" s="444">
        <f>N('費用収益表_業務合計'!L13)-N(L25)</f>
        <v>0</v>
      </c>
      <c r="AJ25" s="444">
        <f>N('費用収益表_業務合計'!M13)-N(M25)</f>
        <v>0</v>
      </c>
      <c r="AK25" s="444">
        <f>N('費用収益表_業務合計'!N13)-N(N25)</f>
        <v>0</v>
      </c>
      <c r="AL25" s="444">
        <f>N('費用収益表_業務合計'!O13)-N(O25)</f>
        <v>0</v>
      </c>
      <c r="AM25" s="444">
        <f>N('費用収益表_業務合計'!P13)-N(P25)</f>
        <v>0</v>
      </c>
      <c r="AN25" s="444">
        <f>N('費用収益表_業務合計'!Q13)-N(Q25)</f>
        <v>0</v>
      </c>
      <c r="AO25" s="444">
        <f>N('費用収益表_業務合計'!R13)-N(R25)</f>
        <v>0</v>
      </c>
      <c r="AP25" s="444">
        <f>N('費用収益表_業務合計'!S13)-N(S25)</f>
        <v>0</v>
      </c>
      <c r="AQ25" s="444">
        <f>N('費用収益表_業務合計'!T13)-N(T25)</f>
        <v>0</v>
      </c>
      <c r="AR25" s="444">
        <f>N('費用収益表_業務合計'!U13)-N(U25)</f>
        <v>0</v>
      </c>
    </row>
    <row r="26">
      <c r="C26" s="443" t="n">
        <v>0</v>
      </c>
      <c r="D26" s="443" t="n">
        <v>267395</v>
      </c>
      <c r="E26" s="443" t="n">
        <v>164037</v>
      </c>
      <c r="F26" s="443" t="n">
        <v>157952</v>
      </c>
      <c r="G26" s="443" t="n">
        <v>171747</v>
      </c>
      <c r="H26" s="443" t="n">
        <v>177532</v>
      </c>
      <c r="I26" s="443" t="n">
        <v>186538</v>
      </c>
      <c r="J26" s="443" t="n">
        <v>174104</v>
      </c>
      <c r="K26" s="443" t="n">
        <v>162253</v>
      </c>
      <c r="L26" s="443" t="n">
        <v>172370</v>
      </c>
      <c r="M26" s="443" t="n">
        <v>172976</v>
      </c>
      <c r="N26" s="443" t="n">
        <v>162737</v>
      </c>
      <c r="O26" s="443" t="n">
        <v>165455</v>
      </c>
      <c r="P26" s="443" t="n">
        <v>2135096</v>
      </c>
      <c r="Q26" s="443" t="n">
        <v>2101000</v>
      </c>
      <c r="R26" s="443" t="n">
        <v>0</v>
      </c>
      <c r="S26" s="443" t="n">
        <v>2101000</v>
      </c>
      <c r="T26" s="443" t="n">
        <v>-34096</v>
      </c>
      <c r="Z26" s="444">
        <f>N('費用収益表_業務合計'!C14)-N(C26)</f>
        <v>0</v>
      </c>
      <c r="AA26" s="444">
        <f>N('費用収益表_業務合計'!D14)-N(D26)</f>
        <v>0</v>
      </c>
      <c r="AB26" s="444">
        <f>N('費用収益表_業務合計'!E14)-N(E26)</f>
        <v>0</v>
      </c>
      <c r="AC26" s="444">
        <f>N('費用収益表_業務合計'!F14)-N(F26)</f>
        <v>0</v>
      </c>
      <c r="AD26" s="444">
        <f>N('費用収益表_業務合計'!G14)-N(G26)</f>
        <v>0</v>
      </c>
      <c r="AE26" s="444">
        <f>N('費用収益表_業務合計'!H14)-N(H26)</f>
        <v>0</v>
      </c>
      <c r="AF26" s="444">
        <f>N('費用収益表_業務合計'!I14)-N(I26)</f>
        <v>0</v>
      </c>
      <c r="AG26" s="444">
        <f>N('費用収益表_業務合計'!J14)-N(J26)</f>
        <v>0</v>
      </c>
      <c r="AH26" s="444">
        <f>N('費用収益表_業務合計'!K14)-N(K26)</f>
        <v>0</v>
      </c>
      <c r="AI26" s="444">
        <f>N('費用収益表_業務合計'!L14)-N(L26)</f>
        <v>0</v>
      </c>
      <c r="AJ26" s="444">
        <f>N('費用収益表_業務合計'!M14)-N(M26)</f>
        <v>0</v>
      </c>
      <c r="AK26" s="444">
        <f>N('費用収益表_業務合計'!N14)-N(N26)</f>
        <v>0</v>
      </c>
      <c r="AL26" s="444">
        <f>N('費用収益表_業務合計'!O14)-N(O26)</f>
        <v>0</v>
      </c>
      <c r="AM26" s="444">
        <f>N('費用収益表_業務合計'!P14)-N(P26)</f>
        <v>0</v>
      </c>
      <c r="AN26" s="444">
        <f>N('費用収益表_業務合計'!Q14)-N(Q26)</f>
        <v>0</v>
      </c>
      <c r="AO26" s="444">
        <f>N('費用収益表_業務合計'!R14)-N(R26)</f>
        <v>0</v>
      </c>
      <c r="AP26" s="444">
        <f>N('費用収益表_業務合計'!S14)-N(S26)</f>
        <v>0</v>
      </c>
      <c r="AQ26" s="444">
        <f>N('費用収益表_業務合計'!T14)-N(T26)</f>
        <v>0</v>
      </c>
      <c r="AR26" s="444">
        <f>N('費用収益表_業務合計'!U14)-N(U26)</f>
        <v>0</v>
      </c>
    </row>
    <row r="27">
      <c r="C27" s="443" t="n">
        <v>0</v>
      </c>
      <c r="D27" s="443" t="n">
        <v>343276</v>
      </c>
      <c r="E27" s="443" t="n">
        <v>70603</v>
      </c>
      <c r="F27" s="443" t="n">
        <v>1560523</v>
      </c>
      <c r="G27" s="443" t="n">
        <v>102819</v>
      </c>
      <c r="H27" s="443" t="n">
        <v>109815</v>
      </c>
      <c r="I27" s="443" t="n">
        <v>393650</v>
      </c>
      <c r="J27" s="443" t="n">
        <v>1143632</v>
      </c>
      <c r="K27" s="443" t="n">
        <v>149148</v>
      </c>
      <c r="L27" s="443" t="n">
        <v>1295890</v>
      </c>
      <c r="M27" s="443" t="n">
        <v>1108141</v>
      </c>
      <c r="N27" s="443" t="n">
        <v>866430</v>
      </c>
      <c r="O27" s="443" t="n">
        <v>132832</v>
      </c>
      <c r="P27" s="443" t="n">
        <v>7276759</v>
      </c>
      <c r="Q27" s="443" t="n">
        <v>8501000</v>
      </c>
      <c r="R27" s="443" t="n">
        <v>0</v>
      </c>
      <c r="S27" s="443" t="n">
        <v>8501000</v>
      </c>
      <c r="T27" s="443" t="n">
        <v>1224241</v>
      </c>
      <c r="Z27" s="444">
        <f>N('費用収益表_業務合計'!C15)-N(C27)</f>
        <v>0</v>
      </c>
      <c r="AA27" s="444">
        <f>N('費用収益表_業務合計'!D15)-N(D27)</f>
        <v>0</v>
      </c>
      <c r="AB27" s="444">
        <f>N('費用収益表_業務合計'!E15)-N(E27)</f>
        <v>0</v>
      </c>
      <c r="AC27" s="444">
        <f>N('費用収益表_業務合計'!F15)-N(F27)</f>
        <v>0</v>
      </c>
      <c r="AD27" s="444">
        <f>N('費用収益表_業務合計'!G15)-N(G27)</f>
        <v>0</v>
      </c>
      <c r="AE27" s="444">
        <f>N('費用収益表_業務合計'!H15)-N(H27)</f>
        <v>0</v>
      </c>
      <c r="AF27" s="444">
        <f>N('費用収益表_業務合計'!I15)-N(I27)</f>
        <v>0</v>
      </c>
      <c r="AG27" s="444">
        <f>N('費用収益表_業務合計'!J15)-N(J27)</f>
        <v>0</v>
      </c>
      <c r="AH27" s="444">
        <f>N('費用収益表_業務合計'!K15)-N(K27)</f>
        <v>0</v>
      </c>
      <c r="AI27" s="444">
        <f>N('費用収益表_業務合計'!L15)-N(L27)</f>
        <v>0</v>
      </c>
      <c r="AJ27" s="444">
        <f>N('費用収益表_業務合計'!M15)-N(M27)</f>
        <v>0</v>
      </c>
      <c r="AK27" s="444">
        <f>N('費用収益表_業務合計'!N15)-N(N27)</f>
        <v>0</v>
      </c>
      <c r="AL27" s="444">
        <f>N('費用収益表_業務合計'!O15)-N(O27)</f>
        <v>0</v>
      </c>
      <c r="AM27" s="444">
        <f>N('費用収益表_業務合計'!P15)-N(P27)</f>
        <v>0</v>
      </c>
      <c r="AN27" s="444">
        <f>N('費用収益表_業務合計'!Q15)-N(Q27)</f>
        <v>0</v>
      </c>
      <c r="AO27" s="444">
        <f>N('費用収益表_業務合計'!R15)-N(R27)</f>
        <v>0</v>
      </c>
      <c r="AP27" s="444">
        <f>N('費用収益表_業務合計'!S15)-N(S27)</f>
        <v>0</v>
      </c>
      <c r="AQ27" s="444">
        <f>N('費用収益表_業務合計'!T15)-N(T27)</f>
        <v>0</v>
      </c>
      <c r="AR27" s="444">
        <f>N('費用収益表_業務合計'!U15)-N(U27)</f>
        <v>0</v>
      </c>
    </row>
    <row r="28">
      <c r="C28" s="443" t="n">
        <v>0</v>
      </c>
      <c r="D28" s="443" t="n">
        <v>0</v>
      </c>
      <c r="E28" s="443" t="n">
        <v>0</v>
      </c>
      <c r="F28" s="443" t="n">
        <v>0</v>
      </c>
      <c r="G28" s="443" t="n">
        <v>0</v>
      </c>
      <c r="H28" s="443" t="n">
        <v>0</v>
      </c>
      <c r="I28" s="443" t="n">
        <v>0</v>
      </c>
      <c r="J28" s="443" t="n">
        <v>0</v>
      </c>
      <c r="K28" s="443" t="n">
        <v>0</v>
      </c>
      <c r="L28" s="443" t="n">
        <v>0</v>
      </c>
      <c r="M28" s="443" t="n">
        <v>0</v>
      </c>
      <c r="N28" s="443" t="n">
        <v>0</v>
      </c>
      <c r="O28" s="443" t="n">
        <v>0</v>
      </c>
      <c r="P28" s="443" t="n">
        <v>0</v>
      </c>
      <c r="Q28" s="443" t="n">
        <v>0</v>
      </c>
      <c r="R28" s="443" t="n">
        <v>0</v>
      </c>
      <c r="S28" s="443" t="n">
        <v>0</v>
      </c>
      <c r="T28" s="443" t="n">
        <v>0</v>
      </c>
      <c r="Z28" s="444">
        <f>N('費用収益表_業務合計'!C16)-N(C28)</f>
        <v>0</v>
      </c>
      <c r="AA28" s="444">
        <f>N('費用収益表_業務合計'!D16)-N(D28)</f>
        <v>0</v>
      </c>
      <c r="AB28" s="444">
        <f>N('費用収益表_業務合計'!E16)-N(E28)</f>
        <v>0</v>
      </c>
      <c r="AC28" s="444">
        <f>N('費用収益表_業務合計'!F16)-N(F28)</f>
        <v>0</v>
      </c>
      <c r="AD28" s="444">
        <f>N('費用収益表_業務合計'!G16)-N(G28)</f>
        <v>0</v>
      </c>
      <c r="AE28" s="444">
        <f>N('費用収益表_業務合計'!H16)-N(H28)</f>
        <v>0</v>
      </c>
      <c r="AF28" s="444">
        <f>N('費用収益表_業務合計'!I16)-N(I28)</f>
        <v>0</v>
      </c>
      <c r="AG28" s="444">
        <f>N('費用収益表_業務合計'!J16)-N(J28)</f>
        <v>0</v>
      </c>
      <c r="AH28" s="444">
        <f>N('費用収益表_業務合計'!K16)-N(K28)</f>
        <v>0</v>
      </c>
      <c r="AI28" s="444">
        <f>N('費用収益表_業務合計'!L16)-N(L28)</f>
        <v>0</v>
      </c>
      <c r="AJ28" s="444">
        <f>N('費用収益表_業務合計'!M16)-N(M28)</f>
        <v>0</v>
      </c>
      <c r="AK28" s="444">
        <f>N('費用収益表_業務合計'!N16)-N(N28)</f>
        <v>0</v>
      </c>
      <c r="AL28" s="444">
        <f>N('費用収益表_業務合計'!O16)-N(O28)</f>
        <v>0</v>
      </c>
      <c r="AM28" s="444">
        <f>N('費用収益表_業務合計'!P16)-N(P28)</f>
        <v>0</v>
      </c>
      <c r="AN28" s="444">
        <f>N('費用収益表_業務合計'!Q16)-N(Q28)</f>
        <v>0</v>
      </c>
      <c r="AO28" s="444">
        <f>N('費用収益表_業務合計'!R16)-N(R28)</f>
        <v>0</v>
      </c>
      <c r="AP28" s="444">
        <f>N('費用収益表_業務合計'!S16)-N(S28)</f>
        <v>0</v>
      </c>
      <c r="AQ28" s="444">
        <f>N('費用収益表_業務合計'!T16)-N(T28)</f>
        <v>0</v>
      </c>
      <c r="AR28" s="444">
        <f>N('費用収益表_業務合計'!U16)-N(U28)</f>
        <v>0</v>
      </c>
    </row>
    <row r="29">
      <c r="C29" s="443" t="n">
        <v>0</v>
      </c>
      <c r="D29" s="443" t="n">
        <v>550</v>
      </c>
      <c r="E29" s="443" t="n">
        <v>550</v>
      </c>
      <c r="F29" s="443" t="n">
        <v>550</v>
      </c>
      <c r="G29" s="443" t="n">
        <v>550</v>
      </c>
      <c r="H29" s="443" t="n">
        <v>550</v>
      </c>
      <c r="I29" s="443" t="n">
        <v>3850</v>
      </c>
      <c r="J29" s="443" t="n">
        <v>550</v>
      </c>
      <c r="K29" s="443" t="n">
        <v>550</v>
      </c>
      <c r="L29" s="443" t="n">
        <v>550</v>
      </c>
      <c r="M29" s="443" t="n">
        <v>550</v>
      </c>
      <c r="N29" s="443" t="n">
        <v>550</v>
      </c>
      <c r="O29" s="443" t="n">
        <v>3850</v>
      </c>
      <c r="P29" s="443" t="n">
        <v>13200</v>
      </c>
      <c r="Q29" s="443" t="n">
        <v>7000</v>
      </c>
      <c r="R29" s="443" t="n">
        <v>0</v>
      </c>
      <c r="S29" s="443" t="n">
        <v>7000</v>
      </c>
      <c r="T29" s="443" t="n">
        <v>-6200</v>
      </c>
      <c r="Z29" s="444">
        <f>N('費用収益表_業務合計'!C17)-N(C29)</f>
        <v>0</v>
      </c>
      <c r="AA29" s="444">
        <f>N('費用収益表_業務合計'!D17)-N(D29)</f>
        <v>0</v>
      </c>
      <c r="AB29" s="444">
        <f>N('費用収益表_業務合計'!E17)-N(E29)</f>
        <v>0</v>
      </c>
      <c r="AC29" s="444">
        <f>N('費用収益表_業務合計'!F17)-N(F29)</f>
        <v>0</v>
      </c>
      <c r="AD29" s="444">
        <f>N('費用収益表_業務合計'!G17)-N(G29)</f>
        <v>0</v>
      </c>
      <c r="AE29" s="444">
        <f>N('費用収益表_業務合計'!H17)-N(H29)</f>
        <v>0</v>
      </c>
      <c r="AF29" s="444">
        <f>N('費用収益表_業務合計'!I17)-N(I29)</f>
        <v>0</v>
      </c>
      <c r="AG29" s="444">
        <f>N('費用収益表_業務合計'!J17)-N(J29)</f>
        <v>0</v>
      </c>
      <c r="AH29" s="444">
        <f>N('費用収益表_業務合計'!K17)-N(K29)</f>
        <v>0</v>
      </c>
      <c r="AI29" s="444">
        <f>N('費用収益表_業務合計'!L17)-N(L29)</f>
        <v>0</v>
      </c>
      <c r="AJ29" s="444">
        <f>N('費用収益表_業務合計'!M17)-N(M29)</f>
        <v>0</v>
      </c>
      <c r="AK29" s="444">
        <f>N('費用収益表_業務合計'!N17)-N(N29)</f>
        <v>0</v>
      </c>
      <c r="AL29" s="444">
        <f>N('費用収益表_業務合計'!O17)-N(O29)</f>
        <v>0</v>
      </c>
      <c r="AM29" s="444">
        <f>N('費用収益表_業務合計'!P17)-N(P29)</f>
        <v>0</v>
      </c>
      <c r="AN29" s="444">
        <f>N('費用収益表_業務合計'!Q17)-N(Q29)</f>
        <v>0</v>
      </c>
      <c r="AO29" s="444">
        <f>N('費用収益表_業務合計'!R17)-N(R29)</f>
        <v>0</v>
      </c>
      <c r="AP29" s="444">
        <f>N('費用収益表_業務合計'!S17)-N(S29)</f>
        <v>0</v>
      </c>
      <c r="AQ29" s="444">
        <f>N('費用収益表_業務合計'!T17)-N(T29)</f>
        <v>0</v>
      </c>
      <c r="AR29" s="444">
        <f>N('費用収益表_業務合計'!U17)-N(U29)</f>
        <v>0</v>
      </c>
    </row>
    <row r="30">
      <c r="C30" s="443" t="n">
        <v>128480</v>
      </c>
      <c r="D30" s="443" t="n">
        <v>716823</v>
      </c>
      <c r="E30" s="443" t="n">
        <v>377442</v>
      </c>
      <c r="F30" s="443" t="n">
        <v>1752179</v>
      </c>
      <c r="G30" s="443" t="n">
        <v>678983</v>
      </c>
      <c r="H30" s="443" t="n">
        <v>767930</v>
      </c>
      <c r="I30" s="443" t="n">
        <v>779977</v>
      </c>
      <c r="J30" s="443" t="n">
        <v>1997010</v>
      </c>
      <c r="K30" s="443" t="n">
        <v>710674</v>
      </c>
      <c r="L30" s="443" t="n">
        <v>1667588</v>
      </c>
      <c r="M30" s="443" t="n">
        <v>1390708</v>
      </c>
      <c r="N30" s="443" t="n">
        <v>1402476</v>
      </c>
      <c r="O30" s="443" t="n">
        <v>618318</v>
      </c>
      <c r="P30" s="443" t="n">
        <v>12988588</v>
      </c>
      <c r="Q30" s="443" t="n">
        <v>14660000</v>
      </c>
      <c r="R30" s="443" t="n">
        <v>0</v>
      </c>
      <c r="S30" s="443" t="n">
        <v>14660000</v>
      </c>
      <c r="T30" s="443" t="n">
        <v>1671412</v>
      </c>
      <c r="Z30" s="444">
        <f>N('費用収益表_業務合計'!C18)-N(C30)</f>
        <v>0</v>
      </c>
      <c r="AA30" s="444">
        <f>N('費用収益表_業務合計'!D18)-N(D30)</f>
        <v>0</v>
      </c>
      <c r="AB30" s="444">
        <f>N('費用収益表_業務合計'!E18)-N(E30)</f>
        <v>0</v>
      </c>
      <c r="AC30" s="444">
        <f>N('費用収益表_業務合計'!F18)-N(F30)</f>
        <v>0</v>
      </c>
      <c r="AD30" s="444">
        <f>N('費用収益表_業務合計'!G18)-N(G30)</f>
        <v>0</v>
      </c>
      <c r="AE30" s="444">
        <f>N('費用収益表_業務合計'!H18)-N(H30)</f>
        <v>0</v>
      </c>
      <c r="AF30" s="444">
        <f>N('費用収益表_業務合計'!I18)-N(I30)</f>
        <v>0</v>
      </c>
      <c r="AG30" s="444">
        <f>N('費用収益表_業務合計'!J18)-N(J30)</f>
        <v>0</v>
      </c>
      <c r="AH30" s="444">
        <f>N('費用収益表_業務合計'!K18)-N(K30)</f>
        <v>0</v>
      </c>
      <c r="AI30" s="444">
        <f>N('費用収益表_業務合計'!L18)-N(L30)</f>
        <v>0</v>
      </c>
      <c r="AJ30" s="444">
        <f>N('費用収益表_業務合計'!M18)-N(M30)</f>
        <v>0</v>
      </c>
      <c r="AK30" s="444">
        <f>N('費用収益表_業務合計'!N18)-N(N30)</f>
        <v>0</v>
      </c>
      <c r="AL30" s="444">
        <f>N('費用収益表_業務合計'!O18)-N(O30)</f>
        <v>0</v>
      </c>
      <c r="AM30" s="444">
        <f>N('費用収益表_業務合計'!P18)-N(P30)</f>
        <v>0</v>
      </c>
      <c r="AN30" s="444">
        <f>N('費用収益表_業務合計'!Q18)-N(Q30)</f>
        <v>0</v>
      </c>
      <c r="AO30" s="444">
        <f>N('費用収益表_業務合計'!R18)-N(R30)</f>
        <v>0</v>
      </c>
      <c r="AP30" s="444">
        <f>N('費用収益表_業務合計'!S18)-N(S30)</f>
        <v>0</v>
      </c>
      <c r="AQ30" s="444">
        <f>N('費用収益表_業務合計'!T18)-N(T30)</f>
        <v>0</v>
      </c>
      <c r="AR30" s="444">
        <f>N('費用収益表_業務合計'!U18)-N(U30)</f>
        <v>0</v>
      </c>
    </row>
    <row r="31">
      <c r="C31" s="443" t="n">
        <v>0</v>
      </c>
      <c r="D31" s="443" t="n">
        <v>425880</v>
      </c>
      <c r="E31" s="443" t="n">
        <v>365040</v>
      </c>
      <c r="F31" s="443" t="n">
        <v>446160</v>
      </c>
      <c r="G31" s="443" t="n">
        <v>445720</v>
      </c>
      <c r="H31" s="443" t="n">
        <v>384480</v>
      </c>
      <c r="I31" s="443" t="n">
        <v>389160</v>
      </c>
      <c r="J31" s="443" t="n">
        <v>416580</v>
      </c>
      <c r="K31" s="443" t="n">
        <v>340920</v>
      </c>
      <c r="L31" s="443" t="n">
        <v>377520</v>
      </c>
      <c r="M31" s="443" t="n">
        <v>359120</v>
      </c>
      <c r="N31" s="443" t="n">
        <v>339340</v>
      </c>
      <c r="O31" s="443" t="n">
        <v>339568</v>
      </c>
      <c r="P31" s="443" t="n">
        <v>4629488</v>
      </c>
      <c r="Q31" s="443" t="n">
        <v>5520000</v>
      </c>
      <c r="R31" s="443" t="n">
        <v>0</v>
      </c>
      <c r="S31" s="443" t="n">
        <v>5520000</v>
      </c>
      <c r="T31" s="443" t="n">
        <v>890512</v>
      </c>
      <c r="Z31" s="444">
        <f>N('費用収益表_業務合計'!C19)-N(C31)</f>
        <v>0</v>
      </c>
      <c r="AA31" s="444">
        <f>N('費用収益表_業務合計'!D19)-N(D31)</f>
        <v>0</v>
      </c>
      <c r="AB31" s="444">
        <f>N('費用収益表_業務合計'!E19)-N(E31)</f>
        <v>0</v>
      </c>
      <c r="AC31" s="444">
        <f>N('費用収益表_業務合計'!F19)-N(F31)</f>
        <v>0</v>
      </c>
      <c r="AD31" s="444">
        <f>N('費用収益表_業務合計'!G19)-N(G31)</f>
        <v>0</v>
      </c>
      <c r="AE31" s="444">
        <f>N('費用収益表_業務合計'!H19)-N(H31)</f>
        <v>0</v>
      </c>
      <c r="AF31" s="444">
        <f>N('費用収益表_業務合計'!I19)-N(I31)</f>
        <v>0</v>
      </c>
      <c r="AG31" s="444">
        <f>N('費用収益表_業務合計'!J19)-N(J31)</f>
        <v>0</v>
      </c>
      <c r="AH31" s="444">
        <f>N('費用収益表_業務合計'!K19)-N(K31)</f>
        <v>0</v>
      </c>
      <c r="AI31" s="444">
        <f>N('費用収益表_業務合計'!L19)-N(L31)</f>
        <v>0</v>
      </c>
      <c r="AJ31" s="444">
        <f>N('費用収益表_業務合計'!M19)-N(M31)</f>
        <v>0</v>
      </c>
      <c r="AK31" s="444">
        <f>N('費用収益表_業務合計'!N19)-N(N31)</f>
        <v>0</v>
      </c>
      <c r="AL31" s="444">
        <f>N('費用収益表_業務合計'!O19)-N(O31)</f>
        <v>0</v>
      </c>
      <c r="AM31" s="444">
        <f>N('費用収益表_業務合計'!P19)-N(P31)</f>
        <v>0</v>
      </c>
      <c r="AN31" s="444">
        <f>N('費用収益表_業務合計'!Q19)-N(Q31)</f>
        <v>0</v>
      </c>
      <c r="AO31" s="444">
        <f>N('費用収益表_業務合計'!R19)-N(R31)</f>
        <v>0</v>
      </c>
      <c r="AP31" s="444">
        <f>N('費用収益表_業務合計'!S19)-N(S31)</f>
        <v>0</v>
      </c>
      <c r="AQ31" s="444">
        <f>N('費用収益表_業務合計'!T19)-N(T31)</f>
        <v>0</v>
      </c>
      <c r="AR31" s="444">
        <f>N('費用収益表_業務合計'!U19)-N(U31)</f>
        <v>0</v>
      </c>
    </row>
    <row r="32">
      <c r="C32" s="443" t="n">
        <v>60235</v>
      </c>
      <c r="D32" s="443" t="n">
        <v>2146895</v>
      </c>
      <c r="E32" s="443" t="n">
        <v>188645</v>
      </c>
      <c r="F32" s="443" t="n">
        <v>343021</v>
      </c>
      <c r="G32" s="443" t="n">
        <v>1382282</v>
      </c>
      <c r="H32" s="443" t="n">
        <v>2099782</v>
      </c>
      <c r="I32" s="443" t="n">
        <v>682958</v>
      </c>
      <c r="J32" s="443" t="n">
        <v>283902</v>
      </c>
      <c r="K32" s="443" t="n">
        <v>2571355</v>
      </c>
      <c r="L32" s="443" t="n">
        <v>258591</v>
      </c>
      <c r="M32" s="443" t="n">
        <v>342161</v>
      </c>
      <c r="N32" s="443" t="n">
        <v>331327</v>
      </c>
      <c r="O32" s="443" t="n">
        <v>1396243</v>
      </c>
      <c r="P32" s="443" t="n">
        <v>12087397</v>
      </c>
      <c r="Q32" s="443" t="n">
        <v>13053000</v>
      </c>
      <c r="R32" s="443" t="n">
        <v>0</v>
      </c>
      <c r="S32" s="443" t="n">
        <v>13053000</v>
      </c>
      <c r="T32" s="443" t="n">
        <v>965603</v>
      </c>
      <c r="Z32" s="444">
        <f>N('費用収益表_業務合計'!C20)-N(C32)</f>
        <v>0</v>
      </c>
      <c r="AA32" s="444">
        <f>N('費用収益表_業務合計'!D20)-N(D32)</f>
        <v>0</v>
      </c>
      <c r="AB32" s="444">
        <f>N('費用収益表_業務合計'!E20)-N(E32)</f>
        <v>0</v>
      </c>
      <c r="AC32" s="444">
        <f>N('費用収益表_業務合計'!F20)-N(F32)</f>
        <v>0</v>
      </c>
      <c r="AD32" s="444">
        <f>N('費用収益表_業務合計'!G20)-N(G32)</f>
        <v>0</v>
      </c>
      <c r="AE32" s="444">
        <f>N('費用収益表_業務合計'!H20)-N(H32)</f>
        <v>0</v>
      </c>
      <c r="AF32" s="444">
        <f>N('費用収益表_業務合計'!I20)-N(I32)</f>
        <v>0</v>
      </c>
      <c r="AG32" s="444">
        <f>N('費用収益表_業務合計'!J20)-N(J32)</f>
        <v>0</v>
      </c>
      <c r="AH32" s="444">
        <f>N('費用収益表_業務合計'!K20)-N(K32)</f>
        <v>0</v>
      </c>
      <c r="AI32" s="444">
        <f>N('費用収益表_業務合計'!L20)-N(L32)</f>
        <v>0</v>
      </c>
      <c r="AJ32" s="444">
        <f>N('費用収益表_業務合計'!M20)-N(M32)</f>
        <v>0</v>
      </c>
      <c r="AK32" s="444">
        <f>N('費用収益表_業務合計'!N20)-N(N32)</f>
        <v>0</v>
      </c>
      <c r="AL32" s="444">
        <f>N('費用収益表_業務合計'!O20)-N(O32)</f>
        <v>0</v>
      </c>
      <c r="AM32" s="444">
        <f>N('費用収益表_業務合計'!P20)-N(P32)</f>
        <v>0</v>
      </c>
      <c r="AN32" s="444">
        <f>N('費用収益表_業務合計'!Q20)-N(Q32)</f>
        <v>0</v>
      </c>
      <c r="AO32" s="444">
        <f>N('費用収益表_業務合計'!R20)-N(R32)</f>
        <v>0</v>
      </c>
      <c r="AP32" s="444">
        <f>N('費用収益表_業務合計'!S20)-N(S32)</f>
        <v>0</v>
      </c>
      <c r="AQ32" s="444">
        <f>N('費用収益表_業務合計'!T20)-N(T32)</f>
        <v>0</v>
      </c>
      <c r="AR32" s="444">
        <f>N('費用収益表_業務合計'!U20)-N(U32)</f>
        <v>0</v>
      </c>
    </row>
    <row r="33">
      <c r="C33" s="443" t="n">
        <v>0</v>
      </c>
      <c r="D33" s="443" t="n">
        <v>0</v>
      </c>
      <c r="E33" s="443" t="n">
        <v>0</v>
      </c>
      <c r="F33" s="443" t="n">
        <v>0</v>
      </c>
      <c r="G33" s="443" t="n">
        <v>0</v>
      </c>
      <c r="H33" s="443" t="n">
        <v>0</v>
      </c>
      <c r="I33" s="443" t="n">
        <v>0</v>
      </c>
      <c r="J33" s="443" t="n">
        <v>0</v>
      </c>
      <c r="K33" s="443" t="n">
        <v>57384</v>
      </c>
      <c r="L33" s="443" t="n">
        <v>0</v>
      </c>
      <c r="M33" s="443" t="n">
        <v>0</v>
      </c>
      <c r="N33" s="443" t="n">
        <v>0</v>
      </c>
      <c r="O33" s="443" t="n">
        <v>70268</v>
      </c>
      <c r="P33" s="443" t="n">
        <v>127652</v>
      </c>
      <c r="Q33" s="443" t="n">
        <v>118000</v>
      </c>
      <c r="R33" s="443" t="n">
        <v>0</v>
      </c>
      <c r="S33" s="443" t="n">
        <v>118000</v>
      </c>
      <c r="T33" s="443" t="n">
        <v>-9652</v>
      </c>
      <c r="Z33" s="444">
        <f>N('費用収益表_業務合計'!C21)-N(C33)</f>
        <v>0</v>
      </c>
      <c r="AA33" s="444">
        <f>N('費用収益表_業務合計'!D21)-N(D33)</f>
        <v>0</v>
      </c>
      <c r="AB33" s="444">
        <f>N('費用収益表_業務合計'!E21)-N(E33)</f>
        <v>0</v>
      </c>
      <c r="AC33" s="444">
        <f>N('費用収益表_業務合計'!F21)-N(F33)</f>
        <v>0</v>
      </c>
      <c r="AD33" s="444">
        <f>N('費用収益表_業務合計'!G21)-N(G33)</f>
        <v>0</v>
      </c>
      <c r="AE33" s="444">
        <f>N('費用収益表_業務合計'!H21)-N(H33)</f>
        <v>0</v>
      </c>
      <c r="AF33" s="444">
        <f>N('費用収益表_業務合計'!I21)-N(I33)</f>
        <v>0</v>
      </c>
      <c r="AG33" s="444">
        <f>N('費用収益表_業務合計'!J21)-N(J33)</f>
        <v>0</v>
      </c>
      <c r="AH33" s="444">
        <f>N('費用収益表_業務合計'!K21)-N(K33)</f>
        <v>0</v>
      </c>
      <c r="AI33" s="444">
        <f>N('費用収益表_業務合計'!L21)-N(L33)</f>
        <v>0</v>
      </c>
      <c r="AJ33" s="444">
        <f>N('費用収益表_業務合計'!M21)-N(M33)</f>
        <v>0</v>
      </c>
      <c r="AK33" s="444">
        <f>N('費用収益表_業務合計'!N21)-N(N33)</f>
        <v>0</v>
      </c>
      <c r="AL33" s="444">
        <f>N('費用収益表_業務合計'!O21)-N(O33)</f>
        <v>0</v>
      </c>
      <c r="AM33" s="444">
        <f>N('費用収益表_業務合計'!P21)-N(P33)</f>
        <v>0</v>
      </c>
      <c r="AN33" s="444">
        <f>N('費用収益表_業務合計'!Q21)-N(Q33)</f>
        <v>0</v>
      </c>
      <c r="AO33" s="444">
        <f>N('費用収益表_業務合計'!R21)-N(R33)</f>
        <v>0</v>
      </c>
      <c r="AP33" s="444">
        <f>N('費用収益表_業務合計'!S21)-N(S33)</f>
        <v>0</v>
      </c>
      <c r="AQ33" s="444">
        <f>N('費用収益表_業務合計'!T21)-N(T33)</f>
        <v>0</v>
      </c>
      <c r="AR33" s="444">
        <f>N('費用収益表_業務合計'!U21)-N(U33)</f>
        <v>0</v>
      </c>
    </row>
    <row r="34">
      <c r="C34" s="443" t="n">
        <v>0</v>
      </c>
      <c r="D34" s="443" t="n">
        <v>0</v>
      </c>
      <c r="E34" s="443" t="n">
        <v>0</v>
      </c>
      <c r="F34" s="443" t="n">
        <v>0</v>
      </c>
      <c r="G34" s="443" t="n">
        <v>0</v>
      </c>
      <c r="H34" s="443" t="n">
        <v>0</v>
      </c>
      <c r="I34" s="443" t="n">
        <v>0</v>
      </c>
      <c r="J34" s="443" t="n">
        <v>0</v>
      </c>
      <c r="K34" s="443" t="n">
        <v>0</v>
      </c>
      <c r="L34" s="443" t="n">
        <v>0</v>
      </c>
      <c r="M34" s="443" t="n">
        <v>0</v>
      </c>
      <c r="N34" s="443" t="n">
        <v>0</v>
      </c>
      <c r="O34" s="443" t="n">
        <v>0</v>
      </c>
      <c r="P34" s="443" t="n">
        <v>0</v>
      </c>
      <c r="Q34" s="443" t="n">
        <v>0</v>
      </c>
      <c r="R34" s="443" t="n">
        <v>0</v>
      </c>
      <c r="S34" s="443" t="n">
        <v>0</v>
      </c>
      <c r="T34" s="443" t="n">
        <v>0</v>
      </c>
      <c r="Z34" s="444">
        <f>N('費用収益表_業務合計'!C22)-N(C34)</f>
        <v>0</v>
      </c>
      <c r="AA34" s="444">
        <f>N('費用収益表_業務合計'!D22)-N(D34)</f>
        <v>0</v>
      </c>
      <c r="AB34" s="444">
        <f>N('費用収益表_業務合計'!E22)-N(E34)</f>
        <v>0</v>
      </c>
      <c r="AC34" s="444">
        <f>N('費用収益表_業務合計'!F22)-N(F34)</f>
        <v>0</v>
      </c>
      <c r="AD34" s="444">
        <f>N('費用収益表_業務合計'!G22)-N(G34)</f>
        <v>0</v>
      </c>
      <c r="AE34" s="444">
        <f>N('費用収益表_業務合計'!H22)-N(H34)</f>
        <v>0</v>
      </c>
      <c r="AF34" s="444">
        <f>N('費用収益表_業務合計'!I22)-N(I34)</f>
        <v>0</v>
      </c>
      <c r="AG34" s="444">
        <f>N('費用収益表_業務合計'!J22)-N(J34)</f>
        <v>0</v>
      </c>
      <c r="AH34" s="444">
        <f>N('費用収益表_業務合計'!K22)-N(K34)</f>
        <v>0</v>
      </c>
      <c r="AI34" s="444">
        <f>N('費用収益表_業務合計'!L22)-N(L34)</f>
        <v>0</v>
      </c>
      <c r="AJ34" s="444">
        <f>N('費用収益表_業務合計'!M22)-N(M34)</f>
        <v>0</v>
      </c>
      <c r="AK34" s="444">
        <f>N('費用収益表_業務合計'!N22)-N(N34)</f>
        <v>0</v>
      </c>
      <c r="AL34" s="444">
        <f>N('費用収益表_業務合計'!O22)-N(O34)</f>
        <v>0</v>
      </c>
      <c r="AM34" s="444">
        <f>N('費用収益表_業務合計'!P22)-N(P34)</f>
        <v>0</v>
      </c>
      <c r="AN34" s="444">
        <f>N('費用収益表_業務合計'!Q22)-N(Q34)</f>
        <v>0</v>
      </c>
      <c r="AO34" s="444">
        <f>N('費用収益表_業務合計'!R22)-N(R34)</f>
        <v>0</v>
      </c>
      <c r="AP34" s="444">
        <f>N('費用収益表_業務合計'!S22)-N(S34)</f>
        <v>0</v>
      </c>
      <c r="AQ34" s="444">
        <f>N('費用収益表_業務合計'!T22)-N(T34)</f>
        <v>0</v>
      </c>
      <c r="AR34" s="444">
        <f>N('費用収益表_業務合計'!U22)-N(U34)</f>
        <v>0</v>
      </c>
    </row>
    <row r="35">
      <c r="C35" s="443" t="n">
        <v>0</v>
      </c>
      <c r="D35" s="443" t="n">
        <v>760345</v>
      </c>
      <c r="E35" s="443" t="n">
        <v>760345</v>
      </c>
      <c r="F35" s="443" t="n">
        <v>760345</v>
      </c>
      <c r="G35" s="443" t="n">
        <v>760345</v>
      </c>
      <c r="H35" s="443" t="n">
        <v>760345</v>
      </c>
      <c r="I35" s="443" t="n">
        <v>760345</v>
      </c>
      <c r="J35" s="443" t="n">
        <v>807227</v>
      </c>
      <c r="K35" s="443" t="n">
        <v>760345</v>
      </c>
      <c r="L35" s="443" t="n">
        <v>760345</v>
      </c>
      <c r="M35" s="443" t="n">
        <v>760345</v>
      </c>
      <c r="N35" s="443" t="n">
        <v>760345</v>
      </c>
      <c r="O35" s="443" t="n">
        <v>564503</v>
      </c>
      <c r="P35" s="443" t="n">
        <v>8975180</v>
      </c>
      <c r="Q35" s="443" t="n">
        <v>9468000</v>
      </c>
      <c r="R35" s="443" t="n">
        <v>0</v>
      </c>
      <c r="S35" s="443" t="n">
        <v>9468000</v>
      </c>
      <c r="T35" s="443" t="n">
        <v>492820</v>
      </c>
      <c r="Z35" s="444">
        <f>N('費用収益表_業務合計'!C23)-N(C35)</f>
        <v>0</v>
      </c>
      <c r="AA35" s="444">
        <f>N('費用収益表_業務合計'!D23)-N(D35)</f>
        <v>0</v>
      </c>
      <c r="AB35" s="444">
        <f>N('費用収益表_業務合計'!E23)-N(E35)</f>
        <v>0</v>
      </c>
      <c r="AC35" s="444">
        <f>N('費用収益表_業務合計'!F23)-N(F35)</f>
        <v>0</v>
      </c>
      <c r="AD35" s="444">
        <f>N('費用収益表_業務合計'!G23)-N(G35)</f>
        <v>0</v>
      </c>
      <c r="AE35" s="444">
        <f>N('費用収益表_業務合計'!H23)-N(H35)</f>
        <v>0</v>
      </c>
      <c r="AF35" s="444">
        <f>N('費用収益表_業務合計'!I23)-N(I35)</f>
        <v>0</v>
      </c>
      <c r="AG35" s="444">
        <f>N('費用収益表_業務合計'!J23)-N(J35)</f>
        <v>0</v>
      </c>
      <c r="AH35" s="444">
        <f>N('費用収益表_業務合計'!K23)-N(K35)</f>
        <v>0</v>
      </c>
      <c r="AI35" s="444">
        <f>N('費用収益表_業務合計'!L23)-N(L35)</f>
        <v>0</v>
      </c>
      <c r="AJ35" s="444">
        <f>N('費用収益表_業務合計'!M23)-N(M35)</f>
        <v>0</v>
      </c>
      <c r="AK35" s="444">
        <f>N('費用収益表_業務合計'!N23)-N(N35)</f>
        <v>0</v>
      </c>
      <c r="AL35" s="444">
        <f>N('費用収益表_業務合計'!O23)-N(O35)</f>
        <v>0</v>
      </c>
      <c r="AM35" s="444">
        <f>N('費用収益表_業務合計'!P23)-N(P35)</f>
        <v>0</v>
      </c>
      <c r="AN35" s="444">
        <f>N('費用収益表_業務合計'!Q23)-N(Q35)</f>
        <v>0</v>
      </c>
      <c r="AO35" s="444">
        <f>N('費用収益表_業務合計'!R23)-N(R35)</f>
        <v>0</v>
      </c>
      <c r="AP35" s="444">
        <f>N('費用収益表_業務合計'!S23)-N(S35)</f>
        <v>0</v>
      </c>
      <c r="AQ35" s="444">
        <f>N('費用収益表_業務合計'!T23)-N(T35)</f>
        <v>0</v>
      </c>
      <c r="AR35" s="444">
        <f>N('費用収益表_業務合計'!U23)-N(U35)</f>
        <v>0</v>
      </c>
    </row>
    <row r="36">
      <c r="C36" s="443" t="n">
        <v>0</v>
      </c>
      <c r="D36" s="443" t="n">
        <v>0</v>
      </c>
      <c r="E36" s="443" t="n">
        <v>0</v>
      </c>
      <c r="F36" s="443" t="n">
        <v>0</v>
      </c>
      <c r="G36" s="443" t="n">
        <v>371265</v>
      </c>
      <c r="H36" s="443" t="n">
        <v>0</v>
      </c>
      <c r="I36" s="443" t="n">
        <v>0</v>
      </c>
      <c r="J36" s="443" t="n">
        <v>429656</v>
      </c>
      <c r="K36" s="443" t="n">
        <v>0</v>
      </c>
      <c r="L36" s="443" t="n">
        <v>426611</v>
      </c>
      <c r="M36" s="443" t="n">
        <v>0</v>
      </c>
      <c r="N36" s="443" t="n">
        <v>0</v>
      </c>
      <c r="O36" s="443" t="n">
        <v>692131</v>
      </c>
      <c r="P36" s="443" t="n">
        <v>1919663</v>
      </c>
      <c r="Q36" s="443" t="n">
        <v>2525000</v>
      </c>
      <c r="R36" s="443" t="n">
        <v>0</v>
      </c>
      <c r="S36" s="443" t="n">
        <v>2525000</v>
      </c>
      <c r="T36" s="443" t="n">
        <v>605337</v>
      </c>
      <c r="Z36" s="444">
        <f>N('費用収益表_業務合計'!C24)-N(C36)</f>
        <v>0</v>
      </c>
      <c r="AA36" s="444">
        <f>N('費用収益表_業務合計'!D24)-N(D36)</f>
        <v>0</v>
      </c>
      <c r="AB36" s="444">
        <f>N('費用収益表_業務合計'!E24)-N(E36)</f>
        <v>0</v>
      </c>
      <c r="AC36" s="444">
        <f>N('費用収益表_業務合計'!F24)-N(F36)</f>
        <v>0</v>
      </c>
      <c r="AD36" s="444">
        <f>N('費用収益表_業務合計'!G24)-N(G36)</f>
        <v>0</v>
      </c>
      <c r="AE36" s="444">
        <f>N('費用収益表_業務合計'!H24)-N(H36)</f>
        <v>0</v>
      </c>
      <c r="AF36" s="444">
        <f>N('費用収益表_業務合計'!I24)-N(I36)</f>
        <v>0</v>
      </c>
      <c r="AG36" s="444">
        <f>N('費用収益表_業務合計'!J24)-N(J36)</f>
        <v>0</v>
      </c>
      <c r="AH36" s="444">
        <f>N('費用収益表_業務合計'!K24)-N(K36)</f>
        <v>0</v>
      </c>
      <c r="AI36" s="444">
        <f>N('費用収益表_業務合計'!L24)-N(L36)</f>
        <v>0</v>
      </c>
      <c r="AJ36" s="444">
        <f>N('費用収益表_業務合計'!M24)-N(M36)</f>
        <v>0</v>
      </c>
      <c r="AK36" s="444">
        <f>N('費用収益表_業務合計'!N24)-N(N36)</f>
        <v>0</v>
      </c>
      <c r="AL36" s="444">
        <f>N('費用収益表_業務合計'!O24)-N(O36)</f>
        <v>0</v>
      </c>
      <c r="AM36" s="444">
        <f>N('費用収益表_業務合計'!P24)-N(P36)</f>
        <v>0</v>
      </c>
      <c r="AN36" s="444">
        <f>N('費用収益表_業務合計'!Q24)-N(Q36)</f>
        <v>0</v>
      </c>
      <c r="AO36" s="444">
        <f>N('費用収益表_業務合計'!R24)-N(R36)</f>
        <v>0</v>
      </c>
      <c r="AP36" s="444">
        <f>N('費用収益表_業務合計'!S24)-N(S36)</f>
        <v>0</v>
      </c>
      <c r="AQ36" s="444">
        <f>N('費用収益表_業務合計'!T24)-N(T36)</f>
        <v>0</v>
      </c>
      <c r="AR36" s="444">
        <f>N('費用収益表_業務合計'!U24)-N(U36)</f>
        <v>0</v>
      </c>
    </row>
    <row r="37">
      <c r="C37" s="443" t="n">
        <v>0</v>
      </c>
      <c r="D37" s="443" t="n">
        <v>0</v>
      </c>
      <c r="E37" s="443" t="n">
        <v>0</v>
      </c>
      <c r="F37" s="443" t="n">
        <v>0</v>
      </c>
      <c r="G37" s="443" t="n">
        <v>0</v>
      </c>
      <c r="H37" s="443" t="n">
        <v>0</v>
      </c>
      <c r="I37" s="443" t="n">
        <v>0</v>
      </c>
      <c r="J37" s="443" t="n">
        <v>0</v>
      </c>
      <c r="K37" s="443" t="n">
        <v>0</v>
      </c>
      <c r="L37" s="443" t="n">
        <v>0</v>
      </c>
      <c r="M37" s="443" t="n">
        <v>0</v>
      </c>
      <c r="N37" s="443" t="n">
        <v>0</v>
      </c>
      <c r="O37" s="443" t="n">
        <v>0</v>
      </c>
      <c r="P37" s="443" t="n">
        <v>0</v>
      </c>
      <c r="Q37" s="443" t="n">
        <v>0</v>
      </c>
      <c r="R37" s="443" t="n">
        <v>0</v>
      </c>
      <c r="S37" s="443" t="n">
        <v>0</v>
      </c>
      <c r="T37" s="443" t="n">
        <v>0</v>
      </c>
      <c r="Z37" s="444">
        <f>N('費用収益表_業務合計'!C25)-N(C37)</f>
        <v>0</v>
      </c>
      <c r="AA37" s="444">
        <f>N('費用収益表_業務合計'!D25)-N(D37)</f>
        <v>0</v>
      </c>
      <c r="AB37" s="444">
        <f>N('費用収益表_業務合計'!E25)-N(E37)</f>
        <v>0</v>
      </c>
      <c r="AC37" s="444">
        <f>N('費用収益表_業務合計'!F25)-N(F37)</f>
        <v>0</v>
      </c>
      <c r="AD37" s="444">
        <f>N('費用収益表_業務合計'!G25)-N(G37)</f>
        <v>0</v>
      </c>
      <c r="AE37" s="444">
        <f>N('費用収益表_業務合計'!H25)-N(H37)</f>
        <v>0</v>
      </c>
      <c r="AF37" s="444">
        <f>N('費用収益表_業務合計'!I25)-N(I37)</f>
        <v>0</v>
      </c>
      <c r="AG37" s="444">
        <f>N('費用収益表_業務合計'!J25)-N(J37)</f>
        <v>0</v>
      </c>
      <c r="AH37" s="444">
        <f>N('費用収益表_業務合計'!K25)-N(K37)</f>
        <v>0</v>
      </c>
      <c r="AI37" s="444">
        <f>N('費用収益表_業務合計'!L25)-N(L37)</f>
        <v>0</v>
      </c>
      <c r="AJ37" s="444">
        <f>N('費用収益表_業務合計'!M25)-N(M37)</f>
        <v>0</v>
      </c>
      <c r="AK37" s="444">
        <f>N('費用収益表_業務合計'!N25)-N(N37)</f>
        <v>0</v>
      </c>
      <c r="AL37" s="444">
        <f>N('費用収益表_業務合計'!O25)-N(O37)</f>
        <v>0</v>
      </c>
      <c r="AM37" s="444">
        <f>N('費用収益表_業務合計'!P25)-N(P37)</f>
        <v>0</v>
      </c>
      <c r="AN37" s="444">
        <f>N('費用収益表_業務合計'!Q25)-N(Q37)</f>
        <v>0</v>
      </c>
      <c r="AO37" s="444">
        <f>N('費用収益表_業務合計'!R25)-N(R37)</f>
        <v>0</v>
      </c>
      <c r="AP37" s="444">
        <f>N('費用収益表_業務合計'!S25)-N(S37)</f>
        <v>0</v>
      </c>
      <c r="AQ37" s="444">
        <f>N('費用収益表_業務合計'!T25)-N(T37)</f>
        <v>0</v>
      </c>
      <c r="AR37" s="444">
        <f>N('費用収益表_業務合計'!U25)-N(U37)</f>
        <v>0</v>
      </c>
    </row>
    <row r="38">
      <c r="C38" s="443" t="n">
        <v>0</v>
      </c>
      <c r="D38" s="443" t="n">
        <v>0</v>
      </c>
      <c r="E38" s="443" t="n">
        <v>0</v>
      </c>
      <c r="F38" s="443" t="n">
        <v>0</v>
      </c>
      <c r="G38" s="443" t="n">
        <v>0</v>
      </c>
      <c r="H38" s="443" t="n">
        <v>0</v>
      </c>
      <c r="I38" s="443" t="n">
        <v>0</v>
      </c>
      <c r="J38" s="443" t="n">
        <v>0</v>
      </c>
      <c r="K38" s="443" t="n">
        <v>0</v>
      </c>
      <c r="L38" s="443" t="n">
        <v>0</v>
      </c>
      <c r="M38" s="443" t="n">
        <v>0</v>
      </c>
      <c r="N38" s="443" t="n">
        <v>0</v>
      </c>
      <c r="O38" s="443" t="n">
        <v>0</v>
      </c>
      <c r="P38" s="443" t="n">
        <v>0</v>
      </c>
      <c r="Q38" s="443" t="n">
        <v>0</v>
      </c>
      <c r="R38" s="443" t="n">
        <v>0</v>
      </c>
      <c r="S38" s="443" t="n">
        <v>0</v>
      </c>
      <c r="T38" s="443" t="n">
        <v>0</v>
      </c>
      <c r="Z38" s="444">
        <f>N('費用収益表_業務合計'!C26)-N(C38)</f>
        <v>0</v>
      </c>
      <c r="AA38" s="444">
        <f>N('費用収益表_業務合計'!D26)-N(D38)</f>
        <v>0</v>
      </c>
      <c r="AB38" s="444">
        <f>N('費用収益表_業務合計'!E26)-N(E38)</f>
        <v>0</v>
      </c>
      <c r="AC38" s="444">
        <f>N('費用収益表_業務合計'!F26)-N(F38)</f>
        <v>0</v>
      </c>
      <c r="AD38" s="444">
        <f>N('費用収益表_業務合計'!G26)-N(G38)</f>
        <v>0</v>
      </c>
      <c r="AE38" s="444">
        <f>N('費用収益表_業務合計'!H26)-N(H38)</f>
        <v>0</v>
      </c>
      <c r="AF38" s="444">
        <f>N('費用収益表_業務合計'!I26)-N(I38)</f>
        <v>0</v>
      </c>
      <c r="AG38" s="444">
        <f>N('費用収益表_業務合計'!J26)-N(J38)</f>
        <v>0</v>
      </c>
      <c r="AH38" s="444">
        <f>N('費用収益表_業務合計'!K26)-N(K38)</f>
        <v>0</v>
      </c>
      <c r="AI38" s="444">
        <f>N('費用収益表_業務合計'!L26)-N(L38)</f>
        <v>0</v>
      </c>
      <c r="AJ38" s="444">
        <f>N('費用収益表_業務合計'!M26)-N(M38)</f>
        <v>0</v>
      </c>
      <c r="AK38" s="444">
        <f>N('費用収益表_業務合計'!N26)-N(N38)</f>
        <v>0</v>
      </c>
      <c r="AL38" s="444">
        <f>N('費用収益表_業務合計'!O26)-N(O38)</f>
        <v>0</v>
      </c>
      <c r="AM38" s="444">
        <f>N('費用収益表_業務合計'!P26)-N(P38)</f>
        <v>0</v>
      </c>
      <c r="AN38" s="444">
        <f>N('費用収益表_業務合計'!Q26)-N(Q38)</f>
        <v>0</v>
      </c>
      <c r="AO38" s="444">
        <f>N('費用収益表_業務合計'!R26)-N(R38)</f>
        <v>0</v>
      </c>
      <c r="AP38" s="444">
        <f>N('費用収益表_業務合計'!S26)-N(S38)</f>
        <v>0</v>
      </c>
      <c r="AQ38" s="444">
        <f>N('費用収益表_業務合計'!T26)-N(T38)</f>
        <v>0</v>
      </c>
      <c r="AR38" s="444">
        <f>N('費用収益表_業務合計'!U26)-N(U38)</f>
        <v>0</v>
      </c>
    </row>
    <row r="39">
      <c r="C39" s="443" t="n">
        <v>706</v>
      </c>
      <c r="D39" s="443" t="n">
        <v>706</v>
      </c>
      <c r="E39" s="443" t="n">
        <v>706</v>
      </c>
      <c r="F39" s="443" t="n">
        <v>706</v>
      </c>
      <c r="G39" s="443" t="n">
        <v>706</v>
      </c>
      <c r="H39" s="443" t="n">
        <v>706</v>
      </c>
      <c r="I39" s="443" t="n">
        <v>811</v>
      </c>
      <c r="J39" s="443" t="n">
        <v>811</v>
      </c>
      <c r="K39" s="443" t="n">
        <v>811</v>
      </c>
      <c r="L39" s="443" t="n">
        <v>1081</v>
      </c>
      <c r="M39" s="443" t="n">
        <v>838</v>
      </c>
      <c r="N39" s="443" t="n">
        <v>838</v>
      </c>
      <c r="O39" s="443" t="n">
        <v>0</v>
      </c>
      <c r="P39" s="443" t="n">
        <v>9426</v>
      </c>
      <c r="Q39" s="443" t="n">
        <v>2820000</v>
      </c>
      <c r="R39" s="443" t="n">
        <v>0</v>
      </c>
      <c r="S39" s="443" t="n">
        <v>2820000</v>
      </c>
      <c r="T39" s="443" t="n">
        <v>350407</v>
      </c>
      <c r="Z39" s="444">
        <f>N('費用収益表_業務合計'!C27)-N(C39)</f>
        <v>0</v>
      </c>
      <c r="AA39" s="444">
        <f>N('費用収益表_業務合計'!D27)-N(D39)</f>
        <v>0</v>
      </c>
      <c r="AB39" s="444">
        <f>N('費用収益表_業務合計'!E27)-N(E39)</f>
        <v>0</v>
      </c>
      <c r="AC39" s="444">
        <f>N('費用収益表_業務合計'!F27)-N(F39)</f>
        <v>0</v>
      </c>
      <c r="AD39" s="444">
        <f>N('費用収益表_業務合計'!G27)-N(G39)</f>
        <v>0</v>
      </c>
      <c r="AE39" s="444">
        <f>N('費用収益表_業務合計'!H27)-N(H39)</f>
        <v>0</v>
      </c>
      <c r="AF39" s="444">
        <f>N('費用収益表_業務合計'!I27)-N(I39)</f>
        <v>0</v>
      </c>
      <c r="AG39" s="444">
        <f>N('費用収益表_業務合計'!J27)-N(J39)</f>
        <v>0</v>
      </c>
      <c r="AH39" s="444">
        <f>N('費用収益表_業務合計'!K27)-N(K39)</f>
        <v>0</v>
      </c>
      <c r="AI39" s="444">
        <f>N('費用収益表_業務合計'!L27)-N(L39)</f>
        <v>0</v>
      </c>
      <c r="AJ39" s="444">
        <f>N('費用収益表_業務合計'!M27)-N(M39)</f>
        <v>0</v>
      </c>
      <c r="AK39" s="444">
        <f>N('費用収益表_業務合計'!N27)-N(N39)</f>
        <v>0</v>
      </c>
      <c r="AL39" s="444">
        <f>N('費用収益表_業務合計'!O27)-N(O39)</f>
        <v>0</v>
      </c>
      <c r="AM39" s="444">
        <f>N('費用収益表_業務合計'!P27)-N(P39)</f>
        <v>0</v>
      </c>
      <c r="AN39" s="444">
        <f>N('費用収益表_業務合計'!Q27)-N(Q39)</f>
        <v>0</v>
      </c>
      <c r="AO39" s="444">
        <f>N('費用収益表_業務合計'!R27)-N(R39)</f>
        <v>0</v>
      </c>
      <c r="AP39" s="444">
        <f>N('費用収益表_業務合計'!S27)-N(S39)</f>
        <v>0</v>
      </c>
      <c r="AQ39" s="444">
        <f>N('費用収益表_業務合計'!T27)-N(T39)</f>
        <v>0</v>
      </c>
      <c r="AR39" s="444">
        <f>N('費用収益表_業務合計'!U27)-N(U39)</f>
        <v>0</v>
      </c>
    </row>
    <row r="40">
      <c r="C40" s="443" t="n">
        <v>0</v>
      </c>
      <c r="D40" s="443" t="n">
        <v>0</v>
      </c>
      <c r="E40" s="443" t="n">
        <v>0</v>
      </c>
      <c r="F40" s="443" t="n">
        <v>0</v>
      </c>
      <c r="G40" s="443" t="n">
        <v>0</v>
      </c>
      <c r="H40" s="443" t="n">
        <v>0</v>
      </c>
      <c r="I40" s="443" t="n">
        <v>0</v>
      </c>
      <c r="J40" s="443" t="n">
        <v>0</v>
      </c>
      <c r="K40" s="443" t="n">
        <v>0</v>
      </c>
      <c r="L40" s="443" t="n">
        <v>0</v>
      </c>
      <c r="M40" s="443" t="n">
        <v>0</v>
      </c>
      <c r="N40" s="443" t="n">
        <v>0</v>
      </c>
      <c r="O40" s="443" t="n">
        <v>0</v>
      </c>
      <c r="P40" s="443" t="n">
        <v>0</v>
      </c>
      <c r="Z40" s="444">
        <f>N('費用収益表_業務合計'!C28)-N(C40)</f>
        <v>0</v>
      </c>
      <c r="AA40" s="444">
        <f>N('費用収益表_業務合計'!D28)-N(D40)</f>
        <v>0</v>
      </c>
      <c r="AB40" s="444">
        <f>N('費用収益表_業務合計'!E28)-N(E40)</f>
        <v>0</v>
      </c>
      <c r="AC40" s="444">
        <f>N('費用収益表_業務合計'!F28)-N(F40)</f>
        <v>0</v>
      </c>
      <c r="AD40" s="444">
        <f>N('費用収益表_業務合計'!G28)-N(G40)</f>
        <v>0</v>
      </c>
      <c r="AE40" s="444">
        <f>N('費用収益表_業務合計'!H28)-N(H40)</f>
        <v>0</v>
      </c>
      <c r="AF40" s="444">
        <f>N('費用収益表_業務合計'!I28)-N(I40)</f>
        <v>0</v>
      </c>
      <c r="AG40" s="444">
        <f>N('費用収益表_業務合計'!J28)-N(J40)</f>
        <v>0</v>
      </c>
      <c r="AH40" s="444">
        <f>N('費用収益表_業務合計'!K28)-N(K40)</f>
        <v>0</v>
      </c>
      <c r="AI40" s="444">
        <f>N('費用収益表_業務合計'!L28)-N(L40)</f>
        <v>0</v>
      </c>
      <c r="AJ40" s="444">
        <f>N('費用収益表_業務合計'!M28)-N(M40)</f>
        <v>0</v>
      </c>
      <c r="AK40" s="444">
        <f>N('費用収益表_業務合計'!N28)-N(N40)</f>
        <v>0</v>
      </c>
      <c r="AL40" s="444">
        <f>N('費用収益表_業務合計'!O28)-N(O40)</f>
        <v>0</v>
      </c>
      <c r="AM40" s="444">
        <f>N('費用収益表_業務合計'!P28)-N(P40)</f>
        <v>0</v>
      </c>
      <c r="AN40" s="444">
        <f>N('費用収益表_業務合計'!Q28)-N(Q40)</f>
        <v>0</v>
      </c>
      <c r="AO40" s="444">
        <f>N('費用収益表_業務合計'!R28)-N(R40)</f>
        <v>0</v>
      </c>
      <c r="AP40" s="444">
        <f>N('費用収益表_業務合計'!S28)-N(S40)</f>
        <v>0</v>
      </c>
      <c r="AQ40" s="444">
        <f>N('費用収益表_業務合計'!T28)-N(T40)</f>
        <v>0</v>
      </c>
      <c r="AR40" s="444">
        <f>N('費用収益表_業務合計'!U28)-N(U40)</f>
        <v>0</v>
      </c>
    </row>
    <row r="41">
      <c r="C41" s="443" t="n">
        <v>59109</v>
      </c>
      <c r="D41" s="443" t="n">
        <v>59109</v>
      </c>
      <c r="E41" s="443" t="n">
        <v>135488</v>
      </c>
      <c r="F41" s="443" t="n">
        <v>59109</v>
      </c>
      <c r="G41" s="443" t="n">
        <v>59109</v>
      </c>
      <c r="H41" s="443" t="n">
        <v>58737</v>
      </c>
      <c r="I41" s="443" t="n">
        <v>62532</v>
      </c>
      <c r="J41" s="443" t="n">
        <v>62532</v>
      </c>
      <c r="K41" s="443" t="n">
        <v>127063</v>
      </c>
      <c r="L41" s="443" t="n">
        <v>66611</v>
      </c>
      <c r="M41" s="443" t="n">
        <v>62532</v>
      </c>
      <c r="N41" s="443" t="n">
        <v>66334</v>
      </c>
      <c r="O41" s="443" t="n">
        <v>0</v>
      </c>
      <c r="P41" s="443" t="n">
        <v>878265</v>
      </c>
      <c r="Z41" s="444">
        <f>N('費用収益表_業務合計'!C29)-N(C41)</f>
        <v>0</v>
      </c>
      <c r="AA41" s="444">
        <f>N('費用収益表_業務合計'!D29)-N(D41)</f>
        <v>0</v>
      </c>
      <c r="AB41" s="444">
        <f>N('費用収益表_業務合計'!E29)-N(E41)</f>
        <v>0</v>
      </c>
      <c r="AC41" s="444">
        <f>N('費用収益表_業務合計'!F29)-N(F41)</f>
        <v>0</v>
      </c>
      <c r="AD41" s="444">
        <f>N('費用収益表_業務合計'!G29)-N(G41)</f>
        <v>0</v>
      </c>
      <c r="AE41" s="444">
        <f>N('費用収益表_業務合計'!H29)-N(H41)</f>
        <v>0</v>
      </c>
      <c r="AF41" s="444">
        <f>N('費用収益表_業務合計'!I29)-N(I41)</f>
        <v>0</v>
      </c>
      <c r="AG41" s="444">
        <f>N('費用収益表_業務合計'!J29)-N(J41)</f>
        <v>0</v>
      </c>
      <c r="AH41" s="444">
        <f>N('費用収益表_業務合計'!K29)-N(K41)</f>
        <v>0</v>
      </c>
      <c r="AI41" s="444">
        <f>N('費用収益表_業務合計'!L29)-N(L41)</f>
        <v>0</v>
      </c>
      <c r="AJ41" s="444">
        <f>N('費用収益表_業務合計'!M29)-N(M41)</f>
        <v>0</v>
      </c>
      <c r="AK41" s="444">
        <f>N('費用収益表_業務合計'!N29)-N(N41)</f>
        <v>0</v>
      </c>
      <c r="AL41" s="444">
        <f>N('費用収益表_業務合計'!O29)-N(O41)</f>
        <v>0</v>
      </c>
      <c r="AM41" s="444">
        <f>N('費用収益表_業務合計'!P29)-N(P41)</f>
        <v>0</v>
      </c>
      <c r="AN41" s="444">
        <f>N('費用収益表_業務合計'!Q29)-N(Q41)</f>
        <v>0</v>
      </c>
      <c r="AO41" s="444">
        <f>N('費用収益表_業務合計'!R29)-N(R41)</f>
        <v>0</v>
      </c>
      <c r="AP41" s="444">
        <f>N('費用収益表_業務合計'!S29)-N(S41)</f>
        <v>0</v>
      </c>
      <c r="AQ41" s="444">
        <f>N('費用収益表_業務合計'!T29)-N(T41)</f>
        <v>0</v>
      </c>
      <c r="AR41" s="444">
        <f>N('費用収益表_業務合計'!U29)-N(U41)</f>
        <v>0</v>
      </c>
    </row>
    <row r="42">
      <c r="C42" s="443" t="n">
        <v>0</v>
      </c>
      <c r="D42" s="443" t="n">
        <v>0</v>
      </c>
      <c r="E42" s="443" t="n">
        <v>199710</v>
      </c>
      <c r="F42" s="443" t="n">
        <v>99855</v>
      </c>
      <c r="G42" s="443" t="n">
        <v>224817</v>
      </c>
      <c r="H42" s="443" t="n">
        <v>99855</v>
      </c>
      <c r="I42" s="443" t="n">
        <v>98904</v>
      </c>
      <c r="J42" s="443" t="n">
        <v>0</v>
      </c>
      <c r="K42" s="443" t="n">
        <v>97002</v>
      </c>
      <c r="L42" s="443" t="n">
        <v>97002</v>
      </c>
      <c r="M42" s="443" t="n">
        <v>197239</v>
      </c>
      <c r="N42" s="443" t="n">
        <v>200279</v>
      </c>
      <c r="O42" s="443" t="n">
        <v>87872</v>
      </c>
      <c r="P42" s="443" t="n">
        <v>1402535</v>
      </c>
      <c r="Z42" s="444">
        <f>N('費用収益表_業務合計'!C30)-N(C42)</f>
        <v>0</v>
      </c>
      <c r="AA42" s="444">
        <f>N('費用収益表_業務合計'!D30)-N(D42)</f>
        <v>0</v>
      </c>
      <c r="AB42" s="444">
        <f>N('費用収益表_業務合計'!E30)-N(E42)</f>
        <v>0</v>
      </c>
      <c r="AC42" s="444">
        <f>N('費用収益表_業務合計'!F30)-N(F42)</f>
        <v>0</v>
      </c>
      <c r="AD42" s="444">
        <f>N('費用収益表_業務合計'!G30)-N(G42)</f>
        <v>0</v>
      </c>
      <c r="AE42" s="444">
        <f>N('費用収益表_業務合計'!H30)-N(H42)</f>
        <v>0</v>
      </c>
      <c r="AF42" s="444">
        <f>N('費用収益表_業務合計'!I30)-N(I42)</f>
        <v>0</v>
      </c>
      <c r="AG42" s="444">
        <f>N('費用収益表_業務合計'!J30)-N(J42)</f>
        <v>0</v>
      </c>
      <c r="AH42" s="444">
        <f>N('費用収益表_業務合計'!K30)-N(K42)</f>
        <v>0</v>
      </c>
      <c r="AI42" s="444">
        <f>N('費用収益表_業務合計'!L30)-N(L42)</f>
        <v>0</v>
      </c>
      <c r="AJ42" s="444">
        <f>N('費用収益表_業務合計'!M30)-N(M42)</f>
        <v>0</v>
      </c>
      <c r="AK42" s="444">
        <f>N('費用収益表_業務合計'!N30)-N(N42)</f>
        <v>0</v>
      </c>
      <c r="AL42" s="444">
        <f>N('費用収益表_業務合計'!O30)-N(O42)</f>
        <v>0</v>
      </c>
      <c r="AM42" s="444">
        <f>N('費用収益表_業務合計'!P30)-N(P42)</f>
        <v>0</v>
      </c>
      <c r="AN42" s="444">
        <f>N('費用収益表_業務合計'!Q30)-N(Q42)</f>
        <v>0</v>
      </c>
      <c r="AO42" s="444">
        <f>N('費用収益表_業務合計'!R30)-N(R42)</f>
        <v>0</v>
      </c>
      <c r="AP42" s="444">
        <f>N('費用収益表_業務合計'!S30)-N(S42)</f>
        <v>0</v>
      </c>
      <c r="AQ42" s="444">
        <f>N('費用収益表_業務合計'!T30)-N(T42)</f>
        <v>0</v>
      </c>
      <c r="AR42" s="444">
        <f>N('費用収益表_業務合計'!U30)-N(U42)</f>
        <v>0</v>
      </c>
    </row>
    <row r="43">
      <c r="C43" s="443" t="n">
        <v>0</v>
      </c>
      <c r="D43" s="443" t="n">
        <v>0</v>
      </c>
      <c r="E43" s="443" t="n">
        <v>0</v>
      </c>
      <c r="F43" s="443" t="n">
        <v>179367</v>
      </c>
      <c r="G43" s="443" t="n">
        <v>0</v>
      </c>
      <c r="H43" s="443" t="n">
        <v>0</v>
      </c>
      <c r="I43" s="443" t="n">
        <v>0</v>
      </c>
      <c r="J43" s="443" t="n">
        <v>0</v>
      </c>
      <c r="K43" s="443" t="n">
        <v>0</v>
      </c>
      <c r="L43" s="443" t="n">
        <v>0</v>
      </c>
      <c r="M43" s="443" t="n">
        <v>0</v>
      </c>
      <c r="N43" s="443" t="n">
        <v>0</v>
      </c>
      <c r="O43" s="443" t="n">
        <v>0</v>
      </c>
      <c r="P43" s="443" t="n">
        <v>179367</v>
      </c>
      <c r="Z43" s="444">
        <f>N('費用収益表_業務合計'!C31)-N(C43)</f>
        <v>0</v>
      </c>
      <c r="AA43" s="444">
        <f>N('費用収益表_業務合計'!D31)-N(D43)</f>
        <v>0</v>
      </c>
      <c r="AB43" s="444">
        <f>N('費用収益表_業務合計'!E31)-N(E43)</f>
        <v>0</v>
      </c>
      <c r="AC43" s="444">
        <f>N('費用収益表_業務合計'!F31)-N(F43)</f>
        <v>0</v>
      </c>
      <c r="AD43" s="444">
        <f>N('費用収益表_業務合計'!G31)-N(G43)</f>
        <v>0</v>
      </c>
      <c r="AE43" s="444">
        <f>N('費用収益表_業務合計'!H31)-N(H43)</f>
        <v>0</v>
      </c>
      <c r="AF43" s="444">
        <f>N('費用収益表_業務合計'!I31)-N(I43)</f>
        <v>0</v>
      </c>
      <c r="AG43" s="444">
        <f>N('費用収益表_業務合計'!J31)-N(J43)</f>
        <v>0</v>
      </c>
      <c r="AH43" s="444">
        <f>N('費用収益表_業務合計'!K31)-N(K43)</f>
        <v>0</v>
      </c>
      <c r="AI43" s="444">
        <f>N('費用収益表_業務合計'!L31)-N(L43)</f>
        <v>0</v>
      </c>
      <c r="AJ43" s="444">
        <f>N('費用収益表_業務合計'!M31)-N(M43)</f>
        <v>0</v>
      </c>
      <c r="AK43" s="444">
        <f>N('費用収益表_業務合計'!N31)-N(N43)</f>
        <v>0</v>
      </c>
      <c r="AL43" s="444">
        <f>N('費用収益表_業務合計'!O31)-N(O43)</f>
        <v>0</v>
      </c>
      <c r="AM43" s="444">
        <f>N('費用収益表_業務合計'!P31)-N(P43)</f>
        <v>0</v>
      </c>
      <c r="AN43" s="444">
        <f>N('費用収益表_業務合計'!Q31)-N(Q43)</f>
        <v>0</v>
      </c>
      <c r="AO43" s="444">
        <f>N('費用収益表_業務合計'!R31)-N(R43)</f>
        <v>0</v>
      </c>
      <c r="AP43" s="444">
        <f>N('費用収益表_業務合計'!S31)-N(S43)</f>
        <v>0</v>
      </c>
      <c r="AQ43" s="444">
        <f>N('費用収益表_業務合計'!T31)-N(T43)</f>
        <v>0</v>
      </c>
      <c r="AR43" s="444">
        <f>N('費用収益表_業務合計'!U31)-N(U43)</f>
        <v>0</v>
      </c>
    </row>
    <row r="44">
      <c r="C44" s="443" t="n">
        <v>0</v>
      </c>
      <c r="D44" s="443" t="n">
        <v>1300</v>
      </c>
      <c r="E44" s="443" t="n">
        <v>0</v>
      </c>
      <c r="F44" s="443" t="n">
        <v>0</v>
      </c>
      <c r="G44" s="443" t="n">
        <v>0</v>
      </c>
      <c r="H44" s="443" t="n">
        <v>0</v>
      </c>
      <c r="I44" s="443" t="n">
        <v>0</v>
      </c>
      <c r="J44" s="443" t="n">
        <v>0</v>
      </c>
      <c r="K44" s="443" t="n">
        <v>0</v>
      </c>
      <c r="L44" s="443" t="n">
        <v>0</v>
      </c>
      <c r="M44" s="443" t="n">
        <v>0</v>
      </c>
      <c r="N44" s="443" t="n">
        <v>0</v>
      </c>
      <c r="O44" s="443" t="n">
        <v>0</v>
      </c>
      <c r="P44" s="443" t="n">
        <v>1300</v>
      </c>
      <c r="Q44" s="443" t="n">
        <v>2000</v>
      </c>
      <c r="R44" s="443" t="n">
        <v>0</v>
      </c>
      <c r="S44" s="443" t="n">
        <v>2000</v>
      </c>
      <c r="T44" s="443" t="n">
        <v>700</v>
      </c>
      <c r="Z44" s="444">
        <f>N('費用収益表_業務合計'!C32)-N(C44)</f>
        <v>0</v>
      </c>
      <c r="AA44" s="444">
        <f>N('費用収益表_業務合計'!D32)-N(D44)</f>
        <v>0</v>
      </c>
      <c r="AB44" s="444">
        <f>N('費用収益表_業務合計'!E32)-N(E44)</f>
        <v>0</v>
      </c>
      <c r="AC44" s="444">
        <f>N('費用収益表_業務合計'!F32)-N(F44)</f>
        <v>0</v>
      </c>
      <c r="AD44" s="444">
        <f>N('費用収益表_業務合計'!G32)-N(G44)</f>
        <v>0</v>
      </c>
      <c r="AE44" s="444">
        <f>N('費用収益表_業務合計'!H32)-N(H44)</f>
        <v>0</v>
      </c>
      <c r="AF44" s="444">
        <f>N('費用収益表_業務合計'!I32)-N(I44)</f>
        <v>0</v>
      </c>
      <c r="AG44" s="444">
        <f>N('費用収益表_業務合計'!J32)-N(J44)</f>
        <v>0</v>
      </c>
      <c r="AH44" s="444">
        <f>N('費用収益表_業務合計'!K32)-N(K44)</f>
        <v>0</v>
      </c>
      <c r="AI44" s="444">
        <f>N('費用収益表_業務合計'!L32)-N(L44)</f>
        <v>0</v>
      </c>
      <c r="AJ44" s="444">
        <f>N('費用収益表_業務合計'!M32)-N(M44)</f>
        <v>0</v>
      </c>
      <c r="AK44" s="444">
        <f>N('費用収益表_業務合計'!N32)-N(N44)</f>
        <v>0</v>
      </c>
      <c r="AL44" s="444">
        <f>N('費用収益表_業務合計'!O32)-N(O44)</f>
        <v>0</v>
      </c>
      <c r="AM44" s="444">
        <f>N('費用収益表_業務合計'!P32)-N(P44)</f>
        <v>0</v>
      </c>
      <c r="AN44" s="444">
        <f>N('費用収益表_業務合計'!Q32)-N(Q44)</f>
        <v>0</v>
      </c>
      <c r="AO44" s="444">
        <f>N('費用収益表_業務合計'!R32)-N(R44)</f>
        <v>0</v>
      </c>
      <c r="AP44" s="444">
        <f>N('費用収益表_業務合計'!S32)-N(S44)</f>
        <v>0</v>
      </c>
      <c r="AQ44" s="444">
        <f>N('費用収益表_業務合計'!T32)-N(T44)</f>
        <v>0</v>
      </c>
      <c r="AR44" s="444">
        <f>N('費用収益表_業務合計'!U32)-N(U44)</f>
        <v>0</v>
      </c>
    </row>
    <row r="45">
      <c r="C45" s="443" t="n">
        <v>59815</v>
      </c>
      <c r="D45" s="443" t="n">
        <v>61115</v>
      </c>
      <c r="E45" s="443" t="n">
        <v>335904</v>
      </c>
      <c r="F45" s="443" t="n">
        <v>339037</v>
      </c>
      <c r="G45" s="443" t="n">
        <v>284632</v>
      </c>
      <c r="H45" s="443" t="n">
        <v>159298</v>
      </c>
      <c r="I45" s="443" t="n">
        <v>162247</v>
      </c>
      <c r="J45" s="443" t="n">
        <v>63343</v>
      </c>
      <c r="K45" s="443" t="n">
        <v>224876</v>
      </c>
      <c r="L45" s="443" t="n">
        <v>164694</v>
      </c>
      <c r="M45" s="443" t="n">
        <v>260609</v>
      </c>
      <c r="N45" s="443" t="n">
        <v>267451</v>
      </c>
      <c r="O45" s="443" t="n">
        <v>87872</v>
      </c>
      <c r="P45" s="443" t="n">
        <v>2470893</v>
      </c>
      <c r="Q45" s="443" t="n">
        <v>2822000</v>
      </c>
      <c r="R45" s="443" t="n">
        <v>0</v>
      </c>
      <c r="S45" s="443" t="n">
        <v>2822000</v>
      </c>
      <c r="T45" s="443" t="n">
        <v>351107</v>
      </c>
      <c r="Z45" s="444">
        <f>N('費用収益表_業務合計'!C33)-N(C45)</f>
        <v>0</v>
      </c>
      <c r="AA45" s="444">
        <f>N('費用収益表_業務合計'!D33)-N(D45)</f>
        <v>0</v>
      </c>
      <c r="AB45" s="444">
        <f>N('費用収益表_業務合計'!E33)-N(E45)</f>
        <v>0</v>
      </c>
      <c r="AC45" s="444">
        <f>N('費用収益表_業務合計'!F33)-N(F45)</f>
        <v>0</v>
      </c>
      <c r="AD45" s="444">
        <f>N('費用収益表_業務合計'!G33)-N(G45)</f>
        <v>0</v>
      </c>
      <c r="AE45" s="444">
        <f>N('費用収益表_業務合計'!H33)-N(H45)</f>
        <v>0</v>
      </c>
      <c r="AF45" s="444">
        <f>N('費用収益表_業務合計'!I33)-N(I45)</f>
        <v>0</v>
      </c>
      <c r="AG45" s="444">
        <f>N('費用収益表_業務合計'!J33)-N(J45)</f>
        <v>0</v>
      </c>
      <c r="AH45" s="444">
        <f>N('費用収益表_業務合計'!K33)-N(K45)</f>
        <v>0</v>
      </c>
      <c r="AI45" s="444">
        <f>N('費用収益表_業務合計'!L33)-N(L45)</f>
        <v>0</v>
      </c>
      <c r="AJ45" s="444">
        <f>N('費用収益表_業務合計'!M33)-N(M45)</f>
        <v>0</v>
      </c>
      <c r="AK45" s="444">
        <f>N('費用収益表_業務合計'!N33)-N(N45)</f>
        <v>0</v>
      </c>
      <c r="AL45" s="444">
        <f>N('費用収益表_業務合計'!O33)-N(O45)</f>
        <v>0</v>
      </c>
      <c r="AM45" s="444">
        <f>N('費用収益表_業務合計'!P33)-N(P45)</f>
        <v>0</v>
      </c>
      <c r="AN45" s="444">
        <f>N('費用収益表_業務合計'!Q33)-N(Q45)</f>
        <v>0</v>
      </c>
      <c r="AO45" s="444">
        <f>N('費用収益表_業務合計'!R33)-N(R45)</f>
        <v>0</v>
      </c>
      <c r="AP45" s="444">
        <f>N('費用収益表_業務合計'!S33)-N(S45)</f>
        <v>0</v>
      </c>
      <c r="AQ45" s="444">
        <f>N('費用収益表_業務合計'!T33)-N(T45)</f>
        <v>0</v>
      </c>
      <c r="AR45" s="444">
        <f>N('費用収益表_業務合計'!U33)-N(U45)</f>
        <v>0</v>
      </c>
    </row>
    <row r="46">
      <c r="C46" s="443" t="n">
        <v>0</v>
      </c>
      <c r="D46" s="443" t="n">
        <v>0</v>
      </c>
      <c r="E46" s="443" t="n">
        <v>0</v>
      </c>
      <c r="F46" s="443" t="n">
        <v>0</v>
      </c>
      <c r="G46" s="443" t="n">
        <v>0</v>
      </c>
      <c r="H46" s="443" t="n">
        <v>20439958</v>
      </c>
      <c r="I46" s="443" t="n">
        <v>0</v>
      </c>
      <c r="J46" s="443" t="n">
        <v>0</v>
      </c>
      <c r="K46" s="443" t="n">
        <v>0</v>
      </c>
      <c r="L46" s="443" t="n">
        <v>0</v>
      </c>
      <c r="M46" s="443" t="n">
        <v>0</v>
      </c>
      <c r="N46" s="443" t="n">
        <v>0</v>
      </c>
      <c r="O46" s="443" t="n">
        <v>0</v>
      </c>
      <c r="P46" s="443" t="n">
        <v>20439958</v>
      </c>
      <c r="Q46" s="443" t="n">
        <v>20921000</v>
      </c>
      <c r="R46" s="443" t="n">
        <v>0</v>
      </c>
      <c r="S46" s="443" t="n">
        <v>20921000</v>
      </c>
      <c r="T46" s="443" t="n">
        <v>481042</v>
      </c>
      <c r="Z46" s="444">
        <f>N('費用収益表_業務合計'!C34)-N(C46)</f>
        <v>0</v>
      </c>
      <c r="AA46" s="444">
        <f>N('費用収益表_業務合計'!D34)-N(D46)</f>
        <v>0</v>
      </c>
      <c r="AB46" s="444">
        <f>N('費用収益表_業務合計'!E34)-N(E46)</f>
        <v>0</v>
      </c>
      <c r="AC46" s="444">
        <f>N('費用収益表_業務合計'!F34)-N(F46)</f>
        <v>0</v>
      </c>
      <c r="AD46" s="444">
        <f>N('費用収益表_業務合計'!G34)-N(G46)</f>
        <v>0</v>
      </c>
      <c r="AE46" s="444">
        <f>N('費用収益表_業務合計'!H34)-N(H46)</f>
        <v>0</v>
      </c>
      <c r="AF46" s="444">
        <f>N('費用収益表_業務合計'!I34)-N(I46)</f>
        <v>0</v>
      </c>
      <c r="AG46" s="444">
        <f>N('費用収益表_業務合計'!J34)-N(J46)</f>
        <v>0</v>
      </c>
      <c r="AH46" s="444">
        <f>N('費用収益表_業務合計'!K34)-N(K46)</f>
        <v>0</v>
      </c>
      <c r="AI46" s="444">
        <f>N('費用収益表_業務合計'!L34)-N(L46)</f>
        <v>0</v>
      </c>
      <c r="AJ46" s="444">
        <f>N('費用収益表_業務合計'!M34)-N(M46)</f>
        <v>0</v>
      </c>
      <c r="AK46" s="444">
        <f>N('費用収益表_業務合計'!N34)-N(N46)</f>
        <v>0</v>
      </c>
      <c r="AL46" s="444">
        <f>N('費用収益表_業務合計'!O34)-N(O46)</f>
        <v>0</v>
      </c>
      <c r="AM46" s="444">
        <f>N('費用収益表_業務合計'!P34)-N(P46)</f>
        <v>0</v>
      </c>
      <c r="AN46" s="444">
        <f>N('費用収益表_業務合計'!Q34)-N(Q46)</f>
        <v>0</v>
      </c>
      <c r="AO46" s="444">
        <f>N('費用収益表_業務合計'!R34)-N(R46)</f>
        <v>0</v>
      </c>
      <c r="AP46" s="444">
        <f>N('費用収益表_業務合計'!S34)-N(S46)</f>
        <v>0</v>
      </c>
      <c r="AQ46" s="444">
        <f>N('費用収益表_業務合計'!T34)-N(T46)</f>
        <v>0</v>
      </c>
      <c r="AR46" s="444">
        <f>N('費用収益表_業務合計'!U34)-N(U46)</f>
        <v>0</v>
      </c>
    </row>
    <row r="47">
      <c r="C47" s="443" t="n">
        <v>0</v>
      </c>
      <c r="D47" s="443" t="n">
        <v>5366000</v>
      </c>
      <c r="E47" s="443" t="n">
        <v>5366000</v>
      </c>
      <c r="F47" s="443" t="n">
        <v>5366000</v>
      </c>
      <c r="G47" s="443" t="n">
        <v>5366000</v>
      </c>
      <c r="H47" s="443" t="n">
        <v>5366000</v>
      </c>
      <c r="I47" s="443" t="n">
        <v>4513000</v>
      </c>
      <c r="J47" s="443" t="n">
        <v>4513000</v>
      </c>
      <c r="K47" s="443" t="n">
        <v>4513000</v>
      </c>
      <c r="L47" s="443" t="n">
        <v>4513000</v>
      </c>
      <c r="M47" s="443" t="n">
        <v>4513000</v>
      </c>
      <c r="N47" s="443" t="n">
        <v>9023000</v>
      </c>
      <c r="O47" s="443" t="n">
        <v>0</v>
      </c>
      <c r="P47" s="443" t="n">
        <v>58418000</v>
      </c>
      <c r="Q47" s="443" t="n">
        <v>64386000</v>
      </c>
      <c r="R47" s="443" t="n">
        <v>0</v>
      </c>
      <c r="S47" s="443" t="n">
        <v>64386000</v>
      </c>
      <c r="T47" s="443" t="n">
        <v>5968000</v>
      </c>
      <c r="Z47" s="444">
        <f>N('費用収益表_業務合計'!C35)-N(C47)</f>
        <v>0</v>
      </c>
      <c r="AA47" s="444">
        <f>N('費用収益表_業務合計'!D35)-N(D47)</f>
        <v>0</v>
      </c>
      <c r="AB47" s="444">
        <f>N('費用収益表_業務合計'!E35)-N(E47)</f>
        <v>0</v>
      </c>
      <c r="AC47" s="444">
        <f>N('費用収益表_業務合計'!F35)-N(F47)</f>
        <v>0</v>
      </c>
      <c r="AD47" s="444">
        <f>N('費用収益表_業務合計'!G35)-N(G47)</f>
        <v>0</v>
      </c>
      <c r="AE47" s="444">
        <f>N('費用収益表_業務合計'!H35)-N(H47)</f>
        <v>0</v>
      </c>
      <c r="AF47" s="444">
        <f>N('費用収益表_業務合計'!I35)-N(I47)</f>
        <v>0</v>
      </c>
      <c r="AG47" s="444">
        <f>N('費用収益表_業務合計'!J35)-N(J47)</f>
        <v>0</v>
      </c>
      <c r="AH47" s="444">
        <f>N('費用収益表_業務合計'!K35)-N(K47)</f>
        <v>0</v>
      </c>
      <c r="AI47" s="444">
        <f>N('費用収益表_業務合計'!L35)-N(L47)</f>
        <v>0</v>
      </c>
      <c r="AJ47" s="444">
        <f>N('費用収益表_業務合計'!M35)-N(M47)</f>
        <v>0</v>
      </c>
      <c r="AK47" s="444">
        <f>N('費用収益表_業務合計'!N35)-N(N47)</f>
        <v>0</v>
      </c>
      <c r="AL47" s="444">
        <f>N('費用収益表_業務合計'!O35)-N(O47)</f>
        <v>0</v>
      </c>
      <c r="AM47" s="444">
        <f>N('費用収益表_業務合計'!P35)-N(P47)</f>
        <v>0</v>
      </c>
      <c r="AN47" s="444">
        <f>N('費用収益表_業務合計'!Q35)-N(Q47)</f>
        <v>0</v>
      </c>
      <c r="AO47" s="444">
        <f>N('費用収益表_業務合計'!R35)-N(R47)</f>
        <v>0</v>
      </c>
      <c r="AP47" s="444">
        <f>N('費用収益表_業務合計'!S35)-N(S47)</f>
        <v>0</v>
      </c>
      <c r="AQ47" s="444">
        <f>N('費用収益表_業務合計'!T35)-N(T47)</f>
        <v>0</v>
      </c>
      <c r="AR47" s="444">
        <f>N('費用収益表_業務合計'!U35)-N(U47)</f>
        <v>0</v>
      </c>
    </row>
    <row r="48">
      <c r="C48" s="443" t="n">
        <v>0</v>
      </c>
      <c r="D48" s="443" t="n">
        <v>0</v>
      </c>
      <c r="E48" s="443" t="n">
        <v>0</v>
      </c>
      <c r="F48" s="443" t="n">
        <v>0</v>
      </c>
      <c r="G48" s="443" t="n">
        <v>0</v>
      </c>
      <c r="H48" s="443" t="n">
        <v>0</v>
      </c>
      <c r="I48" s="443" t="n">
        <v>0</v>
      </c>
      <c r="J48" s="443" t="n">
        <v>0</v>
      </c>
      <c r="K48" s="443" t="n">
        <v>0</v>
      </c>
      <c r="L48" s="443" t="n">
        <v>0</v>
      </c>
      <c r="M48" s="443" t="n">
        <v>0</v>
      </c>
      <c r="N48" s="443" t="n">
        <v>0</v>
      </c>
      <c r="O48" s="443" t="n">
        <v>0</v>
      </c>
      <c r="P48" s="443" t="n">
        <v>0</v>
      </c>
      <c r="Q48" s="443" t="n">
        <v>0</v>
      </c>
      <c r="R48" s="443" t="n">
        <v>0</v>
      </c>
      <c r="S48" s="443" t="n">
        <v>0</v>
      </c>
      <c r="T48" s="443" t="n">
        <v>0</v>
      </c>
      <c r="Z48" s="444">
        <f>N('費用収益表_業務合計'!C36)-N(C48)</f>
        <v>0</v>
      </c>
      <c r="AA48" s="444">
        <f>N('費用収益表_業務合計'!D36)-N(D48)</f>
        <v>0</v>
      </c>
      <c r="AB48" s="444">
        <f>N('費用収益表_業務合計'!E36)-N(E48)</f>
        <v>0</v>
      </c>
      <c r="AC48" s="444">
        <f>N('費用収益表_業務合計'!F36)-N(F48)</f>
        <v>0</v>
      </c>
      <c r="AD48" s="444">
        <f>N('費用収益表_業務合計'!G36)-N(G48)</f>
        <v>0</v>
      </c>
      <c r="AE48" s="444">
        <f>N('費用収益表_業務合計'!H36)-N(H48)</f>
        <v>0</v>
      </c>
      <c r="AF48" s="444">
        <f>N('費用収益表_業務合計'!I36)-N(I48)</f>
        <v>0</v>
      </c>
      <c r="AG48" s="444">
        <f>N('費用収益表_業務合計'!J36)-N(J48)</f>
        <v>0</v>
      </c>
      <c r="AH48" s="444">
        <f>N('費用収益表_業務合計'!K36)-N(K48)</f>
        <v>0</v>
      </c>
      <c r="AI48" s="444">
        <f>N('費用収益表_業務合計'!L36)-N(L48)</f>
        <v>0</v>
      </c>
      <c r="AJ48" s="444">
        <f>N('費用収益表_業務合計'!M36)-N(M48)</f>
        <v>0</v>
      </c>
      <c r="AK48" s="444">
        <f>N('費用収益表_業務合計'!N36)-N(N48)</f>
        <v>0</v>
      </c>
      <c r="AL48" s="444">
        <f>N('費用収益表_業務合計'!O36)-N(O48)</f>
        <v>0</v>
      </c>
      <c r="AM48" s="444">
        <f>N('費用収益表_業務合計'!P36)-N(P48)</f>
        <v>0</v>
      </c>
      <c r="AN48" s="444">
        <f>N('費用収益表_業務合計'!Q36)-N(Q48)</f>
        <v>0</v>
      </c>
      <c r="AO48" s="444">
        <f>N('費用収益表_業務合計'!R36)-N(R48)</f>
        <v>0</v>
      </c>
      <c r="AP48" s="444">
        <f>N('費用収益表_業務合計'!S36)-N(S48)</f>
        <v>0</v>
      </c>
      <c r="AQ48" s="444">
        <f>N('費用収益表_業務合計'!T36)-N(T48)</f>
        <v>0</v>
      </c>
      <c r="AR48" s="444">
        <f>N('費用収益表_業務合計'!U36)-N(U48)</f>
        <v>0</v>
      </c>
    </row>
    <row r="49">
      <c r="C49" s="443" t="n">
        <v>0</v>
      </c>
      <c r="D49" s="443" t="n">
        <v>0</v>
      </c>
      <c r="E49" s="443" t="n">
        <v>0</v>
      </c>
      <c r="F49" s="443" t="n">
        <v>0</v>
      </c>
      <c r="G49" s="443" t="n">
        <v>0</v>
      </c>
      <c r="H49" s="443" t="n">
        <v>0</v>
      </c>
      <c r="I49" s="443" t="n">
        <v>0</v>
      </c>
      <c r="J49" s="443" t="n">
        <v>0</v>
      </c>
      <c r="K49" s="443" t="n">
        <v>0</v>
      </c>
      <c r="L49" s="443" t="n">
        <v>0</v>
      </c>
      <c r="M49" s="443" t="n">
        <v>0</v>
      </c>
      <c r="N49" s="443" t="n">
        <v>0</v>
      </c>
      <c r="O49" s="443" t="n">
        <v>176556</v>
      </c>
      <c r="P49" s="443" t="n">
        <v>176556</v>
      </c>
      <c r="Q49" s="443" t="n">
        <v>172000</v>
      </c>
      <c r="R49" s="443" t="n">
        <v>0</v>
      </c>
      <c r="S49" s="443" t="n">
        <v>172000</v>
      </c>
      <c r="T49" s="443" t="n">
        <v>-4556</v>
      </c>
      <c r="Z49" s="444">
        <f>N('費用収益表_業務合計'!C37)-N(C49)</f>
        <v>0</v>
      </c>
      <c r="AA49" s="444">
        <f>N('費用収益表_業務合計'!D37)-N(D49)</f>
        <v>0</v>
      </c>
      <c r="AB49" s="444">
        <f>N('費用収益表_業務合計'!E37)-N(E49)</f>
        <v>0</v>
      </c>
      <c r="AC49" s="444">
        <f>N('費用収益表_業務合計'!F37)-N(F49)</f>
        <v>0</v>
      </c>
      <c r="AD49" s="444">
        <f>N('費用収益表_業務合計'!G37)-N(G49)</f>
        <v>0</v>
      </c>
      <c r="AE49" s="444">
        <f>N('費用収益表_業務合計'!H37)-N(H49)</f>
        <v>0</v>
      </c>
      <c r="AF49" s="444">
        <f>N('費用収益表_業務合計'!I37)-N(I49)</f>
        <v>0</v>
      </c>
      <c r="AG49" s="444">
        <f>N('費用収益表_業務合計'!J37)-N(J49)</f>
        <v>0</v>
      </c>
      <c r="AH49" s="444">
        <f>N('費用収益表_業務合計'!K37)-N(K49)</f>
        <v>0</v>
      </c>
      <c r="AI49" s="444">
        <f>N('費用収益表_業務合計'!L37)-N(L49)</f>
        <v>0</v>
      </c>
      <c r="AJ49" s="444">
        <f>N('費用収益表_業務合計'!M37)-N(M49)</f>
        <v>0</v>
      </c>
      <c r="AK49" s="444">
        <f>N('費用収益表_業務合計'!N37)-N(N49)</f>
        <v>0</v>
      </c>
      <c r="AL49" s="444">
        <f>N('費用収益表_業務合計'!O37)-N(O49)</f>
        <v>0</v>
      </c>
      <c r="AM49" s="444">
        <f>N('費用収益表_業務合計'!P37)-N(P49)</f>
        <v>0</v>
      </c>
      <c r="AN49" s="444">
        <f>N('費用収益表_業務合計'!Q37)-N(Q49)</f>
        <v>0</v>
      </c>
      <c r="AO49" s="444">
        <f>N('費用収益表_業務合計'!R37)-N(R49)</f>
        <v>0</v>
      </c>
      <c r="AP49" s="444">
        <f>N('費用収益表_業務合計'!S37)-N(S49)</f>
        <v>0</v>
      </c>
      <c r="AQ49" s="444">
        <f>N('費用収益表_業務合計'!T37)-N(T49)</f>
        <v>0</v>
      </c>
      <c r="AR49" s="444">
        <f>N('費用収益表_業務合計'!U37)-N(U49)</f>
        <v>0</v>
      </c>
    </row>
    <row r="50">
      <c r="C50" s="443" t="n">
        <v>946670</v>
      </c>
      <c r="D50" s="443" t="n">
        <v>10106294</v>
      </c>
      <c r="E50" s="443" t="n">
        <v>9445085</v>
      </c>
      <c r="F50" s="443" t="n">
        <v>9644250</v>
      </c>
      <c r="G50" s="443" t="n">
        <v>9977087</v>
      </c>
      <c r="H50" s="443" t="n">
        <v>30634243</v>
      </c>
      <c r="I50" s="443" t="n">
        <v>8052569</v>
      </c>
      <c r="J50" s="443" t="n">
        <v>9159269</v>
      </c>
      <c r="K50" s="443" t="n">
        <v>11171849</v>
      </c>
      <c r="L50" s="443" t="n">
        <v>8792225</v>
      </c>
      <c r="M50" s="443" t="n">
        <v>8293229</v>
      </c>
      <c r="N50" s="443" t="n">
        <v>12834286</v>
      </c>
      <c r="O50" s="443" t="n">
        <v>3988099</v>
      </c>
      <c r="P50" s="443" t="n">
        <v>133045155</v>
      </c>
      <c r="Q50" s="443" t="n">
        <v>146296000</v>
      </c>
      <c r="R50" s="443" t="n">
        <v>0</v>
      </c>
      <c r="S50" s="443" t="n">
        <v>146296000</v>
      </c>
      <c r="T50" s="443" t="n">
        <v>13250845</v>
      </c>
      <c r="U50" s="443" t="n">
        <v>7282845</v>
      </c>
      <c r="Z50" s="444">
        <f>N('費用収益表_業務合計'!C38)-N(C50)</f>
        <v>0</v>
      </c>
      <c r="AA50" s="444">
        <f>N('費用収益表_業務合計'!D38)-N(D50)</f>
        <v>0</v>
      </c>
      <c r="AB50" s="444">
        <f>N('費用収益表_業務合計'!E38)-N(E50)</f>
        <v>0</v>
      </c>
      <c r="AC50" s="444">
        <f>N('費用収益表_業務合計'!F38)-N(F50)</f>
        <v>0</v>
      </c>
      <c r="AD50" s="444">
        <f>N('費用収益表_業務合計'!G38)-N(G50)</f>
        <v>0</v>
      </c>
      <c r="AE50" s="444">
        <f>N('費用収益表_業務合計'!H38)-N(H50)</f>
        <v>0</v>
      </c>
      <c r="AF50" s="444">
        <f>N('費用収益表_業務合計'!I38)-N(I50)</f>
        <v>0</v>
      </c>
      <c r="AG50" s="444">
        <f>N('費用収益表_業務合計'!J38)-N(J50)</f>
        <v>0</v>
      </c>
      <c r="AH50" s="444">
        <f>N('費用収益表_業務合計'!K38)-N(K50)</f>
        <v>0</v>
      </c>
      <c r="AI50" s="444">
        <f>N('費用収益表_業務合計'!L38)-N(L50)</f>
        <v>0</v>
      </c>
      <c r="AJ50" s="444">
        <f>N('費用収益表_業務合計'!M38)-N(M50)</f>
        <v>0</v>
      </c>
      <c r="AK50" s="444">
        <f>N('費用収益表_業務合計'!N38)-N(N50)</f>
        <v>0</v>
      </c>
      <c r="AL50" s="444">
        <f>N('費用収益表_業務合計'!O38)-N(O50)</f>
        <v>0</v>
      </c>
      <c r="AM50" s="444">
        <f>N('費用収益表_業務合計'!P38)-N(P50)</f>
        <v>0</v>
      </c>
      <c r="AN50" s="444">
        <f>N('費用収益表_業務合計'!Q38)-N(Q50)</f>
        <v>0</v>
      </c>
      <c r="AO50" s="444">
        <f>N('費用収益表_業務合計'!R38)-N(R50)</f>
        <v>0</v>
      </c>
      <c r="AP50" s="444">
        <f>N('費用収益表_業務合計'!S38)-N(S50)</f>
        <v>0</v>
      </c>
      <c r="AQ50" s="444">
        <f>N('費用収益表_業務合計'!T38)-N(T50)</f>
        <v>0</v>
      </c>
      <c r="AR50" s="444">
        <f>N('費用収益表_業務合計'!U38)-N(U50)</f>
        <v>0</v>
      </c>
    </row>
    <row r="51">
      <c r="Z51" s="444">
        <f>N('費用収益表_業務合計'!C39)-N(C51)</f>
        <v>0</v>
      </c>
      <c r="AA51" s="444">
        <f>N('費用収益表_業務合計'!D39)-N(D51)</f>
        <v>0</v>
      </c>
      <c r="AB51" s="444">
        <f>N('費用収益表_業務合計'!E39)-N(E51)</f>
        <v>0</v>
      </c>
      <c r="AC51" s="444">
        <f>N('費用収益表_業務合計'!F39)-N(F51)</f>
        <v>0</v>
      </c>
      <c r="AD51" s="444">
        <f>N('費用収益表_業務合計'!G39)-N(G51)</f>
        <v>0</v>
      </c>
      <c r="AE51" s="444">
        <f>N('費用収益表_業務合計'!H39)-N(H51)</f>
        <v>0</v>
      </c>
      <c r="AF51" s="444">
        <f>N('費用収益表_業務合計'!I39)-N(I51)</f>
        <v>0</v>
      </c>
      <c r="AG51" s="444">
        <f>N('費用収益表_業務合計'!J39)-N(J51)</f>
        <v>0</v>
      </c>
      <c r="AH51" s="444">
        <f>N('費用収益表_業務合計'!K39)-N(K51)</f>
        <v>0</v>
      </c>
      <c r="AI51" s="444">
        <f>N('費用収益表_業務合計'!L39)-N(L51)</f>
        <v>0</v>
      </c>
      <c r="AJ51" s="444">
        <f>N('費用収益表_業務合計'!M39)-N(M51)</f>
        <v>0</v>
      </c>
      <c r="AK51" s="444">
        <f>N('費用収益表_業務合計'!N39)-N(N51)</f>
        <v>0</v>
      </c>
      <c r="AL51" s="444">
        <f>N('費用収益表_業務合計'!O39)-N(O51)</f>
        <v>0</v>
      </c>
      <c r="AM51" s="444">
        <f>N('費用収益表_業務合計'!P39)-N(P51)</f>
        <v>0</v>
      </c>
      <c r="AN51" s="444">
        <f>N('費用収益表_業務合計'!Q39)-N(Q51)</f>
        <v>0</v>
      </c>
      <c r="AO51" s="444">
        <f>N('費用収益表_業務合計'!R39)-N(R51)</f>
        <v>0</v>
      </c>
      <c r="AP51" s="444">
        <f>N('費用収益表_業務合計'!S39)-N(S51)</f>
        <v>0</v>
      </c>
      <c r="AQ51" s="444">
        <f>N('費用収益表_業務合計'!T39)-N(T51)</f>
        <v>0</v>
      </c>
      <c r="AR51" s="444">
        <f>N('費用収益表_業務合計'!U39)-N(U51)</f>
        <v>0</v>
      </c>
    </row>
    <row r="52">
      <c r="Z52" s="444">
        <f>N('費用収益表_業務合計'!C40)-N(C52)</f>
        <v>0</v>
      </c>
      <c r="AA52" s="444">
        <f>N('費用収益表_業務合計'!D40)-N(D52)</f>
        <v>0</v>
      </c>
      <c r="AB52" s="444">
        <f>N('費用収益表_業務合計'!E40)-N(E52)</f>
        <v>0</v>
      </c>
      <c r="AC52" s="444">
        <f>N('費用収益表_業務合計'!F40)-N(F52)</f>
        <v>0</v>
      </c>
      <c r="AD52" s="444">
        <f>N('費用収益表_業務合計'!G40)-N(G52)</f>
        <v>0</v>
      </c>
      <c r="AE52" s="444">
        <f>N('費用収益表_業務合計'!H40)-N(H52)</f>
        <v>0</v>
      </c>
      <c r="AF52" s="444">
        <f>N('費用収益表_業務合計'!I40)-N(I52)</f>
        <v>0</v>
      </c>
      <c r="AG52" s="444">
        <f>N('費用収益表_業務合計'!J40)-N(J52)</f>
        <v>0</v>
      </c>
      <c r="AH52" s="444">
        <f>N('費用収益表_業務合計'!K40)-N(K52)</f>
        <v>0</v>
      </c>
      <c r="AI52" s="444">
        <f>N('費用収益表_業務合計'!L40)-N(L52)</f>
        <v>0</v>
      </c>
      <c r="AJ52" s="444">
        <f>N('費用収益表_業務合計'!M40)-N(M52)</f>
        <v>0</v>
      </c>
      <c r="AK52" s="444">
        <f>N('費用収益表_業務合計'!N40)-N(N52)</f>
        <v>0</v>
      </c>
      <c r="AL52" s="444">
        <f>N('費用収益表_業務合計'!O40)-N(O52)</f>
        <v>0</v>
      </c>
      <c r="AM52" s="444">
        <f>N('費用収益表_業務合計'!P40)-N(P52)</f>
        <v>0</v>
      </c>
      <c r="AN52" s="444">
        <f>N('費用収益表_業務合計'!Q40)-N(Q52)</f>
        <v>0</v>
      </c>
      <c r="AO52" s="444">
        <f>N('費用収益表_業務合計'!R40)-N(R52)</f>
        <v>0</v>
      </c>
      <c r="AP52" s="444">
        <f>N('費用収益表_業務合計'!S40)-N(S52)</f>
        <v>0</v>
      </c>
      <c r="AQ52" s="444">
        <f>N('費用収益表_業務合計'!T40)-N(T52)</f>
        <v>0</v>
      </c>
      <c r="AR52" s="444">
        <f>N('費用収益表_業務合計'!U40)-N(U52)</f>
        <v>0</v>
      </c>
    </row>
    <row r="53">
      <c r="C53" s="443" t="n">
        <v>6781000</v>
      </c>
      <c r="D53" s="443" t="n">
        <v>6663000</v>
      </c>
      <c r="E53" s="443" t="n">
        <v>7975000</v>
      </c>
      <c r="F53" s="443" t="n">
        <v>10548000</v>
      </c>
      <c r="G53" s="443" t="n">
        <v>6664000</v>
      </c>
      <c r="H53" s="443" t="n">
        <v>17307000</v>
      </c>
      <c r="I53" s="443" t="n">
        <v>6990000</v>
      </c>
      <c r="J53" s="443" t="n">
        <v>6741000</v>
      </c>
      <c r="K53" s="443" t="n">
        <v>7407000</v>
      </c>
      <c r="L53" s="443" t="n">
        <v>7073000</v>
      </c>
      <c r="M53" s="443" t="n">
        <v>6722000</v>
      </c>
      <c r="N53" s="443" t="n">
        <v>8116000</v>
      </c>
      <c r="O53" s="443" t="n">
        <v>2075480</v>
      </c>
      <c r="P53" s="443" t="n">
        <v>101062480</v>
      </c>
      <c r="Q53" s="443" t="n">
        <v>94968000</v>
      </c>
      <c r="R53" s="443" t="n">
        <v>-11744404</v>
      </c>
      <c r="S53" s="443" t="n">
        <v>31002076</v>
      </c>
      <c r="Z53" s="444">
        <f>N('費用収益表_業務合計'!C41)-N(C53)</f>
        <v>0</v>
      </c>
      <c r="AA53" s="444">
        <f>N('費用収益表_業務合計'!D41)-N(D53)</f>
        <v>0</v>
      </c>
      <c r="AB53" s="444">
        <f>N('費用収益表_業務合計'!E41)-N(E53)</f>
        <v>0</v>
      </c>
      <c r="AC53" s="444">
        <f>N('費用収益表_業務合計'!F41)-N(F53)</f>
        <v>0</v>
      </c>
      <c r="AD53" s="444">
        <f>N('費用収益表_業務合計'!G41)-N(G53)</f>
        <v>0</v>
      </c>
      <c r="AE53" s="444">
        <f>N('費用収益表_業務合計'!H41)-N(H53)</f>
        <v>0</v>
      </c>
      <c r="AF53" s="444">
        <f>N('費用収益表_業務合計'!I41)-N(I53)</f>
        <v>0</v>
      </c>
      <c r="AG53" s="444">
        <f>N('費用収益表_業務合計'!J41)-N(J53)</f>
        <v>0</v>
      </c>
      <c r="AH53" s="444">
        <f>N('費用収益表_業務合計'!K41)-N(K53)</f>
        <v>0</v>
      </c>
      <c r="AI53" s="444">
        <f>N('費用収益表_業務合計'!L41)-N(L53)</f>
        <v>0</v>
      </c>
      <c r="AJ53" s="444">
        <f>N('費用収益表_業務合計'!M41)-N(M53)</f>
        <v>0</v>
      </c>
      <c r="AK53" s="444">
        <f>N('費用収益表_業務合計'!N41)-N(N53)</f>
        <v>0</v>
      </c>
      <c r="AL53" s="444">
        <f>N('費用収益表_業務合計'!O41)-N(O53)</f>
        <v>0</v>
      </c>
      <c r="AM53" s="444">
        <f>N('費用収益表_業務合計'!P41)-N(P53)</f>
        <v>0</v>
      </c>
      <c r="AN53" s="444">
        <f>N('費用収益表_業務合計'!Q41)-N(Q53)</f>
        <v>0</v>
      </c>
      <c r="AO53" s="444">
        <f>N('費用収益表_業務合計'!R41)-N(R53)</f>
        <v>0</v>
      </c>
      <c r="AP53" s="444">
        <f>N('費用収益表_業務合計'!S41)-N(S53)</f>
        <v>0</v>
      </c>
      <c r="AQ53" s="444">
        <f>N('費用収益表_業務合計'!T41)-N(T53)</f>
        <v>0</v>
      </c>
      <c r="AR53" s="444">
        <f>N('費用収益表_業務合計'!U41)-N(U53)</f>
        <v>0</v>
      </c>
    </row>
    <row r="54">
      <c r="C54" s="443" t="n">
        <v>0</v>
      </c>
      <c r="D54" s="443" t="n">
        <v>0</v>
      </c>
      <c r="E54" s="443" t="n">
        <v>0</v>
      </c>
      <c r="F54" s="443" t="n">
        <v>0</v>
      </c>
      <c r="G54" s="443" t="n">
        <v>0</v>
      </c>
      <c r="H54" s="443" t="n">
        <v>0</v>
      </c>
      <c r="I54" s="443" t="n">
        <v>0</v>
      </c>
      <c r="J54" s="443" t="n">
        <v>0</v>
      </c>
      <c r="K54" s="443" t="n">
        <v>0</v>
      </c>
      <c r="L54" s="443" t="n">
        <v>0</v>
      </c>
      <c r="M54" s="443" t="n">
        <v>0</v>
      </c>
      <c r="N54" s="443" t="n">
        <v>75258</v>
      </c>
      <c r="O54" s="443" t="n">
        <v>0</v>
      </c>
      <c r="P54" s="443" t="n">
        <v>75258</v>
      </c>
      <c r="Q54" s="443" t="n">
        <v>0</v>
      </c>
      <c r="R54" s="443" t="n">
        <v>0</v>
      </c>
      <c r="S54" s="443" t="n">
        <v>0</v>
      </c>
      <c r="Z54" s="444">
        <f>N('費用収益表_業務合計'!C42)-N(C54)</f>
        <v>0</v>
      </c>
      <c r="AA54" s="444">
        <f>N('費用収益表_業務合計'!D42)-N(D54)</f>
        <v>0</v>
      </c>
      <c r="AB54" s="444">
        <f>N('費用収益表_業務合計'!E42)-N(E54)</f>
        <v>0</v>
      </c>
      <c r="AC54" s="444">
        <f>N('費用収益表_業務合計'!F42)-N(F54)</f>
        <v>0</v>
      </c>
      <c r="AD54" s="444">
        <f>N('費用収益表_業務合計'!G42)-N(G54)</f>
        <v>0</v>
      </c>
      <c r="AE54" s="444">
        <f>N('費用収益表_業務合計'!H42)-N(H54)</f>
        <v>0</v>
      </c>
      <c r="AF54" s="444">
        <f>N('費用収益表_業務合計'!I42)-N(I54)</f>
        <v>0</v>
      </c>
      <c r="AG54" s="444">
        <f>N('費用収益表_業務合計'!J42)-N(J54)</f>
        <v>0</v>
      </c>
      <c r="AH54" s="444">
        <f>N('費用収益表_業務合計'!K42)-N(K54)</f>
        <v>0</v>
      </c>
      <c r="AI54" s="444">
        <f>N('費用収益表_業務合計'!L42)-N(L54)</f>
        <v>0</v>
      </c>
      <c r="AJ54" s="444">
        <f>N('費用収益表_業務合計'!M42)-N(M54)</f>
        <v>0</v>
      </c>
      <c r="AK54" s="444">
        <f>N('費用収益表_業務合計'!N42)-N(N54)</f>
        <v>0</v>
      </c>
      <c r="AL54" s="444">
        <f>N('費用収益表_業務合計'!O42)-N(O54)</f>
        <v>0</v>
      </c>
      <c r="AM54" s="444">
        <f>N('費用収益表_業務合計'!P42)-N(P54)</f>
        <v>0</v>
      </c>
      <c r="AN54" s="444">
        <f>N('費用収益表_業務合計'!Q42)-N(Q54)</f>
        <v>0</v>
      </c>
      <c r="AO54" s="444">
        <f>N('費用収益表_業務合計'!R42)-N(R54)</f>
        <v>0</v>
      </c>
      <c r="AP54" s="444">
        <f>N('費用収益表_業務合計'!S42)-N(S54)</f>
        <v>0</v>
      </c>
      <c r="AQ54" s="444">
        <f>N('費用収益表_業務合計'!T42)-N(T54)</f>
        <v>0</v>
      </c>
      <c r="AR54" s="444">
        <f>N('費用収益表_業務合計'!U42)-N(U54)</f>
        <v>0</v>
      </c>
    </row>
    <row r="55">
      <c r="C55" s="443" t="n">
        <v>0</v>
      </c>
      <c r="D55" s="443" t="n">
        <v>4513000</v>
      </c>
      <c r="E55" s="443" t="n">
        <v>5366000</v>
      </c>
      <c r="F55" s="443" t="n">
        <v>5366000</v>
      </c>
      <c r="G55" s="443" t="n">
        <v>5366000</v>
      </c>
      <c r="H55" s="443" t="n">
        <v>5369148</v>
      </c>
      <c r="I55" s="443" t="n">
        <v>0</v>
      </c>
      <c r="J55" s="443" t="n">
        <v>-261410</v>
      </c>
      <c r="K55" s="443" t="n">
        <v>0</v>
      </c>
      <c r="L55" s="443" t="n">
        <v>0</v>
      </c>
      <c r="M55" s="443" t="n">
        <v>0</v>
      </c>
      <c r="N55" s="443" t="n">
        <v>0</v>
      </c>
      <c r="O55" s="443" t="n">
        <v>0</v>
      </c>
      <c r="P55" s="443" t="n">
        <v>25718738</v>
      </c>
      <c r="Q55" s="443" t="n">
        <v>23147000</v>
      </c>
      <c r="R55" s="443" t="n">
        <v>0</v>
      </c>
      <c r="S55" s="443" t="n">
        <v>0</v>
      </c>
      <c r="Z55" s="444">
        <f>N('費用収益表_業務合計'!C43)-N(C55)</f>
        <v>0</v>
      </c>
      <c r="AA55" s="444">
        <f>N('費用収益表_業務合計'!D43)-N(D55)</f>
        <v>0</v>
      </c>
      <c r="AB55" s="444">
        <f>N('費用収益表_業務合計'!E43)-N(E55)</f>
        <v>0</v>
      </c>
      <c r="AC55" s="444">
        <f>N('費用収益表_業務合計'!F43)-N(F55)</f>
        <v>0</v>
      </c>
      <c r="AD55" s="444">
        <f>N('費用収益表_業務合計'!G43)-N(G55)</f>
        <v>0</v>
      </c>
      <c r="AE55" s="444">
        <f>N('費用収益表_業務合計'!H43)-N(H55)</f>
        <v>0</v>
      </c>
      <c r="AF55" s="444">
        <f>N('費用収益表_業務合計'!I43)-N(I55)</f>
        <v>0</v>
      </c>
      <c r="AG55" s="444">
        <f>N('費用収益表_業務合計'!J43)-N(J55)</f>
        <v>0</v>
      </c>
      <c r="AH55" s="444">
        <f>N('費用収益表_業務合計'!K43)-N(K55)</f>
        <v>0</v>
      </c>
      <c r="AI55" s="444">
        <f>N('費用収益表_業務合計'!L43)-N(L55)</f>
        <v>0</v>
      </c>
      <c r="AJ55" s="444">
        <f>N('費用収益表_業務合計'!M43)-N(M55)</f>
        <v>0</v>
      </c>
      <c r="AK55" s="444">
        <f>N('費用収益表_業務合計'!N43)-N(N55)</f>
        <v>0</v>
      </c>
      <c r="AL55" s="444">
        <f>N('費用収益表_業務合計'!O43)-N(O55)</f>
        <v>0</v>
      </c>
      <c r="AM55" s="444">
        <f>N('費用収益表_業務合計'!P43)-N(P55)</f>
        <v>0</v>
      </c>
      <c r="AN55" s="444">
        <f>N('費用収益表_業務合計'!Q43)-N(Q55)</f>
        <v>0</v>
      </c>
      <c r="AO55" s="444">
        <f>N('費用収益表_業務合計'!R43)-N(R55)</f>
        <v>0</v>
      </c>
      <c r="AP55" s="444">
        <f>N('費用収益表_業務合計'!S43)-N(S55)</f>
        <v>0</v>
      </c>
      <c r="AQ55" s="444">
        <f>N('費用収益表_業務合計'!T43)-N(T55)</f>
        <v>0</v>
      </c>
      <c r="AR55" s="444">
        <f>N('費用収益表_業務合計'!U43)-N(U55)</f>
        <v>0</v>
      </c>
    </row>
    <row r="56">
      <c r="C56" s="443" t="n">
        <v>0</v>
      </c>
      <c r="D56" s="443" t="n">
        <v>0</v>
      </c>
      <c r="E56" s="443" t="n">
        <v>0</v>
      </c>
      <c r="F56" s="443" t="n">
        <v>0</v>
      </c>
      <c r="G56" s="443" t="n">
        <v>0</v>
      </c>
      <c r="H56" s="443" t="n">
        <v>0</v>
      </c>
      <c r="I56" s="443" t="n">
        <v>0</v>
      </c>
      <c r="J56" s="443" t="n">
        <v>0</v>
      </c>
      <c r="K56" s="443" t="n">
        <v>0</v>
      </c>
      <c r="L56" s="443" t="n">
        <v>0</v>
      </c>
      <c r="M56" s="443" t="n">
        <v>0</v>
      </c>
      <c r="N56" s="443" t="n">
        <v>0</v>
      </c>
      <c r="O56" s="443" t="n">
        <v>0</v>
      </c>
      <c r="P56" s="443" t="n">
        <v>0</v>
      </c>
      <c r="Q56" s="443" t="n">
        <v>0</v>
      </c>
      <c r="R56" s="443" t="n">
        <v>0</v>
      </c>
      <c r="S56" s="443" t="n">
        <v>0</v>
      </c>
      <c r="Z56" s="444">
        <f>N('費用収益表_業務合計'!C44)-N(C56)</f>
        <v>0</v>
      </c>
      <c r="AA56" s="444">
        <f>N('費用収益表_業務合計'!D44)-N(D56)</f>
        <v>0</v>
      </c>
      <c r="AB56" s="444">
        <f>N('費用収益表_業務合計'!E44)-N(E56)</f>
        <v>0</v>
      </c>
      <c r="AC56" s="444">
        <f>N('費用収益表_業務合計'!F44)-N(F56)</f>
        <v>0</v>
      </c>
      <c r="AD56" s="444">
        <f>N('費用収益表_業務合計'!G44)-N(G56)</f>
        <v>0</v>
      </c>
      <c r="AE56" s="444">
        <f>N('費用収益表_業務合計'!H44)-N(H56)</f>
        <v>0</v>
      </c>
      <c r="AF56" s="444">
        <f>N('費用収益表_業務合計'!I44)-N(I56)</f>
        <v>0</v>
      </c>
      <c r="AG56" s="444">
        <f>N('費用収益表_業務合計'!J44)-N(J56)</f>
        <v>0</v>
      </c>
      <c r="AH56" s="444">
        <f>N('費用収益表_業務合計'!K44)-N(K56)</f>
        <v>0</v>
      </c>
      <c r="AI56" s="444">
        <f>N('費用収益表_業務合計'!L44)-N(L56)</f>
        <v>0</v>
      </c>
      <c r="AJ56" s="444">
        <f>N('費用収益表_業務合計'!M44)-N(M56)</f>
        <v>0</v>
      </c>
      <c r="AK56" s="444">
        <f>N('費用収益表_業務合計'!N44)-N(N56)</f>
        <v>0</v>
      </c>
      <c r="AL56" s="444">
        <f>N('費用収益表_業務合計'!O44)-N(O56)</f>
        <v>0</v>
      </c>
      <c r="AM56" s="444">
        <f>N('費用収益表_業務合計'!P44)-N(P56)</f>
        <v>0</v>
      </c>
      <c r="AN56" s="444">
        <f>N('費用収益表_業務合計'!Q44)-N(Q56)</f>
        <v>0</v>
      </c>
      <c r="AO56" s="444">
        <f>N('費用収益表_業務合計'!R44)-N(R56)</f>
        <v>0</v>
      </c>
      <c r="AP56" s="444">
        <f>N('費用収益表_業務合計'!S44)-N(S56)</f>
        <v>0</v>
      </c>
      <c r="AQ56" s="444">
        <f>N('費用収益表_業務合計'!T44)-N(T56)</f>
        <v>0</v>
      </c>
      <c r="AR56" s="444">
        <f>N('費用収益表_業務合計'!U44)-N(U56)</f>
        <v>0</v>
      </c>
    </row>
    <row r="57">
      <c r="C57" s="443" t="n">
        <v>0</v>
      </c>
      <c r="D57" s="443" t="n">
        <v>0</v>
      </c>
      <c r="E57" s="443" t="n">
        <v>0</v>
      </c>
      <c r="F57" s="443" t="n">
        <v>0</v>
      </c>
      <c r="G57" s="443" t="n">
        <v>0</v>
      </c>
      <c r="H57" s="443" t="n">
        <v>0</v>
      </c>
      <c r="I57" s="443" t="n">
        <v>0</v>
      </c>
      <c r="J57" s="443" t="n">
        <v>0</v>
      </c>
      <c r="K57" s="443" t="n">
        <v>0</v>
      </c>
      <c r="L57" s="443" t="n">
        <v>0</v>
      </c>
      <c r="M57" s="443" t="n">
        <v>0</v>
      </c>
      <c r="N57" s="443" t="n">
        <v>0</v>
      </c>
      <c r="O57" s="443" t="n">
        <v>7580026</v>
      </c>
      <c r="P57" s="443" t="n">
        <v>7580026</v>
      </c>
      <c r="Q57" s="443" t="n">
        <v>13605000</v>
      </c>
      <c r="R57" s="443" t="n">
        <v>0</v>
      </c>
      <c r="S57" s="443" t="n">
        <v>0</v>
      </c>
      <c r="Z57" s="444">
        <f>N('費用収益表_業務合計'!C45)-N(C57)</f>
        <v>0</v>
      </c>
      <c r="AA57" s="444">
        <f>N('費用収益表_業務合計'!D45)-N(D57)</f>
        <v>0</v>
      </c>
      <c r="AB57" s="444">
        <f>N('費用収益表_業務合計'!E45)-N(E57)</f>
        <v>0</v>
      </c>
      <c r="AC57" s="444">
        <f>N('費用収益表_業務合計'!F45)-N(F57)</f>
        <v>0</v>
      </c>
      <c r="AD57" s="444">
        <f>N('費用収益表_業務合計'!G45)-N(G57)</f>
        <v>0</v>
      </c>
      <c r="AE57" s="444">
        <f>N('費用収益表_業務合計'!H45)-N(H57)</f>
        <v>0</v>
      </c>
      <c r="AF57" s="444">
        <f>N('費用収益表_業務合計'!I45)-N(I57)</f>
        <v>0</v>
      </c>
      <c r="AG57" s="444">
        <f>N('費用収益表_業務合計'!J45)-N(J57)</f>
        <v>0</v>
      </c>
      <c r="AH57" s="444">
        <f>N('費用収益表_業務合計'!K45)-N(K57)</f>
        <v>0</v>
      </c>
      <c r="AI57" s="444">
        <f>N('費用収益表_業務合計'!L45)-N(L57)</f>
        <v>0</v>
      </c>
      <c r="AJ57" s="444">
        <f>N('費用収益表_業務合計'!M45)-N(M57)</f>
        <v>0</v>
      </c>
      <c r="AK57" s="444">
        <f>N('費用収益表_業務合計'!N45)-N(N57)</f>
        <v>0</v>
      </c>
      <c r="AL57" s="444">
        <f>N('費用収益表_業務合計'!O45)-N(O57)</f>
        <v>0</v>
      </c>
      <c r="AM57" s="444">
        <f>N('費用収益表_業務合計'!P45)-N(P57)</f>
        <v>0</v>
      </c>
      <c r="AN57" s="444">
        <f>N('費用収益表_業務合計'!Q45)-N(Q57)</f>
        <v>0</v>
      </c>
      <c r="AO57" s="444">
        <f>N('費用収益表_業務合計'!R45)-N(R57)</f>
        <v>0</v>
      </c>
      <c r="AP57" s="444">
        <f>N('費用収益表_業務合計'!S45)-N(S57)</f>
        <v>0</v>
      </c>
      <c r="AQ57" s="444">
        <f>N('費用収益表_業務合計'!T45)-N(T57)</f>
        <v>0</v>
      </c>
      <c r="AR57" s="444">
        <f>N('費用収益表_業務合計'!U45)-N(U57)</f>
        <v>0</v>
      </c>
    </row>
    <row r="58">
      <c r="C58" s="443" t="n">
        <v>0</v>
      </c>
      <c r="D58" s="443" t="n">
        <v>0</v>
      </c>
      <c r="E58" s="443" t="n">
        <v>0</v>
      </c>
      <c r="F58" s="443" t="n">
        <v>0</v>
      </c>
      <c r="G58" s="443" t="n">
        <v>0</v>
      </c>
      <c r="H58" s="443" t="n">
        <v>0</v>
      </c>
      <c r="I58" s="443" t="n">
        <v>0</v>
      </c>
      <c r="J58" s="443" t="n">
        <v>0</v>
      </c>
      <c r="K58" s="443" t="n">
        <v>0</v>
      </c>
      <c r="L58" s="443" t="n">
        <v>0</v>
      </c>
      <c r="M58" s="443" t="n">
        <v>0</v>
      </c>
      <c r="N58" s="443" t="n">
        <v>0</v>
      </c>
      <c r="O58" s="443" t="n">
        <v>0</v>
      </c>
      <c r="P58" s="443" t="n">
        <v>0</v>
      </c>
      <c r="Q58" s="443" t="n">
        <v>0</v>
      </c>
      <c r="R58" s="443" t="n">
        <v>0</v>
      </c>
      <c r="S58" s="443" t="n">
        <v>0</v>
      </c>
      <c r="Z58" s="444">
        <f>N('費用収益表_業務合計'!C46)-N(C58)</f>
        <v>0</v>
      </c>
      <c r="AA58" s="444">
        <f>N('費用収益表_業務合計'!D46)-N(D58)</f>
        <v>0</v>
      </c>
      <c r="AB58" s="444">
        <f>N('費用収益表_業務合計'!E46)-N(E58)</f>
        <v>0</v>
      </c>
      <c r="AC58" s="444">
        <f>N('費用収益表_業務合計'!F46)-N(F58)</f>
        <v>0</v>
      </c>
      <c r="AD58" s="444">
        <f>N('費用収益表_業務合計'!G46)-N(G58)</f>
        <v>0</v>
      </c>
      <c r="AE58" s="444">
        <f>N('費用収益表_業務合計'!H46)-N(H58)</f>
        <v>0</v>
      </c>
      <c r="AF58" s="444">
        <f>N('費用収益表_業務合計'!I46)-N(I58)</f>
        <v>0</v>
      </c>
      <c r="AG58" s="444">
        <f>N('費用収益表_業務合計'!J46)-N(J58)</f>
        <v>0</v>
      </c>
      <c r="AH58" s="444">
        <f>N('費用収益表_業務合計'!K46)-N(K58)</f>
        <v>0</v>
      </c>
      <c r="AI58" s="444">
        <f>N('費用収益表_業務合計'!L46)-N(L58)</f>
        <v>0</v>
      </c>
      <c r="AJ58" s="444">
        <f>N('費用収益表_業務合計'!M46)-N(M58)</f>
        <v>0</v>
      </c>
      <c r="AK58" s="444">
        <f>N('費用収益表_業務合計'!N46)-N(N58)</f>
        <v>0</v>
      </c>
      <c r="AL58" s="444">
        <f>N('費用収益表_業務合計'!O46)-N(O58)</f>
        <v>0</v>
      </c>
      <c r="AM58" s="444">
        <f>N('費用収益表_業務合計'!P46)-N(P58)</f>
        <v>0</v>
      </c>
      <c r="AN58" s="444">
        <f>N('費用収益表_業務合計'!Q46)-N(Q58)</f>
        <v>0</v>
      </c>
      <c r="AO58" s="444">
        <f>N('費用収益表_業務合計'!R46)-N(R58)</f>
        <v>0</v>
      </c>
      <c r="AP58" s="444">
        <f>N('費用収益表_業務合計'!S46)-N(S58)</f>
        <v>0</v>
      </c>
      <c r="AQ58" s="444">
        <f>N('費用収益表_業務合計'!T46)-N(T58)</f>
        <v>0</v>
      </c>
      <c r="AR58" s="444">
        <f>N('費用収益表_業務合計'!U46)-N(U58)</f>
        <v>0</v>
      </c>
    </row>
    <row r="59">
      <c r="C59" s="443" t="n">
        <v>6781000</v>
      </c>
      <c r="D59" s="443" t="n">
        <v>11176000</v>
      </c>
      <c r="E59" s="443" t="n">
        <v>13341000</v>
      </c>
      <c r="F59" s="443" t="n">
        <v>15914000</v>
      </c>
      <c r="G59" s="443" t="n">
        <v>12030000</v>
      </c>
      <c r="H59" s="443" t="n">
        <v>22676148</v>
      </c>
      <c r="I59" s="443" t="n">
        <v>6990000</v>
      </c>
      <c r="J59" s="443" t="n">
        <v>6479590</v>
      </c>
      <c r="K59" s="443" t="n">
        <v>7407000</v>
      </c>
      <c r="L59" s="443" t="n">
        <v>7073000</v>
      </c>
      <c r="M59" s="443" t="n">
        <v>6722000</v>
      </c>
      <c r="N59" s="443" t="n">
        <v>8191258</v>
      </c>
      <c r="O59" s="443" t="n">
        <v>9655506</v>
      </c>
      <c r="P59" s="443" t="n">
        <v>134436502</v>
      </c>
      <c r="Q59" s="443" t="n">
        <v>131720000</v>
      </c>
      <c r="R59" s="443" t="n">
        <v>-11744404</v>
      </c>
      <c r="S59" s="443" t="n">
        <v>31002076</v>
      </c>
      <c r="Z59" s="444">
        <f>N('費用収益表_業務合計'!C47)-N(C59)</f>
        <v>0</v>
      </c>
      <c r="AA59" s="444">
        <f>N('費用収益表_業務合計'!D47)-N(D59)</f>
        <v>0</v>
      </c>
      <c r="AB59" s="444">
        <f>N('費用収益表_業務合計'!E47)-N(E59)</f>
        <v>0</v>
      </c>
      <c r="AC59" s="444">
        <f>N('費用収益表_業務合計'!F47)-N(F59)</f>
        <v>0</v>
      </c>
      <c r="AD59" s="444">
        <f>N('費用収益表_業務合計'!G47)-N(G59)</f>
        <v>0</v>
      </c>
      <c r="AE59" s="444">
        <f>N('費用収益表_業務合計'!H47)-N(H59)</f>
        <v>0</v>
      </c>
      <c r="AF59" s="444">
        <f>N('費用収益表_業務合計'!I47)-N(I59)</f>
        <v>0</v>
      </c>
      <c r="AG59" s="444">
        <f>N('費用収益表_業務合計'!J47)-N(J59)</f>
        <v>0</v>
      </c>
      <c r="AH59" s="444">
        <f>N('費用収益表_業務合計'!K47)-N(K59)</f>
        <v>0</v>
      </c>
      <c r="AI59" s="444">
        <f>N('費用収益表_業務合計'!L47)-N(L59)</f>
        <v>0</v>
      </c>
      <c r="AJ59" s="444">
        <f>N('費用収益表_業務合計'!M47)-N(M59)</f>
        <v>0</v>
      </c>
      <c r="AK59" s="444">
        <f>N('費用収益表_業務合計'!N47)-N(N59)</f>
        <v>0</v>
      </c>
      <c r="AL59" s="444">
        <f>N('費用収益表_業務合計'!O47)-N(O59)</f>
        <v>0</v>
      </c>
      <c r="AM59" s="444">
        <f>N('費用収益表_業務合計'!P47)-N(P59)</f>
        <v>0</v>
      </c>
      <c r="AN59" s="444">
        <f>N('費用収益表_業務合計'!Q47)-N(Q59)</f>
        <v>0</v>
      </c>
      <c r="AO59" s="444">
        <f>N('費用収益表_業務合計'!R47)-N(R59)</f>
        <v>0</v>
      </c>
      <c r="AP59" s="444">
        <f>N('費用収益表_業務合計'!S47)-N(S59)</f>
        <v>0</v>
      </c>
      <c r="AQ59" s="444">
        <f>N('費用収益表_業務合計'!T47)-N(T59)</f>
        <v>0</v>
      </c>
      <c r="AR59" s="444">
        <f>N('費用収益表_業務合計'!U47)-N(U59)</f>
        <v>0</v>
      </c>
    </row>
    <row r="60">
      <c r="L60" s="443" t="n">
        <v>-1719225</v>
      </c>
      <c r="M60" s="443" t="n">
        <v>-3290454</v>
      </c>
      <c r="N60" s="443" t="n">
        <v>-7933482</v>
      </c>
      <c r="O60" s="443" t="n">
        <v>-2266075</v>
      </c>
      <c r="Z60" s="444">
        <f>N('費用収益表_業務合計'!C48)-N(C60)</f>
        <v>0</v>
      </c>
      <c r="AA60" s="444">
        <f>N('費用収益表_業務合計'!D48)-N(D60)</f>
        <v>0</v>
      </c>
      <c r="AB60" s="444">
        <f>N('費用収益表_業務合計'!E48)-N(E60)</f>
        <v>0</v>
      </c>
      <c r="AC60" s="444">
        <f>N('費用収益表_業務合計'!F48)-N(F60)</f>
        <v>0</v>
      </c>
      <c r="AD60" s="444">
        <f>N('費用収益表_業務合計'!G48)-N(G60)</f>
        <v>0</v>
      </c>
      <c r="AE60" s="444">
        <f>N('費用収益表_業務合計'!H48)-N(H60)</f>
        <v>0</v>
      </c>
      <c r="AF60" s="444">
        <f>N('費用収益表_業務合計'!I48)-N(I60)</f>
        <v>0</v>
      </c>
      <c r="AG60" s="444">
        <f>N('費用収益表_業務合計'!J48)-N(J60)</f>
        <v>0</v>
      </c>
      <c r="AH60" s="444">
        <f>N('費用収益表_業務合計'!K48)-N(K60)</f>
        <v>0</v>
      </c>
      <c r="AI60" s="444">
        <f>N('費用収益表_業務合計'!L48)-N(L60)</f>
        <v>0</v>
      </c>
      <c r="AJ60" s="444">
        <f>N('費用収益表_業務合計'!M48)-N(M60)</f>
        <v>0</v>
      </c>
      <c r="AK60" s="444">
        <f>N('費用収益表_業務合計'!N48)-N(N60)</f>
        <v>0</v>
      </c>
      <c r="AL60" s="444">
        <f>N('費用収益表_業務合計'!O48)-N(O60)</f>
        <v>0</v>
      </c>
      <c r="AM60" s="444">
        <f>N('費用収益表_業務合計'!P48)-N(P60)</f>
        <v>0</v>
      </c>
      <c r="AN60" s="444">
        <f>N('費用収益表_業務合計'!Q48)-N(Q60)</f>
        <v>0</v>
      </c>
      <c r="AO60" s="444">
        <f>N('費用収益表_業務合計'!R48)-N(R60)</f>
        <v>0</v>
      </c>
      <c r="AP60" s="444">
        <f>N('費用収益表_業務合計'!S48)-N(S60)</f>
        <v>0</v>
      </c>
      <c r="AQ60" s="444">
        <f>N('費用収益表_業務合計'!T48)-N(T60)</f>
        <v>0</v>
      </c>
      <c r="AR60" s="444">
        <f>N('費用収益表_業務合計'!U48)-N(U60)</f>
        <v>0</v>
      </c>
    </row>
    <row r="61">
      <c r="C61" s="443" t="n">
        <v>5834330</v>
      </c>
      <c r="D61" s="443" t="n">
        <v>1069706</v>
      </c>
      <c r="E61" s="443" t="n">
        <v>3895915</v>
      </c>
      <c r="F61" s="443" t="n">
        <v>6269750</v>
      </c>
      <c r="G61" s="443" t="n">
        <v>2052913</v>
      </c>
      <c r="H61" s="443" t="n">
        <v>-7958095</v>
      </c>
      <c r="I61" s="443" t="n">
        <v>-1062569</v>
      </c>
      <c r="J61" s="443" t="n">
        <v>-2679679</v>
      </c>
      <c r="K61" s="443" t="n">
        <v>-3764849</v>
      </c>
      <c r="L61" s="443" t="n">
        <v>-1719225</v>
      </c>
      <c r="M61" s="443" t="n">
        <v>-1571229</v>
      </c>
      <c r="N61" s="443" t="n">
        <v>-4643028</v>
      </c>
      <c r="O61" s="443" t="n">
        <v>5667407</v>
      </c>
      <c r="P61" s="443" t="n">
        <v>1391347</v>
      </c>
      <c r="Q61" s="443" t="n">
        <v>-14576000</v>
      </c>
      <c r="R61" s="443" t="n">
        <v>-11744404</v>
      </c>
      <c r="S61" s="443" t="n">
        <v>-115293924</v>
      </c>
      <c r="Z61" s="444">
        <f>N('費用収益表_業務合計'!C49)-N(C61)</f>
        <v>0</v>
      </c>
      <c r="AA61" s="444">
        <f>N('費用収益表_業務合計'!D49)-N(D61)</f>
        <v>0</v>
      </c>
      <c r="AB61" s="444">
        <f>N('費用収益表_業務合計'!E49)-N(E61)</f>
        <v>0</v>
      </c>
      <c r="AC61" s="444">
        <f>N('費用収益表_業務合計'!F49)-N(F61)</f>
        <v>0</v>
      </c>
      <c r="AD61" s="444">
        <f>N('費用収益表_業務合計'!G49)-N(G61)</f>
        <v>0</v>
      </c>
      <c r="AE61" s="444">
        <f>N('費用収益表_業務合計'!H49)-N(H61)</f>
        <v>0</v>
      </c>
      <c r="AF61" s="444">
        <f>N('費用収益表_業務合計'!I49)-N(I61)</f>
        <v>0</v>
      </c>
      <c r="AG61" s="444">
        <f>N('費用収益表_業務合計'!J49)-N(J61)</f>
        <v>0</v>
      </c>
      <c r="AH61" s="444">
        <f>N('費用収益表_業務合計'!K49)-N(K61)</f>
        <v>0</v>
      </c>
      <c r="AI61" s="444">
        <f>N('費用収益表_業務合計'!L49)-N(L61)</f>
        <v>0</v>
      </c>
      <c r="AJ61" s="444">
        <f>N('費用収益表_業務合計'!M49)-N(M61)</f>
        <v>0</v>
      </c>
      <c r="AK61" s="444">
        <f>N('費用収益表_業務合計'!N49)-N(N61)</f>
        <v>0</v>
      </c>
      <c r="AL61" s="444">
        <f>N('費用収益表_業務合計'!O49)-N(O61)</f>
        <v>0</v>
      </c>
      <c r="AM61" s="444">
        <f>N('費用収益表_業務合計'!P49)-N(P61)</f>
        <v>0</v>
      </c>
      <c r="AN61" s="444">
        <f>N('費用収益表_業務合計'!Q49)-N(Q61)</f>
        <v>0</v>
      </c>
      <c r="AO61" s="444">
        <f>N('費用収益表_業務合計'!R49)-N(R61)</f>
        <v>0</v>
      </c>
      <c r="AP61" s="444">
        <f>N('費用収益表_業務合計'!S49)-N(S61)</f>
        <v>0</v>
      </c>
      <c r="AQ61" s="444">
        <f>N('費用収益表_業務合計'!T49)-N(T61)</f>
        <v>0</v>
      </c>
      <c r="AR61" s="444">
        <f>N('費用収益表_業務合計'!U49)-N(U61)</f>
        <v>0</v>
      </c>
    </row>
    <row r="62">
      <c r="Z62" s="444">
        <f>N('費用収益表_業務合計'!C50)-N(C62)</f>
        <v>0</v>
      </c>
      <c r="AA62" s="444">
        <f>N('費用収益表_業務合計'!D50)-N(D62)</f>
        <v>0</v>
      </c>
      <c r="AB62" s="444">
        <f>N('費用収益表_業務合計'!E50)-N(E62)</f>
        <v>0</v>
      </c>
      <c r="AC62" s="444">
        <f>N('費用収益表_業務合計'!F50)-N(F62)</f>
        <v>0</v>
      </c>
      <c r="AD62" s="444">
        <f>N('費用収益表_業務合計'!G50)-N(G62)</f>
        <v>0</v>
      </c>
      <c r="AE62" s="444">
        <f>N('費用収益表_業務合計'!H50)-N(H62)</f>
        <v>0</v>
      </c>
      <c r="AF62" s="444">
        <f>N('費用収益表_業務合計'!I50)-N(I62)</f>
        <v>0</v>
      </c>
      <c r="AG62" s="444">
        <f>N('費用収益表_業務合計'!J50)-N(J62)</f>
        <v>0</v>
      </c>
      <c r="AH62" s="444">
        <f>N('費用収益表_業務合計'!K50)-N(K62)</f>
        <v>0</v>
      </c>
      <c r="AI62" s="444">
        <f>N('費用収益表_業務合計'!L50)-N(L62)</f>
        <v>0</v>
      </c>
      <c r="AJ62" s="444">
        <f>N('費用収益表_業務合計'!M50)-N(M62)</f>
        <v>0</v>
      </c>
      <c r="AK62" s="444">
        <f>N('費用収益表_業務合計'!N50)-N(N62)</f>
        <v>0</v>
      </c>
      <c r="AL62" s="444">
        <f>N('費用収益表_業務合計'!O50)-N(O62)</f>
        <v>0</v>
      </c>
      <c r="AM62" s="444">
        <f>N('費用収益表_業務合計'!P50)-N(P62)</f>
        <v>0</v>
      </c>
      <c r="AN62" s="444">
        <f>N('費用収益表_業務合計'!Q50)-N(Q62)</f>
        <v>0</v>
      </c>
      <c r="AO62" s="444">
        <f>N('費用収益表_業務合計'!R50)-N(R62)</f>
        <v>0</v>
      </c>
      <c r="AP62" s="444">
        <f>N('費用収益表_業務合計'!S50)-N(S62)</f>
        <v>0</v>
      </c>
      <c r="AQ62" s="444">
        <f>N('費用収益表_業務合計'!T50)-N(T62)</f>
        <v>0</v>
      </c>
      <c r="AR62" s="444">
        <f>N('費用収益表_業務合計'!U50)-N(U62)</f>
        <v>0</v>
      </c>
    </row>
    <row r="63">
      <c r="Z63" s="444">
        <f>N('費用収益表_業務合計'!C51)-N(C63)</f>
        <v>0</v>
      </c>
      <c r="AA63" s="444">
        <f>N('費用収益表_業務合計'!D51)-N(D63)</f>
        <v>0</v>
      </c>
      <c r="AB63" s="444">
        <f>N('費用収益表_業務合計'!E51)-N(E63)</f>
        <v>0</v>
      </c>
      <c r="AC63" s="444">
        <f>N('費用収益表_業務合計'!F51)-N(F63)</f>
        <v>0</v>
      </c>
      <c r="AD63" s="444">
        <f>N('費用収益表_業務合計'!G51)-N(G63)</f>
        <v>0</v>
      </c>
      <c r="AE63" s="444">
        <f>N('費用収益表_業務合計'!H51)-N(H63)</f>
        <v>0</v>
      </c>
      <c r="AF63" s="444">
        <f>N('費用収益表_業務合計'!I51)-N(I63)</f>
        <v>0</v>
      </c>
      <c r="AG63" s="444">
        <f>N('費用収益表_業務合計'!J51)-N(J63)</f>
        <v>0</v>
      </c>
      <c r="AH63" s="444">
        <f>N('費用収益表_業務合計'!K51)-N(K63)</f>
        <v>0</v>
      </c>
      <c r="AI63" s="444">
        <f>N('費用収益表_業務合計'!L51)-N(L63)</f>
        <v>0</v>
      </c>
      <c r="AJ63" s="444">
        <f>N('費用収益表_業務合計'!M51)-N(M63)</f>
        <v>0</v>
      </c>
      <c r="AK63" s="444">
        <f>N('費用収益表_業務合計'!N51)-N(N63)</f>
        <v>0</v>
      </c>
      <c r="AL63" s="444">
        <f>N('費用収益表_業務合計'!O51)-N(O63)</f>
        <v>0</v>
      </c>
      <c r="AM63" s="444">
        <f>N('費用収益表_業務合計'!P51)-N(P63)</f>
        <v>0</v>
      </c>
      <c r="AN63" s="444">
        <f>N('費用収益表_業務合計'!Q51)-N(Q63)</f>
        <v>0</v>
      </c>
      <c r="AO63" s="444">
        <f>N('費用収益表_業務合計'!R51)-N(R63)</f>
        <v>0</v>
      </c>
      <c r="AP63" s="444">
        <f>N('費用収益表_業務合計'!S51)-N(S63)</f>
        <v>0</v>
      </c>
      <c r="AQ63" s="444">
        <f>N('費用収益表_業務合計'!T51)-N(T63)</f>
        <v>0</v>
      </c>
      <c r="AR63" s="444">
        <f>N('費用収益表_業務合計'!U51)-N(U63)</f>
        <v>0</v>
      </c>
    </row>
    <row r="64">
      <c r="C64" s="443" t="n">
        <v>0</v>
      </c>
      <c r="D64" s="443" t="n">
        <v>425880</v>
      </c>
      <c r="E64" s="443" t="n">
        <v>365040</v>
      </c>
      <c r="F64" s="443" t="n">
        <v>446160</v>
      </c>
      <c r="G64" s="443" t="n">
        <v>445720</v>
      </c>
      <c r="H64" s="443" t="n">
        <v>384480</v>
      </c>
      <c r="I64" s="443" t="n">
        <v>389160</v>
      </c>
      <c r="J64" s="443" t="n">
        <v>416580</v>
      </c>
      <c r="K64" s="443" t="n">
        <v>340920</v>
      </c>
      <c r="L64" s="443" t="n">
        <v>377520</v>
      </c>
      <c r="M64" s="443" t="n">
        <v>359120</v>
      </c>
      <c r="N64" s="443" t="n">
        <v>339340</v>
      </c>
      <c r="O64" s="443" t="n">
        <v>339568</v>
      </c>
      <c r="Q64" s="443" t="n">
        <v>4629488</v>
      </c>
      <c r="Z64" s="444">
        <f>N('費用収益表_業務合計'!C52)-N(C64)</f>
        <v>0</v>
      </c>
      <c r="AA64" s="444">
        <f>N('費用収益表_業務合計'!D52)-N(D64)</f>
        <v>0</v>
      </c>
      <c r="AB64" s="444">
        <f>N('費用収益表_業務合計'!E52)-N(E64)</f>
        <v>0</v>
      </c>
      <c r="AC64" s="444">
        <f>N('費用収益表_業務合計'!F52)-N(F64)</f>
        <v>0</v>
      </c>
      <c r="AD64" s="444">
        <f>N('費用収益表_業務合計'!G52)-N(G64)</f>
        <v>0</v>
      </c>
      <c r="AE64" s="444">
        <f>N('費用収益表_業務合計'!H52)-N(H64)</f>
        <v>0</v>
      </c>
      <c r="AF64" s="444">
        <f>N('費用収益表_業務合計'!I52)-N(I64)</f>
        <v>0</v>
      </c>
      <c r="AG64" s="444">
        <f>N('費用収益表_業務合計'!J52)-N(J64)</f>
        <v>0</v>
      </c>
      <c r="AH64" s="444">
        <f>N('費用収益表_業務合計'!K52)-N(K64)</f>
        <v>0</v>
      </c>
      <c r="AI64" s="444">
        <f>N('費用収益表_業務合計'!L52)-N(L64)</f>
        <v>0</v>
      </c>
      <c r="AJ64" s="444">
        <f>N('費用収益表_業務合計'!M52)-N(M64)</f>
        <v>0</v>
      </c>
      <c r="AK64" s="444">
        <f>N('費用収益表_業務合計'!N52)-N(N64)</f>
        <v>0</v>
      </c>
      <c r="AL64" s="444">
        <f>N('費用収益表_業務合計'!O52)-N(O64)</f>
        <v>0</v>
      </c>
      <c r="AM64" s="444">
        <f>N('費用収益表_業務合計'!P52)-N(P64)</f>
        <v>0</v>
      </c>
      <c r="AN64" s="444">
        <f>N('費用収益表_業務合計'!Q52)-N(Q64)</f>
        <v>0</v>
      </c>
      <c r="AO64" s="444">
        <f>N('費用収益表_業務合計'!R52)-N(R64)</f>
        <v>0</v>
      </c>
      <c r="AP64" s="444">
        <f>N('費用収益表_業務合計'!S52)-N(S64)</f>
        <v>0</v>
      </c>
      <c r="AQ64" s="444">
        <f>N('費用収益表_業務合計'!T52)-N(T64)</f>
        <v>0</v>
      </c>
      <c r="AR64" s="444">
        <f>N('費用収益表_業務合計'!U52)-N(U64)</f>
        <v>0</v>
      </c>
    </row>
    <row r="65">
      <c r="C65" s="443" t="n">
        <v>0</v>
      </c>
      <c r="D65" s="443" t="n">
        <v>0</v>
      </c>
      <c r="E65" s="443" t="n">
        <v>0</v>
      </c>
      <c r="F65" s="443" t="n">
        <v>0</v>
      </c>
      <c r="G65" s="443" t="n">
        <v>0</v>
      </c>
      <c r="H65" s="443" t="n">
        <v>0</v>
      </c>
      <c r="I65" s="443" t="n">
        <v>0</v>
      </c>
      <c r="J65" s="443" t="n">
        <v>0</v>
      </c>
      <c r="K65" s="443" t="n">
        <v>0</v>
      </c>
      <c r="L65" s="443" t="n">
        <v>0</v>
      </c>
      <c r="M65" s="443" t="n">
        <v>0</v>
      </c>
      <c r="N65" s="443" t="n">
        <v>0</v>
      </c>
      <c r="O65" s="443" t="n">
        <v>0</v>
      </c>
      <c r="Q65" s="443" t="n">
        <v>0</v>
      </c>
      <c r="Z65" s="444">
        <f>N('費用収益表_業務合計'!C53)-N(C65)</f>
        <v>0</v>
      </c>
      <c r="AA65" s="444">
        <f>N('費用収益表_業務合計'!D53)-N(D65)</f>
        <v>0</v>
      </c>
      <c r="AB65" s="444">
        <f>N('費用収益表_業務合計'!E53)-N(E65)</f>
        <v>0</v>
      </c>
      <c r="AC65" s="444">
        <f>N('費用収益表_業務合計'!F53)-N(F65)</f>
        <v>0</v>
      </c>
      <c r="AD65" s="444">
        <f>N('費用収益表_業務合計'!G53)-N(G65)</f>
        <v>0</v>
      </c>
      <c r="AE65" s="444">
        <f>N('費用収益表_業務合計'!H53)-N(H65)</f>
        <v>0</v>
      </c>
      <c r="AF65" s="444">
        <f>N('費用収益表_業務合計'!I53)-N(I65)</f>
        <v>0</v>
      </c>
      <c r="AG65" s="444">
        <f>N('費用収益表_業務合計'!J53)-N(J65)</f>
        <v>0</v>
      </c>
      <c r="AH65" s="444">
        <f>N('費用収益表_業務合計'!K53)-N(K65)</f>
        <v>0</v>
      </c>
      <c r="AI65" s="444">
        <f>N('費用収益表_業務合計'!L53)-N(L65)</f>
        <v>0</v>
      </c>
      <c r="AJ65" s="444">
        <f>N('費用収益表_業務合計'!M53)-N(M65)</f>
        <v>0</v>
      </c>
      <c r="AK65" s="444">
        <f>N('費用収益表_業務合計'!N53)-N(N65)</f>
        <v>0</v>
      </c>
      <c r="AL65" s="444">
        <f>N('費用収益表_業務合計'!O53)-N(O65)</f>
        <v>0</v>
      </c>
      <c r="AM65" s="444">
        <f>N('費用収益表_業務合計'!P53)-N(P65)</f>
        <v>0</v>
      </c>
      <c r="AN65" s="444">
        <f>N('費用収益表_業務合計'!Q53)-N(Q65)</f>
        <v>0</v>
      </c>
      <c r="AO65" s="444">
        <f>N('費用収益表_業務合計'!R53)-N(R65)</f>
        <v>0</v>
      </c>
      <c r="AP65" s="444">
        <f>N('費用収益表_業務合計'!S53)-N(S65)</f>
        <v>0</v>
      </c>
      <c r="AQ65" s="444">
        <f>N('費用収益表_業務合計'!T53)-N(T65)</f>
        <v>0</v>
      </c>
      <c r="AR65" s="444">
        <f>N('費用収益表_業務合計'!U53)-N(U65)</f>
        <v>0</v>
      </c>
    </row>
    <row r="66">
      <c r="C66" s="443" t="n">
        <v>0</v>
      </c>
      <c r="D66" s="443" t="n">
        <v>425880</v>
      </c>
      <c r="E66" s="443" t="n">
        <v>365040</v>
      </c>
      <c r="F66" s="443" t="n">
        <v>446160</v>
      </c>
      <c r="G66" s="443" t="n">
        <v>445720</v>
      </c>
      <c r="H66" s="443" t="n">
        <v>384480</v>
      </c>
      <c r="I66" s="443" t="n">
        <v>389160</v>
      </c>
      <c r="J66" s="443" t="n">
        <v>416580</v>
      </c>
      <c r="K66" s="443" t="n">
        <v>340920</v>
      </c>
      <c r="L66" s="443" t="n">
        <v>377520</v>
      </c>
      <c r="M66" s="443" t="n">
        <v>359120</v>
      </c>
      <c r="N66" s="443" t="n">
        <v>339340</v>
      </c>
      <c r="O66" s="443" t="n">
        <v>339568</v>
      </c>
      <c r="Q66" s="443" t="n">
        <v>4629488</v>
      </c>
      <c r="Z66" s="444">
        <f>N('費用収益表_業務合計'!C54)-N(C66)</f>
        <v>0</v>
      </c>
      <c r="AA66" s="444">
        <f>N('費用収益表_業務合計'!D54)-N(D66)</f>
        <v>0</v>
      </c>
      <c r="AB66" s="444">
        <f>N('費用収益表_業務合計'!E54)-N(E66)</f>
        <v>0</v>
      </c>
      <c r="AC66" s="444">
        <f>N('費用収益表_業務合計'!F54)-N(F66)</f>
        <v>0</v>
      </c>
      <c r="AD66" s="444">
        <f>N('費用収益表_業務合計'!G54)-N(G66)</f>
        <v>0</v>
      </c>
      <c r="AE66" s="444">
        <f>N('費用収益表_業務合計'!H54)-N(H66)</f>
        <v>0</v>
      </c>
      <c r="AF66" s="444">
        <f>N('費用収益表_業務合計'!I54)-N(I66)</f>
        <v>0</v>
      </c>
      <c r="AG66" s="444">
        <f>N('費用収益表_業務合計'!J54)-N(J66)</f>
        <v>0</v>
      </c>
      <c r="AH66" s="444">
        <f>N('費用収益表_業務合計'!K54)-N(K66)</f>
        <v>0</v>
      </c>
      <c r="AI66" s="444">
        <f>N('費用収益表_業務合計'!L54)-N(L66)</f>
        <v>0</v>
      </c>
      <c r="AJ66" s="444">
        <f>N('費用収益表_業務合計'!M54)-N(M66)</f>
        <v>0</v>
      </c>
      <c r="AK66" s="444">
        <f>N('費用収益表_業務合計'!N54)-N(N66)</f>
        <v>0</v>
      </c>
      <c r="AL66" s="444">
        <f>N('費用収益表_業務合計'!O54)-N(O66)</f>
        <v>0</v>
      </c>
      <c r="AM66" s="444">
        <f>N('費用収益表_業務合計'!P54)-N(P66)</f>
        <v>0</v>
      </c>
      <c r="AN66" s="444">
        <f>N('費用収益表_業務合計'!Q54)-N(Q66)</f>
        <v>0</v>
      </c>
      <c r="AO66" s="444">
        <f>N('費用収益表_業務合計'!R54)-N(R66)</f>
        <v>0</v>
      </c>
      <c r="AP66" s="444">
        <f>N('費用収益表_業務合計'!S54)-N(S66)</f>
        <v>0</v>
      </c>
      <c r="AQ66" s="444">
        <f>N('費用収益表_業務合計'!T54)-N(T66)</f>
        <v>0</v>
      </c>
      <c r="AR66" s="444">
        <f>N('費用収益表_業務合計'!U54)-N(U66)</f>
        <v>0</v>
      </c>
    </row>
    <row r="67">
      <c r="C67" s="443" t="n">
        <v>0</v>
      </c>
      <c r="D67" s="443" t="n">
        <v>0</v>
      </c>
      <c r="E67" s="443" t="n">
        <v>0</v>
      </c>
      <c r="F67" s="443" t="n">
        <v>0</v>
      </c>
      <c r="G67" s="443" t="n">
        <v>0</v>
      </c>
      <c r="H67" s="443" t="n">
        <v>0</v>
      </c>
      <c r="I67" s="443" t="n">
        <v>0</v>
      </c>
      <c r="J67" s="443" t="n">
        <v>0</v>
      </c>
      <c r="K67" s="443" t="n">
        <v>0</v>
      </c>
      <c r="L67" s="443" t="n">
        <v>0</v>
      </c>
      <c r="M67" s="443" t="n">
        <v>0</v>
      </c>
      <c r="N67" s="443" t="n">
        <v>0</v>
      </c>
      <c r="O67" s="443" t="n">
        <v>0</v>
      </c>
      <c r="Q67" s="443" t="n">
        <v>0</v>
      </c>
      <c r="Z67" s="444">
        <f>N('費用収益表_業務合計'!C55)-N(C67)</f>
        <v>0</v>
      </c>
      <c r="AA67" s="444">
        <f>N('費用収益表_業務合計'!D55)-N(D67)</f>
        <v>0</v>
      </c>
      <c r="AB67" s="444">
        <f>N('費用収益表_業務合計'!E55)-N(E67)</f>
        <v>0</v>
      </c>
      <c r="AC67" s="444">
        <f>N('費用収益表_業務合計'!F55)-N(F67)</f>
        <v>0</v>
      </c>
      <c r="AD67" s="444">
        <f>N('費用収益表_業務合計'!G55)-N(G67)</f>
        <v>0</v>
      </c>
      <c r="AE67" s="444">
        <f>N('費用収益表_業務合計'!H55)-N(H67)</f>
        <v>0</v>
      </c>
      <c r="AF67" s="444">
        <f>N('費用収益表_業務合計'!I55)-N(I67)</f>
        <v>0</v>
      </c>
      <c r="AG67" s="444">
        <f>N('費用収益表_業務合計'!J55)-N(J67)</f>
        <v>0</v>
      </c>
      <c r="AH67" s="444">
        <f>N('費用収益表_業務合計'!K55)-N(K67)</f>
        <v>0</v>
      </c>
      <c r="AI67" s="444">
        <f>N('費用収益表_業務合計'!L55)-N(L67)</f>
        <v>0</v>
      </c>
      <c r="AJ67" s="444">
        <f>N('費用収益表_業務合計'!M55)-N(M67)</f>
        <v>0</v>
      </c>
      <c r="AK67" s="444">
        <f>N('費用収益表_業務合計'!N55)-N(N67)</f>
        <v>0</v>
      </c>
      <c r="AL67" s="444">
        <f>N('費用収益表_業務合計'!O55)-N(O67)</f>
        <v>0</v>
      </c>
      <c r="AM67" s="444">
        <f>N('費用収益表_業務合計'!P55)-N(P67)</f>
        <v>0</v>
      </c>
      <c r="AN67" s="444">
        <f>N('費用収益表_業務合計'!Q55)-N(Q67)</f>
        <v>0</v>
      </c>
      <c r="AO67" s="444">
        <f>N('費用収益表_業務合計'!R55)-N(R67)</f>
        <v>0</v>
      </c>
      <c r="AP67" s="444">
        <f>N('費用収益表_業務合計'!S55)-N(S67)</f>
        <v>0</v>
      </c>
      <c r="AQ67" s="444">
        <f>N('費用収益表_業務合計'!T55)-N(T67)</f>
        <v>0</v>
      </c>
      <c r="AR67" s="444">
        <f>N('費用収益表_業務合計'!U55)-N(U67)</f>
        <v>0</v>
      </c>
    </row>
    <row r="68">
      <c r="C68" s="443" t="n">
        <v>0</v>
      </c>
      <c r="D68" s="443" t="n">
        <v>0</v>
      </c>
      <c r="E68" s="443" t="n">
        <v>0</v>
      </c>
      <c r="F68" s="443" t="n">
        <v>0</v>
      </c>
      <c r="G68" s="443" t="n">
        <v>0</v>
      </c>
      <c r="H68" s="443" t="n">
        <v>0</v>
      </c>
      <c r="I68" s="443" t="n">
        <v>0</v>
      </c>
      <c r="J68" s="443" t="n">
        <v>0</v>
      </c>
      <c r="K68" s="443" t="n">
        <v>0</v>
      </c>
      <c r="L68" s="443" t="n">
        <v>0</v>
      </c>
      <c r="M68" s="443" t="n">
        <v>0</v>
      </c>
      <c r="N68" s="443" t="n">
        <v>0</v>
      </c>
      <c r="O68" s="443" t="n">
        <v>0</v>
      </c>
      <c r="Q68" s="443" t="n">
        <v>0</v>
      </c>
      <c r="Z68" s="444">
        <f>N('費用収益表_業務合計'!C56)-N(C68)</f>
        <v>0</v>
      </c>
      <c r="AA68" s="444">
        <f>N('費用収益表_業務合計'!D56)-N(D68)</f>
        <v>0</v>
      </c>
      <c r="AB68" s="444">
        <f>N('費用収益表_業務合計'!E56)-N(E68)</f>
        <v>0</v>
      </c>
      <c r="AC68" s="444">
        <f>N('費用収益表_業務合計'!F56)-N(F68)</f>
        <v>0</v>
      </c>
      <c r="AD68" s="444">
        <f>N('費用収益表_業務合計'!G56)-N(G68)</f>
        <v>0</v>
      </c>
      <c r="AE68" s="444">
        <f>N('費用収益表_業務合計'!H56)-N(H68)</f>
        <v>0</v>
      </c>
      <c r="AF68" s="444">
        <f>N('費用収益表_業務合計'!I56)-N(I68)</f>
        <v>0</v>
      </c>
      <c r="AG68" s="444">
        <f>N('費用収益表_業務合計'!J56)-N(J68)</f>
        <v>0</v>
      </c>
      <c r="AH68" s="444">
        <f>N('費用収益表_業務合計'!K56)-N(K68)</f>
        <v>0</v>
      </c>
      <c r="AI68" s="444">
        <f>N('費用収益表_業務合計'!L56)-N(L68)</f>
        <v>0</v>
      </c>
      <c r="AJ68" s="444">
        <f>N('費用収益表_業務合計'!M56)-N(M68)</f>
        <v>0</v>
      </c>
      <c r="AK68" s="444">
        <f>N('費用収益表_業務合計'!N56)-N(N68)</f>
        <v>0</v>
      </c>
      <c r="AL68" s="444">
        <f>N('費用収益表_業務合計'!O56)-N(O68)</f>
        <v>0</v>
      </c>
      <c r="AM68" s="444">
        <f>N('費用収益表_業務合計'!P56)-N(P68)</f>
        <v>0</v>
      </c>
      <c r="AN68" s="444">
        <f>N('費用収益表_業務合計'!Q56)-N(Q68)</f>
        <v>0</v>
      </c>
      <c r="AO68" s="444">
        <f>N('費用収益表_業務合計'!R56)-N(R68)</f>
        <v>0</v>
      </c>
      <c r="AP68" s="444">
        <f>N('費用収益表_業務合計'!S56)-N(S68)</f>
        <v>0</v>
      </c>
      <c r="AQ68" s="444">
        <f>N('費用収益表_業務合計'!T56)-N(T68)</f>
        <v>0</v>
      </c>
      <c r="AR68" s="444">
        <f>N('費用収益表_業務合計'!U56)-N(U68)</f>
        <v>0</v>
      </c>
    </row>
    <row r="69">
      <c r="C69" s="443" t="n">
        <v>0</v>
      </c>
      <c r="D69" s="443" t="n">
        <v>0</v>
      </c>
      <c r="E69" s="443" t="n">
        <v>0</v>
      </c>
      <c r="F69" s="443" t="n">
        <v>0</v>
      </c>
      <c r="G69" s="443" t="n">
        <v>0</v>
      </c>
      <c r="H69" s="443" t="n">
        <v>0</v>
      </c>
      <c r="I69" s="443" t="n">
        <v>0</v>
      </c>
      <c r="J69" s="443" t="n">
        <v>0</v>
      </c>
      <c r="K69" s="443" t="n">
        <v>0</v>
      </c>
      <c r="L69" s="443" t="n">
        <v>0</v>
      </c>
      <c r="M69" s="443" t="n">
        <v>0</v>
      </c>
      <c r="N69" s="443" t="n">
        <v>0</v>
      </c>
      <c r="O69" s="443" t="n">
        <v>0</v>
      </c>
      <c r="Q69" s="443" t="n">
        <v>0</v>
      </c>
      <c r="Z69" s="444">
        <f>N('費用収益表_業務合計'!C57)-N(C69)</f>
        <v>0</v>
      </c>
      <c r="AA69" s="444">
        <f>N('費用収益表_業務合計'!D57)-N(D69)</f>
        <v>0</v>
      </c>
      <c r="AB69" s="444">
        <f>N('費用収益表_業務合計'!E57)-N(E69)</f>
        <v>0</v>
      </c>
      <c r="AC69" s="444">
        <f>N('費用収益表_業務合計'!F57)-N(F69)</f>
        <v>0</v>
      </c>
      <c r="AD69" s="444">
        <f>N('費用収益表_業務合計'!G57)-N(G69)</f>
        <v>0</v>
      </c>
      <c r="AE69" s="444">
        <f>N('費用収益表_業務合計'!H57)-N(H69)</f>
        <v>0</v>
      </c>
      <c r="AF69" s="444">
        <f>N('費用収益表_業務合計'!I57)-N(I69)</f>
        <v>0</v>
      </c>
      <c r="AG69" s="444">
        <f>N('費用収益表_業務合計'!J57)-N(J69)</f>
        <v>0</v>
      </c>
      <c r="AH69" s="444">
        <f>N('費用収益表_業務合計'!K57)-N(K69)</f>
        <v>0</v>
      </c>
      <c r="AI69" s="444">
        <f>N('費用収益表_業務合計'!L57)-N(L69)</f>
        <v>0</v>
      </c>
      <c r="AJ69" s="444">
        <f>N('費用収益表_業務合計'!M57)-N(M69)</f>
        <v>0</v>
      </c>
      <c r="AK69" s="444">
        <f>N('費用収益表_業務合計'!N57)-N(N69)</f>
        <v>0</v>
      </c>
      <c r="AL69" s="444">
        <f>N('費用収益表_業務合計'!O57)-N(O69)</f>
        <v>0</v>
      </c>
      <c r="AM69" s="444">
        <f>N('費用収益表_業務合計'!P57)-N(P69)</f>
        <v>0</v>
      </c>
      <c r="AN69" s="444">
        <f>N('費用収益表_業務合計'!Q57)-N(Q69)</f>
        <v>0</v>
      </c>
      <c r="AO69" s="444">
        <f>N('費用収益表_業務合計'!R57)-N(R69)</f>
        <v>0</v>
      </c>
      <c r="AP69" s="444">
        <f>N('費用収益表_業務合計'!S57)-N(S69)</f>
        <v>0</v>
      </c>
      <c r="AQ69" s="444">
        <f>N('費用収益表_業務合計'!T57)-N(T69)</f>
        <v>0</v>
      </c>
      <c r="AR69" s="444">
        <f>N('費用収益表_業務合計'!U57)-N(U69)</f>
        <v>0</v>
      </c>
    </row>
    <row r="70">
      <c r="C70" s="443" t="n">
        <v>698140</v>
      </c>
      <c r="D70" s="443" t="n">
        <v>629236</v>
      </c>
      <c r="E70" s="443" t="n">
        <v>631304</v>
      </c>
      <c r="F70" s="443" t="n">
        <v>637508</v>
      </c>
      <c r="G70" s="443" t="n">
        <v>625100</v>
      </c>
      <c r="H70" s="443" t="n">
        <v>639576</v>
      </c>
      <c r="I70" s="443" t="n">
        <v>764882</v>
      </c>
      <c r="J70" s="443" t="n">
        <v>609611</v>
      </c>
      <c r="K70" s="443" t="n">
        <v>857756</v>
      </c>
      <c r="L70" s="443" t="n">
        <v>623876</v>
      </c>
      <c r="M70" s="443" t="n">
        <v>627946</v>
      </c>
      <c r="N70" s="443" t="n">
        <v>699347</v>
      </c>
      <c r="O70" s="443" t="n">
        <v>42640</v>
      </c>
      <c r="Q70" s="443" t="n">
        <v>8086922</v>
      </c>
      <c r="Z70" s="444">
        <f>N('費用収益表_業務合計'!C58)-N(C70)</f>
        <v>0</v>
      </c>
      <c r="AA70" s="444">
        <f>N('費用収益表_業務合計'!D58)-N(D70)</f>
        <v>0</v>
      </c>
      <c r="AB70" s="444">
        <f>N('費用収益表_業務合計'!E58)-N(E70)</f>
        <v>0</v>
      </c>
      <c r="AC70" s="444">
        <f>N('費用収益表_業務合計'!F58)-N(F70)</f>
        <v>0</v>
      </c>
      <c r="AD70" s="444">
        <f>N('費用収益表_業務合計'!G58)-N(G70)</f>
        <v>0</v>
      </c>
      <c r="AE70" s="444">
        <f>N('費用収益表_業務合計'!H58)-N(H70)</f>
        <v>0</v>
      </c>
      <c r="AF70" s="444">
        <f>N('費用収益表_業務合計'!I58)-N(I70)</f>
        <v>0</v>
      </c>
      <c r="AG70" s="444">
        <f>N('費用収益表_業務合計'!J58)-N(J70)</f>
        <v>0</v>
      </c>
      <c r="AH70" s="444">
        <f>N('費用収益表_業務合計'!K58)-N(K70)</f>
        <v>0</v>
      </c>
      <c r="AI70" s="444">
        <f>N('費用収益表_業務合計'!L58)-N(L70)</f>
        <v>0</v>
      </c>
      <c r="AJ70" s="444">
        <f>N('費用収益表_業務合計'!M58)-N(M70)</f>
        <v>0</v>
      </c>
      <c r="AK70" s="444">
        <f>N('費用収益表_業務合計'!N58)-N(N70)</f>
        <v>0</v>
      </c>
      <c r="AL70" s="444">
        <f>N('費用収益表_業務合計'!O58)-N(O70)</f>
        <v>0</v>
      </c>
      <c r="AM70" s="444">
        <f>N('費用収益表_業務合計'!P58)-N(P70)</f>
        <v>0</v>
      </c>
      <c r="AN70" s="444">
        <f>N('費用収益表_業務合計'!Q58)-N(Q70)</f>
        <v>0</v>
      </c>
      <c r="AO70" s="444">
        <f>N('費用収益表_業務合計'!R58)-N(R70)</f>
        <v>0</v>
      </c>
      <c r="AP70" s="444">
        <f>N('費用収益表_業務合計'!S58)-N(S70)</f>
        <v>0</v>
      </c>
      <c r="AQ70" s="444">
        <f>N('費用収益表_業務合計'!T58)-N(T70)</f>
        <v>0</v>
      </c>
      <c r="AR70" s="444">
        <f>N('費用収益表_業務合計'!U58)-N(U70)</f>
        <v>0</v>
      </c>
    </row>
    <row r="71">
      <c r="C71" s="443" t="n">
        <v>0</v>
      </c>
      <c r="D71" s="443" t="n">
        <v>0</v>
      </c>
      <c r="E71" s="443" t="n">
        <v>1315485</v>
      </c>
      <c r="F71" s="443" t="n">
        <v>0</v>
      </c>
      <c r="G71" s="443" t="n">
        <v>0</v>
      </c>
      <c r="H71" s="443" t="n">
        <v>0</v>
      </c>
      <c r="I71" s="443" t="n">
        <v>0</v>
      </c>
      <c r="J71" s="443" t="n">
        <v>0</v>
      </c>
      <c r="K71" s="443" t="n">
        <v>1054637</v>
      </c>
      <c r="L71" s="443" t="n">
        <v>0</v>
      </c>
      <c r="M71" s="443" t="n">
        <v>0</v>
      </c>
      <c r="N71" s="443" t="n">
        <v>0</v>
      </c>
      <c r="O71" s="443" t="n">
        <v>0</v>
      </c>
      <c r="Q71" s="443" t="n">
        <v>2370122</v>
      </c>
      <c r="Z71" s="444">
        <f>N('費用収益表_業務合計'!C59)-N(C71)</f>
        <v>0</v>
      </c>
      <c r="AA71" s="444">
        <f>N('費用収益表_業務合計'!D59)-N(D71)</f>
        <v>0</v>
      </c>
      <c r="AB71" s="444">
        <f>N('費用収益表_業務合計'!E59)-N(E71)</f>
        <v>0</v>
      </c>
      <c r="AC71" s="444">
        <f>N('費用収益表_業務合計'!F59)-N(F71)</f>
        <v>0</v>
      </c>
      <c r="AD71" s="444">
        <f>N('費用収益表_業務合計'!G59)-N(G71)</f>
        <v>0</v>
      </c>
      <c r="AE71" s="444">
        <f>N('費用収益表_業務合計'!H59)-N(H71)</f>
        <v>0</v>
      </c>
      <c r="AF71" s="444">
        <f>N('費用収益表_業務合計'!I59)-N(I71)</f>
        <v>0</v>
      </c>
      <c r="AG71" s="444">
        <f>N('費用収益表_業務合計'!J59)-N(J71)</f>
        <v>0</v>
      </c>
      <c r="AH71" s="444">
        <f>N('費用収益表_業務合計'!K59)-N(K71)</f>
        <v>0</v>
      </c>
      <c r="AI71" s="444">
        <f>N('費用収益表_業務合計'!L59)-N(L71)</f>
        <v>0</v>
      </c>
      <c r="AJ71" s="444">
        <f>N('費用収益表_業務合計'!M59)-N(M71)</f>
        <v>0</v>
      </c>
      <c r="AK71" s="444">
        <f>N('費用収益表_業務合計'!N59)-N(N71)</f>
        <v>0</v>
      </c>
      <c r="AL71" s="444">
        <f>N('費用収益表_業務合計'!O59)-N(O71)</f>
        <v>0</v>
      </c>
      <c r="AM71" s="444">
        <f>N('費用収益表_業務合計'!P59)-N(P71)</f>
        <v>0</v>
      </c>
      <c r="AN71" s="444">
        <f>N('費用収益表_業務合計'!Q59)-N(Q71)</f>
        <v>0</v>
      </c>
      <c r="AO71" s="444">
        <f>N('費用収益表_業務合計'!R59)-N(R71)</f>
        <v>0</v>
      </c>
      <c r="AP71" s="444">
        <f>N('費用収益表_業務合計'!S59)-N(S71)</f>
        <v>0</v>
      </c>
      <c r="AQ71" s="444">
        <f>N('費用収益表_業務合計'!T59)-N(T71)</f>
        <v>0</v>
      </c>
      <c r="AR71" s="444">
        <f>N('費用収益表_業務合計'!U59)-N(U71)</f>
        <v>0</v>
      </c>
    </row>
    <row r="72">
      <c r="C72" s="443" t="n">
        <v>698140</v>
      </c>
      <c r="D72" s="443" t="n">
        <v>629236</v>
      </c>
      <c r="E72" s="443" t="n">
        <v>1946789</v>
      </c>
      <c r="F72" s="443" t="n">
        <v>637508</v>
      </c>
      <c r="G72" s="443" t="n">
        <v>625100</v>
      </c>
      <c r="H72" s="443" t="n">
        <v>639576</v>
      </c>
      <c r="I72" s="443" t="n">
        <v>764882</v>
      </c>
      <c r="J72" s="443" t="n">
        <v>609611</v>
      </c>
      <c r="K72" s="443" t="n">
        <v>1912393</v>
      </c>
      <c r="L72" s="443" t="n">
        <v>623876</v>
      </c>
      <c r="M72" s="443" t="n">
        <v>627946</v>
      </c>
      <c r="N72" s="443" t="n">
        <v>699347</v>
      </c>
      <c r="O72" s="443" t="n">
        <v>42640</v>
      </c>
      <c r="Q72" s="443" t="n">
        <v>10457044</v>
      </c>
      <c r="Z72" s="444">
        <f>N('費用収益表_業務合計'!C60)-N(C72)</f>
        <v>0</v>
      </c>
      <c r="AA72" s="444">
        <f>N('費用収益表_業務合計'!D60)-N(D72)</f>
        <v>0</v>
      </c>
      <c r="AB72" s="444">
        <f>N('費用収益表_業務合計'!E60)-N(E72)</f>
        <v>0</v>
      </c>
      <c r="AC72" s="444">
        <f>N('費用収益表_業務合計'!F60)-N(F72)</f>
        <v>0</v>
      </c>
      <c r="AD72" s="444">
        <f>N('費用収益表_業務合計'!G60)-N(G72)</f>
        <v>0</v>
      </c>
      <c r="AE72" s="444">
        <f>N('費用収益表_業務合計'!H60)-N(H72)</f>
        <v>0</v>
      </c>
      <c r="AF72" s="444">
        <f>N('費用収益表_業務合計'!I60)-N(I72)</f>
        <v>0</v>
      </c>
      <c r="AG72" s="444">
        <f>N('費用収益表_業務合計'!J60)-N(J72)</f>
        <v>0</v>
      </c>
      <c r="AH72" s="444">
        <f>N('費用収益表_業務合計'!K60)-N(K72)</f>
        <v>0</v>
      </c>
      <c r="AI72" s="444">
        <f>N('費用収益表_業務合計'!L60)-N(L72)</f>
        <v>0</v>
      </c>
      <c r="AJ72" s="444">
        <f>N('費用収益表_業務合計'!M60)-N(M72)</f>
        <v>0</v>
      </c>
      <c r="AK72" s="444">
        <f>N('費用収益表_業務合計'!N60)-N(N72)</f>
        <v>0</v>
      </c>
      <c r="AL72" s="444">
        <f>N('費用収益表_業務合計'!O60)-N(O72)</f>
        <v>0</v>
      </c>
      <c r="AM72" s="444">
        <f>N('費用収益表_業務合計'!P60)-N(P72)</f>
        <v>0</v>
      </c>
      <c r="AN72" s="444">
        <f>N('費用収益表_業務合計'!Q60)-N(Q72)</f>
        <v>0</v>
      </c>
      <c r="AO72" s="444">
        <f>N('費用収益表_業務合計'!R60)-N(R72)</f>
        <v>0</v>
      </c>
      <c r="AP72" s="444">
        <f>N('費用収益表_業務合計'!S60)-N(S72)</f>
        <v>0</v>
      </c>
      <c r="AQ72" s="444">
        <f>N('費用収益表_業務合計'!T60)-N(T72)</f>
        <v>0</v>
      </c>
      <c r="AR72" s="444">
        <f>N('費用収益表_業務合計'!U60)-N(U72)</f>
        <v>0</v>
      </c>
    </row>
    <row r="73">
      <c r="Z73" s="444">
        <f>N('費用収益表_業務合計'!C61)-N(C73)</f>
        <v>0</v>
      </c>
      <c r="AA73" s="444">
        <f>N('費用収益表_業務合計'!D61)-N(D73)</f>
        <v>0</v>
      </c>
      <c r="AB73" s="444">
        <f>N('費用収益表_業務合計'!E61)-N(E73)</f>
        <v>0</v>
      </c>
      <c r="AC73" s="444">
        <f>N('費用収益表_業務合計'!F61)-N(F73)</f>
        <v>0</v>
      </c>
      <c r="AD73" s="444">
        <f>N('費用収益表_業務合計'!G61)-N(G73)</f>
        <v>0</v>
      </c>
      <c r="AE73" s="444">
        <f>N('費用収益表_業務合計'!H61)-N(H73)</f>
        <v>0</v>
      </c>
      <c r="AF73" s="444">
        <f>N('費用収益表_業務合計'!I61)-N(I73)</f>
        <v>0</v>
      </c>
      <c r="AG73" s="444">
        <f>N('費用収益表_業務合計'!J61)-N(J73)</f>
        <v>0</v>
      </c>
      <c r="AH73" s="444">
        <f>N('費用収益表_業務合計'!K61)-N(K73)</f>
        <v>0</v>
      </c>
      <c r="AI73" s="444">
        <f>N('費用収益表_業務合計'!L61)-N(L73)</f>
        <v>0</v>
      </c>
      <c r="AJ73" s="444">
        <f>N('費用収益表_業務合計'!M61)-N(M73)</f>
        <v>0</v>
      </c>
      <c r="AK73" s="444">
        <f>N('費用収益表_業務合計'!N61)-N(N73)</f>
        <v>0</v>
      </c>
      <c r="AL73" s="444">
        <f>N('費用収益表_業務合計'!O61)-N(O73)</f>
        <v>0</v>
      </c>
      <c r="AM73" s="444">
        <f>N('費用収益表_業務合計'!P61)-N(P73)</f>
        <v>0</v>
      </c>
      <c r="AN73" s="444">
        <f>N('費用収益表_業務合計'!Q61)-N(Q73)</f>
        <v>0</v>
      </c>
      <c r="AO73" s="444">
        <f>N('費用収益表_業務合計'!R61)-N(R73)</f>
        <v>0</v>
      </c>
      <c r="AP73" s="444">
        <f>N('費用収益表_業務合計'!S61)-N(S73)</f>
        <v>0</v>
      </c>
      <c r="AQ73" s="444">
        <f>N('費用収益表_業務合計'!T61)-N(T73)</f>
        <v>0</v>
      </c>
      <c r="AR73" s="444">
        <f>N('費用収益表_業務合計'!U61)-N(U73)</f>
        <v>0</v>
      </c>
    </row>
    <row r="74">
      <c r="C74" s="443" t="n">
        <v>698140</v>
      </c>
      <c r="D74" s="443" t="n">
        <v>1055116</v>
      </c>
      <c r="E74" s="443" t="n">
        <v>2311829</v>
      </c>
      <c r="F74" s="443" t="n">
        <v>1083668</v>
      </c>
      <c r="G74" s="443" t="n">
        <v>1070820</v>
      </c>
      <c r="H74" s="443" t="n">
        <v>1024056</v>
      </c>
      <c r="I74" s="443" t="n">
        <v>1154042</v>
      </c>
      <c r="J74" s="443" t="n">
        <v>1026191</v>
      </c>
      <c r="K74" s="443" t="n">
        <v>2253313</v>
      </c>
      <c r="L74" s="443" t="n">
        <v>1001396</v>
      </c>
      <c r="M74" s="443" t="n">
        <v>987066</v>
      </c>
      <c r="N74" s="443" t="n">
        <v>1038687</v>
      </c>
      <c r="O74" s="443" t="n">
        <v>382208</v>
      </c>
      <c r="Q74" s="443" t="n">
        <v>15086532</v>
      </c>
      <c r="Z74" s="444">
        <f>N('費用収益表_業務合計'!C62)-N(C74)</f>
        <v>0</v>
      </c>
      <c r="AA74" s="444">
        <f>N('費用収益表_業務合計'!D62)-N(D74)</f>
        <v>0</v>
      </c>
      <c r="AB74" s="444">
        <f>N('費用収益表_業務合計'!E62)-N(E74)</f>
        <v>0</v>
      </c>
      <c r="AC74" s="444">
        <f>N('費用収益表_業務合計'!F62)-N(F74)</f>
        <v>0</v>
      </c>
      <c r="AD74" s="444">
        <f>N('費用収益表_業務合計'!G62)-N(G74)</f>
        <v>0</v>
      </c>
      <c r="AE74" s="444">
        <f>N('費用収益表_業務合計'!H62)-N(H74)</f>
        <v>0</v>
      </c>
      <c r="AF74" s="444">
        <f>N('費用収益表_業務合計'!I62)-N(I74)</f>
        <v>0</v>
      </c>
      <c r="AG74" s="444">
        <f>N('費用収益表_業務合計'!J62)-N(J74)</f>
        <v>0</v>
      </c>
      <c r="AH74" s="444">
        <f>N('費用収益表_業務合計'!K62)-N(K74)</f>
        <v>0</v>
      </c>
      <c r="AI74" s="444">
        <f>N('費用収益表_業務合計'!L62)-N(L74)</f>
        <v>0</v>
      </c>
      <c r="AJ74" s="444">
        <f>N('費用収益表_業務合計'!M62)-N(M74)</f>
        <v>0</v>
      </c>
      <c r="AK74" s="444">
        <f>N('費用収益表_業務合計'!N62)-N(N74)</f>
        <v>0</v>
      </c>
      <c r="AL74" s="444">
        <f>N('費用収益表_業務合計'!O62)-N(O74)</f>
        <v>0</v>
      </c>
      <c r="AM74" s="444">
        <f>N('費用収益表_業務合計'!P62)-N(P74)</f>
        <v>0</v>
      </c>
      <c r="AN74" s="444">
        <f>N('費用収益表_業務合計'!Q62)-N(Q74)</f>
        <v>0</v>
      </c>
      <c r="AO74" s="444">
        <f>N('費用収益表_業務合計'!R62)-N(R74)</f>
        <v>0</v>
      </c>
      <c r="AP74" s="444">
        <f>N('費用収益表_業務合計'!S62)-N(S74)</f>
        <v>0</v>
      </c>
      <c r="AQ74" s="444">
        <f>N('費用収益表_業務合計'!T62)-N(T74)</f>
        <v>0</v>
      </c>
      <c r="AR74" s="444">
        <f>N('費用収益表_業務合計'!U62)-N(U74)</f>
        <v>0</v>
      </c>
    </row>
    <row r="81">
      <c r="A81" s="442" t="inlineStr">
        <is>
          <t>【費用収益表_業務短期】 旧表の値（A:W）／ 差（Z:AV）</t>
        </is>
      </c>
    </row>
    <row r="86">
      <c r="C86" s="443" t="n">
        <v>0</v>
      </c>
      <c r="D86" s="443" t="n">
        <v>0</v>
      </c>
      <c r="E86" s="443" t="n">
        <v>10522</v>
      </c>
      <c r="F86" s="443" t="n">
        <v>0</v>
      </c>
      <c r="G86" s="443" t="n">
        <v>0</v>
      </c>
      <c r="H86" s="443" t="n">
        <v>0</v>
      </c>
      <c r="I86" s="443" t="n">
        <v>0</v>
      </c>
      <c r="J86" s="443" t="n">
        <v>0</v>
      </c>
      <c r="K86" s="443" t="n">
        <v>0</v>
      </c>
      <c r="L86" s="443" t="n">
        <v>0</v>
      </c>
      <c r="M86" s="443" t="n">
        <v>0</v>
      </c>
      <c r="N86" s="443" t="n">
        <v>5261</v>
      </c>
      <c r="O86" s="443" t="n">
        <v>0</v>
      </c>
      <c r="P86" s="443" t="n">
        <v>15783</v>
      </c>
      <c r="Q86" s="443" t="n">
        <v>16000</v>
      </c>
      <c r="S86" s="443" t="n">
        <v>16000</v>
      </c>
      <c r="T86" s="443" t="n">
        <v>217</v>
      </c>
      <c r="Z86" s="444">
        <f>N('費用収益表_業務短期'!C4)-N(C86)</f>
        <v>0</v>
      </c>
      <c r="AA86" s="444">
        <f>N('費用収益表_業務短期'!D4)-N(D86)</f>
        <v>0</v>
      </c>
      <c r="AB86" s="444">
        <f>N('費用収益表_業務短期'!E4)-N(E86)</f>
        <v>0</v>
      </c>
      <c r="AC86" s="444">
        <f>N('費用収益表_業務短期'!F4)-N(F86)</f>
        <v>0</v>
      </c>
      <c r="AD86" s="444">
        <f>N('費用収益表_業務短期'!G4)-N(G86)</f>
        <v>0</v>
      </c>
      <c r="AE86" s="444">
        <f>N('費用収益表_業務短期'!H4)-N(H86)</f>
        <v>0</v>
      </c>
      <c r="AF86" s="444">
        <f>N('費用収益表_業務短期'!I4)-N(I86)</f>
        <v>0</v>
      </c>
      <c r="AG86" s="444">
        <f>N('費用収益表_業務短期'!J4)-N(J86)</f>
        <v>0</v>
      </c>
      <c r="AH86" s="444">
        <f>N('費用収益表_業務短期'!K4)-N(K86)</f>
        <v>0</v>
      </c>
      <c r="AI86" s="444">
        <f>N('費用収益表_業務短期'!L4)-N(L86)</f>
        <v>0</v>
      </c>
      <c r="AJ86" s="444">
        <f>N('費用収益表_業務短期'!M4)-N(M86)</f>
        <v>0</v>
      </c>
      <c r="AK86" s="444">
        <f>N('費用収益表_業務短期'!N4)-N(N86)</f>
        <v>0</v>
      </c>
      <c r="AL86" s="444">
        <f>N('費用収益表_業務短期'!O4)-N(O86)</f>
        <v>0</v>
      </c>
      <c r="AM86" s="444">
        <f>N('費用収益表_業務短期'!P4)-N(P86)</f>
        <v>0</v>
      </c>
      <c r="AN86" s="444">
        <f>N('費用収益表_業務短期'!Q4)-N(Q86)</f>
        <v>0</v>
      </c>
      <c r="AO86" s="444">
        <f>N('費用収益表_業務短期'!R4)-N(R86)</f>
        <v>0</v>
      </c>
      <c r="AP86" s="444">
        <f>N('費用収益表_業務短期'!S4)-N(S86)</f>
        <v>0</v>
      </c>
      <c r="AQ86" s="444">
        <f>N('費用収益表_業務短期'!T4)-N(T86)</f>
        <v>0</v>
      </c>
      <c r="AR86" s="444">
        <f>N('費用収益表_業務短期'!U4)-N(U86)</f>
        <v>0</v>
      </c>
    </row>
    <row r="87">
      <c r="C87" s="443" t="n">
        <v>0</v>
      </c>
      <c r="D87" s="443" t="n">
        <v>0</v>
      </c>
      <c r="E87" s="443" t="n">
        <v>0</v>
      </c>
      <c r="F87" s="443" t="n">
        <v>0</v>
      </c>
      <c r="G87" s="443" t="n">
        <v>0</v>
      </c>
      <c r="H87" s="443" t="n">
        <v>0</v>
      </c>
      <c r="I87" s="443" t="n">
        <v>0</v>
      </c>
      <c r="J87" s="443" t="n">
        <v>0</v>
      </c>
      <c r="K87" s="443" t="n">
        <v>0</v>
      </c>
      <c r="L87" s="443" t="n">
        <v>0</v>
      </c>
      <c r="M87" s="443" t="n">
        <v>0</v>
      </c>
      <c r="N87" s="443" t="n">
        <v>0</v>
      </c>
      <c r="O87" s="443" t="n">
        <v>0</v>
      </c>
      <c r="P87" s="443" t="n">
        <v>0</v>
      </c>
      <c r="Q87" s="443" t="n">
        <v>0</v>
      </c>
      <c r="S87" s="443" t="n">
        <v>0</v>
      </c>
      <c r="T87" s="443" t="n">
        <v>0</v>
      </c>
      <c r="Z87" s="444">
        <f>N('費用収益表_業務短期'!C5)-N(C87)</f>
        <v>0</v>
      </c>
      <c r="AA87" s="444">
        <f>N('費用収益表_業務短期'!D5)-N(D87)</f>
        <v>0</v>
      </c>
      <c r="AB87" s="444">
        <f>N('費用収益表_業務短期'!E5)-N(E87)</f>
        <v>0</v>
      </c>
      <c r="AC87" s="444">
        <f>N('費用収益表_業務短期'!F5)-N(F87)</f>
        <v>0</v>
      </c>
      <c r="AD87" s="444">
        <f>N('費用収益表_業務短期'!G5)-N(G87)</f>
        <v>0</v>
      </c>
      <c r="AE87" s="444">
        <f>N('費用収益表_業務短期'!H5)-N(H87)</f>
        <v>0</v>
      </c>
      <c r="AF87" s="444">
        <f>N('費用収益表_業務短期'!I5)-N(I87)</f>
        <v>0</v>
      </c>
      <c r="AG87" s="444">
        <f>N('費用収益表_業務短期'!J5)-N(J87)</f>
        <v>0</v>
      </c>
      <c r="AH87" s="444">
        <f>N('費用収益表_業務短期'!K5)-N(K87)</f>
        <v>0</v>
      </c>
      <c r="AI87" s="444">
        <f>N('費用収益表_業務短期'!L5)-N(L87)</f>
        <v>0</v>
      </c>
      <c r="AJ87" s="444">
        <f>N('費用収益表_業務短期'!M5)-N(M87)</f>
        <v>0</v>
      </c>
      <c r="AK87" s="444">
        <f>N('費用収益表_業務短期'!N5)-N(N87)</f>
        <v>0</v>
      </c>
      <c r="AL87" s="444">
        <f>N('費用収益表_業務短期'!O5)-N(O87)</f>
        <v>0</v>
      </c>
      <c r="AM87" s="444">
        <f>N('費用収益表_業務短期'!P5)-N(P87)</f>
        <v>0</v>
      </c>
      <c r="AN87" s="444">
        <f>N('費用収益表_業務短期'!Q5)-N(Q87)</f>
        <v>0</v>
      </c>
      <c r="AO87" s="444">
        <f>N('費用収益表_業務短期'!R5)-N(R87)</f>
        <v>0</v>
      </c>
      <c r="AP87" s="444">
        <f>N('費用収益表_業務短期'!S5)-N(S87)</f>
        <v>0</v>
      </c>
      <c r="AQ87" s="444">
        <f>N('費用収益表_業務短期'!T5)-N(T87)</f>
        <v>0</v>
      </c>
      <c r="AR87" s="444">
        <f>N('費用収益表_業務短期'!U5)-N(U87)</f>
        <v>0</v>
      </c>
    </row>
    <row r="88">
      <c r="C88" s="443" t="n">
        <v>0</v>
      </c>
      <c r="D88" s="443" t="n">
        <v>0</v>
      </c>
      <c r="E88" s="443" t="n">
        <v>0</v>
      </c>
      <c r="F88" s="443" t="n">
        <v>0</v>
      </c>
      <c r="G88" s="443" t="n">
        <v>0</v>
      </c>
      <c r="H88" s="443" t="n">
        <v>0</v>
      </c>
      <c r="I88" s="443" t="n">
        <v>0</v>
      </c>
      <c r="J88" s="443" t="n">
        <v>0</v>
      </c>
      <c r="K88" s="443" t="n">
        <v>0</v>
      </c>
      <c r="L88" s="443" t="n">
        <v>0</v>
      </c>
      <c r="M88" s="443" t="n">
        <v>0</v>
      </c>
      <c r="N88" s="443" t="n">
        <v>0</v>
      </c>
      <c r="O88" s="443" t="n">
        <v>0</v>
      </c>
      <c r="P88" s="443" t="n">
        <v>0</v>
      </c>
      <c r="Q88" s="443" t="n">
        <v>0</v>
      </c>
      <c r="S88" s="443" t="n">
        <v>0</v>
      </c>
      <c r="T88" s="443" t="n">
        <v>0</v>
      </c>
      <c r="Z88" s="444">
        <f>N('費用収益表_業務短期'!C6)-N(C88)</f>
        <v>0</v>
      </c>
      <c r="AA88" s="444">
        <f>N('費用収益表_業務短期'!D6)-N(D88)</f>
        <v>0</v>
      </c>
      <c r="AB88" s="444">
        <f>N('費用収益表_業務短期'!E6)-N(E88)</f>
        <v>0</v>
      </c>
      <c r="AC88" s="444">
        <f>N('費用収益表_業務短期'!F6)-N(F88)</f>
        <v>0</v>
      </c>
      <c r="AD88" s="444">
        <f>N('費用収益表_業務短期'!G6)-N(G88)</f>
        <v>0</v>
      </c>
      <c r="AE88" s="444">
        <f>N('費用収益表_業務短期'!H6)-N(H88)</f>
        <v>0</v>
      </c>
      <c r="AF88" s="444">
        <f>N('費用収益表_業務短期'!I6)-N(I88)</f>
        <v>0</v>
      </c>
      <c r="AG88" s="444">
        <f>N('費用収益表_業務短期'!J6)-N(J88)</f>
        <v>0</v>
      </c>
      <c r="AH88" s="444">
        <f>N('費用収益表_業務短期'!K6)-N(K88)</f>
        <v>0</v>
      </c>
      <c r="AI88" s="444">
        <f>N('費用収益表_業務短期'!L6)-N(L88)</f>
        <v>0</v>
      </c>
      <c r="AJ88" s="444">
        <f>N('費用収益表_業務短期'!M6)-N(M88)</f>
        <v>0</v>
      </c>
      <c r="AK88" s="444">
        <f>N('費用収益表_業務短期'!N6)-N(N88)</f>
        <v>0</v>
      </c>
      <c r="AL88" s="444">
        <f>N('費用収益表_業務短期'!O6)-N(O88)</f>
        <v>0</v>
      </c>
      <c r="AM88" s="444">
        <f>N('費用収益表_業務短期'!P6)-N(P88)</f>
        <v>0</v>
      </c>
      <c r="AN88" s="444">
        <f>N('費用収益表_業務短期'!Q6)-N(Q88)</f>
        <v>0</v>
      </c>
      <c r="AO88" s="444">
        <f>N('費用収益表_業務短期'!R6)-N(R88)</f>
        <v>0</v>
      </c>
      <c r="AP88" s="444">
        <f>N('費用収益表_業務短期'!S6)-N(S88)</f>
        <v>0</v>
      </c>
      <c r="AQ88" s="444">
        <f>N('費用収益表_業務短期'!T6)-N(T88)</f>
        <v>0</v>
      </c>
      <c r="AR88" s="444">
        <f>N('費用収益表_業務短期'!U6)-N(U88)</f>
        <v>0</v>
      </c>
    </row>
    <row r="89">
      <c r="C89" s="443" t="n">
        <v>317340</v>
      </c>
      <c r="D89" s="443" t="n">
        <v>248436</v>
      </c>
      <c r="E89" s="443" t="n">
        <v>698299</v>
      </c>
      <c r="F89" s="443" t="n">
        <v>256708</v>
      </c>
      <c r="G89" s="443" t="n">
        <v>244300</v>
      </c>
      <c r="H89" s="443" t="n">
        <v>258776</v>
      </c>
      <c r="I89" s="443" t="n">
        <v>383109</v>
      </c>
      <c r="J89" s="443" t="n">
        <v>227838</v>
      </c>
      <c r="K89" s="443" t="n">
        <v>742061</v>
      </c>
      <c r="L89" s="443" t="n">
        <v>228265</v>
      </c>
      <c r="M89" s="443" t="n">
        <v>232335</v>
      </c>
      <c r="N89" s="443" t="n">
        <v>234370</v>
      </c>
      <c r="O89" s="443" t="n">
        <v>42640</v>
      </c>
      <c r="P89" s="443" t="n">
        <v>4114477</v>
      </c>
      <c r="Q89" s="443" t="n">
        <v>4381000</v>
      </c>
      <c r="S89" s="443" t="n">
        <v>4381000</v>
      </c>
      <c r="T89" s="443" t="n">
        <v>266523</v>
      </c>
      <c r="Z89" s="444">
        <f>N('費用収益表_業務短期'!C7)-N(C89)</f>
        <v>0</v>
      </c>
      <c r="AA89" s="444">
        <f>N('費用収益表_業務短期'!D7)-N(D89)</f>
        <v>0</v>
      </c>
      <c r="AB89" s="444">
        <f>N('費用収益表_業務短期'!E7)-N(E89)</f>
        <v>0</v>
      </c>
      <c r="AC89" s="444">
        <f>N('費用収益表_業務短期'!F7)-N(F89)</f>
        <v>0</v>
      </c>
      <c r="AD89" s="444">
        <f>N('費用収益表_業務短期'!G7)-N(G89)</f>
        <v>0</v>
      </c>
      <c r="AE89" s="444">
        <f>N('費用収益表_業務短期'!H7)-N(H89)</f>
        <v>0</v>
      </c>
      <c r="AF89" s="444">
        <f>N('費用収益表_業務短期'!I7)-N(I89)</f>
        <v>0</v>
      </c>
      <c r="AG89" s="444">
        <f>N('費用収益表_業務短期'!J7)-N(J89)</f>
        <v>0</v>
      </c>
      <c r="AH89" s="444">
        <f>N('費用収益表_業務短期'!K7)-N(K89)</f>
        <v>0</v>
      </c>
      <c r="AI89" s="444">
        <f>N('費用収益表_業務短期'!L7)-N(L89)</f>
        <v>0</v>
      </c>
      <c r="AJ89" s="444">
        <f>N('費用収益表_業務短期'!M7)-N(M89)</f>
        <v>0</v>
      </c>
      <c r="AK89" s="444">
        <f>N('費用収益表_業務短期'!N7)-N(N89)</f>
        <v>0</v>
      </c>
      <c r="AL89" s="444">
        <f>N('費用収益表_業務短期'!O7)-N(O89)</f>
        <v>0</v>
      </c>
      <c r="AM89" s="444">
        <f>N('費用収益表_業務短期'!P7)-N(P89)</f>
        <v>0</v>
      </c>
      <c r="AN89" s="444">
        <f>N('費用収益表_業務短期'!Q7)-N(Q89)</f>
        <v>0</v>
      </c>
      <c r="AO89" s="444">
        <f>N('費用収益表_業務短期'!R7)-N(R89)</f>
        <v>0</v>
      </c>
      <c r="AP89" s="444">
        <f>N('費用収益表_業務短期'!S7)-N(S89)</f>
        <v>0</v>
      </c>
      <c r="AQ89" s="444">
        <f>N('費用収益表_業務短期'!T7)-N(T89)</f>
        <v>0</v>
      </c>
      <c r="AR89" s="444">
        <f>N('費用収益表_業務短期'!U7)-N(U89)</f>
        <v>0</v>
      </c>
    </row>
    <row r="90">
      <c r="P90" s="443" t="n">
        <v>0</v>
      </c>
      <c r="Q90" s="443" t="n">
        <v>0</v>
      </c>
      <c r="S90" s="443" t="n">
        <v>0</v>
      </c>
      <c r="T90" s="443" t="n">
        <v>0</v>
      </c>
      <c r="Z90" s="444">
        <f>N('費用収益表_業務短期'!C8)-N(C90)</f>
        <v>0</v>
      </c>
      <c r="AA90" s="444">
        <f>N('費用収益表_業務短期'!D8)-N(D90)</f>
        <v>0</v>
      </c>
      <c r="AB90" s="444">
        <f>N('費用収益表_業務短期'!E8)-N(E90)</f>
        <v>0</v>
      </c>
      <c r="AC90" s="444">
        <f>N('費用収益表_業務短期'!F8)-N(F90)</f>
        <v>0</v>
      </c>
      <c r="AD90" s="444">
        <f>N('費用収益表_業務短期'!G8)-N(G90)</f>
        <v>0</v>
      </c>
      <c r="AE90" s="444">
        <f>N('費用収益表_業務短期'!H8)-N(H90)</f>
        <v>0</v>
      </c>
      <c r="AF90" s="444">
        <f>N('費用収益表_業務短期'!I8)-N(I90)</f>
        <v>0</v>
      </c>
      <c r="AG90" s="444">
        <f>N('費用収益表_業務短期'!J8)-N(J90)</f>
        <v>0</v>
      </c>
      <c r="AH90" s="444">
        <f>N('費用収益表_業務短期'!K8)-N(K90)</f>
        <v>0</v>
      </c>
      <c r="AI90" s="444">
        <f>N('費用収益表_業務短期'!L8)-N(L90)</f>
        <v>0</v>
      </c>
      <c r="AJ90" s="444">
        <f>N('費用収益表_業務短期'!M8)-N(M90)</f>
        <v>0</v>
      </c>
      <c r="AK90" s="444">
        <f>N('費用収益表_業務短期'!N8)-N(N90)</f>
        <v>0</v>
      </c>
      <c r="AL90" s="444">
        <f>N('費用収益表_業務短期'!O8)-N(O90)</f>
        <v>0</v>
      </c>
      <c r="AM90" s="444">
        <f>N('費用収益表_業務短期'!P8)-N(P90)</f>
        <v>0</v>
      </c>
      <c r="AN90" s="444">
        <f>N('費用収益表_業務短期'!Q8)-N(Q90)</f>
        <v>0</v>
      </c>
      <c r="AO90" s="444">
        <f>N('費用収益表_業務短期'!R8)-N(R90)</f>
        <v>0</v>
      </c>
      <c r="AP90" s="444">
        <f>N('費用収益表_業務短期'!S8)-N(S90)</f>
        <v>0</v>
      </c>
      <c r="AQ90" s="444">
        <f>N('費用収益表_業務短期'!T8)-N(T90)</f>
        <v>0</v>
      </c>
      <c r="AR90" s="444">
        <f>N('費用収益表_業務短期'!U8)-N(U90)</f>
        <v>0</v>
      </c>
    </row>
    <row r="91">
      <c r="C91" s="443" t="n">
        <v>317340</v>
      </c>
      <c r="D91" s="443" t="n">
        <v>248436</v>
      </c>
      <c r="E91" s="443" t="n">
        <v>698299</v>
      </c>
      <c r="F91" s="443" t="n">
        <v>256708</v>
      </c>
      <c r="G91" s="443" t="n">
        <v>244300</v>
      </c>
      <c r="H91" s="443" t="n">
        <v>258776</v>
      </c>
      <c r="I91" s="443" t="n">
        <v>383109</v>
      </c>
      <c r="J91" s="443" t="n">
        <v>227838</v>
      </c>
      <c r="K91" s="443" t="n">
        <v>742061</v>
      </c>
      <c r="L91" s="443" t="n">
        <v>228265</v>
      </c>
      <c r="M91" s="443" t="n">
        <v>232335</v>
      </c>
      <c r="N91" s="443" t="n">
        <v>234370</v>
      </c>
      <c r="O91" s="443" t="n">
        <v>42640</v>
      </c>
      <c r="P91" s="443" t="n">
        <v>4114477</v>
      </c>
      <c r="Q91" s="443" t="n">
        <v>4381000</v>
      </c>
      <c r="S91" s="443" t="n">
        <v>4381000</v>
      </c>
      <c r="T91" s="443" t="n">
        <v>266523</v>
      </c>
      <c r="Z91" s="444">
        <f>N('費用収益表_業務短期'!C9)-N(C91)</f>
        <v>0</v>
      </c>
      <c r="AA91" s="444">
        <f>N('費用収益表_業務短期'!D9)-N(D91)</f>
        <v>0</v>
      </c>
      <c r="AB91" s="444">
        <f>N('費用収益表_業務短期'!E9)-N(E91)</f>
        <v>0</v>
      </c>
      <c r="AC91" s="444">
        <f>N('費用収益表_業務短期'!F9)-N(F91)</f>
        <v>0</v>
      </c>
      <c r="AD91" s="444">
        <f>N('費用収益表_業務短期'!G9)-N(G91)</f>
        <v>0</v>
      </c>
      <c r="AE91" s="444">
        <f>N('費用収益表_業務短期'!H9)-N(H91)</f>
        <v>0</v>
      </c>
      <c r="AF91" s="444">
        <f>N('費用収益表_業務短期'!I9)-N(I91)</f>
        <v>0</v>
      </c>
      <c r="AG91" s="444">
        <f>N('費用収益表_業務短期'!J9)-N(J91)</f>
        <v>0</v>
      </c>
      <c r="AH91" s="444">
        <f>N('費用収益表_業務短期'!K9)-N(K91)</f>
        <v>0</v>
      </c>
      <c r="AI91" s="444">
        <f>N('費用収益表_業務短期'!L9)-N(L91)</f>
        <v>0</v>
      </c>
      <c r="AJ91" s="444">
        <f>N('費用収益表_業務短期'!M9)-N(M91)</f>
        <v>0</v>
      </c>
      <c r="AK91" s="444">
        <f>N('費用収益表_業務短期'!N9)-N(N91)</f>
        <v>0</v>
      </c>
      <c r="AL91" s="444">
        <f>N('費用収益表_業務短期'!O9)-N(O91)</f>
        <v>0</v>
      </c>
      <c r="AM91" s="444">
        <f>N('費用収益表_業務短期'!P9)-N(P91)</f>
        <v>0</v>
      </c>
      <c r="AN91" s="444">
        <f>N('費用収益表_業務短期'!Q9)-N(Q91)</f>
        <v>0</v>
      </c>
      <c r="AO91" s="444">
        <f>N('費用収益表_業務短期'!R9)-N(R91)</f>
        <v>0</v>
      </c>
      <c r="AP91" s="444">
        <f>N('費用収益表_業務短期'!S9)-N(S91)</f>
        <v>0</v>
      </c>
      <c r="AQ91" s="444">
        <f>N('費用収益表_業務短期'!T9)-N(T91)</f>
        <v>0</v>
      </c>
      <c r="AR91" s="444">
        <f>N('費用収益表_業務短期'!U9)-N(U91)</f>
        <v>0</v>
      </c>
    </row>
    <row r="92">
      <c r="C92" s="443" t="n">
        <v>0</v>
      </c>
      <c r="D92" s="443" t="n">
        <v>0</v>
      </c>
      <c r="E92" s="443" t="n">
        <v>0</v>
      </c>
      <c r="F92" s="443" t="n">
        <v>0</v>
      </c>
      <c r="G92" s="443" t="n">
        <v>0</v>
      </c>
      <c r="H92" s="443" t="n">
        <v>14894</v>
      </c>
      <c r="I92" s="443" t="n">
        <v>0</v>
      </c>
      <c r="J92" s="443" t="n">
        <v>0</v>
      </c>
      <c r="K92" s="443" t="n">
        <v>0</v>
      </c>
      <c r="L92" s="443" t="n">
        <v>0</v>
      </c>
      <c r="M92" s="443" t="n">
        <v>0</v>
      </c>
      <c r="N92" s="443" t="n">
        <v>0</v>
      </c>
      <c r="O92" s="443" t="n">
        <v>0</v>
      </c>
      <c r="P92" s="443" t="n">
        <v>14894</v>
      </c>
      <c r="Q92" s="443" t="n">
        <v>62000</v>
      </c>
      <c r="S92" s="443" t="n">
        <v>62000</v>
      </c>
      <c r="T92" s="443" t="n">
        <v>47106</v>
      </c>
      <c r="Z92" s="444">
        <f>N('費用収益表_業務短期'!C10)-N(C92)</f>
        <v>0</v>
      </c>
      <c r="AA92" s="444">
        <f>N('費用収益表_業務短期'!D10)-N(D92)</f>
        <v>0</v>
      </c>
      <c r="AB92" s="444">
        <f>N('費用収益表_業務短期'!E10)-N(E92)</f>
        <v>0</v>
      </c>
      <c r="AC92" s="444">
        <f>N('費用収益表_業務短期'!F10)-N(F92)</f>
        <v>0</v>
      </c>
      <c r="AD92" s="444">
        <f>N('費用収益表_業務短期'!G10)-N(G92)</f>
        <v>0</v>
      </c>
      <c r="AE92" s="444">
        <f>N('費用収益表_業務短期'!H10)-N(H92)</f>
        <v>0</v>
      </c>
      <c r="AF92" s="444">
        <f>N('費用収益表_業務短期'!I10)-N(I92)</f>
        <v>0</v>
      </c>
      <c r="AG92" s="444">
        <f>N('費用収益表_業務短期'!J10)-N(J92)</f>
        <v>0</v>
      </c>
      <c r="AH92" s="444">
        <f>N('費用収益表_業務短期'!K10)-N(K92)</f>
        <v>0</v>
      </c>
      <c r="AI92" s="444">
        <f>N('費用収益表_業務短期'!L10)-N(L92)</f>
        <v>0</v>
      </c>
      <c r="AJ92" s="444">
        <f>N('費用収益表_業務短期'!M10)-N(M92)</f>
        <v>0</v>
      </c>
      <c r="AK92" s="444">
        <f>N('費用収益表_業務短期'!N10)-N(N92)</f>
        <v>0</v>
      </c>
      <c r="AL92" s="444">
        <f>N('費用収益表_業務短期'!O10)-N(O92)</f>
        <v>0</v>
      </c>
      <c r="AM92" s="444">
        <f>N('費用収益表_業務短期'!P10)-N(P92)</f>
        <v>0</v>
      </c>
      <c r="AN92" s="444">
        <f>N('費用収益表_業務短期'!Q10)-N(Q92)</f>
        <v>0</v>
      </c>
      <c r="AO92" s="444">
        <f>N('費用収益表_業務短期'!R10)-N(R92)</f>
        <v>0</v>
      </c>
      <c r="AP92" s="444">
        <f>N('費用収益表_業務短期'!S10)-N(S92)</f>
        <v>0</v>
      </c>
      <c r="AQ92" s="444">
        <f>N('費用収益表_業務短期'!T10)-N(T92)</f>
        <v>0</v>
      </c>
      <c r="AR92" s="444">
        <f>N('費用収益表_業務短期'!U10)-N(U92)</f>
        <v>0</v>
      </c>
    </row>
    <row r="93">
      <c r="C93" s="443" t="n">
        <v>0</v>
      </c>
      <c r="D93" s="443" t="n">
        <v>0</v>
      </c>
      <c r="E93" s="443" t="n">
        <v>39656</v>
      </c>
      <c r="F93" s="443" t="n">
        <v>0</v>
      </c>
      <c r="G93" s="443" t="n">
        <v>29068</v>
      </c>
      <c r="H93" s="443" t="n">
        <v>0</v>
      </c>
      <c r="I93" s="443" t="n">
        <v>0</v>
      </c>
      <c r="J93" s="443" t="n">
        <v>18624</v>
      </c>
      <c r="K93" s="443" t="n">
        <v>80902</v>
      </c>
      <c r="L93" s="443" t="n">
        <v>0</v>
      </c>
      <c r="M93" s="443" t="n">
        <v>18816</v>
      </c>
      <c r="N93" s="443" t="n">
        <v>0</v>
      </c>
      <c r="O93" s="443" t="n">
        <v>0</v>
      </c>
      <c r="P93" s="443" t="n">
        <v>187066</v>
      </c>
      <c r="Q93" s="443" t="n">
        <v>98000</v>
      </c>
      <c r="S93" s="443" t="n">
        <v>98000</v>
      </c>
      <c r="T93" s="443" t="n">
        <v>-89066</v>
      </c>
      <c r="Z93" s="444">
        <f>N('費用収益表_業務短期'!C11)-N(C93)</f>
        <v>0</v>
      </c>
      <c r="AA93" s="444">
        <f>N('費用収益表_業務短期'!D11)-N(D93)</f>
        <v>0</v>
      </c>
      <c r="AB93" s="444">
        <f>N('費用収益表_業務短期'!E11)-N(E93)</f>
        <v>0</v>
      </c>
      <c r="AC93" s="444">
        <f>N('費用収益表_業務短期'!F11)-N(F93)</f>
        <v>0</v>
      </c>
      <c r="AD93" s="444">
        <f>N('費用収益表_業務短期'!G11)-N(G93)</f>
        <v>0</v>
      </c>
      <c r="AE93" s="444">
        <f>N('費用収益表_業務短期'!H11)-N(H93)</f>
        <v>0</v>
      </c>
      <c r="AF93" s="444">
        <f>N('費用収益表_業務短期'!I11)-N(I93)</f>
        <v>0</v>
      </c>
      <c r="AG93" s="444">
        <f>N('費用収益表_業務短期'!J11)-N(J93)</f>
        <v>0</v>
      </c>
      <c r="AH93" s="444">
        <f>N('費用収益表_業務短期'!K11)-N(K93)</f>
        <v>0</v>
      </c>
      <c r="AI93" s="444">
        <f>N('費用収益表_業務短期'!L11)-N(L93)</f>
        <v>0</v>
      </c>
      <c r="AJ93" s="444">
        <f>N('費用収益表_業務短期'!M11)-N(M93)</f>
        <v>0</v>
      </c>
      <c r="AK93" s="444">
        <f>N('費用収益表_業務短期'!N11)-N(N93)</f>
        <v>0</v>
      </c>
      <c r="AL93" s="444">
        <f>N('費用収益表_業務短期'!O11)-N(O93)</f>
        <v>0</v>
      </c>
      <c r="AM93" s="444">
        <f>N('費用収益表_業務短期'!P11)-N(P93)</f>
        <v>0</v>
      </c>
      <c r="AN93" s="444">
        <f>N('費用収益表_業務短期'!Q11)-N(Q93)</f>
        <v>0</v>
      </c>
      <c r="AO93" s="444">
        <f>N('費用収益表_業務短期'!R11)-N(R93)</f>
        <v>0</v>
      </c>
      <c r="AP93" s="444">
        <f>N('費用収益表_業務短期'!S11)-N(S93)</f>
        <v>0</v>
      </c>
      <c r="AQ93" s="444">
        <f>N('費用収益表_業務短期'!T11)-N(T93)</f>
        <v>0</v>
      </c>
      <c r="AR93" s="444">
        <f>N('費用収益表_業務短期'!U11)-N(U93)</f>
        <v>0</v>
      </c>
    </row>
    <row r="94">
      <c r="C94" s="443" t="n">
        <v>20482</v>
      </c>
      <c r="D94" s="443" t="n">
        <v>58408</v>
      </c>
      <c r="E94" s="443" t="n">
        <v>38368</v>
      </c>
      <c r="F94" s="443" t="n">
        <v>0</v>
      </c>
      <c r="G94" s="443" t="n">
        <v>131903</v>
      </c>
      <c r="H94" s="443" t="n">
        <v>45203</v>
      </c>
      <c r="I94" s="443" t="n">
        <v>0</v>
      </c>
      <c r="J94" s="443" t="n">
        <v>214017</v>
      </c>
      <c r="K94" s="443" t="n">
        <v>62330</v>
      </c>
      <c r="L94" s="443" t="n">
        <v>71787</v>
      </c>
      <c r="M94" s="443" t="n">
        <v>49487</v>
      </c>
      <c r="N94" s="443" t="n">
        <v>104598</v>
      </c>
      <c r="O94" s="443" t="n">
        <v>100580</v>
      </c>
      <c r="P94" s="443" t="n">
        <v>897163</v>
      </c>
      <c r="Q94" s="443" t="n">
        <v>1537000</v>
      </c>
      <c r="S94" s="443" t="n">
        <v>1537000</v>
      </c>
      <c r="T94" s="443" t="n">
        <v>639837</v>
      </c>
      <c r="Z94" s="444">
        <f>N('費用収益表_業務短期'!C12)-N(C94)</f>
        <v>0</v>
      </c>
      <c r="AA94" s="444">
        <f>N('費用収益表_業務短期'!D12)-N(D94)</f>
        <v>0</v>
      </c>
      <c r="AB94" s="444">
        <f>N('費用収益表_業務短期'!E12)-N(E94)</f>
        <v>0</v>
      </c>
      <c r="AC94" s="444">
        <f>N('費用収益表_業務短期'!F12)-N(F94)</f>
        <v>0</v>
      </c>
      <c r="AD94" s="444">
        <f>N('費用収益表_業務短期'!G12)-N(G94)</f>
        <v>0</v>
      </c>
      <c r="AE94" s="444">
        <f>N('費用収益表_業務短期'!H12)-N(H94)</f>
        <v>0</v>
      </c>
      <c r="AF94" s="444">
        <f>N('費用収益表_業務短期'!I12)-N(I94)</f>
        <v>0</v>
      </c>
      <c r="AG94" s="444">
        <f>N('費用収益表_業務短期'!J12)-N(J94)</f>
        <v>0</v>
      </c>
      <c r="AH94" s="444">
        <f>N('費用収益表_業務短期'!K12)-N(K94)</f>
        <v>0</v>
      </c>
      <c r="AI94" s="444">
        <f>N('費用収益表_業務短期'!L12)-N(L94)</f>
        <v>0</v>
      </c>
      <c r="AJ94" s="444">
        <f>N('費用収益表_業務短期'!M12)-N(M94)</f>
        <v>0</v>
      </c>
      <c r="AK94" s="444">
        <f>N('費用収益表_業務短期'!N12)-N(N94)</f>
        <v>0</v>
      </c>
      <c r="AL94" s="444">
        <f>N('費用収益表_業務短期'!O12)-N(O94)</f>
        <v>0</v>
      </c>
      <c r="AM94" s="444">
        <f>N('費用収益表_業務短期'!P12)-N(P94)</f>
        <v>0</v>
      </c>
      <c r="AN94" s="444">
        <f>N('費用収益表_業務短期'!Q12)-N(Q94)</f>
        <v>0</v>
      </c>
      <c r="AO94" s="444">
        <f>N('費用収益表_業務短期'!R12)-N(R94)</f>
        <v>0</v>
      </c>
      <c r="AP94" s="444">
        <f>N('費用収益表_業務短期'!S12)-N(S94)</f>
        <v>0</v>
      </c>
      <c r="AQ94" s="444">
        <f>N('費用収益表_業務短期'!T12)-N(T94)</f>
        <v>0</v>
      </c>
      <c r="AR94" s="444">
        <f>N('費用収益表_業務短期'!U12)-N(U94)</f>
        <v>0</v>
      </c>
    </row>
    <row r="95">
      <c r="C95" s="443" t="n">
        <v>99220</v>
      </c>
      <c r="D95" s="443" t="n">
        <v>33154</v>
      </c>
      <c r="E95" s="443" t="n">
        <v>33154</v>
      </c>
      <c r="F95" s="443" t="n">
        <v>33154</v>
      </c>
      <c r="G95" s="443" t="n">
        <v>198154</v>
      </c>
      <c r="H95" s="443" t="n">
        <v>187154</v>
      </c>
      <c r="I95" s="443" t="n">
        <v>33154</v>
      </c>
      <c r="J95" s="443" t="n">
        <v>260854</v>
      </c>
      <c r="K95" s="443" t="n">
        <v>264154</v>
      </c>
      <c r="L95" s="443" t="n">
        <v>33154</v>
      </c>
      <c r="M95" s="443" t="n">
        <v>33154</v>
      </c>
      <c r="N95" s="443" t="n">
        <v>165308</v>
      </c>
      <c r="O95" s="443" t="n">
        <v>116600</v>
      </c>
      <c r="P95" s="443" t="n">
        <v>1490368</v>
      </c>
      <c r="Q95" s="443" t="n">
        <v>1339000</v>
      </c>
      <c r="S95" s="443" t="n">
        <v>1339000</v>
      </c>
      <c r="T95" s="443" t="n">
        <v>-151368</v>
      </c>
      <c r="Z95" s="444">
        <f>N('費用収益表_業務短期'!C13)-N(C95)</f>
        <v>0</v>
      </c>
      <c r="AA95" s="444">
        <f>N('費用収益表_業務短期'!D13)-N(D95)</f>
        <v>0</v>
      </c>
      <c r="AB95" s="444">
        <f>N('費用収益表_業務短期'!E13)-N(E95)</f>
        <v>0</v>
      </c>
      <c r="AC95" s="444">
        <f>N('費用収益表_業務短期'!F13)-N(F95)</f>
        <v>0</v>
      </c>
      <c r="AD95" s="444">
        <f>N('費用収益表_業務短期'!G13)-N(G95)</f>
        <v>0</v>
      </c>
      <c r="AE95" s="444">
        <f>N('費用収益表_業務短期'!H13)-N(H95)</f>
        <v>0</v>
      </c>
      <c r="AF95" s="444">
        <f>N('費用収益表_業務短期'!I13)-N(I95)</f>
        <v>0</v>
      </c>
      <c r="AG95" s="444">
        <f>N('費用収益表_業務短期'!J13)-N(J95)</f>
        <v>0</v>
      </c>
      <c r="AH95" s="444">
        <f>N('費用収益表_業務短期'!K13)-N(K95)</f>
        <v>0</v>
      </c>
      <c r="AI95" s="444">
        <f>N('費用収益表_業務短期'!L13)-N(L95)</f>
        <v>0</v>
      </c>
      <c r="AJ95" s="444">
        <f>N('費用収益表_業務短期'!M13)-N(M95)</f>
        <v>0</v>
      </c>
      <c r="AK95" s="444">
        <f>N('費用収益表_業務短期'!N13)-N(N95)</f>
        <v>0</v>
      </c>
      <c r="AL95" s="444">
        <f>N('費用収益表_業務短期'!O13)-N(O95)</f>
        <v>0</v>
      </c>
      <c r="AM95" s="444">
        <f>N('費用収益表_業務短期'!P13)-N(P95)</f>
        <v>0</v>
      </c>
      <c r="AN95" s="444">
        <f>N('費用収益表_業務短期'!Q13)-N(Q95)</f>
        <v>0</v>
      </c>
      <c r="AO95" s="444">
        <f>N('費用収益表_業務短期'!R13)-N(R95)</f>
        <v>0</v>
      </c>
      <c r="AP95" s="444">
        <f>N('費用収益表_業務短期'!S13)-N(S95)</f>
        <v>0</v>
      </c>
      <c r="AQ95" s="444">
        <f>N('費用収益表_業務短期'!T13)-N(T95)</f>
        <v>0</v>
      </c>
      <c r="AR95" s="444">
        <f>N('費用収益表_業務短期'!U13)-N(U95)</f>
        <v>0</v>
      </c>
    </row>
    <row r="96">
      <c r="C96" s="443" t="n">
        <v>0</v>
      </c>
      <c r="D96" s="443" t="n">
        <v>248902</v>
      </c>
      <c r="E96" s="443" t="n">
        <v>151312</v>
      </c>
      <c r="F96" s="443" t="n">
        <v>143987</v>
      </c>
      <c r="G96" s="443" t="n">
        <v>156753</v>
      </c>
      <c r="H96" s="443" t="n">
        <v>162548</v>
      </c>
      <c r="I96" s="443" t="n">
        <v>170300</v>
      </c>
      <c r="J96" s="443" t="n">
        <v>158525</v>
      </c>
      <c r="K96" s="443" t="n">
        <v>145699</v>
      </c>
      <c r="L96" s="443" t="n">
        <v>156146</v>
      </c>
      <c r="M96" s="443" t="n">
        <v>156412</v>
      </c>
      <c r="N96" s="443" t="n">
        <v>147743</v>
      </c>
      <c r="O96" s="443" t="n">
        <v>149215</v>
      </c>
      <c r="P96" s="443" t="n">
        <v>1947542</v>
      </c>
      <c r="Q96" s="443" t="n">
        <v>1852000</v>
      </c>
      <c r="S96" s="443" t="n">
        <v>1852000</v>
      </c>
      <c r="T96" s="443" t="n">
        <v>-95542</v>
      </c>
      <c r="Z96" s="444">
        <f>N('費用収益表_業務短期'!C14)-N(C96)</f>
        <v>0</v>
      </c>
      <c r="AA96" s="444">
        <f>N('費用収益表_業務短期'!D14)-N(D96)</f>
        <v>0</v>
      </c>
      <c r="AB96" s="444">
        <f>N('費用収益表_業務短期'!E14)-N(E96)</f>
        <v>0</v>
      </c>
      <c r="AC96" s="444">
        <f>N('費用収益表_業務短期'!F14)-N(F96)</f>
        <v>0</v>
      </c>
      <c r="AD96" s="444">
        <f>N('費用収益表_業務短期'!G14)-N(G96)</f>
        <v>0</v>
      </c>
      <c r="AE96" s="444">
        <f>N('費用収益表_業務短期'!H14)-N(H96)</f>
        <v>0</v>
      </c>
      <c r="AF96" s="444">
        <f>N('費用収益表_業務短期'!I14)-N(I96)</f>
        <v>0</v>
      </c>
      <c r="AG96" s="444">
        <f>N('費用収益表_業務短期'!J14)-N(J96)</f>
        <v>0</v>
      </c>
      <c r="AH96" s="444">
        <f>N('費用収益表_業務短期'!K14)-N(K96)</f>
        <v>0</v>
      </c>
      <c r="AI96" s="444">
        <f>N('費用収益表_業務短期'!L14)-N(L96)</f>
        <v>0</v>
      </c>
      <c r="AJ96" s="444">
        <f>N('費用収益表_業務短期'!M14)-N(M96)</f>
        <v>0</v>
      </c>
      <c r="AK96" s="444">
        <f>N('費用収益表_業務短期'!N14)-N(N96)</f>
        <v>0</v>
      </c>
      <c r="AL96" s="444">
        <f>N('費用収益表_業務短期'!O14)-N(O96)</f>
        <v>0</v>
      </c>
      <c r="AM96" s="444">
        <f>N('費用収益表_業務短期'!P14)-N(P96)</f>
        <v>0</v>
      </c>
      <c r="AN96" s="444">
        <f>N('費用収益表_業務短期'!Q14)-N(Q96)</f>
        <v>0</v>
      </c>
      <c r="AO96" s="444">
        <f>N('費用収益表_業務短期'!R14)-N(R96)</f>
        <v>0</v>
      </c>
      <c r="AP96" s="444">
        <f>N('費用収益表_業務短期'!S14)-N(S96)</f>
        <v>0</v>
      </c>
      <c r="AQ96" s="444">
        <f>N('費用収益表_業務短期'!T14)-N(T96)</f>
        <v>0</v>
      </c>
      <c r="AR96" s="444">
        <f>N('費用収益表_業務短期'!U14)-N(U96)</f>
        <v>0</v>
      </c>
    </row>
    <row r="97">
      <c r="C97" s="443" t="n">
        <v>0</v>
      </c>
      <c r="D97" s="443" t="n">
        <v>196030</v>
      </c>
      <c r="E97" s="443" t="n">
        <v>48793</v>
      </c>
      <c r="F97" s="443" t="n">
        <v>26523</v>
      </c>
      <c r="G97" s="443" t="n">
        <v>71449</v>
      </c>
      <c r="H97" s="443" t="n">
        <v>26460</v>
      </c>
      <c r="I97" s="443" t="n">
        <v>121950</v>
      </c>
      <c r="J97" s="443" t="n">
        <v>5626</v>
      </c>
      <c r="K97" s="443" t="n">
        <v>92333</v>
      </c>
      <c r="L97" s="443" t="n">
        <v>46855</v>
      </c>
      <c r="M97" s="443" t="n">
        <v>315663</v>
      </c>
      <c r="N97" s="443" t="n">
        <v>32713</v>
      </c>
      <c r="O97" s="443" t="n">
        <v>66886</v>
      </c>
      <c r="P97" s="443" t="n">
        <v>1051281</v>
      </c>
      <c r="Q97" s="443" t="n">
        <v>983000</v>
      </c>
      <c r="S97" s="443" t="n">
        <v>983000</v>
      </c>
      <c r="T97" s="443" t="n">
        <v>-68281</v>
      </c>
      <c r="Z97" s="444">
        <f>N('費用収益表_業務短期'!C15)-N(C97)</f>
        <v>0</v>
      </c>
      <c r="AA97" s="444">
        <f>N('費用収益表_業務短期'!D15)-N(D97)</f>
        <v>0</v>
      </c>
      <c r="AB97" s="444">
        <f>N('費用収益表_業務短期'!E15)-N(E97)</f>
        <v>0</v>
      </c>
      <c r="AC97" s="444">
        <f>N('費用収益表_業務短期'!F15)-N(F97)</f>
        <v>0</v>
      </c>
      <c r="AD97" s="444">
        <f>N('費用収益表_業務短期'!G15)-N(G97)</f>
        <v>0</v>
      </c>
      <c r="AE97" s="444">
        <f>N('費用収益表_業務短期'!H15)-N(H97)</f>
        <v>0</v>
      </c>
      <c r="AF97" s="444">
        <f>N('費用収益表_業務短期'!I15)-N(I97)</f>
        <v>0</v>
      </c>
      <c r="AG97" s="444">
        <f>N('費用収益表_業務短期'!J15)-N(J97)</f>
        <v>0</v>
      </c>
      <c r="AH97" s="444">
        <f>N('費用収益表_業務短期'!K15)-N(K97)</f>
        <v>0</v>
      </c>
      <c r="AI97" s="444">
        <f>N('費用収益表_業務短期'!L15)-N(L97)</f>
        <v>0</v>
      </c>
      <c r="AJ97" s="444">
        <f>N('費用収益表_業務短期'!M15)-N(M97)</f>
        <v>0</v>
      </c>
      <c r="AK97" s="444">
        <f>N('費用収益表_業務短期'!N15)-N(N97)</f>
        <v>0</v>
      </c>
      <c r="AL97" s="444">
        <f>N('費用収益表_業務短期'!O15)-N(O97)</f>
        <v>0</v>
      </c>
      <c r="AM97" s="444">
        <f>N('費用収益表_業務短期'!P15)-N(P97)</f>
        <v>0</v>
      </c>
      <c r="AN97" s="444">
        <f>N('費用収益表_業務短期'!Q15)-N(Q97)</f>
        <v>0</v>
      </c>
      <c r="AO97" s="444">
        <f>N('費用収益表_業務短期'!R15)-N(R97)</f>
        <v>0</v>
      </c>
      <c r="AP97" s="444">
        <f>N('費用収益表_業務短期'!S15)-N(S97)</f>
        <v>0</v>
      </c>
      <c r="AQ97" s="444">
        <f>N('費用収益表_業務短期'!T15)-N(T97)</f>
        <v>0</v>
      </c>
      <c r="AR97" s="444">
        <f>N('費用収益表_業務短期'!U15)-N(U97)</f>
        <v>0</v>
      </c>
    </row>
    <row r="98">
      <c r="C98" s="443" t="n">
        <v>0</v>
      </c>
      <c r="D98" s="443" t="n">
        <v>0</v>
      </c>
      <c r="E98" s="443" t="n">
        <v>0</v>
      </c>
      <c r="F98" s="443" t="n">
        <v>0</v>
      </c>
      <c r="G98" s="443" t="n">
        <v>0</v>
      </c>
      <c r="H98" s="443" t="n">
        <v>0</v>
      </c>
      <c r="I98" s="443" t="n">
        <v>0</v>
      </c>
      <c r="J98" s="443" t="n">
        <v>0</v>
      </c>
      <c r="K98" s="443" t="n">
        <v>0</v>
      </c>
      <c r="L98" s="443" t="n">
        <v>0</v>
      </c>
      <c r="M98" s="443" t="n">
        <v>0</v>
      </c>
      <c r="N98" s="443" t="n">
        <v>0</v>
      </c>
      <c r="O98" s="443" t="n">
        <v>0</v>
      </c>
      <c r="P98" s="443" t="n">
        <v>0</v>
      </c>
      <c r="Q98" s="443" t="n">
        <v>0</v>
      </c>
      <c r="S98" s="443" t="n">
        <v>0</v>
      </c>
      <c r="T98" s="443" t="n">
        <v>0</v>
      </c>
      <c r="Z98" s="444">
        <f>N('費用収益表_業務短期'!C16)-N(C98)</f>
        <v>0</v>
      </c>
      <c r="AA98" s="444">
        <f>N('費用収益表_業務短期'!D16)-N(D98)</f>
        <v>0</v>
      </c>
      <c r="AB98" s="444">
        <f>N('費用収益表_業務短期'!E16)-N(E98)</f>
        <v>0</v>
      </c>
      <c r="AC98" s="444">
        <f>N('費用収益表_業務短期'!F16)-N(F98)</f>
        <v>0</v>
      </c>
      <c r="AD98" s="444">
        <f>N('費用収益表_業務短期'!G16)-N(G98)</f>
        <v>0</v>
      </c>
      <c r="AE98" s="444">
        <f>N('費用収益表_業務短期'!H16)-N(H98)</f>
        <v>0</v>
      </c>
      <c r="AF98" s="444">
        <f>N('費用収益表_業務短期'!I16)-N(I98)</f>
        <v>0</v>
      </c>
      <c r="AG98" s="444">
        <f>N('費用収益表_業務短期'!J16)-N(J98)</f>
        <v>0</v>
      </c>
      <c r="AH98" s="444">
        <f>N('費用収益表_業務短期'!K16)-N(K98)</f>
        <v>0</v>
      </c>
      <c r="AI98" s="444">
        <f>N('費用収益表_業務短期'!L16)-N(L98)</f>
        <v>0</v>
      </c>
      <c r="AJ98" s="444">
        <f>N('費用収益表_業務短期'!M16)-N(M98)</f>
        <v>0</v>
      </c>
      <c r="AK98" s="444">
        <f>N('費用収益表_業務短期'!N16)-N(N98)</f>
        <v>0</v>
      </c>
      <c r="AL98" s="444">
        <f>N('費用収益表_業務短期'!O16)-N(O98)</f>
        <v>0</v>
      </c>
      <c r="AM98" s="444">
        <f>N('費用収益表_業務短期'!P16)-N(P98)</f>
        <v>0</v>
      </c>
      <c r="AN98" s="444">
        <f>N('費用収益表_業務短期'!Q16)-N(Q98)</f>
        <v>0</v>
      </c>
      <c r="AO98" s="444">
        <f>N('費用収益表_業務短期'!R16)-N(R98)</f>
        <v>0</v>
      </c>
      <c r="AP98" s="444">
        <f>N('費用収益表_業務短期'!S16)-N(S98)</f>
        <v>0</v>
      </c>
      <c r="AQ98" s="444">
        <f>N('費用収益表_業務短期'!T16)-N(T98)</f>
        <v>0</v>
      </c>
      <c r="AR98" s="444">
        <f>N('費用収益表_業務短期'!U16)-N(U98)</f>
        <v>0</v>
      </c>
    </row>
    <row r="99">
      <c r="C99" s="443" t="n">
        <v>0</v>
      </c>
      <c r="D99" s="443" t="n">
        <v>550</v>
      </c>
      <c r="E99" s="443" t="n">
        <v>550</v>
      </c>
      <c r="F99" s="443" t="n">
        <v>550</v>
      </c>
      <c r="G99" s="443" t="n">
        <v>550</v>
      </c>
      <c r="H99" s="443" t="n">
        <v>550</v>
      </c>
      <c r="I99" s="443" t="n">
        <v>550</v>
      </c>
      <c r="J99" s="443" t="n">
        <v>550</v>
      </c>
      <c r="K99" s="443" t="n">
        <v>550</v>
      </c>
      <c r="L99" s="443" t="n">
        <v>550</v>
      </c>
      <c r="M99" s="443" t="n">
        <v>550</v>
      </c>
      <c r="N99" s="443" t="n">
        <v>550</v>
      </c>
      <c r="O99" s="443" t="n">
        <v>550</v>
      </c>
      <c r="P99" s="443" t="n">
        <v>6600</v>
      </c>
      <c r="Q99" s="443" t="n">
        <v>0</v>
      </c>
      <c r="S99" s="443" t="n">
        <v>0</v>
      </c>
      <c r="T99" s="443" t="n">
        <v>-6600</v>
      </c>
      <c r="Z99" s="444">
        <f>N('費用収益表_業務短期'!C17)-N(C99)</f>
        <v>0</v>
      </c>
      <c r="AA99" s="444">
        <f>N('費用収益表_業務短期'!D17)-N(D99)</f>
        <v>0</v>
      </c>
      <c r="AB99" s="444">
        <f>N('費用収益表_業務短期'!E17)-N(E99)</f>
        <v>0</v>
      </c>
      <c r="AC99" s="444">
        <f>N('費用収益表_業務短期'!F17)-N(F99)</f>
        <v>0</v>
      </c>
      <c r="AD99" s="444">
        <f>N('費用収益表_業務短期'!G17)-N(G99)</f>
        <v>0</v>
      </c>
      <c r="AE99" s="444">
        <f>N('費用収益表_業務短期'!H17)-N(H99)</f>
        <v>0</v>
      </c>
      <c r="AF99" s="444">
        <f>N('費用収益表_業務短期'!I17)-N(I99)</f>
        <v>0</v>
      </c>
      <c r="AG99" s="444">
        <f>N('費用収益表_業務短期'!J17)-N(J99)</f>
        <v>0</v>
      </c>
      <c r="AH99" s="444">
        <f>N('費用収益表_業務短期'!K17)-N(K99)</f>
        <v>0</v>
      </c>
      <c r="AI99" s="444">
        <f>N('費用収益表_業務短期'!L17)-N(L99)</f>
        <v>0</v>
      </c>
      <c r="AJ99" s="444">
        <f>N('費用収益表_業務短期'!M17)-N(M99)</f>
        <v>0</v>
      </c>
      <c r="AK99" s="444">
        <f>N('費用収益表_業務短期'!N17)-N(N99)</f>
        <v>0</v>
      </c>
      <c r="AL99" s="444">
        <f>N('費用収益表_業務短期'!O17)-N(O99)</f>
        <v>0</v>
      </c>
      <c r="AM99" s="444">
        <f>N('費用収益表_業務短期'!P17)-N(P99)</f>
        <v>0</v>
      </c>
      <c r="AN99" s="444">
        <f>N('費用収益表_業務短期'!Q17)-N(Q99)</f>
        <v>0</v>
      </c>
      <c r="AO99" s="444">
        <f>N('費用収益表_業務短期'!R17)-N(R99)</f>
        <v>0</v>
      </c>
      <c r="AP99" s="444">
        <f>N('費用収益表_業務短期'!S17)-N(S99)</f>
        <v>0</v>
      </c>
      <c r="AQ99" s="444">
        <f>N('費用収益表_業務短期'!T17)-N(T99)</f>
        <v>0</v>
      </c>
      <c r="AR99" s="444">
        <f>N('費用収益表_業務短期'!U17)-N(U99)</f>
        <v>0</v>
      </c>
    </row>
    <row r="100">
      <c r="C100" s="443" t="n">
        <v>119702</v>
      </c>
      <c r="D100" s="443" t="n">
        <v>537044</v>
      </c>
      <c r="E100" s="443" t="n">
        <v>272177</v>
      </c>
      <c r="F100" s="443" t="n">
        <v>204214</v>
      </c>
      <c r="G100" s="443" t="n">
        <v>558809</v>
      </c>
      <c r="H100" s="443" t="n">
        <v>421915</v>
      </c>
      <c r="I100" s="443" t="n">
        <v>325954</v>
      </c>
      <c r="J100" s="443" t="n">
        <v>639572</v>
      </c>
      <c r="K100" s="443" t="n">
        <v>565066</v>
      </c>
      <c r="L100" s="443" t="n">
        <v>308492</v>
      </c>
      <c r="M100" s="443" t="n">
        <v>555266</v>
      </c>
      <c r="N100" s="443" t="n">
        <v>450912</v>
      </c>
      <c r="O100" s="443" t="n">
        <v>433831</v>
      </c>
      <c r="P100" s="443" t="n">
        <v>5392954</v>
      </c>
      <c r="Q100" s="443" t="n">
        <v>5711000</v>
      </c>
      <c r="S100" s="443" t="n">
        <v>5711000</v>
      </c>
      <c r="T100" s="443" t="n">
        <v>318046</v>
      </c>
      <c r="Z100" s="444">
        <f>N('費用収益表_業務短期'!C18)-N(C100)</f>
        <v>0</v>
      </c>
      <c r="AA100" s="444">
        <f>N('費用収益表_業務短期'!D18)-N(D100)</f>
        <v>0</v>
      </c>
      <c r="AB100" s="444">
        <f>N('費用収益表_業務短期'!E18)-N(E100)</f>
        <v>0</v>
      </c>
      <c r="AC100" s="444">
        <f>N('費用収益表_業務短期'!F18)-N(F100)</f>
        <v>0</v>
      </c>
      <c r="AD100" s="444">
        <f>N('費用収益表_業務短期'!G18)-N(G100)</f>
        <v>0</v>
      </c>
      <c r="AE100" s="444">
        <f>N('費用収益表_業務短期'!H18)-N(H100)</f>
        <v>0</v>
      </c>
      <c r="AF100" s="444">
        <f>N('費用収益表_業務短期'!I18)-N(I100)</f>
        <v>0</v>
      </c>
      <c r="AG100" s="444">
        <f>N('費用収益表_業務短期'!J18)-N(J100)</f>
        <v>0</v>
      </c>
      <c r="AH100" s="444">
        <f>N('費用収益表_業務短期'!K18)-N(K100)</f>
        <v>0</v>
      </c>
      <c r="AI100" s="444">
        <f>N('費用収益表_業務短期'!L18)-N(L100)</f>
        <v>0</v>
      </c>
      <c r="AJ100" s="444">
        <f>N('費用収益表_業務短期'!M18)-N(M100)</f>
        <v>0</v>
      </c>
      <c r="AK100" s="444">
        <f>N('費用収益表_業務短期'!N18)-N(N100)</f>
        <v>0</v>
      </c>
      <c r="AL100" s="444">
        <f>N('費用収益表_業務短期'!O18)-N(O100)</f>
        <v>0</v>
      </c>
      <c r="AM100" s="444">
        <f>N('費用収益表_業務短期'!P18)-N(P100)</f>
        <v>0</v>
      </c>
      <c r="AN100" s="444">
        <f>N('費用収益表_業務短期'!Q18)-N(Q100)</f>
        <v>0</v>
      </c>
      <c r="AO100" s="444">
        <f>N('費用収益表_業務短期'!R18)-N(R100)</f>
        <v>0</v>
      </c>
      <c r="AP100" s="444">
        <f>N('費用収益表_業務短期'!S18)-N(S100)</f>
        <v>0</v>
      </c>
      <c r="AQ100" s="444">
        <f>N('費用収益表_業務短期'!T18)-N(T100)</f>
        <v>0</v>
      </c>
      <c r="AR100" s="444">
        <f>N('費用収益表_業務短期'!U18)-N(U100)</f>
        <v>0</v>
      </c>
    </row>
    <row r="101">
      <c r="D101" s="443" t="n">
        <v>425880</v>
      </c>
      <c r="E101" s="443" t="n">
        <v>365040</v>
      </c>
      <c r="F101" s="443" t="n">
        <v>446160</v>
      </c>
      <c r="G101" s="443" t="n">
        <v>445720</v>
      </c>
      <c r="H101" s="443" t="n">
        <v>384480</v>
      </c>
      <c r="I101" s="443" t="n">
        <v>389160</v>
      </c>
      <c r="J101" s="443" t="n">
        <v>416580</v>
      </c>
      <c r="K101" s="443" t="n">
        <v>340920</v>
      </c>
      <c r="L101" s="443" t="n">
        <v>377520</v>
      </c>
      <c r="M101" s="443" t="n">
        <v>359120</v>
      </c>
      <c r="N101" s="443" t="n">
        <v>339340</v>
      </c>
      <c r="O101" s="443" t="n">
        <v>339568</v>
      </c>
      <c r="P101" s="443" t="n">
        <v>4629488</v>
      </c>
      <c r="Q101" s="443" t="n">
        <v>5520000</v>
      </c>
      <c r="S101" s="443" t="n">
        <v>5520000</v>
      </c>
      <c r="T101" s="443" t="n">
        <v>890512</v>
      </c>
      <c r="Z101" s="444">
        <f>N('費用収益表_業務短期'!C19)-N(C101)</f>
        <v>0</v>
      </c>
      <c r="AA101" s="444">
        <f>N('費用収益表_業務短期'!D19)-N(D101)</f>
        <v>0</v>
      </c>
      <c r="AB101" s="444">
        <f>N('費用収益表_業務短期'!E19)-N(E101)</f>
        <v>0</v>
      </c>
      <c r="AC101" s="444">
        <f>N('費用収益表_業務短期'!F19)-N(F101)</f>
        <v>0</v>
      </c>
      <c r="AD101" s="444">
        <f>N('費用収益表_業務短期'!G19)-N(G101)</f>
        <v>0</v>
      </c>
      <c r="AE101" s="444">
        <f>N('費用収益表_業務短期'!H19)-N(H101)</f>
        <v>0</v>
      </c>
      <c r="AF101" s="444">
        <f>N('費用収益表_業務短期'!I19)-N(I101)</f>
        <v>0</v>
      </c>
      <c r="AG101" s="444">
        <f>N('費用収益表_業務短期'!J19)-N(J101)</f>
        <v>0</v>
      </c>
      <c r="AH101" s="444">
        <f>N('費用収益表_業務短期'!K19)-N(K101)</f>
        <v>0</v>
      </c>
      <c r="AI101" s="444">
        <f>N('費用収益表_業務短期'!L19)-N(L101)</f>
        <v>0</v>
      </c>
      <c r="AJ101" s="444">
        <f>N('費用収益表_業務短期'!M19)-N(M101)</f>
        <v>0</v>
      </c>
      <c r="AK101" s="444">
        <f>N('費用収益表_業務短期'!N19)-N(N101)</f>
        <v>0</v>
      </c>
      <c r="AL101" s="444">
        <f>N('費用収益表_業務短期'!O19)-N(O101)</f>
        <v>0</v>
      </c>
      <c r="AM101" s="444">
        <f>N('費用収益表_業務短期'!P19)-N(P101)</f>
        <v>0</v>
      </c>
      <c r="AN101" s="444">
        <f>N('費用収益表_業務短期'!Q19)-N(Q101)</f>
        <v>0</v>
      </c>
      <c r="AO101" s="444">
        <f>N('費用収益表_業務短期'!R19)-N(R101)</f>
        <v>0</v>
      </c>
      <c r="AP101" s="444">
        <f>N('費用収益表_業務短期'!S19)-N(S101)</f>
        <v>0</v>
      </c>
      <c r="AQ101" s="444">
        <f>N('費用収益表_業務短期'!T19)-N(T101)</f>
        <v>0</v>
      </c>
      <c r="AR101" s="444">
        <f>N('費用収益表_業務短期'!U19)-N(U101)</f>
        <v>0</v>
      </c>
    </row>
    <row r="102">
      <c r="C102" s="443" t="n">
        <v>60235</v>
      </c>
      <c r="D102" s="443" t="n">
        <v>2146895</v>
      </c>
      <c r="E102" s="443" t="n">
        <v>188645</v>
      </c>
      <c r="F102" s="443" t="n">
        <v>166167</v>
      </c>
      <c r="G102" s="443" t="n">
        <v>226857</v>
      </c>
      <c r="H102" s="443" t="n">
        <v>1758851</v>
      </c>
      <c r="I102" s="443" t="n">
        <v>563675</v>
      </c>
      <c r="J102" s="443" t="n">
        <v>190646</v>
      </c>
      <c r="K102" s="443" t="n">
        <v>2455527</v>
      </c>
      <c r="L102" s="443" t="n">
        <v>173468</v>
      </c>
      <c r="M102" s="443" t="n">
        <v>215628</v>
      </c>
      <c r="N102" s="443" t="n">
        <v>252737</v>
      </c>
      <c r="O102" s="443" t="n">
        <v>1231586</v>
      </c>
      <c r="P102" s="443" t="n">
        <v>9630917</v>
      </c>
      <c r="Q102" s="443" t="n">
        <v>10478000</v>
      </c>
      <c r="S102" s="443" t="n">
        <v>10478000</v>
      </c>
      <c r="T102" s="443" t="n">
        <v>847083</v>
      </c>
      <c r="Z102" s="444">
        <f>N('費用収益表_業務短期'!C20)-N(C102)</f>
        <v>0</v>
      </c>
      <c r="AA102" s="444">
        <f>N('費用収益表_業務短期'!D20)-N(D102)</f>
        <v>0</v>
      </c>
      <c r="AB102" s="444">
        <f>N('費用収益表_業務短期'!E20)-N(E102)</f>
        <v>0</v>
      </c>
      <c r="AC102" s="444">
        <f>N('費用収益表_業務短期'!F20)-N(F102)</f>
        <v>0</v>
      </c>
      <c r="AD102" s="444">
        <f>N('費用収益表_業務短期'!G20)-N(G102)</f>
        <v>0</v>
      </c>
      <c r="AE102" s="444">
        <f>N('費用収益表_業務短期'!H20)-N(H102)</f>
        <v>0</v>
      </c>
      <c r="AF102" s="444">
        <f>N('費用収益表_業務短期'!I20)-N(I102)</f>
        <v>0</v>
      </c>
      <c r="AG102" s="444">
        <f>N('費用収益表_業務短期'!J20)-N(J102)</f>
        <v>0</v>
      </c>
      <c r="AH102" s="444">
        <f>N('費用収益表_業務短期'!K20)-N(K102)</f>
        <v>0</v>
      </c>
      <c r="AI102" s="444">
        <f>N('費用収益表_業務短期'!L20)-N(L102)</f>
        <v>0</v>
      </c>
      <c r="AJ102" s="444">
        <f>N('費用収益表_業務短期'!M20)-N(M102)</f>
        <v>0</v>
      </c>
      <c r="AK102" s="444">
        <f>N('費用収益表_業務短期'!N20)-N(N102)</f>
        <v>0</v>
      </c>
      <c r="AL102" s="444">
        <f>N('費用収益表_業務短期'!O20)-N(O102)</f>
        <v>0</v>
      </c>
      <c r="AM102" s="444">
        <f>N('費用収益表_業務短期'!P20)-N(P102)</f>
        <v>0</v>
      </c>
      <c r="AN102" s="444">
        <f>N('費用収益表_業務短期'!Q20)-N(Q102)</f>
        <v>0</v>
      </c>
      <c r="AO102" s="444">
        <f>N('費用収益表_業務短期'!R20)-N(R102)</f>
        <v>0</v>
      </c>
      <c r="AP102" s="444">
        <f>N('費用収益表_業務短期'!S20)-N(S102)</f>
        <v>0</v>
      </c>
      <c r="AQ102" s="444">
        <f>N('費用収益表_業務短期'!T20)-N(T102)</f>
        <v>0</v>
      </c>
      <c r="AR102" s="444">
        <f>N('費用収益表_業務短期'!U20)-N(U102)</f>
        <v>0</v>
      </c>
    </row>
    <row r="103">
      <c r="C103" s="443" t="n">
        <v>0</v>
      </c>
      <c r="D103" s="443" t="n">
        <v>0</v>
      </c>
      <c r="E103" s="443" t="n">
        <v>0</v>
      </c>
      <c r="F103" s="443" t="n">
        <v>0</v>
      </c>
      <c r="G103" s="443" t="n">
        <v>0</v>
      </c>
      <c r="H103" s="443" t="n">
        <v>0</v>
      </c>
      <c r="I103" s="443" t="n">
        <v>0</v>
      </c>
      <c r="J103" s="443" t="n">
        <v>0</v>
      </c>
      <c r="K103" s="443" t="n">
        <v>6999</v>
      </c>
      <c r="L103" s="443" t="n">
        <v>0</v>
      </c>
      <c r="M103" s="443" t="n">
        <v>0</v>
      </c>
      <c r="N103" s="443" t="n">
        <v>0</v>
      </c>
      <c r="O103" s="443" t="n">
        <v>11284</v>
      </c>
      <c r="P103" s="443" t="n">
        <v>18283</v>
      </c>
      <c r="Q103" s="443" t="n">
        <v>16000</v>
      </c>
      <c r="S103" s="443" t="n">
        <v>16000</v>
      </c>
      <c r="T103" s="443" t="n">
        <v>-2283</v>
      </c>
      <c r="Z103" s="444">
        <f>N('費用収益表_業務短期'!C21)-N(C103)</f>
        <v>0</v>
      </c>
      <c r="AA103" s="444">
        <f>N('費用収益表_業務短期'!D21)-N(D103)</f>
        <v>0</v>
      </c>
      <c r="AB103" s="444">
        <f>N('費用収益表_業務短期'!E21)-N(E103)</f>
        <v>0</v>
      </c>
      <c r="AC103" s="444">
        <f>N('費用収益表_業務短期'!F21)-N(F103)</f>
        <v>0</v>
      </c>
      <c r="AD103" s="444">
        <f>N('費用収益表_業務短期'!G21)-N(G103)</f>
        <v>0</v>
      </c>
      <c r="AE103" s="444">
        <f>N('費用収益表_業務短期'!H21)-N(H103)</f>
        <v>0</v>
      </c>
      <c r="AF103" s="444">
        <f>N('費用収益表_業務短期'!I21)-N(I103)</f>
        <v>0</v>
      </c>
      <c r="AG103" s="444">
        <f>N('費用収益表_業務短期'!J21)-N(J103)</f>
        <v>0</v>
      </c>
      <c r="AH103" s="444">
        <f>N('費用収益表_業務短期'!K21)-N(K103)</f>
        <v>0</v>
      </c>
      <c r="AI103" s="444">
        <f>N('費用収益表_業務短期'!L21)-N(L103)</f>
        <v>0</v>
      </c>
      <c r="AJ103" s="444">
        <f>N('費用収益表_業務短期'!M21)-N(M103)</f>
        <v>0</v>
      </c>
      <c r="AK103" s="444">
        <f>N('費用収益表_業務短期'!N21)-N(N103)</f>
        <v>0</v>
      </c>
      <c r="AL103" s="444">
        <f>N('費用収益表_業務短期'!O21)-N(O103)</f>
        <v>0</v>
      </c>
      <c r="AM103" s="444">
        <f>N('費用収益表_業務短期'!P21)-N(P103)</f>
        <v>0</v>
      </c>
      <c r="AN103" s="444">
        <f>N('費用収益表_業務短期'!Q21)-N(Q103)</f>
        <v>0</v>
      </c>
      <c r="AO103" s="444">
        <f>N('費用収益表_業務短期'!R21)-N(R103)</f>
        <v>0</v>
      </c>
      <c r="AP103" s="444">
        <f>N('費用収益表_業務短期'!S21)-N(S103)</f>
        <v>0</v>
      </c>
      <c r="AQ103" s="444">
        <f>N('費用収益表_業務短期'!T21)-N(T103)</f>
        <v>0</v>
      </c>
      <c r="AR103" s="444">
        <f>N('費用収益表_業務短期'!U21)-N(U103)</f>
        <v>0</v>
      </c>
    </row>
    <row r="104">
      <c r="C104" s="443" t="n">
        <v>0</v>
      </c>
      <c r="D104" s="443" t="n">
        <v>0</v>
      </c>
      <c r="E104" s="443" t="n">
        <v>0</v>
      </c>
      <c r="F104" s="443" t="n">
        <v>0</v>
      </c>
      <c r="G104" s="443" t="n">
        <v>0</v>
      </c>
      <c r="H104" s="443" t="n">
        <v>0</v>
      </c>
      <c r="I104" s="443" t="n">
        <v>0</v>
      </c>
      <c r="J104" s="443" t="n">
        <v>0</v>
      </c>
      <c r="K104" s="443" t="n">
        <v>0</v>
      </c>
      <c r="L104" s="443" t="n">
        <v>0</v>
      </c>
      <c r="M104" s="443" t="n">
        <v>0</v>
      </c>
      <c r="N104" s="443" t="n">
        <v>0</v>
      </c>
      <c r="P104" s="443" t="n">
        <v>0</v>
      </c>
      <c r="Q104" s="443" t="n">
        <v>0</v>
      </c>
      <c r="S104" s="443" t="n">
        <v>0</v>
      </c>
      <c r="T104" s="443" t="n">
        <v>0</v>
      </c>
      <c r="Z104" s="444">
        <f>N('費用収益表_業務短期'!C22)-N(C104)</f>
        <v>0</v>
      </c>
      <c r="AA104" s="444">
        <f>N('費用収益表_業務短期'!D22)-N(D104)</f>
        <v>0</v>
      </c>
      <c r="AB104" s="444">
        <f>N('費用収益表_業務短期'!E22)-N(E104)</f>
        <v>0</v>
      </c>
      <c r="AC104" s="444">
        <f>N('費用収益表_業務短期'!F22)-N(F104)</f>
        <v>0</v>
      </c>
      <c r="AD104" s="444">
        <f>N('費用収益表_業務短期'!G22)-N(G104)</f>
        <v>0</v>
      </c>
      <c r="AE104" s="444">
        <f>N('費用収益表_業務短期'!H22)-N(H104)</f>
        <v>0</v>
      </c>
      <c r="AF104" s="444">
        <f>N('費用収益表_業務短期'!I22)-N(I104)</f>
        <v>0</v>
      </c>
      <c r="AG104" s="444">
        <f>N('費用収益表_業務短期'!J22)-N(J104)</f>
        <v>0</v>
      </c>
      <c r="AH104" s="444">
        <f>N('費用収益表_業務短期'!K22)-N(K104)</f>
        <v>0</v>
      </c>
      <c r="AI104" s="444">
        <f>N('費用収益表_業務短期'!L22)-N(L104)</f>
        <v>0</v>
      </c>
      <c r="AJ104" s="444">
        <f>N('費用収益表_業務短期'!M22)-N(M104)</f>
        <v>0</v>
      </c>
      <c r="AK104" s="444">
        <f>N('費用収益表_業務短期'!N22)-N(N104)</f>
        <v>0</v>
      </c>
      <c r="AL104" s="444">
        <f>N('費用収益表_業務短期'!O22)-N(O104)</f>
        <v>0</v>
      </c>
      <c r="AM104" s="444">
        <f>N('費用収益表_業務短期'!P22)-N(P104)</f>
        <v>0</v>
      </c>
      <c r="AN104" s="444">
        <f>N('費用収益表_業務短期'!Q22)-N(Q104)</f>
        <v>0</v>
      </c>
      <c r="AO104" s="444">
        <f>N('費用収益表_業務短期'!R22)-N(R104)</f>
        <v>0</v>
      </c>
      <c r="AP104" s="444">
        <f>N('費用収益表_業務短期'!S22)-N(S104)</f>
        <v>0</v>
      </c>
      <c r="AQ104" s="444">
        <f>N('費用収益表_業務短期'!T22)-N(T104)</f>
        <v>0</v>
      </c>
      <c r="AR104" s="444">
        <f>N('費用収益表_業務短期'!U22)-N(U104)</f>
        <v>0</v>
      </c>
    </row>
    <row r="105">
      <c r="C105" s="443" t="n">
        <v>0</v>
      </c>
      <c r="D105" s="443" t="n">
        <v>690732</v>
      </c>
      <c r="E105" s="443" t="n">
        <v>690732</v>
      </c>
      <c r="F105" s="443" t="n">
        <v>690732</v>
      </c>
      <c r="G105" s="443" t="n">
        <v>690732</v>
      </c>
      <c r="H105" s="443" t="n">
        <v>690732</v>
      </c>
      <c r="I105" s="443" t="n">
        <v>690732</v>
      </c>
      <c r="J105" s="443" t="n">
        <v>690732</v>
      </c>
      <c r="K105" s="443" t="n">
        <v>690732</v>
      </c>
      <c r="L105" s="443" t="n">
        <v>690732</v>
      </c>
      <c r="M105" s="443" t="n">
        <v>690732</v>
      </c>
      <c r="N105" s="443" t="n">
        <v>690732</v>
      </c>
      <c r="O105" s="443" t="n">
        <v>476415</v>
      </c>
      <c r="P105" s="443" t="n">
        <v>8074467</v>
      </c>
      <c r="Q105" s="443" t="n">
        <v>8441000</v>
      </c>
      <c r="S105" s="443" t="n">
        <v>8441000</v>
      </c>
      <c r="T105" s="443" t="n">
        <v>366533</v>
      </c>
      <c r="Z105" s="444">
        <f>N('費用収益表_業務短期'!C23)-N(C105)</f>
        <v>0</v>
      </c>
      <c r="AA105" s="444">
        <f>N('費用収益表_業務短期'!D23)-N(D105)</f>
        <v>0</v>
      </c>
      <c r="AB105" s="444">
        <f>N('費用収益表_業務短期'!E23)-N(E105)</f>
        <v>0</v>
      </c>
      <c r="AC105" s="444">
        <f>N('費用収益表_業務短期'!F23)-N(F105)</f>
        <v>0</v>
      </c>
      <c r="AD105" s="444">
        <f>N('費用収益表_業務短期'!G23)-N(G105)</f>
        <v>0</v>
      </c>
      <c r="AE105" s="444">
        <f>N('費用収益表_業務短期'!H23)-N(H105)</f>
        <v>0</v>
      </c>
      <c r="AF105" s="444">
        <f>N('費用収益表_業務短期'!I23)-N(I105)</f>
        <v>0</v>
      </c>
      <c r="AG105" s="444">
        <f>N('費用収益表_業務短期'!J23)-N(J105)</f>
        <v>0</v>
      </c>
      <c r="AH105" s="444">
        <f>N('費用収益表_業務短期'!K23)-N(K105)</f>
        <v>0</v>
      </c>
      <c r="AI105" s="444">
        <f>N('費用収益表_業務短期'!L23)-N(L105)</f>
        <v>0</v>
      </c>
      <c r="AJ105" s="444">
        <f>N('費用収益表_業務短期'!M23)-N(M105)</f>
        <v>0</v>
      </c>
      <c r="AK105" s="444">
        <f>N('費用収益表_業務短期'!N23)-N(N105)</f>
        <v>0</v>
      </c>
      <c r="AL105" s="444">
        <f>N('費用収益表_業務短期'!O23)-N(O105)</f>
        <v>0</v>
      </c>
      <c r="AM105" s="444">
        <f>N('費用収益表_業務短期'!P23)-N(P105)</f>
        <v>0</v>
      </c>
      <c r="AN105" s="444">
        <f>N('費用収益表_業務短期'!Q23)-N(Q105)</f>
        <v>0</v>
      </c>
      <c r="AO105" s="444">
        <f>N('費用収益表_業務短期'!R23)-N(R105)</f>
        <v>0</v>
      </c>
      <c r="AP105" s="444">
        <f>N('費用収益表_業務短期'!S23)-N(S105)</f>
        <v>0</v>
      </c>
      <c r="AQ105" s="444">
        <f>N('費用収益表_業務短期'!T23)-N(T105)</f>
        <v>0</v>
      </c>
      <c r="AR105" s="444">
        <f>N('費用収益表_業務短期'!U23)-N(U105)</f>
        <v>0</v>
      </c>
    </row>
    <row r="106">
      <c r="C106" s="443" t="n">
        <v>0</v>
      </c>
      <c r="D106" s="443" t="n">
        <v>0</v>
      </c>
      <c r="E106" s="443" t="n">
        <v>0</v>
      </c>
      <c r="F106" s="443" t="n">
        <v>0</v>
      </c>
      <c r="G106" s="443" t="n">
        <v>371265</v>
      </c>
      <c r="H106" s="443" t="n">
        <v>0</v>
      </c>
      <c r="I106" s="443" t="n">
        <v>0</v>
      </c>
      <c r="J106" s="443" t="n">
        <v>277667</v>
      </c>
      <c r="K106" s="443" t="n">
        <v>0</v>
      </c>
      <c r="L106" s="443" t="n">
        <v>199257</v>
      </c>
      <c r="M106" s="443" t="n">
        <v>0</v>
      </c>
      <c r="N106" s="443" t="n">
        <v>0</v>
      </c>
      <c r="O106" s="443" t="n">
        <v>441809</v>
      </c>
      <c r="P106" s="443" t="n">
        <v>1289998</v>
      </c>
      <c r="Q106" s="443" t="n">
        <v>1532000</v>
      </c>
      <c r="S106" s="443" t="n">
        <v>1532000</v>
      </c>
      <c r="T106" s="443" t="n">
        <v>242002</v>
      </c>
      <c r="Z106" s="444">
        <f>N('費用収益表_業務短期'!C24)-N(C106)</f>
        <v>0</v>
      </c>
      <c r="AA106" s="444">
        <f>N('費用収益表_業務短期'!D24)-N(D106)</f>
        <v>0</v>
      </c>
      <c r="AB106" s="444">
        <f>N('費用収益表_業務短期'!E24)-N(E106)</f>
        <v>0</v>
      </c>
      <c r="AC106" s="444">
        <f>N('費用収益表_業務短期'!F24)-N(F106)</f>
        <v>0</v>
      </c>
      <c r="AD106" s="444">
        <f>N('費用収益表_業務短期'!G24)-N(G106)</f>
        <v>0</v>
      </c>
      <c r="AE106" s="444">
        <f>N('費用収益表_業務短期'!H24)-N(H106)</f>
        <v>0</v>
      </c>
      <c r="AF106" s="444">
        <f>N('費用収益表_業務短期'!I24)-N(I106)</f>
        <v>0</v>
      </c>
      <c r="AG106" s="444">
        <f>N('費用収益表_業務短期'!J24)-N(J106)</f>
        <v>0</v>
      </c>
      <c r="AH106" s="444">
        <f>N('費用収益表_業務短期'!K24)-N(K106)</f>
        <v>0</v>
      </c>
      <c r="AI106" s="444">
        <f>N('費用収益表_業務短期'!L24)-N(L106)</f>
        <v>0</v>
      </c>
      <c r="AJ106" s="444">
        <f>N('費用収益表_業務短期'!M24)-N(M106)</f>
        <v>0</v>
      </c>
      <c r="AK106" s="444">
        <f>N('費用収益表_業務短期'!N24)-N(N106)</f>
        <v>0</v>
      </c>
      <c r="AL106" s="444">
        <f>N('費用収益表_業務短期'!O24)-N(O106)</f>
        <v>0</v>
      </c>
      <c r="AM106" s="444">
        <f>N('費用収益表_業務短期'!P24)-N(P106)</f>
        <v>0</v>
      </c>
      <c r="AN106" s="444">
        <f>N('費用収益表_業務短期'!Q24)-N(Q106)</f>
        <v>0</v>
      </c>
      <c r="AO106" s="444">
        <f>N('費用収益表_業務短期'!R24)-N(R106)</f>
        <v>0</v>
      </c>
      <c r="AP106" s="444">
        <f>N('費用収益表_業務短期'!S24)-N(S106)</f>
        <v>0</v>
      </c>
      <c r="AQ106" s="444">
        <f>N('費用収益表_業務短期'!T24)-N(T106)</f>
        <v>0</v>
      </c>
      <c r="AR106" s="444">
        <f>N('費用収益表_業務短期'!U24)-N(U106)</f>
        <v>0</v>
      </c>
    </row>
    <row r="107">
      <c r="C107" s="443" t="n">
        <v>0</v>
      </c>
      <c r="D107" s="443" t="n">
        <v>0</v>
      </c>
      <c r="E107" s="443" t="n">
        <v>0</v>
      </c>
      <c r="F107" s="443" t="n">
        <v>0</v>
      </c>
      <c r="G107" s="443" t="n">
        <v>0</v>
      </c>
      <c r="H107" s="443" t="n">
        <v>0</v>
      </c>
      <c r="I107" s="443" t="n">
        <v>0</v>
      </c>
      <c r="J107" s="443" t="n">
        <v>0</v>
      </c>
      <c r="K107" s="443" t="n">
        <v>0</v>
      </c>
      <c r="L107" s="443" t="n">
        <v>0</v>
      </c>
      <c r="M107" s="443" t="n">
        <v>0</v>
      </c>
      <c r="N107" s="443" t="n">
        <v>0</v>
      </c>
      <c r="O107" s="443" t="n">
        <v>0</v>
      </c>
      <c r="P107" s="443" t="n">
        <v>0</v>
      </c>
      <c r="Q107" s="443" t="n">
        <v>0</v>
      </c>
      <c r="S107" s="443" t="n">
        <v>0</v>
      </c>
      <c r="T107" s="443" t="n">
        <v>0</v>
      </c>
      <c r="Z107" s="444">
        <f>N('費用収益表_業務短期'!C25)-N(C107)</f>
        <v>0</v>
      </c>
      <c r="AA107" s="444">
        <f>N('費用収益表_業務短期'!D25)-N(D107)</f>
        <v>0</v>
      </c>
      <c r="AB107" s="444">
        <f>N('費用収益表_業務短期'!E25)-N(E107)</f>
        <v>0</v>
      </c>
      <c r="AC107" s="444">
        <f>N('費用収益表_業務短期'!F25)-N(F107)</f>
        <v>0</v>
      </c>
      <c r="AD107" s="444">
        <f>N('費用収益表_業務短期'!G25)-N(G107)</f>
        <v>0</v>
      </c>
      <c r="AE107" s="444">
        <f>N('費用収益表_業務短期'!H25)-N(H107)</f>
        <v>0</v>
      </c>
      <c r="AF107" s="444">
        <f>N('費用収益表_業務短期'!I25)-N(I107)</f>
        <v>0</v>
      </c>
      <c r="AG107" s="444">
        <f>N('費用収益表_業務短期'!J25)-N(J107)</f>
        <v>0</v>
      </c>
      <c r="AH107" s="444">
        <f>N('費用収益表_業務短期'!K25)-N(K107)</f>
        <v>0</v>
      </c>
      <c r="AI107" s="444">
        <f>N('費用収益表_業務短期'!L25)-N(L107)</f>
        <v>0</v>
      </c>
      <c r="AJ107" s="444">
        <f>N('費用収益表_業務短期'!M25)-N(M107)</f>
        <v>0</v>
      </c>
      <c r="AK107" s="444">
        <f>N('費用収益表_業務短期'!N25)-N(N107)</f>
        <v>0</v>
      </c>
      <c r="AL107" s="444">
        <f>N('費用収益表_業務短期'!O25)-N(O107)</f>
        <v>0</v>
      </c>
      <c r="AM107" s="444">
        <f>N('費用収益表_業務短期'!P25)-N(P107)</f>
        <v>0</v>
      </c>
      <c r="AN107" s="444">
        <f>N('費用収益表_業務短期'!Q25)-N(Q107)</f>
        <v>0</v>
      </c>
      <c r="AO107" s="444">
        <f>N('費用収益表_業務短期'!R25)-N(R107)</f>
        <v>0</v>
      </c>
      <c r="AP107" s="444">
        <f>N('費用収益表_業務短期'!S25)-N(S107)</f>
        <v>0</v>
      </c>
      <c r="AQ107" s="444">
        <f>N('費用収益表_業務短期'!T25)-N(T107)</f>
        <v>0</v>
      </c>
      <c r="AR107" s="444">
        <f>N('費用収益表_業務短期'!U25)-N(U107)</f>
        <v>0</v>
      </c>
    </row>
    <row r="108">
      <c r="C108" s="443" t="n">
        <v>0</v>
      </c>
      <c r="D108" s="443" t="n">
        <v>0</v>
      </c>
      <c r="E108" s="443" t="n">
        <v>0</v>
      </c>
      <c r="F108" s="443" t="n">
        <v>0</v>
      </c>
      <c r="G108" s="443" t="n">
        <v>0</v>
      </c>
      <c r="H108" s="443" t="n">
        <v>0</v>
      </c>
      <c r="I108" s="443" t="n">
        <v>0</v>
      </c>
      <c r="J108" s="443" t="n">
        <v>0</v>
      </c>
      <c r="K108" s="443" t="n">
        <v>0</v>
      </c>
      <c r="L108" s="443" t="n">
        <v>0</v>
      </c>
      <c r="M108" s="443" t="n">
        <v>0</v>
      </c>
      <c r="N108" s="443" t="n">
        <v>0</v>
      </c>
      <c r="O108" s="443" t="n">
        <v>0</v>
      </c>
      <c r="P108" s="443" t="n">
        <v>0</v>
      </c>
      <c r="Q108" s="443" t="n">
        <v>0</v>
      </c>
      <c r="S108" s="443" t="n">
        <v>0</v>
      </c>
      <c r="T108" s="443" t="n">
        <v>0</v>
      </c>
      <c r="Z108" s="444">
        <f>N('費用収益表_業務短期'!C26)-N(C108)</f>
        <v>0</v>
      </c>
      <c r="AA108" s="444">
        <f>N('費用収益表_業務短期'!D26)-N(D108)</f>
        <v>0</v>
      </c>
      <c r="AB108" s="444">
        <f>N('費用収益表_業務短期'!E26)-N(E108)</f>
        <v>0</v>
      </c>
      <c r="AC108" s="444">
        <f>N('費用収益表_業務短期'!F26)-N(F108)</f>
        <v>0</v>
      </c>
      <c r="AD108" s="444">
        <f>N('費用収益表_業務短期'!G26)-N(G108)</f>
        <v>0</v>
      </c>
      <c r="AE108" s="444">
        <f>N('費用収益表_業務短期'!H26)-N(H108)</f>
        <v>0</v>
      </c>
      <c r="AF108" s="444">
        <f>N('費用収益表_業務短期'!I26)-N(I108)</f>
        <v>0</v>
      </c>
      <c r="AG108" s="444">
        <f>N('費用収益表_業務短期'!J26)-N(J108)</f>
        <v>0</v>
      </c>
      <c r="AH108" s="444">
        <f>N('費用収益表_業務短期'!K26)-N(K108)</f>
        <v>0</v>
      </c>
      <c r="AI108" s="444">
        <f>N('費用収益表_業務短期'!L26)-N(L108)</f>
        <v>0</v>
      </c>
      <c r="AJ108" s="444">
        <f>N('費用収益表_業務短期'!M26)-N(M108)</f>
        <v>0</v>
      </c>
      <c r="AK108" s="444">
        <f>N('費用収益表_業務短期'!N26)-N(N108)</f>
        <v>0</v>
      </c>
      <c r="AL108" s="444">
        <f>N('費用収益表_業務短期'!O26)-N(O108)</f>
        <v>0</v>
      </c>
      <c r="AM108" s="444">
        <f>N('費用収益表_業務短期'!P26)-N(P108)</f>
        <v>0</v>
      </c>
      <c r="AN108" s="444">
        <f>N('費用収益表_業務短期'!Q26)-N(Q108)</f>
        <v>0</v>
      </c>
      <c r="AO108" s="444">
        <f>N('費用収益表_業務短期'!R26)-N(R108)</f>
        <v>0</v>
      </c>
      <c r="AP108" s="444">
        <f>N('費用収益表_業務短期'!S26)-N(S108)</f>
        <v>0</v>
      </c>
      <c r="AQ108" s="444">
        <f>N('費用収益表_業務短期'!T26)-N(T108)</f>
        <v>0</v>
      </c>
      <c r="AR108" s="444">
        <f>N('費用収益表_業務短期'!U26)-N(U108)</f>
        <v>0</v>
      </c>
    </row>
    <row r="109">
      <c r="C109" s="443" t="n">
        <v>240</v>
      </c>
      <c r="D109" s="443" t="n">
        <v>240</v>
      </c>
      <c r="E109" s="443" t="n">
        <v>240</v>
      </c>
      <c r="F109" s="443" t="n">
        <v>240</v>
      </c>
      <c r="G109" s="443" t="n">
        <v>240</v>
      </c>
      <c r="H109" s="443" t="n">
        <v>240</v>
      </c>
      <c r="I109" s="443" t="n">
        <v>276</v>
      </c>
      <c r="J109" s="443" t="n">
        <v>276</v>
      </c>
      <c r="K109" s="443" t="n">
        <v>276</v>
      </c>
      <c r="L109" s="443" t="n">
        <v>356</v>
      </c>
      <c r="M109" s="443" t="n">
        <v>284</v>
      </c>
      <c r="N109" s="443" t="n">
        <v>284</v>
      </c>
      <c r="P109" s="443" t="n">
        <v>3192</v>
      </c>
      <c r="Q109" s="443" t="n">
        <v>1665000</v>
      </c>
      <c r="S109" s="443" t="n">
        <v>1665000</v>
      </c>
      <c r="T109" s="443" t="n">
        <v>1661808</v>
      </c>
      <c r="Z109" s="444">
        <f>N('費用収益表_業務短期'!C27)-N(C109)</f>
        <v>0</v>
      </c>
      <c r="AA109" s="444">
        <f>N('費用収益表_業務短期'!D27)-N(D109)</f>
        <v>0</v>
      </c>
      <c r="AB109" s="444">
        <f>N('費用収益表_業務短期'!E27)-N(E109)</f>
        <v>0</v>
      </c>
      <c r="AC109" s="444">
        <f>N('費用収益表_業務短期'!F27)-N(F109)</f>
        <v>0</v>
      </c>
      <c r="AD109" s="444">
        <f>N('費用収益表_業務短期'!G27)-N(G109)</f>
        <v>0</v>
      </c>
      <c r="AE109" s="444">
        <f>N('費用収益表_業務短期'!H27)-N(H109)</f>
        <v>0</v>
      </c>
      <c r="AF109" s="444">
        <f>N('費用収益表_業務短期'!I27)-N(I109)</f>
        <v>0</v>
      </c>
      <c r="AG109" s="444">
        <f>N('費用収益表_業務短期'!J27)-N(J109)</f>
        <v>0</v>
      </c>
      <c r="AH109" s="444">
        <f>N('費用収益表_業務短期'!K27)-N(K109)</f>
        <v>0</v>
      </c>
      <c r="AI109" s="444">
        <f>N('費用収益表_業務短期'!L27)-N(L109)</f>
        <v>0</v>
      </c>
      <c r="AJ109" s="444">
        <f>N('費用収益表_業務短期'!M27)-N(M109)</f>
        <v>0</v>
      </c>
      <c r="AK109" s="444">
        <f>N('費用収益表_業務短期'!N27)-N(N109)</f>
        <v>0</v>
      </c>
      <c r="AL109" s="444">
        <f>N('費用収益表_業務短期'!O27)-N(O109)</f>
        <v>0</v>
      </c>
      <c r="AM109" s="444">
        <f>N('費用収益表_業務短期'!P27)-N(P109)</f>
        <v>0</v>
      </c>
      <c r="AN109" s="444">
        <f>N('費用収益表_業務短期'!Q27)-N(Q109)</f>
        <v>0</v>
      </c>
      <c r="AO109" s="444">
        <f>N('費用収益表_業務短期'!R27)-N(R109)</f>
        <v>0</v>
      </c>
      <c r="AP109" s="444">
        <f>N('費用収益表_業務短期'!S27)-N(S109)</f>
        <v>0</v>
      </c>
      <c r="AQ109" s="444">
        <f>N('費用収益表_業務短期'!T27)-N(T109)</f>
        <v>0</v>
      </c>
      <c r="AR109" s="444">
        <f>N('費用収益表_業務短期'!U27)-N(U109)</f>
        <v>0</v>
      </c>
    </row>
    <row r="110">
      <c r="P110" s="443" t="n">
        <v>0</v>
      </c>
      <c r="Z110" s="444">
        <f>N('費用収益表_業務短期'!C28)-N(C110)</f>
        <v>0</v>
      </c>
      <c r="AA110" s="444">
        <f>N('費用収益表_業務短期'!D28)-N(D110)</f>
        <v>0</v>
      </c>
      <c r="AB110" s="444">
        <f>N('費用収益表_業務短期'!E28)-N(E110)</f>
        <v>0</v>
      </c>
      <c r="AC110" s="444">
        <f>N('費用収益表_業務短期'!F28)-N(F110)</f>
        <v>0</v>
      </c>
      <c r="AD110" s="444">
        <f>N('費用収益表_業務短期'!G28)-N(G110)</f>
        <v>0</v>
      </c>
      <c r="AE110" s="444">
        <f>N('費用収益表_業務短期'!H28)-N(H110)</f>
        <v>0</v>
      </c>
      <c r="AF110" s="444">
        <f>N('費用収益表_業務短期'!I28)-N(I110)</f>
        <v>0</v>
      </c>
      <c r="AG110" s="444">
        <f>N('費用収益表_業務短期'!J28)-N(J110)</f>
        <v>0</v>
      </c>
      <c r="AH110" s="444">
        <f>N('費用収益表_業務短期'!K28)-N(K110)</f>
        <v>0</v>
      </c>
      <c r="AI110" s="444">
        <f>N('費用収益表_業務短期'!L28)-N(L110)</f>
        <v>0</v>
      </c>
      <c r="AJ110" s="444">
        <f>N('費用収益表_業務短期'!M28)-N(M110)</f>
        <v>0</v>
      </c>
      <c r="AK110" s="444">
        <f>N('費用収益表_業務短期'!N28)-N(N110)</f>
        <v>0</v>
      </c>
      <c r="AL110" s="444">
        <f>N('費用収益表_業務短期'!O28)-N(O110)</f>
        <v>0</v>
      </c>
      <c r="AM110" s="444">
        <f>N('費用収益表_業務短期'!P28)-N(P110)</f>
        <v>0</v>
      </c>
      <c r="AN110" s="444">
        <f>N('費用収益表_業務短期'!Q28)-N(Q110)</f>
        <v>0</v>
      </c>
      <c r="AO110" s="444">
        <f>N('費用収益表_業務短期'!R28)-N(R110)</f>
        <v>0</v>
      </c>
      <c r="AP110" s="444">
        <f>N('費用収益表_業務短期'!S28)-N(S110)</f>
        <v>0</v>
      </c>
      <c r="AQ110" s="444">
        <f>N('費用収益表_業務短期'!T28)-N(T110)</f>
        <v>0</v>
      </c>
      <c r="AR110" s="444">
        <f>N('費用収益表_業務短期'!U28)-N(U110)</f>
        <v>0</v>
      </c>
    </row>
    <row r="111">
      <c r="C111" s="443" t="n">
        <v>37074</v>
      </c>
      <c r="D111" s="443" t="n">
        <v>37074</v>
      </c>
      <c r="E111" s="443" t="n">
        <v>64323</v>
      </c>
      <c r="F111" s="443" t="n">
        <v>37074</v>
      </c>
      <c r="G111" s="443" t="n">
        <v>37074</v>
      </c>
      <c r="H111" s="443" t="n">
        <v>37763</v>
      </c>
      <c r="I111" s="443" t="n">
        <v>39697</v>
      </c>
      <c r="J111" s="443" t="n">
        <v>39697</v>
      </c>
      <c r="K111" s="443" t="n">
        <v>66980</v>
      </c>
      <c r="L111" s="443" t="n">
        <v>41273</v>
      </c>
      <c r="M111" s="443" t="n">
        <v>39697</v>
      </c>
      <c r="N111" s="443" t="n">
        <v>39697</v>
      </c>
      <c r="P111" s="443" t="n">
        <v>517423</v>
      </c>
      <c r="Z111" s="444">
        <f>N('費用収益表_業務短期'!C29)-N(C111)</f>
        <v>0</v>
      </c>
      <c r="AA111" s="444">
        <f>N('費用収益表_業務短期'!D29)-N(D111)</f>
        <v>0</v>
      </c>
      <c r="AB111" s="444">
        <f>N('費用収益表_業務短期'!E29)-N(E111)</f>
        <v>0</v>
      </c>
      <c r="AC111" s="444">
        <f>N('費用収益表_業務短期'!F29)-N(F111)</f>
        <v>0</v>
      </c>
      <c r="AD111" s="444">
        <f>N('費用収益表_業務短期'!G29)-N(G111)</f>
        <v>0</v>
      </c>
      <c r="AE111" s="444">
        <f>N('費用収益表_業務短期'!H29)-N(H111)</f>
        <v>0</v>
      </c>
      <c r="AF111" s="444">
        <f>N('費用収益表_業務短期'!I29)-N(I111)</f>
        <v>0</v>
      </c>
      <c r="AG111" s="444">
        <f>N('費用収益表_業務短期'!J29)-N(J111)</f>
        <v>0</v>
      </c>
      <c r="AH111" s="444">
        <f>N('費用収益表_業務短期'!K29)-N(K111)</f>
        <v>0</v>
      </c>
      <c r="AI111" s="444">
        <f>N('費用収益表_業務短期'!L29)-N(L111)</f>
        <v>0</v>
      </c>
      <c r="AJ111" s="444">
        <f>N('費用収益表_業務短期'!M29)-N(M111)</f>
        <v>0</v>
      </c>
      <c r="AK111" s="444">
        <f>N('費用収益表_業務短期'!N29)-N(N111)</f>
        <v>0</v>
      </c>
      <c r="AL111" s="444">
        <f>N('費用収益表_業務短期'!O29)-N(O111)</f>
        <v>0</v>
      </c>
      <c r="AM111" s="444">
        <f>N('費用収益表_業務短期'!P29)-N(P111)</f>
        <v>0</v>
      </c>
      <c r="AN111" s="444">
        <f>N('費用収益表_業務短期'!Q29)-N(Q111)</f>
        <v>0</v>
      </c>
      <c r="AO111" s="444">
        <f>N('費用収益表_業務短期'!R29)-N(R111)</f>
        <v>0</v>
      </c>
      <c r="AP111" s="444">
        <f>N('費用収益表_業務短期'!S29)-N(S111)</f>
        <v>0</v>
      </c>
      <c r="AQ111" s="444">
        <f>N('費用収益表_業務短期'!T29)-N(T111)</f>
        <v>0</v>
      </c>
      <c r="AR111" s="444">
        <f>N('費用収益表_業務短期'!U29)-N(U111)</f>
        <v>0</v>
      </c>
    </row>
    <row r="112">
      <c r="C112" s="443" t="n">
        <v>0</v>
      </c>
      <c r="D112" s="443" t="n">
        <v>0</v>
      </c>
      <c r="E112" s="443" t="n">
        <v>125532</v>
      </c>
      <c r="F112" s="443" t="n">
        <v>62766</v>
      </c>
      <c r="G112" s="443" t="n">
        <v>105276</v>
      </c>
      <c r="H112" s="443" t="n">
        <v>62766</v>
      </c>
      <c r="I112" s="443" t="n">
        <v>61815</v>
      </c>
      <c r="J112" s="443" t="n">
        <v>0</v>
      </c>
      <c r="K112" s="443" t="n">
        <v>59913</v>
      </c>
      <c r="L112" s="443" t="n">
        <v>59913</v>
      </c>
      <c r="M112" s="443" t="n">
        <v>101092</v>
      </c>
      <c r="N112" s="443" t="n">
        <v>122203</v>
      </c>
      <c r="O112" s="443" t="n">
        <v>50403</v>
      </c>
      <c r="P112" s="443" t="n">
        <v>811679</v>
      </c>
      <c r="Z112" s="444">
        <f>N('費用収益表_業務短期'!C30)-N(C112)</f>
        <v>0</v>
      </c>
      <c r="AA112" s="444">
        <f>N('費用収益表_業務短期'!D30)-N(D112)</f>
        <v>0</v>
      </c>
      <c r="AB112" s="444">
        <f>N('費用収益表_業務短期'!E30)-N(E112)</f>
        <v>0</v>
      </c>
      <c r="AC112" s="444">
        <f>N('費用収益表_業務短期'!F30)-N(F112)</f>
        <v>0</v>
      </c>
      <c r="AD112" s="444">
        <f>N('費用収益表_業務短期'!G30)-N(G112)</f>
        <v>0</v>
      </c>
      <c r="AE112" s="444">
        <f>N('費用収益表_業務短期'!H30)-N(H112)</f>
        <v>0</v>
      </c>
      <c r="AF112" s="444">
        <f>N('費用収益表_業務短期'!I30)-N(I112)</f>
        <v>0</v>
      </c>
      <c r="AG112" s="444">
        <f>N('費用収益表_業務短期'!J30)-N(J112)</f>
        <v>0</v>
      </c>
      <c r="AH112" s="444">
        <f>N('費用収益表_業務短期'!K30)-N(K112)</f>
        <v>0</v>
      </c>
      <c r="AI112" s="444">
        <f>N('費用収益表_業務短期'!L30)-N(L112)</f>
        <v>0</v>
      </c>
      <c r="AJ112" s="444">
        <f>N('費用収益表_業務短期'!M30)-N(M112)</f>
        <v>0</v>
      </c>
      <c r="AK112" s="444">
        <f>N('費用収益表_業務短期'!N30)-N(N112)</f>
        <v>0</v>
      </c>
      <c r="AL112" s="444">
        <f>N('費用収益表_業務短期'!O30)-N(O112)</f>
        <v>0</v>
      </c>
      <c r="AM112" s="444">
        <f>N('費用収益表_業務短期'!P30)-N(P112)</f>
        <v>0</v>
      </c>
      <c r="AN112" s="444">
        <f>N('費用収益表_業務短期'!Q30)-N(Q112)</f>
        <v>0</v>
      </c>
      <c r="AO112" s="444">
        <f>N('費用収益表_業務短期'!R30)-N(R112)</f>
        <v>0</v>
      </c>
      <c r="AP112" s="444">
        <f>N('費用収益表_業務短期'!S30)-N(S112)</f>
        <v>0</v>
      </c>
      <c r="AQ112" s="444">
        <f>N('費用収益表_業務短期'!T30)-N(T112)</f>
        <v>0</v>
      </c>
      <c r="AR112" s="444">
        <f>N('費用収益表_業務短期'!U30)-N(U112)</f>
        <v>0</v>
      </c>
    </row>
    <row r="113">
      <c r="F113" s="443" t="n">
        <v>108215</v>
      </c>
      <c r="P113" s="443" t="n">
        <v>108215</v>
      </c>
      <c r="Z113" s="444">
        <f>N('費用収益表_業務短期'!C31)-N(C113)</f>
        <v>0</v>
      </c>
      <c r="AA113" s="444">
        <f>N('費用収益表_業務短期'!D31)-N(D113)</f>
        <v>0</v>
      </c>
      <c r="AB113" s="444">
        <f>N('費用収益表_業務短期'!E31)-N(E113)</f>
        <v>0</v>
      </c>
      <c r="AC113" s="444">
        <f>N('費用収益表_業務短期'!F31)-N(F113)</f>
        <v>0</v>
      </c>
      <c r="AD113" s="444">
        <f>N('費用収益表_業務短期'!G31)-N(G113)</f>
        <v>0</v>
      </c>
      <c r="AE113" s="444">
        <f>N('費用収益表_業務短期'!H31)-N(H113)</f>
        <v>0</v>
      </c>
      <c r="AF113" s="444">
        <f>N('費用収益表_業務短期'!I31)-N(I113)</f>
        <v>0</v>
      </c>
      <c r="AG113" s="444">
        <f>N('費用収益表_業務短期'!J31)-N(J113)</f>
        <v>0</v>
      </c>
      <c r="AH113" s="444">
        <f>N('費用収益表_業務短期'!K31)-N(K113)</f>
        <v>0</v>
      </c>
      <c r="AI113" s="444">
        <f>N('費用収益表_業務短期'!L31)-N(L113)</f>
        <v>0</v>
      </c>
      <c r="AJ113" s="444">
        <f>N('費用収益表_業務短期'!M31)-N(M113)</f>
        <v>0</v>
      </c>
      <c r="AK113" s="444">
        <f>N('費用収益表_業務短期'!N31)-N(N113)</f>
        <v>0</v>
      </c>
      <c r="AL113" s="444">
        <f>N('費用収益表_業務短期'!O31)-N(O113)</f>
        <v>0</v>
      </c>
      <c r="AM113" s="444">
        <f>N('費用収益表_業務短期'!P31)-N(P113)</f>
        <v>0</v>
      </c>
      <c r="AN113" s="444">
        <f>N('費用収益表_業務短期'!Q31)-N(Q113)</f>
        <v>0</v>
      </c>
      <c r="AO113" s="444">
        <f>N('費用収益表_業務短期'!R31)-N(R113)</f>
        <v>0</v>
      </c>
      <c r="AP113" s="444">
        <f>N('費用収益表_業務短期'!S31)-N(S113)</f>
        <v>0</v>
      </c>
      <c r="AQ113" s="444">
        <f>N('費用収益表_業務短期'!T31)-N(T113)</f>
        <v>0</v>
      </c>
      <c r="AR113" s="444">
        <f>N('費用収益表_業務短期'!U31)-N(U113)</f>
        <v>0</v>
      </c>
    </row>
    <row r="114">
      <c r="C114" s="443" t="n">
        <v>0</v>
      </c>
      <c r="D114" s="443" t="n">
        <v>780</v>
      </c>
      <c r="P114" s="443" t="n">
        <v>780</v>
      </c>
      <c r="Q114" s="443" t="n">
        <v>1000</v>
      </c>
      <c r="S114" s="443" t="n">
        <v>1000</v>
      </c>
      <c r="T114" s="443" t="n">
        <v>220</v>
      </c>
      <c r="Z114" s="444">
        <f>N('費用収益表_業務短期'!C32)-N(C114)</f>
        <v>0</v>
      </c>
      <c r="AA114" s="444">
        <f>N('費用収益表_業務短期'!D32)-N(D114)</f>
        <v>0</v>
      </c>
      <c r="AB114" s="444">
        <f>N('費用収益表_業務短期'!E32)-N(E114)</f>
        <v>0</v>
      </c>
      <c r="AC114" s="444">
        <f>N('費用収益表_業務短期'!F32)-N(F114)</f>
        <v>0</v>
      </c>
      <c r="AD114" s="444">
        <f>N('費用収益表_業務短期'!G32)-N(G114)</f>
        <v>0</v>
      </c>
      <c r="AE114" s="444">
        <f>N('費用収益表_業務短期'!H32)-N(H114)</f>
        <v>0</v>
      </c>
      <c r="AF114" s="444">
        <f>N('費用収益表_業務短期'!I32)-N(I114)</f>
        <v>0</v>
      </c>
      <c r="AG114" s="444">
        <f>N('費用収益表_業務短期'!J32)-N(J114)</f>
        <v>0</v>
      </c>
      <c r="AH114" s="444">
        <f>N('費用収益表_業務短期'!K32)-N(K114)</f>
        <v>0</v>
      </c>
      <c r="AI114" s="444">
        <f>N('費用収益表_業務短期'!L32)-N(L114)</f>
        <v>0</v>
      </c>
      <c r="AJ114" s="444">
        <f>N('費用収益表_業務短期'!M32)-N(M114)</f>
        <v>0</v>
      </c>
      <c r="AK114" s="444">
        <f>N('費用収益表_業務短期'!N32)-N(N114)</f>
        <v>0</v>
      </c>
      <c r="AL114" s="444">
        <f>N('費用収益表_業務短期'!O32)-N(O114)</f>
        <v>0</v>
      </c>
      <c r="AM114" s="444">
        <f>N('費用収益表_業務短期'!P32)-N(P114)</f>
        <v>0</v>
      </c>
      <c r="AN114" s="444">
        <f>N('費用収益表_業務短期'!Q32)-N(Q114)</f>
        <v>0</v>
      </c>
      <c r="AO114" s="444">
        <f>N('費用収益表_業務短期'!R32)-N(R114)</f>
        <v>0</v>
      </c>
      <c r="AP114" s="444">
        <f>N('費用収益表_業務短期'!S32)-N(S114)</f>
        <v>0</v>
      </c>
      <c r="AQ114" s="444">
        <f>N('費用収益表_業務短期'!T32)-N(T114)</f>
        <v>0</v>
      </c>
      <c r="AR114" s="444">
        <f>N('費用収益表_業務短期'!U32)-N(U114)</f>
        <v>0</v>
      </c>
    </row>
    <row r="115">
      <c r="C115" s="443" t="n">
        <v>37314</v>
      </c>
      <c r="D115" s="443" t="n">
        <v>38094</v>
      </c>
      <c r="E115" s="443" t="n">
        <v>190095</v>
      </c>
      <c r="F115" s="443" t="n">
        <v>208295</v>
      </c>
      <c r="G115" s="443" t="n">
        <v>142590</v>
      </c>
      <c r="H115" s="443" t="n">
        <v>100769</v>
      </c>
      <c r="I115" s="443" t="n">
        <v>101788</v>
      </c>
      <c r="J115" s="443" t="n">
        <v>39973</v>
      </c>
      <c r="K115" s="443" t="n">
        <v>127169</v>
      </c>
      <c r="L115" s="443" t="n">
        <v>101542</v>
      </c>
      <c r="M115" s="443" t="n">
        <v>141073</v>
      </c>
      <c r="N115" s="443" t="n">
        <v>162184</v>
      </c>
      <c r="O115" s="443" t="n">
        <v>50403</v>
      </c>
      <c r="P115" s="443" t="n">
        <v>1441289</v>
      </c>
      <c r="Q115" s="443" t="n">
        <v>1666000</v>
      </c>
      <c r="S115" s="443" t="n">
        <v>1666000</v>
      </c>
      <c r="T115" s="443" t="n">
        <v>224711</v>
      </c>
      <c r="Z115" s="444">
        <f>N('費用収益表_業務短期'!C33)-N(C115)</f>
        <v>0</v>
      </c>
      <c r="AA115" s="444">
        <f>N('費用収益表_業務短期'!D33)-N(D115)</f>
        <v>0</v>
      </c>
      <c r="AB115" s="444">
        <f>N('費用収益表_業務短期'!E33)-N(E115)</f>
        <v>0</v>
      </c>
      <c r="AC115" s="444">
        <f>N('費用収益表_業務短期'!F33)-N(F115)</f>
        <v>0</v>
      </c>
      <c r="AD115" s="444">
        <f>N('費用収益表_業務短期'!G33)-N(G115)</f>
        <v>0</v>
      </c>
      <c r="AE115" s="444">
        <f>N('費用収益表_業務短期'!H33)-N(H115)</f>
        <v>0</v>
      </c>
      <c r="AF115" s="444">
        <f>N('費用収益表_業務短期'!I33)-N(I115)</f>
        <v>0</v>
      </c>
      <c r="AG115" s="444">
        <f>N('費用収益表_業務短期'!J33)-N(J115)</f>
        <v>0</v>
      </c>
      <c r="AH115" s="444">
        <f>N('費用収益表_業務短期'!K33)-N(K115)</f>
        <v>0</v>
      </c>
      <c r="AI115" s="444">
        <f>N('費用収益表_業務短期'!L33)-N(L115)</f>
        <v>0</v>
      </c>
      <c r="AJ115" s="444">
        <f>N('費用収益表_業務短期'!M33)-N(M115)</f>
        <v>0</v>
      </c>
      <c r="AK115" s="444">
        <f>N('費用収益表_業務短期'!N33)-N(N115)</f>
        <v>0</v>
      </c>
      <c r="AL115" s="444">
        <f>N('費用収益表_業務短期'!O33)-N(O115)</f>
        <v>0</v>
      </c>
      <c r="AM115" s="444">
        <f>N('費用収益表_業務短期'!P33)-N(P115)</f>
        <v>0</v>
      </c>
      <c r="AN115" s="444">
        <f>N('費用収益表_業務短期'!Q33)-N(Q115)</f>
        <v>0</v>
      </c>
      <c r="AO115" s="444">
        <f>N('費用収益表_業務短期'!R33)-N(R115)</f>
        <v>0</v>
      </c>
      <c r="AP115" s="444">
        <f>N('費用収益表_業務短期'!S33)-N(S115)</f>
        <v>0</v>
      </c>
      <c r="AQ115" s="444">
        <f>N('費用収益表_業務短期'!T33)-N(T115)</f>
        <v>0</v>
      </c>
      <c r="AR115" s="444">
        <f>N('費用収益表_業務短期'!U33)-N(U115)</f>
        <v>0</v>
      </c>
    </row>
    <row r="116">
      <c r="H116" s="443" t="n">
        <v>20439958</v>
      </c>
      <c r="P116" s="443" t="n">
        <v>20439958</v>
      </c>
      <c r="Q116" s="443" t="n">
        <v>20921000</v>
      </c>
      <c r="S116" s="443" t="n">
        <v>20921000</v>
      </c>
      <c r="T116" s="443" t="n">
        <v>481042</v>
      </c>
      <c r="Z116" s="444">
        <f>N('費用収益表_業務短期'!C34)-N(C116)</f>
        <v>0</v>
      </c>
      <c r="AA116" s="444">
        <f>N('費用収益表_業務短期'!D34)-N(D116)</f>
        <v>0</v>
      </c>
      <c r="AB116" s="444">
        <f>N('費用収益表_業務短期'!E34)-N(E116)</f>
        <v>0</v>
      </c>
      <c r="AC116" s="444">
        <f>N('費用収益表_業務短期'!F34)-N(F116)</f>
        <v>0</v>
      </c>
      <c r="AD116" s="444">
        <f>N('費用収益表_業務短期'!G34)-N(G116)</f>
        <v>0</v>
      </c>
      <c r="AE116" s="444">
        <f>N('費用収益表_業務短期'!H34)-N(H116)</f>
        <v>0</v>
      </c>
      <c r="AF116" s="444">
        <f>N('費用収益表_業務短期'!I34)-N(I116)</f>
        <v>0</v>
      </c>
      <c r="AG116" s="444">
        <f>N('費用収益表_業務短期'!J34)-N(J116)</f>
        <v>0</v>
      </c>
      <c r="AH116" s="444">
        <f>N('費用収益表_業務短期'!K34)-N(K116)</f>
        <v>0</v>
      </c>
      <c r="AI116" s="444">
        <f>N('費用収益表_業務短期'!L34)-N(L116)</f>
        <v>0</v>
      </c>
      <c r="AJ116" s="444">
        <f>N('費用収益表_業務短期'!M34)-N(M116)</f>
        <v>0</v>
      </c>
      <c r="AK116" s="444">
        <f>N('費用収益表_業務短期'!N34)-N(N116)</f>
        <v>0</v>
      </c>
      <c r="AL116" s="444">
        <f>N('費用収益表_業務短期'!O34)-N(O116)</f>
        <v>0</v>
      </c>
      <c r="AM116" s="444">
        <f>N('費用収益表_業務短期'!P34)-N(P116)</f>
        <v>0</v>
      </c>
      <c r="AN116" s="444">
        <f>N('費用収益表_業務短期'!Q34)-N(Q116)</f>
        <v>0</v>
      </c>
      <c r="AO116" s="444">
        <f>N('費用収益表_業務短期'!R34)-N(R116)</f>
        <v>0</v>
      </c>
      <c r="AP116" s="444">
        <f>N('費用収益表_業務短期'!S34)-N(S116)</f>
        <v>0</v>
      </c>
      <c r="AQ116" s="444">
        <f>N('費用収益表_業務短期'!T34)-N(T116)</f>
        <v>0</v>
      </c>
      <c r="AR116" s="444">
        <f>N('費用収益表_業務短期'!U34)-N(U116)</f>
        <v>0</v>
      </c>
    </row>
    <row r="117">
      <c r="P117" s="443" t="n">
        <v>0</v>
      </c>
      <c r="Q117" s="443" t="n">
        <v>0</v>
      </c>
      <c r="S117" s="443" t="n">
        <v>0</v>
      </c>
      <c r="T117" s="443" t="n">
        <v>0</v>
      </c>
      <c r="Z117" s="444">
        <f>N('費用収益表_業務短期'!C35)-N(C117)</f>
        <v>0</v>
      </c>
      <c r="AA117" s="444">
        <f>N('費用収益表_業務短期'!D35)-N(D117)</f>
        <v>0</v>
      </c>
      <c r="AB117" s="444">
        <f>N('費用収益表_業務短期'!E35)-N(E117)</f>
        <v>0</v>
      </c>
      <c r="AC117" s="444">
        <f>N('費用収益表_業務短期'!F35)-N(F117)</f>
        <v>0</v>
      </c>
      <c r="AD117" s="444">
        <f>N('費用収益表_業務短期'!G35)-N(G117)</f>
        <v>0</v>
      </c>
      <c r="AE117" s="444">
        <f>N('費用収益表_業務短期'!H35)-N(H117)</f>
        <v>0</v>
      </c>
      <c r="AF117" s="444">
        <f>N('費用収益表_業務短期'!I35)-N(I117)</f>
        <v>0</v>
      </c>
      <c r="AG117" s="444">
        <f>N('費用収益表_業務短期'!J35)-N(J117)</f>
        <v>0</v>
      </c>
      <c r="AH117" s="444">
        <f>N('費用収益表_業務短期'!K35)-N(K117)</f>
        <v>0</v>
      </c>
      <c r="AI117" s="444">
        <f>N('費用収益表_業務短期'!L35)-N(L117)</f>
        <v>0</v>
      </c>
      <c r="AJ117" s="444">
        <f>N('費用収益表_業務短期'!M35)-N(M117)</f>
        <v>0</v>
      </c>
      <c r="AK117" s="444">
        <f>N('費用収益表_業務短期'!N35)-N(N117)</f>
        <v>0</v>
      </c>
      <c r="AL117" s="444">
        <f>N('費用収益表_業務短期'!O35)-N(O117)</f>
        <v>0</v>
      </c>
      <c r="AM117" s="444">
        <f>N('費用収益表_業務短期'!P35)-N(P117)</f>
        <v>0</v>
      </c>
      <c r="AN117" s="444">
        <f>N('費用収益表_業務短期'!Q35)-N(Q117)</f>
        <v>0</v>
      </c>
      <c r="AO117" s="444">
        <f>N('費用収益表_業務短期'!R35)-N(R117)</f>
        <v>0</v>
      </c>
      <c r="AP117" s="444">
        <f>N('費用収益表_業務短期'!S35)-N(S117)</f>
        <v>0</v>
      </c>
      <c r="AQ117" s="444">
        <f>N('費用収益表_業務短期'!T35)-N(T117)</f>
        <v>0</v>
      </c>
      <c r="AR117" s="444">
        <f>N('費用収益表_業務短期'!U35)-N(U117)</f>
        <v>0</v>
      </c>
    </row>
    <row r="118">
      <c r="P118" s="443" t="n">
        <v>0</v>
      </c>
      <c r="Q118" s="443" t="n">
        <v>0</v>
      </c>
      <c r="S118" s="443" t="n">
        <v>0</v>
      </c>
      <c r="T118" s="443" t="n">
        <v>0</v>
      </c>
      <c r="Z118" s="444">
        <f>N('費用収益表_業務短期'!C36)-N(C118)</f>
        <v>0</v>
      </c>
      <c r="AA118" s="444">
        <f>N('費用収益表_業務短期'!D36)-N(D118)</f>
        <v>0</v>
      </c>
      <c r="AB118" s="444">
        <f>N('費用収益表_業務短期'!E36)-N(E118)</f>
        <v>0</v>
      </c>
      <c r="AC118" s="444">
        <f>N('費用収益表_業務短期'!F36)-N(F118)</f>
        <v>0</v>
      </c>
      <c r="AD118" s="444">
        <f>N('費用収益表_業務短期'!G36)-N(G118)</f>
        <v>0</v>
      </c>
      <c r="AE118" s="444">
        <f>N('費用収益表_業務短期'!H36)-N(H118)</f>
        <v>0</v>
      </c>
      <c r="AF118" s="444">
        <f>N('費用収益表_業務短期'!I36)-N(I118)</f>
        <v>0</v>
      </c>
      <c r="AG118" s="444">
        <f>N('費用収益表_業務短期'!J36)-N(J118)</f>
        <v>0</v>
      </c>
      <c r="AH118" s="444">
        <f>N('費用収益表_業務短期'!K36)-N(K118)</f>
        <v>0</v>
      </c>
      <c r="AI118" s="444">
        <f>N('費用収益表_業務短期'!L36)-N(L118)</f>
        <v>0</v>
      </c>
      <c r="AJ118" s="444">
        <f>N('費用収益表_業務短期'!M36)-N(M118)</f>
        <v>0</v>
      </c>
      <c r="AK118" s="444">
        <f>N('費用収益表_業務短期'!N36)-N(N118)</f>
        <v>0</v>
      </c>
      <c r="AL118" s="444">
        <f>N('費用収益表_業務短期'!O36)-N(O118)</f>
        <v>0</v>
      </c>
      <c r="AM118" s="444">
        <f>N('費用収益表_業務短期'!P36)-N(P118)</f>
        <v>0</v>
      </c>
      <c r="AN118" s="444">
        <f>N('費用収益表_業務短期'!Q36)-N(Q118)</f>
        <v>0</v>
      </c>
      <c r="AO118" s="444">
        <f>N('費用収益表_業務短期'!R36)-N(R118)</f>
        <v>0</v>
      </c>
      <c r="AP118" s="444">
        <f>N('費用収益表_業務短期'!S36)-N(S118)</f>
        <v>0</v>
      </c>
      <c r="AQ118" s="444">
        <f>N('費用収益表_業務短期'!T36)-N(T118)</f>
        <v>0</v>
      </c>
      <c r="AR118" s="444">
        <f>N('費用収益表_業務短期'!U36)-N(U118)</f>
        <v>0</v>
      </c>
    </row>
    <row r="119">
      <c r="O119" s="443" t="n">
        <v>176556</v>
      </c>
      <c r="P119" s="443" t="n">
        <v>176556</v>
      </c>
      <c r="Q119" s="443" t="n">
        <v>172000</v>
      </c>
      <c r="S119" s="443" t="n">
        <v>172000</v>
      </c>
      <c r="T119" s="443" t="n">
        <v>-4556</v>
      </c>
      <c r="Z119" s="444">
        <f>N('費用収益表_業務短期'!C37)-N(C119)</f>
        <v>0</v>
      </c>
      <c r="AA119" s="444">
        <f>N('費用収益表_業務短期'!D37)-N(D119)</f>
        <v>0</v>
      </c>
      <c r="AB119" s="444">
        <f>N('費用収益表_業務短期'!E37)-N(E119)</f>
        <v>0</v>
      </c>
      <c r="AC119" s="444">
        <f>N('費用収益表_業務短期'!F37)-N(F119)</f>
        <v>0</v>
      </c>
      <c r="AD119" s="444">
        <f>N('費用収益表_業務短期'!G37)-N(G119)</f>
        <v>0</v>
      </c>
      <c r="AE119" s="444">
        <f>N('費用収益表_業務短期'!H37)-N(H119)</f>
        <v>0</v>
      </c>
      <c r="AF119" s="444">
        <f>N('費用収益表_業務短期'!I37)-N(I119)</f>
        <v>0</v>
      </c>
      <c r="AG119" s="444">
        <f>N('費用収益表_業務短期'!J37)-N(J119)</f>
        <v>0</v>
      </c>
      <c r="AH119" s="444">
        <f>N('費用収益表_業務短期'!K37)-N(K119)</f>
        <v>0</v>
      </c>
      <c r="AI119" s="444">
        <f>N('費用収益表_業務短期'!L37)-N(L119)</f>
        <v>0</v>
      </c>
      <c r="AJ119" s="444">
        <f>N('費用収益表_業務短期'!M37)-N(M119)</f>
        <v>0</v>
      </c>
      <c r="AK119" s="444">
        <f>N('費用収益表_業務短期'!N37)-N(N119)</f>
        <v>0</v>
      </c>
      <c r="AL119" s="444">
        <f>N('費用収益表_業務短期'!O37)-N(O119)</f>
        <v>0</v>
      </c>
      <c r="AM119" s="444">
        <f>N('費用収益表_業務短期'!P37)-N(P119)</f>
        <v>0</v>
      </c>
      <c r="AN119" s="444">
        <f>N('費用収益表_業務短期'!Q37)-N(Q119)</f>
        <v>0</v>
      </c>
      <c r="AO119" s="444">
        <f>N('費用収益表_業務短期'!R37)-N(R119)</f>
        <v>0</v>
      </c>
      <c r="AP119" s="444">
        <f>N('費用収益表_業務短期'!S37)-N(S119)</f>
        <v>0</v>
      </c>
      <c r="AQ119" s="444">
        <f>N('費用収益表_業務短期'!T37)-N(T119)</f>
        <v>0</v>
      </c>
      <c r="AR119" s="444">
        <f>N('費用収益表_業務短期'!U37)-N(U119)</f>
        <v>0</v>
      </c>
    </row>
    <row r="120">
      <c r="C120" s="443" t="n">
        <v>534591</v>
      </c>
      <c r="D120" s="443" t="n">
        <v>4087081</v>
      </c>
      <c r="E120" s="443" t="n">
        <v>2455166</v>
      </c>
      <c r="F120" s="443" t="n">
        <v>1972276</v>
      </c>
      <c r="G120" s="443" t="n">
        <v>2709341</v>
      </c>
      <c r="H120" s="443" t="n">
        <v>24070375</v>
      </c>
      <c r="I120" s="443" t="n">
        <v>2454418</v>
      </c>
      <c r="J120" s="443" t="n">
        <v>2501632</v>
      </c>
      <c r="K120" s="443" t="n">
        <v>5009376</v>
      </c>
      <c r="L120" s="443" t="n">
        <v>2079276</v>
      </c>
      <c r="M120" s="443" t="n">
        <v>2212970</v>
      </c>
      <c r="N120" s="443" t="n">
        <v>2135536</v>
      </c>
      <c r="O120" s="443" t="n">
        <v>3204092</v>
      </c>
      <c r="P120" s="443" t="n">
        <v>55426130</v>
      </c>
      <c r="Q120" s="443" t="n">
        <v>59014000</v>
      </c>
      <c r="R120" s="443" t="n">
        <v>0</v>
      </c>
      <c r="S120" s="443" t="n">
        <v>59014000</v>
      </c>
      <c r="T120" s="443" t="n">
        <v>3587870</v>
      </c>
      <c r="U120" s="443" t="n">
        <v>-3587870</v>
      </c>
      <c r="Z120" s="444">
        <f>N('費用収益表_業務短期'!C38)-N(C120)</f>
        <v>0</v>
      </c>
      <c r="AA120" s="444">
        <f>N('費用収益表_業務短期'!D38)-N(D120)</f>
        <v>0</v>
      </c>
      <c r="AB120" s="444">
        <f>N('費用収益表_業務短期'!E38)-N(E120)</f>
        <v>0</v>
      </c>
      <c r="AC120" s="444">
        <f>N('費用収益表_業務短期'!F38)-N(F120)</f>
        <v>0</v>
      </c>
      <c r="AD120" s="444">
        <f>N('費用収益表_業務短期'!G38)-N(G120)</f>
        <v>0</v>
      </c>
      <c r="AE120" s="444">
        <f>N('費用収益表_業務短期'!H38)-N(H120)</f>
        <v>0</v>
      </c>
      <c r="AF120" s="444">
        <f>N('費用収益表_業務短期'!I38)-N(I120)</f>
        <v>0</v>
      </c>
      <c r="AG120" s="444">
        <f>N('費用収益表_業務短期'!J38)-N(J120)</f>
        <v>0</v>
      </c>
      <c r="AH120" s="444">
        <f>N('費用収益表_業務短期'!K38)-N(K120)</f>
        <v>0</v>
      </c>
      <c r="AI120" s="444">
        <f>N('費用収益表_業務短期'!L38)-N(L120)</f>
        <v>0</v>
      </c>
      <c r="AJ120" s="444">
        <f>N('費用収益表_業務短期'!M38)-N(M120)</f>
        <v>0</v>
      </c>
      <c r="AK120" s="444">
        <f>N('費用収益表_業務短期'!N38)-N(N120)</f>
        <v>0</v>
      </c>
      <c r="AL120" s="444">
        <f>N('費用収益表_業務短期'!O38)-N(O120)</f>
        <v>0</v>
      </c>
      <c r="AM120" s="444">
        <f>N('費用収益表_業務短期'!P38)-N(P120)</f>
        <v>0</v>
      </c>
      <c r="AN120" s="444">
        <f>N('費用収益表_業務短期'!Q38)-N(Q120)</f>
        <v>0</v>
      </c>
      <c r="AO120" s="444">
        <f>N('費用収益表_業務短期'!R38)-N(R120)</f>
        <v>0</v>
      </c>
      <c r="AP120" s="444">
        <f>N('費用収益表_業務短期'!S38)-N(S120)</f>
        <v>0</v>
      </c>
      <c r="AQ120" s="444">
        <f>N('費用収益表_業務短期'!T38)-N(T120)</f>
        <v>0</v>
      </c>
      <c r="AR120" s="444">
        <f>N('費用収益表_業務短期'!U38)-N(U120)</f>
        <v>0</v>
      </c>
    </row>
    <row r="121">
      <c r="Z121" s="444">
        <f>N('費用収益表_業務短期'!C39)-N(C121)</f>
        <v>0</v>
      </c>
      <c r="AA121" s="444">
        <f>N('費用収益表_業務短期'!D39)-N(D121)</f>
        <v>0</v>
      </c>
      <c r="AB121" s="444">
        <f>N('費用収益表_業務短期'!E39)-N(E121)</f>
        <v>0</v>
      </c>
      <c r="AC121" s="444">
        <f>N('費用収益表_業務短期'!F39)-N(F121)</f>
        <v>0</v>
      </c>
      <c r="AD121" s="444">
        <f>N('費用収益表_業務短期'!G39)-N(G121)</f>
        <v>0</v>
      </c>
      <c r="AE121" s="444">
        <f>N('費用収益表_業務短期'!H39)-N(H121)</f>
        <v>0</v>
      </c>
      <c r="AF121" s="444">
        <f>N('費用収益表_業務短期'!I39)-N(I121)</f>
        <v>0</v>
      </c>
      <c r="AG121" s="444">
        <f>N('費用収益表_業務短期'!J39)-N(J121)</f>
        <v>0</v>
      </c>
      <c r="AH121" s="444">
        <f>N('費用収益表_業務短期'!K39)-N(K121)</f>
        <v>0</v>
      </c>
      <c r="AI121" s="444">
        <f>N('費用収益表_業務短期'!L39)-N(L121)</f>
        <v>0</v>
      </c>
      <c r="AJ121" s="444">
        <f>N('費用収益表_業務短期'!M39)-N(M121)</f>
        <v>0</v>
      </c>
      <c r="AK121" s="444">
        <f>N('費用収益表_業務短期'!N39)-N(N121)</f>
        <v>0</v>
      </c>
      <c r="AL121" s="444">
        <f>N('費用収益表_業務短期'!O39)-N(O121)</f>
        <v>0</v>
      </c>
      <c r="AM121" s="444">
        <f>N('費用収益表_業務短期'!P39)-N(P121)</f>
        <v>0</v>
      </c>
      <c r="AN121" s="444">
        <f>N('費用収益表_業務短期'!Q39)-N(Q121)</f>
        <v>0</v>
      </c>
      <c r="AO121" s="444">
        <f>N('費用収益表_業務短期'!R39)-N(R121)</f>
        <v>0</v>
      </c>
      <c r="AP121" s="444">
        <f>N('費用収益表_業務短期'!S39)-N(S121)</f>
        <v>0</v>
      </c>
      <c r="AQ121" s="444">
        <f>N('費用収益表_業務短期'!T39)-N(T121)</f>
        <v>0</v>
      </c>
      <c r="AR121" s="444">
        <f>N('費用収益表_業務短期'!U39)-N(U121)</f>
        <v>0</v>
      </c>
    </row>
    <row r="122">
      <c r="Z122" s="444">
        <f>N('費用収益表_業務短期'!C40)-N(C122)</f>
        <v>0</v>
      </c>
      <c r="AA122" s="444">
        <f>N('費用収益表_業務短期'!D40)-N(D122)</f>
        <v>0</v>
      </c>
      <c r="AB122" s="444">
        <f>N('費用収益表_業務短期'!E40)-N(E122)</f>
        <v>0</v>
      </c>
      <c r="AC122" s="444">
        <f>N('費用収益表_業務短期'!F40)-N(F122)</f>
        <v>0</v>
      </c>
      <c r="AD122" s="444">
        <f>N('費用収益表_業務短期'!G40)-N(G122)</f>
        <v>0</v>
      </c>
      <c r="AE122" s="444">
        <f>N('費用収益表_業務短期'!H40)-N(H122)</f>
        <v>0</v>
      </c>
      <c r="AF122" s="444">
        <f>N('費用収益表_業務短期'!I40)-N(I122)</f>
        <v>0</v>
      </c>
      <c r="AG122" s="444">
        <f>N('費用収益表_業務短期'!J40)-N(J122)</f>
        <v>0</v>
      </c>
      <c r="AH122" s="444">
        <f>N('費用収益表_業務短期'!K40)-N(K122)</f>
        <v>0</v>
      </c>
      <c r="AI122" s="444">
        <f>N('費用収益表_業務短期'!L40)-N(L122)</f>
        <v>0</v>
      </c>
      <c r="AJ122" s="444">
        <f>N('費用収益表_業務短期'!M40)-N(M122)</f>
        <v>0</v>
      </c>
      <c r="AK122" s="444">
        <f>N('費用収益表_業務短期'!N40)-N(N122)</f>
        <v>0</v>
      </c>
      <c r="AL122" s="444">
        <f>N('費用収益表_業務短期'!O40)-N(O122)</f>
        <v>0</v>
      </c>
      <c r="AM122" s="444">
        <f>N('費用収益表_業務短期'!P40)-N(P122)</f>
        <v>0</v>
      </c>
      <c r="AN122" s="444">
        <f>N('費用収益表_業務短期'!Q40)-N(Q122)</f>
        <v>0</v>
      </c>
      <c r="AO122" s="444">
        <f>N('費用収益表_業務短期'!R40)-N(R122)</f>
        <v>0</v>
      </c>
      <c r="AP122" s="444">
        <f>N('費用収益表_業務短期'!S40)-N(S122)</f>
        <v>0</v>
      </c>
      <c r="AQ122" s="444">
        <f>N('費用収益表_業務短期'!T40)-N(T122)</f>
        <v>0</v>
      </c>
      <c r="AR122" s="444">
        <f>N('費用収益表_業務短期'!U40)-N(U122)</f>
        <v>0</v>
      </c>
    </row>
    <row r="123">
      <c r="C123" s="443" t="n">
        <v>2268000</v>
      </c>
      <c r="D123" s="443" t="n">
        <v>2150000</v>
      </c>
      <c r="E123" s="443" t="n">
        <v>2609000</v>
      </c>
      <c r="F123" s="443" t="n">
        <v>2725000</v>
      </c>
      <c r="G123" s="443" t="n">
        <v>2151000</v>
      </c>
      <c r="H123" s="443" t="n">
        <v>12794000</v>
      </c>
      <c r="I123" s="443" t="n">
        <v>2477000</v>
      </c>
      <c r="J123" s="443" t="n">
        <v>2228000</v>
      </c>
      <c r="K123" s="443" t="n">
        <v>2894000</v>
      </c>
      <c r="L123" s="443" t="n">
        <v>2560000</v>
      </c>
      <c r="M123" s="443" t="n">
        <v>2209000</v>
      </c>
      <c r="N123" s="443" t="n">
        <v>3606000</v>
      </c>
      <c r="O123" s="443" t="n">
        <v>2075480</v>
      </c>
      <c r="P123" s="443" t="n">
        <v>42746480</v>
      </c>
      <c r="R123" s="443" t="n">
        <v>-11744404</v>
      </c>
      <c r="S123" s="443" t="n">
        <v>40815000</v>
      </c>
      <c r="T123" s="443" t="n">
        <v>31002076</v>
      </c>
      <c r="Z123" s="444">
        <f>N('費用収益表_業務短期'!C41)-N(C123)</f>
        <v>0</v>
      </c>
      <c r="AA123" s="444">
        <f>N('費用収益表_業務短期'!D41)-N(D123)</f>
        <v>0</v>
      </c>
      <c r="AB123" s="444">
        <f>N('費用収益表_業務短期'!E41)-N(E123)</f>
        <v>0</v>
      </c>
      <c r="AC123" s="444">
        <f>N('費用収益表_業務短期'!F41)-N(F123)</f>
        <v>0</v>
      </c>
      <c r="AD123" s="444">
        <f>N('費用収益表_業務短期'!G41)-N(G123)</f>
        <v>0</v>
      </c>
      <c r="AE123" s="444">
        <f>N('費用収益表_業務短期'!H41)-N(H123)</f>
        <v>0</v>
      </c>
      <c r="AF123" s="444">
        <f>N('費用収益表_業務短期'!I41)-N(I123)</f>
        <v>0</v>
      </c>
      <c r="AG123" s="444">
        <f>N('費用収益表_業務短期'!J41)-N(J123)</f>
        <v>0</v>
      </c>
      <c r="AH123" s="444">
        <f>N('費用収益表_業務短期'!K41)-N(K123)</f>
        <v>0</v>
      </c>
      <c r="AI123" s="444">
        <f>N('費用収益表_業務短期'!L41)-N(L123)</f>
        <v>0</v>
      </c>
      <c r="AJ123" s="444">
        <f>N('費用収益表_業務短期'!M41)-N(M123)</f>
        <v>0</v>
      </c>
      <c r="AK123" s="444">
        <f>N('費用収益表_業務短期'!N41)-N(N123)</f>
        <v>0</v>
      </c>
      <c r="AL123" s="444">
        <f>N('費用収益表_業務短期'!O41)-N(O123)</f>
        <v>0</v>
      </c>
      <c r="AM123" s="444">
        <f>N('費用収益表_業務短期'!P41)-N(P123)</f>
        <v>0</v>
      </c>
      <c r="AN123" s="444">
        <f>N('費用収益表_業務短期'!Q41)-N(Q123)</f>
        <v>0</v>
      </c>
      <c r="AO123" s="444">
        <f>N('費用収益表_業務短期'!R41)-N(R123)</f>
        <v>0</v>
      </c>
      <c r="AP123" s="444">
        <f>N('費用収益表_業務短期'!S41)-N(S123)</f>
        <v>0</v>
      </c>
      <c r="AQ123" s="444">
        <f>N('費用収益表_業務短期'!T41)-N(T123)</f>
        <v>0</v>
      </c>
      <c r="AR123" s="444">
        <f>N('費用収益表_業務短期'!U41)-N(U123)</f>
        <v>0</v>
      </c>
    </row>
    <row r="124">
      <c r="P124" s="443" t="n">
        <v>0</v>
      </c>
      <c r="S124" s="443" t="n">
        <v>0</v>
      </c>
      <c r="T124" s="443" t="n">
        <v>0</v>
      </c>
      <c r="Z124" s="444">
        <f>N('費用収益表_業務短期'!C42)-N(C124)</f>
        <v>0</v>
      </c>
      <c r="AA124" s="444">
        <f>N('費用収益表_業務短期'!D42)-N(D124)</f>
        <v>0</v>
      </c>
      <c r="AB124" s="444">
        <f>N('費用収益表_業務短期'!E42)-N(E124)</f>
        <v>0</v>
      </c>
      <c r="AC124" s="444">
        <f>N('費用収益表_業務短期'!F42)-N(F124)</f>
        <v>0</v>
      </c>
      <c r="AD124" s="444">
        <f>N('費用収益表_業務短期'!G42)-N(G124)</f>
        <v>0</v>
      </c>
      <c r="AE124" s="444">
        <f>N('費用収益表_業務短期'!H42)-N(H124)</f>
        <v>0</v>
      </c>
      <c r="AF124" s="444">
        <f>N('費用収益表_業務短期'!I42)-N(I124)</f>
        <v>0</v>
      </c>
      <c r="AG124" s="444">
        <f>N('費用収益表_業務短期'!J42)-N(J124)</f>
        <v>0</v>
      </c>
      <c r="AH124" s="444">
        <f>N('費用収益表_業務短期'!K42)-N(K124)</f>
        <v>0</v>
      </c>
      <c r="AI124" s="444">
        <f>N('費用収益表_業務短期'!L42)-N(L124)</f>
        <v>0</v>
      </c>
      <c r="AJ124" s="444">
        <f>N('費用収益表_業務短期'!M42)-N(M124)</f>
        <v>0</v>
      </c>
      <c r="AK124" s="444">
        <f>N('費用収益表_業務短期'!N42)-N(N124)</f>
        <v>0</v>
      </c>
      <c r="AL124" s="444">
        <f>N('費用収益表_業務短期'!O42)-N(O124)</f>
        <v>0</v>
      </c>
      <c r="AM124" s="444">
        <f>N('費用収益表_業務短期'!P42)-N(P124)</f>
        <v>0</v>
      </c>
      <c r="AN124" s="444">
        <f>N('費用収益表_業務短期'!Q42)-N(Q124)</f>
        <v>0</v>
      </c>
      <c r="AO124" s="444">
        <f>N('費用収益表_業務短期'!R42)-N(R124)</f>
        <v>0</v>
      </c>
      <c r="AP124" s="444">
        <f>N('費用収益表_業務短期'!S42)-N(S124)</f>
        <v>0</v>
      </c>
      <c r="AQ124" s="444">
        <f>N('費用収益表_業務短期'!T42)-N(T124)</f>
        <v>0</v>
      </c>
      <c r="AR124" s="444">
        <f>N('費用収益表_業務短期'!U42)-N(U124)</f>
        <v>0</v>
      </c>
    </row>
    <row r="125">
      <c r="P125" s="443" t="n">
        <v>0</v>
      </c>
      <c r="S125" s="443" t="n">
        <v>0</v>
      </c>
      <c r="T125" s="443" t="n">
        <v>0</v>
      </c>
      <c r="Z125" s="444">
        <f>N('費用収益表_業務短期'!C43)-N(C125)</f>
        <v>0</v>
      </c>
      <c r="AA125" s="444">
        <f>N('費用収益表_業務短期'!D43)-N(D125)</f>
        <v>0</v>
      </c>
      <c r="AB125" s="444">
        <f>N('費用収益表_業務短期'!E43)-N(E125)</f>
        <v>0</v>
      </c>
      <c r="AC125" s="444">
        <f>N('費用収益表_業務短期'!F43)-N(F125)</f>
        <v>0</v>
      </c>
      <c r="AD125" s="444">
        <f>N('費用収益表_業務短期'!G43)-N(G125)</f>
        <v>0</v>
      </c>
      <c r="AE125" s="444">
        <f>N('費用収益表_業務短期'!H43)-N(H125)</f>
        <v>0</v>
      </c>
      <c r="AF125" s="444">
        <f>N('費用収益表_業務短期'!I43)-N(I125)</f>
        <v>0</v>
      </c>
      <c r="AG125" s="444">
        <f>N('費用収益表_業務短期'!J43)-N(J125)</f>
        <v>0</v>
      </c>
      <c r="AH125" s="444">
        <f>N('費用収益表_業務短期'!K43)-N(K125)</f>
        <v>0</v>
      </c>
      <c r="AI125" s="444">
        <f>N('費用収益表_業務短期'!L43)-N(L125)</f>
        <v>0</v>
      </c>
      <c r="AJ125" s="444">
        <f>N('費用収益表_業務短期'!M43)-N(M125)</f>
        <v>0</v>
      </c>
      <c r="AK125" s="444">
        <f>N('費用収益表_業務短期'!N43)-N(N125)</f>
        <v>0</v>
      </c>
      <c r="AL125" s="444">
        <f>N('費用収益表_業務短期'!O43)-N(O125)</f>
        <v>0</v>
      </c>
      <c r="AM125" s="444">
        <f>N('費用収益表_業務短期'!P43)-N(P125)</f>
        <v>0</v>
      </c>
      <c r="AN125" s="444">
        <f>N('費用収益表_業務短期'!Q43)-N(Q125)</f>
        <v>0</v>
      </c>
      <c r="AO125" s="444">
        <f>N('費用収益表_業務短期'!R43)-N(R125)</f>
        <v>0</v>
      </c>
      <c r="AP125" s="444">
        <f>N('費用収益表_業務短期'!S43)-N(S125)</f>
        <v>0</v>
      </c>
      <c r="AQ125" s="444">
        <f>N('費用収益表_業務短期'!T43)-N(T125)</f>
        <v>0</v>
      </c>
      <c r="AR125" s="444">
        <f>N('費用収益表_業務短期'!U43)-N(U125)</f>
        <v>0</v>
      </c>
    </row>
    <row r="126">
      <c r="O126" s="443" t="n">
        <v>7580026</v>
      </c>
      <c r="P126" s="443" t="n">
        <v>7580026</v>
      </c>
      <c r="S126" s="443" t="n">
        <v>13605000</v>
      </c>
      <c r="T126" s="443" t="n">
        <v>0</v>
      </c>
      <c r="Z126" s="444">
        <f>N('費用収益表_業務短期'!C44)-N(C126)</f>
        <v>0</v>
      </c>
      <c r="AA126" s="444">
        <f>N('費用収益表_業務短期'!D44)-N(D126)</f>
        <v>0</v>
      </c>
      <c r="AB126" s="444">
        <f>N('費用収益表_業務短期'!E44)-N(E126)</f>
        <v>0</v>
      </c>
      <c r="AC126" s="444">
        <f>N('費用収益表_業務短期'!F44)-N(F126)</f>
        <v>0</v>
      </c>
      <c r="AD126" s="444">
        <f>N('費用収益表_業務短期'!G44)-N(G126)</f>
        <v>0</v>
      </c>
      <c r="AE126" s="444">
        <f>N('費用収益表_業務短期'!H44)-N(H126)</f>
        <v>0</v>
      </c>
      <c r="AF126" s="444">
        <f>N('費用収益表_業務短期'!I44)-N(I126)</f>
        <v>0</v>
      </c>
      <c r="AG126" s="444">
        <f>N('費用収益表_業務短期'!J44)-N(J126)</f>
        <v>0</v>
      </c>
      <c r="AH126" s="444">
        <f>N('費用収益表_業務短期'!K44)-N(K126)</f>
        <v>0</v>
      </c>
      <c r="AI126" s="444">
        <f>N('費用収益表_業務短期'!L44)-N(L126)</f>
        <v>0</v>
      </c>
      <c r="AJ126" s="444">
        <f>N('費用収益表_業務短期'!M44)-N(M126)</f>
        <v>0</v>
      </c>
      <c r="AK126" s="444">
        <f>N('費用収益表_業務短期'!N44)-N(N126)</f>
        <v>0</v>
      </c>
      <c r="AL126" s="444">
        <f>N('費用収益表_業務短期'!O44)-N(O126)</f>
        <v>0</v>
      </c>
      <c r="AM126" s="444">
        <f>N('費用収益表_業務短期'!P44)-N(P126)</f>
        <v>0</v>
      </c>
      <c r="AN126" s="444">
        <f>N('費用収益表_業務短期'!Q44)-N(Q126)</f>
        <v>0</v>
      </c>
      <c r="AO126" s="444">
        <f>N('費用収益表_業務短期'!R44)-N(R126)</f>
        <v>0</v>
      </c>
      <c r="AP126" s="444">
        <f>N('費用収益表_業務短期'!S44)-N(S126)</f>
        <v>0</v>
      </c>
      <c r="AQ126" s="444">
        <f>N('費用収益表_業務短期'!T44)-N(T126)</f>
        <v>0</v>
      </c>
      <c r="AR126" s="444">
        <f>N('費用収益表_業務短期'!U44)-N(U126)</f>
        <v>0</v>
      </c>
    </row>
    <row r="127">
      <c r="P127" s="443" t="n">
        <v>0</v>
      </c>
      <c r="S127" s="443" t="n">
        <v>0</v>
      </c>
      <c r="T127" s="443" t="n">
        <v>0</v>
      </c>
      <c r="Z127" s="444">
        <f>N('費用収益表_業務短期'!C45)-N(C127)</f>
        <v>0</v>
      </c>
      <c r="AA127" s="444">
        <f>N('費用収益表_業務短期'!D45)-N(D127)</f>
        <v>0</v>
      </c>
      <c r="AB127" s="444">
        <f>N('費用収益表_業務短期'!E45)-N(E127)</f>
        <v>0</v>
      </c>
      <c r="AC127" s="444">
        <f>N('費用収益表_業務短期'!F45)-N(F127)</f>
        <v>0</v>
      </c>
      <c r="AD127" s="444">
        <f>N('費用収益表_業務短期'!G45)-N(G127)</f>
        <v>0</v>
      </c>
      <c r="AE127" s="444">
        <f>N('費用収益表_業務短期'!H45)-N(H127)</f>
        <v>0</v>
      </c>
      <c r="AF127" s="444">
        <f>N('費用収益表_業務短期'!I45)-N(I127)</f>
        <v>0</v>
      </c>
      <c r="AG127" s="444">
        <f>N('費用収益表_業務短期'!J45)-N(J127)</f>
        <v>0</v>
      </c>
      <c r="AH127" s="444">
        <f>N('費用収益表_業務短期'!K45)-N(K127)</f>
        <v>0</v>
      </c>
      <c r="AI127" s="444">
        <f>N('費用収益表_業務短期'!L45)-N(L127)</f>
        <v>0</v>
      </c>
      <c r="AJ127" s="444">
        <f>N('費用収益表_業務短期'!M45)-N(M127)</f>
        <v>0</v>
      </c>
      <c r="AK127" s="444">
        <f>N('費用収益表_業務短期'!N45)-N(N127)</f>
        <v>0</v>
      </c>
      <c r="AL127" s="444">
        <f>N('費用収益表_業務短期'!O45)-N(O127)</f>
        <v>0</v>
      </c>
      <c r="AM127" s="444">
        <f>N('費用収益表_業務短期'!P45)-N(P127)</f>
        <v>0</v>
      </c>
      <c r="AN127" s="444">
        <f>N('費用収益表_業務短期'!Q45)-N(Q127)</f>
        <v>0</v>
      </c>
      <c r="AO127" s="444">
        <f>N('費用収益表_業務短期'!R45)-N(R127)</f>
        <v>0</v>
      </c>
      <c r="AP127" s="444">
        <f>N('費用収益表_業務短期'!S45)-N(S127)</f>
        <v>0</v>
      </c>
      <c r="AQ127" s="444">
        <f>N('費用収益表_業務短期'!T45)-N(T127)</f>
        <v>0</v>
      </c>
      <c r="AR127" s="444">
        <f>N('費用収益表_業務短期'!U45)-N(U127)</f>
        <v>0</v>
      </c>
    </row>
    <row r="128">
      <c r="C128" s="443" t="n">
        <v>2268000</v>
      </c>
      <c r="D128" s="443" t="n">
        <v>2150000</v>
      </c>
      <c r="E128" s="443" t="n">
        <v>2609000</v>
      </c>
      <c r="F128" s="443" t="n">
        <v>2725000</v>
      </c>
      <c r="G128" s="443" t="n">
        <v>2151000</v>
      </c>
      <c r="H128" s="443" t="n">
        <v>12794000</v>
      </c>
      <c r="I128" s="443" t="n">
        <v>2477000</v>
      </c>
      <c r="J128" s="443" t="n">
        <v>2228000</v>
      </c>
      <c r="K128" s="443" t="n">
        <v>2894000</v>
      </c>
      <c r="L128" s="443" t="n">
        <v>2560000</v>
      </c>
      <c r="M128" s="443" t="n">
        <v>2209000</v>
      </c>
      <c r="N128" s="443" t="n">
        <v>3606000</v>
      </c>
      <c r="O128" s="443" t="n">
        <v>9655506</v>
      </c>
      <c r="P128" s="443" t="n">
        <v>50326506</v>
      </c>
      <c r="Q128" s="443" t="n">
        <v>0</v>
      </c>
      <c r="R128" s="443" t="n">
        <v>-11744404</v>
      </c>
      <c r="S128" s="443" t="n">
        <v>54420000</v>
      </c>
      <c r="T128" s="443" t="n">
        <v>31002076</v>
      </c>
      <c r="Z128" s="444">
        <f>N('費用収益表_業務短期'!C46)-N(C128)</f>
        <v>0</v>
      </c>
      <c r="AA128" s="444">
        <f>N('費用収益表_業務短期'!D46)-N(D128)</f>
        <v>0</v>
      </c>
      <c r="AB128" s="444">
        <f>N('費用収益表_業務短期'!E46)-N(E128)</f>
        <v>0</v>
      </c>
      <c r="AC128" s="444">
        <f>N('費用収益表_業務短期'!F46)-N(F128)</f>
        <v>0</v>
      </c>
      <c r="AD128" s="444">
        <f>N('費用収益表_業務短期'!G46)-N(G128)</f>
        <v>0</v>
      </c>
      <c r="AE128" s="444">
        <f>N('費用収益表_業務短期'!H46)-N(H128)</f>
        <v>0</v>
      </c>
      <c r="AF128" s="444">
        <f>N('費用収益表_業務短期'!I46)-N(I128)</f>
        <v>0</v>
      </c>
      <c r="AG128" s="444">
        <f>N('費用収益表_業務短期'!J46)-N(J128)</f>
        <v>0</v>
      </c>
      <c r="AH128" s="444">
        <f>N('費用収益表_業務短期'!K46)-N(K128)</f>
        <v>0</v>
      </c>
      <c r="AI128" s="444">
        <f>N('費用収益表_業務短期'!L46)-N(L128)</f>
        <v>0</v>
      </c>
      <c r="AJ128" s="444">
        <f>N('費用収益表_業務短期'!M46)-N(M128)</f>
        <v>0</v>
      </c>
      <c r="AK128" s="444">
        <f>N('費用収益表_業務短期'!N46)-N(N128)</f>
        <v>0</v>
      </c>
      <c r="AL128" s="444">
        <f>N('費用収益表_業務短期'!O46)-N(O128)</f>
        <v>0</v>
      </c>
      <c r="AM128" s="444">
        <f>N('費用収益表_業務短期'!P46)-N(P128)</f>
        <v>0</v>
      </c>
      <c r="AN128" s="444">
        <f>N('費用収益表_業務短期'!Q46)-N(Q128)</f>
        <v>0</v>
      </c>
      <c r="AO128" s="444">
        <f>N('費用収益表_業務短期'!R46)-N(R128)</f>
        <v>0</v>
      </c>
      <c r="AP128" s="444">
        <f>N('費用収益表_業務短期'!S46)-N(S128)</f>
        <v>0</v>
      </c>
      <c r="AQ128" s="444">
        <f>N('費用収益表_業務短期'!T46)-N(T128)</f>
        <v>0</v>
      </c>
      <c r="AR128" s="444">
        <f>N('費用収益表_業務短期'!U46)-N(U128)</f>
        <v>0</v>
      </c>
    </row>
    <row r="129">
      <c r="Z129" s="444">
        <f>N('費用収益表_業務短期'!C47)-N(C129)</f>
        <v>0</v>
      </c>
      <c r="AA129" s="444">
        <f>N('費用収益表_業務短期'!D47)-N(D129)</f>
        <v>0</v>
      </c>
      <c r="AB129" s="444">
        <f>N('費用収益表_業務短期'!E47)-N(E129)</f>
        <v>0</v>
      </c>
      <c r="AC129" s="444">
        <f>N('費用収益表_業務短期'!F47)-N(F129)</f>
        <v>0</v>
      </c>
      <c r="AD129" s="444">
        <f>N('費用収益表_業務短期'!G47)-N(G129)</f>
        <v>0</v>
      </c>
      <c r="AE129" s="444">
        <f>N('費用収益表_業務短期'!H47)-N(H129)</f>
        <v>0</v>
      </c>
      <c r="AF129" s="444">
        <f>N('費用収益表_業務短期'!I47)-N(I129)</f>
        <v>0</v>
      </c>
      <c r="AG129" s="444">
        <f>N('費用収益表_業務短期'!J47)-N(J129)</f>
        <v>0</v>
      </c>
      <c r="AH129" s="444">
        <f>N('費用収益表_業務短期'!K47)-N(K129)</f>
        <v>0</v>
      </c>
      <c r="AI129" s="444">
        <f>N('費用収益表_業務短期'!L47)-N(L129)</f>
        <v>0</v>
      </c>
      <c r="AJ129" s="444">
        <f>N('費用収益表_業務短期'!M47)-N(M129)</f>
        <v>0</v>
      </c>
      <c r="AK129" s="444">
        <f>N('費用収益表_業務短期'!N47)-N(N129)</f>
        <v>0</v>
      </c>
      <c r="AL129" s="444">
        <f>N('費用収益表_業務短期'!O47)-N(O129)</f>
        <v>0</v>
      </c>
      <c r="AM129" s="444">
        <f>N('費用収益表_業務短期'!P47)-N(P129)</f>
        <v>0</v>
      </c>
      <c r="AN129" s="444">
        <f>N('費用収益表_業務短期'!Q47)-N(Q129)</f>
        <v>0</v>
      </c>
      <c r="AO129" s="444">
        <f>N('費用収益表_業務短期'!R47)-N(R129)</f>
        <v>0</v>
      </c>
      <c r="AP129" s="444">
        <f>N('費用収益表_業務短期'!S47)-N(S129)</f>
        <v>0</v>
      </c>
      <c r="AQ129" s="444">
        <f>N('費用収益表_業務短期'!T47)-N(T129)</f>
        <v>0</v>
      </c>
      <c r="AR129" s="444">
        <f>N('費用収益表_業務短期'!U47)-N(U129)</f>
        <v>0</v>
      </c>
    </row>
    <row r="130">
      <c r="C130" s="443" t="n">
        <v>1733409</v>
      </c>
      <c r="D130" s="443" t="n">
        <v>-1937081</v>
      </c>
      <c r="E130" s="443" t="n">
        <v>153834</v>
      </c>
      <c r="F130" s="443" t="n">
        <v>752724</v>
      </c>
      <c r="G130" s="443" t="n">
        <v>-558341</v>
      </c>
      <c r="H130" s="443" t="n">
        <v>-11276375</v>
      </c>
      <c r="I130" s="443" t="n">
        <v>22582</v>
      </c>
      <c r="J130" s="443" t="n">
        <v>-273632</v>
      </c>
      <c r="K130" s="443" t="n">
        <v>-2115376</v>
      </c>
      <c r="L130" s="443" t="n">
        <v>480724</v>
      </c>
      <c r="M130" s="443" t="n">
        <v>-3970</v>
      </c>
      <c r="N130" s="443" t="n">
        <v>1470464</v>
      </c>
      <c r="O130" s="443" t="n">
        <v>6451414</v>
      </c>
      <c r="P130" s="443" t="n">
        <v>-5099624</v>
      </c>
      <c r="Q130" s="443" t="n">
        <v>-59014000</v>
      </c>
      <c r="R130" s="443" t="n">
        <v>-11744404</v>
      </c>
      <c r="S130" s="443" t="n">
        <v>-4594000</v>
      </c>
      <c r="T130" s="443" t="n">
        <v>27414206</v>
      </c>
      <c r="Z130" s="444">
        <f>N('費用収益表_業務短期'!C48)-N(C130)</f>
        <v>0</v>
      </c>
      <c r="AA130" s="444">
        <f>N('費用収益表_業務短期'!D48)-N(D130)</f>
        <v>0</v>
      </c>
      <c r="AB130" s="444">
        <f>N('費用収益表_業務短期'!E48)-N(E130)</f>
        <v>0</v>
      </c>
      <c r="AC130" s="444">
        <f>N('費用収益表_業務短期'!F48)-N(F130)</f>
        <v>0</v>
      </c>
      <c r="AD130" s="444">
        <f>N('費用収益表_業務短期'!G48)-N(G130)</f>
        <v>0</v>
      </c>
      <c r="AE130" s="444">
        <f>N('費用収益表_業務短期'!H48)-N(H130)</f>
        <v>0</v>
      </c>
      <c r="AF130" s="444">
        <f>N('費用収益表_業務短期'!I48)-N(I130)</f>
        <v>0</v>
      </c>
      <c r="AG130" s="444">
        <f>N('費用収益表_業務短期'!J48)-N(J130)</f>
        <v>0</v>
      </c>
      <c r="AH130" s="444">
        <f>N('費用収益表_業務短期'!K48)-N(K130)</f>
        <v>0</v>
      </c>
      <c r="AI130" s="444">
        <f>N('費用収益表_業務短期'!L48)-N(L130)</f>
        <v>0</v>
      </c>
      <c r="AJ130" s="444">
        <f>N('費用収益表_業務短期'!M48)-N(M130)</f>
        <v>0</v>
      </c>
      <c r="AK130" s="444">
        <f>N('費用収益表_業務短期'!N48)-N(N130)</f>
        <v>0</v>
      </c>
      <c r="AL130" s="444">
        <f>N('費用収益表_業務短期'!O48)-N(O130)</f>
        <v>0</v>
      </c>
      <c r="AM130" s="444">
        <f>N('費用収益表_業務短期'!P48)-N(P130)</f>
        <v>0</v>
      </c>
      <c r="AN130" s="444">
        <f>N('費用収益表_業務短期'!Q48)-N(Q130)</f>
        <v>0</v>
      </c>
      <c r="AO130" s="444">
        <f>N('費用収益表_業務短期'!R48)-N(R130)</f>
        <v>0</v>
      </c>
      <c r="AP130" s="444">
        <f>N('費用収益表_業務短期'!S48)-N(S130)</f>
        <v>0</v>
      </c>
      <c r="AQ130" s="444">
        <f>N('費用収益表_業務短期'!T48)-N(T130)</f>
        <v>0</v>
      </c>
      <c r="AR130" s="444">
        <f>N('費用収益表_業務短期'!U48)-N(U130)</f>
        <v>0</v>
      </c>
    </row>
    <row r="131">
      <c r="Z131" s="444">
        <f>N('費用収益表_業務短期'!C49)-N(C131)</f>
        <v>0</v>
      </c>
      <c r="AA131" s="444">
        <f>N('費用収益表_業務短期'!D49)-N(D131)</f>
        <v>0</v>
      </c>
      <c r="AB131" s="444">
        <f>N('費用収益表_業務短期'!E49)-N(E131)</f>
        <v>0</v>
      </c>
      <c r="AC131" s="444">
        <f>N('費用収益表_業務短期'!F49)-N(F131)</f>
        <v>0</v>
      </c>
      <c r="AD131" s="444">
        <f>N('費用収益表_業務短期'!G49)-N(G131)</f>
        <v>0</v>
      </c>
      <c r="AE131" s="444">
        <f>N('費用収益表_業務短期'!H49)-N(H131)</f>
        <v>0</v>
      </c>
      <c r="AF131" s="444">
        <f>N('費用収益表_業務短期'!I49)-N(I131)</f>
        <v>0</v>
      </c>
      <c r="AG131" s="444">
        <f>N('費用収益表_業務短期'!J49)-N(J131)</f>
        <v>0</v>
      </c>
      <c r="AH131" s="444">
        <f>N('費用収益表_業務短期'!K49)-N(K131)</f>
        <v>0</v>
      </c>
      <c r="AI131" s="444">
        <f>N('費用収益表_業務短期'!L49)-N(L131)</f>
        <v>0</v>
      </c>
      <c r="AJ131" s="444">
        <f>N('費用収益表_業務短期'!M49)-N(M131)</f>
        <v>0</v>
      </c>
      <c r="AK131" s="444">
        <f>N('費用収益表_業務短期'!N49)-N(N131)</f>
        <v>0</v>
      </c>
      <c r="AL131" s="444">
        <f>N('費用収益表_業務短期'!O49)-N(O131)</f>
        <v>0</v>
      </c>
      <c r="AM131" s="444">
        <f>N('費用収益表_業務短期'!P49)-N(P131)</f>
        <v>0</v>
      </c>
      <c r="AN131" s="444">
        <f>N('費用収益表_業務短期'!Q49)-N(Q131)</f>
        <v>0</v>
      </c>
      <c r="AO131" s="444">
        <f>N('費用収益表_業務短期'!R49)-N(R131)</f>
        <v>0</v>
      </c>
      <c r="AP131" s="444">
        <f>N('費用収益表_業務短期'!S49)-N(S131)</f>
        <v>0</v>
      </c>
      <c r="AQ131" s="444">
        <f>N('費用収益表_業務短期'!T49)-N(T131)</f>
        <v>0</v>
      </c>
      <c r="AR131" s="444">
        <f>N('費用収益表_業務短期'!U49)-N(U131)</f>
        <v>0</v>
      </c>
    </row>
    <row r="132">
      <c r="Z132" s="444">
        <f>N('費用収益表_業務短期'!C50)-N(C132)</f>
        <v>0</v>
      </c>
      <c r="AA132" s="444">
        <f>N('費用収益表_業務短期'!D50)-N(D132)</f>
        <v>0</v>
      </c>
      <c r="AB132" s="444">
        <f>N('費用収益表_業務短期'!E50)-N(E132)</f>
        <v>0</v>
      </c>
      <c r="AC132" s="444">
        <f>N('費用収益表_業務短期'!F50)-N(F132)</f>
        <v>0</v>
      </c>
      <c r="AD132" s="444">
        <f>N('費用収益表_業務短期'!G50)-N(G132)</f>
        <v>0</v>
      </c>
      <c r="AE132" s="444">
        <f>N('費用収益表_業務短期'!H50)-N(H132)</f>
        <v>0</v>
      </c>
      <c r="AF132" s="444">
        <f>N('費用収益表_業務短期'!I50)-N(I132)</f>
        <v>0</v>
      </c>
      <c r="AG132" s="444">
        <f>N('費用収益表_業務短期'!J50)-N(J132)</f>
        <v>0</v>
      </c>
      <c r="AH132" s="444">
        <f>N('費用収益表_業務短期'!K50)-N(K132)</f>
        <v>0</v>
      </c>
      <c r="AI132" s="444">
        <f>N('費用収益表_業務短期'!L50)-N(L132)</f>
        <v>0</v>
      </c>
      <c r="AJ132" s="444">
        <f>N('費用収益表_業務短期'!M50)-N(M132)</f>
        <v>0</v>
      </c>
      <c r="AK132" s="444">
        <f>N('費用収益表_業務短期'!N50)-N(N132)</f>
        <v>0</v>
      </c>
      <c r="AL132" s="444">
        <f>N('費用収益表_業務短期'!O50)-N(O132)</f>
        <v>0</v>
      </c>
      <c r="AM132" s="444">
        <f>N('費用収益表_業務短期'!P50)-N(P132)</f>
        <v>0</v>
      </c>
      <c r="AN132" s="444">
        <f>N('費用収益表_業務短期'!Q50)-N(Q132)</f>
        <v>0</v>
      </c>
      <c r="AO132" s="444">
        <f>N('費用収益表_業務短期'!R50)-N(R132)</f>
        <v>0</v>
      </c>
      <c r="AP132" s="444">
        <f>N('費用収益表_業務短期'!S50)-N(S132)</f>
        <v>0</v>
      </c>
      <c r="AQ132" s="444">
        <f>N('費用収益表_業務短期'!T50)-N(T132)</f>
        <v>0</v>
      </c>
      <c r="AR132" s="444">
        <f>N('費用収益表_業務短期'!U50)-N(U132)</f>
        <v>0</v>
      </c>
    </row>
    <row r="133">
      <c r="Q133" s="443" t="n">
        <v>0</v>
      </c>
      <c r="Z133" s="444">
        <f>N('費用収益表_業務短期'!C51)-N(C133)</f>
        <v>0</v>
      </c>
      <c r="AA133" s="444">
        <f>N('費用収益表_業務短期'!D51)-N(D133)</f>
        <v>0</v>
      </c>
      <c r="AB133" s="444">
        <f>N('費用収益表_業務短期'!E51)-N(E133)</f>
        <v>0</v>
      </c>
      <c r="AC133" s="444">
        <f>N('費用収益表_業務短期'!F51)-N(F133)</f>
        <v>0</v>
      </c>
      <c r="AD133" s="444">
        <f>N('費用収益表_業務短期'!G51)-N(G133)</f>
        <v>0</v>
      </c>
      <c r="AE133" s="444">
        <f>N('費用収益表_業務短期'!H51)-N(H133)</f>
        <v>0</v>
      </c>
      <c r="AF133" s="444">
        <f>N('費用収益表_業務短期'!I51)-N(I133)</f>
        <v>0</v>
      </c>
      <c r="AG133" s="444">
        <f>N('費用収益表_業務短期'!J51)-N(J133)</f>
        <v>0</v>
      </c>
      <c r="AH133" s="444">
        <f>N('費用収益表_業務短期'!K51)-N(K133)</f>
        <v>0</v>
      </c>
      <c r="AI133" s="444">
        <f>N('費用収益表_業務短期'!L51)-N(L133)</f>
        <v>0</v>
      </c>
      <c r="AJ133" s="444">
        <f>N('費用収益表_業務短期'!M51)-N(M133)</f>
        <v>0</v>
      </c>
      <c r="AK133" s="444">
        <f>N('費用収益表_業務短期'!N51)-N(N133)</f>
        <v>0</v>
      </c>
      <c r="AL133" s="444">
        <f>N('費用収益表_業務短期'!O51)-N(O133)</f>
        <v>0</v>
      </c>
      <c r="AM133" s="444">
        <f>N('費用収益表_業務短期'!P51)-N(P133)</f>
        <v>0</v>
      </c>
      <c r="AN133" s="444">
        <f>N('費用収益表_業務短期'!Q51)-N(Q133)</f>
        <v>0</v>
      </c>
      <c r="AO133" s="444">
        <f>N('費用収益表_業務短期'!R51)-N(R133)</f>
        <v>0</v>
      </c>
      <c r="AP133" s="444">
        <f>N('費用収益表_業務短期'!S51)-N(S133)</f>
        <v>0</v>
      </c>
      <c r="AQ133" s="444">
        <f>N('費用収益表_業務短期'!T51)-N(T133)</f>
        <v>0</v>
      </c>
      <c r="AR133" s="444">
        <f>N('費用収益表_業務短期'!U51)-N(U133)</f>
        <v>0</v>
      </c>
    </row>
    <row r="134">
      <c r="C134" s="443" t="n">
        <v>0</v>
      </c>
      <c r="D134" s="443" t="n">
        <v>0</v>
      </c>
      <c r="E134" s="443" t="n">
        <v>0</v>
      </c>
      <c r="F134" s="443" t="n">
        <v>0</v>
      </c>
      <c r="G134" s="443" t="n">
        <v>0</v>
      </c>
      <c r="H134" s="443" t="n">
        <v>0</v>
      </c>
      <c r="I134" s="443" t="n">
        <v>0</v>
      </c>
      <c r="J134" s="443" t="n">
        <v>0</v>
      </c>
      <c r="K134" s="443" t="n">
        <v>0</v>
      </c>
      <c r="L134" s="443" t="n">
        <v>0</v>
      </c>
      <c r="M134" s="443" t="n">
        <v>0</v>
      </c>
      <c r="N134" s="443" t="n">
        <v>0</v>
      </c>
      <c r="O134" s="443" t="n">
        <v>0</v>
      </c>
      <c r="Q134" s="443" t="n">
        <v>0</v>
      </c>
      <c r="Z134" s="444">
        <f>N('費用収益表_業務短期'!C52)-N(C134)</f>
        <v>0</v>
      </c>
      <c r="AA134" s="444">
        <f>N('費用収益表_業務短期'!D52)-N(D134)</f>
        <v>0</v>
      </c>
      <c r="AB134" s="444">
        <f>N('費用収益表_業務短期'!E52)-N(E134)</f>
        <v>0</v>
      </c>
      <c r="AC134" s="444">
        <f>N('費用収益表_業務短期'!F52)-N(F134)</f>
        <v>0</v>
      </c>
      <c r="AD134" s="444">
        <f>N('費用収益表_業務短期'!G52)-N(G134)</f>
        <v>0</v>
      </c>
      <c r="AE134" s="444">
        <f>N('費用収益表_業務短期'!H52)-N(H134)</f>
        <v>0</v>
      </c>
      <c r="AF134" s="444">
        <f>N('費用収益表_業務短期'!I52)-N(I134)</f>
        <v>0</v>
      </c>
      <c r="AG134" s="444">
        <f>N('費用収益表_業務短期'!J52)-N(J134)</f>
        <v>0</v>
      </c>
      <c r="AH134" s="444">
        <f>N('費用収益表_業務短期'!K52)-N(K134)</f>
        <v>0</v>
      </c>
      <c r="AI134" s="444">
        <f>N('費用収益表_業務短期'!L52)-N(L134)</f>
        <v>0</v>
      </c>
      <c r="AJ134" s="444">
        <f>N('費用収益表_業務短期'!M52)-N(M134)</f>
        <v>0</v>
      </c>
      <c r="AK134" s="444">
        <f>N('費用収益表_業務短期'!N52)-N(N134)</f>
        <v>0</v>
      </c>
      <c r="AL134" s="444">
        <f>N('費用収益表_業務短期'!O52)-N(O134)</f>
        <v>0</v>
      </c>
      <c r="AM134" s="444">
        <f>N('費用収益表_業務短期'!P52)-N(P134)</f>
        <v>0</v>
      </c>
      <c r="AN134" s="444">
        <f>N('費用収益表_業務短期'!Q52)-N(Q134)</f>
        <v>0</v>
      </c>
      <c r="AO134" s="444">
        <f>N('費用収益表_業務短期'!R52)-N(R134)</f>
        <v>0</v>
      </c>
      <c r="AP134" s="444">
        <f>N('費用収益表_業務短期'!S52)-N(S134)</f>
        <v>0</v>
      </c>
      <c r="AQ134" s="444">
        <f>N('費用収益表_業務短期'!T52)-N(T134)</f>
        <v>0</v>
      </c>
      <c r="AR134" s="444">
        <f>N('費用収益表_業務短期'!U52)-N(U134)</f>
        <v>0</v>
      </c>
    </row>
    <row r="135">
      <c r="Q135" s="443" t="n">
        <v>0</v>
      </c>
      <c r="Z135" s="444">
        <f>N('費用収益表_業務短期'!C53)-N(C135)</f>
        <v>0</v>
      </c>
      <c r="AA135" s="444">
        <f>N('費用収益表_業務短期'!D53)-N(D135)</f>
        <v>0</v>
      </c>
      <c r="AB135" s="444">
        <f>N('費用収益表_業務短期'!E53)-N(E135)</f>
        <v>0</v>
      </c>
      <c r="AC135" s="444">
        <f>N('費用収益表_業務短期'!F53)-N(F135)</f>
        <v>0</v>
      </c>
      <c r="AD135" s="444">
        <f>N('費用収益表_業務短期'!G53)-N(G135)</f>
        <v>0</v>
      </c>
      <c r="AE135" s="444">
        <f>N('費用収益表_業務短期'!H53)-N(H135)</f>
        <v>0</v>
      </c>
      <c r="AF135" s="444">
        <f>N('費用収益表_業務短期'!I53)-N(I135)</f>
        <v>0</v>
      </c>
      <c r="AG135" s="444">
        <f>N('費用収益表_業務短期'!J53)-N(J135)</f>
        <v>0</v>
      </c>
      <c r="AH135" s="444">
        <f>N('費用収益表_業務短期'!K53)-N(K135)</f>
        <v>0</v>
      </c>
      <c r="AI135" s="444">
        <f>N('費用収益表_業務短期'!L53)-N(L135)</f>
        <v>0</v>
      </c>
      <c r="AJ135" s="444">
        <f>N('費用収益表_業務短期'!M53)-N(M135)</f>
        <v>0</v>
      </c>
      <c r="AK135" s="444">
        <f>N('費用収益表_業務短期'!N53)-N(N135)</f>
        <v>0</v>
      </c>
      <c r="AL135" s="444">
        <f>N('費用収益表_業務短期'!O53)-N(O135)</f>
        <v>0</v>
      </c>
      <c r="AM135" s="444">
        <f>N('費用収益表_業務短期'!P53)-N(P135)</f>
        <v>0</v>
      </c>
      <c r="AN135" s="444">
        <f>N('費用収益表_業務短期'!Q53)-N(Q135)</f>
        <v>0</v>
      </c>
      <c r="AO135" s="444">
        <f>N('費用収益表_業務短期'!R53)-N(R135)</f>
        <v>0</v>
      </c>
      <c r="AP135" s="444">
        <f>N('費用収益表_業務短期'!S53)-N(S135)</f>
        <v>0</v>
      </c>
      <c r="AQ135" s="444">
        <f>N('費用収益表_業務短期'!T53)-N(T135)</f>
        <v>0</v>
      </c>
      <c r="AR135" s="444">
        <f>N('費用収益表_業務短期'!U53)-N(U135)</f>
        <v>0</v>
      </c>
    </row>
    <row r="136">
      <c r="Q136" s="443" t="n">
        <v>0</v>
      </c>
      <c r="Z136" s="444">
        <f>N('費用収益表_業務短期'!C54)-N(C136)</f>
        <v>0</v>
      </c>
      <c r="AA136" s="444">
        <f>N('費用収益表_業務短期'!D54)-N(D136)</f>
        <v>0</v>
      </c>
      <c r="AB136" s="444">
        <f>N('費用収益表_業務短期'!E54)-N(E136)</f>
        <v>0</v>
      </c>
      <c r="AC136" s="444">
        <f>N('費用収益表_業務短期'!F54)-N(F136)</f>
        <v>0</v>
      </c>
      <c r="AD136" s="444">
        <f>N('費用収益表_業務短期'!G54)-N(G136)</f>
        <v>0</v>
      </c>
      <c r="AE136" s="444">
        <f>N('費用収益表_業務短期'!H54)-N(H136)</f>
        <v>0</v>
      </c>
      <c r="AF136" s="444">
        <f>N('費用収益表_業務短期'!I54)-N(I136)</f>
        <v>0</v>
      </c>
      <c r="AG136" s="444">
        <f>N('費用収益表_業務短期'!J54)-N(J136)</f>
        <v>0</v>
      </c>
      <c r="AH136" s="444">
        <f>N('費用収益表_業務短期'!K54)-N(K136)</f>
        <v>0</v>
      </c>
      <c r="AI136" s="444">
        <f>N('費用収益表_業務短期'!L54)-N(L136)</f>
        <v>0</v>
      </c>
      <c r="AJ136" s="444">
        <f>N('費用収益表_業務短期'!M54)-N(M136)</f>
        <v>0</v>
      </c>
      <c r="AK136" s="444">
        <f>N('費用収益表_業務短期'!N54)-N(N136)</f>
        <v>0</v>
      </c>
      <c r="AL136" s="444">
        <f>N('費用収益表_業務短期'!O54)-N(O136)</f>
        <v>0</v>
      </c>
      <c r="AM136" s="444">
        <f>N('費用収益表_業務短期'!P54)-N(P136)</f>
        <v>0</v>
      </c>
      <c r="AN136" s="444">
        <f>N('費用収益表_業務短期'!Q54)-N(Q136)</f>
        <v>0</v>
      </c>
      <c r="AO136" s="444">
        <f>N('費用収益表_業務短期'!R54)-N(R136)</f>
        <v>0</v>
      </c>
      <c r="AP136" s="444">
        <f>N('費用収益表_業務短期'!S54)-N(S136)</f>
        <v>0</v>
      </c>
      <c r="AQ136" s="444">
        <f>N('費用収益表_業務短期'!T54)-N(T136)</f>
        <v>0</v>
      </c>
      <c r="AR136" s="444">
        <f>N('費用収益表_業務短期'!U54)-N(U136)</f>
        <v>0</v>
      </c>
    </row>
    <row r="137">
      <c r="C137" s="443" t="n">
        <v>0</v>
      </c>
      <c r="D137" s="443" t="n">
        <v>0</v>
      </c>
      <c r="E137" s="443" t="n">
        <v>0</v>
      </c>
      <c r="F137" s="443" t="n">
        <v>0</v>
      </c>
      <c r="G137" s="443" t="n">
        <v>0</v>
      </c>
      <c r="H137" s="443" t="n">
        <v>0</v>
      </c>
      <c r="I137" s="443" t="n">
        <v>0</v>
      </c>
      <c r="J137" s="443" t="n">
        <v>0</v>
      </c>
      <c r="K137" s="443" t="n">
        <v>0</v>
      </c>
      <c r="L137" s="443" t="n">
        <v>0</v>
      </c>
      <c r="M137" s="443" t="n">
        <v>0</v>
      </c>
      <c r="N137" s="443" t="n">
        <v>0</v>
      </c>
      <c r="O137" s="443" t="n">
        <v>0</v>
      </c>
      <c r="Q137" s="443" t="n">
        <v>0</v>
      </c>
      <c r="Z137" s="444">
        <f>N('費用収益表_業務短期'!C55)-N(C137)</f>
        <v>0</v>
      </c>
      <c r="AA137" s="444">
        <f>N('費用収益表_業務短期'!D55)-N(D137)</f>
        <v>0</v>
      </c>
      <c r="AB137" s="444">
        <f>N('費用収益表_業務短期'!E55)-N(E137)</f>
        <v>0</v>
      </c>
      <c r="AC137" s="444">
        <f>N('費用収益表_業務短期'!F55)-N(F137)</f>
        <v>0</v>
      </c>
      <c r="AD137" s="444">
        <f>N('費用収益表_業務短期'!G55)-N(G137)</f>
        <v>0</v>
      </c>
      <c r="AE137" s="444">
        <f>N('費用収益表_業務短期'!H55)-N(H137)</f>
        <v>0</v>
      </c>
      <c r="AF137" s="444">
        <f>N('費用収益表_業務短期'!I55)-N(I137)</f>
        <v>0</v>
      </c>
      <c r="AG137" s="444">
        <f>N('費用収益表_業務短期'!J55)-N(J137)</f>
        <v>0</v>
      </c>
      <c r="AH137" s="444">
        <f>N('費用収益表_業務短期'!K55)-N(K137)</f>
        <v>0</v>
      </c>
      <c r="AI137" s="444">
        <f>N('費用収益表_業務短期'!L55)-N(L137)</f>
        <v>0</v>
      </c>
      <c r="AJ137" s="444">
        <f>N('費用収益表_業務短期'!M55)-N(M137)</f>
        <v>0</v>
      </c>
      <c r="AK137" s="444">
        <f>N('費用収益表_業務短期'!N55)-N(N137)</f>
        <v>0</v>
      </c>
      <c r="AL137" s="444">
        <f>N('費用収益表_業務短期'!O55)-N(O137)</f>
        <v>0</v>
      </c>
      <c r="AM137" s="444">
        <f>N('費用収益表_業務短期'!P55)-N(P137)</f>
        <v>0</v>
      </c>
      <c r="AN137" s="444">
        <f>N('費用収益表_業務短期'!Q55)-N(Q137)</f>
        <v>0</v>
      </c>
      <c r="AO137" s="444">
        <f>N('費用収益表_業務短期'!R55)-N(R137)</f>
        <v>0</v>
      </c>
      <c r="AP137" s="444">
        <f>N('費用収益表_業務短期'!S55)-N(S137)</f>
        <v>0</v>
      </c>
      <c r="AQ137" s="444">
        <f>N('費用収益表_業務短期'!T55)-N(T137)</f>
        <v>0</v>
      </c>
      <c r="AR137" s="444">
        <f>N('費用収益表_業務短期'!U55)-N(U137)</f>
        <v>0</v>
      </c>
    </row>
    <row r="138">
      <c r="C138" s="443" t="n">
        <v>317340</v>
      </c>
      <c r="D138" s="443" t="n">
        <v>248436</v>
      </c>
      <c r="E138" s="443" t="n">
        <v>250504</v>
      </c>
      <c r="F138" s="443" t="n">
        <v>256708</v>
      </c>
      <c r="G138" s="443" t="n">
        <v>244300</v>
      </c>
      <c r="H138" s="443" t="n">
        <v>258776</v>
      </c>
      <c r="I138" s="443" t="n">
        <v>383109</v>
      </c>
      <c r="J138" s="443" t="n">
        <v>227838</v>
      </c>
      <c r="K138" s="443" t="n">
        <v>308956</v>
      </c>
      <c r="L138" s="443" t="n">
        <v>228265</v>
      </c>
      <c r="M138" s="443" t="n">
        <v>232335</v>
      </c>
      <c r="N138" s="443" t="n">
        <v>234370</v>
      </c>
      <c r="O138" s="443" t="n">
        <v>42640</v>
      </c>
      <c r="Q138" s="443" t="n">
        <v>3233577</v>
      </c>
      <c r="Z138" s="444">
        <f>N('費用収益表_業務短期'!C56)-N(C138)</f>
        <v>0</v>
      </c>
      <c r="AA138" s="444">
        <f>N('費用収益表_業務短期'!D56)-N(D138)</f>
        <v>0</v>
      </c>
      <c r="AB138" s="444">
        <f>N('費用収益表_業務短期'!E56)-N(E138)</f>
        <v>0</v>
      </c>
      <c r="AC138" s="444">
        <f>N('費用収益表_業務短期'!F56)-N(F138)</f>
        <v>0</v>
      </c>
      <c r="AD138" s="444">
        <f>N('費用収益表_業務短期'!G56)-N(G138)</f>
        <v>0</v>
      </c>
      <c r="AE138" s="444">
        <f>N('費用収益表_業務短期'!H56)-N(H138)</f>
        <v>0</v>
      </c>
      <c r="AF138" s="444">
        <f>N('費用収益表_業務短期'!I56)-N(I138)</f>
        <v>0</v>
      </c>
      <c r="AG138" s="444">
        <f>N('費用収益表_業務短期'!J56)-N(J138)</f>
        <v>0</v>
      </c>
      <c r="AH138" s="444">
        <f>N('費用収益表_業務短期'!K56)-N(K138)</f>
        <v>0</v>
      </c>
      <c r="AI138" s="444">
        <f>N('費用収益表_業務短期'!L56)-N(L138)</f>
        <v>0</v>
      </c>
      <c r="AJ138" s="444">
        <f>N('費用収益表_業務短期'!M56)-N(M138)</f>
        <v>0</v>
      </c>
      <c r="AK138" s="444">
        <f>N('費用収益表_業務短期'!N56)-N(N138)</f>
        <v>0</v>
      </c>
      <c r="AL138" s="444">
        <f>N('費用収益表_業務短期'!O56)-N(O138)</f>
        <v>0</v>
      </c>
      <c r="AM138" s="444">
        <f>N('費用収益表_業務短期'!P56)-N(P138)</f>
        <v>0</v>
      </c>
      <c r="AN138" s="444">
        <f>N('費用収益表_業務短期'!Q56)-N(Q138)</f>
        <v>0</v>
      </c>
      <c r="AO138" s="444">
        <f>N('費用収益表_業務短期'!R56)-N(R138)</f>
        <v>0</v>
      </c>
      <c r="AP138" s="444">
        <f>N('費用収益表_業務短期'!S56)-N(S138)</f>
        <v>0</v>
      </c>
      <c r="AQ138" s="444">
        <f>N('費用収益表_業務短期'!T56)-N(T138)</f>
        <v>0</v>
      </c>
      <c r="AR138" s="444">
        <f>N('費用収益表_業務短期'!U56)-N(U138)</f>
        <v>0</v>
      </c>
    </row>
    <row r="139">
      <c r="E139" s="443" t="n">
        <v>447795</v>
      </c>
      <c r="K139" s="443" t="n">
        <v>433105</v>
      </c>
      <c r="Q139" s="443" t="n">
        <v>880900</v>
      </c>
      <c r="Z139" s="444">
        <f>N('費用収益表_業務短期'!C57)-N(C139)</f>
        <v>0</v>
      </c>
      <c r="AA139" s="444">
        <f>N('費用収益表_業務短期'!D57)-N(D139)</f>
        <v>0</v>
      </c>
      <c r="AB139" s="444">
        <f>N('費用収益表_業務短期'!E57)-N(E139)</f>
        <v>0</v>
      </c>
      <c r="AC139" s="444">
        <f>N('費用収益表_業務短期'!F57)-N(F139)</f>
        <v>0</v>
      </c>
      <c r="AD139" s="444">
        <f>N('費用収益表_業務短期'!G57)-N(G139)</f>
        <v>0</v>
      </c>
      <c r="AE139" s="444">
        <f>N('費用収益表_業務短期'!H57)-N(H139)</f>
        <v>0</v>
      </c>
      <c r="AF139" s="444">
        <f>N('費用収益表_業務短期'!I57)-N(I139)</f>
        <v>0</v>
      </c>
      <c r="AG139" s="444">
        <f>N('費用収益表_業務短期'!J57)-N(J139)</f>
        <v>0</v>
      </c>
      <c r="AH139" s="444">
        <f>N('費用収益表_業務短期'!K57)-N(K139)</f>
        <v>0</v>
      </c>
      <c r="AI139" s="444">
        <f>N('費用収益表_業務短期'!L57)-N(L139)</f>
        <v>0</v>
      </c>
      <c r="AJ139" s="444">
        <f>N('費用収益表_業務短期'!M57)-N(M139)</f>
        <v>0</v>
      </c>
      <c r="AK139" s="444">
        <f>N('費用収益表_業務短期'!N57)-N(N139)</f>
        <v>0</v>
      </c>
      <c r="AL139" s="444">
        <f>N('費用収益表_業務短期'!O57)-N(O139)</f>
        <v>0</v>
      </c>
      <c r="AM139" s="444">
        <f>N('費用収益表_業務短期'!P57)-N(P139)</f>
        <v>0</v>
      </c>
      <c r="AN139" s="444">
        <f>N('費用収益表_業務短期'!Q57)-N(Q139)</f>
        <v>0</v>
      </c>
      <c r="AO139" s="444">
        <f>N('費用収益表_業務短期'!R57)-N(R139)</f>
        <v>0</v>
      </c>
      <c r="AP139" s="444">
        <f>N('費用収益表_業務短期'!S57)-N(S139)</f>
        <v>0</v>
      </c>
      <c r="AQ139" s="444">
        <f>N('費用収益表_業務短期'!T57)-N(T139)</f>
        <v>0</v>
      </c>
      <c r="AR139" s="444">
        <f>N('費用収益表_業務短期'!U57)-N(U139)</f>
        <v>0</v>
      </c>
    </row>
    <row r="140">
      <c r="C140" s="443" t="n">
        <v>317340</v>
      </c>
      <c r="D140" s="443" t="n">
        <v>248436</v>
      </c>
      <c r="E140" s="443" t="n">
        <v>698299</v>
      </c>
      <c r="F140" s="443" t="n">
        <v>256708</v>
      </c>
      <c r="G140" s="443" t="n">
        <v>244300</v>
      </c>
      <c r="H140" s="443" t="n">
        <v>258776</v>
      </c>
      <c r="I140" s="443" t="n">
        <v>383109</v>
      </c>
      <c r="J140" s="443" t="n">
        <v>227838</v>
      </c>
      <c r="K140" s="443" t="n">
        <v>742061</v>
      </c>
      <c r="L140" s="443" t="n">
        <v>228265</v>
      </c>
      <c r="M140" s="443" t="n">
        <v>232335</v>
      </c>
      <c r="N140" s="443" t="n">
        <v>234370</v>
      </c>
      <c r="O140" s="443" t="n">
        <v>42640</v>
      </c>
      <c r="Q140" s="443" t="n">
        <v>4114477</v>
      </c>
      <c r="Z140" s="444">
        <f>N('費用収益表_業務短期'!C58)-N(C140)</f>
        <v>0</v>
      </c>
      <c r="AA140" s="444">
        <f>N('費用収益表_業務短期'!D58)-N(D140)</f>
        <v>0</v>
      </c>
      <c r="AB140" s="444">
        <f>N('費用収益表_業務短期'!E58)-N(E140)</f>
        <v>0</v>
      </c>
      <c r="AC140" s="444">
        <f>N('費用収益表_業務短期'!F58)-N(F140)</f>
        <v>0</v>
      </c>
      <c r="AD140" s="444">
        <f>N('費用収益表_業務短期'!G58)-N(G140)</f>
        <v>0</v>
      </c>
      <c r="AE140" s="444">
        <f>N('費用収益表_業務短期'!H58)-N(H140)</f>
        <v>0</v>
      </c>
      <c r="AF140" s="444">
        <f>N('費用収益表_業務短期'!I58)-N(I140)</f>
        <v>0</v>
      </c>
      <c r="AG140" s="444">
        <f>N('費用収益表_業務短期'!J58)-N(J140)</f>
        <v>0</v>
      </c>
      <c r="AH140" s="444">
        <f>N('費用収益表_業務短期'!K58)-N(K140)</f>
        <v>0</v>
      </c>
      <c r="AI140" s="444">
        <f>N('費用収益表_業務短期'!L58)-N(L140)</f>
        <v>0</v>
      </c>
      <c r="AJ140" s="444">
        <f>N('費用収益表_業務短期'!M58)-N(M140)</f>
        <v>0</v>
      </c>
      <c r="AK140" s="444">
        <f>N('費用収益表_業務短期'!N58)-N(N140)</f>
        <v>0</v>
      </c>
      <c r="AL140" s="444">
        <f>N('費用収益表_業務短期'!O58)-N(O140)</f>
        <v>0</v>
      </c>
      <c r="AM140" s="444">
        <f>N('費用収益表_業務短期'!P58)-N(P140)</f>
        <v>0</v>
      </c>
      <c r="AN140" s="444">
        <f>N('費用収益表_業務短期'!Q58)-N(Q140)</f>
        <v>0</v>
      </c>
      <c r="AO140" s="444">
        <f>N('費用収益表_業務短期'!R58)-N(R140)</f>
        <v>0</v>
      </c>
      <c r="AP140" s="444">
        <f>N('費用収益表_業務短期'!S58)-N(S140)</f>
        <v>0</v>
      </c>
      <c r="AQ140" s="444">
        <f>N('費用収益表_業務短期'!T58)-N(T140)</f>
        <v>0</v>
      </c>
      <c r="AR140" s="444">
        <f>N('費用収益表_業務短期'!U58)-N(U140)</f>
        <v>0</v>
      </c>
    </row>
    <row r="141">
      <c r="C141" s="443" t="n">
        <v>0</v>
      </c>
      <c r="D141" s="443" t="n">
        <v>425880</v>
      </c>
      <c r="E141" s="443" t="n">
        <v>365040</v>
      </c>
      <c r="F141" s="443" t="n">
        <v>446160</v>
      </c>
      <c r="G141" s="443" t="n">
        <v>445720</v>
      </c>
      <c r="H141" s="443" t="n">
        <v>384480</v>
      </c>
      <c r="I141" s="443" t="n">
        <v>389160</v>
      </c>
      <c r="J141" s="443" t="n">
        <v>416580</v>
      </c>
      <c r="K141" s="443" t="n">
        <v>340920</v>
      </c>
      <c r="L141" s="443" t="n">
        <v>377520</v>
      </c>
      <c r="M141" s="443" t="n">
        <v>359120</v>
      </c>
      <c r="N141" s="443" t="n">
        <v>339340</v>
      </c>
      <c r="O141" s="443" t="n">
        <v>339568</v>
      </c>
      <c r="Q141" s="443" t="n">
        <v>4629488</v>
      </c>
      <c r="Z141" s="444">
        <f>N('費用収益表_業務短期'!C59)-N(C141)</f>
        <v>0</v>
      </c>
      <c r="AA141" s="444">
        <f>N('費用収益表_業務短期'!D59)-N(D141)</f>
        <v>0</v>
      </c>
      <c r="AB141" s="444">
        <f>N('費用収益表_業務短期'!E59)-N(E141)</f>
        <v>0</v>
      </c>
      <c r="AC141" s="444">
        <f>N('費用収益表_業務短期'!F59)-N(F141)</f>
        <v>0</v>
      </c>
      <c r="AD141" s="444">
        <f>N('費用収益表_業務短期'!G59)-N(G141)</f>
        <v>0</v>
      </c>
      <c r="AE141" s="444">
        <f>N('費用収益表_業務短期'!H59)-N(H141)</f>
        <v>0</v>
      </c>
      <c r="AF141" s="444">
        <f>N('費用収益表_業務短期'!I59)-N(I141)</f>
        <v>0</v>
      </c>
      <c r="AG141" s="444">
        <f>N('費用収益表_業務短期'!J59)-N(J141)</f>
        <v>0</v>
      </c>
      <c r="AH141" s="444">
        <f>N('費用収益表_業務短期'!K59)-N(K141)</f>
        <v>0</v>
      </c>
      <c r="AI141" s="444">
        <f>N('費用収益表_業務短期'!L59)-N(L141)</f>
        <v>0</v>
      </c>
      <c r="AJ141" s="444">
        <f>N('費用収益表_業務短期'!M59)-N(M141)</f>
        <v>0</v>
      </c>
      <c r="AK141" s="444">
        <f>N('費用収益表_業務短期'!N59)-N(N141)</f>
        <v>0</v>
      </c>
      <c r="AL141" s="444">
        <f>N('費用収益表_業務短期'!O59)-N(O141)</f>
        <v>0</v>
      </c>
      <c r="AM141" s="444">
        <f>N('費用収益表_業務短期'!P59)-N(P141)</f>
        <v>0</v>
      </c>
      <c r="AN141" s="444">
        <f>N('費用収益表_業務短期'!Q59)-N(Q141)</f>
        <v>0</v>
      </c>
      <c r="AO141" s="444">
        <f>N('費用収益表_業務短期'!R59)-N(R141)</f>
        <v>0</v>
      </c>
      <c r="AP141" s="444">
        <f>N('費用収益表_業務短期'!S59)-N(S141)</f>
        <v>0</v>
      </c>
      <c r="AQ141" s="444">
        <f>N('費用収益表_業務短期'!T59)-N(T141)</f>
        <v>0</v>
      </c>
      <c r="AR141" s="444">
        <f>N('費用収益表_業務短期'!U59)-N(U141)</f>
        <v>0</v>
      </c>
    </row>
    <row r="142">
      <c r="C142" s="443" t="n">
        <v>0</v>
      </c>
      <c r="D142" s="443" t="n">
        <v>425880</v>
      </c>
      <c r="E142" s="443" t="n">
        <v>365040</v>
      </c>
      <c r="F142" s="443" t="n">
        <v>446160</v>
      </c>
      <c r="G142" s="443" t="n">
        <v>445720</v>
      </c>
      <c r="H142" s="443" t="n">
        <v>384480</v>
      </c>
      <c r="I142" s="443" t="n">
        <v>389160</v>
      </c>
      <c r="J142" s="443" t="n">
        <v>416580</v>
      </c>
      <c r="K142" s="443" t="n">
        <v>340920</v>
      </c>
      <c r="L142" s="443" t="n">
        <v>377520</v>
      </c>
      <c r="M142" s="443" t="n">
        <v>359120</v>
      </c>
      <c r="N142" s="443" t="n">
        <v>339340</v>
      </c>
      <c r="O142" s="443" t="n">
        <v>339568</v>
      </c>
      <c r="Q142" s="443" t="n">
        <v>4629488</v>
      </c>
      <c r="Z142" s="444">
        <f>N('費用収益表_業務短期'!C60)-N(C142)</f>
        <v>0</v>
      </c>
      <c r="AA142" s="444">
        <f>N('費用収益表_業務短期'!D60)-N(D142)</f>
        <v>0</v>
      </c>
      <c r="AB142" s="444">
        <f>N('費用収益表_業務短期'!E60)-N(E142)</f>
        <v>0</v>
      </c>
      <c r="AC142" s="444">
        <f>N('費用収益表_業務短期'!F60)-N(F142)</f>
        <v>0</v>
      </c>
      <c r="AD142" s="444">
        <f>N('費用収益表_業務短期'!G60)-N(G142)</f>
        <v>0</v>
      </c>
      <c r="AE142" s="444">
        <f>N('費用収益表_業務短期'!H60)-N(H142)</f>
        <v>0</v>
      </c>
      <c r="AF142" s="444">
        <f>N('費用収益表_業務短期'!I60)-N(I142)</f>
        <v>0</v>
      </c>
      <c r="AG142" s="444">
        <f>N('費用収益表_業務短期'!J60)-N(J142)</f>
        <v>0</v>
      </c>
      <c r="AH142" s="444">
        <f>N('費用収益表_業務短期'!K60)-N(K142)</f>
        <v>0</v>
      </c>
      <c r="AI142" s="444">
        <f>N('費用収益表_業務短期'!L60)-N(L142)</f>
        <v>0</v>
      </c>
      <c r="AJ142" s="444">
        <f>N('費用収益表_業務短期'!M60)-N(M142)</f>
        <v>0</v>
      </c>
      <c r="AK142" s="444">
        <f>N('費用収益表_業務短期'!N60)-N(N142)</f>
        <v>0</v>
      </c>
      <c r="AL142" s="444">
        <f>N('費用収益表_業務短期'!O60)-N(O142)</f>
        <v>0</v>
      </c>
      <c r="AM142" s="444">
        <f>N('費用収益表_業務短期'!P60)-N(P142)</f>
        <v>0</v>
      </c>
      <c r="AN142" s="444">
        <f>N('費用収益表_業務短期'!Q60)-N(Q142)</f>
        <v>0</v>
      </c>
      <c r="AO142" s="444">
        <f>N('費用収益表_業務短期'!R60)-N(R142)</f>
        <v>0</v>
      </c>
      <c r="AP142" s="444">
        <f>N('費用収益表_業務短期'!S60)-N(S142)</f>
        <v>0</v>
      </c>
      <c r="AQ142" s="444">
        <f>N('費用収益表_業務短期'!T60)-N(T142)</f>
        <v>0</v>
      </c>
      <c r="AR142" s="444">
        <f>N('費用収益表_業務短期'!U60)-N(U142)</f>
        <v>0</v>
      </c>
    </row>
    <row r="143">
      <c r="Z143" s="444">
        <f>N('費用収益表_業務短期'!C61)-N(C143)</f>
        <v>0</v>
      </c>
      <c r="AA143" s="444">
        <f>N('費用収益表_業務短期'!D61)-N(D143)</f>
        <v>0</v>
      </c>
      <c r="AB143" s="444">
        <f>N('費用収益表_業務短期'!E61)-N(E143)</f>
        <v>0</v>
      </c>
      <c r="AC143" s="444">
        <f>N('費用収益表_業務短期'!F61)-N(F143)</f>
        <v>0</v>
      </c>
      <c r="AD143" s="444">
        <f>N('費用収益表_業務短期'!G61)-N(G143)</f>
        <v>0</v>
      </c>
      <c r="AE143" s="444">
        <f>N('費用収益表_業務短期'!H61)-N(H143)</f>
        <v>0</v>
      </c>
      <c r="AF143" s="444">
        <f>N('費用収益表_業務短期'!I61)-N(I143)</f>
        <v>0</v>
      </c>
      <c r="AG143" s="444">
        <f>N('費用収益表_業務短期'!J61)-N(J143)</f>
        <v>0</v>
      </c>
      <c r="AH143" s="444">
        <f>N('費用収益表_業務短期'!K61)-N(K143)</f>
        <v>0</v>
      </c>
      <c r="AI143" s="444">
        <f>N('費用収益表_業務短期'!L61)-N(L143)</f>
        <v>0</v>
      </c>
      <c r="AJ143" s="444">
        <f>N('費用収益表_業務短期'!M61)-N(M143)</f>
        <v>0</v>
      </c>
      <c r="AK143" s="444">
        <f>N('費用収益表_業務短期'!N61)-N(N143)</f>
        <v>0</v>
      </c>
      <c r="AL143" s="444">
        <f>N('費用収益表_業務短期'!O61)-N(O143)</f>
        <v>0</v>
      </c>
      <c r="AM143" s="444">
        <f>N('費用収益表_業務短期'!P61)-N(P143)</f>
        <v>0</v>
      </c>
      <c r="AN143" s="444">
        <f>N('費用収益表_業務短期'!Q61)-N(Q143)</f>
        <v>0</v>
      </c>
      <c r="AO143" s="444">
        <f>N('費用収益表_業務短期'!R61)-N(R143)</f>
        <v>0</v>
      </c>
      <c r="AP143" s="444">
        <f>N('費用収益表_業務短期'!S61)-N(S143)</f>
        <v>0</v>
      </c>
      <c r="AQ143" s="444">
        <f>N('費用収益表_業務短期'!T61)-N(T143)</f>
        <v>0</v>
      </c>
      <c r="AR143" s="444">
        <f>N('費用収益表_業務短期'!U61)-N(U143)</f>
        <v>0</v>
      </c>
    </row>
    <row r="144">
      <c r="C144" s="443" t="n">
        <v>317340</v>
      </c>
      <c r="D144" s="443" t="n">
        <v>674316</v>
      </c>
      <c r="E144" s="443" t="n">
        <v>1063339</v>
      </c>
      <c r="F144" s="443" t="n">
        <v>702868</v>
      </c>
      <c r="G144" s="443" t="n">
        <v>690020</v>
      </c>
      <c r="H144" s="443" t="n">
        <v>643256</v>
      </c>
      <c r="I144" s="443" t="n">
        <v>772269</v>
      </c>
      <c r="J144" s="443" t="n">
        <v>644418</v>
      </c>
      <c r="K144" s="443" t="n">
        <v>1082981</v>
      </c>
      <c r="L144" s="443" t="n">
        <v>605785</v>
      </c>
      <c r="M144" s="443" t="n">
        <v>591455</v>
      </c>
      <c r="N144" s="443" t="n">
        <v>573710</v>
      </c>
      <c r="O144" s="443" t="n">
        <v>382208</v>
      </c>
      <c r="Q144" s="443" t="n">
        <v>8743965</v>
      </c>
      <c r="Z144" s="444">
        <f>N('費用収益表_業務短期'!C62)-N(C144)</f>
        <v>0</v>
      </c>
      <c r="AA144" s="444">
        <f>N('費用収益表_業務短期'!D62)-N(D144)</f>
        <v>0</v>
      </c>
      <c r="AB144" s="444">
        <f>N('費用収益表_業務短期'!E62)-N(E144)</f>
        <v>0</v>
      </c>
      <c r="AC144" s="444">
        <f>N('費用収益表_業務短期'!F62)-N(F144)</f>
        <v>0</v>
      </c>
      <c r="AD144" s="444">
        <f>N('費用収益表_業務短期'!G62)-N(G144)</f>
        <v>0</v>
      </c>
      <c r="AE144" s="444">
        <f>N('費用収益表_業務短期'!H62)-N(H144)</f>
        <v>0</v>
      </c>
      <c r="AF144" s="444">
        <f>N('費用収益表_業務短期'!I62)-N(I144)</f>
        <v>0</v>
      </c>
      <c r="AG144" s="444">
        <f>N('費用収益表_業務短期'!J62)-N(J144)</f>
        <v>0</v>
      </c>
      <c r="AH144" s="444">
        <f>N('費用収益表_業務短期'!K62)-N(K144)</f>
        <v>0</v>
      </c>
      <c r="AI144" s="444">
        <f>N('費用収益表_業務短期'!L62)-N(L144)</f>
        <v>0</v>
      </c>
      <c r="AJ144" s="444">
        <f>N('費用収益表_業務短期'!M62)-N(M144)</f>
        <v>0</v>
      </c>
      <c r="AK144" s="444">
        <f>N('費用収益表_業務短期'!N62)-N(N144)</f>
        <v>0</v>
      </c>
      <c r="AL144" s="444">
        <f>N('費用収益表_業務短期'!O62)-N(O144)</f>
        <v>0</v>
      </c>
      <c r="AM144" s="444">
        <f>N('費用収益表_業務短期'!P62)-N(P144)</f>
        <v>0</v>
      </c>
      <c r="AN144" s="444">
        <f>N('費用収益表_業務短期'!Q62)-N(Q144)</f>
        <v>0</v>
      </c>
      <c r="AO144" s="444">
        <f>N('費用収益表_業務短期'!R62)-N(R144)</f>
        <v>0</v>
      </c>
      <c r="AP144" s="444">
        <f>N('費用収益表_業務短期'!S62)-N(S144)</f>
        <v>0</v>
      </c>
      <c r="AQ144" s="444">
        <f>N('費用収益表_業務短期'!T62)-N(T144)</f>
        <v>0</v>
      </c>
      <c r="AR144" s="444">
        <f>N('費用収益表_業務短期'!U62)-N(U144)</f>
        <v>0</v>
      </c>
    </row>
    <row r="151">
      <c r="A151" s="442" t="inlineStr">
        <is>
          <t>【費用収益表_業務長期】 旧表の値（A:W）／ 差（Z:AV）</t>
        </is>
      </c>
    </row>
    <row r="156">
      <c r="C156" s="443" t="n">
        <v>0</v>
      </c>
      <c r="D156" s="443" t="n">
        <v>0</v>
      </c>
      <c r="E156" s="443" t="n">
        <v>11478</v>
      </c>
      <c r="F156" s="443" t="n">
        <v>0</v>
      </c>
      <c r="G156" s="443" t="n">
        <v>0</v>
      </c>
      <c r="H156" s="443" t="n">
        <v>0</v>
      </c>
      <c r="I156" s="443" t="n">
        <v>0</v>
      </c>
      <c r="J156" s="443" t="n">
        <v>0</v>
      </c>
      <c r="K156" s="443" t="n">
        <v>0</v>
      </c>
      <c r="L156" s="443" t="n">
        <v>0</v>
      </c>
      <c r="M156" s="443" t="n">
        <v>0</v>
      </c>
      <c r="N156" s="443" t="n">
        <v>5739</v>
      </c>
      <c r="O156" s="443" t="n">
        <v>0</v>
      </c>
      <c r="P156" s="443" t="n">
        <v>17217</v>
      </c>
      <c r="Q156" s="443" t="n">
        <v>17000</v>
      </c>
      <c r="S156" s="443" t="n">
        <v>17000</v>
      </c>
      <c r="T156" s="443" t="n">
        <v>-217</v>
      </c>
      <c r="Z156" s="444">
        <f>N('費用収益表_業務長期'!C4)-N(C156)</f>
        <v>0</v>
      </c>
      <c r="AA156" s="444">
        <f>N('費用収益表_業務長期'!D4)-N(D156)</f>
        <v>0</v>
      </c>
      <c r="AB156" s="444">
        <f>N('費用収益表_業務長期'!E4)-N(E156)</f>
        <v>0</v>
      </c>
      <c r="AC156" s="444">
        <f>N('費用収益表_業務長期'!F4)-N(F156)</f>
        <v>0</v>
      </c>
      <c r="AD156" s="444">
        <f>N('費用収益表_業務長期'!G4)-N(G156)</f>
        <v>0</v>
      </c>
      <c r="AE156" s="444">
        <f>N('費用収益表_業務長期'!H4)-N(H156)</f>
        <v>0</v>
      </c>
      <c r="AF156" s="444">
        <f>N('費用収益表_業務長期'!I4)-N(I156)</f>
        <v>0</v>
      </c>
      <c r="AG156" s="444">
        <f>N('費用収益表_業務長期'!J4)-N(J156)</f>
        <v>0</v>
      </c>
      <c r="AH156" s="444">
        <f>N('費用収益表_業務長期'!K4)-N(K156)</f>
        <v>0</v>
      </c>
      <c r="AI156" s="444">
        <f>N('費用収益表_業務長期'!L4)-N(L156)</f>
        <v>0</v>
      </c>
      <c r="AJ156" s="444">
        <f>N('費用収益表_業務長期'!M4)-N(M156)</f>
        <v>0</v>
      </c>
      <c r="AK156" s="444">
        <f>N('費用収益表_業務長期'!N4)-N(N156)</f>
        <v>0</v>
      </c>
      <c r="AL156" s="444">
        <f>N('費用収益表_業務長期'!O4)-N(O156)</f>
        <v>0</v>
      </c>
      <c r="AM156" s="444">
        <f>N('費用収益表_業務長期'!P4)-N(P156)</f>
        <v>0</v>
      </c>
      <c r="AN156" s="444">
        <f>N('費用収益表_業務長期'!Q4)-N(Q156)</f>
        <v>0</v>
      </c>
      <c r="AO156" s="444">
        <f>N('費用収益表_業務長期'!R4)-N(R156)</f>
        <v>0</v>
      </c>
      <c r="AP156" s="444">
        <f>N('費用収益表_業務長期'!S4)-N(S156)</f>
        <v>0</v>
      </c>
      <c r="AQ156" s="444">
        <f>N('費用収益表_業務長期'!T4)-N(T156)</f>
        <v>0</v>
      </c>
      <c r="AR156" s="444">
        <f>N('費用収益表_業務長期'!U4)-N(U156)</f>
        <v>0</v>
      </c>
    </row>
    <row r="157">
      <c r="C157" s="443" t="n">
        <v>0</v>
      </c>
      <c r="D157" s="443" t="n">
        <v>0</v>
      </c>
      <c r="E157" s="443" t="n">
        <v>0</v>
      </c>
      <c r="F157" s="443" t="n">
        <v>0</v>
      </c>
      <c r="G157" s="443" t="n">
        <v>0</v>
      </c>
      <c r="H157" s="443" t="n">
        <v>0</v>
      </c>
      <c r="I157" s="443" t="n">
        <v>0</v>
      </c>
      <c r="J157" s="443" t="n">
        <v>0</v>
      </c>
      <c r="K157" s="443" t="n">
        <v>0</v>
      </c>
      <c r="L157" s="443" t="n">
        <v>0</v>
      </c>
      <c r="M157" s="443" t="n">
        <v>0</v>
      </c>
      <c r="N157" s="443" t="n">
        <v>0</v>
      </c>
      <c r="O157" s="443" t="n">
        <v>0</v>
      </c>
      <c r="P157" s="443" t="n">
        <v>0</v>
      </c>
      <c r="Q157" s="443" t="n">
        <v>0</v>
      </c>
      <c r="S157" s="443" t="n">
        <v>0</v>
      </c>
      <c r="T157" s="443" t="n">
        <v>0</v>
      </c>
      <c r="Z157" s="444">
        <f>N('費用収益表_業務長期'!C5)-N(C157)</f>
        <v>0</v>
      </c>
      <c r="AA157" s="444">
        <f>N('費用収益表_業務長期'!D5)-N(D157)</f>
        <v>0</v>
      </c>
      <c r="AB157" s="444">
        <f>N('費用収益表_業務長期'!E5)-N(E157)</f>
        <v>0</v>
      </c>
      <c r="AC157" s="444">
        <f>N('費用収益表_業務長期'!F5)-N(F157)</f>
        <v>0</v>
      </c>
      <c r="AD157" s="444">
        <f>N('費用収益表_業務長期'!G5)-N(G157)</f>
        <v>0</v>
      </c>
      <c r="AE157" s="444">
        <f>N('費用収益表_業務長期'!H5)-N(H157)</f>
        <v>0</v>
      </c>
      <c r="AF157" s="444">
        <f>N('費用収益表_業務長期'!I5)-N(I157)</f>
        <v>0</v>
      </c>
      <c r="AG157" s="444">
        <f>N('費用収益表_業務長期'!J5)-N(J157)</f>
        <v>0</v>
      </c>
      <c r="AH157" s="444">
        <f>N('費用収益表_業務長期'!K5)-N(K157)</f>
        <v>0</v>
      </c>
      <c r="AI157" s="444">
        <f>N('費用収益表_業務長期'!L5)-N(L157)</f>
        <v>0</v>
      </c>
      <c r="AJ157" s="444">
        <f>N('費用収益表_業務長期'!M5)-N(M157)</f>
        <v>0</v>
      </c>
      <c r="AK157" s="444">
        <f>N('費用収益表_業務長期'!N5)-N(N157)</f>
        <v>0</v>
      </c>
      <c r="AL157" s="444">
        <f>N('費用収益表_業務長期'!O5)-N(O157)</f>
        <v>0</v>
      </c>
      <c r="AM157" s="444">
        <f>N('費用収益表_業務長期'!P5)-N(P157)</f>
        <v>0</v>
      </c>
      <c r="AN157" s="444">
        <f>N('費用収益表_業務長期'!Q5)-N(Q157)</f>
        <v>0</v>
      </c>
      <c r="AO157" s="444">
        <f>N('費用収益表_業務長期'!R5)-N(R157)</f>
        <v>0</v>
      </c>
      <c r="AP157" s="444">
        <f>N('費用収益表_業務長期'!S5)-N(S157)</f>
        <v>0</v>
      </c>
      <c r="AQ157" s="444">
        <f>N('費用収益表_業務長期'!T5)-N(T157)</f>
        <v>0</v>
      </c>
      <c r="AR157" s="444">
        <f>N('費用収益表_業務長期'!U5)-N(U157)</f>
        <v>0</v>
      </c>
    </row>
    <row r="158">
      <c r="C158" s="443" t="n">
        <v>0</v>
      </c>
      <c r="D158" s="443" t="n">
        <v>0</v>
      </c>
      <c r="E158" s="443" t="n">
        <v>0</v>
      </c>
      <c r="F158" s="443" t="n">
        <v>0</v>
      </c>
      <c r="G158" s="443" t="n">
        <v>0</v>
      </c>
      <c r="H158" s="443" t="n">
        <v>0</v>
      </c>
      <c r="I158" s="443" t="n">
        <v>0</v>
      </c>
      <c r="J158" s="443" t="n">
        <v>0</v>
      </c>
      <c r="K158" s="443" t="n">
        <v>0</v>
      </c>
      <c r="L158" s="443" t="n">
        <v>0</v>
      </c>
      <c r="M158" s="443" t="n">
        <v>0</v>
      </c>
      <c r="N158" s="443" t="n">
        <v>0</v>
      </c>
      <c r="O158" s="443" t="n">
        <v>0</v>
      </c>
      <c r="P158" s="443" t="n">
        <v>0</v>
      </c>
      <c r="Q158" s="443" t="n">
        <v>0</v>
      </c>
      <c r="S158" s="443" t="n">
        <v>0</v>
      </c>
      <c r="T158" s="443" t="n">
        <v>0</v>
      </c>
      <c r="Z158" s="444">
        <f>N('費用収益表_業務長期'!C6)-N(C158)</f>
        <v>0</v>
      </c>
      <c r="AA158" s="444">
        <f>N('費用収益表_業務長期'!D6)-N(D158)</f>
        <v>0</v>
      </c>
      <c r="AB158" s="444">
        <f>N('費用収益表_業務長期'!E6)-N(E158)</f>
        <v>0</v>
      </c>
      <c r="AC158" s="444">
        <f>N('費用収益表_業務長期'!F6)-N(F158)</f>
        <v>0</v>
      </c>
      <c r="AD158" s="444">
        <f>N('費用収益表_業務長期'!G6)-N(G158)</f>
        <v>0</v>
      </c>
      <c r="AE158" s="444">
        <f>N('費用収益表_業務長期'!H6)-N(H158)</f>
        <v>0</v>
      </c>
      <c r="AF158" s="444">
        <f>N('費用収益表_業務長期'!I6)-N(I158)</f>
        <v>0</v>
      </c>
      <c r="AG158" s="444">
        <f>N('費用収益表_業務長期'!J6)-N(J158)</f>
        <v>0</v>
      </c>
      <c r="AH158" s="444">
        <f>N('費用収益表_業務長期'!K6)-N(K158)</f>
        <v>0</v>
      </c>
      <c r="AI158" s="444">
        <f>N('費用収益表_業務長期'!L6)-N(L158)</f>
        <v>0</v>
      </c>
      <c r="AJ158" s="444">
        <f>N('費用収益表_業務長期'!M6)-N(M158)</f>
        <v>0</v>
      </c>
      <c r="AK158" s="444">
        <f>N('費用収益表_業務長期'!N6)-N(N158)</f>
        <v>0</v>
      </c>
      <c r="AL158" s="444">
        <f>N('費用収益表_業務長期'!O6)-N(O158)</f>
        <v>0</v>
      </c>
      <c r="AM158" s="444">
        <f>N('費用収益表_業務長期'!P6)-N(P158)</f>
        <v>0</v>
      </c>
      <c r="AN158" s="444">
        <f>N('費用収益表_業務長期'!Q6)-N(Q158)</f>
        <v>0</v>
      </c>
      <c r="AO158" s="444">
        <f>N('費用収益表_業務長期'!R6)-N(R158)</f>
        <v>0</v>
      </c>
      <c r="AP158" s="444">
        <f>N('費用収益表_業務長期'!S6)-N(S158)</f>
        <v>0</v>
      </c>
      <c r="AQ158" s="444">
        <f>N('費用収益表_業務長期'!T6)-N(T158)</f>
        <v>0</v>
      </c>
      <c r="AR158" s="444">
        <f>N('費用収益表_業務長期'!U6)-N(U158)</f>
        <v>0</v>
      </c>
    </row>
    <row r="159">
      <c r="C159" s="443" t="n">
        <v>380800</v>
      </c>
      <c r="D159" s="443" t="n">
        <v>380800</v>
      </c>
      <c r="E159" s="443" t="n">
        <v>1248490</v>
      </c>
      <c r="F159" s="443" t="n">
        <v>380800</v>
      </c>
      <c r="G159" s="443" t="n">
        <v>380800</v>
      </c>
      <c r="H159" s="443" t="n">
        <v>380800</v>
      </c>
      <c r="I159" s="443" t="n">
        <v>381773</v>
      </c>
      <c r="J159" s="443" t="n">
        <v>381773</v>
      </c>
      <c r="K159" s="443" t="n">
        <v>1170332</v>
      </c>
      <c r="L159" s="443" t="n">
        <v>395611</v>
      </c>
      <c r="M159" s="443" t="n">
        <v>395611</v>
      </c>
      <c r="N159" s="443" t="n">
        <v>464977</v>
      </c>
      <c r="O159" s="443" t="n">
        <v>0</v>
      </c>
      <c r="P159" s="443" t="n">
        <v>6342567</v>
      </c>
      <c r="Q159" s="443" t="n">
        <v>7453000</v>
      </c>
      <c r="S159" s="443" t="n">
        <v>7453000</v>
      </c>
      <c r="T159" s="443" t="n">
        <v>1110433</v>
      </c>
      <c r="Z159" s="444">
        <f>N('費用収益表_業務長期'!C7)-N(C159)</f>
        <v>0</v>
      </c>
      <c r="AA159" s="444">
        <f>N('費用収益表_業務長期'!D7)-N(D159)</f>
        <v>0</v>
      </c>
      <c r="AB159" s="444">
        <f>N('費用収益表_業務長期'!E7)-N(E159)</f>
        <v>0</v>
      </c>
      <c r="AC159" s="444">
        <f>N('費用収益表_業務長期'!F7)-N(F159)</f>
        <v>0</v>
      </c>
      <c r="AD159" s="444">
        <f>N('費用収益表_業務長期'!G7)-N(G159)</f>
        <v>0</v>
      </c>
      <c r="AE159" s="444">
        <f>N('費用収益表_業務長期'!H7)-N(H159)</f>
        <v>0</v>
      </c>
      <c r="AF159" s="444">
        <f>N('費用収益表_業務長期'!I7)-N(I159)</f>
        <v>0</v>
      </c>
      <c r="AG159" s="444">
        <f>N('費用収益表_業務長期'!J7)-N(J159)</f>
        <v>0</v>
      </c>
      <c r="AH159" s="444">
        <f>N('費用収益表_業務長期'!K7)-N(K159)</f>
        <v>0</v>
      </c>
      <c r="AI159" s="444">
        <f>N('費用収益表_業務長期'!L7)-N(L159)</f>
        <v>0</v>
      </c>
      <c r="AJ159" s="444">
        <f>N('費用収益表_業務長期'!M7)-N(M159)</f>
        <v>0</v>
      </c>
      <c r="AK159" s="444">
        <f>N('費用収益表_業務長期'!N7)-N(N159)</f>
        <v>0</v>
      </c>
      <c r="AL159" s="444">
        <f>N('費用収益表_業務長期'!O7)-N(O159)</f>
        <v>0</v>
      </c>
      <c r="AM159" s="444">
        <f>N('費用収益表_業務長期'!P7)-N(P159)</f>
        <v>0</v>
      </c>
      <c r="AN159" s="444">
        <f>N('費用収益表_業務長期'!Q7)-N(Q159)</f>
        <v>0</v>
      </c>
      <c r="AO159" s="444">
        <f>N('費用収益表_業務長期'!R7)-N(R159)</f>
        <v>0</v>
      </c>
      <c r="AP159" s="444">
        <f>N('費用収益表_業務長期'!S7)-N(S159)</f>
        <v>0</v>
      </c>
      <c r="AQ159" s="444">
        <f>N('費用収益表_業務長期'!T7)-N(T159)</f>
        <v>0</v>
      </c>
      <c r="AR159" s="444">
        <f>N('費用収益表_業務長期'!U7)-N(U159)</f>
        <v>0</v>
      </c>
    </row>
    <row r="160">
      <c r="P160" s="443" t="n">
        <v>0</v>
      </c>
      <c r="Q160" s="443" t="n">
        <v>0</v>
      </c>
      <c r="S160" s="443" t="n">
        <v>0</v>
      </c>
      <c r="T160" s="443" t="n">
        <v>0</v>
      </c>
      <c r="Z160" s="444">
        <f>N('費用収益表_業務長期'!C8)-N(C160)</f>
        <v>0</v>
      </c>
      <c r="AA160" s="444">
        <f>N('費用収益表_業務長期'!D8)-N(D160)</f>
        <v>0</v>
      </c>
      <c r="AB160" s="444">
        <f>N('費用収益表_業務長期'!E8)-N(E160)</f>
        <v>0</v>
      </c>
      <c r="AC160" s="444">
        <f>N('費用収益表_業務長期'!F8)-N(F160)</f>
        <v>0</v>
      </c>
      <c r="AD160" s="444">
        <f>N('費用収益表_業務長期'!G8)-N(G160)</f>
        <v>0</v>
      </c>
      <c r="AE160" s="444">
        <f>N('費用収益表_業務長期'!H8)-N(H160)</f>
        <v>0</v>
      </c>
      <c r="AF160" s="444">
        <f>N('費用収益表_業務長期'!I8)-N(I160)</f>
        <v>0</v>
      </c>
      <c r="AG160" s="444">
        <f>N('費用収益表_業務長期'!J8)-N(J160)</f>
        <v>0</v>
      </c>
      <c r="AH160" s="444">
        <f>N('費用収益表_業務長期'!K8)-N(K160)</f>
        <v>0</v>
      </c>
      <c r="AI160" s="444">
        <f>N('費用収益表_業務長期'!L8)-N(L160)</f>
        <v>0</v>
      </c>
      <c r="AJ160" s="444">
        <f>N('費用収益表_業務長期'!M8)-N(M160)</f>
        <v>0</v>
      </c>
      <c r="AK160" s="444">
        <f>N('費用収益表_業務長期'!N8)-N(N160)</f>
        <v>0</v>
      </c>
      <c r="AL160" s="444">
        <f>N('費用収益表_業務長期'!O8)-N(O160)</f>
        <v>0</v>
      </c>
      <c r="AM160" s="444">
        <f>N('費用収益表_業務長期'!P8)-N(P160)</f>
        <v>0</v>
      </c>
      <c r="AN160" s="444">
        <f>N('費用収益表_業務長期'!Q8)-N(Q160)</f>
        <v>0</v>
      </c>
      <c r="AO160" s="444">
        <f>N('費用収益表_業務長期'!R8)-N(R160)</f>
        <v>0</v>
      </c>
      <c r="AP160" s="444">
        <f>N('費用収益表_業務長期'!S8)-N(S160)</f>
        <v>0</v>
      </c>
      <c r="AQ160" s="444">
        <f>N('費用収益表_業務長期'!T8)-N(T160)</f>
        <v>0</v>
      </c>
      <c r="AR160" s="444">
        <f>N('費用収益表_業務長期'!U8)-N(U160)</f>
        <v>0</v>
      </c>
    </row>
    <row r="161">
      <c r="C161" s="443" t="n">
        <v>380800</v>
      </c>
      <c r="D161" s="443" t="n">
        <v>380800</v>
      </c>
      <c r="E161" s="443" t="n">
        <v>1248490</v>
      </c>
      <c r="F161" s="443" t="n">
        <v>380800</v>
      </c>
      <c r="G161" s="443" t="n">
        <v>380800</v>
      </c>
      <c r="H161" s="443" t="n">
        <v>380800</v>
      </c>
      <c r="I161" s="443" t="n">
        <v>381773</v>
      </c>
      <c r="J161" s="443" t="n">
        <v>381773</v>
      </c>
      <c r="K161" s="443" t="n">
        <v>1170332</v>
      </c>
      <c r="L161" s="443" t="n">
        <v>395611</v>
      </c>
      <c r="M161" s="443" t="n">
        <v>395611</v>
      </c>
      <c r="N161" s="443" t="n">
        <v>464977</v>
      </c>
      <c r="O161" s="443" t="n">
        <v>0</v>
      </c>
      <c r="P161" s="443" t="n">
        <v>6342567</v>
      </c>
      <c r="Q161" s="443" t="n">
        <v>7453000</v>
      </c>
      <c r="S161" s="443" t="n">
        <v>7453000</v>
      </c>
      <c r="T161" s="443" t="n">
        <v>1110433</v>
      </c>
      <c r="Z161" s="444">
        <f>N('費用収益表_業務長期'!C9)-N(C161)</f>
        <v>0</v>
      </c>
      <c r="AA161" s="444">
        <f>N('費用収益表_業務長期'!D9)-N(D161)</f>
        <v>0</v>
      </c>
      <c r="AB161" s="444">
        <f>N('費用収益表_業務長期'!E9)-N(E161)</f>
        <v>0</v>
      </c>
      <c r="AC161" s="444">
        <f>N('費用収益表_業務長期'!F9)-N(F161)</f>
        <v>0</v>
      </c>
      <c r="AD161" s="444">
        <f>N('費用収益表_業務長期'!G9)-N(G161)</f>
        <v>0</v>
      </c>
      <c r="AE161" s="444">
        <f>N('費用収益表_業務長期'!H9)-N(H161)</f>
        <v>0</v>
      </c>
      <c r="AF161" s="444">
        <f>N('費用収益表_業務長期'!I9)-N(I161)</f>
        <v>0</v>
      </c>
      <c r="AG161" s="444">
        <f>N('費用収益表_業務長期'!J9)-N(J161)</f>
        <v>0</v>
      </c>
      <c r="AH161" s="444">
        <f>N('費用収益表_業務長期'!K9)-N(K161)</f>
        <v>0</v>
      </c>
      <c r="AI161" s="444">
        <f>N('費用収益表_業務長期'!L9)-N(L161)</f>
        <v>0</v>
      </c>
      <c r="AJ161" s="444">
        <f>N('費用収益表_業務長期'!M9)-N(M161)</f>
        <v>0</v>
      </c>
      <c r="AK161" s="444">
        <f>N('費用収益表_業務長期'!N9)-N(N161)</f>
        <v>0</v>
      </c>
      <c r="AL161" s="444">
        <f>N('費用収益表_業務長期'!O9)-N(O161)</f>
        <v>0</v>
      </c>
      <c r="AM161" s="444">
        <f>N('費用収益表_業務長期'!P9)-N(P161)</f>
        <v>0</v>
      </c>
      <c r="AN161" s="444">
        <f>N('費用収益表_業務長期'!Q9)-N(Q161)</f>
        <v>0</v>
      </c>
      <c r="AO161" s="444">
        <f>N('費用収益表_業務長期'!R9)-N(R161)</f>
        <v>0</v>
      </c>
      <c r="AP161" s="444">
        <f>N('費用収益表_業務長期'!S9)-N(S161)</f>
        <v>0</v>
      </c>
      <c r="AQ161" s="444">
        <f>N('費用収益表_業務長期'!T9)-N(T161)</f>
        <v>0</v>
      </c>
      <c r="AR161" s="444">
        <f>N('費用収益表_業務長期'!U9)-N(U161)</f>
        <v>0</v>
      </c>
    </row>
    <row r="162">
      <c r="C162" s="443" t="n">
        <v>0</v>
      </c>
      <c r="D162" s="443" t="n">
        <v>0</v>
      </c>
      <c r="E162" s="443" t="n">
        <v>0</v>
      </c>
      <c r="F162" s="443" t="n">
        <v>0</v>
      </c>
      <c r="G162" s="443" t="n">
        <v>1980</v>
      </c>
      <c r="H162" s="443" t="n">
        <v>1980</v>
      </c>
      <c r="I162" s="443" t="n">
        <v>0</v>
      </c>
      <c r="J162" s="443" t="n">
        <v>0</v>
      </c>
      <c r="K162" s="443" t="n">
        <v>0</v>
      </c>
      <c r="L162" s="443" t="n">
        <v>0</v>
      </c>
      <c r="M162" s="443" t="n">
        <v>0</v>
      </c>
      <c r="N162" s="443" t="n">
        <v>0</v>
      </c>
      <c r="O162" s="443" t="n">
        <v>0</v>
      </c>
      <c r="P162" s="443" t="n">
        <v>3960</v>
      </c>
      <c r="Q162" s="443" t="n">
        <v>25000</v>
      </c>
      <c r="S162" s="443" t="n">
        <v>25000</v>
      </c>
      <c r="T162" s="443" t="n">
        <v>21040</v>
      </c>
      <c r="Z162" s="444">
        <f>N('費用収益表_業務長期'!C10)-N(C162)</f>
        <v>0</v>
      </c>
      <c r="AA162" s="444">
        <f>N('費用収益表_業務長期'!D10)-N(D162)</f>
        <v>0</v>
      </c>
      <c r="AB162" s="444">
        <f>N('費用収益表_業務長期'!E10)-N(E162)</f>
        <v>0</v>
      </c>
      <c r="AC162" s="444">
        <f>N('費用収益表_業務長期'!F10)-N(F162)</f>
        <v>0</v>
      </c>
      <c r="AD162" s="444">
        <f>N('費用収益表_業務長期'!G10)-N(G162)</f>
        <v>0</v>
      </c>
      <c r="AE162" s="444">
        <f>N('費用収益表_業務長期'!H10)-N(H162)</f>
        <v>0</v>
      </c>
      <c r="AF162" s="444">
        <f>N('費用収益表_業務長期'!I10)-N(I162)</f>
        <v>0</v>
      </c>
      <c r="AG162" s="444">
        <f>N('費用収益表_業務長期'!J10)-N(J162)</f>
        <v>0</v>
      </c>
      <c r="AH162" s="444">
        <f>N('費用収益表_業務長期'!K10)-N(K162)</f>
        <v>0</v>
      </c>
      <c r="AI162" s="444">
        <f>N('費用収益表_業務長期'!L10)-N(L162)</f>
        <v>0</v>
      </c>
      <c r="AJ162" s="444">
        <f>N('費用収益表_業務長期'!M10)-N(M162)</f>
        <v>0</v>
      </c>
      <c r="AK162" s="444">
        <f>N('費用収益表_業務長期'!N10)-N(N162)</f>
        <v>0</v>
      </c>
      <c r="AL162" s="444">
        <f>N('費用収益表_業務長期'!O10)-N(O162)</f>
        <v>0</v>
      </c>
      <c r="AM162" s="444">
        <f>N('費用収益表_業務長期'!P10)-N(P162)</f>
        <v>0</v>
      </c>
      <c r="AN162" s="444">
        <f>N('費用収益表_業務長期'!Q10)-N(Q162)</f>
        <v>0</v>
      </c>
      <c r="AO162" s="444">
        <f>N('費用収益表_業務長期'!R10)-N(R162)</f>
        <v>0</v>
      </c>
      <c r="AP162" s="444">
        <f>N('費用収益表_業務長期'!S10)-N(S162)</f>
        <v>0</v>
      </c>
      <c r="AQ162" s="444">
        <f>N('費用収益表_業務長期'!T10)-N(T162)</f>
        <v>0</v>
      </c>
      <c r="AR162" s="444">
        <f>N('費用収益表_業務長期'!U10)-N(U162)</f>
        <v>0</v>
      </c>
    </row>
    <row r="163">
      <c r="C163" s="443" t="n">
        <v>0</v>
      </c>
      <c r="D163" s="443" t="n">
        <v>0</v>
      </c>
      <c r="E163" s="443" t="n">
        <v>43264</v>
      </c>
      <c r="F163" s="443" t="n">
        <v>0</v>
      </c>
      <c r="G163" s="443" t="n">
        <v>31712</v>
      </c>
      <c r="H163" s="443" t="n">
        <v>0</v>
      </c>
      <c r="I163" s="443" t="n">
        <v>0</v>
      </c>
      <c r="J163" s="443" t="n">
        <v>20316</v>
      </c>
      <c r="K163" s="443" t="n">
        <v>0</v>
      </c>
      <c r="L163" s="443" t="n">
        <v>0</v>
      </c>
      <c r="M163" s="443" t="n">
        <v>20524</v>
      </c>
      <c r="N163" s="443" t="n">
        <v>0</v>
      </c>
      <c r="O163" s="443" t="n">
        <v>0</v>
      </c>
      <c r="P163" s="443" t="n">
        <v>115816</v>
      </c>
      <c r="Q163" s="443" t="n">
        <v>599000</v>
      </c>
      <c r="S163" s="443" t="n">
        <v>599000</v>
      </c>
      <c r="T163" s="443" t="n">
        <v>483184</v>
      </c>
      <c r="Z163" s="444">
        <f>N('費用収益表_業務長期'!C11)-N(C163)</f>
        <v>0</v>
      </c>
      <c r="AA163" s="444">
        <f>N('費用収益表_業務長期'!D11)-N(D163)</f>
        <v>0</v>
      </c>
      <c r="AB163" s="444">
        <f>N('費用収益表_業務長期'!E11)-N(E163)</f>
        <v>0</v>
      </c>
      <c r="AC163" s="444">
        <f>N('費用収益表_業務長期'!F11)-N(F163)</f>
        <v>0</v>
      </c>
      <c r="AD163" s="444">
        <f>N('費用収益表_業務長期'!G11)-N(G163)</f>
        <v>0</v>
      </c>
      <c r="AE163" s="444">
        <f>N('費用収益表_業務長期'!H11)-N(H163)</f>
        <v>0</v>
      </c>
      <c r="AF163" s="444">
        <f>N('費用収益表_業務長期'!I11)-N(I163)</f>
        <v>0</v>
      </c>
      <c r="AG163" s="444">
        <f>N('費用収益表_業務長期'!J11)-N(J163)</f>
        <v>0</v>
      </c>
      <c r="AH163" s="444">
        <f>N('費用収益表_業務長期'!K11)-N(K163)</f>
        <v>0</v>
      </c>
      <c r="AI163" s="444">
        <f>N('費用収益表_業務長期'!L11)-N(L163)</f>
        <v>0</v>
      </c>
      <c r="AJ163" s="444">
        <f>N('費用収益表_業務長期'!M11)-N(M163)</f>
        <v>0</v>
      </c>
      <c r="AK163" s="444">
        <f>N('費用収益表_業務長期'!N11)-N(N163)</f>
        <v>0</v>
      </c>
      <c r="AL163" s="444">
        <f>N('費用収益表_業務長期'!O11)-N(O163)</f>
        <v>0</v>
      </c>
      <c r="AM163" s="444">
        <f>N('費用収益表_業務長期'!P11)-N(P163)</f>
        <v>0</v>
      </c>
      <c r="AN163" s="444">
        <f>N('費用収益表_業務長期'!Q11)-N(Q163)</f>
        <v>0</v>
      </c>
      <c r="AO163" s="444">
        <f>N('費用収益表_業務長期'!R11)-N(R163)</f>
        <v>0</v>
      </c>
      <c r="AP163" s="444">
        <f>N('費用収益表_業務長期'!S11)-N(S163)</f>
        <v>0</v>
      </c>
      <c r="AQ163" s="444">
        <f>N('費用収益表_業務長期'!T11)-N(T163)</f>
        <v>0</v>
      </c>
      <c r="AR163" s="444">
        <f>N('費用収益表_業務長期'!U11)-N(U163)</f>
        <v>0</v>
      </c>
    </row>
    <row r="164">
      <c r="C164" s="443" t="n">
        <v>8778</v>
      </c>
      <c r="D164" s="443" t="n">
        <v>14040</v>
      </c>
      <c r="E164" s="443" t="n">
        <v>53130</v>
      </c>
      <c r="F164" s="443" t="n">
        <v>0</v>
      </c>
      <c r="G164" s="443" t="n">
        <v>0</v>
      </c>
      <c r="H164" s="443" t="n">
        <v>0</v>
      </c>
      <c r="I164" s="443" t="n">
        <v>147320</v>
      </c>
      <c r="J164" s="443" t="n">
        <v>203853</v>
      </c>
      <c r="K164" s="443" t="n">
        <v>0</v>
      </c>
      <c r="L164" s="443" t="n">
        <v>71787</v>
      </c>
      <c r="M164" s="443" t="n">
        <v>0</v>
      </c>
      <c r="N164" s="443" t="n">
        <v>76096</v>
      </c>
      <c r="O164" s="443" t="n">
        <v>99001</v>
      </c>
      <c r="P164" s="443" t="n">
        <v>674005</v>
      </c>
      <c r="Q164" s="443" t="n">
        <v>580000</v>
      </c>
      <c r="S164" s="443" t="n">
        <v>580000</v>
      </c>
      <c r="T164" s="443" t="n">
        <v>-94005</v>
      </c>
      <c r="Z164" s="444">
        <f>N('費用収益表_業務長期'!C12)-N(C164)</f>
        <v>0</v>
      </c>
      <c r="AA164" s="444">
        <f>N('費用収益表_業務長期'!D12)-N(D164)</f>
        <v>0</v>
      </c>
      <c r="AB164" s="444">
        <f>N('費用収益表_業務長期'!E12)-N(E164)</f>
        <v>0</v>
      </c>
      <c r="AC164" s="444">
        <f>N('費用収益表_業務長期'!F12)-N(F164)</f>
        <v>0</v>
      </c>
      <c r="AD164" s="444">
        <f>N('費用収益表_業務長期'!G12)-N(G164)</f>
        <v>0</v>
      </c>
      <c r="AE164" s="444">
        <f>N('費用収益表_業務長期'!H12)-N(H164)</f>
        <v>0</v>
      </c>
      <c r="AF164" s="444">
        <f>N('費用収益表_業務長期'!I12)-N(I164)</f>
        <v>0</v>
      </c>
      <c r="AG164" s="444">
        <f>N('費用収益表_業務長期'!J12)-N(J164)</f>
        <v>0</v>
      </c>
      <c r="AH164" s="444">
        <f>N('費用収益表_業務長期'!K12)-N(K164)</f>
        <v>0</v>
      </c>
      <c r="AI164" s="444">
        <f>N('費用収益表_業務長期'!L12)-N(L164)</f>
        <v>0</v>
      </c>
      <c r="AJ164" s="444">
        <f>N('費用収益表_業務長期'!M12)-N(M164)</f>
        <v>0</v>
      </c>
      <c r="AK164" s="444">
        <f>N('費用収益表_業務長期'!N12)-N(N164)</f>
        <v>0</v>
      </c>
      <c r="AL164" s="444">
        <f>N('費用収益表_業務長期'!O12)-N(O164)</f>
        <v>0</v>
      </c>
      <c r="AM164" s="444">
        <f>N('費用収益表_業務長期'!P12)-N(P164)</f>
        <v>0</v>
      </c>
      <c r="AN164" s="444">
        <f>N('費用収益表_業務長期'!Q12)-N(Q164)</f>
        <v>0</v>
      </c>
      <c r="AO164" s="444">
        <f>N('費用収益表_業務長期'!R12)-N(R164)</f>
        <v>0</v>
      </c>
      <c r="AP164" s="444">
        <f>N('費用収益表_業務長期'!S12)-N(S164)</f>
        <v>0</v>
      </c>
      <c r="AQ164" s="444">
        <f>N('費用収益表_業務長期'!T12)-N(T164)</f>
        <v>0</v>
      </c>
      <c r="AR164" s="444">
        <f>N('費用収益表_業務長期'!U12)-N(U164)</f>
        <v>0</v>
      </c>
    </row>
    <row r="165">
      <c r="C165" s="443" t="n">
        <v>0</v>
      </c>
      <c r="D165" s="443" t="n">
        <v>0</v>
      </c>
      <c r="E165" s="443" t="n">
        <v>17600</v>
      </c>
      <c r="F165" s="443" t="n">
        <v>0</v>
      </c>
      <c r="G165" s="443" t="n">
        <v>73810</v>
      </c>
      <c r="H165" s="443" t="n">
        <v>247676</v>
      </c>
      <c r="I165" s="443" t="n">
        <v>15465</v>
      </c>
      <c r="J165" s="443" t="n">
        <v>0</v>
      </c>
      <c r="K165" s="443" t="n">
        <v>72239</v>
      </c>
      <c r="L165" s="443" t="n">
        <v>22050</v>
      </c>
      <c r="M165" s="443" t="n">
        <v>26400</v>
      </c>
      <c r="N165" s="443" t="n">
        <v>26757</v>
      </c>
      <c r="O165" s="443" t="n">
        <v>0</v>
      </c>
      <c r="P165" s="443" t="n">
        <v>501997</v>
      </c>
      <c r="Q165" s="443" t="n">
        <v>595000</v>
      </c>
      <c r="S165" s="443" t="n">
        <v>595000</v>
      </c>
      <c r="T165" s="443" t="n">
        <v>93003</v>
      </c>
      <c r="Z165" s="444">
        <f>N('費用収益表_業務長期'!C13)-N(C165)</f>
        <v>0</v>
      </c>
      <c r="AA165" s="444">
        <f>N('費用収益表_業務長期'!D13)-N(D165)</f>
        <v>0</v>
      </c>
      <c r="AB165" s="444">
        <f>N('費用収益表_業務長期'!E13)-N(E165)</f>
        <v>0</v>
      </c>
      <c r="AC165" s="444">
        <f>N('費用収益表_業務長期'!F13)-N(F165)</f>
        <v>0</v>
      </c>
      <c r="AD165" s="444">
        <f>N('費用収益表_業務長期'!G13)-N(G165)</f>
        <v>0</v>
      </c>
      <c r="AE165" s="444">
        <f>N('費用収益表_業務長期'!H13)-N(H165)</f>
        <v>0</v>
      </c>
      <c r="AF165" s="444">
        <f>N('費用収益表_業務長期'!I13)-N(I165)</f>
        <v>0</v>
      </c>
      <c r="AG165" s="444">
        <f>N('費用収益表_業務長期'!J13)-N(J165)</f>
        <v>0</v>
      </c>
      <c r="AH165" s="444">
        <f>N('費用収益表_業務長期'!K13)-N(K165)</f>
        <v>0</v>
      </c>
      <c r="AI165" s="444">
        <f>N('費用収益表_業務長期'!L13)-N(L165)</f>
        <v>0</v>
      </c>
      <c r="AJ165" s="444">
        <f>N('費用収益表_業務長期'!M13)-N(M165)</f>
        <v>0</v>
      </c>
      <c r="AK165" s="444">
        <f>N('費用収益表_業務長期'!N13)-N(N165)</f>
        <v>0</v>
      </c>
      <c r="AL165" s="444">
        <f>N('費用収益表_業務長期'!O13)-N(O165)</f>
        <v>0</v>
      </c>
      <c r="AM165" s="444">
        <f>N('費用収益表_業務長期'!P13)-N(P165)</f>
        <v>0</v>
      </c>
      <c r="AN165" s="444">
        <f>N('費用収益表_業務長期'!Q13)-N(Q165)</f>
        <v>0</v>
      </c>
      <c r="AO165" s="444">
        <f>N('費用収益表_業務長期'!R13)-N(R165)</f>
        <v>0</v>
      </c>
      <c r="AP165" s="444">
        <f>N('費用収益表_業務長期'!S13)-N(S165)</f>
        <v>0</v>
      </c>
      <c r="AQ165" s="444">
        <f>N('費用収益表_業務長期'!T13)-N(T165)</f>
        <v>0</v>
      </c>
      <c r="AR165" s="444">
        <f>N('費用収益表_業務長期'!U13)-N(U165)</f>
        <v>0</v>
      </c>
    </row>
    <row r="166">
      <c r="C166" s="443" t="n">
        <v>0</v>
      </c>
      <c r="D166" s="443" t="n">
        <v>18493</v>
      </c>
      <c r="E166" s="443" t="n">
        <v>12725</v>
      </c>
      <c r="F166" s="443" t="n">
        <v>13965</v>
      </c>
      <c r="G166" s="443" t="n">
        <v>14994</v>
      </c>
      <c r="H166" s="443" t="n">
        <v>14984</v>
      </c>
      <c r="I166" s="443" t="n">
        <v>16238</v>
      </c>
      <c r="J166" s="443" t="n">
        <v>15579</v>
      </c>
      <c r="K166" s="443" t="n">
        <v>16554</v>
      </c>
      <c r="L166" s="443" t="n">
        <v>16224</v>
      </c>
      <c r="M166" s="443" t="n">
        <v>16564</v>
      </c>
      <c r="N166" s="443" t="n">
        <v>14994</v>
      </c>
      <c r="O166" s="443" t="n">
        <v>16240</v>
      </c>
      <c r="P166" s="443" t="n">
        <v>187554</v>
      </c>
      <c r="Q166" s="443" t="n">
        <v>249000</v>
      </c>
      <c r="S166" s="443" t="n">
        <v>249000</v>
      </c>
      <c r="T166" s="443" t="n">
        <v>61446</v>
      </c>
      <c r="Z166" s="444">
        <f>N('費用収益表_業務長期'!C14)-N(C166)</f>
        <v>0</v>
      </c>
      <c r="AA166" s="444">
        <f>N('費用収益表_業務長期'!D14)-N(D166)</f>
        <v>0</v>
      </c>
      <c r="AB166" s="444">
        <f>N('費用収益表_業務長期'!E14)-N(E166)</f>
        <v>0</v>
      </c>
      <c r="AC166" s="444">
        <f>N('費用収益表_業務長期'!F14)-N(F166)</f>
        <v>0</v>
      </c>
      <c r="AD166" s="444">
        <f>N('費用収益表_業務長期'!G14)-N(G166)</f>
        <v>0</v>
      </c>
      <c r="AE166" s="444">
        <f>N('費用収益表_業務長期'!H14)-N(H166)</f>
        <v>0</v>
      </c>
      <c r="AF166" s="444">
        <f>N('費用収益表_業務長期'!I14)-N(I166)</f>
        <v>0</v>
      </c>
      <c r="AG166" s="444">
        <f>N('費用収益表_業務長期'!J14)-N(J166)</f>
        <v>0</v>
      </c>
      <c r="AH166" s="444">
        <f>N('費用収益表_業務長期'!K14)-N(K166)</f>
        <v>0</v>
      </c>
      <c r="AI166" s="444">
        <f>N('費用収益表_業務長期'!L14)-N(L166)</f>
        <v>0</v>
      </c>
      <c r="AJ166" s="444">
        <f>N('費用収益表_業務長期'!M14)-N(M166)</f>
        <v>0</v>
      </c>
      <c r="AK166" s="444">
        <f>N('費用収益表_業務長期'!N14)-N(N166)</f>
        <v>0</v>
      </c>
      <c r="AL166" s="444">
        <f>N('費用収益表_業務長期'!O14)-N(O166)</f>
        <v>0</v>
      </c>
      <c r="AM166" s="444">
        <f>N('費用収益表_業務長期'!P14)-N(P166)</f>
        <v>0</v>
      </c>
      <c r="AN166" s="444">
        <f>N('費用収益表_業務長期'!Q14)-N(Q166)</f>
        <v>0</v>
      </c>
      <c r="AO166" s="444">
        <f>N('費用収益表_業務長期'!R14)-N(R166)</f>
        <v>0</v>
      </c>
      <c r="AP166" s="444">
        <f>N('費用収益表_業務長期'!S14)-N(S166)</f>
        <v>0</v>
      </c>
      <c r="AQ166" s="444">
        <f>N('費用収益表_業務長期'!T14)-N(T166)</f>
        <v>0</v>
      </c>
      <c r="AR166" s="444">
        <f>N('費用収益表_業務長期'!U14)-N(U166)</f>
        <v>0</v>
      </c>
    </row>
    <row r="167">
      <c r="C167" s="443" t="n">
        <v>0</v>
      </c>
      <c r="D167" s="443" t="n">
        <v>147246</v>
      </c>
      <c r="E167" s="443" t="n">
        <v>21810</v>
      </c>
      <c r="F167" s="443" t="n">
        <v>1534000</v>
      </c>
      <c r="G167" s="443" t="n">
        <v>31370</v>
      </c>
      <c r="H167" s="443" t="n">
        <v>83355</v>
      </c>
      <c r="I167" s="443" t="n">
        <v>271700</v>
      </c>
      <c r="J167" s="443" t="n">
        <v>1138006</v>
      </c>
      <c r="K167" s="443" t="n">
        <v>56815</v>
      </c>
      <c r="L167" s="443" t="n">
        <v>1249035</v>
      </c>
      <c r="M167" s="443" t="n">
        <v>792478</v>
      </c>
      <c r="N167" s="443" t="n">
        <v>833717</v>
      </c>
      <c r="O167" s="443" t="n">
        <v>65946</v>
      </c>
      <c r="P167" s="443" t="n">
        <v>6225478</v>
      </c>
      <c r="Q167" s="443" t="n">
        <v>7518000</v>
      </c>
      <c r="S167" s="443" t="n">
        <v>7518000</v>
      </c>
      <c r="T167" s="443" t="n">
        <v>1292522</v>
      </c>
      <c r="Z167" s="444">
        <f>N('費用収益表_業務長期'!C15)-N(C167)</f>
        <v>0</v>
      </c>
      <c r="AA167" s="444">
        <f>N('費用収益表_業務長期'!D15)-N(D167)</f>
        <v>0</v>
      </c>
      <c r="AB167" s="444">
        <f>N('費用収益表_業務長期'!E15)-N(E167)</f>
        <v>0</v>
      </c>
      <c r="AC167" s="444">
        <f>N('費用収益表_業務長期'!F15)-N(F167)</f>
        <v>0</v>
      </c>
      <c r="AD167" s="444">
        <f>N('費用収益表_業務長期'!G15)-N(G167)</f>
        <v>0</v>
      </c>
      <c r="AE167" s="444">
        <f>N('費用収益表_業務長期'!H15)-N(H167)</f>
        <v>0</v>
      </c>
      <c r="AF167" s="444">
        <f>N('費用収益表_業務長期'!I15)-N(I167)</f>
        <v>0</v>
      </c>
      <c r="AG167" s="444">
        <f>N('費用収益表_業務長期'!J15)-N(J167)</f>
        <v>0</v>
      </c>
      <c r="AH167" s="444">
        <f>N('費用収益表_業務長期'!K15)-N(K167)</f>
        <v>0</v>
      </c>
      <c r="AI167" s="444">
        <f>N('費用収益表_業務長期'!L15)-N(L167)</f>
        <v>0</v>
      </c>
      <c r="AJ167" s="444">
        <f>N('費用収益表_業務長期'!M15)-N(M167)</f>
        <v>0</v>
      </c>
      <c r="AK167" s="444">
        <f>N('費用収益表_業務長期'!N15)-N(N167)</f>
        <v>0</v>
      </c>
      <c r="AL167" s="444">
        <f>N('費用収益表_業務長期'!O15)-N(O167)</f>
        <v>0</v>
      </c>
      <c r="AM167" s="444">
        <f>N('費用収益表_業務長期'!P15)-N(P167)</f>
        <v>0</v>
      </c>
      <c r="AN167" s="444">
        <f>N('費用収益表_業務長期'!Q15)-N(Q167)</f>
        <v>0</v>
      </c>
      <c r="AO167" s="444">
        <f>N('費用収益表_業務長期'!R15)-N(R167)</f>
        <v>0</v>
      </c>
      <c r="AP167" s="444">
        <f>N('費用収益表_業務長期'!S15)-N(S167)</f>
        <v>0</v>
      </c>
      <c r="AQ167" s="444">
        <f>N('費用収益表_業務長期'!T15)-N(T167)</f>
        <v>0</v>
      </c>
      <c r="AR167" s="444">
        <f>N('費用収益表_業務長期'!U15)-N(U167)</f>
        <v>0</v>
      </c>
    </row>
    <row r="168">
      <c r="C168" s="443" t="n">
        <v>0</v>
      </c>
      <c r="D168" s="443" t="n">
        <v>0</v>
      </c>
      <c r="E168" s="443" t="n">
        <v>0</v>
      </c>
      <c r="F168" s="443" t="n">
        <v>0</v>
      </c>
      <c r="G168" s="443" t="n">
        <v>0</v>
      </c>
      <c r="H168" s="443" t="n">
        <v>0</v>
      </c>
      <c r="I168" s="443" t="n">
        <v>0</v>
      </c>
      <c r="J168" s="443" t="n">
        <v>0</v>
      </c>
      <c r="K168" s="443" t="n">
        <v>0</v>
      </c>
      <c r="L168" s="443" t="n">
        <v>0</v>
      </c>
      <c r="M168" s="443" t="n">
        <v>0</v>
      </c>
      <c r="N168" s="443" t="n">
        <v>0</v>
      </c>
      <c r="O168" s="443" t="n">
        <v>0</v>
      </c>
      <c r="P168" s="443" t="n">
        <v>0</v>
      </c>
      <c r="Q168" s="443" t="n">
        <v>0</v>
      </c>
      <c r="S168" s="443" t="n">
        <v>0</v>
      </c>
      <c r="T168" s="443" t="n">
        <v>0</v>
      </c>
      <c r="Z168" s="444">
        <f>N('費用収益表_業務長期'!C16)-N(C168)</f>
        <v>0</v>
      </c>
      <c r="AA168" s="444">
        <f>N('費用収益表_業務長期'!D16)-N(D168)</f>
        <v>0</v>
      </c>
      <c r="AB168" s="444">
        <f>N('費用収益表_業務長期'!E16)-N(E168)</f>
        <v>0</v>
      </c>
      <c r="AC168" s="444">
        <f>N('費用収益表_業務長期'!F16)-N(F168)</f>
        <v>0</v>
      </c>
      <c r="AD168" s="444">
        <f>N('費用収益表_業務長期'!G16)-N(G168)</f>
        <v>0</v>
      </c>
      <c r="AE168" s="444">
        <f>N('費用収益表_業務長期'!H16)-N(H168)</f>
        <v>0</v>
      </c>
      <c r="AF168" s="444">
        <f>N('費用収益表_業務長期'!I16)-N(I168)</f>
        <v>0</v>
      </c>
      <c r="AG168" s="444">
        <f>N('費用収益表_業務長期'!J16)-N(J168)</f>
        <v>0</v>
      </c>
      <c r="AH168" s="444">
        <f>N('費用収益表_業務長期'!K16)-N(K168)</f>
        <v>0</v>
      </c>
      <c r="AI168" s="444">
        <f>N('費用収益表_業務長期'!L16)-N(L168)</f>
        <v>0</v>
      </c>
      <c r="AJ168" s="444">
        <f>N('費用収益表_業務長期'!M16)-N(M168)</f>
        <v>0</v>
      </c>
      <c r="AK168" s="444">
        <f>N('費用収益表_業務長期'!N16)-N(N168)</f>
        <v>0</v>
      </c>
      <c r="AL168" s="444">
        <f>N('費用収益表_業務長期'!O16)-N(O168)</f>
        <v>0</v>
      </c>
      <c r="AM168" s="444">
        <f>N('費用収益表_業務長期'!P16)-N(P168)</f>
        <v>0</v>
      </c>
      <c r="AN168" s="444">
        <f>N('費用収益表_業務長期'!Q16)-N(Q168)</f>
        <v>0</v>
      </c>
      <c r="AO168" s="444">
        <f>N('費用収益表_業務長期'!R16)-N(R168)</f>
        <v>0</v>
      </c>
      <c r="AP168" s="444">
        <f>N('費用収益表_業務長期'!S16)-N(S168)</f>
        <v>0</v>
      </c>
      <c r="AQ168" s="444">
        <f>N('費用収益表_業務長期'!T16)-N(T168)</f>
        <v>0</v>
      </c>
      <c r="AR168" s="444">
        <f>N('費用収益表_業務長期'!U16)-N(U168)</f>
        <v>0</v>
      </c>
    </row>
    <row r="169">
      <c r="C169" s="443" t="n">
        <v>0</v>
      </c>
      <c r="D169" s="443" t="n">
        <v>0</v>
      </c>
      <c r="E169" s="443" t="n">
        <v>0</v>
      </c>
      <c r="F169" s="443" t="n">
        <v>0</v>
      </c>
      <c r="G169" s="443" t="n">
        <v>0</v>
      </c>
      <c r="H169" s="443" t="n">
        <v>0</v>
      </c>
      <c r="I169" s="443" t="n">
        <v>3300</v>
      </c>
      <c r="J169" s="443" t="n">
        <v>0</v>
      </c>
      <c r="K169" s="443" t="n">
        <v>0</v>
      </c>
      <c r="L169" s="443" t="n">
        <v>0</v>
      </c>
      <c r="M169" s="443" t="n">
        <v>0</v>
      </c>
      <c r="N169" s="443" t="n">
        <v>0</v>
      </c>
      <c r="O169" s="443" t="n">
        <v>3300</v>
      </c>
      <c r="P169" s="443" t="n">
        <v>6600</v>
      </c>
      <c r="Q169" s="443" t="n">
        <v>7000</v>
      </c>
      <c r="S169" s="443" t="n">
        <v>7000</v>
      </c>
      <c r="T169" s="443" t="n">
        <v>400</v>
      </c>
      <c r="Z169" s="444">
        <f>N('費用収益表_業務長期'!C17)-N(C169)</f>
        <v>0</v>
      </c>
      <c r="AA169" s="444">
        <f>N('費用収益表_業務長期'!D17)-N(D169)</f>
        <v>0</v>
      </c>
      <c r="AB169" s="444">
        <f>N('費用収益表_業務長期'!E17)-N(E169)</f>
        <v>0</v>
      </c>
      <c r="AC169" s="444">
        <f>N('費用収益表_業務長期'!F17)-N(F169)</f>
        <v>0</v>
      </c>
      <c r="AD169" s="444">
        <f>N('費用収益表_業務長期'!G17)-N(G169)</f>
        <v>0</v>
      </c>
      <c r="AE169" s="444">
        <f>N('費用収益表_業務長期'!H17)-N(H169)</f>
        <v>0</v>
      </c>
      <c r="AF169" s="444">
        <f>N('費用収益表_業務長期'!I17)-N(I169)</f>
        <v>0</v>
      </c>
      <c r="AG169" s="444">
        <f>N('費用収益表_業務長期'!J17)-N(J169)</f>
        <v>0</v>
      </c>
      <c r="AH169" s="444">
        <f>N('費用収益表_業務長期'!K17)-N(K169)</f>
        <v>0</v>
      </c>
      <c r="AI169" s="444">
        <f>N('費用収益表_業務長期'!L17)-N(L169)</f>
        <v>0</v>
      </c>
      <c r="AJ169" s="444">
        <f>N('費用収益表_業務長期'!M17)-N(M169)</f>
        <v>0</v>
      </c>
      <c r="AK169" s="444">
        <f>N('費用収益表_業務長期'!N17)-N(N169)</f>
        <v>0</v>
      </c>
      <c r="AL169" s="444">
        <f>N('費用収益表_業務長期'!O17)-N(O169)</f>
        <v>0</v>
      </c>
      <c r="AM169" s="444">
        <f>N('費用収益表_業務長期'!P17)-N(P169)</f>
        <v>0</v>
      </c>
      <c r="AN169" s="444">
        <f>N('費用収益表_業務長期'!Q17)-N(Q169)</f>
        <v>0</v>
      </c>
      <c r="AO169" s="444">
        <f>N('費用収益表_業務長期'!R17)-N(R169)</f>
        <v>0</v>
      </c>
      <c r="AP169" s="444">
        <f>N('費用収益表_業務長期'!S17)-N(S169)</f>
        <v>0</v>
      </c>
      <c r="AQ169" s="444">
        <f>N('費用収益表_業務長期'!T17)-N(T169)</f>
        <v>0</v>
      </c>
      <c r="AR169" s="444">
        <f>N('費用収益表_業務長期'!U17)-N(U169)</f>
        <v>0</v>
      </c>
    </row>
    <row r="170">
      <c r="C170" s="443" t="n">
        <v>8778</v>
      </c>
      <c r="D170" s="443" t="n">
        <v>179779</v>
      </c>
      <c r="E170" s="443" t="n">
        <v>105265</v>
      </c>
      <c r="F170" s="443" t="n">
        <v>1547965</v>
      </c>
      <c r="G170" s="443" t="n">
        <v>120174</v>
      </c>
      <c r="H170" s="443" t="n">
        <v>346015</v>
      </c>
      <c r="I170" s="443" t="n">
        <v>454023</v>
      </c>
      <c r="J170" s="443" t="n">
        <v>1357438</v>
      </c>
      <c r="K170" s="443" t="n">
        <v>145608</v>
      </c>
      <c r="L170" s="443" t="n">
        <v>1359096</v>
      </c>
      <c r="M170" s="443" t="n">
        <v>835442</v>
      </c>
      <c r="N170" s="443" t="n">
        <v>951564</v>
      </c>
      <c r="O170" s="443" t="n">
        <v>184487</v>
      </c>
      <c r="P170" s="443" t="n">
        <v>7595634</v>
      </c>
      <c r="Q170" s="443" t="n">
        <v>8949000</v>
      </c>
      <c r="S170" s="443" t="n">
        <v>8949000</v>
      </c>
      <c r="T170" s="443" t="n">
        <v>1353366</v>
      </c>
      <c r="Z170" s="444">
        <f>N('費用収益表_業務長期'!C18)-N(C170)</f>
        <v>0</v>
      </c>
      <c r="AA170" s="444">
        <f>N('費用収益表_業務長期'!D18)-N(D170)</f>
        <v>0</v>
      </c>
      <c r="AB170" s="444">
        <f>N('費用収益表_業務長期'!E18)-N(E170)</f>
        <v>0</v>
      </c>
      <c r="AC170" s="444">
        <f>N('費用収益表_業務長期'!F18)-N(F170)</f>
        <v>0</v>
      </c>
      <c r="AD170" s="444">
        <f>N('費用収益表_業務長期'!G18)-N(G170)</f>
        <v>0</v>
      </c>
      <c r="AE170" s="444">
        <f>N('費用収益表_業務長期'!H18)-N(H170)</f>
        <v>0</v>
      </c>
      <c r="AF170" s="444">
        <f>N('費用収益表_業務長期'!I18)-N(I170)</f>
        <v>0</v>
      </c>
      <c r="AG170" s="444">
        <f>N('費用収益表_業務長期'!J18)-N(J170)</f>
        <v>0</v>
      </c>
      <c r="AH170" s="444">
        <f>N('費用収益表_業務長期'!K18)-N(K170)</f>
        <v>0</v>
      </c>
      <c r="AI170" s="444">
        <f>N('費用収益表_業務長期'!L18)-N(L170)</f>
        <v>0</v>
      </c>
      <c r="AJ170" s="444">
        <f>N('費用収益表_業務長期'!M18)-N(M170)</f>
        <v>0</v>
      </c>
      <c r="AK170" s="444">
        <f>N('費用収益表_業務長期'!N18)-N(N170)</f>
        <v>0</v>
      </c>
      <c r="AL170" s="444">
        <f>N('費用収益表_業務長期'!O18)-N(O170)</f>
        <v>0</v>
      </c>
      <c r="AM170" s="444">
        <f>N('費用収益表_業務長期'!P18)-N(P170)</f>
        <v>0</v>
      </c>
      <c r="AN170" s="444">
        <f>N('費用収益表_業務長期'!Q18)-N(Q170)</f>
        <v>0</v>
      </c>
      <c r="AO170" s="444">
        <f>N('費用収益表_業務長期'!R18)-N(R170)</f>
        <v>0</v>
      </c>
      <c r="AP170" s="444">
        <f>N('費用収益表_業務長期'!S18)-N(S170)</f>
        <v>0</v>
      </c>
      <c r="AQ170" s="444">
        <f>N('費用収益表_業務長期'!T18)-N(T170)</f>
        <v>0</v>
      </c>
      <c r="AR170" s="444">
        <f>N('費用収益表_業務長期'!U18)-N(U170)</f>
        <v>0</v>
      </c>
    </row>
    <row r="171">
      <c r="C171" s="443" t="n">
        <v>0</v>
      </c>
      <c r="D171" s="443" t="n">
        <v>0</v>
      </c>
      <c r="E171" s="443" t="n">
        <v>0</v>
      </c>
      <c r="F171" s="443" t="n">
        <v>0</v>
      </c>
      <c r="G171" s="443" t="n">
        <v>0</v>
      </c>
      <c r="H171" s="443" t="n">
        <v>0</v>
      </c>
      <c r="I171" s="443" t="n">
        <v>0</v>
      </c>
      <c r="J171" s="443" t="n">
        <v>0</v>
      </c>
      <c r="K171" s="443" t="n">
        <v>0</v>
      </c>
      <c r="L171" s="443" t="n">
        <v>0</v>
      </c>
      <c r="M171" s="443" t="n">
        <v>0</v>
      </c>
      <c r="N171" s="443" t="n">
        <v>0</v>
      </c>
      <c r="O171" s="443" t="n">
        <v>0</v>
      </c>
      <c r="P171" s="443" t="n">
        <v>0</v>
      </c>
      <c r="Q171" s="443" t="n">
        <v>0</v>
      </c>
      <c r="S171" s="443" t="n">
        <v>0</v>
      </c>
      <c r="T171" s="443" t="n">
        <v>0</v>
      </c>
      <c r="Z171" s="444">
        <f>N('費用収益表_業務長期'!C19)-N(C171)</f>
        <v>0</v>
      </c>
      <c r="AA171" s="444">
        <f>N('費用収益表_業務長期'!D19)-N(D171)</f>
        <v>0</v>
      </c>
      <c r="AB171" s="444">
        <f>N('費用収益表_業務長期'!E19)-N(E171)</f>
        <v>0</v>
      </c>
      <c r="AC171" s="444">
        <f>N('費用収益表_業務長期'!F19)-N(F171)</f>
        <v>0</v>
      </c>
      <c r="AD171" s="444">
        <f>N('費用収益表_業務長期'!G19)-N(G171)</f>
        <v>0</v>
      </c>
      <c r="AE171" s="444">
        <f>N('費用収益表_業務長期'!H19)-N(H171)</f>
        <v>0</v>
      </c>
      <c r="AF171" s="444">
        <f>N('費用収益表_業務長期'!I19)-N(I171)</f>
        <v>0</v>
      </c>
      <c r="AG171" s="444">
        <f>N('費用収益表_業務長期'!J19)-N(J171)</f>
        <v>0</v>
      </c>
      <c r="AH171" s="444">
        <f>N('費用収益表_業務長期'!K19)-N(K171)</f>
        <v>0</v>
      </c>
      <c r="AI171" s="444">
        <f>N('費用収益表_業務長期'!L19)-N(L171)</f>
        <v>0</v>
      </c>
      <c r="AJ171" s="444">
        <f>N('費用収益表_業務長期'!M19)-N(M171)</f>
        <v>0</v>
      </c>
      <c r="AK171" s="444">
        <f>N('費用収益表_業務長期'!N19)-N(N171)</f>
        <v>0</v>
      </c>
      <c r="AL171" s="444">
        <f>N('費用収益表_業務長期'!O19)-N(O171)</f>
        <v>0</v>
      </c>
      <c r="AM171" s="444">
        <f>N('費用収益表_業務長期'!P19)-N(P171)</f>
        <v>0</v>
      </c>
      <c r="AN171" s="444">
        <f>N('費用収益表_業務長期'!Q19)-N(Q171)</f>
        <v>0</v>
      </c>
      <c r="AO171" s="444">
        <f>N('費用収益表_業務長期'!R19)-N(R171)</f>
        <v>0</v>
      </c>
      <c r="AP171" s="444">
        <f>N('費用収益表_業務長期'!S19)-N(S171)</f>
        <v>0</v>
      </c>
      <c r="AQ171" s="444">
        <f>N('費用収益表_業務長期'!T19)-N(T171)</f>
        <v>0</v>
      </c>
      <c r="AR171" s="444">
        <f>N('費用収益表_業務長期'!U19)-N(U171)</f>
        <v>0</v>
      </c>
    </row>
    <row r="172">
      <c r="C172" s="443" t="n">
        <v>0</v>
      </c>
      <c r="D172" s="443" t="n">
        <v>0</v>
      </c>
      <c r="E172" s="443" t="n">
        <v>0</v>
      </c>
      <c r="F172" s="443" t="n">
        <v>176854</v>
      </c>
      <c r="G172" s="443" t="n">
        <v>1155425</v>
      </c>
      <c r="H172" s="443" t="n">
        <v>340931</v>
      </c>
      <c r="I172" s="443" t="n">
        <v>119283</v>
      </c>
      <c r="J172" s="443" t="n">
        <v>93256</v>
      </c>
      <c r="K172" s="443" t="n">
        <v>115828</v>
      </c>
      <c r="L172" s="443" t="n">
        <v>85123</v>
      </c>
      <c r="M172" s="443" t="n">
        <v>126533</v>
      </c>
      <c r="N172" s="443" t="n">
        <v>78590</v>
      </c>
      <c r="O172" s="443" t="n">
        <v>164657</v>
      </c>
      <c r="P172" s="443" t="n">
        <v>2456480</v>
      </c>
      <c r="Q172" s="443" t="n">
        <v>2575000</v>
      </c>
      <c r="S172" s="443" t="n">
        <v>2575000</v>
      </c>
      <c r="T172" s="443" t="n">
        <v>118520</v>
      </c>
      <c r="Z172" s="444">
        <f>N('費用収益表_業務長期'!C20)-N(C172)</f>
        <v>0</v>
      </c>
      <c r="AA172" s="444">
        <f>N('費用収益表_業務長期'!D20)-N(D172)</f>
        <v>0</v>
      </c>
      <c r="AB172" s="444">
        <f>N('費用収益表_業務長期'!E20)-N(E172)</f>
        <v>0</v>
      </c>
      <c r="AC172" s="444">
        <f>N('費用収益表_業務長期'!F20)-N(F172)</f>
        <v>0</v>
      </c>
      <c r="AD172" s="444">
        <f>N('費用収益表_業務長期'!G20)-N(G172)</f>
        <v>0</v>
      </c>
      <c r="AE172" s="444">
        <f>N('費用収益表_業務長期'!H20)-N(H172)</f>
        <v>0</v>
      </c>
      <c r="AF172" s="444">
        <f>N('費用収益表_業務長期'!I20)-N(I172)</f>
        <v>0</v>
      </c>
      <c r="AG172" s="444">
        <f>N('費用収益表_業務長期'!J20)-N(J172)</f>
        <v>0</v>
      </c>
      <c r="AH172" s="444">
        <f>N('費用収益表_業務長期'!K20)-N(K172)</f>
        <v>0</v>
      </c>
      <c r="AI172" s="444">
        <f>N('費用収益表_業務長期'!L20)-N(L172)</f>
        <v>0</v>
      </c>
      <c r="AJ172" s="444">
        <f>N('費用収益表_業務長期'!M20)-N(M172)</f>
        <v>0</v>
      </c>
      <c r="AK172" s="444">
        <f>N('費用収益表_業務長期'!N20)-N(N172)</f>
        <v>0</v>
      </c>
      <c r="AL172" s="444">
        <f>N('費用収益表_業務長期'!O20)-N(O172)</f>
        <v>0</v>
      </c>
      <c r="AM172" s="444">
        <f>N('費用収益表_業務長期'!P20)-N(P172)</f>
        <v>0</v>
      </c>
      <c r="AN172" s="444">
        <f>N('費用収益表_業務長期'!Q20)-N(Q172)</f>
        <v>0</v>
      </c>
      <c r="AO172" s="444">
        <f>N('費用収益表_業務長期'!R20)-N(R172)</f>
        <v>0</v>
      </c>
      <c r="AP172" s="444">
        <f>N('費用収益表_業務長期'!S20)-N(S172)</f>
        <v>0</v>
      </c>
      <c r="AQ172" s="444">
        <f>N('費用収益表_業務長期'!T20)-N(T172)</f>
        <v>0</v>
      </c>
      <c r="AR172" s="444">
        <f>N('費用収益表_業務長期'!U20)-N(U172)</f>
        <v>0</v>
      </c>
    </row>
    <row r="173">
      <c r="C173" s="443" t="n">
        <v>0</v>
      </c>
      <c r="D173" s="443" t="n">
        <v>0</v>
      </c>
      <c r="E173" s="443" t="n">
        <v>0</v>
      </c>
      <c r="F173" s="443" t="n">
        <v>0</v>
      </c>
      <c r="G173" s="443" t="n">
        <v>0</v>
      </c>
      <c r="H173" s="443" t="n">
        <v>0</v>
      </c>
      <c r="I173" s="443" t="n">
        <v>0</v>
      </c>
      <c r="J173" s="443" t="n">
        <v>0</v>
      </c>
      <c r="K173" s="443" t="n">
        <v>50385</v>
      </c>
      <c r="L173" s="443" t="n">
        <v>0</v>
      </c>
      <c r="M173" s="443" t="n">
        <v>0</v>
      </c>
      <c r="N173" s="443" t="n">
        <v>0</v>
      </c>
      <c r="O173" s="443" t="n">
        <v>58984</v>
      </c>
      <c r="P173" s="443" t="n">
        <v>109369</v>
      </c>
      <c r="Q173" s="443" t="n">
        <v>102000</v>
      </c>
      <c r="S173" s="443" t="n">
        <v>102000</v>
      </c>
      <c r="T173" s="443" t="n">
        <v>-7369</v>
      </c>
      <c r="Z173" s="444">
        <f>N('費用収益表_業務長期'!C21)-N(C173)</f>
        <v>0</v>
      </c>
      <c r="AA173" s="444">
        <f>N('費用収益表_業務長期'!D21)-N(D173)</f>
        <v>0</v>
      </c>
      <c r="AB173" s="444">
        <f>N('費用収益表_業務長期'!E21)-N(E173)</f>
        <v>0</v>
      </c>
      <c r="AC173" s="444">
        <f>N('費用収益表_業務長期'!F21)-N(F173)</f>
        <v>0</v>
      </c>
      <c r="AD173" s="444">
        <f>N('費用収益表_業務長期'!G21)-N(G173)</f>
        <v>0</v>
      </c>
      <c r="AE173" s="444">
        <f>N('費用収益表_業務長期'!H21)-N(H173)</f>
        <v>0</v>
      </c>
      <c r="AF173" s="444">
        <f>N('費用収益表_業務長期'!I21)-N(I173)</f>
        <v>0</v>
      </c>
      <c r="AG173" s="444">
        <f>N('費用収益表_業務長期'!J21)-N(J173)</f>
        <v>0</v>
      </c>
      <c r="AH173" s="444">
        <f>N('費用収益表_業務長期'!K21)-N(K173)</f>
        <v>0</v>
      </c>
      <c r="AI173" s="444">
        <f>N('費用収益表_業務長期'!L21)-N(L173)</f>
        <v>0</v>
      </c>
      <c r="AJ173" s="444">
        <f>N('費用収益表_業務長期'!M21)-N(M173)</f>
        <v>0</v>
      </c>
      <c r="AK173" s="444">
        <f>N('費用収益表_業務長期'!N21)-N(N173)</f>
        <v>0</v>
      </c>
      <c r="AL173" s="444">
        <f>N('費用収益表_業務長期'!O21)-N(O173)</f>
        <v>0</v>
      </c>
      <c r="AM173" s="444">
        <f>N('費用収益表_業務長期'!P21)-N(P173)</f>
        <v>0</v>
      </c>
      <c r="AN173" s="444">
        <f>N('費用収益表_業務長期'!Q21)-N(Q173)</f>
        <v>0</v>
      </c>
      <c r="AO173" s="444">
        <f>N('費用収益表_業務長期'!R21)-N(R173)</f>
        <v>0</v>
      </c>
      <c r="AP173" s="444">
        <f>N('費用収益表_業務長期'!S21)-N(S173)</f>
        <v>0</v>
      </c>
      <c r="AQ173" s="444">
        <f>N('費用収益表_業務長期'!T21)-N(T173)</f>
        <v>0</v>
      </c>
      <c r="AR173" s="444">
        <f>N('費用収益表_業務長期'!U21)-N(U173)</f>
        <v>0</v>
      </c>
    </row>
    <row r="174">
      <c r="C174" s="443" t="n">
        <v>0</v>
      </c>
      <c r="D174" s="443" t="n">
        <v>0</v>
      </c>
      <c r="E174" s="443" t="n">
        <v>0</v>
      </c>
      <c r="F174" s="443" t="n">
        <v>0</v>
      </c>
      <c r="G174" s="443" t="n">
        <v>0</v>
      </c>
      <c r="H174" s="443" t="n">
        <v>0</v>
      </c>
      <c r="I174" s="443" t="n">
        <v>0</v>
      </c>
      <c r="J174" s="443" t="n">
        <v>0</v>
      </c>
      <c r="K174" s="443" t="n">
        <v>0</v>
      </c>
      <c r="L174" s="443" t="n">
        <v>0</v>
      </c>
      <c r="M174" s="443" t="n">
        <v>0</v>
      </c>
      <c r="N174" s="443" t="n">
        <v>0</v>
      </c>
      <c r="P174" s="443" t="n">
        <v>0</v>
      </c>
      <c r="S174" s="443" t="n">
        <v>0</v>
      </c>
      <c r="T174" s="443" t="n">
        <v>0</v>
      </c>
      <c r="Z174" s="444">
        <f>N('費用収益表_業務長期'!C22)-N(C174)</f>
        <v>0</v>
      </c>
      <c r="AA174" s="444">
        <f>N('費用収益表_業務長期'!D22)-N(D174)</f>
        <v>0</v>
      </c>
      <c r="AB174" s="444">
        <f>N('費用収益表_業務長期'!E22)-N(E174)</f>
        <v>0</v>
      </c>
      <c r="AC174" s="444">
        <f>N('費用収益表_業務長期'!F22)-N(F174)</f>
        <v>0</v>
      </c>
      <c r="AD174" s="444">
        <f>N('費用収益表_業務長期'!G22)-N(G174)</f>
        <v>0</v>
      </c>
      <c r="AE174" s="444">
        <f>N('費用収益表_業務長期'!H22)-N(H174)</f>
        <v>0</v>
      </c>
      <c r="AF174" s="444">
        <f>N('費用収益表_業務長期'!I22)-N(I174)</f>
        <v>0</v>
      </c>
      <c r="AG174" s="444">
        <f>N('費用収益表_業務長期'!J22)-N(J174)</f>
        <v>0</v>
      </c>
      <c r="AH174" s="444">
        <f>N('費用収益表_業務長期'!K22)-N(K174)</f>
        <v>0</v>
      </c>
      <c r="AI174" s="444">
        <f>N('費用収益表_業務長期'!L22)-N(L174)</f>
        <v>0</v>
      </c>
      <c r="AJ174" s="444">
        <f>N('費用収益表_業務長期'!M22)-N(M174)</f>
        <v>0</v>
      </c>
      <c r="AK174" s="444">
        <f>N('費用収益表_業務長期'!N22)-N(N174)</f>
        <v>0</v>
      </c>
      <c r="AL174" s="444">
        <f>N('費用収益表_業務長期'!O22)-N(O174)</f>
        <v>0</v>
      </c>
      <c r="AM174" s="444">
        <f>N('費用収益表_業務長期'!P22)-N(P174)</f>
        <v>0</v>
      </c>
      <c r="AN174" s="444">
        <f>N('費用収益表_業務長期'!Q22)-N(Q174)</f>
        <v>0</v>
      </c>
      <c r="AO174" s="444">
        <f>N('費用収益表_業務長期'!R22)-N(R174)</f>
        <v>0</v>
      </c>
      <c r="AP174" s="444">
        <f>N('費用収益表_業務長期'!S22)-N(S174)</f>
        <v>0</v>
      </c>
      <c r="AQ174" s="444">
        <f>N('費用収益表_業務長期'!T22)-N(T174)</f>
        <v>0</v>
      </c>
      <c r="AR174" s="444">
        <f>N('費用収益表_業務長期'!U22)-N(U174)</f>
        <v>0</v>
      </c>
    </row>
    <row r="175">
      <c r="C175" s="443" t="n">
        <v>0</v>
      </c>
      <c r="D175" s="443" t="n">
        <v>69613</v>
      </c>
      <c r="E175" s="443" t="n">
        <v>69613</v>
      </c>
      <c r="F175" s="443" t="n">
        <v>69613</v>
      </c>
      <c r="G175" s="443" t="n">
        <v>69613</v>
      </c>
      <c r="H175" s="443" t="n">
        <v>69613</v>
      </c>
      <c r="I175" s="443" t="n">
        <v>69613</v>
      </c>
      <c r="J175" s="443" t="n">
        <v>116495</v>
      </c>
      <c r="K175" s="443" t="n">
        <v>69613</v>
      </c>
      <c r="L175" s="443" t="n">
        <v>69613</v>
      </c>
      <c r="M175" s="443" t="n">
        <v>69613</v>
      </c>
      <c r="N175" s="443" t="n">
        <v>69613</v>
      </c>
      <c r="O175" s="443" t="n">
        <v>88088</v>
      </c>
      <c r="P175" s="443" t="n">
        <v>900713</v>
      </c>
      <c r="Q175" s="443" t="n">
        <v>1027000</v>
      </c>
      <c r="S175" s="443" t="n">
        <v>1027000</v>
      </c>
      <c r="T175" s="443" t="n">
        <v>126287</v>
      </c>
      <c r="Z175" s="444">
        <f>N('費用収益表_業務長期'!C23)-N(C175)</f>
        <v>0</v>
      </c>
      <c r="AA175" s="444">
        <f>N('費用収益表_業務長期'!D23)-N(D175)</f>
        <v>0</v>
      </c>
      <c r="AB175" s="444">
        <f>N('費用収益表_業務長期'!E23)-N(E175)</f>
        <v>0</v>
      </c>
      <c r="AC175" s="444">
        <f>N('費用収益表_業務長期'!F23)-N(F175)</f>
        <v>0</v>
      </c>
      <c r="AD175" s="444">
        <f>N('費用収益表_業務長期'!G23)-N(G175)</f>
        <v>0</v>
      </c>
      <c r="AE175" s="444">
        <f>N('費用収益表_業務長期'!H23)-N(H175)</f>
        <v>0</v>
      </c>
      <c r="AF175" s="444">
        <f>N('費用収益表_業務長期'!I23)-N(I175)</f>
        <v>0</v>
      </c>
      <c r="AG175" s="444">
        <f>N('費用収益表_業務長期'!J23)-N(J175)</f>
        <v>0</v>
      </c>
      <c r="AH175" s="444">
        <f>N('費用収益表_業務長期'!K23)-N(K175)</f>
        <v>0</v>
      </c>
      <c r="AI175" s="444">
        <f>N('費用収益表_業務長期'!L23)-N(L175)</f>
        <v>0</v>
      </c>
      <c r="AJ175" s="444">
        <f>N('費用収益表_業務長期'!M23)-N(M175)</f>
        <v>0</v>
      </c>
      <c r="AK175" s="444">
        <f>N('費用収益表_業務長期'!N23)-N(N175)</f>
        <v>0</v>
      </c>
      <c r="AL175" s="444">
        <f>N('費用収益表_業務長期'!O23)-N(O175)</f>
        <v>0</v>
      </c>
      <c r="AM175" s="444">
        <f>N('費用収益表_業務長期'!P23)-N(P175)</f>
        <v>0</v>
      </c>
      <c r="AN175" s="444">
        <f>N('費用収益表_業務長期'!Q23)-N(Q175)</f>
        <v>0</v>
      </c>
      <c r="AO175" s="444">
        <f>N('費用収益表_業務長期'!R23)-N(R175)</f>
        <v>0</v>
      </c>
      <c r="AP175" s="444">
        <f>N('費用収益表_業務長期'!S23)-N(S175)</f>
        <v>0</v>
      </c>
      <c r="AQ175" s="444">
        <f>N('費用収益表_業務長期'!T23)-N(T175)</f>
        <v>0</v>
      </c>
      <c r="AR175" s="444">
        <f>N('費用収益表_業務長期'!U23)-N(U175)</f>
        <v>0</v>
      </c>
    </row>
    <row r="176">
      <c r="C176" s="443" t="n">
        <v>0</v>
      </c>
      <c r="D176" s="443" t="n">
        <v>0</v>
      </c>
      <c r="E176" s="443" t="n">
        <v>0</v>
      </c>
      <c r="F176" s="443" t="n">
        <v>0</v>
      </c>
      <c r="G176" s="443" t="n">
        <v>0</v>
      </c>
      <c r="H176" s="443" t="n">
        <v>0</v>
      </c>
      <c r="I176" s="443" t="n">
        <v>0</v>
      </c>
      <c r="J176" s="443" t="n">
        <v>151989</v>
      </c>
      <c r="K176" s="443" t="n">
        <v>0</v>
      </c>
      <c r="L176" s="443" t="n">
        <v>227354</v>
      </c>
      <c r="M176" s="443" t="n">
        <v>0</v>
      </c>
      <c r="N176" s="443" t="n">
        <v>0</v>
      </c>
      <c r="O176" s="443" t="n">
        <v>250322</v>
      </c>
      <c r="P176" s="443" t="n">
        <v>629665</v>
      </c>
      <c r="Q176" s="443" t="n">
        <v>993000</v>
      </c>
      <c r="S176" s="443" t="n">
        <v>993000</v>
      </c>
      <c r="T176" s="443" t="n">
        <v>363335</v>
      </c>
      <c r="Z176" s="444">
        <f>N('費用収益表_業務長期'!C24)-N(C176)</f>
        <v>0</v>
      </c>
      <c r="AA176" s="444">
        <f>N('費用収益表_業務長期'!D24)-N(D176)</f>
        <v>0</v>
      </c>
      <c r="AB176" s="444">
        <f>N('費用収益表_業務長期'!E24)-N(E176)</f>
        <v>0</v>
      </c>
      <c r="AC176" s="444">
        <f>N('費用収益表_業務長期'!F24)-N(F176)</f>
        <v>0</v>
      </c>
      <c r="AD176" s="444">
        <f>N('費用収益表_業務長期'!G24)-N(G176)</f>
        <v>0</v>
      </c>
      <c r="AE176" s="444">
        <f>N('費用収益表_業務長期'!H24)-N(H176)</f>
        <v>0</v>
      </c>
      <c r="AF176" s="444">
        <f>N('費用収益表_業務長期'!I24)-N(I176)</f>
        <v>0</v>
      </c>
      <c r="AG176" s="444">
        <f>N('費用収益表_業務長期'!J24)-N(J176)</f>
        <v>0</v>
      </c>
      <c r="AH176" s="444">
        <f>N('費用収益表_業務長期'!K24)-N(K176)</f>
        <v>0</v>
      </c>
      <c r="AI176" s="444">
        <f>N('費用収益表_業務長期'!L24)-N(L176)</f>
        <v>0</v>
      </c>
      <c r="AJ176" s="444">
        <f>N('費用収益表_業務長期'!M24)-N(M176)</f>
        <v>0</v>
      </c>
      <c r="AK176" s="444">
        <f>N('費用収益表_業務長期'!N24)-N(N176)</f>
        <v>0</v>
      </c>
      <c r="AL176" s="444">
        <f>N('費用収益表_業務長期'!O24)-N(O176)</f>
        <v>0</v>
      </c>
      <c r="AM176" s="444">
        <f>N('費用収益表_業務長期'!P24)-N(P176)</f>
        <v>0</v>
      </c>
      <c r="AN176" s="444">
        <f>N('費用収益表_業務長期'!Q24)-N(Q176)</f>
        <v>0</v>
      </c>
      <c r="AO176" s="444">
        <f>N('費用収益表_業務長期'!R24)-N(R176)</f>
        <v>0</v>
      </c>
      <c r="AP176" s="444">
        <f>N('費用収益表_業務長期'!S24)-N(S176)</f>
        <v>0</v>
      </c>
      <c r="AQ176" s="444">
        <f>N('費用収益表_業務長期'!T24)-N(T176)</f>
        <v>0</v>
      </c>
      <c r="AR176" s="444">
        <f>N('費用収益表_業務長期'!U24)-N(U176)</f>
        <v>0</v>
      </c>
    </row>
    <row r="177">
      <c r="C177" s="443" t="n">
        <v>0</v>
      </c>
      <c r="D177" s="443" t="n">
        <v>0</v>
      </c>
      <c r="E177" s="443" t="n">
        <v>0</v>
      </c>
      <c r="F177" s="443" t="n">
        <v>0</v>
      </c>
      <c r="G177" s="443" t="n">
        <v>0</v>
      </c>
      <c r="H177" s="443" t="n">
        <v>0</v>
      </c>
      <c r="I177" s="443" t="n">
        <v>0</v>
      </c>
      <c r="J177" s="443" t="n">
        <v>0</v>
      </c>
      <c r="K177" s="443" t="n">
        <v>0</v>
      </c>
      <c r="L177" s="443" t="n">
        <v>0</v>
      </c>
      <c r="M177" s="443" t="n">
        <v>0</v>
      </c>
      <c r="N177" s="443" t="n">
        <v>0</v>
      </c>
      <c r="O177" s="443" t="n">
        <v>0</v>
      </c>
      <c r="P177" s="443" t="n">
        <v>0</v>
      </c>
      <c r="Q177" s="443" t="n">
        <v>0</v>
      </c>
      <c r="S177" s="443" t="n">
        <v>0</v>
      </c>
      <c r="T177" s="443" t="n">
        <v>0</v>
      </c>
      <c r="Z177" s="444">
        <f>N('費用収益表_業務長期'!C25)-N(C177)</f>
        <v>0</v>
      </c>
      <c r="AA177" s="444">
        <f>N('費用収益表_業務長期'!D25)-N(D177)</f>
        <v>0</v>
      </c>
      <c r="AB177" s="444">
        <f>N('費用収益表_業務長期'!E25)-N(E177)</f>
        <v>0</v>
      </c>
      <c r="AC177" s="444">
        <f>N('費用収益表_業務長期'!F25)-N(F177)</f>
        <v>0</v>
      </c>
      <c r="AD177" s="444">
        <f>N('費用収益表_業務長期'!G25)-N(G177)</f>
        <v>0</v>
      </c>
      <c r="AE177" s="444">
        <f>N('費用収益表_業務長期'!H25)-N(H177)</f>
        <v>0</v>
      </c>
      <c r="AF177" s="444">
        <f>N('費用収益表_業務長期'!I25)-N(I177)</f>
        <v>0</v>
      </c>
      <c r="AG177" s="444">
        <f>N('費用収益表_業務長期'!J25)-N(J177)</f>
        <v>0</v>
      </c>
      <c r="AH177" s="444">
        <f>N('費用収益表_業務長期'!K25)-N(K177)</f>
        <v>0</v>
      </c>
      <c r="AI177" s="444">
        <f>N('費用収益表_業務長期'!L25)-N(L177)</f>
        <v>0</v>
      </c>
      <c r="AJ177" s="444">
        <f>N('費用収益表_業務長期'!M25)-N(M177)</f>
        <v>0</v>
      </c>
      <c r="AK177" s="444">
        <f>N('費用収益表_業務長期'!N25)-N(N177)</f>
        <v>0</v>
      </c>
      <c r="AL177" s="444">
        <f>N('費用収益表_業務長期'!O25)-N(O177)</f>
        <v>0</v>
      </c>
      <c r="AM177" s="444">
        <f>N('費用収益表_業務長期'!P25)-N(P177)</f>
        <v>0</v>
      </c>
      <c r="AN177" s="444">
        <f>N('費用収益表_業務長期'!Q25)-N(Q177)</f>
        <v>0</v>
      </c>
      <c r="AO177" s="444">
        <f>N('費用収益表_業務長期'!R25)-N(R177)</f>
        <v>0</v>
      </c>
      <c r="AP177" s="444">
        <f>N('費用収益表_業務長期'!S25)-N(S177)</f>
        <v>0</v>
      </c>
      <c r="AQ177" s="444">
        <f>N('費用収益表_業務長期'!T25)-N(T177)</f>
        <v>0</v>
      </c>
      <c r="AR177" s="444">
        <f>N('費用収益表_業務長期'!U25)-N(U177)</f>
        <v>0</v>
      </c>
    </row>
    <row r="178">
      <c r="C178" s="443" t="n">
        <v>0</v>
      </c>
      <c r="D178" s="443" t="n">
        <v>0</v>
      </c>
      <c r="E178" s="443" t="n">
        <v>0</v>
      </c>
      <c r="F178" s="443" t="n">
        <v>0</v>
      </c>
      <c r="G178" s="443" t="n">
        <v>0</v>
      </c>
      <c r="H178" s="443" t="n">
        <v>0</v>
      </c>
      <c r="I178" s="443" t="n">
        <v>0</v>
      </c>
      <c r="J178" s="443" t="n">
        <v>0</v>
      </c>
      <c r="K178" s="443" t="n">
        <v>0</v>
      </c>
      <c r="L178" s="443" t="n">
        <v>0</v>
      </c>
      <c r="M178" s="443" t="n">
        <v>0</v>
      </c>
      <c r="N178" s="443" t="n">
        <v>0</v>
      </c>
      <c r="O178" s="443" t="n">
        <v>0</v>
      </c>
      <c r="P178" s="443" t="n">
        <v>0</v>
      </c>
      <c r="Q178" s="443" t="n">
        <v>0</v>
      </c>
      <c r="S178" s="443" t="n">
        <v>0</v>
      </c>
      <c r="T178" s="443" t="n">
        <v>0</v>
      </c>
      <c r="Z178" s="444">
        <f>N('費用収益表_業務長期'!C26)-N(C178)</f>
        <v>0</v>
      </c>
      <c r="AA178" s="444">
        <f>N('費用収益表_業務長期'!D26)-N(D178)</f>
        <v>0</v>
      </c>
      <c r="AB178" s="444">
        <f>N('費用収益表_業務長期'!E26)-N(E178)</f>
        <v>0</v>
      </c>
      <c r="AC178" s="444">
        <f>N('費用収益表_業務長期'!F26)-N(F178)</f>
        <v>0</v>
      </c>
      <c r="AD178" s="444">
        <f>N('費用収益表_業務長期'!G26)-N(G178)</f>
        <v>0</v>
      </c>
      <c r="AE178" s="444">
        <f>N('費用収益表_業務長期'!H26)-N(H178)</f>
        <v>0</v>
      </c>
      <c r="AF178" s="444">
        <f>N('費用収益表_業務長期'!I26)-N(I178)</f>
        <v>0</v>
      </c>
      <c r="AG178" s="444">
        <f>N('費用収益表_業務長期'!J26)-N(J178)</f>
        <v>0</v>
      </c>
      <c r="AH178" s="444">
        <f>N('費用収益表_業務長期'!K26)-N(K178)</f>
        <v>0</v>
      </c>
      <c r="AI178" s="444">
        <f>N('費用収益表_業務長期'!L26)-N(L178)</f>
        <v>0</v>
      </c>
      <c r="AJ178" s="444">
        <f>N('費用収益表_業務長期'!M26)-N(M178)</f>
        <v>0</v>
      </c>
      <c r="AK178" s="444">
        <f>N('費用収益表_業務長期'!N26)-N(N178)</f>
        <v>0</v>
      </c>
      <c r="AL178" s="444">
        <f>N('費用収益表_業務長期'!O26)-N(O178)</f>
        <v>0</v>
      </c>
      <c r="AM178" s="444">
        <f>N('費用収益表_業務長期'!P26)-N(P178)</f>
        <v>0</v>
      </c>
      <c r="AN178" s="444">
        <f>N('費用収益表_業務長期'!Q26)-N(Q178)</f>
        <v>0</v>
      </c>
      <c r="AO178" s="444">
        <f>N('費用収益表_業務長期'!R26)-N(R178)</f>
        <v>0</v>
      </c>
      <c r="AP178" s="444">
        <f>N('費用収益表_業務長期'!S26)-N(S178)</f>
        <v>0</v>
      </c>
      <c r="AQ178" s="444">
        <f>N('費用収益表_業務長期'!T26)-N(T178)</f>
        <v>0</v>
      </c>
      <c r="AR178" s="444">
        <f>N('費用収益表_業務長期'!U26)-N(U178)</f>
        <v>0</v>
      </c>
    </row>
    <row r="179">
      <c r="C179" s="443" t="n">
        <v>466</v>
      </c>
      <c r="D179" s="443" t="n">
        <v>466</v>
      </c>
      <c r="E179" s="443" t="n">
        <v>466</v>
      </c>
      <c r="F179" s="443" t="n">
        <v>466</v>
      </c>
      <c r="G179" s="443" t="n">
        <v>466</v>
      </c>
      <c r="H179" s="443" t="n">
        <v>466</v>
      </c>
      <c r="I179" s="443" t="n">
        <v>535</v>
      </c>
      <c r="J179" s="443" t="n">
        <v>535</v>
      </c>
      <c r="K179" s="443" t="n">
        <v>535</v>
      </c>
      <c r="L179" s="443" t="n">
        <v>725</v>
      </c>
      <c r="M179" s="443" t="n">
        <v>554</v>
      </c>
      <c r="N179" s="443" t="n">
        <v>554</v>
      </c>
      <c r="O179" s="443" t="n">
        <v>0</v>
      </c>
      <c r="P179" s="443" t="n">
        <v>6234</v>
      </c>
      <c r="Q179" s="443" t="n">
        <v>1155000</v>
      </c>
      <c r="S179" s="443" t="n">
        <v>1155000</v>
      </c>
      <c r="T179" s="443" t="n">
        <v>125916</v>
      </c>
      <c r="Z179" s="444">
        <f>N('費用収益表_業務長期'!C27)-N(C179)</f>
        <v>0</v>
      </c>
      <c r="AA179" s="444">
        <f>N('費用収益表_業務長期'!D27)-N(D179)</f>
        <v>0</v>
      </c>
      <c r="AB179" s="444">
        <f>N('費用収益表_業務長期'!E27)-N(E179)</f>
        <v>0</v>
      </c>
      <c r="AC179" s="444">
        <f>N('費用収益表_業務長期'!F27)-N(F179)</f>
        <v>0</v>
      </c>
      <c r="AD179" s="444">
        <f>N('費用収益表_業務長期'!G27)-N(G179)</f>
        <v>0</v>
      </c>
      <c r="AE179" s="444">
        <f>N('費用収益表_業務長期'!H27)-N(H179)</f>
        <v>0</v>
      </c>
      <c r="AF179" s="444">
        <f>N('費用収益表_業務長期'!I27)-N(I179)</f>
        <v>0</v>
      </c>
      <c r="AG179" s="444">
        <f>N('費用収益表_業務長期'!J27)-N(J179)</f>
        <v>0</v>
      </c>
      <c r="AH179" s="444">
        <f>N('費用収益表_業務長期'!K27)-N(K179)</f>
        <v>0</v>
      </c>
      <c r="AI179" s="444">
        <f>N('費用収益表_業務長期'!L27)-N(L179)</f>
        <v>0</v>
      </c>
      <c r="AJ179" s="444">
        <f>N('費用収益表_業務長期'!M27)-N(M179)</f>
        <v>0</v>
      </c>
      <c r="AK179" s="444">
        <f>N('費用収益表_業務長期'!N27)-N(N179)</f>
        <v>0</v>
      </c>
      <c r="AL179" s="444">
        <f>N('費用収益表_業務長期'!O27)-N(O179)</f>
        <v>0</v>
      </c>
      <c r="AM179" s="444">
        <f>N('費用収益表_業務長期'!P27)-N(P179)</f>
        <v>0</v>
      </c>
      <c r="AN179" s="444">
        <f>N('費用収益表_業務長期'!Q27)-N(Q179)</f>
        <v>0</v>
      </c>
      <c r="AO179" s="444">
        <f>N('費用収益表_業務長期'!R27)-N(R179)</f>
        <v>0</v>
      </c>
      <c r="AP179" s="444">
        <f>N('費用収益表_業務長期'!S27)-N(S179)</f>
        <v>0</v>
      </c>
      <c r="AQ179" s="444">
        <f>N('費用収益表_業務長期'!T27)-N(T179)</f>
        <v>0</v>
      </c>
      <c r="AR179" s="444">
        <f>N('費用収益表_業務長期'!U27)-N(U179)</f>
        <v>0</v>
      </c>
    </row>
    <row r="180">
      <c r="P180" s="443" t="n">
        <v>0</v>
      </c>
      <c r="Z180" s="444">
        <f>N('費用収益表_業務長期'!C28)-N(C180)</f>
        <v>0</v>
      </c>
      <c r="AA180" s="444">
        <f>N('費用収益表_業務長期'!D28)-N(D180)</f>
        <v>0</v>
      </c>
      <c r="AB180" s="444">
        <f>N('費用収益表_業務長期'!E28)-N(E180)</f>
        <v>0</v>
      </c>
      <c r="AC180" s="444">
        <f>N('費用収益表_業務長期'!F28)-N(F180)</f>
        <v>0</v>
      </c>
      <c r="AD180" s="444">
        <f>N('費用収益表_業務長期'!G28)-N(G180)</f>
        <v>0</v>
      </c>
      <c r="AE180" s="444">
        <f>N('費用収益表_業務長期'!H28)-N(H180)</f>
        <v>0</v>
      </c>
      <c r="AF180" s="444">
        <f>N('費用収益表_業務長期'!I28)-N(I180)</f>
        <v>0</v>
      </c>
      <c r="AG180" s="444">
        <f>N('費用収益表_業務長期'!J28)-N(J180)</f>
        <v>0</v>
      </c>
      <c r="AH180" s="444">
        <f>N('費用収益表_業務長期'!K28)-N(K180)</f>
        <v>0</v>
      </c>
      <c r="AI180" s="444">
        <f>N('費用収益表_業務長期'!L28)-N(L180)</f>
        <v>0</v>
      </c>
      <c r="AJ180" s="444">
        <f>N('費用収益表_業務長期'!M28)-N(M180)</f>
        <v>0</v>
      </c>
      <c r="AK180" s="444">
        <f>N('費用収益表_業務長期'!N28)-N(N180)</f>
        <v>0</v>
      </c>
      <c r="AL180" s="444">
        <f>N('費用収益表_業務長期'!O28)-N(O180)</f>
        <v>0</v>
      </c>
      <c r="AM180" s="444">
        <f>N('費用収益表_業務長期'!P28)-N(P180)</f>
        <v>0</v>
      </c>
      <c r="AN180" s="444">
        <f>N('費用収益表_業務長期'!Q28)-N(Q180)</f>
        <v>0</v>
      </c>
      <c r="AO180" s="444">
        <f>N('費用収益表_業務長期'!R28)-N(R180)</f>
        <v>0</v>
      </c>
      <c r="AP180" s="444">
        <f>N('費用収益表_業務長期'!S28)-N(S180)</f>
        <v>0</v>
      </c>
      <c r="AQ180" s="444">
        <f>N('費用収益表_業務長期'!T28)-N(T180)</f>
        <v>0</v>
      </c>
      <c r="AR180" s="444">
        <f>N('費用収益表_業務長期'!U28)-N(U180)</f>
        <v>0</v>
      </c>
    </row>
    <row r="181">
      <c r="C181" s="443" t="n">
        <v>22035</v>
      </c>
      <c r="D181" s="443" t="n">
        <v>22035</v>
      </c>
      <c r="E181" s="443" t="n">
        <v>71165</v>
      </c>
      <c r="F181" s="443" t="n">
        <v>22035</v>
      </c>
      <c r="G181" s="443" t="n">
        <v>22035</v>
      </c>
      <c r="H181" s="443" t="n">
        <v>20974</v>
      </c>
      <c r="I181" s="443" t="n">
        <v>22835</v>
      </c>
      <c r="J181" s="443" t="n">
        <v>22835</v>
      </c>
      <c r="K181" s="443" t="n">
        <v>60083</v>
      </c>
      <c r="L181" s="443" t="n">
        <v>25338</v>
      </c>
      <c r="M181" s="443" t="n">
        <v>22835</v>
      </c>
      <c r="N181" s="443" t="n">
        <v>26637</v>
      </c>
      <c r="P181" s="443" t="n">
        <v>360842</v>
      </c>
      <c r="Z181" s="444">
        <f>N('費用収益表_業務長期'!C29)-N(C181)</f>
        <v>0</v>
      </c>
      <c r="AA181" s="444">
        <f>N('費用収益表_業務長期'!D29)-N(D181)</f>
        <v>0</v>
      </c>
      <c r="AB181" s="444">
        <f>N('費用収益表_業務長期'!E29)-N(E181)</f>
        <v>0</v>
      </c>
      <c r="AC181" s="444">
        <f>N('費用収益表_業務長期'!F29)-N(F181)</f>
        <v>0</v>
      </c>
      <c r="AD181" s="444">
        <f>N('費用収益表_業務長期'!G29)-N(G181)</f>
        <v>0</v>
      </c>
      <c r="AE181" s="444">
        <f>N('費用収益表_業務長期'!H29)-N(H181)</f>
        <v>0</v>
      </c>
      <c r="AF181" s="444">
        <f>N('費用収益表_業務長期'!I29)-N(I181)</f>
        <v>0</v>
      </c>
      <c r="AG181" s="444">
        <f>N('費用収益表_業務長期'!J29)-N(J181)</f>
        <v>0</v>
      </c>
      <c r="AH181" s="444">
        <f>N('費用収益表_業務長期'!K29)-N(K181)</f>
        <v>0</v>
      </c>
      <c r="AI181" s="444">
        <f>N('費用収益表_業務長期'!L29)-N(L181)</f>
        <v>0</v>
      </c>
      <c r="AJ181" s="444">
        <f>N('費用収益表_業務長期'!M29)-N(M181)</f>
        <v>0</v>
      </c>
      <c r="AK181" s="444">
        <f>N('費用収益表_業務長期'!N29)-N(N181)</f>
        <v>0</v>
      </c>
      <c r="AL181" s="444">
        <f>N('費用収益表_業務長期'!O29)-N(O181)</f>
        <v>0</v>
      </c>
      <c r="AM181" s="444">
        <f>N('費用収益表_業務長期'!P29)-N(P181)</f>
        <v>0</v>
      </c>
      <c r="AN181" s="444">
        <f>N('費用収益表_業務長期'!Q29)-N(Q181)</f>
        <v>0</v>
      </c>
      <c r="AO181" s="444">
        <f>N('費用収益表_業務長期'!R29)-N(R181)</f>
        <v>0</v>
      </c>
      <c r="AP181" s="444">
        <f>N('費用収益表_業務長期'!S29)-N(S181)</f>
        <v>0</v>
      </c>
      <c r="AQ181" s="444">
        <f>N('費用収益表_業務長期'!T29)-N(T181)</f>
        <v>0</v>
      </c>
      <c r="AR181" s="444">
        <f>N('費用収益表_業務長期'!U29)-N(U181)</f>
        <v>0</v>
      </c>
    </row>
    <row r="182">
      <c r="C182" s="443" t="n">
        <v>0</v>
      </c>
      <c r="D182" s="443" t="n">
        <v>0</v>
      </c>
      <c r="E182" s="443" t="n">
        <v>74178</v>
      </c>
      <c r="F182" s="443" t="n">
        <v>37089</v>
      </c>
      <c r="G182" s="443" t="n">
        <v>119541</v>
      </c>
      <c r="H182" s="443" t="n">
        <v>37089</v>
      </c>
      <c r="I182" s="443" t="n">
        <v>37089</v>
      </c>
      <c r="J182" s="443" t="n">
        <v>0</v>
      </c>
      <c r="K182" s="443" t="n">
        <v>37089</v>
      </c>
      <c r="L182" s="443" t="n">
        <v>37089</v>
      </c>
      <c r="M182" s="443" t="n">
        <v>96147</v>
      </c>
      <c r="N182" s="443" t="n">
        <v>78076</v>
      </c>
      <c r="O182" s="443" t="n">
        <v>37469</v>
      </c>
      <c r="P182" s="443" t="n">
        <v>590856</v>
      </c>
      <c r="Z182" s="444">
        <f>N('費用収益表_業務長期'!C30)-N(C182)</f>
        <v>0</v>
      </c>
      <c r="AA182" s="444">
        <f>N('費用収益表_業務長期'!D30)-N(D182)</f>
        <v>0</v>
      </c>
      <c r="AB182" s="444">
        <f>N('費用収益表_業務長期'!E30)-N(E182)</f>
        <v>0</v>
      </c>
      <c r="AC182" s="444">
        <f>N('費用収益表_業務長期'!F30)-N(F182)</f>
        <v>0</v>
      </c>
      <c r="AD182" s="444">
        <f>N('費用収益表_業務長期'!G30)-N(G182)</f>
        <v>0</v>
      </c>
      <c r="AE182" s="444">
        <f>N('費用収益表_業務長期'!H30)-N(H182)</f>
        <v>0</v>
      </c>
      <c r="AF182" s="444">
        <f>N('費用収益表_業務長期'!I30)-N(I182)</f>
        <v>0</v>
      </c>
      <c r="AG182" s="444">
        <f>N('費用収益表_業務長期'!J30)-N(J182)</f>
        <v>0</v>
      </c>
      <c r="AH182" s="444">
        <f>N('費用収益表_業務長期'!K30)-N(K182)</f>
        <v>0</v>
      </c>
      <c r="AI182" s="444">
        <f>N('費用収益表_業務長期'!L30)-N(L182)</f>
        <v>0</v>
      </c>
      <c r="AJ182" s="444">
        <f>N('費用収益表_業務長期'!M30)-N(M182)</f>
        <v>0</v>
      </c>
      <c r="AK182" s="444">
        <f>N('費用収益表_業務長期'!N30)-N(N182)</f>
        <v>0</v>
      </c>
      <c r="AL182" s="444">
        <f>N('費用収益表_業務長期'!O30)-N(O182)</f>
        <v>0</v>
      </c>
      <c r="AM182" s="444">
        <f>N('費用収益表_業務長期'!P30)-N(P182)</f>
        <v>0</v>
      </c>
      <c r="AN182" s="444">
        <f>N('費用収益表_業務長期'!Q30)-N(Q182)</f>
        <v>0</v>
      </c>
      <c r="AO182" s="444">
        <f>N('費用収益表_業務長期'!R30)-N(R182)</f>
        <v>0</v>
      </c>
      <c r="AP182" s="444">
        <f>N('費用収益表_業務長期'!S30)-N(S182)</f>
        <v>0</v>
      </c>
      <c r="AQ182" s="444">
        <f>N('費用収益表_業務長期'!T30)-N(T182)</f>
        <v>0</v>
      </c>
      <c r="AR182" s="444">
        <f>N('費用収益表_業務長期'!U30)-N(U182)</f>
        <v>0</v>
      </c>
    </row>
    <row r="183">
      <c r="F183" s="443" t="n">
        <v>71152</v>
      </c>
      <c r="P183" s="443" t="n">
        <v>71152</v>
      </c>
      <c r="Z183" s="444">
        <f>N('費用収益表_業務長期'!C31)-N(C183)</f>
        <v>0</v>
      </c>
      <c r="AA183" s="444">
        <f>N('費用収益表_業務長期'!D31)-N(D183)</f>
        <v>0</v>
      </c>
      <c r="AB183" s="444">
        <f>N('費用収益表_業務長期'!E31)-N(E183)</f>
        <v>0</v>
      </c>
      <c r="AC183" s="444">
        <f>N('費用収益表_業務長期'!F31)-N(F183)</f>
        <v>0</v>
      </c>
      <c r="AD183" s="444">
        <f>N('費用収益表_業務長期'!G31)-N(G183)</f>
        <v>0</v>
      </c>
      <c r="AE183" s="444">
        <f>N('費用収益表_業務長期'!H31)-N(H183)</f>
        <v>0</v>
      </c>
      <c r="AF183" s="444">
        <f>N('費用収益表_業務長期'!I31)-N(I183)</f>
        <v>0</v>
      </c>
      <c r="AG183" s="444">
        <f>N('費用収益表_業務長期'!J31)-N(J183)</f>
        <v>0</v>
      </c>
      <c r="AH183" s="444">
        <f>N('費用収益表_業務長期'!K31)-N(K183)</f>
        <v>0</v>
      </c>
      <c r="AI183" s="444">
        <f>N('費用収益表_業務長期'!L31)-N(L183)</f>
        <v>0</v>
      </c>
      <c r="AJ183" s="444">
        <f>N('費用収益表_業務長期'!M31)-N(M183)</f>
        <v>0</v>
      </c>
      <c r="AK183" s="444">
        <f>N('費用収益表_業務長期'!N31)-N(N183)</f>
        <v>0</v>
      </c>
      <c r="AL183" s="444">
        <f>N('費用収益表_業務長期'!O31)-N(O183)</f>
        <v>0</v>
      </c>
      <c r="AM183" s="444">
        <f>N('費用収益表_業務長期'!P31)-N(P183)</f>
        <v>0</v>
      </c>
      <c r="AN183" s="444">
        <f>N('費用収益表_業務長期'!Q31)-N(Q183)</f>
        <v>0</v>
      </c>
      <c r="AO183" s="444">
        <f>N('費用収益表_業務長期'!R31)-N(R183)</f>
        <v>0</v>
      </c>
      <c r="AP183" s="444">
        <f>N('費用収益表_業務長期'!S31)-N(S183)</f>
        <v>0</v>
      </c>
      <c r="AQ183" s="444">
        <f>N('費用収益表_業務長期'!T31)-N(T183)</f>
        <v>0</v>
      </c>
      <c r="AR183" s="444">
        <f>N('費用収益表_業務長期'!U31)-N(U183)</f>
        <v>0</v>
      </c>
    </row>
    <row r="184">
      <c r="C184" s="443" t="n">
        <v>0</v>
      </c>
      <c r="D184" s="443" t="n">
        <v>520</v>
      </c>
      <c r="P184" s="443" t="n">
        <v>520</v>
      </c>
      <c r="Q184" s="443" t="n">
        <v>1000</v>
      </c>
      <c r="S184" s="443" t="n">
        <v>1000</v>
      </c>
      <c r="T184" s="443" t="n">
        <v>480</v>
      </c>
      <c r="Z184" s="444">
        <f>N('費用収益表_業務長期'!C32)-N(C184)</f>
        <v>0</v>
      </c>
      <c r="AA184" s="444">
        <f>N('費用収益表_業務長期'!D32)-N(D184)</f>
        <v>0</v>
      </c>
      <c r="AB184" s="444">
        <f>N('費用収益表_業務長期'!E32)-N(E184)</f>
        <v>0</v>
      </c>
      <c r="AC184" s="444">
        <f>N('費用収益表_業務長期'!F32)-N(F184)</f>
        <v>0</v>
      </c>
      <c r="AD184" s="444">
        <f>N('費用収益表_業務長期'!G32)-N(G184)</f>
        <v>0</v>
      </c>
      <c r="AE184" s="444">
        <f>N('費用収益表_業務長期'!H32)-N(H184)</f>
        <v>0</v>
      </c>
      <c r="AF184" s="444">
        <f>N('費用収益表_業務長期'!I32)-N(I184)</f>
        <v>0</v>
      </c>
      <c r="AG184" s="444">
        <f>N('費用収益表_業務長期'!J32)-N(J184)</f>
        <v>0</v>
      </c>
      <c r="AH184" s="444">
        <f>N('費用収益表_業務長期'!K32)-N(K184)</f>
        <v>0</v>
      </c>
      <c r="AI184" s="444">
        <f>N('費用収益表_業務長期'!L32)-N(L184)</f>
        <v>0</v>
      </c>
      <c r="AJ184" s="444">
        <f>N('費用収益表_業務長期'!M32)-N(M184)</f>
        <v>0</v>
      </c>
      <c r="AK184" s="444">
        <f>N('費用収益表_業務長期'!N32)-N(N184)</f>
        <v>0</v>
      </c>
      <c r="AL184" s="444">
        <f>N('費用収益表_業務長期'!O32)-N(O184)</f>
        <v>0</v>
      </c>
      <c r="AM184" s="444">
        <f>N('費用収益表_業務長期'!P32)-N(P184)</f>
        <v>0</v>
      </c>
      <c r="AN184" s="444">
        <f>N('費用収益表_業務長期'!Q32)-N(Q184)</f>
        <v>0</v>
      </c>
      <c r="AO184" s="444">
        <f>N('費用収益表_業務長期'!R32)-N(R184)</f>
        <v>0</v>
      </c>
      <c r="AP184" s="444">
        <f>N('費用収益表_業務長期'!S32)-N(S184)</f>
        <v>0</v>
      </c>
      <c r="AQ184" s="444">
        <f>N('費用収益表_業務長期'!T32)-N(T184)</f>
        <v>0</v>
      </c>
      <c r="AR184" s="444">
        <f>N('費用収益表_業務長期'!U32)-N(U184)</f>
        <v>0</v>
      </c>
    </row>
    <row r="185">
      <c r="C185" s="443" t="n">
        <v>22501</v>
      </c>
      <c r="D185" s="443" t="n">
        <v>23021</v>
      </c>
      <c r="E185" s="443" t="n">
        <v>145809</v>
      </c>
      <c r="F185" s="443" t="n">
        <v>130742</v>
      </c>
      <c r="G185" s="443" t="n">
        <v>142042</v>
      </c>
      <c r="H185" s="443" t="n">
        <v>58529</v>
      </c>
      <c r="I185" s="443" t="n">
        <v>60459</v>
      </c>
      <c r="J185" s="443" t="n">
        <v>23370</v>
      </c>
      <c r="K185" s="443" t="n">
        <v>97707</v>
      </c>
      <c r="L185" s="443" t="n">
        <v>63152</v>
      </c>
      <c r="M185" s="443" t="n">
        <v>119536</v>
      </c>
      <c r="N185" s="443" t="n">
        <v>105267</v>
      </c>
      <c r="O185" s="443" t="n">
        <v>37469</v>
      </c>
      <c r="P185" s="443" t="n">
        <v>1029604</v>
      </c>
      <c r="Q185" s="443" t="n">
        <v>1156000</v>
      </c>
      <c r="S185" s="443" t="n">
        <v>1156000</v>
      </c>
      <c r="T185" s="443" t="n">
        <v>126396</v>
      </c>
      <c r="Z185" s="444">
        <f>N('費用収益表_業務長期'!C33)-N(C185)</f>
        <v>0</v>
      </c>
      <c r="AA185" s="444">
        <f>N('費用収益表_業務長期'!D33)-N(D185)</f>
        <v>0</v>
      </c>
      <c r="AB185" s="444">
        <f>N('費用収益表_業務長期'!E33)-N(E185)</f>
        <v>0</v>
      </c>
      <c r="AC185" s="444">
        <f>N('費用収益表_業務長期'!F33)-N(F185)</f>
        <v>0</v>
      </c>
      <c r="AD185" s="444">
        <f>N('費用収益表_業務長期'!G33)-N(G185)</f>
        <v>0</v>
      </c>
      <c r="AE185" s="444">
        <f>N('費用収益表_業務長期'!H33)-N(H185)</f>
        <v>0</v>
      </c>
      <c r="AF185" s="444">
        <f>N('費用収益表_業務長期'!I33)-N(I185)</f>
        <v>0</v>
      </c>
      <c r="AG185" s="444">
        <f>N('費用収益表_業務長期'!J33)-N(J185)</f>
        <v>0</v>
      </c>
      <c r="AH185" s="444">
        <f>N('費用収益表_業務長期'!K33)-N(K185)</f>
        <v>0</v>
      </c>
      <c r="AI185" s="444">
        <f>N('費用収益表_業務長期'!L33)-N(L185)</f>
        <v>0</v>
      </c>
      <c r="AJ185" s="444">
        <f>N('費用収益表_業務長期'!M33)-N(M185)</f>
        <v>0</v>
      </c>
      <c r="AK185" s="444">
        <f>N('費用収益表_業務長期'!N33)-N(N185)</f>
        <v>0</v>
      </c>
      <c r="AL185" s="444">
        <f>N('費用収益表_業務長期'!O33)-N(O185)</f>
        <v>0</v>
      </c>
      <c r="AM185" s="444">
        <f>N('費用収益表_業務長期'!P33)-N(P185)</f>
        <v>0</v>
      </c>
      <c r="AN185" s="444">
        <f>N('費用収益表_業務長期'!Q33)-N(Q185)</f>
        <v>0</v>
      </c>
      <c r="AO185" s="444">
        <f>N('費用収益表_業務長期'!R33)-N(R185)</f>
        <v>0</v>
      </c>
      <c r="AP185" s="444">
        <f>N('費用収益表_業務長期'!S33)-N(S185)</f>
        <v>0</v>
      </c>
      <c r="AQ185" s="444">
        <f>N('費用収益表_業務長期'!T33)-N(T185)</f>
        <v>0</v>
      </c>
      <c r="AR185" s="444">
        <f>N('費用収益表_業務長期'!U33)-N(U185)</f>
        <v>0</v>
      </c>
    </row>
    <row r="186">
      <c r="P186" s="443" t="n">
        <v>0</v>
      </c>
      <c r="Q186" s="443" t="n">
        <v>0</v>
      </c>
      <c r="S186" s="443" t="n">
        <v>0</v>
      </c>
      <c r="T186" s="443" t="n">
        <v>0</v>
      </c>
      <c r="Z186" s="444">
        <f>N('費用収益表_業務長期'!C34)-N(C186)</f>
        <v>0</v>
      </c>
      <c r="AA186" s="444">
        <f>N('費用収益表_業務長期'!D34)-N(D186)</f>
        <v>0</v>
      </c>
      <c r="AB186" s="444">
        <f>N('費用収益表_業務長期'!E34)-N(E186)</f>
        <v>0</v>
      </c>
      <c r="AC186" s="444">
        <f>N('費用収益表_業務長期'!F34)-N(F186)</f>
        <v>0</v>
      </c>
      <c r="AD186" s="444">
        <f>N('費用収益表_業務長期'!G34)-N(G186)</f>
        <v>0</v>
      </c>
      <c r="AE186" s="444">
        <f>N('費用収益表_業務長期'!H34)-N(H186)</f>
        <v>0</v>
      </c>
      <c r="AF186" s="444">
        <f>N('費用収益表_業務長期'!I34)-N(I186)</f>
        <v>0</v>
      </c>
      <c r="AG186" s="444">
        <f>N('費用収益表_業務長期'!J34)-N(J186)</f>
        <v>0</v>
      </c>
      <c r="AH186" s="444">
        <f>N('費用収益表_業務長期'!K34)-N(K186)</f>
        <v>0</v>
      </c>
      <c r="AI186" s="444">
        <f>N('費用収益表_業務長期'!L34)-N(L186)</f>
        <v>0</v>
      </c>
      <c r="AJ186" s="444">
        <f>N('費用収益表_業務長期'!M34)-N(M186)</f>
        <v>0</v>
      </c>
      <c r="AK186" s="444">
        <f>N('費用収益表_業務長期'!N34)-N(N186)</f>
        <v>0</v>
      </c>
      <c r="AL186" s="444">
        <f>N('費用収益表_業務長期'!O34)-N(O186)</f>
        <v>0</v>
      </c>
      <c r="AM186" s="444">
        <f>N('費用収益表_業務長期'!P34)-N(P186)</f>
        <v>0</v>
      </c>
      <c r="AN186" s="444">
        <f>N('費用収益表_業務長期'!Q34)-N(Q186)</f>
        <v>0</v>
      </c>
      <c r="AO186" s="444">
        <f>N('費用収益表_業務長期'!R34)-N(R186)</f>
        <v>0</v>
      </c>
      <c r="AP186" s="444">
        <f>N('費用収益表_業務長期'!S34)-N(S186)</f>
        <v>0</v>
      </c>
      <c r="AQ186" s="444">
        <f>N('費用収益表_業務長期'!T34)-N(T186)</f>
        <v>0</v>
      </c>
      <c r="AR186" s="444">
        <f>N('費用収益表_業務長期'!U34)-N(U186)</f>
        <v>0</v>
      </c>
    </row>
    <row r="187">
      <c r="D187" s="443" t="n">
        <v>5366000</v>
      </c>
      <c r="E187" s="443" t="n">
        <v>5366000</v>
      </c>
      <c r="F187" s="443" t="n">
        <v>5366000</v>
      </c>
      <c r="G187" s="443" t="n">
        <v>5366000</v>
      </c>
      <c r="H187" s="443" t="n">
        <v>5366000</v>
      </c>
      <c r="I187" s="443" t="n">
        <v>4513000</v>
      </c>
      <c r="J187" s="443" t="n">
        <v>4513000</v>
      </c>
      <c r="K187" s="443" t="n">
        <v>4513000</v>
      </c>
      <c r="L187" s="443" t="n">
        <v>4513000</v>
      </c>
      <c r="M187" s="443" t="n">
        <v>4513000</v>
      </c>
      <c r="N187" s="443" t="n">
        <v>9023000</v>
      </c>
      <c r="O187" s="443" t="n">
        <v>0</v>
      </c>
      <c r="P187" s="443" t="n">
        <v>58418000</v>
      </c>
      <c r="Q187" s="443" t="n">
        <v>64386000</v>
      </c>
      <c r="S187" s="443" t="n">
        <v>64386000</v>
      </c>
      <c r="T187" s="443" t="n">
        <v>5968000</v>
      </c>
      <c r="Z187" s="444">
        <f>N('費用収益表_業務長期'!C35)-N(C187)</f>
        <v>0</v>
      </c>
      <c r="AA187" s="444">
        <f>N('費用収益表_業務長期'!D35)-N(D187)</f>
        <v>0</v>
      </c>
      <c r="AB187" s="444">
        <f>N('費用収益表_業務長期'!E35)-N(E187)</f>
        <v>0</v>
      </c>
      <c r="AC187" s="444">
        <f>N('費用収益表_業務長期'!F35)-N(F187)</f>
        <v>0</v>
      </c>
      <c r="AD187" s="444">
        <f>N('費用収益表_業務長期'!G35)-N(G187)</f>
        <v>0</v>
      </c>
      <c r="AE187" s="444">
        <f>N('費用収益表_業務長期'!H35)-N(H187)</f>
        <v>0</v>
      </c>
      <c r="AF187" s="444">
        <f>N('費用収益表_業務長期'!I35)-N(I187)</f>
        <v>0</v>
      </c>
      <c r="AG187" s="444">
        <f>N('費用収益表_業務長期'!J35)-N(J187)</f>
        <v>0</v>
      </c>
      <c r="AH187" s="444">
        <f>N('費用収益表_業務長期'!K35)-N(K187)</f>
        <v>0</v>
      </c>
      <c r="AI187" s="444">
        <f>N('費用収益表_業務長期'!L35)-N(L187)</f>
        <v>0</v>
      </c>
      <c r="AJ187" s="444">
        <f>N('費用収益表_業務長期'!M35)-N(M187)</f>
        <v>0</v>
      </c>
      <c r="AK187" s="444">
        <f>N('費用収益表_業務長期'!N35)-N(N187)</f>
        <v>0</v>
      </c>
      <c r="AL187" s="444">
        <f>N('費用収益表_業務長期'!O35)-N(O187)</f>
        <v>0</v>
      </c>
      <c r="AM187" s="444">
        <f>N('費用収益表_業務長期'!P35)-N(P187)</f>
        <v>0</v>
      </c>
      <c r="AN187" s="444">
        <f>N('費用収益表_業務長期'!Q35)-N(Q187)</f>
        <v>0</v>
      </c>
      <c r="AO187" s="444">
        <f>N('費用収益表_業務長期'!R35)-N(R187)</f>
        <v>0</v>
      </c>
      <c r="AP187" s="444">
        <f>N('費用収益表_業務長期'!S35)-N(S187)</f>
        <v>0</v>
      </c>
      <c r="AQ187" s="444">
        <f>N('費用収益表_業務長期'!T35)-N(T187)</f>
        <v>0</v>
      </c>
      <c r="AR187" s="444">
        <f>N('費用収益表_業務長期'!U35)-N(U187)</f>
        <v>0</v>
      </c>
    </row>
    <row r="188">
      <c r="P188" s="443" t="n">
        <v>0</v>
      </c>
      <c r="Q188" s="443" t="n">
        <v>0</v>
      </c>
      <c r="S188" s="443" t="n">
        <v>0</v>
      </c>
      <c r="T188" s="443" t="n">
        <v>0</v>
      </c>
      <c r="Z188" s="444">
        <f>N('費用収益表_業務長期'!C36)-N(C188)</f>
        <v>0</v>
      </c>
      <c r="AA188" s="444">
        <f>N('費用収益表_業務長期'!D36)-N(D188)</f>
        <v>0</v>
      </c>
      <c r="AB188" s="444">
        <f>N('費用収益表_業務長期'!E36)-N(E188)</f>
        <v>0</v>
      </c>
      <c r="AC188" s="444">
        <f>N('費用収益表_業務長期'!F36)-N(F188)</f>
        <v>0</v>
      </c>
      <c r="AD188" s="444">
        <f>N('費用収益表_業務長期'!G36)-N(G188)</f>
        <v>0</v>
      </c>
      <c r="AE188" s="444">
        <f>N('費用収益表_業務長期'!H36)-N(H188)</f>
        <v>0</v>
      </c>
      <c r="AF188" s="444">
        <f>N('費用収益表_業務長期'!I36)-N(I188)</f>
        <v>0</v>
      </c>
      <c r="AG188" s="444">
        <f>N('費用収益表_業務長期'!J36)-N(J188)</f>
        <v>0</v>
      </c>
      <c r="AH188" s="444">
        <f>N('費用収益表_業務長期'!K36)-N(K188)</f>
        <v>0</v>
      </c>
      <c r="AI188" s="444">
        <f>N('費用収益表_業務長期'!L36)-N(L188)</f>
        <v>0</v>
      </c>
      <c r="AJ188" s="444">
        <f>N('費用収益表_業務長期'!M36)-N(M188)</f>
        <v>0</v>
      </c>
      <c r="AK188" s="444">
        <f>N('費用収益表_業務長期'!N36)-N(N188)</f>
        <v>0</v>
      </c>
      <c r="AL188" s="444">
        <f>N('費用収益表_業務長期'!O36)-N(O188)</f>
        <v>0</v>
      </c>
      <c r="AM188" s="444">
        <f>N('費用収益表_業務長期'!P36)-N(P188)</f>
        <v>0</v>
      </c>
      <c r="AN188" s="444">
        <f>N('費用収益表_業務長期'!Q36)-N(Q188)</f>
        <v>0</v>
      </c>
      <c r="AO188" s="444">
        <f>N('費用収益表_業務長期'!R36)-N(R188)</f>
        <v>0</v>
      </c>
      <c r="AP188" s="444">
        <f>N('費用収益表_業務長期'!S36)-N(S188)</f>
        <v>0</v>
      </c>
      <c r="AQ188" s="444">
        <f>N('費用収益表_業務長期'!T36)-N(T188)</f>
        <v>0</v>
      </c>
      <c r="AR188" s="444">
        <f>N('費用収益表_業務長期'!U36)-N(U188)</f>
        <v>0</v>
      </c>
    </row>
    <row r="189">
      <c r="P189" s="443" t="n">
        <v>0</v>
      </c>
      <c r="Q189" s="443" t="n">
        <v>0</v>
      </c>
      <c r="S189" s="443" t="n">
        <v>0</v>
      </c>
      <c r="T189" s="443" t="n">
        <v>0</v>
      </c>
      <c r="Z189" s="444">
        <f>N('費用収益表_業務長期'!C37)-N(C189)</f>
        <v>0</v>
      </c>
      <c r="AA189" s="444">
        <f>N('費用収益表_業務長期'!D37)-N(D189)</f>
        <v>0</v>
      </c>
      <c r="AB189" s="444">
        <f>N('費用収益表_業務長期'!E37)-N(E189)</f>
        <v>0</v>
      </c>
      <c r="AC189" s="444">
        <f>N('費用収益表_業務長期'!F37)-N(F189)</f>
        <v>0</v>
      </c>
      <c r="AD189" s="444">
        <f>N('費用収益表_業務長期'!G37)-N(G189)</f>
        <v>0</v>
      </c>
      <c r="AE189" s="444">
        <f>N('費用収益表_業務長期'!H37)-N(H189)</f>
        <v>0</v>
      </c>
      <c r="AF189" s="444">
        <f>N('費用収益表_業務長期'!I37)-N(I189)</f>
        <v>0</v>
      </c>
      <c r="AG189" s="444">
        <f>N('費用収益表_業務長期'!J37)-N(J189)</f>
        <v>0</v>
      </c>
      <c r="AH189" s="444">
        <f>N('費用収益表_業務長期'!K37)-N(K189)</f>
        <v>0</v>
      </c>
      <c r="AI189" s="444">
        <f>N('費用収益表_業務長期'!L37)-N(L189)</f>
        <v>0</v>
      </c>
      <c r="AJ189" s="444">
        <f>N('費用収益表_業務長期'!M37)-N(M189)</f>
        <v>0</v>
      </c>
      <c r="AK189" s="444">
        <f>N('費用収益表_業務長期'!N37)-N(N189)</f>
        <v>0</v>
      </c>
      <c r="AL189" s="444">
        <f>N('費用収益表_業務長期'!O37)-N(O189)</f>
        <v>0</v>
      </c>
      <c r="AM189" s="444">
        <f>N('費用収益表_業務長期'!P37)-N(P189)</f>
        <v>0</v>
      </c>
      <c r="AN189" s="444">
        <f>N('費用収益表_業務長期'!Q37)-N(Q189)</f>
        <v>0</v>
      </c>
      <c r="AO189" s="444">
        <f>N('費用収益表_業務長期'!R37)-N(R189)</f>
        <v>0</v>
      </c>
      <c r="AP189" s="444">
        <f>N('費用収益表_業務長期'!S37)-N(S189)</f>
        <v>0</v>
      </c>
      <c r="AQ189" s="444">
        <f>N('費用収益表_業務長期'!T37)-N(T189)</f>
        <v>0</v>
      </c>
      <c r="AR189" s="444">
        <f>N('費用収益表_業務長期'!U37)-N(U189)</f>
        <v>0</v>
      </c>
    </row>
    <row r="190">
      <c r="C190" s="443" t="n">
        <v>412079</v>
      </c>
      <c r="D190" s="443" t="n">
        <v>6019213</v>
      </c>
      <c r="E190" s="443" t="n">
        <v>6989919</v>
      </c>
      <c r="F190" s="443" t="n">
        <v>7671974</v>
      </c>
      <c r="G190" s="443" t="n">
        <v>7267746</v>
      </c>
      <c r="H190" s="443" t="n">
        <v>6563868</v>
      </c>
      <c r="I190" s="443" t="n">
        <v>5598151</v>
      </c>
      <c r="J190" s="443" t="n">
        <v>6657637</v>
      </c>
      <c r="K190" s="443" t="n">
        <v>6162473</v>
      </c>
      <c r="L190" s="443" t="n">
        <v>6712949</v>
      </c>
      <c r="M190" s="443" t="n">
        <v>6080259</v>
      </c>
      <c r="N190" s="443" t="n">
        <v>10698750</v>
      </c>
      <c r="O190" s="443" t="n">
        <v>784007</v>
      </c>
      <c r="P190" s="443" t="n">
        <v>77619025</v>
      </c>
      <c r="Q190" s="443" t="n">
        <v>87282000</v>
      </c>
      <c r="R190" s="443" t="n">
        <v>0</v>
      </c>
      <c r="S190" s="443" t="n">
        <v>87282000</v>
      </c>
      <c r="T190" s="443" t="n">
        <v>9662975</v>
      </c>
      <c r="U190" s="443" t="n">
        <v>-9662975</v>
      </c>
      <c r="Z190" s="444">
        <f>N('費用収益表_業務長期'!C38)-N(C190)</f>
        <v>0</v>
      </c>
      <c r="AA190" s="444">
        <f>N('費用収益表_業務長期'!D38)-N(D190)</f>
        <v>0</v>
      </c>
      <c r="AB190" s="444">
        <f>N('費用収益表_業務長期'!E38)-N(E190)</f>
        <v>0</v>
      </c>
      <c r="AC190" s="444">
        <f>N('費用収益表_業務長期'!F38)-N(F190)</f>
        <v>0</v>
      </c>
      <c r="AD190" s="444">
        <f>N('費用収益表_業務長期'!G38)-N(G190)</f>
        <v>0</v>
      </c>
      <c r="AE190" s="444">
        <f>N('費用収益表_業務長期'!H38)-N(H190)</f>
        <v>0</v>
      </c>
      <c r="AF190" s="444">
        <f>N('費用収益表_業務長期'!I38)-N(I190)</f>
        <v>0</v>
      </c>
      <c r="AG190" s="444">
        <f>N('費用収益表_業務長期'!J38)-N(J190)</f>
        <v>0</v>
      </c>
      <c r="AH190" s="444">
        <f>N('費用収益表_業務長期'!K38)-N(K190)</f>
        <v>0</v>
      </c>
      <c r="AI190" s="444">
        <f>N('費用収益表_業務長期'!L38)-N(L190)</f>
        <v>0</v>
      </c>
      <c r="AJ190" s="444">
        <f>N('費用収益表_業務長期'!M38)-N(M190)</f>
        <v>0</v>
      </c>
      <c r="AK190" s="444">
        <f>N('費用収益表_業務長期'!N38)-N(N190)</f>
        <v>0</v>
      </c>
      <c r="AL190" s="444">
        <f>N('費用収益表_業務長期'!O38)-N(O190)</f>
        <v>0</v>
      </c>
      <c r="AM190" s="444">
        <f>N('費用収益表_業務長期'!P38)-N(P190)</f>
        <v>0</v>
      </c>
      <c r="AN190" s="444">
        <f>N('費用収益表_業務長期'!Q38)-N(Q190)</f>
        <v>0</v>
      </c>
      <c r="AO190" s="444">
        <f>N('費用収益表_業務長期'!R38)-N(R190)</f>
        <v>0</v>
      </c>
      <c r="AP190" s="444">
        <f>N('費用収益表_業務長期'!S38)-N(S190)</f>
        <v>0</v>
      </c>
      <c r="AQ190" s="444">
        <f>N('費用収益表_業務長期'!T38)-N(T190)</f>
        <v>0</v>
      </c>
      <c r="AR190" s="444">
        <f>N('費用収益表_業務長期'!U38)-N(U190)</f>
        <v>0</v>
      </c>
    </row>
    <row r="191">
      <c r="Z191" s="444">
        <f>N('費用収益表_業務長期'!C39)-N(C191)</f>
        <v>0</v>
      </c>
      <c r="AA191" s="444">
        <f>N('費用収益表_業務長期'!D39)-N(D191)</f>
        <v>0</v>
      </c>
      <c r="AB191" s="444">
        <f>N('費用収益表_業務長期'!E39)-N(E191)</f>
        <v>0</v>
      </c>
      <c r="AC191" s="444">
        <f>N('費用収益表_業務長期'!F39)-N(F191)</f>
        <v>0</v>
      </c>
      <c r="AD191" s="444">
        <f>N('費用収益表_業務長期'!G39)-N(G191)</f>
        <v>0</v>
      </c>
      <c r="AE191" s="444">
        <f>N('費用収益表_業務長期'!H39)-N(H191)</f>
        <v>0</v>
      </c>
      <c r="AF191" s="444">
        <f>N('費用収益表_業務長期'!I39)-N(I191)</f>
        <v>0</v>
      </c>
      <c r="AG191" s="444">
        <f>N('費用収益表_業務長期'!J39)-N(J191)</f>
        <v>0</v>
      </c>
      <c r="AH191" s="444">
        <f>N('費用収益表_業務長期'!K39)-N(K191)</f>
        <v>0</v>
      </c>
      <c r="AI191" s="444">
        <f>N('費用収益表_業務長期'!L39)-N(L191)</f>
        <v>0</v>
      </c>
      <c r="AJ191" s="444">
        <f>N('費用収益表_業務長期'!M39)-N(M191)</f>
        <v>0</v>
      </c>
      <c r="AK191" s="444">
        <f>N('費用収益表_業務長期'!N39)-N(N191)</f>
        <v>0</v>
      </c>
      <c r="AL191" s="444">
        <f>N('費用収益表_業務長期'!O39)-N(O191)</f>
        <v>0</v>
      </c>
      <c r="AM191" s="444">
        <f>N('費用収益表_業務長期'!P39)-N(P191)</f>
        <v>0</v>
      </c>
      <c r="AN191" s="444">
        <f>N('費用収益表_業務長期'!Q39)-N(Q191)</f>
        <v>0</v>
      </c>
      <c r="AO191" s="444">
        <f>N('費用収益表_業務長期'!R39)-N(R191)</f>
        <v>0</v>
      </c>
      <c r="AP191" s="444">
        <f>N('費用収益表_業務長期'!S39)-N(S191)</f>
        <v>0</v>
      </c>
      <c r="AQ191" s="444">
        <f>N('費用収益表_業務長期'!T39)-N(T191)</f>
        <v>0</v>
      </c>
      <c r="AR191" s="444">
        <f>N('費用収益表_業務長期'!U39)-N(U191)</f>
        <v>0</v>
      </c>
    </row>
    <row r="192">
      <c r="Z192" s="444">
        <f>N('費用収益表_業務長期'!C40)-N(C192)</f>
        <v>0</v>
      </c>
      <c r="AA192" s="444">
        <f>N('費用収益表_業務長期'!D40)-N(D192)</f>
        <v>0</v>
      </c>
      <c r="AB192" s="444">
        <f>N('費用収益表_業務長期'!E40)-N(E192)</f>
        <v>0</v>
      </c>
      <c r="AC192" s="444">
        <f>N('費用収益表_業務長期'!F40)-N(F192)</f>
        <v>0</v>
      </c>
      <c r="AD192" s="444">
        <f>N('費用収益表_業務長期'!G40)-N(G192)</f>
        <v>0</v>
      </c>
      <c r="AE192" s="444">
        <f>N('費用収益表_業務長期'!H40)-N(H192)</f>
        <v>0</v>
      </c>
      <c r="AF192" s="444">
        <f>N('費用収益表_業務長期'!I40)-N(I192)</f>
        <v>0</v>
      </c>
      <c r="AG192" s="444">
        <f>N('費用収益表_業務長期'!J40)-N(J192)</f>
        <v>0</v>
      </c>
      <c r="AH192" s="444">
        <f>N('費用収益表_業務長期'!K40)-N(K192)</f>
        <v>0</v>
      </c>
      <c r="AI192" s="444">
        <f>N('費用収益表_業務長期'!L40)-N(L192)</f>
        <v>0</v>
      </c>
      <c r="AJ192" s="444">
        <f>N('費用収益表_業務長期'!M40)-N(M192)</f>
        <v>0</v>
      </c>
      <c r="AK192" s="444">
        <f>N('費用収益表_業務長期'!N40)-N(N192)</f>
        <v>0</v>
      </c>
      <c r="AL192" s="444">
        <f>N('費用収益表_業務長期'!O40)-N(O192)</f>
        <v>0</v>
      </c>
      <c r="AM192" s="444">
        <f>N('費用収益表_業務長期'!P40)-N(P192)</f>
        <v>0</v>
      </c>
      <c r="AN192" s="444">
        <f>N('費用収益表_業務長期'!Q40)-N(Q192)</f>
        <v>0</v>
      </c>
      <c r="AO192" s="444">
        <f>N('費用収益表_業務長期'!R40)-N(R192)</f>
        <v>0</v>
      </c>
      <c r="AP192" s="444">
        <f>N('費用収益表_業務長期'!S40)-N(S192)</f>
        <v>0</v>
      </c>
      <c r="AQ192" s="444">
        <f>N('費用収益表_業務長期'!T40)-N(T192)</f>
        <v>0</v>
      </c>
      <c r="AR192" s="444">
        <f>N('費用収益表_業務長期'!U40)-N(U192)</f>
        <v>0</v>
      </c>
    </row>
    <row r="193">
      <c r="C193" s="443" t="n">
        <v>4513000</v>
      </c>
      <c r="D193" s="443" t="n">
        <v>4513000</v>
      </c>
      <c r="E193" s="443" t="n">
        <v>5366000</v>
      </c>
      <c r="F193" s="443" t="n">
        <v>7823000</v>
      </c>
      <c r="G193" s="443" t="n">
        <v>4513000</v>
      </c>
      <c r="H193" s="443" t="n">
        <v>4513000</v>
      </c>
      <c r="I193" s="443" t="n">
        <v>4513000</v>
      </c>
      <c r="J193" s="443" t="n">
        <v>4513000</v>
      </c>
      <c r="K193" s="443" t="n">
        <v>4513000</v>
      </c>
      <c r="L193" s="443" t="n">
        <v>4513000</v>
      </c>
      <c r="M193" s="443" t="n">
        <v>4513000</v>
      </c>
      <c r="N193" s="443" t="n">
        <v>4510000</v>
      </c>
      <c r="P193" s="443" t="n">
        <v>58316000</v>
      </c>
      <c r="S193" s="443" t="n">
        <v>54153000</v>
      </c>
      <c r="T193" s="443" t="n">
        <v>0</v>
      </c>
      <c r="Z193" s="444">
        <f>N('費用収益表_業務長期'!C41)-N(C193)</f>
        <v>0</v>
      </c>
      <c r="AA193" s="444">
        <f>N('費用収益表_業務長期'!D41)-N(D193)</f>
        <v>0</v>
      </c>
      <c r="AB193" s="444">
        <f>N('費用収益表_業務長期'!E41)-N(E193)</f>
        <v>0</v>
      </c>
      <c r="AC193" s="444">
        <f>N('費用収益表_業務長期'!F41)-N(F193)</f>
        <v>0</v>
      </c>
      <c r="AD193" s="444">
        <f>N('費用収益表_業務長期'!G41)-N(G193)</f>
        <v>0</v>
      </c>
      <c r="AE193" s="444">
        <f>N('費用収益表_業務長期'!H41)-N(H193)</f>
        <v>0</v>
      </c>
      <c r="AF193" s="444">
        <f>N('費用収益表_業務長期'!I41)-N(I193)</f>
        <v>0</v>
      </c>
      <c r="AG193" s="444">
        <f>N('費用収益表_業務長期'!J41)-N(J193)</f>
        <v>0</v>
      </c>
      <c r="AH193" s="444">
        <f>N('費用収益表_業務長期'!K41)-N(K193)</f>
        <v>0</v>
      </c>
      <c r="AI193" s="444">
        <f>N('費用収益表_業務長期'!L41)-N(L193)</f>
        <v>0</v>
      </c>
      <c r="AJ193" s="444">
        <f>N('費用収益表_業務長期'!M41)-N(M193)</f>
        <v>0</v>
      </c>
      <c r="AK193" s="444">
        <f>N('費用収益表_業務長期'!N41)-N(N193)</f>
        <v>0</v>
      </c>
      <c r="AL193" s="444">
        <f>N('費用収益表_業務長期'!O41)-N(O193)</f>
        <v>0</v>
      </c>
      <c r="AM193" s="444">
        <f>N('費用収益表_業務長期'!P41)-N(P193)</f>
        <v>0</v>
      </c>
      <c r="AN193" s="444">
        <f>N('費用収益表_業務長期'!Q41)-N(Q193)</f>
        <v>0</v>
      </c>
      <c r="AO193" s="444">
        <f>N('費用収益表_業務長期'!R41)-N(R193)</f>
        <v>0</v>
      </c>
      <c r="AP193" s="444">
        <f>N('費用収益表_業務長期'!S41)-N(S193)</f>
        <v>0</v>
      </c>
      <c r="AQ193" s="444">
        <f>N('費用収益表_業務長期'!T41)-N(T193)</f>
        <v>0</v>
      </c>
      <c r="AR193" s="444">
        <f>N('費用収益表_業務長期'!U41)-N(U193)</f>
        <v>0</v>
      </c>
    </row>
    <row r="194">
      <c r="N194" s="443" t="n">
        <v>75258</v>
      </c>
      <c r="P194" s="443" t="n">
        <v>75258</v>
      </c>
      <c r="S194" s="443" t="n">
        <v>0</v>
      </c>
      <c r="T194" s="443" t="n">
        <v>0</v>
      </c>
      <c r="Z194" s="444">
        <f>N('費用収益表_業務長期'!C42)-N(C194)</f>
        <v>0</v>
      </c>
      <c r="AA194" s="444">
        <f>N('費用収益表_業務長期'!D42)-N(D194)</f>
        <v>0</v>
      </c>
      <c r="AB194" s="444">
        <f>N('費用収益表_業務長期'!E42)-N(E194)</f>
        <v>0</v>
      </c>
      <c r="AC194" s="444">
        <f>N('費用収益表_業務長期'!F42)-N(F194)</f>
        <v>0</v>
      </c>
      <c r="AD194" s="444">
        <f>N('費用収益表_業務長期'!G42)-N(G194)</f>
        <v>0</v>
      </c>
      <c r="AE194" s="444">
        <f>N('費用収益表_業務長期'!H42)-N(H194)</f>
        <v>0</v>
      </c>
      <c r="AF194" s="444">
        <f>N('費用収益表_業務長期'!I42)-N(I194)</f>
        <v>0</v>
      </c>
      <c r="AG194" s="444">
        <f>N('費用収益表_業務長期'!J42)-N(J194)</f>
        <v>0</v>
      </c>
      <c r="AH194" s="444">
        <f>N('費用収益表_業務長期'!K42)-N(K194)</f>
        <v>0</v>
      </c>
      <c r="AI194" s="444">
        <f>N('費用収益表_業務長期'!L42)-N(L194)</f>
        <v>0</v>
      </c>
      <c r="AJ194" s="444">
        <f>N('費用収益表_業務長期'!M42)-N(M194)</f>
        <v>0</v>
      </c>
      <c r="AK194" s="444">
        <f>N('費用収益表_業務長期'!N42)-N(N194)</f>
        <v>0</v>
      </c>
      <c r="AL194" s="444">
        <f>N('費用収益表_業務長期'!O42)-N(O194)</f>
        <v>0</v>
      </c>
      <c r="AM194" s="444">
        <f>N('費用収益表_業務長期'!P42)-N(P194)</f>
        <v>0</v>
      </c>
      <c r="AN194" s="444">
        <f>N('費用収益表_業務長期'!Q42)-N(Q194)</f>
        <v>0</v>
      </c>
      <c r="AO194" s="444">
        <f>N('費用収益表_業務長期'!R42)-N(R194)</f>
        <v>0</v>
      </c>
      <c r="AP194" s="444">
        <f>N('費用収益表_業務長期'!S42)-N(S194)</f>
        <v>0</v>
      </c>
      <c r="AQ194" s="444">
        <f>N('費用収益表_業務長期'!T42)-N(T194)</f>
        <v>0</v>
      </c>
      <c r="AR194" s="444">
        <f>N('費用収益表_業務長期'!U42)-N(U194)</f>
        <v>0</v>
      </c>
    </row>
    <row r="195">
      <c r="C195" s="443" t="n">
        <v>0</v>
      </c>
      <c r="D195" s="443" t="n">
        <v>4513000</v>
      </c>
      <c r="E195" s="443" t="n">
        <v>5366000</v>
      </c>
      <c r="F195" s="443" t="n">
        <v>5366000</v>
      </c>
      <c r="G195" s="443" t="n">
        <v>5366000</v>
      </c>
      <c r="H195" s="443" t="n">
        <v>5369148</v>
      </c>
      <c r="I195" s="443" t="n">
        <v>0</v>
      </c>
      <c r="J195" s="443" t="n">
        <v>-261410</v>
      </c>
      <c r="K195" s="443" t="n">
        <v>0</v>
      </c>
      <c r="L195" s="443" t="n">
        <v>0</v>
      </c>
      <c r="M195" s="443" t="n">
        <v>0</v>
      </c>
      <c r="N195" s="443" t="n">
        <v>0</v>
      </c>
      <c r="P195" s="443" t="n">
        <v>25718738</v>
      </c>
      <c r="S195" s="443" t="n">
        <v>23147000</v>
      </c>
      <c r="T195" s="443" t="n">
        <v>0</v>
      </c>
      <c r="Z195" s="444">
        <f>N('費用収益表_業務長期'!C43)-N(C195)</f>
        <v>0</v>
      </c>
      <c r="AA195" s="444">
        <f>N('費用収益表_業務長期'!D43)-N(D195)</f>
        <v>0</v>
      </c>
      <c r="AB195" s="444">
        <f>N('費用収益表_業務長期'!E43)-N(E195)</f>
        <v>0</v>
      </c>
      <c r="AC195" s="444">
        <f>N('費用収益表_業務長期'!F43)-N(F195)</f>
        <v>0</v>
      </c>
      <c r="AD195" s="444">
        <f>N('費用収益表_業務長期'!G43)-N(G195)</f>
        <v>0</v>
      </c>
      <c r="AE195" s="444">
        <f>N('費用収益表_業務長期'!H43)-N(H195)</f>
        <v>0</v>
      </c>
      <c r="AF195" s="444">
        <f>N('費用収益表_業務長期'!I43)-N(I195)</f>
        <v>0</v>
      </c>
      <c r="AG195" s="444">
        <f>N('費用収益表_業務長期'!J43)-N(J195)</f>
        <v>0</v>
      </c>
      <c r="AH195" s="444">
        <f>N('費用収益表_業務長期'!K43)-N(K195)</f>
        <v>0</v>
      </c>
      <c r="AI195" s="444">
        <f>N('費用収益表_業務長期'!L43)-N(L195)</f>
        <v>0</v>
      </c>
      <c r="AJ195" s="444">
        <f>N('費用収益表_業務長期'!M43)-N(M195)</f>
        <v>0</v>
      </c>
      <c r="AK195" s="444">
        <f>N('費用収益表_業務長期'!N43)-N(N195)</f>
        <v>0</v>
      </c>
      <c r="AL195" s="444">
        <f>N('費用収益表_業務長期'!O43)-N(O195)</f>
        <v>0</v>
      </c>
      <c r="AM195" s="444">
        <f>N('費用収益表_業務長期'!P43)-N(P195)</f>
        <v>0</v>
      </c>
      <c r="AN195" s="444">
        <f>N('費用収益表_業務長期'!Q43)-N(Q195)</f>
        <v>0</v>
      </c>
      <c r="AO195" s="444">
        <f>N('費用収益表_業務長期'!R43)-N(R195)</f>
        <v>0</v>
      </c>
      <c r="AP195" s="444">
        <f>N('費用収益表_業務長期'!S43)-N(S195)</f>
        <v>0</v>
      </c>
      <c r="AQ195" s="444">
        <f>N('費用収益表_業務長期'!T43)-N(T195)</f>
        <v>0</v>
      </c>
      <c r="AR195" s="444">
        <f>N('費用収益表_業務長期'!U43)-N(U195)</f>
        <v>0</v>
      </c>
    </row>
    <row r="196">
      <c r="P196" s="443" t="n">
        <v>0</v>
      </c>
      <c r="S196" s="443" t="n">
        <v>0</v>
      </c>
      <c r="T196" s="443" t="n">
        <v>0</v>
      </c>
      <c r="Z196" s="444">
        <f>N('費用収益表_業務長期'!C44)-N(C196)</f>
        <v>0</v>
      </c>
      <c r="AA196" s="444">
        <f>N('費用収益表_業務長期'!D44)-N(D196)</f>
        <v>0</v>
      </c>
      <c r="AB196" s="444">
        <f>N('費用収益表_業務長期'!E44)-N(E196)</f>
        <v>0</v>
      </c>
      <c r="AC196" s="444">
        <f>N('費用収益表_業務長期'!F44)-N(F196)</f>
        <v>0</v>
      </c>
      <c r="AD196" s="444">
        <f>N('費用収益表_業務長期'!G44)-N(G196)</f>
        <v>0</v>
      </c>
      <c r="AE196" s="444">
        <f>N('費用収益表_業務長期'!H44)-N(H196)</f>
        <v>0</v>
      </c>
      <c r="AF196" s="444">
        <f>N('費用収益表_業務長期'!I44)-N(I196)</f>
        <v>0</v>
      </c>
      <c r="AG196" s="444">
        <f>N('費用収益表_業務長期'!J44)-N(J196)</f>
        <v>0</v>
      </c>
      <c r="AH196" s="444">
        <f>N('費用収益表_業務長期'!K44)-N(K196)</f>
        <v>0</v>
      </c>
      <c r="AI196" s="444">
        <f>N('費用収益表_業務長期'!L44)-N(L196)</f>
        <v>0</v>
      </c>
      <c r="AJ196" s="444">
        <f>N('費用収益表_業務長期'!M44)-N(M196)</f>
        <v>0</v>
      </c>
      <c r="AK196" s="444">
        <f>N('費用収益表_業務長期'!N44)-N(N196)</f>
        <v>0</v>
      </c>
      <c r="AL196" s="444">
        <f>N('費用収益表_業務長期'!O44)-N(O196)</f>
        <v>0</v>
      </c>
      <c r="AM196" s="444">
        <f>N('費用収益表_業務長期'!P44)-N(P196)</f>
        <v>0</v>
      </c>
      <c r="AN196" s="444">
        <f>N('費用収益表_業務長期'!Q44)-N(Q196)</f>
        <v>0</v>
      </c>
      <c r="AO196" s="444">
        <f>N('費用収益表_業務長期'!R44)-N(R196)</f>
        <v>0</v>
      </c>
      <c r="AP196" s="444">
        <f>N('費用収益表_業務長期'!S44)-N(S196)</f>
        <v>0</v>
      </c>
      <c r="AQ196" s="444">
        <f>N('費用収益表_業務長期'!T44)-N(T196)</f>
        <v>0</v>
      </c>
      <c r="AR196" s="444">
        <f>N('費用収益表_業務長期'!U44)-N(U196)</f>
        <v>0</v>
      </c>
    </row>
    <row r="197">
      <c r="P197" s="443" t="n">
        <v>0</v>
      </c>
      <c r="S197" s="443" t="n">
        <v>0</v>
      </c>
      <c r="T197" s="443" t="n">
        <v>0</v>
      </c>
      <c r="Z197" s="444">
        <f>N('費用収益表_業務長期'!C45)-N(C197)</f>
        <v>0</v>
      </c>
      <c r="AA197" s="444">
        <f>N('費用収益表_業務長期'!D45)-N(D197)</f>
        <v>0</v>
      </c>
      <c r="AB197" s="444">
        <f>N('費用収益表_業務長期'!E45)-N(E197)</f>
        <v>0</v>
      </c>
      <c r="AC197" s="444">
        <f>N('費用収益表_業務長期'!F45)-N(F197)</f>
        <v>0</v>
      </c>
      <c r="AD197" s="444">
        <f>N('費用収益表_業務長期'!G45)-N(G197)</f>
        <v>0</v>
      </c>
      <c r="AE197" s="444">
        <f>N('費用収益表_業務長期'!H45)-N(H197)</f>
        <v>0</v>
      </c>
      <c r="AF197" s="444">
        <f>N('費用収益表_業務長期'!I45)-N(I197)</f>
        <v>0</v>
      </c>
      <c r="AG197" s="444">
        <f>N('費用収益表_業務長期'!J45)-N(J197)</f>
        <v>0</v>
      </c>
      <c r="AH197" s="444">
        <f>N('費用収益表_業務長期'!K45)-N(K197)</f>
        <v>0</v>
      </c>
      <c r="AI197" s="444">
        <f>N('費用収益表_業務長期'!L45)-N(L197)</f>
        <v>0</v>
      </c>
      <c r="AJ197" s="444">
        <f>N('費用収益表_業務長期'!M45)-N(M197)</f>
        <v>0</v>
      </c>
      <c r="AK197" s="444">
        <f>N('費用収益表_業務長期'!N45)-N(N197)</f>
        <v>0</v>
      </c>
      <c r="AL197" s="444">
        <f>N('費用収益表_業務長期'!O45)-N(O197)</f>
        <v>0</v>
      </c>
      <c r="AM197" s="444">
        <f>N('費用収益表_業務長期'!P45)-N(P197)</f>
        <v>0</v>
      </c>
      <c r="AN197" s="444">
        <f>N('費用収益表_業務長期'!Q45)-N(Q197)</f>
        <v>0</v>
      </c>
      <c r="AO197" s="444">
        <f>N('費用収益表_業務長期'!R45)-N(R197)</f>
        <v>0</v>
      </c>
      <c r="AP197" s="444">
        <f>N('費用収益表_業務長期'!S45)-N(S197)</f>
        <v>0</v>
      </c>
      <c r="AQ197" s="444">
        <f>N('費用収益表_業務長期'!T45)-N(T197)</f>
        <v>0</v>
      </c>
      <c r="AR197" s="444">
        <f>N('費用収益表_業務長期'!U45)-N(U197)</f>
        <v>0</v>
      </c>
    </row>
    <row r="198">
      <c r="C198" s="443" t="n">
        <v>4513000</v>
      </c>
      <c r="D198" s="443" t="n">
        <v>9026000</v>
      </c>
      <c r="E198" s="443" t="n">
        <v>10732000</v>
      </c>
      <c r="F198" s="443" t="n">
        <v>13189000</v>
      </c>
      <c r="G198" s="443" t="n">
        <v>9879000</v>
      </c>
      <c r="H198" s="443" t="n">
        <v>9882148</v>
      </c>
      <c r="I198" s="443" t="n">
        <v>4513000</v>
      </c>
      <c r="J198" s="443" t="n">
        <v>4251590</v>
      </c>
      <c r="K198" s="443" t="n">
        <v>4513000</v>
      </c>
      <c r="L198" s="443" t="n">
        <v>4513000</v>
      </c>
      <c r="M198" s="443" t="n">
        <v>4513000</v>
      </c>
      <c r="N198" s="443" t="n">
        <v>4585258</v>
      </c>
      <c r="O198" s="443" t="n">
        <v>0</v>
      </c>
      <c r="P198" s="443" t="n">
        <v>84109996</v>
      </c>
      <c r="Q198" s="443" t="n">
        <v>0</v>
      </c>
      <c r="R198" s="443" t="n">
        <v>0</v>
      </c>
      <c r="S198" s="443" t="n">
        <v>77300000</v>
      </c>
      <c r="T198" s="443" t="n">
        <v>0</v>
      </c>
      <c r="Z198" s="444">
        <f>N('費用収益表_業務長期'!C46)-N(C198)</f>
        <v>0</v>
      </c>
      <c r="AA198" s="444">
        <f>N('費用収益表_業務長期'!D46)-N(D198)</f>
        <v>0</v>
      </c>
      <c r="AB198" s="444">
        <f>N('費用収益表_業務長期'!E46)-N(E198)</f>
        <v>0</v>
      </c>
      <c r="AC198" s="444">
        <f>N('費用収益表_業務長期'!F46)-N(F198)</f>
        <v>0</v>
      </c>
      <c r="AD198" s="444">
        <f>N('費用収益表_業務長期'!G46)-N(G198)</f>
        <v>0</v>
      </c>
      <c r="AE198" s="444">
        <f>N('費用収益表_業務長期'!H46)-N(H198)</f>
        <v>0</v>
      </c>
      <c r="AF198" s="444">
        <f>N('費用収益表_業務長期'!I46)-N(I198)</f>
        <v>0</v>
      </c>
      <c r="AG198" s="444">
        <f>N('費用収益表_業務長期'!J46)-N(J198)</f>
        <v>0</v>
      </c>
      <c r="AH198" s="444">
        <f>N('費用収益表_業務長期'!K46)-N(K198)</f>
        <v>0</v>
      </c>
      <c r="AI198" s="444">
        <f>N('費用収益表_業務長期'!L46)-N(L198)</f>
        <v>0</v>
      </c>
      <c r="AJ198" s="444">
        <f>N('費用収益表_業務長期'!M46)-N(M198)</f>
        <v>0</v>
      </c>
      <c r="AK198" s="444">
        <f>N('費用収益表_業務長期'!N46)-N(N198)</f>
        <v>0</v>
      </c>
      <c r="AL198" s="444">
        <f>N('費用収益表_業務長期'!O46)-N(O198)</f>
        <v>0</v>
      </c>
      <c r="AM198" s="444">
        <f>N('費用収益表_業務長期'!P46)-N(P198)</f>
        <v>0</v>
      </c>
      <c r="AN198" s="444">
        <f>N('費用収益表_業務長期'!Q46)-N(Q198)</f>
        <v>0</v>
      </c>
      <c r="AO198" s="444">
        <f>N('費用収益表_業務長期'!R46)-N(R198)</f>
        <v>0</v>
      </c>
      <c r="AP198" s="444">
        <f>N('費用収益表_業務長期'!S46)-N(S198)</f>
        <v>0</v>
      </c>
      <c r="AQ198" s="444">
        <f>N('費用収益表_業務長期'!T46)-N(T198)</f>
        <v>0</v>
      </c>
      <c r="AR198" s="444">
        <f>N('費用収益表_業務長期'!U46)-N(U198)</f>
        <v>0</v>
      </c>
    </row>
    <row r="199">
      <c r="Z199" s="444">
        <f>N('費用収益表_業務長期'!C47)-N(C199)</f>
        <v>0</v>
      </c>
      <c r="AA199" s="444">
        <f>N('費用収益表_業務長期'!D47)-N(D199)</f>
        <v>0</v>
      </c>
      <c r="AB199" s="444">
        <f>N('費用収益表_業務長期'!E47)-N(E199)</f>
        <v>0</v>
      </c>
      <c r="AC199" s="444">
        <f>N('費用収益表_業務長期'!F47)-N(F199)</f>
        <v>0</v>
      </c>
      <c r="AD199" s="444">
        <f>N('費用収益表_業務長期'!G47)-N(G199)</f>
        <v>0</v>
      </c>
      <c r="AE199" s="444">
        <f>N('費用収益表_業務長期'!H47)-N(H199)</f>
        <v>0</v>
      </c>
      <c r="AF199" s="444">
        <f>N('費用収益表_業務長期'!I47)-N(I199)</f>
        <v>0</v>
      </c>
      <c r="AG199" s="444">
        <f>N('費用収益表_業務長期'!J47)-N(J199)</f>
        <v>0</v>
      </c>
      <c r="AH199" s="444">
        <f>N('費用収益表_業務長期'!K47)-N(K199)</f>
        <v>0</v>
      </c>
      <c r="AI199" s="444">
        <f>N('費用収益表_業務長期'!L47)-N(L199)</f>
        <v>0</v>
      </c>
      <c r="AJ199" s="444">
        <f>N('費用収益表_業務長期'!M47)-N(M199)</f>
        <v>0</v>
      </c>
      <c r="AK199" s="444">
        <f>N('費用収益表_業務長期'!N47)-N(N199)</f>
        <v>0</v>
      </c>
      <c r="AL199" s="444">
        <f>N('費用収益表_業務長期'!O47)-N(O199)</f>
        <v>0</v>
      </c>
      <c r="AM199" s="444">
        <f>N('費用収益表_業務長期'!P47)-N(P199)</f>
        <v>0</v>
      </c>
      <c r="AN199" s="444">
        <f>N('費用収益表_業務長期'!Q47)-N(Q199)</f>
        <v>0</v>
      </c>
      <c r="AO199" s="444">
        <f>N('費用収益表_業務長期'!R47)-N(R199)</f>
        <v>0</v>
      </c>
      <c r="AP199" s="444">
        <f>N('費用収益表_業務長期'!S47)-N(S199)</f>
        <v>0</v>
      </c>
      <c r="AQ199" s="444">
        <f>N('費用収益表_業務長期'!T47)-N(T199)</f>
        <v>0</v>
      </c>
      <c r="AR199" s="444">
        <f>N('費用収益表_業務長期'!U47)-N(U199)</f>
        <v>0</v>
      </c>
    </row>
    <row r="200">
      <c r="C200" s="443" t="n">
        <v>4100921</v>
      </c>
      <c r="D200" s="443" t="n">
        <v>3006787</v>
      </c>
      <c r="E200" s="443" t="n">
        <v>3742081</v>
      </c>
      <c r="F200" s="443" t="n">
        <v>5517026</v>
      </c>
      <c r="G200" s="443" t="n">
        <v>2611254</v>
      </c>
      <c r="H200" s="443" t="n">
        <v>3318280</v>
      </c>
      <c r="I200" s="443" t="n">
        <v>-1085151</v>
      </c>
      <c r="J200" s="443" t="n">
        <v>-2406047</v>
      </c>
      <c r="K200" s="443" t="n">
        <v>-1649473</v>
      </c>
      <c r="L200" s="443" t="n">
        <v>-2199949</v>
      </c>
      <c r="M200" s="443" t="n">
        <v>-1567259</v>
      </c>
      <c r="N200" s="443" t="n">
        <v>-6113492</v>
      </c>
      <c r="O200" s="443" t="n">
        <v>-784007</v>
      </c>
      <c r="P200" s="443" t="n">
        <v>6490971</v>
      </c>
      <c r="Q200" s="443" t="n">
        <v>-87282000</v>
      </c>
      <c r="R200" s="443" t="n">
        <v>0</v>
      </c>
      <c r="S200" s="443" t="n">
        <v>-9982000</v>
      </c>
      <c r="T200" s="443" t="n">
        <v>-9662975</v>
      </c>
      <c r="Z200" s="444">
        <f>N('費用収益表_業務長期'!C48)-N(C200)</f>
        <v>0</v>
      </c>
      <c r="AA200" s="444">
        <f>N('費用収益表_業務長期'!D48)-N(D200)</f>
        <v>0</v>
      </c>
      <c r="AB200" s="444">
        <f>N('費用収益表_業務長期'!E48)-N(E200)</f>
        <v>0</v>
      </c>
      <c r="AC200" s="444">
        <f>N('費用収益表_業務長期'!F48)-N(F200)</f>
        <v>0</v>
      </c>
      <c r="AD200" s="444">
        <f>N('費用収益表_業務長期'!G48)-N(G200)</f>
        <v>0</v>
      </c>
      <c r="AE200" s="444">
        <f>N('費用収益表_業務長期'!H48)-N(H200)</f>
        <v>0</v>
      </c>
      <c r="AF200" s="444">
        <f>N('費用収益表_業務長期'!I48)-N(I200)</f>
        <v>0</v>
      </c>
      <c r="AG200" s="444">
        <f>N('費用収益表_業務長期'!J48)-N(J200)</f>
        <v>0</v>
      </c>
      <c r="AH200" s="444">
        <f>N('費用収益表_業務長期'!K48)-N(K200)</f>
        <v>0</v>
      </c>
      <c r="AI200" s="444">
        <f>N('費用収益表_業務長期'!L48)-N(L200)</f>
        <v>0</v>
      </c>
      <c r="AJ200" s="444">
        <f>N('費用収益表_業務長期'!M48)-N(M200)</f>
        <v>0</v>
      </c>
      <c r="AK200" s="444">
        <f>N('費用収益表_業務長期'!N48)-N(N200)</f>
        <v>0</v>
      </c>
      <c r="AL200" s="444">
        <f>N('費用収益表_業務長期'!O48)-N(O200)</f>
        <v>0</v>
      </c>
      <c r="AM200" s="444">
        <f>N('費用収益表_業務長期'!P48)-N(P200)</f>
        <v>0</v>
      </c>
      <c r="AN200" s="444">
        <f>N('費用収益表_業務長期'!Q48)-N(Q200)</f>
        <v>0</v>
      </c>
      <c r="AO200" s="444">
        <f>N('費用収益表_業務長期'!R48)-N(R200)</f>
        <v>0</v>
      </c>
      <c r="AP200" s="444">
        <f>N('費用収益表_業務長期'!S48)-N(S200)</f>
        <v>0</v>
      </c>
      <c r="AQ200" s="444">
        <f>N('費用収益表_業務長期'!T48)-N(T200)</f>
        <v>0</v>
      </c>
      <c r="AR200" s="444">
        <f>N('費用収益表_業務長期'!U48)-N(U200)</f>
        <v>0</v>
      </c>
    </row>
    <row r="201">
      <c r="Z201" s="444">
        <f>N('費用収益表_業務長期'!C49)-N(C201)</f>
        <v>0</v>
      </c>
      <c r="AA201" s="444">
        <f>N('費用収益表_業務長期'!D49)-N(D201)</f>
        <v>0</v>
      </c>
      <c r="AB201" s="444">
        <f>N('費用収益表_業務長期'!E49)-N(E201)</f>
        <v>0</v>
      </c>
      <c r="AC201" s="444">
        <f>N('費用収益表_業務長期'!F49)-N(F201)</f>
        <v>0</v>
      </c>
      <c r="AD201" s="444">
        <f>N('費用収益表_業務長期'!G49)-N(G201)</f>
        <v>0</v>
      </c>
      <c r="AE201" s="444">
        <f>N('費用収益表_業務長期'!H49)-N(H201)</f>
        <v>0</v>
      </c>
      <c r="AF201" s="444">
        <f>N('費用収益表_業務長期'!I49)-N(I201)</f>
        <v>0</v>
      </c>
      <c r="AG201" s="444">
        <f>N('費用収益表_業務長期'!J49)-N(J201)</f>
        <v>0</v>
      </c>
      <c r="AH201" s="444">
        <f>N('費用収益表_業務長期'!K49)-N(K201)</f>
        <v>0</v>
      </c>
      <c r="AI201" s="444">
        <f>N('費用収益表_業務長期'!L49)-N(L201)</f>
        <v>0</v>
      </c>
      <c r="AJ201" s="444">
        <f>N('費用収益表_業務長期'!M49)-N(M201)</f>
        <v>0</v>
      </c>
      <c r="AK201" s="444">
        <f>N('費用収益表_業務長期'!N49)-N(N201)</f>
        <v>0</v>
      </c>
      <c r="AL201" s="444">
        <f>N('費用収益表_業務長期'!O49)-N(O201)</f>
        <v>0</v>
      </c>
      <c r="AM201" s="444">
        <f>N('費用収益表_業務長期'!P49)-N(P201)</f>
        <v>0</v>
      </c>
      <c r="AN201" s="444">
        <f>N('費用収益表_業務長期'!Q49)-N(Q201)</f>
        <v>0</v>
      </c>
      <c r="AO201" s="444">
        <f>N('費用収益表_業務長期'!R49)-N(R201)</f>
        <v>0</v>
      </c>
      <c r="AP201" s="444">
        <f>N('費用収益表_業務長期'!S49)-N(S201)</f>
        <v>0</v>
      </c>
      <c r="AQ201" s="444">
        <f>N('費用収益表_業務長期'!T49)-N(T201)</f>
        <v>0</v>
      </c>
      <c r="AR201" s="444">
        <f>N('費用収益表_業務長期'!U49)-N(U201)</f>
        <v>0</v>
      </c>
    </row>
    <row r="202">
      <c r="Z202" s="444">
        <f>N('費用収益表_業務長期'!C50)-N(C202)</f>
        <v>0</v>
      </c>
      <c r="AA202" s="444">
        <f>N('費用収益表_業務長期'!D50)-N(D202)</f>
        <v>0</v>
      </c>
      <c r="AB202" s="444">
        <f>N('費用収益表_業務長期'!E50)-N(E202)</f>
        <v>0</v>
      </c>
      <c r="AC202" s="444">
        <f>N('費用収益表_業務長期'!F50)-N(F202)</f>
        <v>0</v>
      </c>
      <c r="AD202" s="444">
        <f>N('費用収益表_業務長期'!G50)-N(G202)</f>
        <v>0</v>
      </c>
      <c r="AE202" s="444">
        <f>N('費用収益表_業務長期'!H50)-N(H202)</f>
        <v>0</v>
      </c>
      <c r="AF202" s="444">
        <f>N('費用収益表_業務長期'!I50)-N(I202)</f>
        <v>0</v>
      </c>
      <c r="AG202" s="444">
        <f>N('費用収益表_業務長期'!J50)-N(J202)</f>
        <v>0</v>
      </c>
      <c r="AH202" s="444">
        <f>N('費用収益表_業務長期'!K50)-N(K202)</f>
        <v>0</v>
      </c>
      <c r="AI202" s="444">
        <f>N('費用収益表_業務長期'!L50)-N(L202)</f>
        <v>0</v>
      </c>
      <c r="AJ202" s="444">
        <f>N('費用収益表_業務長期'!M50)-N(M202)</f>
        <v>0</v>
      </c>
      <c r="AK202" s="444">
        <f>N('費用収益表_業務長期'!N50)-N(N202)</f>
        <v>0</v>
      </c>
      <c r="AL202" s="444">
        <f>N('費用収益表_業務長期'!O50)-N(O202)</f>
        <v>0</v>
      </c>
      <c r="AM202" s="444">
        <f>N('費用収益表_業務長期'!P50)-N(P202)</f>
        <v>0</v>
      </c>
      <c r="AN202" s="444">
        <f>N('費用収益表_業務長期'!Q50)-N(Q202)</f>
        <v>0</v>
      </c>
      <c r="AO202" s="444">
        <f>N('費用収益表_業務長期'!R50)-N(R202)</f>
        <v>0</v>
      </c>
      <c r="AP202" s="444">
        <f>N('費用収益表_業務長期'!S50)-N(S202)</f>
        <v>0</v>
      </c>
      <c r="AQ202" s="444">
        <f>N('費用収益表_業務長期'!T50)-N(T202)</f>
        <v>0</v>
      </c>
      <c r="AR202" s="444">
        <f>N('費用収益表_業務長期'!U50)-N(U202)</f>
        <v>0</v>
      </c>
    </row>
    <row r="203">
      <c r="Q203" s="443" t="n">
        <v>0</v>
      </c>
      <c r="Z203" s="444">
        <f>N('費用収益表_業務長期'!C51)-N(C203)</f>
        <v>0</v>
      </c>
      <c r="AA203" s="444">
        <f>N('費用収益表_業務長期'!D51)-N(D203)</f>
        <v>0</v>
      </c>
      <c r="AB203" s="444">
        <f>N('費用収益表_業務長期'!E51)-N(E203)</f>
        <v>0</v>
      </c>
      <c r="AC203" s="444">
        <f>N('費用収益表_業務長期'!F51)-N(F203)</f>
        <v>0</v>
      </c>
      <c r="AD203" s="444">
        <f>N('費用収益表_業務長期'!G51)-N(G203)</f>
        <v>0</v>
      </c>
      <c r="AE203" s="444">
        <f>N('費用収益表_業務長期'!H51)-N(H203)</f>
        <v>0</v>
      </c>
      <c r="AF203" s="444">
        <f>N('費用収益表_業務長期'!I51)-N(I203)</f>
        <v>0</v>
      </c>
      <c r="AG203" s="444">
        <f>N('費用収益表_業務長期'!J51)-N(J203)</f>
        <v>0</v>
      </c>
      <c r="AH203" s="444">
        <f>N('費用収益表_業務長期'!K51)-N(K203)</f>
        <v>0</v>
      </c>
      <c r="AI203" s="444">
        <f>N('費用収益表_業務長期'!L51)-N(L203)</f>
        <v>0</v>
      </c>
      <c r="AJ203" s="444">
        <f>N('費用収益表_業務長期'!M51)-N(M203)</f>
        <v>0</v>
      </c>
      <c r="AK203" s="444">
        <f>N('費用収益表_業務長期'!N51)-N(N203)</f>
        <v>0</v>
      </c>
      <c r="AL203" s="444">
        <f>N('費用収益表_業務長期'!O51)-N(O203)</f>
        <v>0</v>
      </c>
      <c r="AM203" s="444">
        <f>N('費用収益表_業務長期'!P51)-N(P203)</f>
        <v>0</v>
      </c>
      <c r="AN203" s="444">
        <f>N('費用収益表_業務長期'!Q51)-N(Q203)</f>
        <v>0</v>
      </c>
      <c r="AO203" s="444">
        <f>N('費用収益表_業務長期'!R51)-N(R203)</f>
        <v>0</v>
      </c>
      <c r="AP203" s="444">
        <f>N('費用収益表_業務長期'!S51)-N(S203)</f>
        <v>0</v>
      </c>
      <c r="AQ203" s="444">
        <f>N('費用収益表_業務長期'!T51)-N(T203)</f>
        <v>0</v>
      </c>
      <c r="AR203" s="444">
        <f>N('費用収益表_業務長期'!U51)-N(U203)</f>
        <v>0</v>
      </c>
    </row>
    <row r="204">
      <c r="C204" s="443" t="n">
        <v>0</v>
      </c>
      <c r="D204" s="443" t="n">
        <v>0</v>
      </c>
      <c r="E204" s="443" t="n">
        <v>0</v>
      </c>
      <c r="F204" s="443" t="n">
        <v>0</v>
      </c>
      <c r="G204" s="443" t="n">
        <v>0</v>
      </c>
      <c r="H204" s="443" t="n">
        <v>0</v>
      </c>
      <c r="I204" s="443" t="n">
        <v>0</v>
      </c>
      <c r="J204" s="443" t="n">
        <v>0</v>
      </c>
      <c r="K204" s="443" t="n">
        <v>0</v>
      </c>
      <c r="L204" s="443" t="n">
        <v>0</v>
      </c>
      <c r="M204" s="443" t="n">
        <v>0</v>
      </c>
      <c r="N204" s="443" t="n">
        <v>0</v>
      </c>
      <c r="O204" s="443" t="n">
        <v>0</v>
      </c>
      <c r="Q204" s="443" t="n">
        <v>0</v>
      </c>
      <c r="Z204" s="444">
        <f>N('費用収益表_業務長期'!C52)-N(C204)</f>
        <v>0</v>
      </c>
      <c r="AA204" s="444">
        <f>N('費用収益表_業務長期'!D52)-N(D204)</f>
        <v>0</v>
      </c>
      <c r="AB204" s="444">
        <f>N('費用収益表_業務長期'!E52)-N(E204)</f>
        <v>0</v>
      </c>
      <c r="AC204" s="444">
        <f>N('費用収益表_業務長期'!F52)-N(F204)</f>
        <v>0</v>
      </c>
      <c r="AD204" s="444">
        <f>N('費用収益表_業務長期'!G52)-N(G204)</f>
        <v>0</v>
      </c>
      <c r="AE204" s="444">
        <f>N('費用収益表_業務長期'!H52)-N(H204)</f>
        <v>0</v>
      </c>
      <c r="AF204" s="444">
        <f>N('費用収益表_業務長期'!I52)-N(I204)</f>
        <v>0</v>
      </c>
      <c r="AG204" s="444">
        <f>N('費用収益表_業務長期'!J52)-N(J204)</f>
        <v>0</v>
      </c>
      <c r="AH204" s="444">
        <f>N('費用収益表_業務長期'!K52)-N(K204)</f>
        <v>0</v>
      </c>
      <c r="AI204" s="444">
        <f>N('費用収益表_業務長期'!L52)-N(L204)</f>
        <v>0</v>
      </c>
      <c r="AJ204" s="444">
        <f>N('費用収益表_業務長期'!M52)-N(M204)</f>
        <v>0</v>
      </c>
      <c r="AK204" s="444">
        <f>N('費用収益表_業務長期'!N52)-N(N204)</f>
        <v>0</v>
      </c>
      <c r="AL204" s="444">
        <f>N('費用収益表_業務長期'!O52)-N(O204)</f>
        <v>0</v>
      </c>
      <c r="AM204" s="444">
        <f>N('費用収益表_業務長期'!P52)-N(P204)</f>
        <v>0</v>
      </c>
      <c r="AN204" s="444">
        <f>N('費用収益表_業務長期'!Q52)-N(Q204)</f>
        <v>0</v>
      </c>
      <c r="AO204" s="444">
        <f>N('費用収益表_業務長期'!R52)-N(R204)</f>
        <v>0</v>
      </c>
      <c r="AP204" s="444">
        <f>N('費用収益表_業務長期'!S52)-N(S204)</f>
        <v>0</v>
      </c>
      <c r="AQ204" s="444">
        <f>N('費用収益表_業務長期'!T52)-N(T204)</f>
        <v>0</v>
      </c>
      <c r="AR204" s="444">
        <f>N('費用収益表_業務長期'!U52)-N(U204)</f>
        <v>0</v>
      </c>
    </row>
    <row r="205">
      <c r="C205" s="443" t="n">
        <v>0</v>
      </c>
      <c r="D205" s="443" t="n">
        <v>0</v>
      </c>
      <c r="E205" s="443" t="n">
        <v>0</v>
      </c>
      <c r="F205" s="443" t="n">
        <v>0</v>
      </c>
      <c r="G205" s="443" t="n">
        <v>0</v>
      </c>
      <c r="H205" s="443" t="n">
        <v>0</v>
      </c>
      <c r="I205" s="443" t="n">
        <v>0</v>
      </c>
      <c r="J205" s="443" t="n">
        <v>0</v>
      </c>
      <c r="K205" s="443" t="n">
        <v>0</v>
      </c>
      <c r="L205" s="443" t="n">
        <v>0</v>
      </c>
      <c r="M205" s="443" t="n">
        <v>0</v>
      </c>
      <c r="N205" s="443" t="n">
        <v>0</v>
      </c>
      <c r="Q205" s="443" t="n">
        <v>0</v>
      </c>
      <c r="Z205" s="444">
        <f>N('費用収益表_業務長期'!C53)-N(C205)</f>
        <v>0</v>
      </c>
      <c r="AA205" s="444">
        <f>N('費用収益表_業務長期'!D53)-N(D205)</f>
        <v>0</v>
      </c>
      <c r="AB205" s="444">
        <f>N('費用収益表_業務長期'!E53)-N(E205)</f>
        <v>0</v>
      </c>
      <c r="AC205" s="444">
        <f>N('費用収益表_業務長期'!F53)-N(F205)</f>
        <v>0</v>
      </c>
      <c r="AD205" s="444">
        <f>N('費用収益表_業務長期'!G53)-N(G205)</f>
        <v>0</v>
      </c>
      <c r="AE205" s="444">
        <f>N('費用収益表_業務長期'!H53)-N(H205)</f>
        <v>0</v>
      </c>
      <c r="AF205" s="444">
        <f>N('費用収益表_業務長期'!I53)-N(I205)</f>
        <v>0</v>
      </c>
      <c r="AG205" s="444">
        <f>N('費用収益表_業務長期'!J53)-N(J205)</f>
        <v>0</v>
      </c>
      <c r="AH205" s="444">
        <f>N('費用収益表_業務長期'!K53)-N(K205)</f>
        <v>0</v>
      </c>
      <c r="AI205" s="444">
        <f>N('費用収益表_業務長期'!L53)-N(L205)</f>
        <v>0</v>
      </c>
      <c r="AJ205" s="444">
        <f>N('費用収益表_業務長期'!M53)-N(M205)</f>
        <v>0</v>
      </c>
      <c r="AK205" s="444">
        <f>N('費用収益表_業務長期'!N53)-N(N205)</f>
        <v>0</v>
      </c>
      <c r="AL205" s="444">
        <f>N('費用収益表_業務長期'!O53)-N(O205)</f>
        <v>0</v>
      </c>
      <c r="AM205" s="444">
        <f>N('費用収益表_業務長期'!P53)-N(P205)</f>
        <v>0</v>
      </c>
      <c r="AN205" s="444">
        <f>N('費用収益表_業務長期'!Q53)-N(Q205)</f>
        <v>0</v>
      </c>
      <c r="AO205" s="444">
        <f>N('費用収益表_業務長期'!R53)-N(R205)</f>
        <v>0</v>
      </c>
      <c r="AP205" s="444">
        <f>N('費用収益表_業務長期'!S53)-N(S205)</f>
        <v>0</v>
      </c>
      <c r="AQ205" s="444">
        <f>N('費用収益表_業務長期'!T53)-N(T205)</f>
        <v>0</v>
      </c>
      <c r="AR205" s="444">
        <f>N('費用収益表_業務長期'!U53)-N(U205)</f>
        <v>0</v>
      </c>
    </row>
    <row r="206">
      <c r="E206" s="443" t="n">
        <v>0</v>
      </c>
      <c r="K206" s="443" t="n">
        <v>0</v>
      </c>
      <c r="Q206" s="443" t="n">
        <v>0</v>
      </c>
      <c r="Z206" s="444">
        <f>N('費用収益表_業務長期'!C54)-N(C206)</f>
        <v>0</v>
      </c>
      <c r="AA206" s="444">
        <f>N('費用収益表_業務長期'!D54)-N(D206)</f>
        <v>0</v>
      </c>
      <c r="AB206" s="444">
        <f>N('費用収益表_業務長期'!E54)-N(E206)</f>
        <v>0</v>
      </c>
      <c r="AC206" s="444">
        <f>N('費用収益表_業務長期'!F54)-N(F206)</f>
        <v>0</v>
      </c>
      <c r="AD206" s="444">
        <f>N('費用収益表_業務長期'!G54)-N(G206)</f>
        <v>0</v>
      </c>
      <c r="AE206" s="444">
        <f>N('費用収益表_業務長期'!H54)-N(H206)</f>
        <v>0</v>
      </c>
      <c r="AF206" s="444">
        <f>N('費用収益表_業務長期'!I54)-N(I206)</f>
        <v>0</v>
      </c>
      <c r="AG206" s="444">
        <f>N('費用収益表_業務長期'!J54)-N(J206)</f>
        <v>0</v>
      </c>
      <c r="AH206" s="444">
        <f>N('費用収益表_業務長期'!K54)-N(K206)</f>
        <v>0</v>
      </c>
      <c r="AI206" s="444">
        <f>N('費用収益表_業務長期'!L54)-N(L206)</f>
        <v>0</v>
      </c>
      <c r="AJ206" s="444">
        <f>N('費用収益表_業務長期'!M54)-N(M206)</f>
        <v>0</v>
      </c>
      <c r="AK206" s="444">
        <f>N('費用収益表_業務長期'!N54)-N(N206)</f>
        <v>0</v>
      </c>
      <c r="AL206" s="444">
        <f>N('費用収益表_業務長期'!O54)-N(O206)</f>
        <v>0</v>
      </c>
      <c r="AM206" s="444">
        <f>N('費用収益表_業務長期'!P54)-N(P206)</f>
        <v>0</v>
      </c>
      <c r="AN206" s="444">
        <f>N('費用収益表_業務長期'!Q54)-N(Q206)</f>
        <v>0</v>
      </c>
      <c r="AO206" s="444">
        <f>N('費用収益表_業務長期'!R54)-N(R206)</f>
        <v>0</v>
      </c>
      <c r="AP206" s="444">
        <f>N('費用収益表_業務長期'!S54)-N(S206)</f>
        <v>0</v>
      </c>
      <c r="AQ206" s="444">
        <f>N('費用収益表_業務長期'!T54)-N(T206)</f>
        <v>0</v>
      </c>
      <c r="AR206" s="444">
        <f>N('費用収益表_業務長期'!U54)-N(U206)</f>
        <v>0</v>
      </c>
    </row>
    <row r="207">
      <c r="C207" s="443" t="n">
        <v>0</v>
      </c>
      <c r="D207" s="443" t="n">
        <v>0</v>
      </c>
      <c r="E207" s="443" t="n">
        <v>0</v>
      </c>
      <c r="F207" s="443" t="n">
        <v>0</v>
      </c>
      <c r="G207" s="443" t="n">
        <v>0</v>
      </c>
      <c r="H207" s="443" t="n">
        <v>0</v>
      </c>
      <c r="I207" s="443" t="n">
        <v>0</v>
      </c>
      <c r="J207" s="443" t="n">
        <v>0</v>
      </c>
      <c r="K207" s="443" t="n">
        <v>0</v>
      </c>
      <c r="L207" s="443" t="n">
        <v>0</v>
      </c>
      <c r="M207" s="443" t="n">
        <v>0</v>
      </c>
      <c r="N207" s="443" t="n">
        <v>0</v>
      </c>
      <c r="O207" s="443" t="n">
        <v>0</v>
      </c>
      <c r="Q207" s="443" t="n">
        <v>0</v>
      </c>
      <c r="Z207" s="444">
        <f>N('費用収益表_業務長期'!C55)-N(C207)</f>
        <v>0</v>
      </c>
      <c r="AA207" s="444">
        <f>N('費用収益表_業務長期'!D55)-N(D207)</f>
        <v>0</v>
      </c>
      <c r="AB207" s="444">
        <f>N('費用収益表_業務長期'!E55)-N(E207)</f>
        <v>0</v>
      </c>
      <c r="AC207" s="444">
        <f>N('費用収益表_業務長期'!F55)-N(F207)</f>
        <v>0</v>
      </c>
      <c r="AD207" s="444">
        <f>N('費用収益表_業務長期'!G55)-N(G207)</f>
        <v>0</v>
      </c>
      <c r="AE207" s="444">
        <f>N('費用収益表_業務長期'!H55)-N(H207)</f>
        <v>0</v>
      </c>
      <c r="AF207" s="444">
        <f>N('費用収益表_業務長期'!I55)-N(I207)</f>
        <v>0</v>
      </c>
      <c r="AG207" s="444">
        <f>N('費用収益表_業務長期'!J55)-N(J207)</f>
        <v>0</v>
      </c>
      <c r="AH207" s="444">
        <f>N('費用収益表_業務長期'!K55)-N(K207)</f>
        <v>0</v>
      </c>
      <c r="AI207" s="444">
        <f>N('費用収益表_業務長期'!L55)-N(L207)</f>
        <v>0</v>
      </c>
      <c r="AJ207" s="444">
        <f>N('費用収益表_業務長期'!M55)-N(M207)</f>
        <v>0</v>
      </c>
      <c r="AK207" s="444">
        <f>N('費用収益表_業務長期'!N55)-N(N207)</f>
        <v>0</v>
      </c>
      <c r="AL207" s="444">
        <f>N('費用収益表_業務長期'!O55)-N(O207)</f>
        <v>0</v>
      </c>
      <c r="AM207" s="444">
        <f>N('費用収益表_業務長期'!P55)-N(P207)</f>
        <v>0</v>
      </c>
      <c r="AN207" s="444">
        <f>N('費用収益表_業務長期'!Q55)-N(Q207)</f>
        <v>0</v>
      </c>
      <c r="AO207" s="444">
        <f>N('費用収益表_業務長期'!R55)-N(R207)</f>
        <v>0</v>
      </c>
      <c r="AP207" s="444">
        <f>N('費用収益表_業務長期'!S55)-N(S207)</f>
        <v>0</v>
      </c>
      <c r="AQ207" s="444">
        <f>N('費用収益表_業務長期'!T55)-N(T207)</f>
        <v>0</v>
      </c>
      <c r="AR207" s="444">
        <f>N('費用収益表_業務長期'!U55)-N(U207)</f>
        <v>0</v>
      </c>
    </row>
    <row r="208">
      <c r="C208" s="443" t="n">
        <v>380800</v>
      </c>
      <c r="D208" s="443" t="n">
        <v>380800</v>
      </c>
      <c r="E208" s="443" t="n">
        <v>380800</v>
      </c>
      <c r="F208" s="443" t="n">
        <v>380800</v>
      </c>
      <c r="G208" s="443" t="n">
        <v>380800</v>
      </c>
      <c r="H208" s="443" t="n">
        <v>380800</v>
      </c>
      <c r="I208" s="443" t="n">
        <v>381773</v>
      </c>
      <c r="J208" s="443" t="n">
        <v>381773</v>
      </c>
      <c r="K208" s="443" t="n">
        <v>548800</v>
      </c>
      <c r="L208" s="443" t="n">
        <v>395611</v>
      </c>
      <c r="M208" s="443" t="n">
        <v>395611</v>
      </c>
      <c r="N208" s="443" t="n">
        <v>464977</v>
      </c>
      <c r="Q208" s="443" t="n">
        <v>4853345</v>
      </c>
      <c r="Z208" s="444">
        <f>N('費用収益表_業務長期'!C56)-N(C208)</f>
        <v>0</v>
      </c>
      <c r="AA208" s="444">
        <f>N('費用収益表_業務長期'!D56)-N(D208)</f>
        <v>0</v>
      </c>
      <c r="AB208" s="444">
        <f>N('費用収益表_業務長期'!E56)-N(E208)</f>
        <v>0</v>
      </c>
      <c r="AC208" s="444">
        <f>N('費用収益表_業務長期'!F56)-N(F208)</f>
        <v>0</v>
      </c>
      <c r="AD208" s="444">
        <f>N('費用収益表_業務長期'!G56)-N(G208)</f>
        <v>0</v>
      </c>
      <c r="AE208" s="444">
        <f>N('費用収益表_業務長期'!H56)-N(H208)</f>
        <v>0</v>
      </c>
      <c r="AF208" s="444">
        <f>N('費用収益表_業務長期'!I56)-N(I208)</f>
        <v>0</v>
      </c>
      <c r="AG208" s="444">
        <f>N('費用収益表_業務長期'!J56)-N(J208)</f>
        <v>0</v>
      </c>
      <c r="AH208" s="444">
        <f>N('費用収益表_業務長期'!K56)-N(K208)</f>
        <v>0</v>
      </c>
      <c r="AI208" s="444">
        <f>N('費用収益表_業務長期'!L56)-N(L208)</f>
        <v>0</v>
      </c>
      <c r="AJ208" s="444">
        <f>N('費用収益表_業務長期'!M56)-N(M208)</f>
        <v>0</v>
      </c>
      <c r="AK208" s="444">
        <f>N('費用収益表_業務長期'!N56)-N(N208)</f>
        <v>0</v>
      </c>
      <c r="AL208" s="444">
        <f>N('費用収益表_業務長期'!O56)-N(O208)</f>
        <v>0</v>
      </c>
      <c r="AM208" s="444">
        <f>N('費用収益表_業務長期'!P56)-N(P208)</f>
        <v>0</v>
      </c>
      <c r="AN208" s="444">
        <f>N('費用収益表_業務長期'!Q56)-N(Q208)</f>
        <v>0</v>
      </c>
      <c r="AO208" s="444">
        <f>N('費用収益表_業務長期'!R56)-N(R208)</f>
        <v>0</v>
      </c>
      <c r="AP208" s="444">
        <f>N('費用収益表_業務長期'!S56)-N(S208)</f>
        <v>0</v>
      </c>
      <c r="AQ208" s="444">
        <f>N('費用収益表_業務長期'!T56)-N(T208)</f>
        <v>0</v>
      </c>
      <c r="AR208" s="444">
        <f>N('費用収益表_業務長期'!U56)-N(U208)</f>
        <v>0</v>
      </c>
    </row>
    <row r="209">
      <c r="E209" s="443" t="n">
        <v>867690</v>
      </c>
      <c r="K209" s="443" t="n">
        <v>621532</v>
      </c>
      <c r="Q209" s="443" t="n">
        <v>1489222</v>
      </c>
      <c r="Z209" s="444">
        <f>N('費用収益表_業務長期'!C57)-N(C209)</f>
        <v>0</v>
      </c>
      <c r="AA209" s="444">
        <f>N('費用収益表_業務長期'!D57)-N(D209)</f>
        <v>0</v>
      </c>
      <c r="AB209" s="444">
        <f>N('費用収益表_業務長期'!E57)-N(E209)</f>
        <v>0</v>
      </c>
      <c r="AC209" s="444">
        <f>N('費用収益表_業務長期'!F57)-N(F209)</f>
        <v>0</v>
      </c>
      <c r="AD209" s="444">
        <f>N('費用収益表_業務長期'!G57)-N(G209)</f>
        <v>0</v>
      </c>
      <c r="AE209" s="444">
        <f>N('費用収益表_業務長期'!H57)-N(H209)</f>
        <v>0</v>
      </c>
      <c r="AF209" s="444">
        <f>N('費用収益表_業務長期'!I57)-N(I209)</f>
        <v>0</v>
      </c>
      <c r="AG209" s="444">
        <f>N('費用収益表_業務長期'!J57)-N(J209)</f>
        <v>0</v>
      </c>
      <c r="AH209" s="444">
        <f>N('費用収益表_業務長期'!K57)-N(K209)</f>
        <v>0</v>
      </c>
      <c r="AI209" s="444">
        <f>N('費用収益表_業務長期'!L57)-N(L209)</f>
        <v>0</v>
      </c>
      <c r="AJ209" s="444">
        <f>N('費用収益表_業務長期'!M57)-N(M209)</f>
        <v>0</v>
      </c>
      <c r="AK209" s="444">
        <f>N('費用収益表_業務長期'!N57)-N(N209)</f>
        <v>0</v>
      </c>
      <c r="AL209" s="444">
        <f>N('費用収益表_業務長期'!O57)-N(O209)</f>
        <v>0</v>
      </c>
      <c r="AM209" s="444">
        <f>N('費用収益表_業務長期'!P57)-N(P209)</f>
        <v>0</v>
      </c>
      <c r="AN209" s="444">
        <f>N('費用収益表_業務長期'!Q57)-N(Q209)</f>
        <v>0</v>
      </c>
      <c r="AO209" s="444">
        <f>N('費用収益表_業務長期'!R57)-N(R209)</f>
        <v>0</v>
      </c>
      <c r="AP209" s="444">
        <f>N('費用収益表_業務長期'!S57)-N(S209)</f>
        <v>0</v>
      </c>
      <c r="AQ209" s="444">
        <f>N('費用収益表_業務長期'!T57)-N(T209)</f>
        <v>0</v>
      </c>
      <c r="AR209" s="444">
        <f>N('費用収益表_業務長期'!U57)-N(U209)</f>
        <v>0</v>
      </c>
    </row>
    <row r="210">
      <c r="C210" s="443" t="n">
        <v>380800</v>
      </c>
      <c r="D210" s="443" t="n">
        <v>380800</v>
      </c>
      <c r="E210" s="443" t="n">
        <v>1248490</v>
      </c>
      <c r="F210" s="443" t="n">
        <v>380800</v>
      </c>
      <c r="G210" s="443" t="n">
        <v>380800</v>
      </c>
      <c r="H210" s="443" t="n">
        <v>380800</v>
      </c>
      <c r="I210" s="443" t="n">
        <v>381773</v>
      </c>
      <c r="J210" s="443" t="n">
        <v>381773</v>
      </c>
      <c r="K210" s="443" t="n">
        <v>1170332</v>
      </c>
      <c r="L210" s="443" t="n">
        <v>395611</v>
      </c>
      <c r="M210" s="443" t="n">
        <v>395611</v>
      </c>
      <c r="N210" s="443" t="n">
        <v>464977</v>
      </c>
      <c r="O210" s="443" t="n">
        <v>0</v>
      </c>
      <c r="Q210" s="443" t="n">
        <v>6342567</v>
      </c>
      <c r="Z210" s="444">
        <f>N('費用収益表_業務長期'!C58)-N(C210)</f>
        <v>0</v>
      </c>
      <c r="AA210" s="444">
        <f>N('費用収益表_業務長期'!D58)-N(D210)</f>
        <v>0</v>
      </c>
      <c r="AB210" s="444">
        <f>N('費用収益表_業務長期'!E58)-N(E210)</f>
        <v>0</v>
      </c>
      <c r="AC210" s="444">
        <f>N('費用収益表_業務長期'!F58)-N(F210)</f>
        <v>0</v>
      </c>
      <c r="AD210" s="444">
        <f>N('費用収益表_業務長期'!G58)-N(G210)</f>
        <v>0</v>
      </c>
      <c r="AE210" s="444">
        <f>N('費用収益表_業務長期'!H58)-N(H210)</f>
        <v>0</v>
      </c>
      <c r="AF210" s="444">
        <f>N('費用収益表_業務長期'!I58)-N(I210)</f>
        <v>0</v>
      </c>
      <c r="AG210" s="444">
        <f>N('費用収益表_業務長期'!J58)-N(J210)</f>
        <v>0</v>
      </c>
      <c r="AH210" s="444">
        <f>N('費用収益表_業務長期'!K58)-N(K210)</f>
        <v>0</v>
      </c>
      <c r="AI210" s="444">
        <f>N('費用収益表_業務長期'!L58)-N(L210)</f>
        <v>0</v>
      </c>
      <c r="AJ210" s="444">
        <f>N('費用収益表_業務長期'!M58)-N(M210)</f>
        <v>0</v>
      </c>
      <c r="AK210" s="444">
        <f>N('費用収益表_業務長期'!N58)-N(N210)</f>
        <v>0</v>
      </c>
      <c r="AL210" s="444">
        <f>N('費用収益表_業務長期'!O58)-N(O210)</f>
        <v>0</v>
      </c>
      <c r="AM210" s="444">
        <f>N('費用収益表_業務長期'!P58)-N(P210)</f>
        <v>0</v>
      </c>
      <c r="AN210" s="444">
        <f>N('費用収益表_業務長期'!Q58)-N(Q210)</f>
        <v>0</v>
      </c>
      <c r="AO210" s="444">
        <f>N('費用収益表_業務長期'!R58)-N(R210)</f>
        <v>0</v>
      </c>
      <c r="AP210" s="444">
        <f>N('費用収益表_業務長期'!S58)-N(S210)</f>
        <v>0</v>
      </c>
      <c r="AQ210" s="444">
        <f>N('費用収益表_業務長期'!T58)-N(T210)</f>
        <v>0</v>
      </c>
      <c r="AR210" s="444">
        <f>N('費用収益表_業務長期'!U58)-N(U210)</f>
        <v>0</v>
      </c>
    </row>
    <row r="211">
      <c r="Q211" s="443" t="n">
        <v>0</v>
      </c>
      <c r="Z211" s="444">
        <f>N('費用収益表_業務長期'!C59)-N(C211)</f>
        <v>0</v>
      </c>
      <c r="AA211" s="444">
        <f>N('費用収益表_業務長期'!D59)-N(D211)</f>
        <v>0</v>
      </c>
      <c r="AB211" s="444">
        <f>N('費用収益表_業務長期'!E59)-N(E211)</f>
        <v>0</v>
      </c>
      <c r="AC211" s="444">
        <f>N('費用収益表_業務長期'!F59)-N(F211)</f>
        <v>0</v>
      </c>
      <c r="AD211" s="444">
        <f>N('費用収益表_業務長期'!G59)-N(G211)</f>
        <v>0</v>
      </c>
      <c r="AE211" s="444">
        <f>N('費用収益表_業務長期'!H59)-N(H211)</f>
        <v>0</v>
      </c>
      <c r="AF211" s="444">
        <f>N('費用収益表_業務長期'!I59)-N(I211)</f>
        <v>0</v>
      </c>
      <c r="AG211" s="444">
        <f>N('費用収益表_業務長期'!J59)-N(J211)</f>
        <v>0</v>
      </c>
      <c r="AH211" s="444">
        <f>N('費用収益表_業務長期'!K59)-N(K211)</f>
        <v>0</v>
      </c>
      <c r="AI211" s="444">
        <f>N('費用収益表_業務長期'!L59)-N(L211)</f>
        <v>0</v>
      </c>
      <c r="AJ211" s="444">
        <f>N('費用収益表_業務長期'!M59)-N(M211)</f>
        <v>0</v>
      </c>
      <c r="AK211" s="444">
        <f>N('費用収益表_業務長期'!N59)-N(N211)</f>
        <v>0</v>
      </c>
      <c r="AL211" s="444">
        <f>N('費用収益表_業務長期'!O59)-N(O211)</f>
        <v>0</v>
      </c>
      <c r="AM211" s="444">
        <f>N('費用収益表_業務長期'!P59)-N(P211)</f>
        <v>0</v>
      </c>
      <c r="AN211" s="444">
        <f>N('費用収益表_業務長期'!Q59)-N(Q211)</f>
        <v>0</v>
      </c>
      <c r="AO211" s="444">
        <f>N('費用収益表_業務長期'!R59)-N(R211)</f>
        <v>0</v>
      </c>
      <c r="AP211" s="444">
        <f>N('費用収益表_業務長期'!S59)-N(S211)</f>
        <v>0</v>
      </c>
      <c r="AQ211" s="444">
        <f>N('費用収益表_業務長期'!T59)-N(T211)</f>
        <v>0</v>
      </c>
      <c r="AR211" s="444">
        <f>N('費用収益表_業務長期'!U59)-N(U211)</f>
        <v>0</v>
      </c>
    </row>
    <row r="212">
      <c r="C212" s="443" t="n">
        <v>0</v>
      </c>
      <c r="D212" s="443" t="n">
        <v>0</v>
      </c>
      <c r="E212" s="443" t="n">
        <v>0</v>
      </c>
      <c r="F212" s="443" t="n">
        <v>0</v>
      </c>
      <c r="G212" s="443" t="n">
        <v>0</v>
      </c>
      <c r="H212" s="443" t="n">
        <v>0</v>
      </c>
      <c r="I212" s="443" t="n">
        <v>0</v>
      </c>
      <c r="J212" s="443" t="n">
        <v>0</v>
      </c>
      <c r="K212" s="443" t="n">
        <v>0</v>
      </c>
      <c r="L212" s="443" t="n">
        <v>0</v>
      </c>
      <c r="M212" s="443" t="n">
        <v>0</v>
      </c>
      <c r="N212" s="443" t="n">
        <v>0</v>
      </c>
      <c r="O212" s="443" t="n">
        <v>0</v>
      </c>
      <c r="Q212" s="443" t="n">
        <v>0</v>
      </c>
      <c r="Z212" s="444">
        <f>N('費用収益表_業務長期'!C60)-N(C212)</f>
        <v>0</v>
      </c>
      <c r="AA212" s="444">
        <f>N('費用収益表_業務長期'!D60)-N(D212)</f>
        <v>0</v>
      </c>
      <c r="AB212" s="444">
        <f>N('費用収益表_業務長期'!E60)-N(E212)</f>
        <v>0</v>
      </c>
      <c r="AC212" s="444">
        <f>N('費用収益表_業務長期'!F60)-N(F212)</f>
        <v>0</v>
      </c>
      <c r="AD212" s="444">
        <f>N('費用収益表_業務長期'!G60)-N(G212)</f>
        <v>0</v>
      </c>
      <c r="AE212" s="444">
        <f>N('費用収益表_業務長期'!H60)-N(H212)</f>
        <v>0</v>
      </c>
      <c r="AF212" s="444">
        <f>N('費用収益表_業務長期'!I60)-N(I212)</f>
        <v>0</v>
      </c>
      <c r="AG212" s="444">
        <f>N('費用収益表_業務長期'!J60)-N(J212)</f>
        <v>0</v>
      </c>
      <c r="AH212" s="444">
        <f>N('費用収益表_業務長期'!K60)-N(K212)</f>
        <v>0</v>
      </c>
      <c r="AI212" s="444">
        <f>N('費用収益表_業務長期'!L60)-N(L212)</f>
        <v>0</v>
      </c>
      <c r="AJ212" s="444">
        <f>N('費用収益表_業務長期'!M60)-N(M212)</f>
        <v>0</v>
      </c>
      <c r="AK212" s="444">
        <f>N('費用収益表_業務長期'!N60)-N(N212)</f>
        <v>0</v>
      </c>
      <c r="AL212" s="444">
        <f>N('費用収益表_業務長期'!O60)-N(O212)</f>
        <v>0</v>
      </c>
      <c r="AM212" s="444">
        <f>N('費用収益表_業務長期'!P60)-N(P212)</f>
        <v>0</v>
      </c>
      <c r="AN212" s="444">
        <f>N('費用収益表_業務長期'!Q60)-N(Q212)</f>
        <v>0</v>
      </c>
      <c r="AO212" s="444">
        <f>N('費用収益表_業務長期'!R60)-N(R212)</f>
        <v>0</v>
      </c>
      <c r="AP212" s="444">
        <f>N('費用収益表_業務長期'!S60)-N(S212)</f>
        <v>0</v>
      </c>
      <c r="AQ212" s="444">
        <f>N('費用収益表_業務長期'!T60)-N(T212)</f>
        <v>0</v>
      </c>
      <c r="AR212" s="444">
        <f>N('費用収益表_業務長期'!U60)-N(U212)</f>
        <v>0</v>
      </c>
    </row>
    <row r="213">
      <c r="Z213" s="444">
        <f>N('費用収益表_業務長期'!C61)-N(C213)</f>
        <v>0</v>
      </c>
      <c r="AA213" s="444">
        <f>N('費用収益表_業務長期'!D61)-N(D213)</f>
        <v>0</v>
      </c>
      <c r="AB213" s="444">
        <f>N('費用収益表_業務長期'!E61)-N(E213)</f>
        <v>0</v>
      </c>
      <c r="AC213" s="444">
        <f>N('費用収益表_業務長期'!F61)-N(F213)</f>
        <v>0</v>
      </c>
      <c r="AD213" s="444">
        <f>N('費用収益表_業務長期'!G61)-N(G213)</f>
        <v>0</v>
      </c>
      <c r="AE213" s="444">
        <f>N('費用収益表_業務長期'!H61)-N(H213)</f>
        <v>0</v>
      </c>
      <c r="AF213" s="444">
        <f>N('費用収益表_業務長期'!I61)-N(I213)</f>
        <v>0</v>
      </c>
      <c r="AG213" s="444">
        <f>N('費用収益表_業務長期'!J61)-N(J213)</f>
        <v>0</v>
      </c>
      <c r="AH213" s="444">
        <f>N('費用収益表_業務長期'!K61)-N(K213)</f>
        <v>0</v>
      </c>
      <c r="AI213" s="444">
        <f>N('費用収益表_業務長期'!L61)-N(L213)</f>
        <v>0</v>
      </c>
      <c r="AJ213" s="444">
        <f>N('費用収益表_業務長期'!M61)-N(M213)</f>
        <v>0</v>
      </c>
      <c r="AK213" s="444">
        <f>N('費用収益表_業務長期'!N61)-N(N213)</f>
        <v>0</v>
      </c>
      <c r="AL213" s="444">
        <f>N('費用収益表_業務長期'!O61)-N(O213)</f>
        <v>0</v>
      </c>
      <c r="AM213" s="444">
        <f>N('費用収益表_業務長期'!P61)-N(P213)</f>
        <v>0</v>
      </c>
      <c r="AN213" s="444">
        <f>N('費用収益表_業務長期'!Q61)-N(Q213)</f>
        <v>0</v>
      </c>
      <c r="AO213" s="444">
        <f>N('費用収益表_業務長期'!R61)-N(R213)</f>
        <v>0</v>
      </c>
      <c r="AP213" s="444">
        <f>N('費用収益表_業務長期'!S61)-N(S213)</f>
        <v>0</v>
      </c>
      <c r="AQ213" s="444">
        <f>N('費用収益表_業務長期'!T61)-N(T213)</f>
        <v>0</v>
      </c>
      <c r="AR213" s="444">
        <f>N('費用収益表_業務長期'!U61)-N(U213)</f>
        <v>0</v>
      </c>
    </row>
    <row r="214">
      <c r="C214" s="443" t="n">
        <v>380800</v>
      </c>
      <c r="D214" s="443" t="n">
        <v>380800</v>
      </c>
      <c r="E214" s="443" t="n">
        <v>1248490</v>
      </c>
      <c r="F214" s="443" t="n">
        <v>380800</v>
      </c>
      <c r="G214" s="443" t="n">
        <v>380800</v>
      </c>
      <c r="H214" s="443" t="n">
        <v>380800</v>
      </c>
      <c r="I214" s="443" t="n">
        <v>381773</v>
      </c>
      <c r="J214" s="443" t="n">
        <v>381773</v>
      </c>
      <c r="K214" s="443" t="n">
        <v>1170332</v>
      </c>
      <c r="L214" s="443" t="n">
        <v>395611</v>
      </c>
      <c r="M214" s="443" t="n">
        <v>395611</v>
      </c>
      <c r="N214" s="443" t="n">
        <v>464977</v>
      </c>
      <c r="O214" s="443" t="n">
        <v>0</v>
      </c>
      <c r="Q214" s="443" t="n">
        <v>6342567</v>
      </c>
      <c r="Z214" s="444">
        <f>N('費用収益表_業務長期'!C62)-N(C214)</f>
        <v>0</v>
      </c>
      <c r="AA214" s="444">
        <f>N('費用収益表_業務長期'!D62)-N(D214)</f>
        <v>0</v>
      </c>
      <c r="AB214" s="444">
        <f>N('費用収益表_業務長期'!E62)-N(E214)</f>
        <v>0</v>
      </c>
      <c r="AC214" s="444">
        <f>N('費用収益表_業務長期'!F62)-N(F214)</f>
        <v>0</v>
      </c>
      <c r="AD214" s="444">
        <f>N('費用収益表_業務長期'!G62)-N(G214)</f>
        <v>0</v>
      </c>
      <c r="AE214" s="444">
        <f>N('費用収益表_業務長期'!H62)-N(H214)</f>
        <v>0</v>
      </c>
      <c r="AF214" s="444">
        <f>N('費用収益表_業務長期'!I62)-N(I214)</f>
        <v>0</v>
      </c>
      <c r="AG214" s="444">
        <f>N('費用収益表_業務長期'!J62)-N(J214)</f>
        <v>0</v>
      </c>
      <c r="AH214" s="444">
        <f>N('費用収益表_業務長期'!K62)-N(K214)</f>
        <v>0</v>
      </c>
      <c r="AI214" s="444">
        <f>N('費用収益表_業務長期'!L62)-N(L214)</f>
        <v>0</v>
      </c>
      <c r="AJ214" s="444">
        <f>N('費用収益表_業務長期'!M62)-N(M214)</f>
        <v>0</v>
      </c>
      <c r="AK214" s="444">
        <f>N('費用収益表_業務長期'!N62)-N(N214)</f>
        <v>0</v>
      </c>
      <c r="AL214" s="444">
        <f>N('費用収益表_業務長期'!O62)-N(O214)</f>
        <v>0</v>
      </c>
      <c r="AM214" s="444">
        <f>N('費用収益表_業務長期'!P62)-N(P214)</f>
        <v>0</v>
      </c>
      <c r="AN214" s="444">
        <f>N('費用収益表_業務長期'!Q62)-N(Q214)</f>
        <v>0</v>
      </c>
      <c r="AO214" s="444">
        <f>N('費用収益表_業務長期'!R62)-N(R214)</f>
        <v>0</v>
      </c>
      <c r="AP214" s="444">
        <f>N('費用収益表_業務長期'!S62)-N(S214)</f>
        <v>0</v>
      </c>
      <c r="AQ214" s="444">
        <f>N('費用収益表_業務長期'!T62)-N(T214)</f>
        <v>0</v>
      </c>
      <c r="AR214" s="444">
        <f>N('費用収益表_業務長期'!U62)-N(U214)</f>
        <v>0</v>
      </c>
    </row>
    <row r="221">
      <c r="A221" s="442" t="inlineStr">
        <is>
          <t>【費用収益表_貸付】 旧表の値（A:W）／ 差（Z:AV）</t>
        </is>
      </c>
    </row>
    <row r="226">
      <c r="C226" s="443" t="n">
        <v>491490</v>
      </c>
      <c r="D226" s="443" t="n">
        <v>372800</v>
      </c>
      <c r="E226" s="443" t="n">
        <v>1239559</v>
      </c>
      <c r="F226" s="443" t="n">
        <v>372800</v>
      </c>
      <c r="G226" s="443" t="n">
        <v>372800</v>
      </c>
      <c r="H226" s="443" t="n">
        <v>372800</v>
      </c>
      <c r="I226" s="443" t="n">
        <v>474390</v>
      </c>
      <c r="J226" s="443" t="n">
        <v>357596</v>
      </c>
      <c r="K226" s="443" t="n">
        <v>1320657</v>
      </c>
      <c r="L226" s="443" t="n">
        <v>365100</v>
      </c>
      <c r="M226" s="443" t="n">
        <v>365100</v>
      </c>
      <c r="N226" s="443" t="n">
        <v>365100</v>
      </c>
      <c r="P226" s="443" t="n">
        <v>6470192</v>
      </c>
      <c r="Q226" s="443" t="n">
        <v>7137000</v>
      </c>
      <c r="S226" s="443" t="n">
        <v>7137000</v>
      </c>
      <c r="T226" s="443" t="n">
        <v>666808</v>
      </c>
      <c r="Z226" s="444">
        <f>N('費用収益表_貸付'!C4)-N(C226)</f>
        <v>0</v>
      </c>
      <c r="AA226" s="444">
        <f>N('費用収益表_貸付'!D4)-N(D226)</f>
        <v>0</v>
      </c>
      <c r="AB226" s="444">
        <f>N('費用収益表_貸付'!E4)-N(E226)</f>
        <v>0</v>
      </c>
      <c r="AC226" s="444">
        <f>N('費用収益表_貸付'!F4)-N(F226)</f>
        <v>0</v>
      </c>
      <c r="AD226" s="444">
        <f>N('費用収益表_貸付'!G4)-N(G226)</f>
        <v>0</v>
      </c>
      <c r="AE226" s="444">
        <f>N('費用収益表_貸付'!H4)-N(H226)</f>
        <v>0</v>
      </c>
      <c r="AF226" s="444">
        <f>N('費用収益表_貸付'!I4)-N(I226)</f>
        <v>0</v>
      </c>
      <c r="AG226" s="444">
        <f>N('費用収益表_貸付'!J4)-N(J226)</f>
        <v>0</v>
      </c>
      <c r="AH226" s="444">
        <f>N('費用収益表_貸付'!K4)-N(K226)</f>
        <v>0</v>
      </c>
      <c r="AI226" s="444">
        <f>N('費用収益表_貸付'!L4)-N(L226)</f>
        <v>0</v>
      </c>
      <c r="AJ226" s="444">
        <f>N('費用収益表_貸付'!M4)-N(M226)</f>
        <v>0</v>
      </c>
      <c r="AK226" s="444">
        <f>N('費用収益表_貸付'!N4)-N(N226)</f>
        <v>0</v>
      </c>
      <c r="AL226" s="444">
        <f>N('費用収益表_貸付'!O4)-N(O226)</f>
        <v>0</v>
      </c>
      <c r="AM226" s="444">
        <f>N('費用収益表_貸付'!P4)-N(P226)</f>
        <v>0</v>
      </c>
      <c r="AN226" s="444">
        <f>N('費用収益表_貸付'!Q4)-N(Q226)</f>
        <v>0</v>
      </c>
      <c r="AO226" s="444">
        <f>N('費用収益表_貸付'!R4)-N(R226)</f>
        <v>0</v>
      </c>
      <c r="AP226" s="444">
        <f>N('費用収益表_貸付'!S4)-N(S226)</f>
        <v>0</v>
      </c>
      <c r="AQ226" s="444">
        <f>N('費用収益表_貸付'!T4)-N(T226)</f>
        <v>0</v>
      </c>
      <c r="AR226" s="444">
        <f>N('費用収益表_貸付'!U4)-N(U226)</f>
        <v>0</v>
      </c>
    </row>
    <row r="227">
      <c r="P227" s="443" t="n">
        <v>0</v>
      </c>
      <c r="Q227" s="443" t="n">
        <v>0</v>
      </c>
      <c r="S227" s="443" t="n">
        <v>0</v>
      </c>
      <c r="T227" s="443" t="n">
        <v>0</v>
      </c>
      <c r="Z227" s="444">
        <f>N('費用収益表_貸付'!C5)-N(C227)</f>
        <v>0</v>
      </c>
      <c r="AA227" s="444">
        <f>N('費用収益表_貸付'!D5)-N(D227)</f>
        <v>0</v>
      </c>
      <c r="AB227" s="444">
        <f>N('費用収益表_貸付'!E5)-N(E227)</f>
        <v>0</v>
      </c>
      <c r="AC227" s="444">
        <f>N('費用収益表_貸付'!F5)-N(F227)</f>
        <v>0</v>
      </c>
      <c r="AD227" s="444">
        <f>N('費用収益表_貸付'!G5)-N(G227)</f>
        <v>0</v>
      </c>
      <c r="AE227" s="444">
        <f>N('費用収益表_貸付'!H5)-N(H227)</f>
        <v>0</v>
      </c>
      <c r="AF227" s="444">
        <f>N('費用収益表_貸付'!I5)-N(I227)</f>
        <v>0</v>
      </c>
      <c r="AG227" s="444">
        <f>N('費用収益表_貸付'!J5)-N(J227)</f>
        <v>0</v>
      </c>
      <c r="AH227" s="444">
        <f>N('費用収益表_貸付'!K5)-N(K227)</f>
        <v>0</v>
      </c>
      <c r="AI227" s="444">
        <f>N('費用収益表_貸付'!L5)-N(L227)</f>
        <v>0</v>
      </c>
      <c r="AJ227" s="444">
        <f>N('費用収益表_貸付'!M5)-N(M227)</f>
        <v>0</v>
      </c>
      <c r="AK227" s="444">
        <f>N('費用収益表_貸付'!N5)-N(N227)</f>
        <v>0</v>
      </c>
      <c r="AL227" s="444">
        <f>N('費用収益表_貸付'!O5)-N(O227)</f>
        <v>0</v>
      </c>
      <c r="AM227" s="444">
        <f>N('費用収益表_貸付'!P5)-N(P227)</f>
        <v>0</v>
      </c>
      <c r="AN227" s="444">
        <f>N('費用収益表_貸付'!Q5)-N(Q227)</f>
        <v>0</v>
      </c>
      <c r="AO227" s="444">
        <f>N('費用収益表_貸付'!R5)-N(R227)</f>
        <v>0</v>
      </c>
      <c r="AP227" s="444">
        <f>N('費用収益表_貸付'!S5)-N(S227)</f>
        <v>0</v>
      </c>
      <c r="AQ227" s="444">
        <f>N('費用収益表_貸付'!T5)-N(T227)</f>
        <v>0</v>
      </c>
      <c r="AR227" s="444">
        <f>N('費用収益表_貸付'!U5)-N(U227)</f>
        <v>0</v>
      </c>
    </row>
    <row r="228">
      <c r="C228" s="443" t="n">
        <v>491490</v>
      </c>
      <c r="D228" s="443" t="n">
        <v>372800</v>
      </c>
      <c r="E228" s="443" t="n">
        <v>1239559</v>
      </c>
      <c r="F228" s="443" t="n">
        <v>372800</v>
      </c>
      <c r="G228" s="443" t="n">
        <v>372800</v>
      </c>
      <c r="H228" s="443" t="n">
        <v>372800</v>
      </c>
      <c r="I228" s="443" t="n">
        <v>474390</v>
      </c>
      <c r="J228" s="443" t="n">
        <v>357596</v>
      </c>
      <c r="K228" s="443" t="n">
        <v>1320657</v>
      </c>
      <c r="L228" s="443" t="n">
        <v>365100</v>
      </c>
      <c r="M228" s="443" t="n">
        <v>365100</v>
      </c>
      <c r="N228" s="443" t="n">
        <v>365100</v>
      </c>
      <c r="O228" s="443" t="n">
        <v>0</v>
      </c>
      <c r="P228" s="443" t="n">
        <v>6470192</v>
      </c>
      <c r="Q228" s="443" t="n">
        <v>7137000</v>
      </c>
      <c r="S228" s="443" t="n">
        <v>7137000</v>
      </c>
      <c r="T228" s="443" t="n">
        <v>666808</v>
      </c>
      <c r="Z228" s="444">
        <f>N('費用収益表_貸付'!C6)-N(C228)</f>
        <v>0</v>
      </c>
      <c r="AA228" s="444">
        <f>N('費用収益表_貸付'!D6)-N(D228)</f>
        <v>0</v>
      </c>
      <c r="AB228" s="444">
        <f>N('費用収益表_貸付'!E6)-N(E228)</f>
        <v>0</v>
      </c>
      <c r="AC228" s="444">
        <f>N('費用収益表_貸付'!F6)-N(F228)</f>
        <v>0</v>
      </c>
      <c r="AD228" s="444">
        <f>N('費用収益表_貸付'!G6)-N(G228)</f>
        <v>0</v>
      </c>
      <c r="AE228" s="444">
        <f>N('費用収益表_貸付'!H6)-N(H228)</f>
        <v>0</v>
      </c>
      <c r="AF228" s="444">
        <f>N('費用収益表_貸付'!I6)-N(I228)</f>
        <v>0</v>
      </c>
      <c r="AG228" s="444">
        <f>N('費用収益表_貸付'!J6)-N(J228)</f>
        <v>0</v>
      </c>
      <c r="AH228" s="444">
        <f>N('費用収益表_貸付'!K6)-N(K228)</f>
        <v>0</v>
      </c>
      <c r="AI228" s="444">
        <f>N('費用収益表_貸付'!L6)-N(L228)</f>
        <v>0</v>
      </c>
      <c r="AJ228" s="444">
        <f>N('費用収益表_貸付'!M6)-N(M228)</f>
        <v>0</v>
      </c>
      <c r="AK228" s="444">
        <f>N('費用収益表_貸付'!N6)-N(N228)</f>
        <v>0</v>
      </c>
      <c r="AL228" s="444">
        <f>N('費用収益表_貸付'!O6)-N(O228)</f>
        <v>0</v>
      </c>
      <c r="AM228" s="444">
        <f>N('費用収益表_貸付'!P6)-N(P228)</f>
        <v>0</v>
      </c>
      <c r="AN228" s="444">
        <f>N('費用収益表_貸付'!Q6)-N(Q228)</f>
        <v>0</v>
      </c>
      <c r="AO228" s="444">
        <f>N('費用収益表_貸付'!R6)-N(R228)</f>
        <v>0</v>
      </c>
      <c r="AP228" s="444">
        <f>N('費用収益表_貸付'!S6)-N(S228)</f>
        <v>0</v>
      </c>
      <c r="AQ228" s="444">
        <f>N('費用収益表_貸付'!T6)-N(T228)</f>
        <v>0</v>
      </c>
      <c r="AR228" s="444">
        <f>N('費用収益表_貸付'!U6)-N(U228)</f>
        <v>0</v>
      </c>
    </row>
    <row r="229">
      <c r="G229" s="443" t="n">
        <v>1980</v>
      </c>
      <c r="H229" s="443" t="n">
        <v>21527</v>
      </c>
      <c r="M229" s="443" t="n">
        <v>10395</v>
      </c>
      <c r="P229" s="443" t="n">
        <v>33902</v>
      </c>
      <c r="Q229" s="443" t="n">
        <v>24000</v>
      </c>
      <c r="S229" s="443" t="n">
        <v>24000</v>
      </c>
      <c r="T229" s="443" t="n">
        <v>-9902</v>
      </c>
      <c r="Z229" s="444">
        <f>N('費用収益表_貸付'!C7)-N(C229)</f>
        <v>0</v>
      </c>
      <c r="AA229" s="444">
        <f>N('費用収益表_貸付'!D7)-N(D229)</f>
        <v>0</v>
      </c>
      <c r="AB229" s="444">
        <f>N('費用収益表_貸付'!E7)-N(E229)</f>
        <v>0</v>
      </c>
      <c r="AC229" s="444">
        <f>N('費用収益表_貸付'!F7)-N(F229)</f>
        <v>0</v>
      </c>
      <c r="AD229" s="444">
        <f>N('費用収益表_貸付'!G7)-N(G229)</f>
        <v>0</v>
      </c>
      <c r="AE229" s="444">
        <f>N('費用収益表_貸付'!H7)-N(H229)</f>
        <v>0</v>
      </c>
      <c r="AF229" s="444">
        <f>N('費用収益表_貸付'!I7)-N(I229)</f>
        <v>0</v>
      </c>
      <c r="AG229" s="444">
        <f>N('費用収益表_貸付'!J7)-N(J229)</f>
        <v>0</v>
      </c>
      <c r="AH229" s="444">
        <f>N('費用収益表_貸付'!K7)-N(K229)</f>
        <v>0</v>
      </c>
      <c r="AI229" s="444">
        <f>N('費用収益表_貸付'!L7)-N(L229)</f>
        <v>0</v>
      </c>
      <c r="AJ229" s="444">
        <f>N('費用収益表_貸付'!M7)-N(M229)</f>
        <v>0</v>
      </c>
      <c r="AK229" s="444">
        <f>N('費用収益表_貸付'!N7)-N(N229)</f>
        <v>0</v>
      </c>
      <c r="AL229" s="444">
        <f>N('費用収益表_貸付'!O7)-N(O229)</f>
        <v>0</v>
      </c>
      <c r="AM229" s="444">
        <f>N('費用収益表_貸付'!P7)-N(P229)</f>
        <v>0</v>
      </c>
      <c r="AN229" s="444">
        <f>N('費用収益表_貸付'!Q7)-N(Q229)</f>
        <v>0</v>
      </c>
      <c r="AO229" s="444">
        <f>N('費用収益表_貸付'!R7)-N(R229)</f>
        <v>0</v>
      </c>
      <c r="AP229" s="444">
        <f>N('費用収益表_貸付'!S7)-N(S229)</f>
        <v>0</v>
      </c>
      <c r="AQ229" s="444">
        <f>N('費用収益表_貸付'!T7)-N(T229)</f>
        <v>0</v>
      </c>
      <c r="AR229" s="444">
        <f>N('費用収益表_貸付'!U7)-N(U229)</f>
        <v>0</v>
      </c>
    </row>
    <row r="230">
      <c r="P230" s="443" t="n">
        <v>0</v>
      </c>
      <c r="Q230" s="443" t="n">
        <v>227000</v>
      </c>
      <c r="S230" s="443" t="n">
        <v>227000</v>
      </c>
      <c r="T230" s="443" t="n">
        <v>227000</v>
      </c>
      <c r="Z230" s="444">
        <f>N('費用収益表_貸付'!C8)-N(C230)</f>
        <v>0</v>
      </c>
      <c r="AA230" s="444">
        <f>N('費用収益表_貸付'!D8)-N(D230)</f>
        <v>0</v>
      </c>
      <c r="AB230" s="444">
        <f>N('費用収益表_貸付'!E8)-N(E230)</f>
        <v>0</v>
      </c>
      <c r="AC230" s="444">
        <f>N('費用収益表_貸付'!F8)-N(F230)</f>
        <v>0</v>
      </c>
      <c r="AD230" s="444">
        <f>N('費用収益表_貸付'!G8)-N(G230)</f>
        <v>0</v>
      </c>
      <c r="AE230" s="444">
        <f>N('費用収益表_貸付'!H8)-N(H230)</f>
        <v>0</v>
      </c>
      <c r="AF230" s="444">
        <f>N('費用収益表_貸付'!I8)-N(I230)</f>
        <v>0</v>
      </c>
      <c r="AG230" s="444">
        <f>N('費用収益表_貸付'!J8)-N(J230)</f>
        <v>0</v>
      </c>
      <c r="AH230" s="444">
        <f>N('費用収益表_貸付'!K8)-N(K230)</f>
        <v>0</v>
      </c>
      <c r="AI230" s="444">
        <f>N('費用収益表_貸付'!L8)-N(L230)</f>
        <v>0</v>
      </c>
      <c r="AJ230" s="444">
        <f>N('費用収益表_貸付'!M8)-N(M230)</f>
        <v>0</v>
      </c>
      <c r="AK230" s="444">
        <f>N('費用収益表_貸付'!N8)-N(N230)</f>
        <v>0</v>
      </c>
      <c r="AL230" s="444">
        <f>N('費用収益表_貸付'!O8)-N(O230)</f>
        <v>0</v>
      </c>
      <c r="AM230" s="444">
        <f>N('費用収益表_貸付'!P8)-N(P230)</f>
        <v>0</v>
      </c>
      <c r="AN230" s="444">
        <f>N('費用収益表_貸付'!Q8)-N(Q230)</f>
        <v>0</v>
      </c>
      <c r="AO230" s="444">
        <f>N('費用収益表_貸付'!R8)-N(R230)</f>
        <v>0</v>
      </c>
      <c r="AP230" s="444">
        <f>N('費用収益表_貸付'!S8)-N(S230)</f>
        <v>0</v>
      </c>
      <c r="AQ230" s="444">
        <f>N('費用収益表_貸付'!T8)-N(T230)</f>
        <v>0</v>
      </c>
      <c r="AR230" s="444">
        <f>N('費用収益表_貸付'!U8)-N(U230)</f>
        <v>0</v>
      </c>
    </row>
    <row r="231">
      <c r="C231" s="443" t="n">
        <v>4389</v>
      </c>
      <c r="E231" s="443" t="n">
        <v>11491</v>
      </c>
      <c r="G231" s="443" t="n">
        <v>119079</v>
      </c>
      <c r="J231" s="443" t="n">
        <v>25706</v>
      </c>
      <c r="K231" s="443" t="n">
        <v>15382</v>
      </c>
      <c r="L231" s="443" t="n">
        <v>4644</v>
      </c>
      <c r="M231" s="443" t="n">
        <v>50764</v>
      </c>
      <c r="N231" s="443" t="n">
        <v>37950</v>
      </c>
      <c r="O231" s="443" t="n">
        <v>0</v>
      </c>
      <c r="P231" s="443" t="n">
        <v>269405</v>
      </c>
      <c r="Q231" s="443" t="n">
        <v>442000</v>
      </c>
      <c r="S231" s="443" t="n">
        <v>442000</v>
      </c>
      <c r="T231" s="443" t="n">
        <v>172595</v>
      </c>
      <c r="Z231" s="444">
        <f>N('費用収益表_貸付'!C9)-N(C231)</f>
        <v>0</v>
      </c>
      <c r="AA231" s="444">
        <f>N('費用収益表_貸付'!D9)-N(D231)</f>
        <v>0</v>
      </c>
      <c r="AB231" s="444">
        <f>N('費用収益表_貸付'!E9)-N(E231)</f>
        <v>0</v>
      </c>
      <c r="AC231" s="444">
        <f>N('費用収益表_貸付'!F9)-N(F231)</f>
        <v>0</v>
      </c>
      <c r="AD231" s="444">
        <f>N('費用収益表_貸付'!G9)-N(G231)</f>
        <v>0</v>
      </c>
      <c r="AE231" s="444">
        <f>N('費用収益表_貸付'!H9)-N(H231)</f>
        <v>0</v>
      </c>
      <c r="AF231" s="444">
        <f>N('費用収益表_貸付'!I9)-N(I231)</f>
        <v>0</v>
      </c>
      <c r="AG231" s="444">
        <f>N('費用収益表_貸付'!J9)-N(J231)</f>
        <v>0</v>
      </c>
      <c r="AH231" s="444">
        <f>N('費用収益表_貸付'!K9)-N(K231)</f>
        <v>0</v>
      </c>
      <c r="AI231" s="444">
        <f>N('費用収益表_貸付'!L9)-N(L231)</f>
        <v>0</v>
      </c>
      <c r="AJ231" s="444">
        <f>N('費用収益表_貸付'!M9)-N(M231)</f>
        <v>0</v>
      </c>
      <c r="AK231" s="444">
        <f>N('費用収益表_貸付'!N9)-N(N231)</f>
        <v>0</v>
      </c>
      <c r="AL231" s="444">
        <f>N('費用収益表_貸付'!O9)-N(O231)</f>
        <v>0</v>
      </c>
      <c r="AM231" s="444">
        <f>N('費用収益表_貸付'!P9)-N(P231)</f>
        <v>0</v>
      </c>
      <c r="AN231" s="444">
        <f>N('費用収益表_貸付'!Q9)-N(Q231)</f>
        <v>0</v>
      </c>
      <c r="AO231" s="444">
        <f>N('費用収益表_貸付'!R9)-N(R231)</f>
        <v>0</v>
      </c>
      <c r="AP231" s="444">
        <f>N('費用収益表_貸付'!S9)-N(S231)</f>
        <v>0</v>
      </c>
      <c r="AQ231" s="444">
        <f>N('費用収益表_貸付'!T9)-N(T231)</f>
        <v>0</v>
      </c>
      <c r="AR231" s="444">
        <f>N('費用収益表_貸付'!U9)-N(U231)</f>
        <v>0</v>
      </c>
    </row>
    <row r="232">
      <c r="F232" s="443" t="n">
        <v>6000</v>
      </c>
      <c r="I232" s="443" t="n">
        <v>6000</v>
      </c>
      <c r="L232" s="443" t="n">
        <v>6000</v>
      </c>
      <c r="O232" s="443" t="n">
        <v>15124</v>
      </c>
      <c r="P232" s="443" t="n">
        <v>33124</v>
      </c>
      <c r="Q232" s="443" t="n">
        <v>501000</v>
      </c>
      <c r="S232" s="443" t="n">
        <v>501000</v>
      </c>
      <c r="T232" s="443" t="n">
        <v>467876</v>
      </c>
      <c r="Z232" s="444">
        <f>N('費用収益表_貸付'!C10)-N(C232)</f>
        <v>0</v>
      </c>
      <c r="AA232" s="444">
        <f>N('費用収益表_貸付'!D10)-N(D232)</f>
        <v>0</v>
      </c>
      <c r="AB232" s="444">
        <f>N('費用収益表_貸付'!E10)-N(E232)</f>
        <v>0</v>
      </c>
      <c r="AC232" s="444">
        <f>N('費用収益表_貸付'!F10)-N(F232)</f>
        <v>0</v>
      </c>
      <c r="AD232" s="444">
        <f>N('費用収益表_貸付'!G10)-N(G232)</f>
        <v>0</v>
      </c>
      <c r="AE232" s="444">
        <f>N('費用収益表_貸付'!H10)-N(H232)</f>
        <v>0</v>
      </c>
      <c r="AF232" s="444">
        <f>N('費用収益表_貸付'!I10)-N(I232)</f>
        <v>0</v>
      </c>
      <c r="AG232" s="444">
        <f>N('費用収益表_貸付'!J10)-N(J232)</f>
        <v>0</v>
      </c>
      <c r="AH232" s="444">
        <f>N('費用収益表_貸付'!K10)-N(K232)</f>
        <v>0</v>
      </c>
      <c r="AI232" s="444">
        <f>N('費用収益表_貸付'!L10)-N(L232)</f>
        <v>0</v>
      </c>
      <c r="AJ232" s="444">
        <f>N('費用収益表_貸付'!M10)-N(M232)</f>
        <v>0</v>
      </c>
      <c r="AK232" s="444">
        <f>N('費用収益表_貸付'!N10)-N(N232)</f>
        <v>0</v>
      </c>
      <c r="AL232" s="444">
        <f>N('費用収益表_貸付'!O10)-N(O232)</f>
        <v>0</v>
      </c>
      <c r="AM232" s="444">
        <f>N('費用収益表_貸付'!P10)-N(P232)</f>
        <v>0</v>
      </c>
      <c r="AN232" s="444">
        <f>N('費用収益表_貸付'!Q10)-N(Q232)</f>
        <v>0</v>
      </c>
      <c r="AO232" s="444">
        <f>N('費用収益表_貸付'!R10)-N(R232)</f>
        <v>0</v>
      </c>
      <c r="AP232" s="444">
        <f>N('費用収益表_貸付'!S10)-N(S232)</f>
        <v>0</v>
      </c>
      <c r="AQ232" s="444">
        <f>N('費用収益表_貸付'!T10)-N(T232)</f>
        <v>0</v>
      </c>
      <c r="AR232" s="444">
        <f>N('費用収益表_貸付'!U10)-N(U232)</f>
        <v>0</v>
      </c>
    </row>
    <row r="233">
      <c r="G233" s="443" t="n">
        <v>5979</v>
      </c>
      <c r="L233" s="443" t="n">
        <v>135450</v>
      </c>
      <c r="P233" s="443" t="n">
        <v>141429</v>
      </c>
      <c r="Q233" s="443" t="n">
        <v>336000</v>
      </c>
      <c r="S233" s="443" t="n">
        <v>336000</v>
      </c>
      <c r="T233" s="443" t="n">
        <v>194571</v>
      </c>
      <c r="Z233" s="444">
        <f>N('費用収益表_貸付'!C11)-N(C233)</f>
        <v>0</v>
      </c>
      <c r="AA233" s="444">
        <f>N('費用収益表_貸付'!D11)-N(D233)</f>
        <v>0</v>
      </c>
      <c r="AB233" s="444">
        <f>N('費用収益表_貸付'!E11)-N(E233)</f>
        <v>0</v>
      </c>
      <c r="AC233" s="444">
        <f>N('費用収益表_貸付'!F11)-N(F233)</f>
        <v>0</v>
      </c>
      <c r="AD233" s="444">
        <f>N('費用収益表_貸付'!G11)-N(G233)</f>
        <v>0</v>
      </c>
      <c r="AE233" s="444">
        <f>N('費用収益表_貸付'!H11)-N(H233)</f>
        <v>0</v>
      </c>
      <c r="AF233" s="444">
        <f>N('費用収益表_貸付'!I11)-N(I233)</f>
        <v>0</v>
      </c>
      <c r="AG233" s="444">
        <f>N('費用収益表_貸付'!J11)-N(J233)</f>
        <v>0</v>
      </c>
      <c r="AH233" s="444">
        <f>N('費用収益表_貸付'!K11)-N(K233)</f>
        <v>0</v>
      </c>
      <c r="AI233" s="444">
        <f>N('費用収益表_貸付'!L11)-N(L233)</f>
        <v>0</v>
      </c>
      <c r="AJ233" s="444">
        <f>N('費用収益表_貸付'!M11)-N(M233)</f>
        <v>0</v>
      </c>
      <c r="AK233" s="444">
        <f>N('費用収益表_貸付'!N11)-N(N233)</f>
        <v>0</v>
      </c>
      <c r="AL233" s="444">
        <f>N('費用収益表_貸付'!O11)-N(O233)</f>
        <v>0</v>
      </c>
      <c r="AM233" s="444">
        <f>N('費用収益表_貸付'!P11)-N(P233)</f>
        <v>0</v>
      </c>
      <c r="AN233" s="444">
        <f>N('費用収益表_貸付'!Q11)-N(Q233)</f>
        <v>0</v>
      </c>
      <c r="AO233" s="444">
        <f>N('費用収益表_貸付'!R11)-N(R233)</f>
        <v>0</v>
      </c>
      <c r="AP233" s="444">
        <f>N('費用収益表_貸付'!S11)-N(S233)</f>
        <v>0</v>
      </c>
      <c r="AQ233" s="444">
        <f>N('費用収益表_貸付'!T11)-N(T233)</f>
        <v>0</v>
      </c>
      <c r="AR233" s="444">
        <f>N('費用収益表_貸付'!U11)-N(U233)</f>
        <v>0</v>
      </c>
    </row>
    <row r="234">
      <c r="P234" s="443" t="n">
        <v>0</v>
      </c>
      <c r="Q234" s="443" t="n">
        <v>20000</v>
      </c>
      <c r="S234" s="443" t="n">
        <v>20000</v>
      </c>
      <c r="T234" s="443" t="n">
        <v>20000</v>
      </c>
      <c r="Z234" s="444">
        <f>N('費用収益表_貸付'!C12)-N(C234)</f>
        <v>0</v>
      </c>
      <c r="AA234" s="444">
        <f>N('費用収益表_貸付'!D12)-N(D234)</f>
        <v>0</v>
      </c>
      <c r="AB234" s="444">
        <f>N('費用収益表_貸付'!E12)-N(E234)</f>
        <v>0</v>
      </c>
      <c r="AC234" s="444">
        <f>N('費用収益表_貸付'!F12)-N(F234)</f>
        <v>0</v>
      </c>
      <c r="AD234" s="444">
        <f>N('費用収益表_貸付'!G12)-N(G234)</f>
        <v>0</v>
      </c>
      <c r="AE234" s="444">
        <f>N('費用収益表_貸付'!H12)-N(H234)</f>
        <v>0</v>
      </c>
      <c r="AF234" s="444">
        <f>N('費用収益表_貸付'!I12)-N(I234)</f>
        <v>0</v>
      </c>
      <c r="AG234" s="444">
        <f>N('費用収益表_貸付'!J12)-N(J234)</f>
        <v>0</v>
      </c>
      <c r="AH234" s="444">
        <f>N('費用収益表_貸付'!K12)-N(K234)</f>
        <v>0</v>
      </c>
      <c r="AI234" s="444">
        <f>N('費用収益表_貸付'!L12)-N(L234)</f>
        <v>0</v>
      </c>
      <c r="AJ234" s="444">
        <f>N('費用収益表_貸付'!M12)-N(M234)</f>
        <v>0</v>
      </c>
      <c r="AK234" s="444">
        <f>N('費用収益表_貸付'!N12)-N(N234)</f>
        <v>0</v>
      </c>
      <c r="AL234" s="444">
        <f>N('費用収益表_貸付'!O12)-N(O234)</f>
        <v>0</v>
      </c>
      <c r="AM234" s="444">
        <f>N('費用収益表_貸付'!P12)-N(P234)</f>
        <v>0</v>
      </c>
      <c r="AN234" s="444">
        <f>N('費用収益表_貸付'!Q12)-N(Q234)</f>
        <v>0</v>
      </c>
      <c r="AO234" s="444">
        <f>N('費用収益表_貸付'!R12)-N(R234)</f>
        <v>0</v>
      </c>
      <c r="AP234" s="444">
        <f>N('費用収益表_貸付'!S12)-N(S234)</f>
        <v>0</v>
      </c>
      <c r="AQ234" s="444">
        <f>N('費用収益表_貸付'!T12)-N(T234)</f>
        <v>0</v>
      </c>
      <c r="AR234" s="444">
        <f>N('費用収益表_貸付'!U12)-N(U234)</f>
        <v>0</v>
      </c>
    </row>
    <row r="235">
      <c r="D235" s="443" t="n">
        <v>16190</v>
      </c>
      <c r="E235" s="443" t="n">
        <v>5750</v>
      </c>
      <c r="F235" s="443" t="n">
        <v>6090</v>
      </c>
      <c r="G235" s="443" t="n">
        <v>5530</v>
      </c>
      <c r="H235" s="443" t="n">
        <v>5190</v>
      </c>
      <c r="I235" s="443" t="n">
        <v>4970</v>
      </c>
      <c r="J235" s="443" t="n">
        <v>5750</v>
      </c>
      <c r="K235" s="443" t="n">
        <v>9239</v>
      </c>
      <c r="L235" s="443" t="n">
        <v>19630</v>
      </c>
      <c r="M235" s="443" t="n">
        <v>7190</v>
      </c>
      <c r="N235" s="443" t="n">
        <v>6200</v>
      </c>
      <c r="O235" s="443" t="n">
        <v>9735</v>
      </c>
      <c r="P235" s="443" t="n">
        <v>101464</v>
      </c>
      <c r="Q235" s="443" t="n">
        <v>190000</v>
      </c>
      <c r="S235" s="443" t="n">
        <v>190000</v>
      </c>
      <c r="T235" s="443" t="n">
        <v>88536</v>
      </c>
      <c r="Z235" s="444">
        <f>N('費用収益表_貸付'!C13)-N(C235)</f>
        <v>0</v>
      </c>
      <c r="AA235" s="444">
        <f>N('費用収益表_貸付'!D13)-N(D235)</f>
        <v>0</v>
      </c>
      <c r="AB235" s="444">
        <f>N('費用収益表_貸付'!E13)-N(E235)</f>
        <v>0</v>
      </c>
      <c r="AC235" s="444">
        <f>N('費用収益表_貸付'!F13)-N(F235)</f>
        <v>0</v>
      </c>
      <c r="AD235" s="444">
        <f>N('費用収益表_貸付'!G13)-N(G235)</f>
        <v>0</v>
      </c>
      <c r="AE235" s="444">
        <f>N('費用収益表_貸付'!H13)-N(H235)</f>
        <v>0</v>
      </c>
      <c r="AF235" s="444">
        <f>N('費用収益表_貸付'!I13)-N(I235)</f>
        <v>0</v>
      </c>
      <c r="AG235" s="444">
        <f>N('費用収益表_貸付'!J13)-N(J235)</f>
        <v>0</v>
      </c>
      <c r="AH235" s="444">
        <f>N('費用収益表_貸付'!K13)-N(K235)</f>
        <v>0</v>
      </c>
      <c r="AI235" s="444">
        <f>N('費用収益表_貸付'!L13)-N(L235)</f>
        <v>0</v>
      </c>
      <c r="AJ235" s="444">
        <f>N('費用収益表_貸付'!M13)-N(M235)</f>
        <v>0</v>
      </c>
      <c r="AK235" s="444">
        <f>N('費用収益表_貸付'!N13)-N(N235)</f>
        <v>0</v>
      </c>
      <c r="AL235" s="444">
        <f>N('費用収益表_貸付'!O13)-N(O235)</f>
        <v>0</v>
      </c>
      <c r="AM235" s="444">
        <f>N('費用収益表_貸付'!P13)-N(P235)</f>
        <v>0</v>
      </c>
      <c r="AN235" s="444">
        <f>N('費用収益表_貸付'!Q13)-N(Q235)</f>
        <v>0</v>
      </c>
      <c r="AO235" s="444">
        <f>N('費用収益表_貸付'!R13)-N(R235)</f>
        <v>0</v>
      </c>
      <c r="AP235" s="444">
        <f>N('費用収益表_貸付'!S13)-N(S235)</f>
        <v>0</v>
      </c>
      <c r="AQ235" s="444">
        <f>N('費用収益表_貸付'!T13)-N(T235)</f>
        <v>0</v>
      </c>
      <c r="AR235" s="444">
        <f>N('費用収益表_貸付'!U13)-N(U235)</f>
        <v>0</v>
      </c>
    </row>
    <row r="236">
      <c r="C236" s="443" t="n">
        <v>4389</v>
      </c>
      <c r="D236" s="443" t="n">
        <v>16190</v>
      </c>
      <c r="E236" s="443" t="n">
        <v>17241</v>
      </c>
      <c r="F236" s="443" t="n">
        <v>12090</v>
      </c>
      <c r="G236" s="443" t="n">
        <v>130588</v>
      </c>
      <c r="H236" s="443" t="n">
        <v>5190</v>
      </c>
      <c r="I236" s="443" t="n">
        <v>10970</v>
      </c>
      <c r="J236" s="443" t="n">
        <v>31456</v>
      </c>
      <c r="K236" s="443" t="n">
        <v>24621</v>
      </c>
      <c r="L236" s="443" t="n">
        <v>165724</v>
      </c>
      <c r="M236" s="443" t="n">
        <v>57954</v>
      </c>
      <c r="N236" s="443" t="n">
        <v>44150</v>
      </c>
      <c r="O236" s="443" t="n">
        <v>24859</v>
      </c>
      <c r="P236" s="443" t="n">
        <v>545422</v>
      </c>
      <c r="Q236" s="443" t="n">
        <v>1489000</v>
      </c>
      <c r="S236" s="443" t="n">
        <v>1489000</v>
      </c>
      <c r="T236" s="443" t="n">
        <v>943578</v>
      </c>
      <c r="Z236" s="444">
        <f>N('費用収益表_貸付'!C14)-N(C236)</f>
        <v>0</v>
      </c>
      <c r="AA236" s="444">
        <f>N('費用収益表_貸付'!D14)-N(D236)</f>
        <v>0</v>
      </c>
      <c r="AB236" s="444">
        <f>N('費用収益表_貸付'!E14)-N(E236)</f>
        <v>0</v>
      </c>
      <c r="AC236" s="444">
        <f>N('費用収益表_貸付'!F14)-N(F236)</f>
        <v>0</v>
      </c>
      <c r="AD236" s="444">
        <f>N('費用収益表_貸付'!G14)-N(G236)</f>
        <v>0</v>
      </c>
      <c r="AE236" s="444">
        <f>N('費用収益表_貸付'!H14)-N(H236)</f>
        <v>0</v>
      </c>
      <c r="AF236" s="444">
        <f>N('費用収益表_貸付'!I14)-N(I236)</f>
        <v>0</v>
      </c>
      <c r="AG236" s="444">
        <f>N('費用収益表_貸付'!J14)-N(J236)</f>
        <v>0</v>
      </c>
      <c r="AH236" s="444">
        <f>N('費用収益表_貸付'!K14)-N(K236)</f>
        <v>0</v>
      </c>
      <c r="AI236" s="444">
        <f>N('費用収益表_貸付'!L14)-N(L236)</f>
        <v>0</v>
      </c>
      <c r="AJ236" s="444">
        <f>N('費用収益表_貸付'!M14)-N(M236)</f>
        <v>0</v>
      </c>
      <c r="AK236" s="444">
        <f>N('費用収益表_貸付'!N14)-N(N236)</f>
        <v>0</v>
      </c>
      <c r="AL236" s="444">
        <f>N('費用収益表_貸付'!O14)-N(O236)</f>
        <v>0</v>
      </c>
      <c r="AM236" s="444">
        <f>N('費用収益表_貸付'!P14)-N(P236)</f>
        <v>0</v>
      </c>
      <c r="AN236" s="444">
        <f>N('費用収益表_貸付'!Q14)-N(Q236)</f>
        <v>0</v>
      </c>
      <c r="AO236" s="444">
        <f>N('費用収益表_貸付'!R14)-N(R236)</f>
        <v>0</v>
      </c>
      <c r="AP236" s="444">
        <f>N('費用収益表_貸付'!S14)-N(S236)</f>
        <v>0</v>
      </c>
      <c r="AQ236" s="444">
        <f>N('費用収益表_貸付'!T14)-N(T236)</f>
        <v>0</v>
      </c>
      <c r="AR236" s="444">
        <f>N('費用収益表_貸付'!U14)-N(U236)</f>
        <v>0</v>
      </c>
    </row>
    <row r="237">
      <c r="D237" s="443" t="n">
        <v>380700</v>
      </c>
      <c r="E237" s="443" t="n">
        <v>327555</v>
      </c>
      <c r="F237" s="443" t="n">
        <v>400770</v>
      </c>
      <c r="G237" s="443" t="n">
        <v>400380</v>
      </c>
      <c r="H237" s="443" t="n">
        <v>344580</v>
      </c>
      <c r="I237" s="443" t="n">
        <v>364625</v>
      </c>
      <c r="J237" s="443" t="n">
        <v>401920</v>
      </c>
      <c r="K237" s="443" t="n">
        <v>329655</v>
      </c>
      <c r="L237" s="443" t="n">
        <v>365270</v>
      </c>
      <c r="M237" s="443" t="n">
        <v>347335</v>
      </c>
      <c r="N237" s="443" t="n">
        <v>328425</v>
      </c>
      <c r="O237" s="443" t="n">
        <v>153280</v>
      </c>
      <c r="P237" s="443" t="n">
        <v>4144495</v>
      </c>
      <c r="Q237" s="443" t="n">
        <v>5520000</v>
      </c>
      <c r="S237" s="443" t="n">
        <v>5520000</v>
      </c>
      <c r="T237" s="443" t="n">
        <v>1375505</v>
      </c>
      <c r="Z237" s="444">
        <f>N('費用収益表_貸付'!C15)-N(C237)</f>
        <v>0</v>
      </c>
      <c r="AA237" s="444">
        <f>N('費用収益表_貸付'!D15)-N(D237)</f>
        <v>0</v>
      </c>
      <c r="AB237" s="444">
        <f>N('費用収益表_貸付'!E15)-N(E237)</f>
        <v>0</v>
      </c>
      <c r="AC237" s="444">
        <f>N('費用収益表_貸付'!F15)-N(F237)</f>
        <v>0</v>
      </c>
      <c r="AD237" s="444">
        <f>N('費用収益表_貸付'!G15)-N(G237)</f>
        <v>0</v>
      </c>
      <c r="AE237" s="444">
        <f>N('費用収益表_貸付'!H15)-N(H237)</f>
        <v>0</v>
      </c>
      <c r="AF237" s="444">
        <f>N('費用収益表_貸付'!I15)-N(I237)</f>
        <v>0</v>
      </c>
      <c r="AG237" s="444">
        <f>N('費用収益表_貸付'!J15)-N(J237)</f>
        <v>0</v>
      </c>
      <c r="AH237" s="444">
        <f>N('費用収益表_貸付'!K15)-N(K237)</f>
        <v>0</v>
      </c>
      <c r="AI237" s="444">
        <f>N('費用収益表_貸付'!L15)-N(L237)</f>
        <v>0</v>
      </c>
      <c r="AJ237" s="444">
        <f>N('費用収益表_貸付'!M15)-N(M237)</f>
        <v>0</v>
      </c>
      <c r="AK237" s="444">
        <f>N('費用収益表_貸付'!N15)-N(N237)</f>
        <v>0</v>
      </c>
      <c r="AL237" s="444">
        <f>N('費用収益表_貸付'!O15)-N(O237)</f>
        <v>0</v>
      </c>
      <c r="AM237" s="444">
        <f>N('費用収益表_貸付'!P15)-N(P237)</f>
        <v>0</v>
      </c>
      <c r="AN237" s="444">
        <f>N('費用収益表_貸付'!Q15)-N(Q237)</f>
        <v>0</v>
      </c>
      <c r="AO237" s="444">
        <f>N('費用収益表_貸付'!R15)-N(R237)</f>
        <v>0</v>
      </c>
      <c r="AP237" s="444">
        <f>N('費用収益表_貸付'!S15)-N(S237)</f>
        <v>0</v>
      </c>
      <c r="AQ237" s="444">
        <f>N('費用収益表_貸付'!T15)-N(T237)</f>
        <v>0</v>
      </c>
      <c r="AR237" s="444">
        <f>N('費用収益表_貸付'!U15)-N(U237)</f>
        <v>0</v>
      </c>
    </row>
    <row r="238">
      <c r="H238" s="443" t="n">
        <v>153120</v>
      </c>
      <c r="I238" s="443" t="n">
        <v>36943</v>
      </c>
      <c r="O238" s="443" t="n">
        <v>192720</v>
      </c>
      <c r="P238" s="443" t="n">
        <v>382783</v>
      </c>
      <c r="Q238" s="443" t="n">
        <v>525000</v>
      </c>
      <c r="S238" s="443" t="n">
        <v>525000</v>
      </c>
      <c r="T238" s="443" t="n">
        <v>142217</v>
      </c>
      <c r="Z238" s="444">
        <f>N('費用収益表_貸付'!C16)-N(C238)</f>
        <v>0</v>
      </c>
      <c r="AA238" s="444">
        <f>N('費用収益表_貸付'!D16)-N(D238)</f>
        <v>0</v>
      </c>
      <c r="AB238" s="444">
        <f>N('費用収益表_貸付'!E16)-N(E238)</f>
        <v>0</v>
      </c>
      <c r="AC238" s="444">
        <f>N('費用収益表_貸付'!F16)-N(F238)</f>
        <v>0</v>
      </c>
      <c r="AD238" s="444">
        <f>N('費用収益表_貸付'!G16)-N(G238)</f>
        <v>0</v>
      </c>
      <c r="AE238" s="444">
        <f>N('費用収益表_貸付'!H16)-N(H238)</f>
        <v>0</v>
      </c>
      <c r="AF238" s="444">
        <f>N('費用収益表_貸付'!I16)-N(I238)</f>
        <v>0</v>
      </c>
      <c r="AG238" s="444">
        <f>N('費用収益表_貸付'!J16)-N(J238)</f>
        <v>0</v>
      </c>
      <c r="AH238" s="444">
        <f>N('費用収益表_貸付'!K16)-N(K238)</f>
        <v>0</v>
      </c>
      <c r="AI238" s="444">
        <f>N('費用収益表_貸付'!L16)-N(L238)</f>
        <v>0</v>
      </c>
      <c r="AJ238" s="444">
        <f>N('費用収益表_貸付'!M16)-N(M238)</f>
        <v>0</v>
      </c>
      <c r="AK238" s="444">
        <f>N('費用収益表_貸付'!N16)-N(N238)</f>
        <v>0</v>
      </c>
      <c r="AL238" s="444">
        <f>N('費用収益表_貸付'!O16)-N(O238)</f>
        <v>0</v>
      </c>
      <c r="AM238" s="444">
        <f>N('費用収益表_貸付'!P16)-N(P238)</f>
        <v>0</v>
      </c>
      <c r="AN238" s="444">
        <f>N('費用収益表_貸付'!Q16)-N(Q238)</f>
        <v>0</v>
      </c>
      <c r="AO238" s="444">
        <f>N('費用収益表_貸付'!R16)-N(R238)</f>
        <v>0</v>
      </c>
      <c r="AP238" s="444">
        <f>N('費用収益表_貸付'!S16)-N(S238)</f>
        <v>0</v>
      </c>
      <c r="AQ238" s="444">
        <f>N('費用収益表_貸付'!T16)-N(T238)</f>
        <v>0</v>
      </c>
      <c r="AR238" s="444">
        <f>N('費用収益表_貸付'!U16)-N(U238)</f>
        <v>0</v>
      </c>
    </row>
    <row r="239">
      <c r="P239" s="443" t="n">
        <v>0</v>
      </c>
      <c r="Q239" s="443" t="n">
        <v>100000</v>
      </c>
      <c r="S239" s="443" t="n">
        <v>100000</v>
      </c>
      <c r="T239" s="443" t="n">
        <v>100000</v>
      </c>
      <c r="Z239" s="444">
        <f>N('費用収益表_貸付'!C17)-N(C239)</f>
        <v>0</v>
      </c>
      <c r="AA239" s="444">
        <f>N('費用収益表_貸付'!D17)-N(D239)</f>
        <v>0</v>
      </c>
      <c r="AB239" s="444">
        <f>N('費用収益表_貸付'!E17)-N(E239)</f>
        <v>0</v>
      </c>
      <c r="AC239" s="444">
        <f>N('費用収益表_貸付'!F17)-N(F239)</f>
        <v>0</v>
      </c>
      <c r="AD239" s="444">
        <f>N('費用収益表_貸付'!G17)-N(G239)</f>
        <v>0</v>
      </c>
      <c r="AE239" s="444">
        <f>N('費用収益表_貸付'!H17)-N(H239)</f>
        <v>0</v>
      </c>
      <c r="AF239" s="444">
        <f>N('費用収益表_貸付'!I17)-N(I239)</f>
        <v>0</v>
      </c>
      <c r="AG239" s="444">
        <f>N('費用収益表_貸付'!J17)-N(J239)</f>
        <v>0</v>
      </c>
      <c r="AH239" s="444">
        <f>N('費用収益表_貸付'!K17)-N(K239)</f>
        <v>0</v>
      </c>
      <c r="AI239" s="444">
        <f>N('費用収益表_貸付'!L17)-N(L239)</f>
        <v>0</v>
      </c>
      <c r="AJ239" s="444">
        <f>N('費用収益表_貸付'!M17)-N(M239)</f>
        <v>0</v>
      </c>
      <c r="AK239" s="444">
        <f>N('費用収益表_貸付'!N17)-N(N239)</f>
        <v>0</v>
      </c>
      <c r="AL239" s="444">
        <f>N('費用収益表_貸付'!O17)-N(O239)</f>
        <v>0</v>
      </c>
      <c r="AM239" s="444">
        <f>N('費用収益表_貸付'!P17)-N(P239)</f>
        <v>0</v>
      </c>
      <c r="AN239" s="444">
        <f>N('費用収益表_貸付'!Q17)-N(Q239)</f>
        <v>0</v>
      </c>
      <c r="AO239" s="444">
        <f>N('費用収益表_貸付'!R17)-N(R239)</f>
        <v>0</v>
      </c>
      <c r="AP239" s="444">
        <f>N('費用収益表_貸付'!S17)-N(S239)</f>
        <v>0</v>
      </c>
      <c r="AQ239" s="444">
        <f>N('費用収益表_貸付'!T17)-N(T239)</f>
        <v>0</v>
      </c>
      <c r="AR239" s="444">
        <f>N('費用収益表_貸付'!U17)-N(U239)</f>
        <v>0</v>
      </c>
    </row>
    <row r="240">
      <c r="D240" s="443" t="n">
        <v>74674</v>
      </c>
      <c r="E240" s="443" t="n">
        <v>74674</v>
      </c>
      <c r="F240" s="443" t="n">
        <v>74674</v>
      </c>
      <c r="G240" s="443" t="n">
        <v>74674</v>
      </c>
      <c r="H240" s="443" t="n">
        <v>74674</v>
      </c>
      <c r="I240" s="443" t="n">
        <v>74674</v>
      </c>
      <c r="J240" s="443" t="n">
        <v>74674</v>
      </c>
      <c r="K240" s="443" t="n">
        <v>74674</v>
      </c>
      <c r="L240" s="443" t="n">
        <v>74674</v>
      </c>
      <c r="M240" s="443" t="n">
        <v>74674</v>
      </c>
      <c r="N240" s="443" t="n">
        <v>74674</v>
      </c>
      <c r="O240" s="443" t="n">
        <v>55757</v>
      </c>
      <c r="P240" s="443" t="n">
        <v>877171</v>
      </c>
      <c r="Q240" s="443" t="n">
        <v>882000</v>
      </c>
      <c r="S240" s="443" t="n">
        <v>882000</v>
      </c>
      <c r="T240" s="443" t="n">
        <v>4829</v>
      </c>
      <c r="Z240" s="444">
        <f>N('費用収益表_貸付'!C18)-N(C240)</f>
        <v>0</v>
      </c>
      <c r="AA240" s="444">
        <f>N('費用収益表_貸付'!D18)-N(D240)</f>
        <v>0</v>
      </c>
      <c r="AB240" s="444">
        <f>N('費用収益表_貸付'!E18)-N(E240)</f>
        <v>0</v>
      </c>
      <c r="AC240" s="444">
        <f>N('費用収益表_貸付'!F18)-N(F240)</f>
        <v>0</v>
      </c>
      <c r="AD240" s="444">
        <f>N('費用収益表_貸付'!G18)-N(G240)</f>
        <v>0</v>
      </c>
      <c r="AE240" s="444">
        <f>N('費用収益表_貸付'!H18)-N(H240)</f>
        <v>0</v>
      </c>
      <c r="AF240" s="444">
        <f>N('費用収益表_貸付'!I18)-N(I240)</f>
        <v>0</v>
      </c>
      <c r="AG240" s="444">
        <f>N('費用収益表_貸付'!J18)-N(J240)</f>
        <v>0</v>
      </c>
      <c r="AH240" s="444">
        <f>N('費用収益表_貸付'!K18)-N(K240)</f>
        <v>0</v>
      </c>
      <c r="AI240" s="444">
        <f>N('費用収益表_貸付'!L18)-N(L240)</f>
        <v>0</v>
      </c>
      <c r="AJ240" s="444">
        <f>N('費用収益表_貸付'!M18)-N(M240)</f>
        <v>0</v>
      </c>
      <c r="AK240" s="444">
        <f>N('費用収益表_貸付'!N18)-N(N240)</f>
        <v>0</v>
      </c>
      <c r="AL240" s="444">
        <f>N('費用収益表_貸付'!O18)-N(O240)</f>
        <v>0</v>
      </c>
      <c r="AM240" s="444">
        <f>N('費用収益表_貸付'!P18)-N(P240)</f>
        <v>0</v>
      </c>
      <c r="AN240" s="444">
        <f>N('費用収益表_貸付'!Q18)-N(Q240)</f>
        <v>0</v>
      </c>
      <c r="AO240" s="444">
        <f>N('費用収益表_貸付'!R18)-N(R240)</f>
        <v>0</v>
      </c>
      <c r="AP240" s="444">
        <f>N('費用収益表_貸付'!S18)-N(S240)</f>
        <v>0</v>
      </c>
      <c r="AQ240" s="444">
        <f>N('費用収益表_貸付'!T18)-N(T240)</f>
        <v>0</v>
      </c>
      <c r="AR240" s="444">
        <f>N('費用収益表_貸付'!U18)-N(U240)</f>
        <v>0</v>
      </c>
    </row>
    <row r="241">
      <c r="G241" s="443" t="n">
        <v>242770</v>
      </c>
      <c r="P241" s="443" t="n">
        <v>242770</v>
      </c>
      <c r="Q241" s="443" t="n">
        <v>648000</v>
      </c>
      <c r="S241" s="443" t="n">
        <v>648000</v>
      </c>
      <c r="T241" s="443" t="n">
        <v>405230</v>
      </c>
      <c r="Z241" s="444">
        <f>N('費用収益表_貸付'!C19)-N(C241)</f>
        <v>0</v>
      </c>
      <c r="AA241" s="444">
        <f>N('費用収益表_貸付'!D19)-N(D241)</f>
        <v>0</v>
      </c>
      <c r="AB241" s="444">
        <f>N('費用収益表_貸付'!E19)-N(E241)</f>
        <v>0</v>
      </c>
      <c r="AC241" s="444">
        <f>N('費用収益表_貸付'!F19)-N(F241)</f>
        <v>0</v>
      </c>
      <c r="AD241" s="444">
        <f>N('費用収益表_貸付'!G19)-N(G241)</f>
        <v>0</v>
      </c>
      <c r="AE241" s="444">
        <f>N('費用収益表_貸付'!H19)-N(H241)</f>
        <v>0</v>
      </c>
      <c r="AF241" s="444">
        <f>N('費用収益表_貸付'!I19)-N(I241)</f>
        <v>0</v>
      </c>
      <c r="AG241" s="444">
        <f>N('費用収益表_貸付'!J19)-N(J241)</f>
        <v>0</v>
      </c>
      <c r="AH241" s="444">
        <f>N('費用収益表_貸付'!K19)-N(K241)</f>
        <v>0</v>
      </c>
      <c r="AI241" s="444">
        <f>N('費用収益表_貸付'!L19)-N(L241)</f>
        <v>0</v>
      </c>
      <c r="AJ241" s="444">
        <f>N('費用収益表_貸付'!M19)-N(M241)</f>
        <v>0</v>
      </c>
      <c r="AK241" s="444">
        <f>N('費用収益表_貸付'!N19)-N(N241)</f>
        <v>0</v>
      </c>
      <c r="AL241" s="444">
        <f>N('費用収益表_貸付'!O19)-N(O241)</f>
        <v>0</v>
      </c>
      <c r="AM241" s="444">
        <f>N('費用収益表_貸付'!P19)-N(P241)</f>
        <v>0</v>
      </c>
      <c r="AN241" s="444">
        <f>N('費用収益表_貸付'!Q19)-N(Q241)</f>
        <v>0</v>
      </c>
      <c r="AO241" s="444">
        <f>N('費用収益表_貸付'!R19)-N(R241)</f>
        <v>0</v>
      </c>
      <c r="AP241" s="444">
        <f>N('費用収益表_貸付'!S19)-N(S241)</f>
        <v>0</v>
      </c>
      <c r="AQ241" s="444">
        <f>N('費用収益表_貸付'!T19)-N(T241)</f>
        <v>0</v>
      </c>
      <c r="AR241" s="444">
        <f>N('費用収益表_貸付'!U19)-N(U241)</f>
        <v>0</v>
      </c>
    </row>
    <row r="242">
      <c r="P242" s="443" t="n">
        <v>0</v>
      </c>
      <c r="Q242" s="443" t="n">
        <v>0</v>
      </c>
      <c r="S242" s="443" t="n">
        <v>0</v>
      </c>
      <c r="T242" s="443" t="n">
        <v>0</v>
      </c>
      <c r="Z242" s="444">
        <f>N('費用収益表_貸付'!C20)-N(C242)</f>
        <v>0</v>
      </c>
      <c r="AA242" s="444">
        <f>N('費用収益表_貸付'!D20)-N(D242)</f>
        <v>0</v>
      </c>
      <c r="AB242" s="444">
        <f>N('費用収益表_貸付'!E20)-N(E242)</f>
        <v>0</v>
      </c>
      <c r="AC242" s="444">
        <f>N('費用収益表_貸付'!F20)-N(F242)</f>
        <v>0</v>
      </c>
      <c r="AD242" s="444">
        <f>N('費用収益表_貸付'!G20)-N(G242)</f>
        <v>0</v>
      </c>
      <c r="AE242" s="444">
        <f>N('費用収益表_貸付'!H20)-N(H242)</f>
        <v>0</v>
      </c>
      <c r="AF242" s="444">
        <f>N('費用収益表_貸付'!I20)-N(I242)</f>
        <v>0</v>
      </c>
      <c r="AG242" s="444">
        <f>N('費用収益表_貸付'!J20)-N(J242)</f>
        <v>0</v>
      </c>
      <c r="AH242" s="444">
        <f>N('費用収益表_貸付'!K20)-N(K242)</f>
        <v>0</v>
      </c>
      <c r="AI242" s="444">
        <f>N('費用収益表_貸付'!L20)-N(L242)</f>
        <v>0</v>
      </c>
      <c r="AJ242" s="444">
        <f>N('費用収益表_貸付'!M20)-N(M242)</f>
        <v>0</v>
      </c>
      <c r="AK242" s="444">
        <f>N('費用収益表_貸付'!N20)-N(N242)</f>
        <v>0</v>
      </c>
      <c r="AL242" s="444">
        <f>N('費用収益表_貸付'!O20)-N(O242)</f>
        <v>0</v>
      </c>
      <c r="AM242" s="444">
        <f>N('費用収益表_貸付'!P20)-N(P242)</f>
        <v>0</v>
      </c>
      <c r="AN242" s="444">
        <f>N('費用収益表_貸付'!Q20)-N(Q242)</f>
        <v>0</v>
      </c>
      <c r="AO242" s="444">
        <f>N('費用収益表_貸付'!R20)-N(R242)</f>
        <v>0</v>
      </c>
      <c r="AP242" s="444">
        <f>N('費用収益表_貸付'!S20)-N(S242)</f>
        <v>0</v>
      </c>
      <c r="AQ242" s="444">
        <f>N('費用収益表_貸付'!T20)-N(T242)</f>
        <v>0</v>
      </c>
      <c r="AR242" s="444">
        <f>N('費用収益表_貸付'!U20)-N(U242)</f>
        <v>0</v>
      </c>
    </row>
    <row r="243">
      <c r="C243" s="443" t="n">
        <v>468</v>
      </c>
      <c r="D243" s="443" t="n">
        <v>468</v>
      </c>
      <c r="E243" s="443" t="n">
        <v>468</v>
      </c>
      <c r="F243" s="443" t="n">
        <v>468</v>
      </c>
      <c r="G243" s="443" t="n">
        <v>468</v>
      </c>
      <c r="H243" s="443" t="n">
        <v>468</v>
      </c>
      <c r="I243" s="443" t="n">
        <v>534</v>
      </c>
      <c r="J243" s="443" t="n">
        <v>534</v>
      </c>
      <c r="K243" s="443" t="n">
        <v>534</v>
      </c>
      <c r="L243" s="443" t="n">
        <v>684</v>
      </c>
      <c r="M243" s="443" t="n">
        <v>549</v>
      </c>
      <c r="N243" s="443" t="n">
        <v>549</v>
      </c>
      <c r="P243" s="443" t="n">
        <v>6192</v>
      </c>
      <c r="Q243" s="443" t="n">
        <v>2177000</v>
      </c>
      <c r="S243" s="443" t="n">
        <v>2177000</v>
      </c>
      <c r="T243" s="443" t="n">
        <v>292352</v>
      </c>
      <c r="Z243" s="444">
        <f>N('費用収益表_貸付'!C21)-N(C243)</f>
        <v>0</v>
      </c>
      <c r="AA243" s="444">
        <f>N('費用収益表_貸付'!D21)-N(D243)</f>
        <v>0</v>
      </c>
      <c r="AB243" s="444">
        <f>N('費用収益表_貸付'!E21)-N(E243)</f>
        <v>0</v>
      </c>
      <c r="AC243" s="444">
        <f>N('費用収益表_貸付'!F21)-N(F243)</f>
        <v>0</v>
      </c>
      <c r="AD243" s="444">
        <f>N('費用収益表_貸付'!G21)-N(G243)</f>
        <v>0</v>
      </c>
      <c r="AE243" s="444">
        <f>N('費用収益表_貸付'!H21)-N(H243)</f>
        <v>0</v>
      </c>
      <c r="AF243" s="444">
        <f>N('費用収益表_貸付'!I21)-N(I243)</f>
        <v>0</v>
      </c>
      <c r="AG243" s="444">
        <f>N('費用収益表_貸付'!J21)-N(J243)</f>
        <v>0</v>
      </c>
      <c r="AH243" s="444">
        <f>N('費用収益表_貸付'!K21)-N(K243)</f>
        <v>0</v>
      </c>
      <c r="AI243" s="444">
        <f>N('費用収益表_貸付'!L21)-N(L243)</f>
        <v>0</v>
      </c>
      <c r="AJ243" s="444">
        <f>N('費用収益表_貸付'!M21)-N(M243)</f>
        <v>0</v>
      </c>
      <c r="AK243" s="444">
        <f>N('費用収益表_貸付'!N21)-N(N243)</f>
        <v>0</v>
      </c>
      <c r="AL243" s="444">
        <f>N('費用収益表_貸付'!O21)-N(O243)</f>
        <v>0</v>
      </c>
      <c r="AM243" s="444">
        <f>N('費用収益表_貸付'!P21)-N(P243)</f>
        <v>0</v>
      </c>
      <c r="AN243" s="444">
        <f>N('費用収益表_貸付'!Q21)-N(Q243)</f>
        <v>0</v>
      </c>
      <c r="AO243" s="444">
        <f>N('費用収益表_貸付'!R21)-N(R243)</f>
        <v>0</v>
      </c>
      <c r="AP243" s="444">
        <f>N('費用収益表_貸付'!S21)-N(S243)</f>
        <v>0</v>
      </c>
      <c r="AQ243" s="444">
        <f>N('費用収益表_貸付'!T21)-N(T243)</f>
        <v>0</v>
      </c>
      <c r="AR243" s="444">
        <f>N('費用収益表_貸付'!U21)-N(U243)</f>
        <v>0</v>
      </c>
    </row>
    <row r="244">
      <c r="P244" s="443" t="n">
        <v>0</v>
      </c>
      <c r="Z244" s="444">
        <f>N('費用収益表_貸付'!C22)-N(C244)</f>
        <v>0</v>
      </c>
      <c r="AA244" s="444">
        <f>N('費用収益表_貸付'!D22)-N(D244)</f>
        <v>0</v>
      </c>
      <c r="AB244" s="444">
        <f>N('費用収益表_貸付'!E22)-N(E244)</f>
        <v>0</v>
      </c>
      <c r="AC244" s="444">
        <f>N('費用収益表_貸付'!F22)-N(F244)</f>
        <v>0</v>
      </c>
      <c r="AD244" s="444">
        <f>N('費用収益表_貸付'!G22)-N(G244)</f>
        <v>0</v>
      </c>
      <c r="AE244" s="444">
        <f>N('費用収益表_貸付'!H22)-N(H244)</f>
        <v>0</v>
      </c>
      <c r="AF244" s="444">
        <f>N('費用収益表_貸付'!I22)-N(I244)</f>
        <v>0</v>
      </c>
      <c r="AG244" s="444">
        <f>N('費用収益表_貸付'!J22)-N(J244)</f>
        <v>0</v>
      </c>
      <c r="AH244" s="444">
        <f>N('費用収益表_貸付'!K22)-N(K244)</f>
        <v>0</v>
      </c>
      <c r="AI244" s="444">
        <f>N('費用収益表_貸付'!L22)-N(L244)</f>
        <v>0</v>
      </c>
      <c r="AJ244" s="444">
        <f>N('費用収益表_貸付'!M22)-N(M244)</f>
        <v>0</v>
      </c>
      <c r="AK244" s="444">
        <f>N('費用収益表_貸付'!N22)-N(N244)</f>
        <v>0</v>
      </c>
      <c r="AL244" s="444">
        <f>N('費用収益表_貸付'!O22)-N(O244)</f>
        <v>0</v>
      </c>
      <c r="AM244" s="444">
        <f>N('費用収益表_貸付'!P22)-N(P244)</f>
        <v>0</v>
      </c>
      <c r="AN244" s="444">
        <f>N('費用収益表_貸付'!Q22)-N(Q244)</f>
        <v>0</v>
      </c>
      <c r="AO244" s="444">
        <f>N('費用収益表_貸付'!R22)-N(R244)</f>
        <v>0</v>
      </c>
      <c r="AP244" s="444">
        <f>N('費用収益表_貸付'!S22)-N(S244)</f>
        <v>0</v>
      </c>
      <c r="AQ244" s="444">
        <f>N('費用収益表_貸付'!T22)-N(T244)</f>
        <v>0</v>
      </c>
      <c r="AR244" s="444">
        <f>N('費用収益表_貸付'!U22)-N(U244)</f>
        <v>0</v>
      </c>
    </row>
    <row r="245">
      <c r="C245" s="443" t="n">
        <v>45719</v>
      </c>
      <c r="D245" s="443" t="n">
        <v>45719</v>
      </c>
      <c r="E245" s="443" t="n">
        <v>98509</v>
      </c>
      <c r="F245" s="443" t="n">
        <v>45719</v>
      </c>
      <c r="G245" s="443" t="n">
        <v>199402</v>
      </c>
      <c r="H245" s="443" t="n">
        <v>45719</v>
      </c>
      <c r="I245" s="443" t="n">
        <v>47257</v>
      </c>
      <c r="J245" s="443" t="n">
        <v>47257</v>
      </c>
      <c r="K245" s="443" t="n">
        <v>99869</v>
      </c>
      <c r="L245" s="443" t="n">
        <v>49972</v>
      </c>
      <c r="M245" s="443" t="n">
        <v>47257</v>
      </c>
      <c r="N245" s="443" t="n">
        <v>47257</v>
      </c>
      <c r="P245" s="443" t="n">
        <v>819656</v>
      </c>
      <c r="Z245" s="444">
        <f>N('費用収益表_貸付'!C23)-N(C245)</f>
        <v>0</v>
      </c>
      <c r="AA245" s="444">
        <f>N('費用収益表_貸付'!D23)-N(D245)</f>
        <v>0</v>
      </c>
      <c r="AB245" s="444">
        <f>N('費用収益表_貸付'!E23)-N(E245)</f>
        <v>0</v>
      </c>
      <c r="AC245" s="444">
        <f>N('費用収益表_貸付'!F23)-N(F245)</f>
        <v>0</v>
      </c>
      <c r="AD245" s="444">
        <f>N('費用収益表_貸付'!G23)-N(G245)</f>
        <v>0</v>
      </c>
      <c r="AE245" s="444">
        <f>N('費用収益表_貸付'!H23)-N(H245)</f>
        <v>0</v>
      </c>
      <c r="AF245" s="444">
        <f>N('費用収益表_貸付'!I23)-N(I245)</f>
        <v>0</v>
      </c>
      <c r="AG245" s="444">
        <f>N('費用収益表_貸付'!J23)-N(J245)</f>
        <v>0</v>
      </c>
      <c r="AH245" s="444">
        <f>N('費用収益表_貸付'!K23)-N(K245)</f>
        <v>0</v>
      </c>
      <c r="AI245" s="444">
        <f>N('費用収益表_貸付'!L23)-N(L245)</f>
        <v>0</v>
      </c>
      <c r="AJ245" s="444">
        <f>N('費用収益表_貸付'!M23)-N(M245)</f>
        <v>0</v>
      </c>
      <c r="AK245" s="444">
        <f>N('費用収益表_貸付'!N23)-N(N245)</f>
        <v>0</v>
      </c>
      <c r="AL245" s="444">
        <f>N('費用収益表_貸付'!O23)-N(O245)</f>
        <v>0</v>
      </c>
      <c r="AM245" s="444">
        <f>N('費用収益表_貸付'!P23)-N(P245)</f>
        <v>0</v>
      </c>
      <c r="AN245" s="444">
        <f>N('費用収益表_貸付'!Q23)-N(Q245)</f>
        <v>0</v>
      </c>
      <c r="AO245" s="444">
        <f>N('費用収益表_貸付'!R23)-N(R245)</f>
        <v>0</v>
      </c>
      <c r="AP245" s="444">
        <f>N('費用収益表_貸付'!S23)-N(S245)</f>
        <v>0</v>
      </c>
      <c r="AQ245" s="444">
        <f>N('費用収益表_貸付'!T23)-N(T245)</f>
        <v>0</v>
      </c>
      <c r="AR245" s="444">
        <f>N('費用収益表_貸付'!U23)-N(U245)</f>
        <v>0</v>
      </c>
    </row>
    <row r="246">
      <c r="D246" s="443" t="n">
        <v>72040</v>
      </c>
      <c r="E246" s="443" t="n">
        <v>142650</v>
      </c>
      <c r="F246" s="443" t="n">
        <v>71325</v>
      </c>
      <c r="H246" s="443" t="n">
        <v>71325</v>
      </c>
      <c r="I246" s="443" t="n">
        <v>71325</v>
      </c>
      <c r="K246" s="443" t="n">
        <v>71325</v>
      </c>
      <c r="L246" s="443" t="n">
        <v>71325</v>
      </c>
      <c r="M246" s="443" t="n">
        <v>150733</v>
      </c>
      <c r="N246" s="443" t="n">
        <v>146739</v>
      </c>
      <c r="O246" s="443" t="n">
        <v>60864</v>
      </c>
      <c r="P246" s="443" t="n">
        <v>929651</v>
      </c>
      <c r="Z246" s="444">
        <f>N('費用収益表_貸付'!C24)-N(C246)</f>
        <v>0</v>
      </c>
      <c r="AA246" s="444">
        <f>N('費用収益表_貸付'!D24)-N(D246)</f>
        <v>0</v>
      </c>
      <c r="AB246" s="444">
        <f>N('費用収益表_貸付'!E24)-N(E246)</f>
        <v>0</v>
      </c>
      <c r="AC246" s="444">
        <f>N('費用収益表_貸付'!F24)-N(F246)</f>
        <v>0</v>
      </c>
      <c r="AD246" s="444">
        <f>N('費用収益表_貸付'!G24)-N(G246)</f>
        <v>0</v>
      </c>
      <c r="AE246" s="444">
        <f>N('費用収益表_貸付'!H24)-N(H246)</f>
        <v>0</v>
      </c>
      <c r="AF246" s="444">
        <f>N('費用収益表_貸付'!I24)-N(I246)</f>
        <v>0</v>
      </c>
      <c r="AG246" s="444">
        <f>N('費用収益表_貸付'!J24)-N(J246)</f>
        <v>0</v>
      </c>
      <c r="AH246" s="444">
        <f>N('費用収益表_貸付'!K24)-N(K246)</f>
        <v>0</v>
      </c>
      <c r="AI246" s="444">
        <f>N('費用収益表_貸付'!L24)-N(L246)</f>
        <v>0</v>
      </c>
      <c r="AJ246" s="444">
        <f>N('費用収益表_貸付'!M24)-N(M246)</f>
        <v>0</v>
      </c>
      <c r="AK246" s="444">
        <f>N('費用収益表_貸付'!N24)-N(N246)</f>
        <v>0</v>
      </c>
      <c r="AL246" s="444">
        <f>N('費用収益表_貸付'!O24)-N(O246)</f>
        <v>0</v>
      </c>
      <c r="AM246" s="444">
        <f>N('費用収益表_貸付'!P24)-N(P246)</f>
        <v>0</v>
      </c>
      <c r="AN246" s="444">
        <f>N('費用収益表_貸付'!Q24)-N(Q246)</f>
        <v>0</v>
      </c>
      <c r="AO246" s="444">
        <f>N('費用収益表_貸付'!R24)-N(R246)</f>
        <v>0</v>
      </c>
      <c r="AP246" s="444">
        <f>N('費用収益表_貸付'!S24)-N(S246)</f>
        <v>0</v>
      </c>
      <c r="AQ246" s="444">
        <f>N('費用収益表_貸付'!T24)-N(T246)</f>
        <v>0</v>
      </c>
      <c r="AR246" s="444">
        <f>N('費用収益表_貸付'!U24)-N(U246)</f>
        <v>0</v>
      </c>
    </row>
    <row r="247">
      <c r="F247" s="443" t="n">
        <v>129149</v>
      </c>
      <c r="P247" s="443" t="n">
        <v>129149</v>
      </c>
      <c r="Z247" s="444">
        <f>N('費用収益表_貸付'!C25)-N(C247)</f>
        <v>0</v>
      </c>
      <c r="AA247" s="444">
        <f>N('費用収益表_貸付'!D25)-N(D247)</f>
        <v>0</v>
      </c>
      <c r="AB247" s="444">
        <f>N('費用収益表_貸付'!E25)-N(E247)</f>
        <v>0</v>
      </c>
      <c r="AC247" s="444">
        <f>N('費用収益表_貸付'!F25)-N(F247)</f>
        <v>0</v>
      </c>
      <c r="AD247" s="444">
        <f>N('費用収益表_貸付'!G25)-N(G247)</f>
        <v>0</v>
      </c>
      <c r="AE247" s="444">
        <f>N('費用収益表_貸付'!H25)-N(H247)</f>
        <v>0</v>
      </c>
      <c r="AF247" s="444">
        <f>N('費用収益表_貸付'!I25)-N(I247)</f>
        <v>0</v>
      </c>
      <c r="AG247" s="444">
        <f>N('費用収益表_貸付'!J25)-N(J247)</f>
        <v>0</v>
      </c>
      <c r="AH247" s="444">
        <f>N('費用収益表_貸付'!K25)-N(K247)</f>
        <v>0</v>
      </c>
      <c r="AI247" s="444">
        <f>N('費用収益表_貸付'!L25)-N(L247)</f>
        <v>0</v>
      </c>
      <c r="AJ247" s="444">
        <f>N('費用収益表_貸付'!M25)-N(M247)</f>
        <v>0</v>
      </c>
      <c r="AK247" s="444">
        <f>N('費用収益表_貸付'!N25)-N(N247)</f>
        <v>0</v>
      </c>
      <c r="AL247" s="444">
        <f>N('費用収益表_貸付'!O25)-N(O247)</f>
        <v>0</v>
      </c>
      <c r="AM247" s="444">
        <f>N('費用収益表_貸付'!P25)-N(P247)</f>
        <v>0</v>
      </c>
      <c r="AN247" s="444">
        <f>N('費用収益表_貸付'!Q25)-N(Q247)</f>
        <v>0</v>
      </c>
      <c r="AO247" s="444">
        <f>N('費用収益表_貸付'!R25)-N(R247)</f>
        <v>0</v>
      </c>
      <c r="AP247" s="444">
        <f>N('費用収益表_貸付'!S25)-N(S247)</f>
        <v>0</v>
      </c>
      <c r="AQ247" s="444">
        <f>N('費用収益表_貸付'!T25)-N(T247)</f>
        <v>0</v>
      </c>
      <c r="AR247" s="444">
        <f>N('費用収益表_貸付'!U25)-N(U247)</f>
        <v>0</v>
      </c>
    </row>
    <row r="248">
      <c r="P248" s="443" t="n">
        <v>0</v>
      </c>
      <c r="Q248" s="443" t="n">
        <v>33000</v>
      </c>
      <c r="S248" s="443" t="n">
        <v>33000</v>
      </c>
      <c r="T248" s="443" t="n">
        <v>33000</v>
      </c>
      <c r="Z248" s="444">
        <f>N('費用収益表_貸付'!C26)-N(C248)</f>
        <v>0</v>
      </c>
      <c r="AA248" s="444">
        <f>N('費用収益表_貸付'!D26)-N(D248)</f>
        <v>0</v>
      </c>
      <c r="AB248" s="444">
        <f>N('費用収益表_貸付'!E26)-N(E248)</f>
        <v>0</v>
      </c>
      <c r="AC248" s="444">
        <f>N('費用収益表_貸付'!F26)-N(F248)</f>
        <v>0</v>
      </c>
      <c r="AD248" s="444">
        <f>N('費用収益表_貸付'!G26)-N(G248)</f>
        <v>0</v>
      </c>
      <c r="AE248" s="444">
        <f>N('費用収益表_貸付'!H26)-N(H248)</f>
        <v>0</v>
      </c>
      <c r="AF248" s="444">
        <f>N('費用収益表_貸付'!I26)-N(I248)</f>
        <v>0</v>
      </c>
      <c r="AG248" s="444">
        <f>N('費用収益表_貸付'!J26)-N(J248)</f>
        <v>0</v>
      </c>
      <c r="AH248" s="444">
        <f>N('費用収益表_貸付'!K26)-N(K248)</f>
        <v>0</v>
      </c>
      <c r="AI248" s="444">
        <f>N('費用収益表_貸付'!L26)-N(L248)</f>
        <v>0</v>
      </c>
      <c r="AJ248" s="444">
        <f>N('費用収益表_貸付'!M26)-N(M248)</f>
        <v>0</v>
      </c>
      <c r="AK248" s="444">
        <f>N('費用収益表_貸付'!N26)-N(N248)</f>
        <v>0</v>
      </c>
      <c r="AL248" s="444">
        <f>N('費用収益表_貸付'!O26)-N(O248)</f>
        <v>0</v>
      </c>
      <c r="AM248" s="444">
        <f>N('費用収益表_貸付'!P26)-N(P248)</f>
        <v>0</v>
      </c>
      <c r="AN248" s="444">
        <f>N('費用収益表_貸付'!Q26)-N(Q248)</f>
        <v>0</v>
      </c>
      <c r="AO248" s="444">
        <f>N('費用収益表_貸付'!R26)-N(R248)</f>
        <v>0</v>
      </c>
      <c r="AP248" s="444">
        <f>N('費用収益表_貸付'!S26)-N(S248)</f>
        <v>0</v>
      </c>
      <c r="AQ248" s="444">
        <f>N('費用収益表_貸付'!T26)-N(T248)</f>
        <v>0</v>
      </c>
      <c r="AR248" s="444">
        <f>N('費用収益表_貸付'!U26)-N(U248)</f>
        <v>0</v>
      </c>
    </row>
    <row r="249">
      <c r="C249" s="443" t="n">
        <v>46187</v>
      </c>
      <c r="D249" s="443" t="n">
        <v>118227</v>
      </c>
      <c r="E249" s="443" t="n">
        <v>241627</v>
      </c>
      <c r="F249" s="443" t="n">
        <v>246661</v>
      </c>
      <c r="G249" s="443" t="n">
        <v>199870</v>
      </c>
      <c r="H249" s="443" t="n">
        <v>117512</v>
      </c>
      <c r="I249" s="443" t="n">
        <v>119116</v>
      </c>
      <c r="J249" s="443" t="n">
        <v>47791</v>
      </c>
      <c r="K249" s="443" t="n">
        <v>171728</v>
      </c>
      <c r="L249" s="443" t="n">
        <v>121981</v>
      </c>
      <c r="M249" s="443" t="n">
        <v>198539</v>
      </c>
      <c r="N249" s="443" t="n">
        <v>194545</v>
      </c>
      <c r="O249" s="443" t="n">
        <v>60864</v>
      </c>
      <c r="P249" s="443" t="n">
        <v>1884648</v>
      </c>
      <c r="Q249" s="443" t="n">
        <v>2210000</v>
      </c>
      <c r="R249" s="443" t="n">
        <v>0</v>
      </c>
      <c r="S249" s="443" t="n">
        <v>2210000</v>
      </c>
      <c r="T249" s="443" t="n">
        <v>325352</v>
      </c>
      <c r="Z249" s="444">
        <f>N('費用収益表_貸付'!C27)-N(C249)</f>
        <v>0</v>
      </c>
      <c r="AA249" s="444">
        <f>N('費用収益表_貸付'!D27)-N(D249)</f>
        <v>0</v>
      </c>
      <c r="AB249" s="444">
        <f>N('費用収益表_貸付'!E27)-N(E249)</f>
        <v>0</v>
      </c>
      <c r="AC249" s="444">
        <f>N('費用収益表_貸付'!F27)-N(F249)</f>
        <v>0</v>
      </c>
      <c r="AD249" s="444">
        <f>N('費用収益表_貸付'!G27)-N(G249)</f>
        <v>0</v>
      </c>
      <c r="AE249" s="444">
        <f>N('費用収益表_貸付'!H27)-N(H249)</f>
        <v>0</v>
      </c>
      <c r="AF249" s="444">
        <f>N('費用収益表_貸付'!I27)-N(I249)</f>
        <v>0</v>
      </c>
      <c r="AG249" s="444">
        <f>N('費用収益表_貸付'!J27)-N(J249)</f>
        <v>0</v>
      </c>
      <c r="AH249" s="444">
        <f>N('費用収益表_貸付'!K27)-N(K249)</f>
        <v>0</v>
      </c>
      <c r="AI249" s="444">
        <f>N('費用収益表_貸付'!L27)-N(L249)</f>
        <v>0</v>
      </c>
      <c r="AJ249" s="444">
        <f>N('費用収益表_貸付'!M27)-N(M249)</f>
        <v>0</v>
      </c>
      <c r="AK249" s="444">
        <f>N('費用収益表_貸付'!N27)-N(N249)</f>
        <v>0</v>
      </c>
      <c r="AL249" s="444">
        <f>N('費用収益表_貸付'!O27)-N(O249)</f>
        <v>0</v>
      </c>
      <c r="AM249" s="444">
        <f>N('費用収益表_貸付'!P27)-N(P249)</f>
        <v>0</v>
      </c>
      <c r="AN249" s="444">
        <f>N('費用収益表_貸付'!Q27)-N(Q249)</f>
        <v>0</v>
      </c>
      <c r="AO249" s="444">
        <f>N('費用収益表_貸付'!R27)-N(R249)</f>
        <v>0</v>
      </c>
      <c r="AP249" s="444">
        <f>N('費用収益表_貸付'!S27)-N(S249)</f>
        <v>0</v>
      </c>
      <c r="AQ249" s="444">
        <f>N('費用収益表_貸付'!T27)-N(T249)</f>
        <v>0</v>
      </c>
      <c r="AR249" s="444">
        <f>N('費用収益表_貸付'!U27)-N(U249)</f>
        <v>0</v>
      </c>
    </row>
    <row r="250">
      <c r="P250" s="443" t="n">
        <v>0</v>
      </c>
      <c r="Q250" s="443" t="n">
        <v>0</v>
      </c>
      <c r="S250" s="443" t="n">
        <v>0</v>
      </c>
      <c r="T250" s="443" t="n">
        <v>0</v>
      </c>
      <c r="Z250" s="444">
        <f>N('費用収益表_貸付'!C28)-N(C250)</f>
        <v>0</v>
      </c>
      <c r="AA250" s="444">
        <f>N('費用収益表_貸付'!D28)-N(D250)</f>
        <v>0</v>
      </c>
      <c r="AB250" s="444">
        <f>N('費用収益表_貸付'!E28)-N(E250)</f>
        <v>0</v>
      </c>
      <c r="AC250" s="444">
        <f>N('費用収益表_貸付'!F28)-N(F250)</f>
        <v>0</v>
      </c>
      <c r="AD250" s="444">
        <f>N('費用収益表_貸付'!G28)-N(G250)</f>
        <v>0</v>
      </c>
      <c r="AE250" s="444">
        <f>N('費用収益表_貸付'!H28)-N(H250)</f>
        <v>0</v>
      </c>
      <c r="AF250" s="444">
        <f>N('費用収益表_貸付'!I28)-N(I250)</f>
        <v>0</v>
      </c>
      <c r="AG250" s="444">
        <f>N('費用収益表_貸付'!J28)-N(J250)</f>
        <v>0</v>
      </c>
      <c r="AH250" s="444">
        <f>N('費用収益表_貸付'!K28)-N(K250)</f>
        <v>0</v>
      </c>
      <c r="AI250" s="444">
        <f>N('費用収益表_貸付'!L28)-N(L250)</f>
        <v>0</v>
      </c>
      <c r="AJ250" s="444">
        <f>N('費用収益表_貸付'!M28)-N(M250)</f>
        <v>0</v>
      </c>
      <c r="AK250" s="444">
        <f>N('費用収益表_貸付'!N28)-N(N250)</f>
        <v>0</v>
      </c>
      <c r="AL250" s="444">
        <f>N('費用収益表_貸付'!O28)-N(O250)</f>
        <v>0</v>
      </c>
      <c r="AM250" s="444">
        <f>N('費用収益表_貸付'!P28)-N(P250)</f>
        <v>0</v>
      </c>
      <c r="AN250" s="444">
        <f>N('費用収益表_貸付'!Q28)-N(Q250)</f>
        <v>0</v>
      </c>
      <c r="AO250" s="444">
        <f>N('費用収益表_貸付'!R28)-N(R250)</f>
        <v>0</v>
      </c>
      <c r="AP250" s="444">
        <f>N('費用収益表_貸付'!S28)-N(S250)</f>
        <v>0</v>
      </c>
      <c r="AQ250" s="444">
        <f>N('費用収益表_貸付'!T28)-N(T250)</f>
        <v>0</v>
      </c>
      <c r="AR250" s="444">
        <f>N('費用収益表_貸付'!U28)-N(U250)</f>
        <v>0</v>
      </c>
    </row>
    <row r="251">
      <c r="O251" s="443" t="n">
        <v>107690</v>
      </c>
      <c r="P251" s="443" t="n">
        <v>107690</v>
      </c>
      <c r="Q251" s="443" t="n">
        <v>0</v>
      </c>
      <c r="S251" s="443" t="n">
        <v>0</v>
      </c>
      <c r="T251" s="443" t="n">
        <v>-107690</v>
      </c>
      <c r="Z251" s="444">
        <f>N('費用収益表_貸付'!C29)-N(C251)</f>
        <v>0</v>
      </c>
      <c r="AA251" s="444">
        <f>N('費用収益表_貸付'!D29)-N(D251)</f>
        <v>0</v>
      </c>
      <c r="AB251" s="444">
        <f>N('費用収益表_貸付'!E29)-N(E251)</f>
        <v>0</v>
      </c>
      <c r="AC251" s="444">
        <f>N('費用収益表_貸付'!F29)-N(F251)</f>
        <v>0</v>
      </c>
      <c r="AD251" s="444">
        <f>N('費用収益表_貸付'!G29)-N(G251)</f>
        <v>0</v>
      </c>
      <c r="AE251" s="444">
        <f>N('費用収益表_貸付'!H29)-N(H251)</f>
        <v>0</v>
      </c>
      <c r="AF251" s="444">
        <f>N('費用収益表_貸付'!I29)-N(I251)</f>
        <v>0</v>
      </c>
      <c r="AG251" s="444">
        <f>N('費用収益表_貸付'!J29)-N(J251)</f>
        <v>0</v>
      </c>
      <c r="AH251" s="444">
        <f>N('費用収益表_貸付'!K29)-N(K251)</f>
        <v>0</v>
      </c>
      <c r="AI251" s="444">
        <f>N('費用収益表_貸付'!L29)-N(L251)</f>
        <v>0</v>
      </c>
      <c r="AJ251" s="444">
        <f>N('費用収益表_貸付'!M29)-N(M251)</f>
        <v>0</v>
      </c>
      <c r="AK251" s="444">
        <f>N('費用収益表_貸付'!N29)-N(N251)</f>
        <v>0</v>
      </c>
      <c r="AL251" s="444">
        <f>N('費用収益表_貸付'!O29)-N(O251)</f>
        <v>0</v>
      </c>
      <c r="AM251" s="444">
        <f>N('費用収益表_貸付'!P29)-N(P251)</f>
        <v>0</v>
      </c>
      <c r="AN251" s="444">
        <f>N('費用収益表_貸付'!Q29)-N(Q251)</f>
        <v>0</v>
      </c>
      <c r="AO251" s="444">
        <f>N('費用収益表_貸付'!R29)-N(R251)</f>
        <v>0</v>
      </c>
      <c r="AP251" s="444">
        <f>N('費用収益表_貸付'!S29)-N(S251)</f>
        <v>0</v>
      </c>
      <c r="AQ251" s="444">
        <f>N('費用収益表_貸付'!T29)-N(T251)</f>
        <v>0</v>
      </c>
      <c r="AR251" s="444">
        <f>N('費用収益表_貸付'!U29)-N(U251)</f>
        <v>0</v>
      </c>
    </row>
    <row r="252">
      <c r="O252" s="443" t="n">
        <v>0</v>
      </c>
      <c r="P252" s="443" t="n">
        <v>0</v>
      </c>
      <c r="Q252" s="443" t="n">
        <v>0</v>
      </c>
      <c r="S252" s="443" t="n">
        <v>0</v>
      </c>
      <c r="T252" s="443" t="n">
        <v>0</v>
      </c>
      <c r="Z252" s="444">
        <f>N('費用収益表_貸付'!C30)-N(C252)</f>
        <v>0</v>
      </c>
      <c r="AA252" s="444">
        <f>N('費用収益表_貸付'!D30)-N(D252)</f>
        <v>0</v>
      </c>
      <c r="AB252" s="444">
        <f>N('費用収益表_貸付'!E30)-N(E252)</f>
        <v>0</v>
      </c>
      <c r="AC252" s="444">
        <f>N('費用収益表_貸付'!F30)-N(F252)</f>
        <v>0</v>
      </c>
      <c r="AD252" s="444">
        <f>N('費用収益表_貸付'!G30)-N(G252)</f>
        <v>0</v>
      </c>
      <c r="AE252" s="444">
        <f>N('費用収益表_貸付'!H30)-N(H252)</f>
        <v>0</v>
      </c>
      <c r="AF252" s="444">
        <f>N('費用収益表_貸付'!I30)-N(I252)</f>
        <v>0</v>
      </c>
      <c r="AG252" s="444">
        <f>N('費用収益表_貸付'!J30)-N(J252)</f>
        <v>0</v>
      </c>
      <c r="AH252" s="444">
        <f>N('費用収益表_貸付'!K30)-N(K252)</f>
        <v>0</v>
      </c>
      <c r="AI252" s="444">
        <f>N('費用収益表_貸付'!L30)-N(L252)</f>
        <v>0</v>
      </c>
      <c r="AJ252" s="444">
        <f>N('費用収益表_貸付'!M30)-N(M252)</f>
        <v>0</v>
      </c>
      <c r="AK252" s="444">
        <f>N('費用収益表_貸付'!N30)-N(N252)</f>
        <v>0</v>
      </c>
      <c r="AL252" s="444">
        <f>N('費用収益表_貸付'!O30)-N(O252)</f>
        <v>0</v>
      </c>
      <c r="AM252" s="444">
        <f>N('費用収益表_貸付'!P30)-N(P252)</f>
        <v>0</v>
      </c>
      <c r="AN252" s="444">
        <f>N('費用収益表_貸付'!Q30)-N(Q252)</f>
        <v>0</v>
      </c>
      <c r="AO252" s="444">
        <f>N('費用収益表_貸付'!R30)-N(R252)</f>
        <v>0</v>
      </c>
      <c r="AP252" s="444">
        <f>N('費用収益表_貸付'!S30)-N(S252)</f>
        <v>0</v>
      </c>
      <c r="AQ252" s="444">
        <f>N('費用収益表_貸付'!T30)-N(T252)</f>
        <v>0</v>
      </c>
      <c r="AR252" s="444">
        <f>N('費用収益表_貸付'!U30)-N(U252)</f>
        <v>0</v>
      </c>
    </row>
    <row r="253">
      <c r="C253" s="443" t="n">
        <v>542066</v>
      </c>
      <c r="D253" s="443" t="n">
        <v>962591</v>
      </c>
      <c r="E253" s="443" t="n">
        <v>1900656</v>
      </c>
      <c r="F253" s="443" t="n">
        <v>1106995</v>
      </c>
      <c r="G253" s="443" t="n">
        <v>1423062</v>
      </c>
      <c r="H253" s="443" t="n">
        <v>1089403</v>
      </c>
      <c r="I253" s="443" t="n">
        <v>1080718</v>
      </c>
      <c r="J253" s="443" t="n">
        <v>913437</v>
      </c>
      <c r="K253" s="443" t="n">
        <v>1921335</v>
      </c>
      <c r="L253" s="443" t="n">
        <v>1092749</v>
      </c>
      <c r="M253" s="443" t="n">
        <v>1053997</v>
      </c>
      <c r="N253" s="443" t="n">
        <v>1006894</v>
      </c>
      <c r="O253" s="443" t="n">
        <v>595170</v>
      </c>
      <c r="P253" s="443" t="n">
        <v>14689073</v>
      </c>
      <c r="Q253" s="443" t="n">
        <v>18762000</v>
      </c>
      <c r="R253" s="443" t="n">
        <v>0</v>
      </c>
      <c r="S253" s="443" t="n">
        <v>18762000</v>
      </c>
      <c r="T253" s="443" t="n">
        <v>4072927</v>
      </c>
      <c r="Z253" s="444">
        <f>N('費用収益表_貸付'!C31)-N(C253)</f>
        <v>0</v>
      </c>
      <c r="AA253" s="444">
        <f>N('費用収益表_貸付'!D31)-N(D253)</f>
        <v>0</v>
      </c>
      <c r="AB253" s="444">
        <f>N('費用収益表_貸付'!E31)-N(E253)</f>
        <v>0</v>
      </c>
      <c r="AC253" s="444">
        <f>N('費用収益表_貸付'!F31)-N(F253)</f>
        <v>0</v>
      </c>
      <c r="AD253" s="444">
        <f>N('費用収益表_貸付'!G31)-N(G253)</f>
        <v>0</v>
      </c>
      <c r="AE253" s="444">
        <f>N('費用収益表_貸付'!H31)-N(H253)</f>
        <v>0</v>
      </c>
      <c r="AF253" s="444">
        <f>N('費用収益表_貸付'!I31)-N(I253)</f>
        <v>0</v>
      </c>
      <c r="AG253" s="444">
        <f>N('費用収益表_貸付'!J31)-N(J253)</f>
        <v>0</v>
      </c>
      <c r="AH253" s="444">
        <f>N('費用収益表_貸付'!K31)-N(K253)</f>
        <v>0</v>
      </c>
      <c r="AI253" s="444">
        <f>N('費用収益表_貸付'!L31)-N(L253)</f>
        <v>0</v>
      </c>
      <c r="AJ253" s="444">
        <f>N('費用収益表_貸付'!M31)-N(M253)</f>
        <v>0</v>
      </c>
      <c r="AK253" s="444">
        <f>N('費用収益表_貸付'!N31)-N(N253)</f>
        <v>0</v>
      </c>
      <c r="AL253" s="444">
        <f>N('費用収益表_貸付'!O31)-N(O253)</f>
        <v>0</v>
      </c>
      <c r="AM253" s="444">
        <f>N('費用収益表_貸付'!P31)-N(P253)</f>
        <v>0</v>
      </c>
      <c r="AN253" s="444">
        <f>N('費用収益表_貸付'!Q31)-N(Q253)</f>
        <v>0</v>
      </c>
      <c r="AO253" s="444">
        <f>N('費用収益表_貸付'!R31)-N(R253)</f>
        <v>0</v>
      </c>
      <c r="AP253" s="444">
        <f>N('費用収益表_貸付'!S31)-N(S253)</f>
        <v>0</v>
      </c>
      <c r="AQ253" s="444">
        <f>N('費用収益表_貸付'!T31)-N(T253)</f>
        <v>0</v>
      </c>
      <c r="AR253" s="444">
        <f>N('費用収益表_貸付'!U31)-N(U253)</f>
        <v>0</v>
      </c>
    </row>
    <row r="254">
      <c r="Z254" s="444">
        <f>N('費用収益表_貸付'!C32)-N(C254)</f>
        <v>0</v>
      </c>
      <c r="AA254" s="444">
        <f>N('費用収益表_貸付'!D32)-N(D254)</f>
        <v>0</v>
      </c>
      <c r="AB254" s="444">
        <f>N('費用収益表_貸付'!E32)-N(E254)</f>
        <v>0</v>
      </c>
      <c r="AC254" s="444">
        <f>N('費用収益表_貸付'!F32)-N(F254)</f>
        <v>0</v>
      </c>
      <c r="AD254" s="444">
        <f>N('費用収益表_貸付'!G32)-N(G254)</f>
        <v>0</v>
      </c>
      <c r="AE254" s="444">
        <f>N('費用収益表_貸付'!H32)-N(H254)</f>
        <v>0</v>
      </c>
      <c r="AF254" s="444">
        <f>N('費用収益表_貸付'!I32)-N(I254)</f>
        <v>0</v>
      </c>
      <c r="AG254" s="444">
        <f>N('費用収益表_貸付'!J32)-N(J254)</f>
        <v>0</v>
      </c>
      <c r="AH254" s="444">
        <f>N('費用収益表_貸付'!K32)-N(K254)</f>
        <v>0</v>
      </c>
      <c r="AI254" s="444">
        <f>N('費用収益表_貸付'!L32)-N(L254)</f>
        <v>0</v>
      </c>
      <c r="AJ254" s="444">
        <f>N('費用収益表_貸付'!M32)-N(M254)</f>
        <v>0</v>
      </c>
      <c r="AK254" s="444">
        <f>N('費用収益表_貸付'!N32)-N(N254)</f>
        <v>0</v>
      </c>
      <c r="AL254" s="444">
        <f>N('費用収益表_貸付'!O32)-N(O254)</f>
        <v>0</v>
      </c>
      <c r="AM254" s="444">
        <f>N('費用収益表_貸付'!P32)-N(P254)</f>
        <v>0</v>
      </c>
      <c r="AN254" s="444">
        <f>N('費用収益表_貸付'!Q32)-N(Q254)</f>
        <v>0</v>
      </c>
      <c r="AO254" s="444">
        <f>N('費用収益表_貸付'!R32)-N(R254)</f>
        <v>0</v>
      </c>
      <c r="AP254" s="444">
        <f>N('費用収益表_貸付'!S32)-N(S254)</f>
        <v>0</v>
      </c>
      <c r="AQ254" s="444">
        <f>N('費用収益表_貸付'!T32)-N(T254)</f>
        <v>0</v>
      </c>
      <c r="AR254" s="444">
        <f>N('費用収益表_貸付'!U32)-N(U254)</f>
        <v>0</v>
      </c>
    </row>
    <row r="255">
      <c r="Z255" s="444">
        <f>N('費用収益表_貸付'!C33)-N(C255)</f>
        <v>0</v>
      </c>
      <c r="AA255" s="444">
        <f>N('費用収益表_貸付'!D33)-N(D255)</f>
        <v>0</v>
      </c>
      <c r="AB255" s="444">
        <f>N('費用収益表_貸付'!E33)-N(E255)</f>
        <v>0</v>
      </c>
      <c r="AC255" s="444">
        <f>N('費用収益表_貸付'!F33)-N(F255)</f>
        <v>0</v>
      </c>
      <c r="AD255" s="444">
        <f>N('費用収益表_貸付'!G33)-N(G255)</f>
        <v>0</v>
      </c>
      <c r="AE255" s="444">
        <f>N('費用収益表_貸付'!H33)-N(H255)</f>
        <v>0</v>
      </c>
      <c r="AF255" s="444">
        <f>N('費用収益表_貸付'!I33)-N(I255)</f>
        <v>0</v>
      </c>
      <c r="AG255" s="444">
        <f>N('費用収益表_貸付'!J33)-N(J255)</f>
        <v>0</v>
      </c>
      <c r="AH255" s="444">
        <f>N('費用収益表_貸付'!K33)-N(K255)</f>
        <v>0</v>
      </c>
      <c r="AI255" s="444">
        <f>N('費用収益表_貸付'!L33)-N(L255)</f>
        <v>0</v>
      </c>
      <c r="AJ255" s="444">
        <f>N('費用収益表_貸付'!M33)-N(M255)</f>
        <v>0</v>
      </c>
      <c r="AK255" s="444">
        <f>N('費用収益表_貸付'!N33)-N(N255)</f>
        <v>0</v>
      </c>
      <c r="AL255" s="444">
        <f>N('費用収益表_貸付'!O33)-N(O255)</f>
        <v>0</v>
      </c>
      <c r="AM255" s="444">
        <f>N('費用収益表_貸付'!P33)-N(P255)</f>
        <v>0</v>
      </c>
      <c r="AN255" s="444">
        <f>N('費用収益表_貸付'!Q33)-N(Q255)</f>
        <v>0</v>
      </c>
      <c r="AO255" s="444">
        <f>N('費用収益表_貸付'!R33)-N(R255)</f>
        <v>0</v>
      </c>
      <c r="AP255" s="444">
        <f>N('費用収益表_貸付'!S33)-N(S255)</f>
        <v>0</v>
      </c>
      <c r="AQ255" s="444">
        <f>N('費用収益表_貸付'!T33)-N(T255)</f>
        <v>0</v>
      </c>
      <c r="AR255" s="444">
        <f>N('費用収益表_貸付'!U33)-N(U255)</f>
        <v>0</v>
      </c>
    </row>
    <row r="256">
      <c r="G256" s="443" t="n">
        <v>21000</v>
      </c>
      <c r="M256" s="443" t="n">
        <v>21000</v>
      </c>
      <c r="P256" s="443" t="n">
        <v>42000</v>
      </c>
      <c r="Q256" s="443" t="n">
        <v>44000</v>
      </c>
      <c r="S256" s="443" t="n">
        <v>0</v>
      </c>
      <c r="T256" s="443" t="n">
        <v>44000</v>
      </c>
      <c r="Z256" s="444">
        <f>N('費用収益表_貸付'!C34)-N(C256)</f>
        <v>0</v>
      </c>
      <c r="AA256" s="444">
        <f>N('費用収益表_貸付'!D34)-N(D256)</f>
        <v>0</v>
      </c>
      <c r="AB256" s="444">
        <f>N('費用収益表_貸付'!E34)-N(E256)</f>
        <v>0</v>
      </c>
      <c r="AC256" s="444">
        <f>N('費用収益表_貸付'!F34)-N(F256)</f>
        <v>0</v>
      </c>
      <c r="AD256" s="444">
        <f>N('費用収益表_貸付'!G34)-N(G256)</f>
        <v>0</v>
      </c>
      <c r="AE256" s="444">
        <f>N('費用収益表_貸付'!H34)-N(H256)</f>
        <v>0</v>
      </c>
      <c r="AF256" s="444">
        <f>N('費用収益表_貸付'!I34)-N(I256)</f>
        <v>0</v>
      </c>
      <c r="AG256" s="444">
        <f>N('費用収益表_貸付'!J34)-N(J256)</f>
        <v>0</v>
      </c>
      <c r="AH256" s="444">
        <f>N('費用収益表_貸付'!K34)-N(K256)</f>
        <v>0</v>
      </c>
      <c r="AI256" s="444">
        <f>N('費用収益表_貸付'!L34)-N(L256)</f>
        <v>0</v>
      </c>
      <c r="AJ256" s="444">
        <f>N('費用収益表_貸付'!M34)-N(M256)</f>
        <v>0</v>
      </c>
      <c r="AK256" s="444">
        <f>N('費用収益表_貸付'!N34)-N(N256)</f>
        <v>0</v>
      </c>
      <c r="AL256" s="444">
        <f>N('費用収益表_貸付'!O34)-N(O256)</f>
        <v>0</v>
      </c>
      <c r="AM256" s="444">
        <f>N('費用収益表_貸付'!P34)-N(P256)</f>
        <v>0</v>
      </c>
      <c r="AN256" s="444">
        <f>N('費用収益表_貸付'!Q34)-N(Q256)</f>
        <v>0</v>
      </c>
      <c r="AO256" s="444">
        <f>N('費用収益表_貸付'!R34)-N(R256)</f>
        <v>0</v>
      </c>
      <c r="AP256" s="444">
        <f>N('費用収益表_貸付'!S34)-N(S256)</f>
        <v>0</v>
      </c>
      <c r="AQ256" s="444">
        <f>N('費用収益表_貸付'!T34)-N(T256)</f>
        <v>0</v>
      </c>
      <c r="AR256" s="444">
        <f>N('費用収益表_貸付'!U34)-N(U256)</f>
        <v>0</v>
      </c>
    </row>
    <row r="257">
      <c r="C257" s="443" t="n">
        <v>809638</v>
      </c>
      <c r="D257" s="443" t="n">
        <v>894954</v>
      </c>
      <c r="E257" s="443" t="n">
        <v>974223</v>
      </c>
      <c r="F257" s="443" t="n">
        <v>632156</v>
      </c>
      <c r="G257" s="443" t="n">
        <v>808696</v>
      </c>
      <c r="H257" s="443" t="n">
        <v>802084</v>
      </c>
      <c r="I257" s="443" t="n">
        <v>838256</v>
      </c>
      <c r="J257" s="443" t="n">
        <v>820237</v>
      </c>
      <c r="K257" s="443" t="n">
        <v>1204671</v>
      </c>
      <c r="L257" s="443" t="n">
        <v>814454</v>
      </c>
      <c r="M257" s="443" t="n">
        <v>813390</v>
      </c>
      <c r="N257" s="443" t="n">
        <v>801567</v>
      </c>
      <c r="O257" s="443" t="n">
        <v>247126</v>
      </c>
      <c r="P257" s="443" t="n">
        <v>10461452</v>
      </c>
      <c r="Q257" s="443" t="n">
        <v>10679000</v>
      </c>
      <c r="S257" s="443" t="n">
        <v>0</v>
      </c>
      <c r="T257" s="443" t="n">
        <v>10679000</v>
      </c>
      <c r="Z257" s="444">
        <f>N('費用収益表_貸付'!C35)-N(C257)</f>
        <v>0</v>
      </c>
      <c r="AA257" s="444">
        <f>N('費用収益表_貸付'!D35)-N(D257)</f>
        <v>0</v>
      </c>
      <c r="AB257" s="444">
        <f>N('費用収益表_貸付'!E35)-N(E257)</f>
        <v>0</v>
      </c>
      <c r="AC257" s="444">
        <f>N('費用収益表_貸付'!F35)-N(F257)</f>
        <v>0</v>
      </c>
      <c r="AD257" s="444">
        <f>N('費用収益表_貸付'!G35)-N(G257)</f>
        <v>0</v>
      </c>
      <c r="AE257" s="444">
        <f>N('費用収益表_貸付'!H35)-N(H257)</f>
        <v>0</v>
      </c>
      <c r="AF257" s="444">
        <f>N('費用収益表_貸付'!I35)-N(I257)</f>
        <v>0</v>
      </c>
      <c r="AG257" s="444">
        <f>N('費用収益表_貸付'!J35)-N(J257)</f>
        <v>0</v>
      </c>
      <c r="AH257" s="444">
        <f>N('費用収益表_貸付'!K35)-N(K257)</f>
        <v>0</v>
      </c>
      <c r="AI257" s="444">
        <f>N('費用収益表_貸付'!L35)-N(L257)</f>
        <v>0</v>
      </c>
      <c r="AJ257" s="444">
        <f>N('費用収益表_貸付'!M35)-N(M257)</f>
        <v>0</v>
      </c>
      <c r="AK257" s="444">
        <f>N('費用収益表_貸付'!N35)-N(N257)</f>
        <v>0</v>
      </c>
      <c r="AL257" s="444">
        <f>N('費用収益表_貸付'!O35)-N(O257)</f>
        <v>0</v>
      </c>
      <c r="AM257" s="444">
        <f>N('費用収益表_貸付'!P35)-N(P257)</f>
        <v>0</v>
      </c>
      <c r="AN257" s="444">
        <f>N('費用収益表_貸付'!Q35)-N(Q257)</f>
        <v>0</v>
      </c>
      <c r="AO257" s="444">
        <f>N('費用収益表_貸付'!R35)-N(R257)</f>
        <v>0</v>
      </c>
      <c r="AP257" s="444">
        <f>N('費用収益表_貸付'!S35)-N(S257)</f>
        <v>0</v>
      </c>
      <c r="AQ257" s="444">
        <f>N('費用収益表_貸付'!T35)-N(T257)</f>
        <v>0</v>
      </c>
      <c r="AR257" s="444">
        <f>N('費用収益表_貸付'!U35)-N(U257)</f>
        <v>0</v>
      </c>
    </row>
    <row r="258">
      <c r="C258" s="443" t="n">
        <v>809638</v>
      </c>
      <c r="D258" s="443" t="n">
        <v>894954</v>
      </c>
      <c r="E258" s="443" t="n">
        <v>974223</v>
      </c>
      <c r="F258" s="443" t="n">
        <v>632156</v>
      </c>
      <c r="G258" s="443" t="n">
        <v>829696</v>
      </c>
      <c r="H258" s="443" t="n">
        <v>802084</v>
      </c>
      <c r="I258" s="443" t="n">
        <v>838256</v>
      </c>
      <c r="J258" s="443" t="n">
        <v>820237</v>
      </c>
      <c r="K258" s="443" t="n">
        <v>1204671</v>
      </c>
      <c r="L258" s="443" t="n">
        <v>814454</v>
      </c>
      <c r="M258" s="443" t="n">
        <v>834390</v>
      </c>
      <c r="N258" s="443" t="n">
        <v>801567</v>
      </c>
      <c r="O258" s="443" t="n">
        <v>247126</v>
      </c>
      <c r="P258" s="443" t="n">
        <v>10503452</v>
      </c>
      <c r="Q258" s="443" t="n">
        <v>10723000</v>
      </c>
      <c r="R258" s="443" t="n">
        <v>0</v>
      </c>
      <c r="S258" s="443" t="n">
        <v>0</v>
      </c>
      <c r="T258" s="443" t="n">
        <v>10723000</v>
      </c>
      <c r="Z258" s="444">
        <f>N('費用収益表_貸付'!C36)-N(C258)</f>
        <v>0</v>
      </c>
      <c r="AA258" s="444">
        <f>N('費用収益表_貸付'!D36)-N(D258)</f>
        <v>0</v>
      </c>
      <c r="AB258" s="444">
        <f>N('費用収益表_貸付'!E36)-N(E258)</f>
        <v>0</v>
      </c>
      <c r="AC258" s="444">
        <f>N('費用収益表_貸付'!F36)-N(F258)</f>
        <v>0</v>
      </c>
      <c r="AD258" s="444">
        <f>N('費用収益表_貸付'!G36)-N(G258)</f>
        <v>0</v>
      </c>
      <c r="AE258" s="444">
        <f>N('費用収益表_貸付'!H36)-N(H258)</f>
        <v>0</v>
      </c>
      <c r="AF258" s="444">
        <f>N('費用収益表_貸付'!I36)-N(I258)</f>
        <v>0</v>
      </c>
      <c r="AG258" s="444">
        <f>N('費用収益表_貸付'!J36)-N(J258)</f>
        <v>0</v>
      </c>
      <c r="AH258" s="444">
        <f>N('費用収益表_貸付'!K36)-N(K258)</f>
        <v>0</v>
      </c>
      <c r="AI258" s="444">
        <f>N('費用収益表_貸付'!L36)-N(L258)</f>
        <v>0</v>
      </c>
      <c r="AJ258" s="444">
        <f>N('費用収益表_貸付'!M36)-N(M258)</f>
        <v>0</v>
      </c>
      <c r="AK258" s="444">
        <f>N('費用収益表_貸付'!N36)-N(N258)</f>
        <v>0</v>
      </c>
      <c r="AL258" s="444">
        <f>N('費用収益表_貸付'!O36)-N(O258)</f>
        <v>0</v>
      </c>
      <c r="AM258" s="444">
        <f>N('費用収益表_貸付'!P36)-N(P258)</f>
        <v>0</v>
      </c>
      <c r="AN258" s="444">
        <f>N('費用収益表_貸付'!Q36)-N(Q258)</f>
        <v>0</v>
      </c>
      <c r="AO258" s="444">
        <f>N('費用収益表_貸付'!R36)-N(R258)</f>
        <v>0</v>
      </c>
      <c r="AP258" s="444">
        <f>N('費用収益表_貸付'!S36)-N(S258)</f>
        <v>0</v>
      </c>
      <c r="AQ258" s="444">
        <f>N('費用収益表_貸付'!T36)-N(T258)</f>
        <v>0</v>
      </c>
      <c r="AR258" s="444">
        <f>N('費用収益表_貸付'!U36)-N(U258)</f>
        <v>0</v>
      </c>
    </row>
    <row r="259">
      <c r="Z259" s="444">
        <f>N('費用収益表_貸付'!C37)-N(C259)</f>
        <v>0</v>
      </c>
      <c r="AA259" s="444">
        <f>N('費用収益表_貸付'!D37)-N(D259)</f>
        <v>0</v>
      </c>
      <c r="AB259" s="444">
        <f>N('費用収益表_貸付'!E37)-N(E259)</f>
        <v>0</v>
      </c>
      <c r="AC259" s="444">
        <f>N('費用収益表_貸付'!F37)-N(F259)</f>
        <v>0</v>
      </c>
      <c r="AD259" s="444">
        <f>N('費用収益表_貸付'!G37)-N(G259)</f>
        <v>0</v>
      </c>
      <c r="AE259" s="444">
        <f>N('費用収益表_貸付'!H37)-N(H259)</f>
        <v>0</v>
      </c>
      <c r="AF259" s="444">
        <f>N('費用収益表_貸付'!I37)-N(I259)</f>
        <v>0</v>
      </c>
      <c r="AG259" s="444">
        <f>N('費用収益表_貸付'!J37)-N(J259)</f>
        <v>0</v>
      </c>
      <c r="AH259" s="444">
        <f>N('費用収益表_貸付'!K37)-N(K259)</f>
        <v>0</v>
      </c>
      <c r="AI259" s="444">
        <f>N('費用収益表_貸付'!L37)-N(L259)</f>
        <v>0</v>
      </c>
      <c r="AJ259" s="444">
        <f>N('費用収益表_貸付'!M37)-N(M259)</f>
        <v>0</v>
      </c>
      <c r="AK259" s="444">
        <f>N('費用収益表_貸付'!N37)-N(N259)</f>
        <v>0</v>
      </c>
      <c r="AL259" s="444">
        <f>N('費用収益表_貸付'!O37)-N(O259)</f>
        <v>0</v>
      </c>
      <c r="AM259" s="444">
        <f>N('費用収益表_貸付'!P37)-N(P259)</f>
        <v>0</v>
      </c>
      <c r="AN259" s="444">
        <f>N('費用収益表_貸付'!Q37)-N(Q259)</f>
        <v>0</v>
      </c>
      <c r="AO259" s="444">
        <f>N('費用収益表_貸付'!R37)-N(R259)</f>
        <v>0</v>
      </c>
      <c r="AP259" s="444">
        <f>N('費用収益表_貸付'!S37)-N(S259)</f>
        <v>0</v>
      </c>
      <c r="AQ259" s="444">
        <f>N('費用収益表_貸付'!T37)-N(T259)</f>
        <v>0</v>
      </c>
      <c r="AR259" s="444">
        <f>N('費用収益表_貸付'!U37)-N(U259)</f>
        <v>0</v>
      </c>
    </row>
    <row r="260">
      <c r="C260" s="443" t="n">
        <v>267572</v>
      </c>
      <c r="D260" s="443" t="n">
        <v>-67637</v>
      </c>
      <c r="E260" s="443" t="n">
        <v>-926433</v>
      </c>
      <c r="F260" s="443" t="n">
        <v>-474839</v>
      </c>
      <c r="G260" s="443" t="n">
        <v>-593366</v>
      </c>
      <c r="H260" s="443" t="n">
        <v>-287319</v>
      </c>
      <c r="I260" s="443" t="n">
        <v>-242462</v>
      </c>
      <c r="J260" s="443" t="n">
        <v>-93200</v>
      </c>
      <c r="K260" s="443" t="n">
        <v>-716664</v>
      </c>
      <c r="L260" s="443" t="n">
        <v>-278295</v>
      </c>
      <c r="M260" s="443" t="n">
        <v>-219607</v>
      </c>
      <c r="N260" s="443" t="n">
        <v>-205327</v>
      </c>
      <c r="O260" s="443" t="n">
        <v>-348044</v>
      </c>
      <c r="P260" s="443" t="n">
        <v>-4185621</v>
      </c>
      <c r="Q260" s="443" t="n">
        <v>-8039000</v>
      </c>
      <c r="Z260" s="444">
        <f>N('費用収益表_貸付'!C38)-N(C260)</f>
        <v>0</v>
      </c>
      <c r="AA260" s="444">
        <f>N('費用収益表_貸付'!D38)-N(D260)</f>
        <v>0</v>
      </c>
      <c r="AB260" s="444">
        <f>N('費用収益表_貸付'!E38)-N(E260)</f>
        <v>0</v>
      </c>
      <c r="AC260" s="444">
        <f>N('費用収益表_貸付'!F38)-N(F260)</f>
        <v>0</v>
      </c>
      <c r="AD260" s="444">
        <f>N('費用収益表_貸付'!G38)-N(G260)</f>
        <v>0</v>
      </c>
      <c r="AE260" s="444">
        <f>N('費用収益表_貸付'!H38)-N(H260)</f>
        <v>0</v>
      </c>
      <c r="AF260" s="444">
        <f>N('費用収益表_貸付'!I38)-N(I260)</f>
        <v>0</v>
      </c>
      <c r="AG260" s="444">
        <f>N('費用収益表_貸付'!J38)-N(J260)</f>
        <v>0</v>
      </c>
      <c r="AH260" s="444">
        <f>N('費用収益表_貸付'!K38)-N(K260)</f>
        <v>0</v>
      </c>
      <c r="AI260" s="444">
        <f>N('費用収益表_貸付'!L38)-N(L260)</f>
        <v>0</v>
      </c>
      <c r="AJ260" s="444">
        <f>N('費用収益表_貸付'!M38)-N(M260)</f>
        <v>0</v>
      </c>
      <c r="AK260" s="444">
        <f>N('費用収益表_貸付'!N38)-N(N260)</f>
        <v>0</v>
      </c>
      <c r="AL260" s="444">
        <f>N('費用収益表_貸付'!O38)-N(O260)</f>
        <v>0</v>
      </c>
      <c r="AM260" s="444">
        <f>N('費用収益表_貸付'!P38)-N(P260)</f>
        <v>0</v>
      </c>
      <c r="AN260" s="444">
        <f>N('費用収益表_貸付'!Q38)-N(Q260)</f>
        <v>0</v>
      </c>
      <c r="AO260" s="444">
        <f>N('費用収益表_貸付'!R38)-N(R260)</f>
        <v>0</v>
      </c>
      <c r="AP260" s="444">
        <f>N('費用収益表_貸付'!S38)-N(S260)</f>
        <v>0</v>
      </c>
      <c r="AQ260" s="444">
        <f>N('費用収益表_貸付'!T38)-N(T260)</f>
        <v>0</v>
      </c>
      <c r="AR260" s="444">
        <f>N('費用収益表_貸付'!U38)-N(U260)</f>
        <v>0</v>
      </c>
    </row>
    <row r="261">
      <c r="Z261" s="444">
        <f>N('費用収益表_貸付'!C39)-N(C261)</f>
        <v>0</v>
      </c>
      <c r="AA261" s="444">
        <f>N('費用収益表_貸付'!D39)-N(D261)</f>
        <v>0</v>
      </c>
      <c r="AB261" s="444">
        <f>N('費用収益表_貸付'!E39)-N(E261)</f>
        <v>0</v>
      </c>
      <c r="AC261" s="444">
        <f>N('費用収益表_貸付'!F39)-N(F261)</f>
        <v>0</v>
      </c>
      <c r="AD261" s="444">
        <f>N('費用収益表_貸付'!G39)-N(G261)</f>
        <v>0</v>
      </c>
      <c r="AE261" s="444">
        <f>N('費用収益表_貸付'!H39)-N(H261)</f>
        <v>0</v>
      </c>
      <c r="AF261" s="444">
        <f>N('費用収益表_貸付'!I39)-N(I261)</f>
        <v>0</v>
      </c>
      <c r="AG261" s="444">
        <f>N('費用収益表_貸付'!J39)-N(J261)</f>
        <v>0</v>
      </c>
      <c r="AH261" s="444">
        <f>N('費用収益表_貸付'!K39)-N(K261)</f>
        <v>0</v>
      </c>
      <c r="AI261" s="444">
        <f>N('費用収益表_貸付'!L39)-N(L261)</f>
        <v>0</v>
      </c>
      <c r="AJ261" s="444">
        <f>N('費用収益表_貸付'!M39)-N(M261)</f>
        <v>0</v>
      </c>
      <c r="AK261" s="444">
        <f>N('費用収益表_貸付'!N39)-N(N261)</f>
        <v>0</v>
      </c>
      <c r="AL261" s="444">
        <f>N('費用収益表_貸付'!O39)-N(O261)</f>
        <v>0</v>
      </c>
      <c r="AM261" s="444">
        <f>N('費用収益表_貸付'!P39)-N(P261)</f>
        <v>0</v>
      </c>
      <c r="AN261" s="444">
        <f>N('費用収益表_貸付'!Q39)-N(Q261)</f>
        <v>0</v>
      </c>
      <c r="AO261" s="444">
        <f>N('費用収益表_貸付'!R39)-N(R261)</f>
        <v>0</v>
      </c>
      <c r="AP261" s="444">
        <f>N('費用収益表_貸付'!S39)-N(S261)</f>
        <v>0</v>
      </c>
      <c r="AQ261" s="444">
        <f>N('費用収益表_貸付'!T39)-N(T261)</f>
        <v>0</v>
      </c>
      <c r="AR261" s="444">
        <f>N('費用収益表_貸付'!U39)-N(U261)</f>
        <v>0</v>
      </c>
    </row>
    <row r="262">
      <c r="Z262" s="444">
        <f>N('費用収益表_貸付'!C40)-N(C262)</f>
        <v>0</v>
      </c>
      <c r="AA262" s="444">
        <f>N('費用収益表_貸付'!D40)-N(D262)</f>
        <v>0</v>
      </c>
      <c r="AB262" s="444">
        <f>N('費用収益表_貸付'!E40)-N(E262)</f>
        <v>0</v>
      </c>
      <c r="AC262" s="444">
        <f>N('費用収益表_貸付'!F40)-N(F262)</f>
        <v>0</v>
      </c>
      <c r="AD262" s="444">
        <f>N('費用収益表_貸付'!G40)-N(G262)</f>
        <v>0</v>
      </c>
      <c r="AE262" s="444">
        <f>N('費用収益表_貸付'!H40)-N(H262)</f>
        <v>0</v>
      </c>
      <c r="AF262" s="444">
        <f>N('費用収益表_貸付'!I40)-N(I262)</f>
        <v>0</v>
      </c>
      <c r="AG262" s="444">
        <f>N('費用収益表_貸付'!J40)-N(J262)</f>
        <v>0</v>
      </c>
      <c r="AH262" s="444">
        <f>N('費用収益表_貸付'!K40)-N(K262)</f>
        <v>0</v>
      </c>
      <c r="AI262" s="444">
        <f>N('費用収益表_貸付'!L40)-N(L262)</f>
        <v>0</v>
      </c>
      <c r="AJ262" s="444">
        <f>N('費用収益表_貸付'!M40)-N(M262)</f>
        <v>0</v>
      </c>
      <c r="AK262" s="444">
        <f>N('費用収益表_貸付'!N40)-N(N262)</f>
        <v>0</v>
      </c>
      <c r="AL262" s="444">
        <f>N('費用収益表_貸付'!O40)-N(O262)</f>
        <v>0</v>
      </c>
      <c r="AM262" s="444">
        <f>N('費用収益表_貸付'!P40)-N(P262)</f>
        <v>0</v>
      </c>
      <c r="AN262" s="444">
        <f>N('費用収益表_貸付'!Q40)-N(Q262)</f>
        <v>0</v>
      </c>
      <c r="AO262" s="444">
        <f>N('費用収益表_貸付'!R40)-N(R262)</f>
        <v>0</v>
      </c>
      <c r="AP262" s="444">
        <f>N('費用収益表_貸付'!S40)-N(S262)</f>
        <v>0</v>
      </c>
      <c r="AQ262" s="444">
        <f>N('費用収益表_貸付'!T40)-N(T262)</f>
        <v>0</v>
      </c>
      <c r="AR262" s="444">
        <f>N('費用収益表_貸付'!U40)-N(U262)</f>
        <v>0</v>
      </c>
    </row>
    <row r="263">
      <c r="Z263" s="444">
        <f>N('費用収益表_貸付'!C41)-N(C263)</f>
        <v>0</v>
      </c>
      <c r="AA263" s="444">
        <f>N('費用収益表_貸付'!D41)-N(D263)</f>
        <v>0</v>
      </c>
      <c r="AB263" s="444">
        <f>N('費用収益表_貸付'!E41)-N(E263)</f>
        <v>0</v>
      </c>
      <c r="AC263" s="444">
        <f>N('費用収益表_貸付'!F41)-N(F263)</f>
        <v>0</v>
      </c>
      <c r="AD263" s="444">
        <f>N('費用収益表_貸付'!G41)-N(G263)</f>
        <v>0</v>
      </c>
      <c r="AE263" s="444">
        <f>N('費用収益表_貸付'!H41)-N(H263)</f>
        <v>0</v>
      </c>
      <c r="AF263" s="444">
        <f>N('費用収益表_貸付'!I41)-N(I263)</f>
        <v>0</v>
      </c>
      <c r="AG263" s="444">
        <f>N('費用収益表_貸付'!J41)-N(J263)</f>
        <v>0</v>
      </c>
      <c r="AH263" s="444">
        <f>N('費用収益表_貸付'!K41)-N(K263)</f>
        <v>0</v>
      </c>
      <c r="AI263" s="444">
        <f>N('費用収益表_貸付'!L41)-N(L263)</f>
        <v>0</v>
      </c>
      <c r="AJ263" s="444">
        <f>N('費用収益表_貸付'!M41)-N(M263)</f>
        <v>0</v>
      </c>
      <c r="AK263" s="444">
        <f>N('費用収益表_貸付'!N41)-N(N263)</f>
        <v>0</v>
      </c>
      <c r="AL263" s="444">
        <f>N('費用収益表_貸付'!O41)-N(O263)</f>
        <v>0</v>
      </c>
      <c r="AM263" s="444">
        <f>N('費用収益表_貸付'!P41)-N(P263)</f>
        <v>0</v>
      </c>
      <c r="AN263" s="444">
        <f>N('費用収益表_貸付'!Q41)-N(Q263)</f>
        <v>0</v>
      </c>
      <c r="AO263" s="444">
        <f>N('費用収益表_貸付'!R41)-N(R263)</f>
        <v>0</v>
      </c>
      <c r="AP263" s="444">
        <f>N('費用収益表_貸付'!S41)-N(S263)</f>
        <v>0</v>
      </c>
      <c r="AQ263" s="444">
        <f>N('費用収益表_貸付'!T41)-N(T263)</f>
        <v>0</v>
      </c>
      <c r="AR263" s="444">
        <f>N('費用収益表_貸付'!U41)-N(U263)</f>
        <v>0</v>
      </c>
    </row>
    <row r="264">
      <c r="Z264" s="444">
        <f>N('費用収益表_貸付'!C42)-N(C264)</f>
        <v>0</v>
      </c>
      <c r="AA264" s="444">
        <f>N('費用収益表_貸付'!D42)-N(D264)</f>
        <v>0</v>
      </c>
      <c r="AB264" s="444">
        <f>N('費用収益表_貸付'!E42)-N(E264)</f>
        <v>0</v>
      </c>
      <c r="AC264" s="444">
        <f>N('費用収益表_貸付'!F42)-N(F264)</f>
        <v>0</v>
      </c>
      <c r="AD264" s="444">
        <f>N('費用収益表_貸付'!G42)-N(G264)</f>
        <v>0</v>
      </c>
      <c r="AE264" s="444">
        <f>N('費用収益表_貸付'!H42)-N(H264)</f>
        <v>0</v>
      </c>
      <c r="AF264" s="444">
        <f>N('費用収益表_貸付'!I42)-N(I264)</f>
        <v>0</v>
      </c>
      <c r="AG264" s="444">
        <f>N('費用収益表_貸付'!J42)-N(J264)</f>
        <v>0</v>
      </c>
      <c r="AH264" s="444">
        <f>N('費用収益表_貸付'!K42)-N(K264)</f>
        <v>0</v>
      </c>
      <c r="AI264" s="444">
        <f>N('費用収益表_貸付'!L42)-N(L264)</f>
        <v>0</v>
      </c>
      <c r="AJ264" s="444">
        <f>N('費用収益表_貸付'!M42)-N(M264)</f>
        <v>0</v>
      </c>
      <c r="AK264" s="444">
        <f>N('費用収益表_貸付'!N42)-N(N264)</f>
        <v>0</v>
      </c>
      <c r="AL264" s="444">
        <f>N('費用収益表_貸付'!O42)-N(O264)</f>
        <v>0</v>
      </c>
      <c r="AM264" s="444">
        <f>N('費用収益表_貸付'!P42)-N(P264)</f>
        <v>0</v>
      </c>
      <c r="AN264" s="444">
        <f>N('費用収益表_貸付'!Q42)-N(Q264)</f>
        <v>0</v>
      </c>
      <c r="AO264" s="444">
        <f>N('費用収益表_貸付'!R42)-N(R264)</f>
        <v>0</v>
      </c>
      <c r="AP264" s="444">
        <f>N('費用収益表_貸付'!S42)-N(S264)</f>
        <v>0</v>
      </c>
      <c r="AQ264" s="444">
        <f>N('費用収益表_貸付'!T42)-N(T264)</f>
        <v>0</v>
      </c>
      <c r="AR264" s="444">
        <f>N('費用収益表_貸付'!U42)-N(U264)</f>
        <v>0</v>
      </c>
    </row>
    <row r="265">
      <c r="C265" s="443" t="n">
        <v>491490</v>
      </c>
      <c r="D265" s="443" t="n">
        <v>372800</v>
      </c>
      <c r="E265" s="443" t="n">
        <v>372800</v>
      </c>
      <c r="F265" s="443" t="n">
        <v>372800</v>
      </c>
      <c r="G265" s="443" t="n">
        <v>372800</v>
      </c>
      <c r="H265" s="443" t="n">
        <v>372800</v>
      </c>
      <c r="I265" s="443" t="n">
        <v>474390</v>
      </c>
      <c r="J265" s="443" t="n">
        <v>357596</v>
      </c>
      <c r="K265" s="443" t="n">
        <v>484762</v>
      </c>
      <c r="L265" s="443" t="n">
        <v>365100</v>
      </c>
      <c r="M265" s="443" t="n">
        <v>365100</v>
      </c>
      <c r="N265" s="443" t="n">
        <v>365100</v>
      </c>
      <c r="Q265" s="443" t="n">
        <v>4767538</v>
      </c>
      <c r="Z265" s="444">
        <f>N('費用収益表_貸付'!C43)-N(C265)</f>
        <v>0</v>
      </c>
      <c r="AA265" s="444">
        <f>N('費用収益表_貸付'!D43)-N(D265)</f>
        <v>0</v>
      </c>
      <c r="AB265" s="444">
        <f>N('費用収益表_貸付'!E43)-N(E265)</f>
        <v>0</v>
      </c>
      <c r="AC265" s="444">
        <f>N('費用収益表_貸付'!F43)-N(F265)</f>
        <v>0</v>
      </c>
      <c r="AD265" s="444">
        <f>N('費用収益表_貸付'!G43)-N(G265)</f>
        <v>0</v>
      </c>
      <c r="AE265" s="444">
        <f>N('費用収益表_貸付'!H43)-N(H265)</f>
        <v>0</v>
      </c>
      <c r="AF265" s="444">
        <f>N('費用収益表_貸付'!I43)-N(I265)</f>
        <v>0</v>
      </c>
      <c r="AG265" s="444">
        <f>N('費用収益表_貸付'!J43)-N(J265)</f>
        <v>0</v>
      </c>
      <c r="AH265" s="444">
        <f>N('費用収益表_貸付'!K43)-N(K265)</f>
        <v>0</v>
      </c>
      <c r="AI265" s="444">
        <f>N('費用収益表_貸付'!L43)-N(L265)</f>
        <v>0</v>
      </c>
      <c r="AJ265" s="444">
        <f>N('費用収益表_貸付'!M43)-N(M265)</f>
        <v>0</v>
      </c>
      <c r="AK265" s="444">
        <f>N('費用収益表_貸付'!N43)-N(N265)</f>
        <v>0</v>
      </c>
      <c r="AL265" s="444">
        <f>N('費用収益表_貸付'!O43)-N(O265)</f>
        <v>0</v>
      </c>
      <c r="AM265" s="444">
        <f>N('費用収益表_貸付'!P43)-N(P265)</f>
        <v>0</v>
      </c>
      <c r="AN265" s="444">
        <f>N('費用収益表_貸付'!Q43)-N(Q265)</f>
        <v>0</v>
      </c>
      <c r="AO265" s="444">
        <f>N('費用収益表_貸付'!R43)-N(R265)</f>
        <v>0</v>
      </c>
      <c r="AP265" s="444">
        <f>N('費用収益表_貸付'!S43)-N(S265)</f>
        <v>0</v>
      </c>
      <c r="AQ265" s="444">
        <f>N('費用収益表_貸付'!T43)-N(T265)</f>
        <v>0</v>
      </c>
      <c r="AR265" s="444">
        <f>N('費用収益表_貸付'!U43)-N(U265)</f>
        <v>0</v>
      </c>
    </row>
    <row r="266">
      <c r="E266" s="443" t="n">
        <v>866759</v>
      </c>
      <c r="K266" s="443" t="n">
        <v>835895</v>
      </c>
      <c r="Q266" s="443" t="n">
        <v>1702654</v>
      </c>
      <c r="Z266" s="444">
        <f>N('費用収益表_貸付'!C44)-N(C266)</f>
        <v>0</v>
      </c>
      <c r="AA266" s="444">
        <f>N('費用収益表_貸付'!D44)-N(D266)</f>
        <v>0</v>
      </c>
      <c r="AB266" s="444">
        <f>N('費用収益表_貸付'!E44)-N(E266)</f>
        <v>0</v>
      </c>
      <c r="AC266" s="444">
        <f>N('費用収益表_貸付'!F44)-N(F266)</f>
        <v>0</v>
      </c>
      <c r="AD266" s="444">
        <f>N('費用収益表_貸付'!G44)-N(G266)</f>
        <v>0</v>
      </c>
      <c r="AE266" s="444">
        <f>N('費用収益表_貸付'!H44)-N(H266)</f>
        <v>0</v>
      </c>
      <c r="AF266" s="444">
        <f>N('費用収益表_貸付'!I44)-N(I266)</f>
        <v>0</v>
      </c>
      <c r="AG266" s="444">
        <f>N('費用収益表_貸付'!J44)-N(J266)</f>
        <v>0</v>
      </c>
      <c r="AH266" s="444">
        <f>N('費用収益表_貸付'!K44)-N(K266)</f>
        <v>0</v>
      </c>
      <c r="AI266" s="444">
        <f>N('費用収益表_貸付'!L44)-N(L266)</f>
        <v>0</v>
      </c>
      <c r="AJ266" s="444">
        <f>N('費用収益表_貸付'!M44)-N(M266)</f>
        <v>0</v>
      </c>
      <c r="AK266" s="444">
        <f>N('費用収益表_貸付'!N44)-N(N266)</f>
        <v>0</v>
      </c>
      <c r="AL266" s="444">
        <f>N('費用収益表_貸付'!O44)-N(O266)</f>
        <v>0</v>
      </c>
      <c r="AM266" s="444">
        <f>N('費用収益表_貸付'!P44)-N(P266)</f>
        <v>0</v>
      </c>
      <c r="AN266" s="444">
        <f>N('費用収益表_貸付'!Q44)-N(Q266)</f>
        <v>0</v>
      </c>
      <c r="AO266" s="444">
        <f>N('費用収益表_貸付'!R44)-N(R266)</f>
        <v>0</v>
      </c>
      <c r="AP266" s="444">
        <f>N('費用収益表_貸付'!S44)-N(S266)</f>
        <v>0</v>
      </c>
      <c r="AQ266" s="444">
        <f>N('費用収益表_貸付'!T44)-N(T266)</f>
        <v>0</v>
      </c>
      <c r="AR266" s="444">
        <f>N('費用収益表_貸付'!U44)-N(U266)</f>
        <v>0</v>
      </c>
    </row>
    <row r="267">
      <c r="C267" s="443" t="n">
        <v>491490</v>
      </c>
      <c r="D267" s="443" t="n">
        <v>372800</v>
      </c>
      <c r="E267" s="443" t="n">
        <v>1239559</v>
      </c>
      <c r="F267" s="443" t="n">
        <v>372800</v>
      </c>
      <c r="G267" s="443" t="n">
        <v>372800</v>
      </c>
      <c r="H267" s="443" t="n">
        <v>372800</v>
      </c>
      <c r="I267" s="443" t="n">
        <v>474390</v>
      </c>
      <c r="J267" s="443" t="n">
        <v>357596</v>
      </c>
      <c r="K267" s="443" t="n">
        <v>1320657</v>
      </c>
      <c r="L267" s="443" t="n">
        <v>365100</v>
      </c>
      <c r="M267" s="443" t="n">
        <v>365100</v>
      </c>
      <c r="N267" s="443" t="n">
        <v>365100</v>
      </c>
      <c r="O267" s="443" t="n">
        <v>0</v>
      </c>
      <c r="Q267" s="443" t="n">
        <v>6470192</v>
      </c>
      <c r="Z267" s="444">
        <f>N('費用収益表_貸付'!C45)-N(C267)</f>
        <v>0</v>
      </c>
      <c r="AA267" s="444">
        <f>N('費用収益表_貸付'!D45)-N(D267)</f>
        <v>0</v>
      </c>
      <c r="AB267" s="444">
        <f>N('費用収益表_貸付'!E45)-N(E267)</f>
        <v>0</v>
      </c>
      <c r="AC267" s="444">
        <f>N('費用収益表_貸付'!F45)-N(F267)</f>
        <v>0</v>
      </c>
      <c r="AD267" s="444">
        <f>N('費用収益表_貸付'!G45)-N(G267)</f>
        <v>0</v>
      </c>
      <c r="AE267" s="444">
        <f>N('費用収益表_貸付'!H45)-N(H267)</f>
        <v>0</v>
      </c>
      <c r="AF267" s="444">
        <f>N('費用収益表_貸付'!I45)-N(I267)</f>
        <v>0</v>
      </c>
      <c r="AG267" s="444">
        <f>N('費用収益表_貸付'!J45)-N(J267)</f>
        <v>0</v>
      </c>
      <c r="AH267" s="444">
        <f>N('費用収益表_貸付'!K45)-N(K267)</f>
        <v>0</v>
      </c>
      <c r="AI267" s="444">
        <f>N('費用収益表_貸付'!L45)-N(L267)</f>
        <v>0</v>
      </c>
      <c r="AJ267" s="444">
        <f>N('費用収益表_貸付'!M45)-N(M267)</f>
        <v>0</v>
      </c>
      <c r="AK267" s="444">
        <f>N('費用収益表_貸付'!N45)-N(N267)</f>
        <v>0</v>
      </c>
      <c r="AL267" s="444">
        <f>N('費用収益表_貸付'!O45)-N(O267)</f>
        <v>0</v>
      </c>
      <c r="AM267" s="444">
        <f>N('費用収益表_貸付'!P45)-N(P267)</f>
        <v>0</v>
      </c>
      <c r="AN267" s="444">
        <f>N('費用収益表_貸付'!Q45)-N(Q267)</f>
        <v>0</v>
      </c>
      <c r="AO267" s="444">
        <f>N('費用収益表_貸付'!R45)-N(R267)</f>
        <v>0</v>
      </c>
      <c r="AP267" s="444">
        <f>N('費用収益表_貸付'!S45)-N(S267)</f>
        <v>0</v>
      </c>
      <c r="AQ267" s="444">
        <f>N('費用収益表_貸付'!T45)-N(T267)</f>
        <v>0</v>
      </c>
      <c r="AR267" s="444">
        <f>N('費用収益表_貸付'!U45)-N(U267)</f>
        <v>0</v>
      </c>
    </row>
    <row r="268">
      <c r="Z268" s="444">
        <f>N('費用収益表_貸付'!C46)-N(C268)</f>
        <v>0</v>
      </c>
      <c r="AA268" s="444">
        <f>N('費用収益表_貸付'!D46)-N(D268)</f>
        <v>0</v>
      </c>
      <c r="AB268" s="444">
        <f>N('費用収益表_貸付'!E46)-N(E268)</f>
        <v>0</v>
      </c>
      <c r="AC268" s="444">
        <f>N('費用収益表_貸付'!F46)-N(F268)</f>
        <v>0</v>
      </c>
      <c r="AD268" s="444">
        <f>N('費用収益表_貸付'!G46)-N(G268)</f>
        <v>0</v>
      </c>
      <c r="AE268" s="444">
        <f>N('費用収益表_貸付'!H46)-N(H268)</f>
        <v>0</v>
      </c>
      <c r="AF268" s="444">
        <f>N('費用収益表_貸付'!I46)-N(I268)</f>
        <v>0</v>
      </c>
      <c r="AG268" s="444">
        <f>N('費用収益表_貸付'!J46)-N(J268)</f>
        <v>0</v>
      </c>
      <c r="AH268" s="444">
        <f>N('費用収益表_貸付'!K46)-N(K268)</f>
        <v>0</v>
      </c>
      <c r="AI268" s="444">
        <f>N('費用収益表_貸付'!L46)-N(L268)</f>
        <v>0</v>
      </c>
      <c r="AJ268" s="444">
        <f>N('費用収益表_貸付'!M46)-N(M268)</f>
        <v>0</v>
      </c>
      <c r="AK268" s="444">
        <f>N('費用収益表_貸付'!N46)-N(N268)</f>
        <v>0</v>
      </c>
      <c r="AL268" s="444">
        <f>N('費用収益表_貸付'!O46)-N(O268)</f>
        <v>0</v>
      </c>
      <c r="AM268" s="444">
        <f>N('費用収益表_貸付'!P46)-N(P268)</f>
        <v>0</v>
      </c>
      <c r="AN268" s="444">
        <f>N('費用収益表_貸付'!Q46)-N(Q268)</f>
        <v>0</v>
      </c>
      <c r="AO268" s="444">
        <f>N('費用収益表_貸付'!R46)-N(R268)</f>
        <v>0</v>
      </c>
      <c r="AP268" s="444">
        <f>N('費用収益表_貸付'!S46)-N(S268)</f>
        <v>0</v>
      </c>
      <c r="AQ268" s="444">
        <f>N('費用収益表_貸付'!T46)-N(T268)</f>
        <v>0</v>
      </c>
      <c r="AR268" s="444">
        <f>N('費用収益表_貸付'!U46)-N(U268)</f>
        <v>0</v>
      </c>
    </row>
    <row r="269">
      <c r="C269" s="443" t="n">
        <v>0</v>
      </c>
      <c r="D269" s="443" t="n">
        <v>380700</v>
      </c>
      <c r="E269" s="443" t="n">
        <v>327555</v>
      </c>
      <c r="F269" s="443" t="n">
        <v>400770</v>
      </c>
      <c r="G269" s="443" t="n">
        <v>400380</v>
      </c>
      <c r="H269" s="443" t="n">
        <v>344580</v>
      </c>
      <c r="I269" s="443" t="n">
        <v>364625</v>
      </c>
      <c r="J269" s="443" t="n">
        <v>401920</v>
      </c>
      <c r="K269" s="443" t="n">
        <v>329655</v>
      </c>
      <c r="L269" s="443" t="n">
        <v>365270</v>
      </c>
      <c r="M269" s="443" t="n">
        <v>347335</v>
      </c>
      <c r="N269" s="443" t="n">
        <v>328425</v>
      </c>
      <c r="O269" s="443" t="n">
        <v>153280</v>
      </c>
      <c r="Q269" s="443" t="n">
        <v>4144495</v>
      </c>
      <c r="Z269" s="444">
        <f>N('費用収益表_貸付'!C47)-N(C269)</f>
        <v>0</v>
      </c>
      <c r="AA269" s="444">
        <f>N('費用収益表_貸付'!D47)-N(D269)</f>
        <v>0</v>
      </c>
      <c r="AB269" s="444">
        <f>N('費用収益表_貸付'!E47)-N(E269)</f>
        <v>0</v>
      </c>
      <c r="AC269" s="444">
        <f>N('費用収益表_貸付'!F47)-N(F269)</f>
        <v>0</v>
      </c>
      <c r="AD269" s="444">
        <f>N('費用収益表_貸付'!G47)-N(G269)</f>
        <v>0</v>
      </c>
      <c r="AE269" s="444">
        <f>N('費用収益表_貸付'!H47)-N(H269)</f>
        <v>0</v>
      </c>
      <c r="AF269" s="444">
        <f>N('費用収益表_貸付'!I47)-N(I269)</f>
        <v>0</v>
      </c>
      <c r="AG269" s="444">
        <f>N('費用収益表_貸付'!J47)-N(J269)</f>
        <v>0</v>
      </c>
      <c r="AH269" s="444">
        <f>N('費用収益表_貸付'!K47)-N(K269)</f>
        <v>0</v>
      </c>
      <c r="AI269" s="444">
        <f>N('費用収益表_貸付'!L47)-N(L269)</f>
        <v>0</v>
      </c>
      <c r="AJ269" s="444">
        <f>N('費用収益表_貸付'!M47)-N(M269)</f>
        <v>0</v>
      </c>
      <c r="AK269" s="444">
        <f>N('費用収益表_貸付'!N47)-N(N269)</f>
        <v>0</v>
      </c>
      <c r="AL269" s="444">
        <f>N('費用収益表_貸付'!O47)-N(O269)</f>
        <v>0</v>
      </c>
      <c r="AM269" s="444">
        <f>N('費用収益表_貸付'!P47)-N(P269)</f>
        <v>0</v>
      </c>
      <c r="AN269" s="444">
        <f>N('費用収益表_貸付'!Q47)-N(Q269)</f>
        <v>0</v>
      </c>
      <c r="AO269" s="444">
        <f>N('費用収益表_貸付'!R47)-N(R269)</f>
        <v>0</v>
      </c>
      <c r="AP269" s="444">
        <f>N('費用収益表_貸付'!S47)-N(S269)</f>
        <v>0</v>
      </c>
      <c r="AQ269" s="444">
        <f>N('費用収益表_貸付'!T47)-N(T269)</f>
        <v>0</v>
      </c>
      <c r="AR269" s="444">
        <f>N('費用収益表_貸付'!U47)-N(U269)</f>
        <v>0</v>
      </c>
    </row>
    <row r="270">
      <c r="C270" s="443" t="n">
        <v>0</v>
      </c>
      <c r="D270" s="443" t="n">
        <v>380700</v>
      </c>
      <c r="E270" s="443" t="n">
        <v>327555</v>
      </c>
      <c r="F270" s="443" t="n">
        <v>400770</v>
      </c>
      <c r="G270" s="443" t="n">
        <v>400380</v>
      </c>
      <c r="H270" s="443" t="n">
        <v>344580</v>
      </c>
      <c r="I270" s="443" t="n">
        <v>364625</v>
      </c>
      <c r="J270" s="443" t="n">
        <v>401920</v>
      </c>
      <c r="K270" s="443" t="n">
        <v>329655</v>
      </c>
      <c r="L270" s="443" t="n">
        <v>365270</v>
      </c>
      <c r="M270" s="443" t="n">
        <v>347335</v>
      </c>
      <c r="N270" s="443" t="n">
        <v>328425</v>
      </c>
      <c r="O270" s="443" t="n">
        <v>153280</v>
      </c>
      <c r="Q270" s="443" t="n">
        <v>4144495</v>
      </c>
      <c r="Z270" s="444">
        <f>N('費用収益表_貸付'!C48)-N(C270)</f>
        <v>0</v>
      </c>
      <c r="AA270" s="444">
        <f>N('費用収益表_貸付'!D48)-N(D270)</f>
        <v>0</v>
      </c>
      <c r="AB270" s="444">
        <f>N('費用収益表_貸付'!E48)-N(E270)</f>
        <v>0</v>
      </c>
      <c r="AC270" s="444">
        <f>N('費用収益表_貸付'!F48)-N(F270)</f>
        <v>0</v>
      </c>
      <c r="AD270" s="444">
        <f>N('費用収益表_貸付'!G48)-N(G270)</f>
        <v>0</v>
      </c>
      <c r="AE270" s="444">
        <f>N('費用収益表_貸付'!H48)-N(H270)</f>
        <v>0</v>
      </c>
      <c r="AF270" s="444">
        <f>N('費用収益表_貸付'!I48)-N(I270)</f>
        <v>0</v>
      </c>
      <c r="AG270" s="444">
        <f>N('費用収益表_貸付'!J48)-N(J270)</f>
        <v>0</v>
      </c>
      <c r="AH270" s="444">
        <f>N('費用収益表_貸付'!K48)-N(K270)</f>
        <v>0</v>
      </c>
      <c r="AI270" s="444">
        <f>N('費用収益表_貸付'!L48)-N(L270)</f>
        <v>0</v>
      </c>
      <c r="AJ270" s="444">
        <f>N('費用収益表_貸付'!M48)-N(M270)</f>
        <v>0</v>
      </c>
      <c r="AK270" s="444">
        <f>N('費用収益表_貸付'!N48)-N(N270)</f>
        <v>0</v>
      </c>
      <c r="AL270" s="444">
        <f>N('費用収益表_貸付'!O48)-N(O270)</f>
        <v>0</v>
      </c>
      <c r="AM270" s="444">
        <f>N('費用収益表_貸付'!P48)-N(P270)</f>
        <v>0</v>
      </c>
      <c r="AN270" s="444">
        <f>N('費用収益表_貸付'!Q48)-N(Q270)</f>
        <v>0</v>
      </c>
      <c r="AO270" s="444">
        <f>N('費用収益表_貸付'!R48)-N(R270)</f>
        <v>0</v>
      </c>
      <c r="AP270" s="444">
        <f>N('費用収益表_貸付'!S48)-N(S270)</f>
        <v>0</v>
      </c>
      <c r="AQ270" s="444">
        <f>N('費用収益表_貸付'!T48)-N(T270)</f>
        <v>0</v>
      </c>
      <c r="AR270" s="444">
        <f>N('費用収益表_貸付'!U48)-N(U270)</f>
        <v>0</v>
      </c>
    </row>
    <row r="271">
      <c r="C271" s="443" t="n">
        <v>491490</v>
      </c>
      <c r="D271" s="443" t="n">
        <v>753500</v>
      </c>
      <c r="E271" s="443" t="n">
        <v>1567114</v>
      </c>
      <c r="F271" s="443" t="n">
        <v>773570</v>
      </c>
      <c r="G271" s="443" t="n">
        <v>773180</v>
      </c>
      <c r="H271" s="443" t="n">
        <v>717380</v>
      </c>
      <c r="I271" s="443" t="n">
        <v>839015</v>
      </c>
      <c r="J271" s="443" t="n">
        <v>759516</v>
      </c>
      <c r="K271" s="443" t="n">
        <v>1650312</v>
      </c>
      <c r="L271" s="443" t="n">
        <v>730370</v>
      </c>
      <c r="M271" s="443" t="n">
        <v>712435</v>
      </c>
      <c r="N271" s="443" t="n">
        <v>693525</v>
      </c>
      <c r="O271" s="443" t="n">
        <v>153280</v>
      </c>
      <c r="Q271" s="443" t="n">
        <v>10614687</v>
      </c>
      <c r="Z271" s="444">
        <f>N('費用収益表_貸付'!C49)-N(C271)</f>
        <v>0</v>
      </c>
      <c r="AA271" s="444">
        <f>N('費用収益表_貸付'!D49)-N(D271)</f>
        <v>0</v>
      </c>
      <c r="AB271" s="444">
        <f>N('費用収益表_貸付'!E49)-N(E271)</f>
        <v>0</v>
      </c>
      <c r="AC271" s="444">
        <f>N('費用収益表_貸付'!F49)-N(F271)</f>
        <v>0</v>
      </c>
      <c r="AD271" s="444">
        <f>N('費用収益表_貸付'!G49)-N(G271)</f>
        <v>0</v>
      </c>
      <c r="AE271" s="444">
        <f>N('費用収益表_貸付'!H49)-N(H271)</f>
        <v>0</v>
      </c>
      <c r="AF271" s="444">
        <f>N('費用収益表_貸付'!I49)-N(I271)</f>
        <v>0</v>
      </c>
      <c r="AG271" s="444">
        <f>N('費用収益表_貸付'!J49)-N(J271)</f>
        <v>0</v>
      </c>
      <c r="AH271" s="444">
        <f>N('費用収益表_貸付'!K49)-N(K271)</f>
        <v>0</v>
      </c>
      <c r="AI271" s="444">
        <f>N('費用収益表_貸付'!L49)-N(L271)</f>
        <v>0</v>
      </c>
      <c r="AJ271" s="444">
        <f>N('費用収益表_貸付'!M49)-N(M271)</f>
        <v>0</v>
      </c>
      <c r="AK271" s="444">
        <f>N('費用収益表_貸付'!N49)-N(N271)</f>
        <v>0</v>
      </c>
      <c r="AL271" s="444">
        <f>N('費用収益表_貸付'!O49)-N(O271)</f>
        <v>0</v>
      </c>
      <c r="AM271" s="444">
        <f>N('費用収益表_貸付'!P49)-N(P271)</f>
        <v>0</v>
      </c>
      <c r="AN271" s="444">
        <f>N('費用収益表_貸付'!Q49)-N(Q271)</f>
        <v>0</v>
      </c>
      <c r="AO271" s="444">
        <f>N('費用収益表_貸付'!R49)-N(R271)</f>
        <v>0</v>
      </c>
      <c r="AP271" s="444">
        <f>N('費用収益表_貸付'!S49)-N(S271)</f>
        <v>0</v>
      </c>
      <c r="AQ271" s="444">
        <f>N('費用収益表_貸付'!T49)-N(T271)</f>
        <v>0</v>
      </c>
      <c r="AR271" s="444">
        <f>N('費用収益表_貸付'!U49)-N(U271)</f>
        <v>0</v>
      </c>
    </row>
    <row r="272">
      <c r="Z272" s="444">
        <f>N('費用収益表_貸付'!C50)-N(C272)</f>
        <v>0</v>
      </c>
      <c r="AA272" s="444">
        <f>N('費用収益表_貸付'!D50)-N(D272)</f>
        <v>0</v>
      </c>
      <c r="AB272" s="444">
        <f>N('費用収益表_貸付'!E50)-N(E272)</f>
        <v>0</v>
      </c>
      <c r="AC272" s="444">
        <f>N('費用収益表_貸付'!F50)-N(F272)</f>
        <v>0</v>
      </c>
      <c r="AD272" s="444">
        <f>N('費用収益表_貸付'!G50)-N(G272)</f>
        <v>0</v>
      </c>
      <c r="AE272" s="444">
        <f>N('費用収益表_貸付'!H50)-N(H272)</f>
        <v>0</v>
      </c>
      <c r="AF272" s="444">
        <f>N('費用収益表_貸付'!I50)-N(I272)</f>
        <v>0</v>
      </c>
      <c r="AG272" s="444">
        <f>N('費用収益表_貸付'!J50)-N(J272)</f>
        <v>0</v>
      </c>
      <c r="AH272" s="444">
        <f>N('費用収益表_貸付'!K50)-N(K272)</f>
        <v>0</v>
      </c>
      <c r="AI272" s="444">
        <f>N('費用収益表_貸付'!L50)-N(L272)</f>
        <v>0</v>
      </c>
      <c r="AJ272" s="444">
        <f>N('費用収益表_貸付'!M50)-N(M272)</f>
        <v>0</v>
      </c>
      <c r="AK272" s="444">
        <f>N('費用収益表_貸付'!N50)-N(N272)</f>
        <v>0</v>
      </c>
      <c r="AL272" s="444">
        <f>N('費用収益表_貸付'!O50)-N(O272)</f>
        <v>0</v>
      </c>
      <c r="AM272" s="444">
        <f>N('費用収益表_貸付'!P50)-N(P272)</f>
        <v>0</v>
      </c>
      <c r="AN272" s="444">
        <f>N('費用収益表_貸付'!Q50)-N(Q272)</f>
        <v>0</v>
      </c>
      <c r="AO272" s="444">
        <f>N('費用収益表_貸付'!R50)-N(R272)</f>
        <v>0</v>
      </c>
      <c r="AP272" s="444">
        <f>N('費用収益表_貸付'!S50)-N(S272)</f>
        <v>0</v>
      </c>
      <c r="AQ272" s="444">
        <f>N('費用収益表_貸付'!T50)-N(T272)</f>
        <v>0</v>
      </c>
      <c r="AR272" s="444">
        <f>N('費用収益表_貸付'!U50)-N(U272)</f>
        <v>0</v>
      </c>
    </row>
    <row r="273">
      <c r="Z273" s="444">
        <f>N('費用収益表_貸付'!C51)-N(C273)</f>
        <v>0</v>
      </c>
      <c r="AA273" s="444">
        <f>N('費用収益表_貸付'!D51)-N(D273)</f>
        <v>0</v>
      </c>
      <c r="AB273" s="444">
        <f>N('費用収益表_貸付'!E51)-N(E273)</f>
        <v>0</v>
      </c>
      <c r="AC273" s="444">
        <f>N('費用収益表_貸付'!F51)-N(F273)</f>
        <v>0</v>
      </c>
      <c r="AD273" s="444">
        <f>N('費用収益表_貸付'!G51)-N(G273)</f>
        <v>0</v>
      </c>
      <c r="AE273" s="444">
        <f>N('費用収益表_貸付'!H51)-N(H273)</f>
        <v>0</v>
      </c>
      <c r="AF273" s="444">
        <f>N('費用収益表_貸付'!I51)-N(I273)</f>
        <v>0</v>
      </c>
      <c r="AG273" s="444">
        <f>N('費用収益表_貸付'!J51)-N(J273)</f>
        <v>0</v>
      </c>
      <c r="AH273" s="444">
        <f>N('費用収益表_貸付'!K51)-N(K273)</f>
        <v>0</v>
      </c>
      <c r="AI273" s="444">
        <f>N('費用収益表_貸付'!L51)-N(L273)</f>
        <v>0</v>
      </c>
      <c r="AJ273" s="444">
        <f>N('費用収益表_貸付'!M51)-N(M273)</f>
        <v>0</v>
      </c>
      <c r="AK273" s="444">
        <f>N('費用収益表_貸付'!N51)-N(N273)</f>
        <v>0</v>
      </c>
      <c r="AL273" s="444">
        <f>N('費用収益表_貸付'!O51)-N(O273)</f>
        <v>0</v>
      </c>
      <c r="AM273" s="444">
        <f>N('費用収益表_貸付'!P51)-N(P273)</f>
        <v>0</v>
      </c>
      <c r="AN273" s="444">
        <f>N('費用収益表_貸付'!Q51)-N(Q273)</f>
        <v>0</v>
      </c>
      <c r="AO273" s="444">
        <f>N('費用収益表_貸付'!R51)-N(R273)</f>
        <v>0</v>
      </c>
      <c r="AP273" s="444">
        <f>N('費用収益表_貸付'!S51)-N(S273)</f>
        <v>0</v>
      </c>
      <c r="AQ273" s="444">
        <f>N('費用収益表_貸付'!T51)-N(T273)</f>
        <v>0</v>
      </c>
      <c r="AR273" s="444">
        <f>N('費用収益表_貸付'!U51)-N(U273)</f>
        <v>0</v>
      </c>
    </row>
    <row r="274">
      <c r="Z274" s="444">
        <f>N('費用収益表_貸付'!C52)-N(C274)</f>
        <v>0</v>
      </c>
      <c r="AA274" s="444">
        <f>N('費用収益表_貸付'!D52)-N(D274)</f>
        <v>0</v>
      </c>
      <c r="AB274" s="444">
        <f>N('費用収益表_貸付'!E52)-N(E274)</f>
        <v>0</v>
      </c>
      <c r="AC274" s="444">
        <f>N('費用収益表_貸付'!F52)-N(F274)</f>
        <v>0</v>
      </c>
      <c r="AD274" s="444">
        <f>N('費用収益表_貸付'!G52)-N(G274)</f>
        <v>0</v>
      </c>
      <c r="AE274" s="444">
        <f>N('費用収益表_貸付'!H52)-N(H274)</f>
        <v>0</v>
      </c>
      <c r="AF274" s="444">
        <f>N('費用収益表_貸付'!I52)-N(I274)</f>
        <v>0</v>
      </c>
      <c r="AG274" s="444">
        <f>N('費用収益表_貸付'!J52)-N(J274)</f>
        <v>0</v>
      </c>
      <c r="AH274" s="444">
        <f>N('費用収益表_貸付'!K52)-N(K274)</f>
        <v>0</v>
      </c>
      <c r="AI274" s="444">
        <f>N('費用収益表_貸付'!L52)-N(L274)</f>
        <v>0</v>
      </c>
      <c r="AJ274" s="444">
        <f>N('費用収益表_貸付'!M52)-N(M274)</f>
        <v>0</v>
      </c>
      <c r="AK274" s="444">
        <f>N('費用収益表_貸付'!N52)-N(N274)</f>
        <v>0</v>
      </c>
      <c r="AL274" s="444">
        <f>N('費用収益表_貸付'!O52)-N(O274)</f>
        <v>0</v>
      </c>
      <c r="AM274" s="444">
        <f>N('費用収益表_貸付'!P52)-N(P274)</f>
        <v>0</v>
      </c>
      <c r="AN274" s="444">
        <f>N('費用収益表_貸付'!Q52)-N(Q274)</f>
        <v>0</v>
      </c>
      <c r="AO274" s="444">
        <f>N('費用収益表_貸付'!R52)-N(R274)</f>
        <v>0</v>
      </c>
      <c r="AP274" s="444">
        <f>N('費用収益表_貸付'!S52)-N(S274)</f>
        <v>0</v>
      </c>
      <c r="AQ274" s="444">
        <f>N('費用収益表_貸付'!T52)-N(T274)</f>
        <v>0</v>
      </c>
      <c r="AR274" s="444">
        <f>N('費用収益表_貸付'!U52)-N(U274)</f>
        <v>0</v>
      </c>
    </row>
    <row r="275">
      <c r="C275" s="443" t="n">
        <v>17990000</v>
      </c>
      <c r="D275" s="443" t="n">
        <v>10200000</v>
      </c>
      <c r="E275" s="443" t="n">
        <v>4140000</v>
      </c>
      <c r="F275" s="443" t="n">
        <v>7150000</v>
      </c>
      <c r="G275" s="443" t="n">
        <v>6140000</v>
      </c>
      <c r="H275" s="443" t="n">
        <v>4000000</v>
      </c>
      <c r="I275" s="443" t="n">
        <v>6150000</v>
      </c>
      <c r="J275" s="443" t="n">
        <v>11400000</v>
      </c>
      <c r="K275" s="443" t="n">
        <v>8100000</v>
      </c>
      <c r="L275" s="443" t="n">
        <v>10520000</v>
      </c>
      <c r="M275" s="443" t="n">
        <v>9040000</v>
      </c>
      <c r="N275" s="443" t="n">
        <v>35670000</v>
      </c>
      <c r="Z275" s="444">
        <f>N('費用収益表_貸付'!C53)-N(C275)</f>
        <v>0</v>
      </c>
      <c r="AA275" s="444">
        <f>N('費用収益表_貸付'!D53)-N(D275)</f>
        <v>0</v>
      </c>
      <c r="AB275" s="444">
        <f>N('費用収益表_貸付'!E53)-N(E275)</f>
        <v>0</v>
      </c>
      <c r="AC275" s="444">
        <f>N('費用収益表_貸付'!F53)-N(F275)</f>
        <v>0</v>
      </c>
      <c r="AD275" s="444">
        <f>N('費用収益表_貸付'!G53)-N(G275)</f>
        <v>0</v>
      </c>
      <c r="AE275" s="444">
        <f>N('費用収益表_貸付'!H53)-N(H275)</f>
        <v>0</v>
      </c>
      <c r="AF275" s="444">
        <f>N('費用収益表_貸付'!I53)-N(I275)</f>
        <v>0</v>
      </c>
      <c r="AG275" s="444">
        <f>N('費用収益表_貸付'!J53)-N(J275)</f>
        <v>0</v>
      </c>
      <c r="AH275" s="444">
        <f>N('費用収益表_貸付'!K53)-N(K275)</f>
        <v>0</v>
      </c>
      <c r="AI275" s="444">
        <f>N('費用収益表_貸付'!L53)-N(L275)</f>
        <v>0</v>
      </c>
      <c r="AJ275" s="444">
        <f>N('費用収益表_貸付'!M53)-N(M275)</f>
        <v>0</v>
      </c>
      <c r="AK275" s="444">
        <f>N('費用収益表_貸付'!N53)-N(N275)</f>
        <v>0</v>
      </c>
      <c r="AL275" s="444">
        <f>N('費用収益表_貸付'!O53)-N(O275)</f>
        <v>0</v>
      </c>
      <c r="AM275" s="444">
        <f>N('費用収益表_貸付'!P53)-N(P275)</f>
        <v>0</v>
      </c>
      <c r="AN275" s="444">
        <f>N('費用収益表_貸付'!Q53)-N(Q275)</f>
        <v>0</v>
      </c>
      <c r="AO275" s="444">
        <f>N('費用収益表_貸付'!R53)-N(R275)</f>
        <v>0</v>
      </c>
      <c r="AP275" s="444">
        <f>N('費用収益表_貸付'!S53)-N(S275)</f>
        <v>0</v>
      </c>
      <c r="AQ275" s="444">
        <f>N('費用収益表_貸付'!T53)-N(T275)</f>
        <v>0</v>
      </c>
      <c r="AR275" s="444">
        <f>N('費用収益表_貸付'!U53)-N(U275)</f>
        <v>0</v>
      </c>
    </row>
    <row r="276">
      <c r="Z276" s="444">
        <f>N('費用収益表_貸付'!C54)-N(C276)</f>
        <v>0</v>
      </c>
      <c r="AA276" s="444">
        <f>N('費用収益表_貸付'!D54)-N(D276)</f>
        <v>0</v>
      </c>
      <c r="AB276" s="444">
        <f>N('費用収益表_貸付'!E54)-N(E276)</f>
        <v>0</v>
      </c>
      <c r="AC276" s="444">
        <f>N('費用収益表_貸付'!F54)-N(F276)</f>
        <v>0</v>
      </c>
      <c r="AD276" s="444">
        <f>N('費用収益表_貸付'!G54)-N(G276)</f>
        <v>0</v>
      </c>
      <c r="AE276" s="444">
        <f>N('費用収益表_貸付'!H54)-N(H276)</f>
        <v>0</v>
      </c>
      <c r="AF276" s="444">
        <f>N('費用収益表_貸付'!I54)-N(I276)</f>
        <v>0</v>
      </c>
      <c r="AG276" s="444">
        <f>N('費用収益表_貸付'!J54)-N(J276)</f>
        <v>0</v>
      </c>
      <c r="AH276" s="444">
        <f>N('費用収益表_貸付'!K54)-N(K276)</f>
        <v>0</v>
      </c>
      <c r="AI276" s="444">
        <f>N('費用収益表_貸付'!L54)-N(L276)</f>
        <v>0</v>
      </c>
      <c r="AJ276" s="444">
        <f>N('費用収益表_貸付'!M54)-N(M276)</f>
        <v>0</v>
      </c>
      <c r="AK276" s="444">
        <f>N('費用収益表_貸付'!N54)-N(N276)</f>
        <v>0</v>
      </c>
      <c r="AL276" s="444">
        <f>N('費用収益表_貸付'!O54)-N(O276)</f>
        <v>0</v>
      </c>
      <c r="AM276" s="444">
        <f>N('費用収益表_貸付'!P54)-N(P276)</f>
        <v>0</v>
      </c>
      <c r="AN276" s="444">
        <f>N('費用収益表_貸付'!Q54)-N(Q276)</f>
        <v>0</v>
      </c>
      <c r="AO276" s="444">
        <f>N('費用収益表_貸付'!R54)-N(R276)</f>
        <v>0</v>
      </c>
      <c r="AP276" s="444">
        <f>N('費用収益表_貸付'!S54)-N(S276)</f>
        <v>0</v>
      </c>
      <c r="AQ276" s="444">
        <f>N('費用収益表_貸付'!T54)-N(T276)</f>
        <v>0</v>
      </c>
      <c r="AR276" s="444">
        <f>N('費用収益表_貸付'!U54)-N(U276)</f>
        <v>0</v>
      </c>
    </row>
    <row r="277">
      <c r="C277" s="443" t="n">
        <v>537677</v>
      </c>
      <c r="D277" s="443" t="n">
        <v>871727</v>
      </c>
      <c r="E277" s="443" t="n">
        <v>1808741</v>
      </c>
      <c r="F277" s="443" t="n">
        <v>1020231</v>
      </c>
      <c r="G277" s="443" t="n">
        <v>973050</v>
      </c>
      <c r="H277" s="443" t="n">
        <v>834892</v>
      </c>
      <c r="I277" s="443" t="n">
        <v>958131</v>
      </c>
      <c r="J277" s="443" t="n">
        <v>807307</v>
      </c>
      <c r="K277" s="443" t="n">
        <v>1822040</v>
      </c>
      <c r="L277" s="443" t="n">
        <v>852351</v>
      </c>
      <c r="M277" s="443" t="n">
        <v>910974</v>
      </c>
      <c r="N277" s="443" t="n">
        <v>888070</v>
      </c>
      <c r="O277" s="443" t="n">
        <v>214144</v>
      </c>
      <c r="Z277" s="444">
        <f>N('費用収益表_貸付'!C55)-N(C277)</f>
        <v>0</v>
      </c>
      <c r="AA277" s="444">
        <f>N('費用収益表_貸付'!D55)-N(D277)</f>
        <v>0</v>
      </c>
      <c r="AB277" s="444">
        <f>N('費用収益表_貸付'!E55)-N(E277)</f>
        <v>0</v>
      </c>
      <c r="AC277" s="444">
        <f>N('費用収益表_貸付'!F55)-N(F277)</f>
        <v>0</v>
      </c>
      <c r="AD277" s="444">
        <f>N('費用収益表_貸付'!G55)-N(G277)</f>
        <v>0</v>
      </c>
      <c r="AE277" s="444">
        <f>N('費用収益表_貸付'!H55)-N(H277)</f>
        <v>0</v>
      </c>
      <c r="AF277" s="444">
        <f>N('費用収益表_貸付'!I55)-N(I277)</f>
        <v>0</v>
      </c>
      <c r="AG277" s="444">
        <f>N('費用収益表_貸付'!J55)-N(J277)</f>
        <v>0</v>
      </c>
      <c r="AH277" s="444">
        <f>N('費用収益表_貸付'!K55)-N(K277)</f>
        <v>0</v>
      </c>
      <c r="AI277" s="444">
        <f>N('費用収益表_貸付'!L55)-N(L277)</f>
        <v>0</v>
      </c>
      <c r="AJ277" s="444">
        <f>N('費用収益表_貸付'!M55)-N(M277)</f>
        <v>0</v>
      </c>
      <c r="AK277" s="444">
        <f>N('費用収益表_貸付'!N55)-N(N277)</f>
        <v>0</v>
      </c>
      <c r="AL277" s="444">
        <f>N('費用収益表_貸付'!O55)-N(O277)</f>
        <v>0</v>
      </c>
      <c r="AM277" s="444">
        <f>N('費用収益表_貸付'!P55)-N(P277)</f>
        <v>0</v>
      </c>
      <c r="AN277" s="444">
        <f>N('費用収益表_貸付'!Q55)-N(Q277)</f>
        <v>0</v>
      </c>
      <c r="AO277" s="444">
        <f>N('費用収益表_貸付'!R55)-N(R277)</f>
        <v>0</v>
      </c>
      <c r="AP277" s="444">
        <f>N('費用収益表_貸付'!S55)-N(S277)</f>
        <v>0</v>
      </c>
      <c r="AQ277" s="444">
        <f>N('費用収益表_貸付'!T55)-N(T277)</f>
        <v>0</v>
      </c>
      <c r="AR277" s="444">
        <f>N('費用収益表_貸付'!U55)-N(U277)</f>
        <v>0</v>
      </c>
    </row>
    <row r="278">
      <c r="Z278" s="444">
        <f>N('費用収益表_貸付'!C56)-N(C278)</f>
        <v>0</v>
      </c>
      <c r="AA278" s="444">
        <f>N('費用収益表_貸付'!D56)-N(D278)</f>
        <v>0</v>
      </c>
      <c r="AB278" s="444">
        <f>N('費用収益表_貸付'!E56)-N(E278)</f>
        <v>0</v>
      </c>
      <c r="AC278" s="444">
        <f>N('費用収益表_貸付'!F56)-N(F278)</f>
        <v>0</v>
      </c>
      <c r="AD278" s="444">
        <f>N('費用収益表_貸付'!G56)-N(G278)</f>
        <v>0</v>
      </c>
      <c r="AE278" s="444">
        <f>N('費用収益表_貸付'!H56)-N(H278)</f>
        <v>0</v>
      </c>
      <c r="AF278" s="444">
        <f>N('費用収益表_貸付'!I56)-N(I278)</f>
        <v>0</v>
      </c>
      <c r="AG278" s="444">
        <f>N('費用収益表_貸付'!J56)-N(J278)</f>
        <v>0</v>
      </c>
      <c r="AH278" s="444">
        <f>N('費用収益表_貸付'!K56)-N(K278)</f>
        <v>0</v>
      </c>
      <c r="AI278" s="444">
        <f>N('費用収益表_貸付'!L56)-N(L278)</f>
        <v>0</v>
      </c>
      <c r="AJ278" s="444">
        <f>N('費用収益表_貸付'!M56)-N(M278)</f>
        <v>0</v>
      </c>
      <c r="AK278" s="444">
        <f>N('費用収益表_貸付'!N56)-N(N278)</f>
        <v>0</v>
      </c>
      <c r="AL278" s="444">
        <f>N('費用収益表_貸付'!O56)-N(O278)</f>
        <v>0</v>
      </c>
      <c r="AM278" s="444">
        <f>N('費用収益表_貸付'!P56)-N(P278)</f>
        <v>0</v>
      </c>
      <c r="AN278" s="444">
        <f>N('費用収益表_貸付'!Q56)-N(Q278)</f>
        <v>0</v>
      </c>
      <c r="AO278" s="444">
        <f>N('費用収益表_貸付'!R56)-N(R278)</f>
        <v>0</v>
      </c>
      <c r="AP278" s="444">
        <f>N('費用収益表_貸付'!S56)-N(S278)</f>
        <v>0</v>
      </c>
      <c r="AQ278" s="444">
        <f>N('費用収益表_貸付'!T56)-N(T278)</f>
        <v>0</v>
      </c>
      <c r="AR278" s="444">
        <f>N('費用収益表_貸付'!U56)-N(U278)</f>
        <v>0</v>
      </c>
    </row>
    <row r="279">
      <c r="Z279" s="444">
        <f>N('費用収益表_貸付'!C57)-N(C279)</f>
        <v>0</v>
      </c>
      <c r="AA279" s="444">
        <f>N('費用収益表_貸付'!D57)-N(D279)</f>
        <v>0</v>
      </c>
      <c r="AB279" s="444">
        <f>N('費用収益表_貸付'!E57)-N(E279)</f>
        <v>0</v>
      </c>
      <c r="AC279" s="444">
        <f>N('費用収益表_貸付'!F57)-N(F279)</f>
        <v>0</v>
      </c>
      <c r="AD279" s="444">
        <f>N('費用収益表_貸付'!G57)-N(G279)</f>
        <v>0</v>
      </c>
      <c r="AE279" s="444">
        <f>N('費用収益表_貸付'!H57)-N(H279)</f>
        <v>0</v>
      </c>
      <c r="AF279" s="444">
        <f>N('費用収益表_貸付'!I57)-N(I279)</f>
        <v>0</v>
      </c>
      <c r="AG279" s="444">
        <f>N('費用収益表_貸付'!J57)-N(J279)</f>
        <v>0</v>
      </c>
      <c r="AH279" s="444">
        <f>N('費用収益表_貸付'!K57)-N(K279)</f>
        <v>0</v>
      </c>
      <c r="AI279" s="444">
        <f>N('費用収益表_貸付'!L57)-N(L279)</f>
        <v>0</v>
      </c>
      <c r="AJ279" s="444">
        <f>N('費用収益表_貸付'!M57)-N(M279)</f>
        <v>0</v>
      </c>
      <c r="AK279" s="444">
        <f>N('費用収益表_貸付'!N57)-N(N279)</f>
        <v>0</v>
      </c>
      <c r="AL279" s="444">
        <f>N('費用収益表_貸付'!O57)-N(O279)</f>
        <v>0</v>
      </c>
      <c r="AM279" s="444">
        <f>N('費用収益表_貸付'!P57)-N(P279)</f>
        <v>0</v>
      </c>
      <c r="AN279" s="444">
        <f>N('費用収益表_貸付'!Q57)-N(Q279)</f>
        <v>0</v>
      </c>
      <c r="AO279" s="444">
        <f>N('費用収益表_貸付'!R57)-N(R279)</f>
        <v>0</v>
      </c>
      <c r="AP279" s="444">
        <f>N('費用収益表_貸付'!S57)-N(S279)</f>
        <v>0</v>
      </c>
      <c r="AQ279" s="444">
        <f>N('費用収益表_貸付'!T57)-N(T279)</f>
        <v>0</v>
      </c>
      <c r="AR279" s="444">
        <f>N('費用収益表_貸付'!U57)-N(U279)</f>
        <v>0</v>
      </c>
    </row>
    <row r="280">
      <c r="Z280" s="444">
        <f>N('費用収益表_貸付'!C58)-N(C280)</f>
        <v>0</v>
      </c>
      <c r="AA280" s="444">
        <f>N('費用収益表_貸付'!D58)-N(D280)</f>
        <v>0</v>
      </c>
      <c r="AB280" s="444">
        <f>N('費用収益表_貸付'!E58)-N(E280)</f>
        <v>0</v>
      </c>
      <c r="AC280" s="444">
        <f>N('費用収益表_貸付'!F58)-N(F280)</f>
        <v>0</v>
      </c>
      <c r="AD280" s="444">
        <f>N('費用収益表_貸付'!G58)-N(G280)</f>
        <v>0</v>
      </c>
      <c r="AE280" s="444">
        <f>N('費用収益表_貸付'!H58)-N(H280)</f>
        <v>0</v>
      </c>
      <c r="AF280" s="444">
        <f>N('費用収益表_貸付'!I58)-N(I280)</f>
        <v>0</v>
      </c>
      <c r="AG280" s="444">
        <f>N('費用収益表_貸付'!J58)-N(J280)</f>
        <v>0</v>
      </c>
      <c r="AH280" s="444">
        <f>N('費用収益表_貸付'!K58)-N(K280)</f>
        <v>0</v>
      </c>
      <c r="AI280" s="444">
        <f>N('費用収益表_貸付'!L58)-N(L280)</f>
        <v>0</v>
      </c>
      <c r="AJ280" s="444">
        <f>N('費用収益表_貸付'!M58)-N(M280)</f>
        <v>0</v>
      </c>
      <c r="AK280" s="444">
        <f>N('費用収益表_貸付'!N58)-N(N280)</f>
        <v>0</v>
      </c>
      <c r="AL280" s="444">
        <f>N('費用収益表_貸付'!O58)-N(O280)</f>
        <v>0</v>
      </c>
      <c r="AM280" s="444">
        <f>N('費用収益表_貸付'!P58)-N(P280)</f>
        <v>0</v>
      </c>
      <c r="AN280" s="444">
        <f>N('費用収益表_貸付'!Q58)-N(Q280)</f>
        <v>0</v>
      </c>
      <c r="AO280" s="444">
        <f>N('費用収益表_貸付'!R58)-N(R280)</f>
        <v>0</v>
      </c>
      <c r="AP280" s="444">
        <f>N('費用収益表_貸付'!S58)-N(S280)</f>
        <v>0</v>
      </c>
      <c r="AQ280" s="444">
        <f>N('費用収益表_貸付'!T58)-N(T280)</f>
        <v>0</v>
      </c>
      <c r="AR280" s="444">
        <f>N('費用収益表_貸付'!U58)-N(U280)</f>
        <v>0</v>
      </c>
    </row>
    <row r="281">
      <c r="Z281" s="444">
        <f>N('費用収益表_貸付'!C59)-N(C281)</f>
        <v>0</v>
      </c>
      <c r="AA281" s="444">
        <f>N('費用収益表_貸付'!D59)-N(D281)</f>
        <v>0</v>
      </c>
      <c r="AB281" s="444">
        <f>N('費用収益表_貸付'!E59)-N(E281)</f>
        <v>0</v>
      </c>
      <c r="AC281" s="444">
        <f>N('費用収益表_貸付'!F59)-N(F281)</f>
        <v>0</v>
      </c>
      <c r="AD281" s="444">
        <f>N('費用収益表_貸付'!G59)-N(G281)</f>
        <v>0</v>
      </c>
      <c r="AE281" s="444">
        <f>N('費用収益表_貸付'!H59)-N(H281)</f>
        <v>0</v>
      </c>
      <c r="AF281" s="444">
        <f>N('費用収益表_貸付'!I59)-N(I281)</f>
        <v>0</v>
      </c>
      <c r="AG281" s="444">
        <f>N('費用収益表_貸付'!J59)-N(J281)</f>
        <v>0</v>
      </c>
      <c r="AH281" s="444">
        <f>N('費用収益表_貸付'!K59)-N(K281)</f>
        <v>0</v>
      </c>
      <c r="AI281" s="444">
        <f>N('費用収益表_貸付'!L59)-N(L281)</f>
        <v>0</v>
      </c>
      <c r="AJ281" s="444">
        <f>N('費用収益表_貸付'!M59)-N(M281)</f>
        <v>0</v>
      </c>
      <c r="AK281" s="444">
        <f>N('費用収益表_貸付'!N59)-N(N281)</f>
        <v>0</v>
      </c>
      <c r="AL281" s="444">
        <f>N('費用収益表_貸付'!O59)-N(O281)</f>
        <v>0</v>
      </c>
      <c r="AM281" s="444">
        <f>N('費用収益表_貸付'!P59)-N(P281)</f>
        <v>0</v>
      </c>
      <c r="AN281" s="444">
        <f>N('費用収益表_貸付'!Q59)-N(Q281)</f>
        <v>0</v>
      </c>
      <c r="AO281" s="444">
        <f>N('費用収益表_貸付'!R59)-N(R281)</f>
        <v>0</v>
      </c>
      <c r="AP281" s="444">
        <f>N('費用収益表_貸付'!S59)-N(S281)</f>
        <v>0</v>
      </c>
      <c r="AQ281" s="444">
        <f>N('費用収益表_貸付'!T59)-N(T281)</f>
        <v>0</v>
      </c>
      <c r="AR281" s="444">
        <f>N('費用収益表_貸付'!U59)-N(U281)</f>
        <v>0</v>
      </c>
    </row>
    <row r="282">
      <c r="Z282" s="444">
        <f>N('費用収益表_貸付'!C60)-N(C282)</f>
        <v>0</v>
      </c>
      <c r="AA282" s="444">
        <f>N('費用収益表_貸付'!D60)-N(D282)</f>
        <v>0</v>
      </c>
      <c r="AB282" s="444">
        <f>N('費用収益表_貸付'!E60)-N(E282)</f>
        <v>0</v>
      </c>
      <c r="AC282" s="444">
        <f>N('費用収益表_貸付'!F60)-N(F282)</f>
        <v>0</v>
      </c>
      <c r="AD282" s="444">
        <f>N('費用収益表_貸付'!G60)-N(G282)</f>
        <v>0</v>
      </c>
      <c r="AE282" s="444">
        <f>N('費用収益表_貸付'!H60)-N(H282)</f>
        <v>0</v>
      </c>
      <c r="AF282" s="444">
        <f>N('費用収益表_貸付'!I60)-N(I282)</f>
        <v>0</v>
      </c>
      <c r="AG282" s="444">
        <f>N('費用収益表_貸付'!J60)-N(J282)</f>
        <v>0</v>
      </c>
      <c r="AH282" s="444">
        <f>N('費用収益表_貸付'!K60)-N(K282)</f>
        <v>0</v>
      </c>
      <c r="AI282" s="444">
        <f>N('費用収益表_貸付'!L60)-N(L282)</f>
        <v>0</v>
      </c>
      <c r="AJ282" s="444">
        <f>N('費用収益表_貸付'!M60)-N(M282)</f>
        <v>0</v>
      </c>
      <c r="AK282" s="444">
        <f>N('費用収益表_貸付'!N60)-N(N282)</f>
        <v>0</v>
      </c>
      <c r="AL282" s="444">
        <f>N('費用収益表_貸付'!O60)-N(O282)</f>
        <v>0</v>
      </c>
      <c r="AM282" s="444">
        <f>N('費用収益表_貸付'!P60)-N(P282)</f>
        <v>0</v>
      </c>
      <c r="AN282" s="444">
        <f>N('費用収益表_貸付'!Q60)-N(Q282)</f>
        <v>0</v>
      </c>
      <c r="AO282" s="444">
        <f>N('費用収益表_貸付'!R60)-N(R282)</f>
        <v>0</v>
      </c>
      <c r="AP282" s="444">
        <f>N('費用収益表_貸付'!S60)-N(S282)</f>
        <v>0</v>
      </c>
      <c r="AQ282" s="444">
        <f>N('費用収益表_貸付'!T60)-N(T282)</f>
        <v>0</v>
      </c>
      <c r="AR282" s="444">
        <f>N('費用収益表_貸付'!U60)-N(U282)</f>
        <v>0</v>
      </c>
    </row>
    <row r="283">
      <c r="Z283" s="444">
        <f>N('費用収益表_貸付'!C61)-N(C283)</f>
        <v>0</v>
      </c>
      <c r="AA283" s="444">
        <f>N('費用収益表_貸付'!D61)-N(D283)</f>
        <v>0</v>
      </c>
      <c r="AB283" s="444">
        <f>N('費用収益表_貸付'!E61)-N(E283)</f>
        <v>0</v>
      </c>
      <c r="AC283" s="444">
        <f>N('費用収益表_貸付'!F61)-N(F283)</f>
        <v>0</v>
      </c>
      <c r="AD283" s="444">
        <f>N('費用収益表_貸付'!G61)-N(G283)</f>
        <v>0</v>
      </c>
      <c r="AE283" s="444">
        <f>N('費用収益表_貸付'!H61)-N(H283)</f>
        <v>0</v>
      </c>
      <c r="AF283" s="444">
        <f>N('費用収益表_貸付'!I61)-N(I283)</f>
        <v>0</v>
      </c>
      <c r="AG283" s="444">
        <f>N('費用収益表_貸付'!J61)-N(J283)</f>
        <v>0</v>
      </c>
      <c r="AH283" s="444">
        <f>N('費用収益表_貸付'!K61)-N(K283)</f>
        <v>0</v>
      </c>
      <c r="AI283" s="444">
        <f>N('費用収益表_貸付'!L61)-N(L283)</f>
        <v>0</v>
      </c>
      <c r="AJ283" s="444">
        <f>N('費用収益表_貸付'!M61)-N(M283)</f>
        <v>0</v>
      </c>
      <c r="AK283" s="444">
        <f>N('費用収益表_貸付'!N61)-N(N283)</f>
        <v>0</v>
      </c>
      <c r="AL283" s="444">
        <f>N('費用収益表_貸付'!O61)-N(O283)</f>
        <v>0</v>
      </c>
      <c r="AM283" s="444">
        <f>N('費用収益表_貸付'!P61)-N(P283)</f>
        <v>0</v>
      </c>
      <c r="AN283" s="444">
        <f>N('費用収益表_貸付'!Q61)-N(Q283)</f>
        <v>0</v>
      </c>
      <c r="AO283" s="444">
        <f>N('費用収益表_貸付'!R61)-N(R283)</f>
        <v>0</v>
      </c>
      <c r="AP283" s="444">
        <f>N('費用収益表_貸付'!S61)-N(S283)</f>
        <v>0</v>
      </c>
      <c r="AQ283" s="444">
        <f>N('費用収益表_貸付'!T61)-N(T283)</f>
        <v>0</v>
      </c>
      <c r="AR283" s="444">
        <f>N('費用収益表_貸付'!U61)-N(U283)</f>
        <v>0</v>
      </c>
    </row>
    <row r="284">
      <c r="Z284" s="444">
        <f>N('費用収益表_貸付'!C62)-N(C284)</f>
        <v>0</v>
      </c>
      <c r="AA284" s="444">
        <f>N('費用収益表_貸付'!D62)-N(D284)</f>
        <v>0</v>
      </c>
      <c r="AB284" s="444">
        <f>N('費用収益表_貸付'!E62)-N(E284)</f>
        <v>0</v>
      </c>
      <c r="AC284" s="444">
        <f>N('費用収益表_貸付'!F62)-N(F284)</f>
        <v>0</v>
      </c>
      <c r="AD284" s="444">
        <f>N('費用収益表_貸付'!G62)-N(G284)</f>
        <v>0</v>
      </c>
      <c r="AE284" s="444">
        <f>N('費用収益表_貸付'!H62)-N(H284)</f>
        <v>0</v>
      </c>
      <c r="AF284" s="444">
        <f>N('費用収益表_貸付'!I62)-N(I284)</f>
        <v>0</v>
      </c>
      <c r="AG284" s="444">
        <f>N('費用収益表_貸付'!J62)-N(J284)</f>
        <v>0</v>
      </c>
      <c r="AH284" s="444">
        <f>N('費用収益表_貸付'!K62)-N(K284)</f>
        <v>0</v>
      </c>
      <c r="AI284" s="444">
        <f>N('費用収益表_貸付'!L62)-N(L284)</f>
        <v>0</v>
      </c>
      <c r="AJ284" s="444">
        <f>N('費用収益表_貸付'!M62)-N(M284)</f>
        <v>0</v>
      </c>
      <c r="AK284" s="444">
        <f>N('費用収益表_貸付'!N62)-N(N284)</f>
        <v>0</v>
      </c>
      <c r="AL284" s="444">
        <f>N('費用収益表_貸付'!O62)-N(O284)</f>
        <v>0</v>
      </c>
      <c r="AM284" s="444">
        <f>N('費用収益表_貸付'!P62)-N(P284)</f>
        <v>0</v>
      </c>
      <c r="AN284" s="444">
        <f>N('費用収益表_貸付'!Q62)-N(Q284)</f>
        <v>0</v>
      </c>
      <c r="AO284" s="444">
        <f>N('費用収益表_貸付'!R62)-N(R284)</f>
        <v>0</v>
      </c>
      <c r="AP284" s="444">
        <f>N('費用収益表_貸付'!S62)-N(S284)</f>
        <v>0</v>
      </c>
      <c r="AQ284" s="444">
        <f>N('費用収益表_貸付'!T62)-N(T284)</f>
        <v>0</v>
      </c>
      <c r="AR284" s="444">
        <f>N('費用収益表_貸付'!U62)-N(U284)</f>
        <v>0</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令和8年度 費用収益表 統合ブック</dc:title>
  <dc:language xmlns:dc="http://purl.org/dc/elements/1.1/">en-US</dc:language>
  <dcterms:created xmlns:dcterms="http://purl.org/dc/terms/" xmlns:xsi="http://www.w3.org/2001/XMLSchema-instance" xsi:type="dcterms:W3CDTF">2003-07-16T07:07:06Z</dcterms:created>
  <dcterms:modified xmlns:dcterms="http://purl.org/dc/terms/" xmlns:xsi="http://www.w3.org/2001/XMLSchema-instance" xsi:type="dcterms:W3CDTF">2026-10-28T07:09:02Z</dcterms:modified>
  <cp:lastModifiedBy/>
  <cp:revision>0</cp:revision>
  <cp:lastPrinted>2026-10-22T01:27:30Z</cp:lastPrinted>
</cp:coreProperties>
</file>