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10月" sheetId="1" state="visible" r:id="rId1"/>
    <sheet xmlns:r="http://schemas.openxmlformats.org/officeDocument/2006/relationships" name="使い方" sheetId="2" state="visible" r:id="rId2"/>
    <sheet xmlns:r="http://schemas.openxmlformats.org/officeDocument/2006/relationships" name="基準額表" sheetId="3" state="visible" r:id="rId3"/>
    <sheet xmlns:r="http://schemas.openxmlformats.org/officeDocument/2006/relationships" name="控除額表" sheetId="4" state="visible" r:id="rId4"/>
    <sheet xmlns:r="http://schemas.openxmlformats.org/officeDocument/2006/relationships" name="区分設定" sheetId="5" state="visible" r:id="rId5"/>
  </sheets>
  <externalReferences>
    <externalReference xmlns:r="http://schemas.openxmlformats.org/officeDocument/2006/relationships" r:id="rId6"/>
  </externalReferences>
  <definedNames>
    <definedName name="_xlnm._FilterDatabase" localSheetId="0" hidden="1">'10月'!$A$6:$AE$45</definedName>
  </definedNames>
  <calcPr calcId="191029" fullCalcOnLoad="1"/>
</workbook>
</file>

<file path=xl/styles.xml><?xml version="1.0" encoding="utf-8"?>
<styleSheet xmlns="http://schemas.openxmlformats.org/spreadsheetml/2006/main">
  <numFmts count="4">
    <numFmt numFmtId="164" formatCode="#,##0_ "/>
    <numFmt numFmtId="165" formatCode="#,##0_);[Red]\(#,##0\)"/>
    <numFmt numFmtId="166" formatCode="0_);[Red]\(0\)"/>
    <numFmt numFmtId="167" formatCode="yyyy/m/d"/>
  </numFmts>
  <fonts count="18">
    <font>
      <name val="ＭＳ ゴシック"/>
      <charset val="128"/>
      <family val="3"/>
      <sz val="13"/>
    </font>
    <font>
      <name val="ＭＳ ゴシック"/>
      <charset val="128"/>
      <family val="3"/>
      <sz val="13"/>
    </font>
    <font>
      <name val="Meiryo UI"/>
      <charset val="128"/>
      <family val="3"/>
      <b val="1"/>
      <sz val="9"/>
    </font>
    <font>
      <name val="ＭＳ ゴシック"/>
      <charset val="128"/>
      <family val="3"/>
      <sz val="6.5"/>
    </font>
    <font>
      <name val="ＭＳ Ｐゴシック"/>
      <charset val="128"/>
      <family val="3"/>
      <sz val="6.5"/>
    </font>
    <font>
      <name val="Meiryo UI"/>
      <charset val="128"/>
      <family val="3"/>
      <sz val="9"/>
    </font>
    <font>
      <name val="Meiryo UI"/>
      <charset val="128"/>
      <family val="3"/>
      <sz val="12"/>
    </font>
    <font>
      <name val="Meiryo UI"/>
      <charset val="128"/>
      <family val="3"/>
      <sz val="10"/>
    </font>
    <font>
      <name val="Meiryo UI"/>
      <charset val="128"/>
      <family val="3"/>
      <sz val="8"/>
    </font>
    <font>
      <name val="Meiryo UI"/>
      <charset val="128"/>
      <family val="3"/>
      <color rgb="FFFF0000"/>
      <sz val="9"/>
    </font>
    <font>
      <name val="Meiryo UI"/>
      <charset val="128"/>
      <family val="3"/>
      <color rgb="FFFF0000"/>
      <sz val="12"/>
    </font>
    <font>
      <name val="MS P ゴシック"/>
      <charset val="128"/>
      <family val="3"/>
      <color indexed="81"/>
      <sz val="9"/>
    </font>
    <font>
      <name val="Meiryo UI"/>
      <color rgb="00595959"/>
      <sz val="8"/>
    </font>
    <font>
      <name val="Meiryo UI"/>
      <b val="1"/>
      <color rgb="00C00000"/>
      <sz val="9"/>
    </font>
    <font>
      <name val="Meiryo UI"/>
      <b val="1"/>
      <sz val="12"/>
    </font>
    <font>
      <name val="Meiryo UI"/>
      <b val="1"/>
      <sz val="9"/>
    </font>
    <font>
      <name val="Meiryo UI"/>
      <color rgb="000000FF"/>
      <sz val="9"/>
    </font>
    <font>
      <name val="Meiryo UI"/>
      <sz val="9"/>
    </font>
  </fonts>
  <fills count="8">
    <fill>
      <patternFill/>
    </fill>
    <fill>
      <patternFill patternType="gray125"/>
    </fill>
    <fill>
      <patternFill patternType="solid">
        <fgColor theme="5" tint="0.7999816888943144"/>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indexed="64"/>
      </patternFill>
    </fill>
    <fill>
      <patternFill patternType="solid">
        <fgColor rgb="00FFF2CC"/>
      </patternFill>
    </fill>
    <fill>
      <patternFill patternType="solid">
        <fgColor rgb="00D9E1F2"/>
      </patternFill>
    </fill>
  </fills>
  <borders count="52">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right style="medium">
        <color indexed="64"/>
      </right>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right style="thin"/>
      <top style="thin"/>
      <bottom style="thin"/>
    </border>
  </borders>
  <cellStyleXfs count="2">
    <xf numFmtId="0" fontId="1" fillId="0" borderId="0"/>
    <xf numFmtId="38" fontId="1" fillId="0" borderId="0"/>
  </cellStyleXfs>
  <cellXfs count="211">
    <xf numFmtId="0" fontId="0" fillId="0" borderId="0" pivotButton="0" quotePrefix="0" xfId="0"/>
    <xf numFmtId="0" fontId="10" fillId="0" borderId="11" applyAlignment="1" applyProtection="1" pivotButton="0" quotePrefix="0" xfId="0">
      <alignment horizontal="center" vertical="center" wrapText="1"/>
      <protection locked="0" hidden="0"/>
    </xf>
    <xf numFmtId="164" fontId="2" fillId="0" borderId="27" applyAlignment="1" applyProtection="1" pivotButton="0" quotePrefix="0" xfId="0">
      <alignment horizontal="right" vertical="center"/>
      <protection locked="0" hidden="0"/>
    </xf>
    <xf numFmtId="164" fontId="2" fillId="0" borderId="34" applyAlignment="1" applyProtection="1" pivotButton="0" quotePrefix="0" xfId="0">
      <alignment horizontal="right" vertical="center"/>
      <protection locked="0" hidden="0"/>
    </xf>
    <xf numFmtId="0" fontId="5" fillId="3" borderId="0" applyAlignment="1" pivotButton="0" quotePrefix="0" xfId="0">
      <alignment horizontal="left" shrinkToFit="1"/>
    </xf>
    <xf numFmtId="0" fontId="5" fillId="0" borderId="43" applyAlignment="1" pivotButton="0" quotePrefix="0" xfId="0">
      <alignment vertical="center" shrinkToFit="1"/>
    </xf>
    <xf numFmtId="0" fontId="5" fillId="0" borderId="44" applyAlignment="1" pivotButton="0" quotePrefix="0" xfId="0">
      <alignment vertical="center" shrinkToFit="1"/>
    </xf>
    <xf numFmtId="38" fontId="5" fillId="0" borderId="45" applyAlignment="1" pivotButton="0" quotePrefix="0" xfId="1">
      <alignment horizontal="right" vertical="center" shrinkToFit="1"/>
    </xf>
    <xf numFmtId="165" fontId="5" fillId="0" borderId="46" applyAlignment="1" pivotButton="0" quotePrefix="0" xfId="0">
      <alignment horizontal="right" vertical="center" shrinkToFit="1"/>
    </xf>
    <xf numFmtId="0" fontId="5" fillId="0" borderId="47" applyAlignment="1" pivotButton="0" quotePrefix="0" xfId="0">
      <alignment horizontal="left" shrinkToFit="1"/>
    </xf>
    <xf numFmtId="0" fontId="5" fillId="0" borderId="48" applyAlignment="1" pivotButton="0" quotePrefix="0" xfId="0">
      <alignment horizontal="left" shrinkToFit="1"/>
    </xf>
    <xf numFmtId="0" fontId="5" fillId="0" borderId="48" applyAlignment="1" pivotButton="0" quotePrefix="0" xfId="0">
      <alignment horizontal="center" vertical="center" shrinkToFit="1"/>
    </xf>
    <xf numFmtId="0" fontId="5" fillId="0" borderId="46" applyAlignment="1" pivotButton="0" quotePrefix="0" xfId="0">
      <alignment horizontal="left" vertical="center" shrinkToFit="1"/>
    </xf>
    <xf numFmtId="164" fontId="5" fillId="0" borderId="44" applyAlignment="1" pivotButton="0" quotePrefix="0" xfId="0">
      <alignment horizontal="right" vertical="center" shrinkToFit="1"/>
    </xf>
    <xf numFmtId="164" fontId="5" fillId="0" borderId="45" applyAlignment="1" pivotButton="0" quotePrefix="0" xfId="0">
      <alignment horizontal="right" vertical="center" shrinkToFit="1"/>
    </xf>
    <xf numFmtId="164" fontId="5" fillId="0" borderId="46" applyAlignment="1" pivotButton="0" quotePrefix="0" xfId="0">
      <alignment horizontal="center" vertical="center" shrinkToFit="1"/>
    </xf>
    <xf numFmtId="164" fontId="5" fillId="0" borderId="49" applyAlignment="1" pivotButton="0" quotePrefix="0" xfId="0">
      <alignment horizontal="right" vertical="center" shrinkToFit="1"/>
    </xf>
    <xf numFmtId="164" fontId="5" fillId="0" borderId="50" applyAlignment="1" pivotButton="0" quotePrefix="0" xfId="0">
      <alignment horizontal="right" vertical="center" shrinkToFit="1"/>
    </xf>
    <xf numFmtId="164" fontId="5" fillId="0" borderId="48" applyAlignment="1" pivotButton="0" quotePrefix="0" xfId="0">
      <alignment horizontal="right" vertical="center" shrinkToFit="1"/>
    </xf>
    <xf numFmtId="0" fontId="5" fillId="0" borderId="46" applyAlignment="1" pivotButton="0" quotePrefix="0" xfId="0">
      <alignment horizontal="left" shrinkToFit="1"/>
    </xf>
    <xf numFmtId="0" fontId="5" fillId="3" borderId="0" applyAlignment="1" pivotButton="0" quotePrefix="0" xfId="0">
      <alignment horizontal="left" vertical="center" wrapText="1" shrinkToFit="1"/>
    </xf>
    <xf numFmtId="0" fontId="5" fillId="0" borderId="0" applyAlignment="1" pivotButton="0" quotePrefix="0" xfId="0">
      <alignment horizontal="left"/>
    </xf>
    <xf numFmtId="14" fontId="5" fillId="0" borderId="0" applyAlignment="1" pivotButton="0" quotePrefix="0" xfId="0">
      <alignment horizontal="left"/>
    </xf>
    <xf numFmtId="0" fontId="5" fillId="0" borderId="0" applyAlignment="1" pivotButton="0" quotePrefix="0" xfId="0">
      <alignment horizontal="center"/>
    </xf>
    <xf numFmtId="0" fontId="5" fillId="0" borderId="0" applyAlignment="1" pivotButton="0" quotePrefix="0" xfId="0">
      <alignment horizontal="left" shrinkToFit="1"/>
    </xf>
    <xf numFmtId="38" fontId="5" fillId="0" borderId="0" applyAlignment="1" pivotButton="0" quotePrefix="0" xfId="1">
      <alignment horizontal="left"/>
    </xf>
    <xf numFmtId="164" fontId="2" fillId="4" borderId="33" applyAlignment="1" pivotButton="0" quotePrefix="0" xfId="0">
      <alignment horizontal="right" vertical="center"/>
    </xf>
    <xf numFmtId="164" fontId="5" fillId="0" borderId="25" applyAlignment="1" pivotButton="0" quotePrefix="0" xfId="0">
      <alignment horizontal="center" vertical="center"/>
    </xf>
    <xf numFmtId="164" fontId="5" fillId="0" borderId="20" applyAlignment="1" pivotButton="0" quotePrefix="0" xfId="0">
      <alignment horizontal="left" vertical="center" shrinkToFit="1"/>
    </xf>
    <xf numFmtId="164" fontId="5" fillId="0" borderId="24" applyAlignment="1" pivotButton="0" quotePrefix="0" xfId="0">
      <alignment horizontal="center" vertical="center"/>
    </xf>
    <xf numFmtId="38" fontId="5" fillId="0" borderId="22" applyAlignment="1" pivotButton="0" quotePrefix="0" xfId="1">
      <alignment horizontal="center" vertical="center" wrapText="1"/>
    </xf>
    <xf numFmtId="0" fontId="5" fillId="3" borderId="0" applyAlignment="1" pivotButton="0" quotePrefix="0" xfId="0">
      <alignment horizontal="left" vertical="center" wrapText="1"/>
    </xf>
    <xf numFmtId="0" fontId="5" fillId="3" borderId="0" applyAlignment="1" pivotButton="0" quotePrefix="0" xfId="0">
      <alignment horizontal="left"/>
    </xf>
    <xf numFmtId="164" fontId="2" fillId="4" borderId="41" applyAlignment="1" pivotButton="0" quotePrefix="0" xfId="0">
      <alignment horizontal="right" vertical="center"/>
    </xf>
    <xf numFmtId="164" fontId="5" fillId="0" borderId="42" applyAlignment="1" pivotButton="0" quotePrefix="0" xfId="0">
      <alignment horizontal="center" vertical="center"/>
    </xf>
    <xf numFmtId="164" fontId="5" fillId="0" borderId="35" applyAlignment="1" pivotButton="0" quotePrefix="0" xfId="0">
      <alignment horizontal="left" vertical="center" shrinkToFit="1"/>
    </xf>
    <xf numFmtId="164" fontId="5" fillId="0" borderId="39" applyAlignment="1" pivotButton="0" quotePrefix="0" xfId="0">
      <alignment horizontal="center" vertical="center"/>
    </xf>
    <xf numFmtId="38" fontId="5" fillId="0" borderId="37" applyAlignment="1" pivotButton="0" quotePrefix="0" xfId="1">
      <alignment horizontal="center" vertical="center" wrapText="1"/>
    </xf>
    <xf numFmtId="0" fontId="5" fillId="2" borderId="27" applyAlignment="1" pivotButton="0" quotePrefix="0" xfId="0">
      <alignment horizontal="center" vertical="center"/>
    </xf>
    <xf numFmtId="0" fontId="5" fillId="0" borderId="28" applyAlignment="1" pivotButton="0" quotePrefix="0" xfId="0">
      <alignment horizontal="left" vertical="center" wrapText="1"/>
    </xf>
    <xf numFmtId="0" fontId="5" fillId="0" borderId="21" applyAlignment="1" pivotButton="0" quotePrefix="0" xfId="0">
      <alignment vertical="center"/>
    </xf>
    <xf numFmtId="38" fontId="5" fillId="0" borderId="27" applyAlignment="1" pivotButton="0" quotePrefix="0" xfId="1">
      <alignment vertical="center" shrinkToFit="1"/>
    </xf>
    <xf numFmtId="165" fontId="2" fillId="0" borderId="29" applyAlignment="1" pivotButton="0" quotePrefix="0" xfId="0">
      <alignment horizontal="right" vertical="center" wrapText="1" shrinkToFit="1"/>
    </xf>
    <xf numFmtId="57" fontId="5" fillId="0" borderId="30" applyAlignment="1" pivotButton="0" quotePrefix="0" xfId="0">
      <alignment horizontal="center" vertical="center" shrinkToFit="1"/>
    </xf>
    <xf numFmtId="57" fontId="5" fillId="0" borderId="31" applyAlignment="1" pivotButton="0" quotePrefix="0" xfId="0">
      <alignment horizontal="center" vertical="center" wrapText="1" shrinkToFit="1"/>
    </xf>
    <xf numFmtId="166" fontId="5" fillId="0" borderId="31" applyAlignment="1" pivotButton="0" quotePrefix="0" xfId="0">
      <alignment horizontal="center" vertical="center" wrapText="1" shrinkToFit="1"/>
    </xf>
    <xf numFmtId="165" fontId="5" fillId="0" borderId="31" applyAlignment="1" pivotButton="0" quotePrefix="0" xfId="0">
      <alignment horizontal="center" vertical="center" wrapText="1" shrinkToFit="1"/>
    </xf>
    <xf numFmtId="164" fontId="2" fillId="0" borderId="29" applyAlignment="1" pivotButton="0" quotePrefix="0" xfId="0">
      <alignment horizontal="right" vertical="center"/>
    </xf>
    <xf numFmtId="164" fontId="2" fillId="0" borderId="32" applyAlignment="1" pivotButton="0" quotePrefix="0" xfId="0">
      <alignment horizontal="right" vertical="center"/>
    </xf>
    <xf numFmtId="40" fontId="2" fillId="0" borderId="25" applyAlignment="1" pivotButton="0" quotePrefix="0" xfId="1">
      <alignment horizontal="right" vertical="center"/>
    </xf>
    <xf numFmtId="164" fontId="5" fillId="0" borderId="27" applyAlignment="1" pivotButton="0" quotePrefix="0" xfId="0">
      <alignment horizontal="right" vertical="center"/>
    </xf>
    <xf numFmtId="164" fontId="6" fillId="0" borderId="29" applyAlignment="1" pivotButton="0" quotePrefix="0" xfId="0">
      <alignment horizontal="center" vertical="center"/>
    </xf>
    <xf numFmtId="166" fontId="5" fillId="3" borderId="31" applyAlignment="1" pivotButton="0" quotePrefix="0" xfId="0">
      <alignment horizontal="center" vertical="center" wrapText="1" shrinkToFit="1"/>
    </xf>
    <xf numFmtId="165" fontId="5" fillId="3" borderId="31" applyAlignment="1" pivotButton="0" quotePrefix="0" xfId="0">
      <alignment horizontal="center" vertical="center" wrapText="1" shrinkToFit="1"/>
    </xf>
    <xf numFmtId="164" fontId="5" fillId="0" borderId="10" applyAlignment="1" pivotButton="0" quotePrefix="0" xfId="0">
      <alignment horizontal="right" vertical="center"/>
    </xf>
    <xf numFmtId="0" fontId="5" fillId="2" borderId="34" applyAlignment="1" pivotButton="0" quotePrefix="0" xfId="0">
      <alignment horizontal="center" vertical="center"/>
    </xf>
    <xf numFmtId="0" fontId="5" fillId="0" borderId="35" applyAlignment="1" pivotButton="0" quotePrefix="0" xfId="0">
      <alignment horizontal="left" vertical="center" wrapText="1"/>
    </xf>
    <xf numFmtId="0" fontId="5" fillId="0" borderId="36" applyAlignment="1" pivotButton="0" quotePrefix="0" xfId="0">
      <alignment vertical="center"/>
    </xf>
    <xf numFmtId="38" fontId="5" fillId="0" borderId="34" applyAlignment="1" pivotButton="0" quotePrefix="0" xfId="1">
      <alignment vertical="center" shrinkToFit="1"/>
    </xf>
    <xf numFmtId="165" fontId="2" fillId="0" borderId="37" applyAlignment="1" pivotButton="0" quotePrefix="0" xfId="0">
      <alignment horizontal="right" vertical="center" wrapText="1" shrinkToFit="1"/>
    </xf>
    <xf numFmtId="57" fontId="5" fillId="0" borderId="38" applyAlignment="1" pivotButton="0" quotePrefix="0" xfId="0">
      <alignment horizontal="center" vertical="center" shrinkToFit="1"/>
    </xf>
    <xf numFmtId="57" fontId="5" fillId="0" borderId="39" applyAlignment="1" pivotButton="0" quotePrefix="0" xfId="0">
      <alignment horizontal="center" vertical="center" wrapText="1" shrinkToFit="1"/>
    </xf>
    <xf numFmtId="166" fontId="5" fillId="0" borderId="39" applyAlignment="1" pivotButton="0" quotePrefix="0" xfId="0">
      <alignment horizontal="center" vertical="center" wrapText="1" shrinkToFit="1"/>
    </xf>
    <xf numFmtId="165" fontId="5" fillId="0" borderId="39" applyAlignment="1" pivotButton="0" quotePrefix="0" xfId="0">
      <alignment horizontal="center" vertical="center" wrapText="1" shrinkToFit="1"/>
    </xf>
    <xf numFmtId="164" fontId="2" fillId="0" borderId="37" applyAlignment="1" pivotButton="0" quotePrefix="0" xfId="0">
      <alignment horizontal="right" vertical="center"/>
    </xf>
    <xf numFmtId="164" fontId="2" fillId="0" borderId="40" applyAlignment="1" pivotButton="0" quotePrefix="0" xfId="0">
      <alignment horizontal="right" vertical="center"/>
    </xf>
    <xf numFmtId="40" fontId="2" fillId="0" borderId="41" applyAlignment="1" pivotButton="0" quotePrefix="0" xfId="1">
      <alignment horizontal="right" vertical="center"/>
    </xf>
    <xf numFmtId="164" fontId="5" fillId="0" borderId="34" applyAlignment="1" pivotButton="0" quotePrefix="0" xfId="0">
      <alignment horizontal="right" vertical="center"/>
    </xf>
    <xf numFmtId="164" fontId="6" fillId="0" borderId="37" applyAlignment="1" pivotButton="0" quotePrefix="0" xfId="0">
      <alignment horizontal="center" vertical="center"/>
    </xf>
    <xf numFmtId="0" fontId="5" fillId="0" borderId="0" applyAlignment="1" pivotButton="0" quotePrefix="0" xfId="0">
      <alignment horizontal="left" vertical="center" wrapText="1"/>
    </xf>
    <xf numFmtId="166" fontId="5" fillId="0" borderId="24" applyAlignment="1" pivotButton="0" quotePrefix="0" xfId="0">
      <alignment horizontal="center" vertical="center" wrapText="1" shrinkToFit="1"/>
    </xf>
    <xf numFmtId="38" fontId="5" fillId="0" borderId="19" applyAlignment="1" pivotButton="0" quotePrefix="0" xfId="1">
      <alignment vertical="center" shrinkToFit="1"/>
    </xf>
    <xf numFmtId="0" fontId="5" fillId="0" borderId="0" applyAlignment="1" pivotButton="0" quotePrefix="0" xfId="0">
      <alignment horizontal="left" wrapText="1" shrinkToFit="1"/>
    </xf>
    <xf numFmtId="0" fontId="5" fillId="2" borderId="8" applyAlignment="1" pivotButton="0" quotePrefix="0" xfId="0">
      <alignment vertical="center"/>
    </xf>
    <xf numFmtId="0" fontId="5" fillId="2" borderId="7" applyAlignment="1" pivotButton="0" quotePrefix="0" xfId="0">
      <alignment vertical="center" shrinkToFit="1"/>
    </xf>
    <xf numFmtId="0" fontId="5" fillId="2" borderId="9" applyAlignment="1" pivotButton="0" quotePrefix="0" xfId="0">
      <alignment vertical="center"/>
    </xf>
    <xf numFmtId="38" fontId="5" fillId="2" borderId="8" applyAlignment="1" pivotButton="0" quotePrefix="0" xfId="1">
      <alignment horizontal="center" vertical="center"/>
    </xf>
    <xf numFmtId="0" fontId="8" fillId="2" borderId="16" applyAlignment="1" pivotButton="0" quotePrefix="0" xfId="0">
      <alignment horizontal="center" vertical="center" wrapText="1"/>
    </xf>
    <xf numFmtId="0" fontId="5" fillId="2" borderId="17" applyAlignment="1" pivotButton="0" quotePrefix="0" xfId="0">
      <alignment horizontal="center" vertical="center"/>
    </xf>
    <xf numFmtId="0" fontId="5" fillId="2" borderId="18" applyAlignment="1" pivotButton="0" quotePrefix="0" xfId="0">
      <alignment horizontal="center" vertical="center"/>
    </xf>
    <xf numFmtId="14" fontId="8" fillId="0" borderId="18" applyAlignment="1" pivotButton="0" quotePrefix="0" xfId="0">
      <alignment horizontal="center" vertical="center" wrapText="1" shrinkToFit="1"/>
    </xf>
    <xf numFmtId="0" fontId="5" fillId="2" borderId="18" applyAlignment="1" pivotButton="0" quotePrefix="0" xfId="0">
      <alignment horizontal="center" vertical="center" wrapText="1"/>
    </xf>
    <xf numFmtId="0" fontId="5" fillId="2" borderId="18" applyAlignment="1" pivotButton="0" quotePrefix="0" xfId="0">
      <alignment vertical="center" wrapText="1" shrinkToFit="1"/>
    </xf>
    <xf numFmtId="0" fontId="5" fillId="2" borderId="18" applyAlignment="1" pivotButton="0" quotePrefix="0" xfId="0">
      <alignment vertical="center" wrapText="1"/>
    </xf>
    <xf numFmtId="0" fontId="5" fillId="2" borderId="0" applyAlignment="1" pivotButton="0" quotePrefix="0" xfId="0">
      <alignment vertical="center" wrapText="1"/>
    </xf>
    <xf numFmtId="0" fontId="5" fillId="2" borderId="0" applyAlignment="1" pivotButton="0" quotePrefix="0" xfId="0">
      <alignment horizontal="center" vertical="center" wrapText="1"/>
    </xf>
    <xf numFmtId="0" fontId="5" fillId="2" borderId="9" applyAlignment="1" pivotButton="0" quotePrefix="0" xfId="0">
      <alignment vertical="center" wrapText="1"/>
    </xf>
    <xf numFmtId="0" fontId="5" fillId="2" borderId="16" applyAlignment="1" pivotButton="0" quotePrefix="0" xfId="0">
      <alignment horizontal="center" vertical="center" wrapText="1"/>
    </xf>
    <xf numFmtId="0" fontId="5" fillId="2" borderId="8" applyAlignment="1" pivotButton="0" quotePrefix="0" xfId="0">
      <alignment vertical="center" wrapText="1"/>
    </xf>
    <xf numFmtId="0" fontId="5" fillId="2" borderId="11" applyAlignment="1" pivotButton="0" quotePrefix="0" xfId="0">
      <alignment vertical="center" wrapText="1"/>
    </xf>
    <xf numFmtId="0" fontId="5" fillId="2" borderId="7" applyAlignment="1" pivotButton="0" quotePrefix="0" xfId="0">
      <alignment vertical="center" wrapText="1"/>
    </xf>
    <xf numFmtId="0" fontId="5" fillId="2" borderId="16" applyAlignment="1" pivotButton="0" quotePrefix="0" xfId="0">
      <alignment vertical="center" wrapText="1"/>
    </xf>
    <xf numFmtId="0" fontId="5" fillId="3" borderId="7" applyAlignment="1" pivotButton="0" quotePrefix="0" xfId="0">
      <alignment wrapText="1"/>
    </xf>
    <xf numFmtId="0" fontId="5" fillId="2" borderId="19" applyAlignment="1" pivotButton="0" quotePrefix="0" xfId="0">
      <alignment vertical="center"/>
    </xf>
    <xf numFmtId="0" fontId="5" fillId="2" borderId="20" applyAlignment="1" pivotButton="0" quotePrefix="0" xfId="0">
      <alignment vertical="center" shrinkToFit="1"/>
    </xf>
    <xf numFmtId="0" fontId="5" fillId="2" borderId="21" applyAlignment="1" pivotButton="0" quotePrefix="0" xfId="0">
      <alignment vertical="center"/>
    </xf>
    <xf numFmtId="38" fontId="5" fillId="2" borderId="19" applyAlignment="1" pivotButton="0" quotePrefix="0" xfId="1">
      <alignment vertical="center"/>
    </xf>
    <xf numFmtId="0" fontId="5" fillId="2" borderId="22" applyAlignment="1" pivotButton="0" quotePrefix="0" xfId="0">
      <alignment vertical="center" wrapText="1"/>
    </xf>
    <xf numFmtId="0" fontId="5" fillId="2" borderId="23" applyAlignment="1" pivotButton="0" quotePrefix="0" xfId="0">
      <alignment vertical="center"/>
    </xf>
    <xf numFmtId="0" fontId="5" fillId="2" borderId="24" applyAlignment="1" pivotButton="0" quotePrefix="0" xfId="0">
      <alignment vertical="center"/>
    </xf>
    <xf numFmtId="0" fontId="9" fillId="2" borderId="24" applyAlignment="1" pivotButton="0" quotePrefix="0" xfId="0">
      <alignment vertical="center" wrapText="1" shrinkToFit="1"/>
    </xf>
    <xf numFmtId="0" fontId="5" fillId="2" borderId="24" applyAlignment="1" pivotButton="0" quotePrefix="0" xfId="0">
      <alignment vertical="center" wrapText="1"/>
    </xf>
    <xf numFmtId="0" fontId="5" fillId="2" borderId="24" applyAlignment="1" pivotButton="0" quotePrefix="0" xfId="0">
      <alignment vertical="center" wrapText="1" shrinkToFit="1"/>
    </xf>
    <xf numFmtId="0" fontId="5" fillId="2" borderId="25" applyAlignment="1" pivotButton="0" quotePrefix="0" xfId="0">
      <alignment vertical="center" wrapText="1"/>
    </xf>
    <xf numFmtId="0" fontId="5" fillId="2" borderId="19" applyAlignment="1" pivotButton="0" quotePrefix="0" xfId="0">
      <alignment vertical="center" wrapText="1"/>
    </xf>
    <xf numFmtId="0" fontId="5" fillId="2" borderId="22" applyAlignment="1" pivotButton="0" quotePrefix="0" xfId="0">
      <alignment horizontal="center" vertical="center" wrapText="1"/>
    </xf>
    <xf numFmtId="0" fontId="5" fillId="2" borderId="26" applyAlignment="1" pivotButton="0" quotePrefix="0" xfId="0">
      <alignment vertical="center" wrapText="1"/>
    </xf>
    <xf numFmtId="0" fontId="5" fillId="2" borderId="20" applyAlignment="1" pivotButton="0" quotePrefix="0" xfId="0">
      <alignment vertical="center" wrapText="1"/>
    </xf>
    <xf numFmtId="0" fontId="5" fillId="2" borderId="7" applyAlignment="1" pivotButton="0" quotePrefix="0" xfId="0">
      <alignment horizontal="center" vertical="center" wrapText="1"/>
    </xf>
    <xf numFmtId="38" fontId="8" fillId="2" borderId="10" applyAlignment="1" pivotButton="0" quotePrefix="0" xfId="1">
      <alignment horizontal="center" vertical="center"/>
    </xf>
    <xf numFmtId="0" fontId="8" fillId="2" borderId="12" applyAlignment="1" pivotButton="0" quotePrefix="0" xfId="0">
      <alignment horizontal="center" vertical="center"/>
    </xf>
    <xf numFmtId="0" fontId="8" fillId="2" borderId="15" applyAlignment="1" pivotButton="0" quotePrefix="0" xfId="0">
      <alignment horizontal="center" vertical="center"/>
    </xf>
    <xf numFmtId="0" fontId="8" fillId="2" borderId="15" applyAlignment="1" pivotButton="0" quotePrefix="0" xfId="0">
      <alignment horizontal="center" vertical="center" wrapText="1" shrinkToFit="1"/>
    </xf>
    <xf numFmtId="0" fontId="8" fillId="2" borderId="15"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xf>
    <xf numFmtId="0" fontId="5" fillId="0" borderId="0" applyAlignment="1" pivotButton="0" quotePrefix="0" xfId="0">
      <alignment horizontal="left" vertical="center"/>
    </xf>
    <xf numFmtId="0" fontId="5" fillId="2" borderId="1" applyAlignment="1" pivotButton="0" quotePrefix="0" xfId="0">
      <alignment vertical="center"/>
    </xf>
    <xf numFmtId="0" fontId="5" fillId="2" borderId="2" applyAlignment="1" pivotButton="0" quotePrefix="0" xfId="0">
      <alignment horizontal="center" vertical="center" shrinkToFit="1"/>
    </xf>
    <xf numFmtId="0" fontId="6" fillId="2" borderId="3" applyAlignment="1" pivotButton="0" quotePrefix="0" xfId="0">
      <alignment horizontal="center" vertical="center" wrapText="1"/>
    </xf>
    <xf numFmtId="0" fontId="6" fillId="2" borderId="4" applyAlignment="1" pivotButton="0" quotePrefix="0" xfId="0">
      <alignment horizontal="center" vertical="center" wrapText="1"/>
    </xf>
    <xf numFmtId="0" fontId="5" fillId="3" borderId="7" applyAlignment="1" pivotButton="0" quotePrefix="0" xfId="0">
      <alignment vertical="center" wrapText="1"/>
    </xf>
    <xf numFmtId="0" fontId="5" fillId="3" borderId="0" applyAlignment="1" pivotButton="0" quotePrefix="0" xfId="0">
      <alignment horizontal="center"/>
    </xf>
    <xf numFmtId="0" fontId="5" fillId="2" borderId="8" applyAlignment="1" pivotButton="0" quotePrefix="0" xfId="0">
      <alignment horizontal="center" vertical="center"/>
    </xf>
    <xf numFmtId="0" fontId="5" fillId="2" borderId="7" applyAlignment="1" pivotButton="0" quotePrefix="0" xfId="0">
      <alignment horizontal="center" vertical="center" shrinkToFit="1"/>
    </xf>
    <xf numFmtId="0" fontId="5" fillId="2" borderId="9" applyAlignment="1" pivotButton="0" quotePrefix="0" xfId="0">
      <alignment horizontal="center" vertical="center"/>
    </xf>
    <xf numFmtId="0" fontId="5" fillId="2" borderId="10" applyAlignment="1" pivotButton="0" quotePrefix="0" xfId="0">
      <alignment horizontal="center" vertical="center" wrapText="1"/>
    </xf>
    <xf numFmtId="0" fontId="5" fillId="2" borderId="11" applyAlignment="1" pivotButton="0" quotePrefix="0" xfId="0">
      <alignment horizontal="center" vertical="center" wrapText="1"/>
    </xf>
    <xf numFmtId="0" fontId="8" fillId="2" borderId="10" applyAlignment="1" pivotButton="0" quotePrefix="0" xfId="0">
      <alignment horizontal="center" vertical="center" wrapText="1"/>
    </xf>
    <xf numFmtId="0" fontId="8" fillId="2" borderId="11" applyAlignment="1" pivotButton="0" quotePrefix="0" xfId="0">
      <alignment horizontal="center" vertical="center" wrapText="1"/>
    </xf>
    <xf numFmtId="0" fontId="8" fillId="2" borderId="13" applyAlignment="1" pivotButton="0" quotePrefix="0" xfId="0">
      <alignment horizontal="center" vertical="center" wrapText="1"/>
    </xf>
    <xf numFmtId="0" fontId="8" fillId="2" borderId="14" applyAlignment="1" pivotButton="0" quotePrefix="0" xfId="0">
      <alignment horizontal="center" vertical="center" wrapText="1"/>
    </xf>
    <xf numFmtId="0" fontId="5" fillId="3" borderId="7" applyAlignment="1" pivotButton="0" quotePrefix="0" xfId="0">
      <alignment horizontal="center" wrapText="1"/>
    </xf>
    <xf numFmtId="0" fontId="6" fillId="2" borderId="5" applyAlignment="1" pivotButton="0" quotePrefix="0" xfId="0">
      <alignment horizontal="center" vertical="center"/>
    </xf>
    <xf numFmtId="0" fontId="6" fillId="2" borderId="4"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applyProtection="1" pivotButton="0" quotePrefix="0" xfId="0">
      <alignment horizontal="center" vertical="center"/>
      <protection locked="0" hidden="0"/>
    </xf>
    <xf numFmtId="0" fontId="6" fillId="2" borderId="6" applyAlignment="1" applyProtection="1" pivotButton="0" quotePrefix="0" xfId="0">
      <alignment horizontal="center" vertical="center"/>
      <protection locked="0" hidden="0"/>
    </xf>
    <xf numFmtId="38" fontId="7" fillId="2" borderId="4" applyAlignment="1" pivotButton="0" quotePrefix="0" xfId="1">
      <alignment horizontal="center" vertical="center" wrapText="1"/>
    </xf>
    <xf numFmtId="38" fontId="7" fillId="2" borderId="6" applyAlignment="1" pivotButton="0" quotePrefix="0" xfId="1">
      <alignment horizontal="center" vertical="center" wrapText="1"/>
    </xf>
    <xf numFmtId="0" fontId="7" fillId="2" borderId="5" applyAlignment="1" pivotButton="0" quotePrefix="0" xfId="0">
      <alignment horizontal="center" vertical="center" wrapText="1" shrinkToFit="1"/>
    </xf>
    <xf numFmtId="0" fontId="7" fillId="2" borderId="6" applyAlignment="1" pivotButton="0" quotePrefix="0" xfId="0">
      <alignment horizontal="center" vertical="center" wrapText="1" shrinkToFit="1"/>
    </xf>
    <xf numFmtId="0" fontId="5" fillId="5" borderId="31" applyAlignment="1" pivotButton="0" quotePrefix="0" xfId="0">
      <alignment horizontal="center" vertical="center"/>
    </xf>
    <xf numFmtId="0" fontId="5" fillId="5" borderId="24" applyAlignment="1" pivotButton="0" quotePrefix="0" xfId="0">
      <alignment horizontal="center" vertical="center"/>
    </xf>
    <xf numFmtId="38" fontId="5" fillId="5" borderId="31" applyAlignment="1" pivotButton="0" quotePrefix="0" xfId="1">
      <alignment horizontal="center" vertical="center"/>
    </xf>
    <xf numFmtId="0" fontId="5" fillId="5" borderId="39" applyAlignment="1" pivotButton="0" quotePrefix="0" xfId="0">
      <alignment horizontal="center" vertical="center"/>
    </xf>
    <xf numFmtId="0" fontId="13" fillId="0" borderId="0" pivotButton="0" quotePrefix="0" xfId="0"/>
    <xf numFmtId="0" fontId="0" fillId="0" borderId="5" pivotButton="0" quotePrefix="0" xfId="0"/>
    <xf numFmtId="0" fontId="6" fillId="2" borderId="3" applyAlignment="1" pivotButton="0" quotePrefix="0" xfId="0">
      <alignment horizontal="center" vertical="center"/>
    </xf>
    <xf numFmtId="0" fontId="0" fillId="0" borderId="6" pivotButton="0" quotePrefix="0" xfId="0"/>
    <xf numFmtId="0" fontId="6" fillId="2" borderId="3" applyAlignment="1" applyProtection="1" pivotButton="0" quotePrefix="0" xfId="0">
      <alignment horizontal="center" vertical="center"/>
      <protection locked="0" hidden="0"/>
    </xf>
    <xf numFmtId="0" fontId="0" fillId="0" borderId="6" applyProtection="1" pivotButton="0" quotePrefix="0" xfId="0">
      <protection locked="0" hidden="0"/>
    </xf>
    <xf numFmtId="38" fontId="7" fillId="2" borderId="3" applyAlignment="1" pivotButton="0" quotePrefix="0" xfId="1">
      <alignment horizontal="center" vertical="center" wrapText="1"/>
    </xf>
    <xf numFmtId="0" fontId="12" fillId="2" borderId="18" applyAlignment="1" pivotButton="0" quotePrefix="0" xfId="0">
      <alignment horizontal="center" vertical="center" wrapText="1"/>
    </xf>
    <xf numFmtId="167" fontId="8" fillId="0" borderId="18" applyAlignment="1" pivotButton="0" quotePrefix="0" xfId="0">
      <alignment horizontal="center" vertical="center" wrapText="1" shrinkToFit="1"/>
    </xf>
    <xf numFmtId="165" fontId="2" fillId="0" borderId="29" applyAlignment="1" pivotButton="0" quotePrefix="0" xfId="0">
      <alignment horizontal="right" vertical="center" wrapText="1" shrinkToFit="1"/>
    </xf>
    <xf numFmtId="57" fontId="5" fillId="6" borderId="31" applyAlignment="1" pivotButton="0" quotePrefix="0" xfId="0">
      <alignment horizontal="center" vertical="center" wrapText="1" shrinkToFit="1"/>
    </xf>
    <xf numFmtId="57" fontId="5" fillId="0" borderId="31" applyAlignment="1" pivotButton="0" quotePrefix="0" xfId="0">
      <alignment horizontal="center" vertical="center"/>
    </xf>
    <xf numFmtId="166" fontId="5" fillId="0" borderId="31" applyAlignment="1" pivotButton="0" quotePrefix="0" xfId="0">
      <alignment horizontal="center" vertical="center" wrapText="1" shrinkToFit="1"/>
    </xf>
    <xf numFmtId="165" fontId="5" fillId="0" borderId="31" applyAlignment="1" pivotButton="0" quotePrefix="0" xfId="0">
      <alignment horizontal="center" vertical="center" wrapText="1" shrinkToFit="1"/>
    </xf>
    <xf numFmtId="3" fontId="5" fillId="5" borderId="31" applyAlignment="1" pivotButton="0" quotePrefix="0" xfId="0">
      <alignment horizontal="center" vertical="center"/>
    </xf>
    <xf numFmtId="164" fontId="2" fillId="0" borderId="29" applyAlignment="1" pivotButton="0" quotePrefix="0" xfId="0">
      <alignment horizontal="right" vertical="center"/>
    </xf>
    <xf numFmtId="164" fontId="2" fillId="0" borderId="32" applyAlignment="1" pivotButton="0" quotePrefix="0" xfId="0">
      <alignment horizontal="right" vertical="center"/>
    </xf>
    <xf numFmtId="164" fontId="5" fillId="0" borderId="27" applyAlignment="1" pivotButton="0" quotePrefix="0" xfId="0">
      <alignment horizontal="right" vertical="center"/>
    </xf>
    <xf numFmtId="164" fontId="6" fillId="0" borderId="29" applyAlignment="1" pivotButton="0" quotePrefix="0" xfId="0">
      <alignment horizontal="center" vertical="center"/>
    </xf>
    <xf numFmtId="164" fontId="2" fillId="0" borderId="27" applyAlignment="1" applyProtection="1" pivotButton="0" quotePrefix="0" xfId="0">
      <alignment horizontal="right" vertical="center"/>
      <protection locked="0" hidden="0"/>
    </xf>
    <xf numFmtId="164" fontId="2" fillId="4" borderId="33" applyAlignment="1" pivotButton="0" quotePrefix="0" xfId="0">
      <alignment horizontal="right" vertical="center"/>
    </xf>
    <xf numFmtId="164" fontId="5" fillId="0" borderId="25" applyAlignment="1" pivotButton="0" quotePrefix="0" xfId="0">
      <alignment horizontal="center" vertical="center"/>
    </xf>
    <xf numFmtId="164" fontId="5" fillId="0" borderId="20" applyAlignment="1" pivotButton="0" quotePrefix="0" xfId="0">
      <alignment horizontal="left" vertical="center" shrinkToFit="1"/>
    </xf>
    <xf numFmtId="164" fontId="5" fillId="0" borderId="24" applyAlignment="1" pivotButton="0" quotePrefix="0" xfId="0">
      <alignment horizontal="center" vertical="center"/>
    </xf>
    <xf numFmtId="164" fontId="5" fillId="0" borderId="10" applyAlignment="1" pivotButton="0" quotePrefix="0" xfId="0">
      <alignment horizontal="right" vertical="center"/>
    </xf>
    <xf numFmtId="166" fontId="5" fillId="0" borderId="24" applyAlignment="1" pivotButton="0" quotePrefix="0" xfId="0">
      <alignment horizontal="center" vertical="center" wrapText="1" shrinkToFit="1"/>
    </xf>
    <xf numFmtId="3" fontId="5" fillId="5" borderId="24" applyAlignment="1" pivotButton="0" quotePrefix="0" xfId="0">
      <alignment horizontal="center" vertical="center"/>
    </xf>
    <xf numFmtId="3" fontId="5" fillId="5" borderId="31" applyAlignment="1" pivotButton="0" quotePrefix="0" xfId="1">
      <alignment horizontal="center" vertical="center"/>
    </xf>
    <xf numFmtId="166" fontId="5" fillId="3" borderId="31" applyAlignment="1" pivotButton="0" quotePrefix="0" xfId="0">
      <alignment horizontal="center" vertical="center" wrapText="1" shrinkToFit="1"/>
    </xf>
    <xf numFmtId="165" fontId="5" fillId="3" borderId="31" applyAlignment="1" pivotButton="0" quotePrefix="0" xfId="0">
      <alignment horizontal="center" vertical="center" wrapText="1" shrinkToFit="1"/>
    </xf>
    <xf numFmtId="165" fontId="2" fillId="0" borderId="37" applyAlignment="1" pivotButton="0" quotePrefix="0" xfId="0">
      <alignment horizontal="right" vertical="center" wrapText="1" shrinkToFit="1"/>
    </xf>
    <xf numFmtId="57" fontId="5" fillId="6" borderId="39" applyAlignment="1" pivotButton="0" quotePrefix="0" xfId="0">
      <alignment horizontal="center" vertical="center" wrapText="1" shrinkToFit="1"/>
    </xf>
    <xf numFmtId="57" fontId="5" fillId="0" borderId="39" applyAlignment="1" pivotButton="0" quotePrefix="0" xfId="0">
      <alignment horizontal="center" vertical="center"/>
    </xf>
    <xf numFmtId="166" fontId="5" fillId="0" borderId="39" applyAlignment="1" pivotButton="0" quotePrefix="0" xfId="0">
      <alignment horizontal="center" vertical="center" wrapText="1" shrinkToFit="1"/>
    </xf>
    <xf numFmtId="165" fontId="5" fillId="0" borderId="39" applyAlignment="1" pivotButton="0" quotePrefix="0" xfId="0">
      <alignment horizontal="center" vertical="center" wrapText="1" shrinkToFit="1"/>
    </xf>
    <xf numFmtId="3" fontId="5" fillId="5" borderId="39" applyAlignment="1" pivotButton="0" quotePrefix="0" xfId="0">
      <alignment horizontal="center" vertical="center"/>
    </xf>
    <xf numFmtId="164" fontId="2" fillId="0" borderId="37" applyAlignment="1" pivotButton="0" quotePrefix="0" xfId="0">
      <alignment horizontal="right" vertical="center"/>
    </xf>
    <xf numFmtId="164" fontId="2" fillId="0" borderId="40" applyAlignment="1" pivotButton="0" quotePrefix="0" xfId="0">
      <alignment horizontal="right" vertical="center"/>
    </xf>
    <xf numFmtId="164" fontId="5" fillId="0" borderId="34" applyAlignment="1" pivotButton="0" quotePrefix="0" xfId="0">
      <alignment horizontal="right" vertical="center"/>
    </xf>
    <xf numFmtId="164" fontId="6" fillId="0" borderId="37" applyAlignment="1" pivotButton="0" quotePrefix="0" xfId="0">
      <alignment horizontal="center" vertical="center"/>
    </xf>
    <xf numFmtId="164" fontId="2" fillId="0" borderId="34" applyAlignment="1" applyProtection="1" pivotButton="0" quotePrefix="0" xfId="0">
      <alignment horizontal="right" vertical="center"/>
      <protection locked="0" hidden="0"/>
    </xf>
    <xf numFmtId="164" fontId="2" fillId="4" borderId="41" applyAlignment="1" pivotButton="0" quotePrefix="0" xfId="0">
      <alignment horizontal="right" vertical="center"/>
    </xf>
    <xf numFmtId="164" fontId="5" fillId="0" borderId="42" applyAlignment="1" pivotButton="0" quotePrefix="0" xfId="0">
      <alignment horizontal="center" vertical="center"/>
    </xf>
    <xf numFmtId="164" fontId="5" fillId="0" borderId="35" applyAlignment="1" pivotButton="0" quotePrefix="0" xfId="0">
      <alignment horizontal="left" vertical="center" shrinkToFit="1"/>
    </xf>
    <xf numFmtId="164" fontId="5" fillId="0" borderId="39" applyAlignment="1" pivotButton="0" quotePrefix="0" xfId="0">
      <alignment horizontal="center" vertical="center"/>
    </xf>
    <xf numFmtId="165" fontId="5" fillId="0" borderId="46" applyAlignment="1" pivotButton="0" quotePrefix="0" xfId="0">
      <alignment horizontal="right" vertical="center" shrinkToFit="1"/>
    </xf>
    <xf numFmtId="164" fontId="5" fillId="0" borderId="44" applyAlignment="1" pivotButton="0" quotePrefix="0" xfId="0">
      <alignment horizontal="right" vertical="center" shrinkToFit="1"/>
    </xf>
    <xf numFmtId="164" fontId="5" fillId="0" borderId="45" applyAlignment="1" pivotButton="0" quotePrefix="0" xfId="0">
      <alignment horizontal="right" vertical="center" shrinkToFit="1"/>
    </xf>
    <xf numFmtId="164" fontId="5" fillId="0" borderId="46" applyAlignment="1" pivotButton="0" quotePrefix="0" xfId="0">
      <alignment horizontal="center" vertical="center" shrinkToFit="1"/>
    </xf>
    <xf numFmtId="164" fontId="5" fillId="0" borderId="49" applyAlignment="1" pivotButton="0" quotePrefix="0" xfId="0">
      <alignment horizontal="right" vertical="center" shrinkToFit="1"/>
    </xf>
    <xf numFmtId="164" fontId="5" fillId="0" borderId="50" applyAlignment="1" pivotButton="0" quotePrefix="0" xfId="0">
      <alignment horizontal="right" vertical="center" shrinkToFit="1"/>
    </xf>
    <xf numFmtId="164" fontId="5" fillId="0" borderId="48" applyAlignment="1" pivotButton="0" quotePrefix="0" xfId="0">
      <alignment horizontal="right" vertical="center" shrinkToFit="1"/>
    </xf>
    <xf numFmtId="0" fontId="14" fillId="0" borderId="0" applyAlignment="1" pivotButton="0" quotePrefix="0" xfId="0">
      <alignment vertical="top" wrapText="1"/>
    </xf>
    <xf numFmtId="0" fontId="17" fillId="0" borderId="0" applyAlignment="1" pivotButton="0" quotePrefix="0" xfId="0">
      <alignment vertical="top" wrapText="1"/>
    </xf>
    <xf numFmtId="0" fontId="15" fillId="0" borderId="0" applyAlignment="1" pivotButton="0" quotePrefix="0" xfId="0">
      <alignment vertical="top" wrapText="1"/>
    </xf>
    <xf numFmtId="0" fontId="14"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5" fillId="7" borderId="51" applyAlignment="1" pivotButton="0" quotePrefix="0" xfId="0">
      <alignment horizontal="center" vertical="center" wrapText="1"/>
    </xf>
    <xf numFmtId="1" fontId="16" fillId="0" borderId="51" applyAlignment="1" pivotButton="0" quotePrefix="0" xfId="0">
      <alignment horizontal="center" vertical="center" wrapText="1"/>
    </xf>
    <xf numFmtId="3" fontId="16" fillId="0" borderId="51" applyAlignment="1" pivotButton="0" quotePrefix="0" xfId="0">
      <alignment horizontal="center" vertical="center" wrapText="1"/>
    </xf>
    <xf numFmtId="0" fontId="17" fillId="0" borderId="51" applyAlignment="1" pivotButton="0" quotePrefix="0" xfId="0">
      <alignment horizontal="left" vertical="center" wrapText="1"/>
    </xf>
    <xf numFmtId="0" fontId="16" fillId="0" borderId="51" applyAlignment="1" pivotButton="0" quotePrefix="0" xfId="0">
      <alignment horizontal="center" vertical="center" wrapText="1"/>
    </xf>
    <xf numFmtId="0" fontId="16" fillId="0" borderId="51" applyAlignment="1" pivotButton="0" quotePrefix="0" xfId="0">
      <alignment horizontal="left" vertical="center" wrapText="1"/>
    </xf>
    <xf numFmtId="0" fontId="12" fillId="0" borderId="51" applyAlignment="1" pivotButton="0" quotePrefix="0" xfId="0">
      <alignment horizontal="left" vertical="center" wrapText="1"/>
    </xf>
  </cellXfs>
  <cellStyles count="2">
    <cellStyle name="標準" xfId="0" builtinId="0"/>
    <cellStyle name="桁区切り" xfId="1" builtinId="6"/>
  </cellStyles>
  <dxfs count="1">
    <dxf>
      <fill>
        <patternFill patternType="solid">
          <bgColor rgb="00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清水 佑樹</author>
  </authors>
  <commentList>
    <comment ref="N7" authorId="0" shapeId="0">
      <text>
        <t>東京事務所から連絡、５月から家族同居のため変更</t>
      </text>
    </comment>
    <comment ref="N13" authorId="0" shapeId="0">
      <text>
        <t>東京事務所から連絡、使用申込書では「有」だが誤りで「無」が正しい</t>
      </text>
    </comment>
  </commentList>
</comments>
</file>

<file path=xl/externalLinks/_rels/externalLink1.xml.rels><Relationships xmlns="http://schemas.openxmlformats.org/package/2006/relationships"><Relationship Type="http://schemas.openxmlformats.org/officeDocument/2006/relationships/externalLinkPath" Target="/01&#21402;&#29983;&#20418;/R7&#24180;&#24230;(2025)&#25991;&#26360;/04_&#32887;&#21729;&#20303;&#23429;/&#9733;R8&#24180;&#24230;&#28310;&#20633;&#12501;&#12457;&#12523;&#12480;/R8_&#32887;&#21729;&#20303;&#23429;&#19968;&#35239;&#65288;R8.4.1&#26356;&#26032;&#6528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一覧"/>
      <sheetName val="支払情報"/>
      <sheetName val="使用料等"/>
    </sheetNames>
    <sheetDataSet>
      <sheetData sheetId="0" refreshError="1">
        <row r="7">
          <cell r="C7" t="str">
            <v>東京公舎６６号</v>
          </cell>
          <cell r="F7">
            <v>35247</v>
          </cell>
          <cell r="G7" t="str">
            <v>ＲＣ</v>
          </cell>
          <cell r="P7">
            <v>129000</v>
          </cell>
        </row>
        <row r="8">
          <cell r="C8" t="str">
            <v>東京公舎６７号</v>
          </cell>
          <cell r="F8">
            <v>35247</v>
          </cell>
          <cell r="G8" t="str">
            <v>ＲＣ</v>
          </cell>
          <cell r="P8">
            <v>127000</v>
          </cell>
        </row>
        <row r="9">
          <cell r="C9" t="str">
            <v>東京公舎８６号</v>
          </cell>
          <cell r="F9">
            <v>32721</v>
          </cell>
          <cell r="G9" t="str">
            <v>ＲＣ</v>
          </cell>
          <cell r="P9">
            <v>110000</v>
          </cell>
        </row>
        <row r="10">
          <cell r="C10" t="str">
            <v>東京公舎８８号</v>
          </cell>
          <cell r="F10">
            <v>37196</v>
          </cell>
          <cell r="G10" t="str">
            <v>ＲＣ</v>
          </cell>
          <cell r="P10">
            <v>109000</v>
          </cell>
        </row>
        <row r="11">
          <cell r="C11" t="str">
            <v>東京公舎９０号</v>
          </cell>
          <cell r="F11">
            <v>35278</v>
          </cell>
          <cell r="G11" t="str">
            <v>ＲＣ</v>
          </cell>
          <cell r="P11">
            <v>135000</v>
          </cell>
        </row>
        <row r="12">
          <cell r="C12" t="str">
            <v>東京公舎９３号</v>
          </cell>
          <cell r="F12">
            <v>37196</v>
          </cell>
          <cell r="G12" t="str">
            <v>ＲＣ</v>
          </cell>
          <cell r="P12">
            <v>104000</v>
          </cell>
        </row>
        <row r="13">
          <cell r="C13" t="str">
            <v>東京公舎９４号</v>
          </cell>
          <cell r="F13">
            <v>37196</v>
          </cell>
          <cell r="G13" t="str">
            <v>ＲＣ</v>
          </cell>
          <cell r="P13">
            <v>102000</v>
          </cell>
        </row>
        <row r="14">
          <cell r="C14" t="str">
            <v>東京公舎９７号</v>
          </cell>
          <cell r="F14">
            <v>37377</v>
          </cell>
          <cell r="G14" t="str">
            <v>ＲＣ</v>
          </cell>
          <cell r="P14">
            <v>127000</v>
          </cell>
        </row>
        <row r="15">
          <cell r="C15" t="str">
            <v>東京公舎１０１号</v>
          </cell>
          <cell r="F15">
            <v>37306</v>
          </cell>
          <cell r="G15" t="str">
            <v>ＲＣ</v>
          </cell>
          <cell r="P15">
            <v>125000</v>
          </cell>
        </row>
        <row r="16">
          <cell r="C16" t="str">
            <v>東京公舎１０２号</v>
          </cell>
          <cell r="F16">
            <v>39934</v>
          </cell>
          <cell r="G16" t="str">
            <v>ＲＣ</v>
          </cell>
          <cell r="P16">
            <v>120000</v>
          </cell>
        </row>
        <row r="17">
          <cell r="C17" t="str">
            <v>東京公舎１０３号</v>
          </cell>
          <cell r="F17">
            <v>32752</v>
          </cell>
          <cell r="G17" t="str">
            <v>ＲＣ</v>
          </cell>
          <cell r="P17">
            <v>140000</v>
          </cell>
        </row>
        <row r="18">
          <cell r="C18" t="str">
            <v>東京公舎１０４号</v>
          </cell>
          <cell r="F18">
            <v>32325</v>
          </cell>
          <cell r="G18" t="str">
            <v>ＲＣ</v>
          </cell>
          <cell r="P18">
            <v>95000</v>
          </cell>
        </row>
        <row r="19">
          <cell r="C19" t="str">
            <v>東京公舎１０７号</v>
          </cell>
          <cell r="F19">
            <v>38777</v>
          </cell>
          <cell r="G19" t="str">
            <v>ＲＣ</v>
          </cell>
          <cell r="P19">
            <v>124000</v>
          </cell>
        </row>
        <row r="20">
          <cell r="C20" t="str">
            <v>東京公舎１０９号</v>
          </cell>
          <cell r="F20">
            <v>32325</v>
          </cell>
          <cell r="G20" t="str">
            <v>ＲＣ</v>
          </cell>
          <cell r="P20">
            <v>95000</v>
          </cell>
        </row>
        <row r="21">
          <cell r="C21" t="str">
            <v>東京公舎１１２号</v>
          </cell>
          <cell r="F21">
            <v>40452</v>
          </cell>
          <cell r="G21" t="str">
            <v>ＲＣ</v>
          </cell>
          <cell r="P21">
            <v>140000</v>
          </cell>
        </row>
        <row r="22">
          <cell r="C22" t="str">
            <v>東京公舎１１４号</v>
          </cell>
          <cell r="F22">
            <v>37196</v>
          </cell>
          <cell r="G22" t="str">
            <v>ＲＣ</v>
          </cell>
          <cell r="P22">
            <v>101000</v>
          </cell>
        </row>
        <row r="23">
          <cell r="C23" t="str">
            <v>東京公舎１１６号</v>
          </cell>
          <cell r="F23">
            <v>36068</v>
          </cell>
          <cell r="G23" t="str">
            <v>ＲＣ</v>
          </cell>
          <cell r="P23">
            <v>134000</v>
          </cell>
        </row>
        <row r="24">
          <cell r="C24" t="str">
            <v>東京公舎１１９号</v>
          </cell>
          <cell r="F24">
            <v>36586</v>
          </cell>
          <cell r="G24" t="str">
            <v>SRC</v>
          </cell>
          <cell r="P24">
            <v>100000</v>
          </cell>
        </row>
        <row r="25">
          <cell r="C25" t="str">
            <v>東京公舎１２０号</v>
          </cell>
          <cell r="F25">
            <v>39417</v>
          </cell>
          <cell r="G25" t="str">
            <v>ＲＣ</v>
          </cell>
          <cell r="P25">
            <v>100000</v>
          </cell>
        </row>
        <row r="26">
          <cell r="C26" t="str">
            <v>東京公舎１２１号</v>
          </cell>
          <cell r="F26">
            <v>36100</v>
          </cell>
          <cell r="G26" t="str">
            <v>SRC</v>
          </cell>
          <cell r="P26">
            <v>92000</v>
          </cell>
        </row>
        <row r="27">
          <cell r="C27" t="str">
            <v>東京公舎１２２号</v>
          </cell>
          <cell r="F27">
            <v>25993</v>
          </cell>
          <cell r="G27" t="str">
            <v>SRC</v>
          </cell>
          <cell r="P27">
            <v>92000</v>
          </cell>
        </row>
        <row r="28">
          <cell r="C28" t="str">
            <v>東京公舎１２３号</v>
          </cell>
          <cell r="F28">
            <v>35977</v>
          </cell>
          <cell r="G28" t="str">
            <v>ＲＣ</v>
          </cell>
          <cell r="P28">
            <v>87600</v>
          </cell>
        </row>
        <row r="29">
          <cell r="C29" t="str">
            <v>東京公舎１２５号</v>
          </cell>
          <cell r="F29">
            <v>39142</v>
          </cell>
          <cell r="G29" t="str">
            <v>ＲＣ</v>
          </cell>
          <cell r="P29">
            <v>95000</v>
          </cell>
        </row>
        <row r="30">
          <cell r="C30" t="str">
            <v>東京公舎１２６号</v>
          </cell>
          <cell r="F30">
            <v>45108</v>
          </cell>
          <cell r="G30" t="str">
            <v>ＲＣ</v>
          </cell>
          <cell r="P30">
            <v>135000</v>
          </cell>
        </row>
        <row r="31">
          <cell r="C31" t="str">
            <v>東京公舎１２７号</v>
          </cell>
          <cell r="F31">
            <v>38808</v>
          </cell>
          <cell r="G31" t="str">
            <v>ＲＣ</v>
          </cell>
          <cell r="P31">
            <v>95000</v>
          </cell>
        </row>
        <row r="32">
          <cell r="C32" t="str">
            <v>東京公舎１２８号</v>
          </cell>
          <cell r="F32">
            <v>37347</v>
          </cell>
          <cell r="G32" t="str">
            <v>ＲＣ</v>
          </cell>
          <cell r="P32">
            <v>127000</v>
          </cell>
        </row>
        <row r="33">
          <cell r="C33" t="str">
            <v>東京公舎１２９号</v>
          </cell>
          <cell r="F33">
            <v>34912</v>
          </cell>
          <cell r="G33" t="str">
            <v>ＲＣ</v>
          </cell>
          <cell r="P33">
            <v>150000</v>
          </cell>
        </row>
        <row r="34">
          <cell r="C34" t="str">
            <v>札幌公舎</v>
          </cell>
          <cell r="F34">
            <v>39142</v>
          </cell>
          <cell r="G34" t="str">
            <v>ＲＣ</v>
          </cell>
          <cell r="P34">
            <v>78000</v>
          </cell>
        </row>
        <row r="35">
          <cell r="C35" t="str">
            <v>京都公舎</v>
          </cell>
          <cell r="F35">
            <v>40210</v>
          </cell>
          <cell r="G35" t="str">
            <v>ＲＣ</v>
          </cell>
          <cell r="P35">
            <v>70000</v>
          </cell>
        </row>
        <row r="36">
          <cell r="C36" t="str">
            <v>観音町公舎</v>
          </cell>
          <cell r="F36">
            <v>37104</v>
          </cell>
          <cell r="G36" t="str">
            <v>ＲＣ</v>
          </cell>
          <cell r="P36">
            <v>84000</v>
          </cell>
        </row>
        <row r="37">
          <cell r="C37" t="str">
            <v>鶴見町第２公舎</v>
          </cell>
          <cell r="F37">
            <v>35765</v>
          </cell>
          <cell r="G37" t="str">
            <v>ＲＣ</v>
          </cell>
        </row>
        <row r="38">
          <cell r="C38" t="str">
            <v>上幟町公舎</v>
          </cell>
          <cell r="F38">
            <v>34881</v>
          </cell>
          <cell r="G38" t="str">
            <v>ＲＣ</v>
          </cell>
          <cell r="P38">
            <v>120000</v>
          </cell>
        </row>
        <row r="39">
          <cell r="C39" t="str">
            <v>国泰寺公舎</v>
          </cell>
          <cell r="F39">
            <v>36192</v>
          </cell>
          <cell r="G39" t="str">
            <v>ＲＣ</v>
          </cell>
          <cell r="P39">
            <v>70000</v>
          </cell>
        </row>
        <row r="40">
          <cell r="C40" t="str">
            <v>西川口町公舎</v>
          </cell>
          <cell r="F40">
            <v>35125</v>
          </cell>
          <cell r="G40" t="str">
            <v>鉄骨造</v>
          </cell>
          <cell r="P40">
            <v>70000</v>
          </cell>
        </row>
        <row r="41">
          <cell r="C41" t="str">
            <v>富士見町公舎</v>
          </cell>
          <cell r="F41">
            <v>38749</v>
          </cell>
          <cell r="G41" t="str">
            <v>ＲＣ</v>
          </cell>
          <cell r="P41">
            <v>84000</v>
          </cell>
        </row>
        <row r="42">
          <cell r="C42" t="str">
            <v>幟町公舎</v>
          </cell>
          <cell r="F42">
            <v>38749</v>
          </cell>
          <cell r="G42" t="str">
            <v>ＲＣ</v>
          </cell>
          <cell r="P42">
            <v>110000</v>
          </cell>
        </row>
        <row r="43">
          <cell r="C43" t="str">
            <v>大手町公舎</v>
          </cell>
          <cell r="F43">
            <v>27334</v>
          </cell>
          <cell r="G43" t="str">
            <v>ＲＣ</v>
          </cell>
          <cell r="P43">
            <v>209000</v>
          </cell>
        </row>
        <row r="44">
          <cell r="C44" t="str">
            <v>小町公舎</v>
          </cell>
          <cell r="F44">
            <v>41456</v>
          </cell>
          <cell r="G44" t="str">
            <v>ＲＣ</v>
          </cell>
          <cell r="P44">
            <v>76000</v>
          </cell>
        </row>
        <row r="45">
          <cell r="C45" t="str">
            <v>国泰寺公舎２号</v>
          </cell>
          <cell r="F45">
            <v>36192</v>
          </cell>
          <cell r="G45" t="str">
            <v>ＲＣ</v>
          </cell>
          <cell r="P45">
            <v>68000</v>
          </cell>
        </row>
      </sheetData>
      <sheetData sheetId="1" refreshError="1"/>
      <sheetData sheetId="2"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Right="0"/>
    <pageSetUpPr fitToPage="1"/>
  </sheetPr>
  <dimension ref="A1:AB56"/>
  <sheetViews>
    <sheetView tabSelected="1" zoomScaleNormal="100" zoomScaleSheetLayoutView="174" zoomScalePageLayoutView="112" workbookViewId="0">
      <pane xSplit="4" ySplit="6" topLeftCell="E7" activePane="bottomRight" state="frozen"/>
      <selection pane="topRight" activeCell="E1" sqref="E1"/>
      <selection pane="bottomLeft" activeCell="A5" sqref="A5"/>
      <selection pane="bottomRight" activeCell="H3" sqref="H3:O3"/>
    </sheetView>
  </sheetViews>
  <sheetFormatPr baseColWidth="8" defaultColWidth="8.5546875" defaultRowHeight="12"/>
  <cols>
    <col width="1.88671875" customWidth="1" min="1" max="1"/>
    <col width="2.44140625" customWidth="1" min="2" max="2"/>
    <col width="12.77734375" customWidth="1" min="3" max="3"/>
    <col width="18.77734375" customWidth="1" min="4" max="4"/>
    <col width="18.77734375" customWidth="1" min="5" max="5"/>
    <col width="7.33203125" customWidth="1" min="6" max="6"/>
    <col width="9.77734375" customWidth="1" min="7" max="7"/>
    <col width="6.77734375" customWidth="1" min="8" max="8"/>
    <col width="6.33203125" customWidth="1" min="9" max="9"/>
    <col width="15.5" customWidth="1" min="10" max="10"/>
    <col width="10.5" customWidth="1" min="11" max="11"/>
    <col width="6.33203125" customWidth="1" min="12" max="12"/>
    <col width="6.33203125" customWidth="1" min="13" max="13"/>
    <col width="6.33203125" customWidth="1" min="14" max="14"/>
    <col width="7.5" customWidth="1" min="15" max="15"/>
    <col width="7.5" customWidth="1" min="16" max="16"/>
    <col width="9.77734375" customWidth="1" min="17" max="17"/>
    <col width="10.77734375" customWidth="1" min="18" max="18"/>
    <col width="10.77734375" customWidth="1" min="19" max="19"/>
    <col width="8.77734375" customWidth="1" min="20" max="20"/>
    <col width="5.77734375" customWidth="1" min="21" max="21"/>
    <col width="6.33203125" customWidth="1" min="22" max="22"/>
    <col width="10.77734375" customWidth="1" min="23" max="23"/>
    <col width="5.109375" customWidth="1" min="24" max="24"/>
    <col width="14.77734375" customWidth="1" min="25" max="25"/>
    <col width="5.109375" customWidth="1" min="26" max="26"/>
    <col width="12.77734375" customWidth="1" min="27" max="27"/>
    <col width="21.109375" customWidth="1" min="28" max="28"/>
    <col width="10.44140625" customWidth="1" min="29" max="29"/>
    <col width="5.77734375" customWidth="1" min="30" max="30"/>
    <col width="8.88671875" customWidth="1" min="31" max="31"/>
  </cols>
  <sheetData>
    <row r="1" ht="17.45" customHeight="1" thickBot="1">
      <c r="B1" s="114" t="inlineStr">
        <is>
          <t>令和８年度職員住宅賃貸借契約使用料等一覧</t>
        </is>
      </c>
      <c r="C1" s="114" t="n"/>
      <c r="D1" s="114" t="n"/>
      <c r="E1" s="114" t="n"/>
      <c r="F1" s="114" t="n"/>
      <c r="G1" s="114" t="n"/>
      <c r="H1" s="114" t="n"/>
      <c r="I1" s="114" t="n"/>
      <c r="J1" s="114" t="n"/>
      <c r="K1" s="114" t="n"/>
      <c r="L1" s="147" t="str">
        <f>IF(SUMPRODUCT(--ISERROR(O7:P45))+COUNTIF(K7:K45,"要確認")=0,"入力チェック：異常なし","入力チェック："&amp;(SUMPRODUCT(--ISERROR(O7:P45))+COUNTIF(K7:K45,"要確認"))&amp;"件要確認（赤色セルを確認）")</f>
        <v>入力チェック：異常なし</v>
      </c>
      <c r="M1" s="114" t="n"/>
      <c r="N1" s="114" t="n"/>
      <c r="O1" s="114" t="n"/>
      <c r="P1" s="114" t="n"/>
      <c r="Q1" s="114" t="n"/>
      <c r="R1" s="114" t="n"/>
      <c r="S1" s="114" t="n"/>
      <c r="T1" s="114" t="n"/>
      <c r="U1" s="115" t="n"/>
      <c r="V1" s="114" t="n"/>
      <c r="W1" s="114" t="n"/>
      <c r="X1" s="114" t="n"/>
      <c r="Y1" s="114" t="n"/>
      <c r="Z1" s="114" t="n"/>
      <c r="AA1" s="114" t="n"/>
    </row>
    <row r="2" ht="28.5" customFormat="1" customHeight="1" s="116" thickBot="1">
      <c r="B2" s="117" t="inlineStr">
        <is>
          <t>№</t>
        </is>
      </c>
      <c r="C2" s="118" t="inlineStr">
        <is>
          <t>名　　　称</t>
        </is>
      </c>
      <c r="D2" s="119" t="inlineStr">
        <is>
          <t>物件名</t>
        </is>
      </c>
      <c r="E2" s="120" t="inlineStr">
        <is>
          <t>物件所在地</t>
        </is>
      </c>
      <c r="F2" s="134" t="inlineStr">
        <is>
          <t>使用料の計算</t>
        </is>
      </c>
      <c r="G2" s="148" t="n"/>
      <c r="H2" s="148" t="n"/>
      <c r="I2" s="148" t="n"/>
      <c r="J2" s="148" t="n"/>
      <c r="K2" s="148" t="n"/>
      <c r="L2" s="148" t="n"/>
      <c r="M2" s="148" t="n"/>
      <c r="N2" s="148" t="n"/>
      <c r="O2" s="148" t="n"/>
      <c r="P2" s="148" t="n"/>
      <c r="Q2" s="148" t="n"/>
      <c r="R2" s="148" t="n"/>
      <c r="S2" s="135" t="n"/>
      <c r="T2" s="149" t="inlineStr">
        <is>
          <t>改定</t>
        </is>
      </c>
      <c r="U2" s="150" t="n"/>
      <c r="V2" s="151" t="inlineStr">
        <is>
          <t>10月分</t>
        </is>
      </c>
      <c r="W2" s="152" t="n"/>
      <c r="X2" s="149" t="inlineStr">
        <is>
          <t>入居者</t>
        </is>
      </c>
      <c r="Y2" s="148" t="n"/>
      <c r="Z2" s="148" t="n"/>
      <c r="AA2" s="150" t="n"/>
      <c r="AB2" s="121" t="inlineStr">
        <is>
          <t>納付郵送先</t>
        </is>
      </c>
    </row>
    <row r="3" ht="24.95" customFormat="1" customHeight="1" s="122">
      <c r="B3" s="123" t="n"/>
      <c r="C3" s="124" t="n"/>
      <c r="D3" s="125" t="n"/>
      <c r="E3" s="125" t="n"/>
      <c r="F3" s="153" t="inlineStr">
        <is>
          <t>①賃料の２割</t>
        </is>
      </c>
      <c r="G3" s="150" t="n"/>
      <c r="H3" s="142" t="inlineStr">
        <is>
          <t>②国家公務員宿舎法による算出</t>
        </is>
      </c>
      <c r="I3" s="148" t="n"/>
      <c r="J3" s="148" t="n"/>
      <c r="K3" s="148" t="n"/>
      <c r="L3" s="148" t="n"/>
      <c r="M3" s="148" t="n"/>
      <c r="N3" s="148" t="n"/>
      <c r="O3" s="148" t="n"/>
      <c r="P3" s="148" t="n"/>
      <c r="Q3" s="150" t="n"/>
      <c r="R3" s="85" t="n"/>
      <c r="S3" s="85" t="n"/>
      <c r="T3" s="126" t="inlineStr">
        <is>
          <t>R7計算</t>
        </is>
      </c>
      <c r="U3" s="127" t="n"/>
      <c r="V3" s="128" t="inlineStr">
        <is>
          <t>入居日数</t>
        </is>
      </c>
      <c r="W3" s="129" t="inlineStr">
        <is>
          <t>当月数</t>
        </is>
      </c>
      <c r="X3" s="130" t="inlineStr">
        <is>
          <t>R8</t>
        </is>
      </c>
      <c r="Y3" s="131" t="inlineStr">
        <is>
          <t>所属</t>
        </is>
      </c>
      <c r="Z3" s="113" t="inlineStr">
        <is>
          <t>職位</t>
        </is>
      </c>
      <c r="AA3" s="87" t="n"/>
      <c r="AB3" s="132" t="n"/>
    </row>
    <row r="4" ht="15" customFormat="1" customHeight="1" s="32">
      <c r="B4" s="73" t="n"/>
      <c r="C4" s="74" t="n"/>
      <c r="D4" s="75" t="n"/>
      <c r="E4" s="75" t="n"/>
      <c r="F4" s="109" t="inlineStr">
        <is>
          <t>月額賃料</t>
        </is>
      </c>
      <c r="G4" s="87" t="n"/>
      <c r="H4" s="110" t="inlineStr">
        <is>
          <t>建築年月</t>
        </is>
      </c>
      <c r="I4" s="111" t="inlineStr">
        <is>
          <t>構造</t>
        </is>
      </c>
      <c r="J4" s="111" t="inlineStr">
        <is>
          <t>住宅区分</t>
        </is>
      </c>
      <c r="K4" s="111" t="inlineStr">
        <is>
          <t>構造区分</t>
        </is>
      </c>
      <c r="L4" s="112" t="inlineStr">
        <is>
          <t>経過年数</t>
        </is>
      </c>
      <c r="M4" s="113" t="inlineStr">
        <is>
          <t>居住面積</t>
        </is>
      </c>
      <c r="N4" s="112" t="inlineStr">
        <is>
          <t>単赴手当</t>
        </is>
      </c>
      <c r="O4" s="113" t="inlineStr">
        <is>
          <t>基準額</t>
        </is>
      </c>
      <c r="P4" s="113" t="inlineStr">
        <is>
          <t>控除額</t>
        </is>
      </c>
      <c r="Q4" s="87" t="inlineStr">
        <is>
          <t>計算額</t>
        </is>
      </c>
      <c r="R4" s="84" t="n"/>
      <c r="S4" s="84" t="n"/>
      <c r="T4" s="86" t="n"/>
      <c r="U4" s="87" t="n"/>
      <c r="V4" s="88" t="n"/>
      <c r="W4" s="1" t="n">
        <v>31</v>
      </c>
      <c r="X4" s="85" t="n"/>
      <c r="Y4" s="108" t="n"/>
      <c r="Z4" s="81" t="n"/>
      <c r="AA4" s="91" t="n"/>
      <c r="AB4" s="92" t="n"/>
    </row>
    <row r="5" ht="24.95" customFormat="1" customHeight="1" s="32">
      <c r="B5" s="73" t="n"/>
      <c r="C5" s="74" t="n"/>
      <c r="D5" s="75" t="n"/>
      <c r="E5" s="75" t="n"/>
      <c r="F5" s="76" t="n"/>
      <c r="G5" s="77" t="inlineStr">
        <is>
          <t>×20/100</t>
        </is>
      </c>
      <c r="H5" s="78" t="n"/>
      <c r="I5" s="79" t="n"/>
      <c r="J5" s="154" t="inlineStr">
        <is>
          <t>(選択)</t>
        </is>
      </c>
      <c r="K5" s="154" t="inlineStr">
        <is>
          <t>(自動)</t>
        </is>
      </c>
      <c r="L5" s="155" t="n">
        <v>46113</v>
      </c>
      <c r="M5" s="81" t="n"/>
      <c r="N5" s="82" t="n"/>
      <c r="O5" s="81" t="n"/>
      <c r="P5" s="83" t="n"/>
      <c r="Q5" s="77" t="inlineStr">
        <is>
          <t>10円未満
切捨て</t>
        </is>
      </c>
      <c r="R5" s="84" t="n"/>
      <c r="S5" s="85" t="inlineStr">
        <is>
          <t>大文字文字列</t>
        </is>
      </c>
      <c r="T5" s="86" t="n"/>
      <c r="U5" s="87" t="n"/>
      <c r="V5" s="88" t="n"/>
      <c r="W5" s="89" t="n"/>
      <c r="X5" s="84" t="n"/>
      <c r="Y5" s="90" t="n"/>
      <c r="Z5" s="83" t="n"/>
      <c r="AA5" s="91" t="n"/>
      <c r="AB5" s="92" t="n"/>
    </row>
    <row r="6" ht="12" customFormat="1" customHeight="1" s="32">
      <c r="B6" s="93" t="n"/>
      <c r="C6" s="94" t="n"/>
      <c r="D6" s="95" t="n"/>
      <c r="E6" s="95" t="n"/>
      <c r="F6" s="96" t="n"/>
      <c r="G6" s="97" t="n"/>
      <c r="H6" s="98" t="n"/>
      <c r="I6" s="99" t="n"/>
      <c r="J6" s="99" t="n"/>
      <c r="K6" s="99" t="n"/>
      <c r="L6" s="100" t="n"/>
      <c r="M6" s="101" t="n"/>
      <c r="N6" s="102" t="n"/>
      <c r="O6" s="101" t="n"/>
      <c r="P6" s="101" t="n"/>
      <c r="Q6" s="97" t="n"/>
      <c r="R6" s="103" t="n"/>
      <c r="S6" s="103" t="n"/>
      <c r="T6" s="104" t="n"/>
      <c r="U6" s="105" t="n"/>
      <c r="V6" s="104" t="n"/>
      <c r="W6" s="106" t="n"/>
      <c r="X6" s="103" t="n"/>
      <c r="Y6" s="107" t="n"/>
      <c r="Z6" s="101" t="n"/>
      <c r="AA6" s="97" t="n"/>
      <c r="AB6" s="92" t="n"/>
    </row>
    <row r="7" ht="18" customFormat="1" customHeight="1" s="32">
      <c r="B7" s="38">
        <f>ROW()-6</f>
        <v>1</v>
      </c>
      <c r="C7" s="39" t="str">
        <f>[1]一覧!C7</f>
        <v>東京公舎６６号</v>
      </c>
      <c r="D7" s="40" t="n"/>
      <c r="E7" s="40" t="n"/>
      <c r="F7" s="71">
        <f>[1]一覧!P7</f>
        <v>129000</v>
      </c>
      <c r="G7" s="156">
        <f>F7*0.2</f>
        <v>25800</v>
      </c>
      <c r="H7" s="43">
        <f>[1]一覧!F7</f>
        <v>35247</v>
      </c>
      <c r="I7" s="44" t="str">
        <f>[1]一覧!G7</f>
        <v>ＲＣ</v>
      </c>
      <c r="J7" s="157" t="inlineStr">
        <is>
          <t>東京事務所職員等</t>
        </is>
      </c>
      <c r="K7" s="158" t="str">
        <f>IFERROR(INDEX(区分設定!$C$6:$C$40,MATCH(I7,区分設定!$B$6:$B$40,0)),"要確認")</f>
        <v>鉄骨・RC造</v>
      </c>
      <c r="L7" s="159">
        <f>DATEDIF(H7,$L$5,"Y")</f>
        <v>29</v>
      </c>
      <c r="M7" s="159" t="n">
        <v>44</v>
      </c>
      <c r="N7" s="160" t="inlineStr">
        <is>
          <t>無</t>
        </is>
      </c>
      <c r="O7" s="161">
        <f>INDEX(基準額表!$C$7:$G$8,MATCH($J7,基準額表!$B$7:$B$8,0),MATCH($M7,基準額表!$C$4:$G$4,1))</f>
        <v>696</v>
      </c>
      <c r="P7" s="161">
        <f>INDEX(控除額表!$F$6:$J$300,MATCH($N7&amp;"|"&amp;$K7&amp;"|"&amp;$J7,控除額表!$A$6:$A$300,0)+COUNTIFS(控除額表!$A$6:$A$300,$N7&amp;"|"&amp;$K7&amp;"|"&amp;$J7,控除額表!$E$6:$E$300,"&lt;="&amp;$L7)-1,MATCH($M7,控除額表!$F$4:$J$4,1))</f>
        <v>138</v>
      </c>
      <c r="Q7" s="162">
        <f>ROUNDDOWN((O7-P7)*M7,-1)</f>
        <v>24550</v>
      </c>
      <c r="R7" s="163">
        <f>IF(G7&gt;Q7,G7,Q7)</f>
        <v>25800</v>
      </c>
      <c r="S7" s="49" t="str">
        <f>DBCS(FIXED(TEXT(R7,"@"),0))</f>
        <v>２５，８００</v>
      </c>
      <c r="T7" s="164" t="n">
        <v>25800</v>
      </c>
      <c r="U7" s="165" t="str">
        <f>IF(AND(R7&lt;&gt;T7,X7="継続"),"○","")</f>
        <v/>
      </c>
      <c r="V7" s="166" t="n">
        <v>31</v>
      </c>
      <c r="W7" s="167">
        <f>ROUNDDOWN(R7*V7/$W$4,0)</f>
        <v>25800</v>
      </c>
      <c r="X7" s="168" t="n"/>
      <c r="Y7" s="169" t="n"/>
      <c r="Z7" s="170" t="n"/>
      <c r="AA7" s="30" t="n"/>
      <c r="AB7" s="31" t="n"/>
    </row>
    <row r="8" ht="18" customFormat="1" customHeight="1" s="32">
      <c r="B8" s="38">
        <f>ROW()-6</f>
        <v>2</v>
      </c>
      <c r="C8" s="39" t="str">
        <f>[1]一覧!C8</f>
        <v>東京公舎６７号</v>
      </c>
      <c r="D8" s="40" t="n"/>
      <c r="E8" s="40" t="n"/>
      <c r="F8" s="41">
        <f>[1]一覧!P8</f>
        <v>127000</v>
      </c>
      <c r="G8" s="156">
        <f>F8*0.2</f>
        <v>25400</v>
      </c>
      <c r="H8" s="43">
        <f>[1]一覧!F8</f>
        <v>35247</v>
      </c>
      <c r="I8" s="44" t="str">
        <f>[1]一覧!G8</f>
        <v>ＲＣ</v>
      </c>
      <c r="J8" s="157" t="inlineStr">
        <is>
          <t>東京事務所職員等</t>
        </is>
      </c>
      <c r="K8" s="158" t="str">
        <f>IFERROR(INDEX(区分設定!$C$6:$C$40,MATCH(I8,区分設定!$B$6:$B$40,0)),"要確認")</f>
        <v>鉄骨・RC造</v>
      </c>
      <c r="L8" s="159">
        <f>DATEDIF(H8,$L$5,"Y")</f>
        <v>29</v>
      </c>
      <c r="M8" s="159" t="n">
        <v>44</v>
      </c>
      <c r="N8" s="160" t="inlineStr">
        <is>
          <t>有</t>
        </is>
      </c>
      <c r="O8" s="161">
        <f>INDEX(基準額表!$C$7:$G$8,MATCH($J8,基準額表!$B$7:$B$8,0),MATCH($M8,基準額表!$C$4:$G$4,1))</f>
        <v>696</v>
      </c>
      <c r="P8" s="161">
        <f>INDEX(控除額表!$F$6:$J$300,MATCH($N8&amp;"|"&amp;$K8&amp;"|"&amp;$J8,控除額表!$A$6:$A$300,0)+COUNTIFS(控除額表!$A$6:$A$300,$N8&amp;"|"&amp;$K8&amp;"|"&amp;$J8,控除額表!$E$6:$E$300,"&lt;="&amp;$L8)-1,MATCH($M8,控除額表!$F$4:$J$4,1))</f>
        <v>337</v>
      </c>
      <c r="Q8" s="162">
        <f>ROUNDDOWN((O8-P8)*M8,-1)</f>
        <v>15790</v>
      </c>
      <c r="R8" s="163">
        <f>IF(G8&gt;Q8,G8,Q8)</f>
        <v>25400</v>
      </c>
      <c r="S8" s="49" t="str">
        <f>DBCS(FIXED(TEXT(R8,"@"),0))</f>
        <v>２５，４００</v>
      </c>
      <c r="T8" s="164" t="n">
        <v>25400</v>
      </c>
      <c r="U8" s="165" t="str">
        <f>IF(AND(R8&lt;&gt;T8,X8="継続"),"○","")</f>
        <v/>
      </c>
      <c r="V8" s="166" t="n">
        <v>31</v>
      </c>
      <c r="W8" s="167">
        <f>ROUNDDOWN(R8*V8/$W$4,0)</f>
        <v>25400</v>
      </c>
      <c r="X8" s="168" t="n"/>
      <c r="Y8" s="169" t="n"/>
      <c r="Z8" s="170" t="n"/>
      <c r="AA8" s="30" t="n"/>
      <c r="AB8" s="31" t="n"/>
    </row>
    <row r="9" ht="18" customFormat="1" customHeight="1" s="32">
      <c r="B9" s="38">
        <f>ROW()-6</f>
        <v>3</v>
      </c>
      <c r="C9" s="39" t="str">
        <f>[1]一覧!C9</f>
        <v>東京公舎８６号</v>
      </c>
      <c r="D9" s="40" t="n"/>
      <c r="E9" s="40" t="n"/>
      <c r="F9" s="41">
        <f>[1]一覧!P9</f>
        <v>110000</v>
      </c>
      <c r="G9" s="156">
        <f>F9*0.2</f>
        <v>22000</v>
      </c>
      <c r="H9" s="43">
        <f>[1]一覧!F9</f>
        <v>32721</v>
      </c>
      <c r="I9" s="44" t="str">
        <f>[1]一覧!G9</f>
        <v>ＲＣ</v>
      </c>
      <c r="J9" s="157" t="inlineStr">
        <is>
          <t>東京事務所職員等</t>
        </is>
      </c>
      <c r="K9" s="158" t="str">
        <f>IFERROR(INDEX(区分設定!$C$6:$C$40,MATCH(I9,区分設定!$B$6:$B$40,0)),"要確認")</f>
        <v>鉄骨・RC造</v>
      </c>
      <c r="L9" s="159">
        <f>DATEDIF(H9,$L$5,"Y")</f>
        <v>36</v>
      </c>
      <c r="M9" s="159" t="n">
        <v>51</v>
      </c>
      <c r="N9" s="160" t="inlineStr">
        <is>
          <t>無</t>
        </is>
      </c>
      <c r="O9" s="161">
        <f>INDEX(基準額表!$C$7:$G$8,MATCH($J9,基準額表!$B$7:$B$8,0),MATCH($M9,基準額表!$C$4:$G$4,1))</f>
        <v>696</v>
      </c>
      <c r="P9" s="161">
        <f>INDEX(控除額表!$F$6:$J$300,MATCH($N9&amp;"|"&amp;$K9&amp;"|"&amp;$J9,控除額表!$A$6:$A$300,0)+COUNTIFS(控除額表!$A$6:$A$300,$N9&amp;"|"&amp;$K9&amp;"|"&amp;$J9,控除額表!$E$6:$E$300,"&lt;="&amp;$L9)-1,MATCH($M9,控除額表!$F$4:$J$4,1))</f>
        <v>193</v>
      </c>
      <c r="Q9" s="162">
        <f>ROUNDDOWN((O9-P9)*M9,-1)</f>
        <v>25650</v>
      </c>
      <c r="R9" s="163">
        <f>IF(G9&gt;Q9,G9,Q9)</f>
        <v>25650</v>
      </c>
      <c r="S9" s="49" t="str">
        <f>DBCS(FIXED(TEXT(R9,"@"),0))</f>
        <v>２５，６５０</v>
      </c>
      <c r="T9" s="164" t="n">
        <v>22000</v>
      </c>
      <c r="U9" s="165" t="str">
        <f>IF(AND(R9&lt;&gt;T9,X9="継続"),"○","")</f>
        <v/>
      </c>
      <c r="V9" s="166" t="n">
        <v>31</v>
      </c>
      <c r="W9" s="167">
        <f>ROUNDDOWN(R9*V9/$W$4,0)</f>
        <v>25650</v>
      </c>
      <c r="X9" s="168" t="n"/>
      <c r="Y9" s="169" t="n"/>
      <c r="Z9" s="170" t="n"/>
      <c r="AA9" s="30" t="n"/>
      <c r="AB9" s="31" t="n"/>
    </row>
    <row r="10" ht="18" customFormat="1" customHeight="1" s="32">
      <c r="B10" s="38">
        <f>ROW()-6</f>
        <v>4</v>
      </c>
      <c r="C10" s="39" t="str">
        <f>[1]一覧!C10</f>
        <v>東京公舎８８号</v>
      </c>
      <c r="D10" s="40" t="n"/>
      <c r="E10" s="40" t="n"/>
      <c r="F10" s="41">
        <f>[1]一覧!P10</f>
        <v>109000</v>
      </c>
      <c r="G10" s="156">
        <f>F10*0.2</f>
        <v>21800</v>
      </c>
      <c r="H10" s="43">
        <f>[1]一覧!F10</f>
        <v>37196</v>
      </c>
      <c r="I10" s="44" t="str">
        <f>[1]一覧!G10</f>
        <v>ＲＣ</v>
      </c>
      <c r="J10" s="157" t="inlineStr">
        <is>
          <t>東京事務所職員等</t>
        </is>
      </c>
      <c r="K10" s="158" t="str">
        <f>IFERROR(INDEX(区分設定!$C$6:$C$40,MATCH(I10,区分設定!$B$6:$B$40,0)),"要確認")</f>
        <v>鉄骨・RC造</v>
      </c>
      <c r="L10" s="159">
        <f>DATEDIF(H10,$L$5,"Y")</f>
        <v>24</v>
      </c>
      <c r="M10" s="159" t="n">
        <v>30</v>
      </c>
      <c r="N10" s="160" t="inlineStr">
        <is>
          <t>有</t>
        </is>
      </c>
      <c r="O10" s="161">
        <f>INDEX(基準額表!$C$7:$G$8,MATCH($J10,基準額表!$B$7:$B$8,0),MATCH($M10,基準額表!$C$4:$G$4,1))</f>
        <v>696</v>
      </c>
      <c r="P10" s="161">
        <f>INDEX(控除額表!$F$6:$J$300,MATCH($N10&amp;"|"&amp;$K10&amp;"|"&amp;$J10,控除額表!$A$6:$A$300,0)+COUNTIFS(控除額表!$A$6:$A$300,$N10&amp;"|"&amp;$K10&amp;"|"&amp;$J10,控除額表!$E$6:$E$300,"&lt;="&amp;$L10)-1,MATCH($M10,控除額表!$F$4:$J$4,1))</f>
        <v>317</v>
      </c>
      <c r="Q10" s="162">
        <f>ROUNDDOWN((O10-P10)*M10,-1)</f>
        <v>11370</v>
      </c>
      <c r="R10" s="163">
        <f>IF(G10&gt;Q10,G10,Q10)</f>
        <v>21800</v>
      </c>
      <c r="S10" s="49" t="str">
        <f>DBCS(FIXED(TEXT(R10,"@"),0))</f>
        <v>２１，８００</v>
      </c>
      <c r="T10" s="171" t="n">
        <v>21800</v>
      </c>
      <c r="U10" s="165" t="str">
        <f>IF(AND(R10&lt;&gt;T10,X10="継続"),"○","")</f>
        <v/>
      </c>
      <c r="V10" s="166" t="n">
        <v>31</v>
      </c>
      <c r="W10" s="167">
        <f>ROUNDDOWN(R10*V10/$W$4,0)</f>
        <v>21800</v>
      </c>
      <c r="X10" s="168" t="n"/>
      <c r="Y10" s="169" t="n"/>
      <c r="Z10" s="170" t="n"/>
      <c r="AA10" s="30" t="n"/>
      <c r="AB10" s="31" t="n"/>
    </row>
    <row r="11" ht="18" customFormat="1" customHeight="1" s="32">
      <c r="B11" s="38">
        <f>ROW()-6</f>
        <v>5</v>
      </c>
      <c r="C11" s="39" t="str">
        <f>[1]一覧!C11</f>
        <v>東京公舎９０号</v>
      </c>
      <c r="D11" s="40" t="n"/>
      <c r="E11" s="40" t="n"/>
      <c r="F11" s="41">
        <f>[1]一覧!P11</f>
        <v>135000</v>
      </c>
      <c r="G11" s="156">
        <f>F11*0.2</f>
        <v>27000</v>
      </c>
      <c r="H11" s="43">
        <f>[1]一覧!F11</f>
        <v>35278</v>
      </c>
      <c r="I11" s="44" t="str">
        <f>[1]一覧!G11</f>
        <v>ＲＣ</v>
      </c>
      <c r="J11" s="157" t="inlineStr">
        <is>
          <t>東京事務所職員等</t>
        </is>
      </c>
      <c r="K11" s="158" t="str">
        <f>IFERROR(INDEX(区分設定!$C$6:$C$40,MATCH(I11,区分設定!$B$6:$B$40,0)),"要確認")</f>
        <v>鉄骨・RC造</v>
      </c>
      <c r="L11" s="159">
        <f>DATEDIF(H11,$L$5,"Y")</f>
        <v>29</v>
      </c>
      <c r="M11" s="159" t="n">
        <v>54</v>
      </c>
      <c r="N11" s="160" t="inlineStr">
        <is>
          <t>無</t>
        </is>
      </c>
      <c r="O11" s="161">
        <f>INDEX(基準額表!$C$7:$G$8,MATCH($J11,基準額表!$B$7:$B$8,0),MATCH($M11,基準額表!$C$4:$G$4,1))</f>
        <v>696</v>
      </c>
      <c r="P11" s="161">
        <f>INDEX(控除額表!$F$6:$J$300,MATCH($N11&amp;"|"&amp;$K11&amp;"|"&amp;$J11,控除額表!$A$6:$A$300,0)+COUNTIFS(控除額表!$A$6:$A$300,$N11&amp;"|"&amp;$K11&amp;"|"&amp;$J11,控除額表!$E$6:$E$300,"&lt;="&amp;$L11)-1,MATCH($M11,控除額表!$F$4:$J$4,1))</f>
        <v>138</v>
      </c>
      <c r="Q11" s="162">
        <f>ROUNDDOWN((O11-P11)*M11,-1)</f>
        <v>30130</v>
      </c>
      <c r="R11" s="163">
        <f>IF(G11&gt;Q11,G11,Q11)</f>
        <v>30130</v>
      </c>
      <c r="S11" s="49" t="str">
        <f>DBCS(FIXED(TEXT(R11,"@"),0))</f>
        <v>３０，１３０</v>
      </c>
      <c r="T11" s="164" t="n">
        <v>30130</v>
      </c>
      <c r="U11" s="165" t="str">
        <f>IF(AND(R11&lt;&gt;T11,X11="継続"),"○","")</f>
        <v/>
      </c>
      <c r="V11" s="166" t="n">
        <v>31</v>
      </c>
      <c r="W11" s="167">
        <f>ROUNDDOWN(R11*V11/$W$4,0)</f>
        <v>30130</v>
      </c>
      <c r="X11" s="168" t="n"/>
      <c r="Y11" s="169" t="n"/>
      <c r="Z11" s="170" t="n"/>
      <c r="AA11" s="30" t="n"/>
      <c r="AB11" s="31" t="n"/>
    </row>
    <row r="12" ht="18" customFormat="1" customHeight="1" s="32">
      <c r="B12" s="38">
        <f>ROW()-6</f>
        <v>6</v>
      </c>
      <c r="C12" s="39" t="str">
        <f>[1]一覧!C12</f>
        <v>東京公舎９３号</v>
      </c>
      <c r="D12" s="40" t="n"/>
      <c r="E12" s="40" t="n"/>
      <c r="F12" s="41">
        <f>[1]一覧!P12</f>
        <v>104000</v>
      </c>
      <c r="G12" s="156">
        <f>F12*0.2</f>
        <v>20800</v>
      </c>
      <c r="H12" s="43">
        <f>[1]一覧!F12</f>
        <v>37196</v>
      </c>
      <c r="I12" s="44" t="str">
        <f>[1]一覧!G12</f>
        <v>ＲＣ</v>
      </c>
      <c r="J12" s="157" t="inlineStr">
        <is>
          <t>東京事務所職員等</t>
        </is>
      </c>
      <c r="K12" s="158" t="str">
        <f>IFERROR(INDEX(区分設定!$C$6:$C$40,MATCH(I12,区分設定!$B$6:$B$40,0)),"要確認")</f>
        <v>鉄骨・RC造</v>
      </c>
      <c r="L12" s="159">
        <f>DATEDIF(H12,$L$5,"Y")</f>
        <v>24</v>
      </c>
      <c r="M12" s="172" t="n">
        <v>28</v>
      </c>
      <c r="N12" s="160" t="inlineStr">
        <is>
          <t>無</t>
        </is>
      </c>
      <c r="O12" s="161">
        <f>INDEX(基準額表!$C$7:$G$8,MATCH($J12,基準額表!$B$7:$B$8,0),MATCH($M12,基準額表!$C$4:$G$4,1))</f>
        <v>696</v>
      </c>
      <c r="P12" s="173">
        <f>INDEX(控除額表!$F$6:$J$300,MATCH($N12&amp;"|"&amp;$K12&amp;"|"&amp;$J12,控除額表!$A$6:$A$300,0)+COUNTIFS(控除額表!$A$6:$A$300,$N12&amp;"|"&amp;$K12&amp;"|"&amp;$J12,控除額表!$E$6:$E$300,"&lt;="&amp;$L12)-1,MATCH($M12,控除額表!$F$4:$J$4,1))</f>
        <v>111</v>
      </c>
      <c r="Q12" s="162">
        <f>ROUNDDOWN((O12-P12)*M12,-1)</f>
        <v>16380</v>
      </c>
      <c r="R12" s="163">
        <f>IF(G12&gt;Q12,G12,Q12)</f>
        <v>20800</v>
      </c>
      <c r="S12" s="49" t="str">
        <f>DBCS(FIXED(TEXT(R12,"@"),0))</f>
        <v>２０，８００</v>
      </c>
      <c r="T12" s="164" t="n">
        <v>20800</v>
      </c>
      <c r="U12" s="165" t="str">
        <f>IF(AND(R12&lt;&gt;T12,X12="継続"),"○","")</f>
        <v/>
      </c>
      <c r="V12" s="166" t="n">
        <v>31</v>
      </c>
      <c r="W12" s="167">
        <f>ROUNDDOWN(R12*V12/$W$4,0)</f>
        <v>20800</v>
      </c>
      <c r="X12" s="168" t="n"/>
      <c r="Y12" s="169" t="n"/>
      <c r="Z12" s="170" t="n"/>
      <c r="AA12" s="30" t="n"/>
      <c r="AB12" s="31" t="n"/>
    </row>
    <row r="13" ht="18" customFormat="1" customHeight="1" s="32">
      <c r="B13" s="38">
        <f>ROW()-6</f>
        <v>7</v>
      </c>
      <c r="C13" s="39" t="str">
        <f>[1]一覧!C13</f>
        <v>東京公舎９４号</v>
      </c>
      <c r="D13" s="40" t="n"/>
      <c r="E13" s="40" t="n"/>
      <c r="F13" s="41">
        <f>[1]一覧!P13</f>
        <v>102000</v>
      </c>
      <c r="G13" s="156">
        <f>F13*0.2</f>
        <v>20400</v>
      </c>
      <c r="H13" s="43">
        <f>[1]一覧!F13</f>
        <v>37196</v>
      </c>
      <c r="I13" s="44" t="str">
        <f>[1]一覧!G13</f>
        <v>ＲＣ</v>
      </c>
      <c r="J13" s="157" t="inlineStr">
        <is>
          <t>東京事務所職員等</t>
        </is>
      </c>
      <c r="K13" s="158" t="str">
        <f>IFERROR(INDEX(区分設定!$C$6:$C$40,MATCH(I13,区分設定!$B$6:$B$40,0)),"要確認")</f>
        <v>鉄骨・RC造</v>
      </c>
      <c r="L13" s="159">
        <f>DATEDIF(H13,$L$5,"Y")</f>
        <v>24</v>
      </c>
      <c r="M13" s="172" t="n">
        <v>27</v>
      </c>
      <c r="N13" s="160" t="inlineStr">
        <is>
          <t>無</t>
        </is>
      </c>
      <c r="O13" s="161">
        <f>INDEX(基準額表!$C$7:$G$8,MATCH($J13,基準額表!$B$7:$B$8,0),MATCH($M13,基準額表!$C$4:$G$4,1))</f>
        <v>696</v>
      </c>
      <c r="P13" s="173">
        <f>INDEX(控除額表!$F$6:$J$300,MATCH($N13&amp;"|"&amp;$K13&amp;"|"&amp;$J13,控除額表!$A$6:$A$300,0)+COUNTIFS(控除額表!$A$6:$A$300,$N13&amp;"|"&amp;$K13&amp;"|"&amp;$J13,控除額表!$E$6:$E$300,"&lt;="&amp;$L13)-1,MATCH($M13,控除額表!$F$4:$J$4,1))</f>
        <v>111</v>
      </c>
      <c r="Q13" s="162">
        <f>ROUNDDOWN((O13-P13)*M13,-1)</f>
        <v>15790</v>
      </c>
      <c r="R13" s="163">
        <f>IF(G13&gt;Q13,G13,Q13)</f>
        <v>20400</v>
      </c>
      <c r="S13" s="49" t="str">
        <f>DBCS(FIXED(TEXT(R13,"@"),0))</f>
        <v>２０，４００</v>
      </c>
      <c r="T13" s="164" t="n">
        <v>20400</v>
      </c>
      <c r="U13" s="165" t="str">
        <f>IF(AND(R13&lt;&gt;T13,X13="継続"),"○","")</f>
        <v/>
      </c>
      <c r="V13" s="166" t="n">
        <v>31</v>
      </c>
      <c r="W13" s="167">
        <f>ROUNDDOWN(R13*V13/$W$4,0)</f>
        <v>20400</v>
      </c>
      <c r="X13" s="168" t="n"/>
      <c r="Y13" s="169" t="n"/>
      <c r="Z13" s="170" t="n"/>
      <c r="AA13" s="30" t="n"/>
      <c r="AB13" s="31" t="n"/>
    </row>
    <row r="14" ht="18" customFormat="1" customHeight="1" s="32">
      <c r="B14" s="38">
        <f>ROW()-6</f>
        <v>8</v>
      </c>
      <c r="C14" s="39" t="str">
        <f>[1]一覧!C14</f>
        <v>東京公舎９７号</v>
      </c>
      <c r="D14" s="40" t="n"/>
      <c r="E14" s="40" t="n"/>
      <c r="F14" s="41">
        <f>[1]一覧!P14</f>
        <v>127000</v>
      </c>
      <c r="G14" s="156">
        <f>F14*0.2</f>
        <v>25400</v>
      </c>
      <c r="H14" s="43">
        <f>[1]一覧!F14</f>
        <v>37377</v>
      </c>
      <c r="I14" s="44" t="str">
        <f>[1]一覧!G14</f>
        <v>ＲＣ</v>
      </c>
      <c r="J14" s="157" t="inlineStr">
        <is>
          <t>東京事務所職員等</t>
        </is>
      </c>
      <c r="K14" s="158" t="str">
        <f>IFERROR(INDEX(区分設定!$C$6:$C$40,MATCH(I14,区分設定!$B$6:$B$40,0)),"要確認")</f>
        <v>鉄骨・RC造</v>
      </c>
      <c r="L14" s="159">
        <f>DATEDIF(H14,$L$5,"Y")</f>
        <v>23</v>
      </c>
      <c r="M14" s="172" t="n">
        <v>36</v>
      </c>
      <c r="N14" s="160" t="inlineStr">
        <is>
          <t>有</t>
        </is>
      </c>
      <c r="O14" s="161">
        <f>INDEX(基準額表!$C$7:$G$8,MATCH($J14,基準額表!$B$7:$B$8,0),MATCH($M14,基準額表!$C$4:$G$4,1))</f>
        <v>696</v>
      </c>
      <c r="P14" s="173">
        <f>INDEX(控除額表!$F$6:$J$300,MATCH($N14&amp;"|"&amp;$K14&amp;"|"&amp;$J14,控除額表!$A$6:$A$300,0)+COUNTIFS(控除額表!$A$6:$A$300,$N14&amp;"|"&amp;$K14&amp;"|"&amp;$J14,控除額表!$E$6:$E$300,"&lt;="&amp;$L14)-1,MATCH($M14,控除額表!$F$4:$J$4,1))</f>
        <v>317</v>
      </c>
      <c r="Q14" s="162">
        <f>ROUNDDOWN((O14-P14)*M14,-1)</f>
        <v>13640</v>
      </c>
      <c r="R14" s="163">
        <f>IF(G14&gt;Q14,G14,Q14)</f>
        <v>25400</v>
      </c>
      <c r="S14" s="49" t="str">
        <f>DBCS(FIXED(TEXT(R14,"@"),0))</f>
        <v>２５，４００</v>
      </c>
      <c r="T14" s="164" t="n">
        <v>25400</v>
      </c>
      <c r="U14" s="165" t="str">
        <f>IF(AND(R14&lt;&gt;T14,X14="継続"),"○","")</f>
        <v/>
      </c>
      <c r="V14" s="166" t="n">
        <v>31</v>
      </c>
      <c r="W14" s="167">
        <f>ROUNDDOWN(R14*V14/$W$4,0)</f>
        <v>25400</v>
      </c>
      <c r="X14" s="168" t="n"/>
      <c r="Y14" s="169" t="n"/>
      <c r="Z14" s="170" t="n"/>
      <c r="AA14" s="30" t="n"/>
      <c r="AB14" s="31" t="n"/>
    </row>
    <row r="15" ht="18" customFormat="1" customHeight="1" s="32">
      <c r="B15" s="38">
        <f>ROW()-6</f>
        <v>9</v>
      </c>
      <c r="C15" s="39" t="str">
        <f>[1]一覧!C15</f>
        <v>東京公舎１０１号</v>
      </c>
      <c r="D15" s="40" t="n"/>
      <c r="E15" s="40" t="n"/>
      <c r="F15" s="41">
        <f>[1]一覧!P15</f>
        <v>125000</v>
      </c>
      <c r="G15" s="156">
        <f>F15*0.2</f>
        <v>25000</v>
      </c>
      <c r="H15" s="43">
        <f>[1]一覧!F15</f>
        <v>37306</v>
      </c>
      <c r="I15" s="44" t="str">
        <f>[1]一覧!G15</f>
        <v>ＲＣ</v>
      </c>
      <c r="J15" s="157" t="inlineStr">
        <is>
          <t>東京事務所職員等</t>
        </is>
      </c>
      <c r="K15" s="158" t="str">
        <f>IFERROR(INDEX(区分設定!$C$6:$C$40,MATCH(I15,区分設定!$B$6:$B$40,0)),"要確認")</f>
        <v>鉄骨・RC造</v>
      </c>
      <c r="L15" s="159">
        <f>DATEDIF(H15,$L$5,"Y")</f>
        <v>24</v>
      </c>
      <c r="M15" s="172" t="n">
        <v>48</v>
      </c>
      <c r="N15" s="160" t="inlineStr">
        <is>
          <t>無</t>
        </is>
      </c>
      <c r="O15" s="161">
        <f>INDEX(基準額表!$C$7:$G$8,MATCH($J15,基準額表!$B$7:$B$8,0),MATCH($M15,基準額表!$C$4:$G$4,1))</f>
        <v>696</v>
      </c>
      <c r="P15" s="173">
        <f>INDEX(控除額表!$F$6:$J$300,MATCH($N15&amp;"|"&amp;$K15&amp;"|"&amp;$J15,控除額表!$A$6:$A$300,0)+COUNTIFS(控除額表!$A$6:$A$300,$N15&amp;"|"&amp;$K15&amp;"|"&amp;$J15,控除額表!$E$6:$E$300,"&lt;="&amp;$L15)-1,MATCH($M15,控除額表!$F$4:$J$4,1))</f>
        <v>111</v>
      </c>
      <c r="Q15" s="162">
        <f>ROUNDDOWN((O15-P15)*M15,-1)</f>
        <v>28080</v>
      </c>
      <c r="R15" s="163">
        <f>IF(G15&gt;Q15,G15,Q15)</f>
        <v>28080</v>
      </c>
      <c r="S15" s="49" t="str">
        <f>DBCS(FIXED(TEXT(R15,"@"),0))</f>
        <v>２８，０８０</v>
      </c>
      <c r="T15" s="164" t="n">
        <v>25000</v>
      </c>
      <c r="U15" s="165" t="str">
        <f>IF(AND(R15&lt;&gt;T15,X15="継続"),"○","")</f>
        <v/>
      </c>
      <c r="V15" s="166" t="n">
        <v>31</v>
      </c>
      <c r="W15" s="167">
        <f>ROUNDDOWN(R15*V15/$W$4,0)</f>
        <v>28080</v>
      </c>
      <c r="X15" s="168" t="n"/>
      <c r="Y15" s="169" t="n"/>
      <c r="Z15" s="170" t="n"/>
      <c r="AA15" s="30" t="n"/>
      <c r="AB15" s="31" t="n"/>
    </row>
    <row r="16" ht="18" customFormat="1" customHeight="1" s="32">
      <c r="B16" s="38">
        <f>ROW()-6</f>
        <v>10</v>
      </c>
      <c r="C16" s="39" t="str">
        <f>[1]一覧!C16</f>
        <v>東京公舎１０２号</v>
      </c>
      <c r="D16" s="40" t="n"/>
      <c r="E16" s="40" t="n"/>
      <c r="F16" s="41">
        <f>[1]一覧!P16</f>
        <v>120000</v>
      </c>
      <c r="G16" s="156">
        <f>F16*0.2</f>
        <v>24000</v>
      </c>
      <c r="H16" s="43">
        <f>[1]一覧!F16</f>
        <v>39934</v>
      </c>
      <c r="I16" s="44" t="str">
        <f>[1]一覧!G16</f>
        <v>ＲＣ</v>
      </c>
      <c r="J16" s="157" t="inlineStr">
        <is>
          <t>東京事務所職員等</t>
        </is>
      </c>
      <c r="K16" s="158" t="str">
        <f>IFERROR(INDEX(区分設定!$C$6:$C$40,MATCH(I16,区分設定!$B$6:$B$40,0)),"要確認")</f>
        <v>鉄骨・RC造</v>
      </c>
      <c r="L16" s="159">
        <f>DATEDIF(H16,$L$5,"Y")</f>
        <v>16</v>
      </c>
      <c r="M16" s="172" t="n">
        <v>32</v>
      </c>
      <c r="N16" s="160" t="inlineStr">
        <is>
          <t>無</t>
        </is>
      </c>
      <c r="O16" s="161">
        <f>INDEX(基準額表!$C$7:$G$8,MATCH($J16,基準額表!$B$7:$B$8,0),MATCH($M16,基準額表!$C$4:$G$4,1))</f>
        <v>696</v>
      </c>
      <c r="P16" s="173">
        <f>INDEX(控除額表!$F$6:$J$300,MATCH($N16&amp;"|"&amp;$K16&amp;"|"&amp;$J16,控除額表!$A$6:$A$300,0)+COUNTIFS(控除額表!$A$6:$A$300,$N16&amp;"|"&amp;$K16&amp;"|"&amp;$J16,控除額表!$E$6:$E$300,"&lt;="&amp;$L16)-1,MATCH($M16,控除額表!$F$4:$J$4,1))</f>
        <v>83</v>
      </c>
      <c r="Q16" s="162">
        <f>ROUNDDOWN((O16-P16)*M16,-1)</f>
        <v>19610</v>
      </c>
      <c r="R16" s="163">
        <f>IF(G16&gt;Q16,G16,Q16)</f>
        <v>24000</v>
      </c>
      <c r="S16" s="49" t="str">
        <f>DBCS(FIXED(TEXT(R16,"@"),0))</f>
        <v>２４，０００</v>
      </c>
      <c r="T16" s="164" t="n">
        <v>24000</v>
      </c>
      <c r="U16" s="165" t="str">
        <f>IF(AND(R16&lt;&gt;T16,X16="継続"),"○","")</f>
        <v/>
      </c>
      <c r="V16" s="166" t="n">
        <v>31</v>
      </c>
      <c r="W16" s="167">
        <f>ROUNDDOWN(R16*V16/$W$4,0)</f>
        <v>24000</v>
      </c>
      <c r="X16" s="168" t="n"/>
      <c r="Y16" s="169" t="n"/>
      <c r="Z16" s="170" t="n"/>
      <c r="AA16" s="30" t="n"/>
      <c r="AB16" s="31" t="n"/>
    </row>
    <row r="17" ht="18" customFormat="1" customHeight="1" s="32">
      <c r="A17" s="72" t="n"/>
      <c r="B17" s="38">
        <f>ROW()-6</f>
        <v>11</v>
      </c>
      <c r="C17" s="39" t="str">
        <f>[1]一覧!C17</f>
        <v>東京公舎１０３号</v>
      </c>
      <c r="D17" s="40" t="n"/>
      <c r="E17" s="40" t="n"/>
      <c r="F17" s="41">
        <f>[1]一覧!P17</f>
        <v>140000</v>
      </c>
      <c r="G17" s="156">
        <f>F17*0.2</f>
        <v>28000</v>
      </c>
      <c r="H17" s="43">
        <f>[1]一覧!F17</f>
        <v>32752</v>
      </c>
      <c r="I17" s="44" t="str">
        <f>[1]一覧!G17</f>
        <v>ＲＣ</v>
      </c>
      <c r="J17" s="157" t="inlineStr">
        <is>
          <t>東京事務所職員等</t>
        </is>
      </c>
      <c r="K17" s="158" t="str">
        <f>IFERROR(INDEX(区分設定!$C$6:$C$40,MATCH(I17,区分設定!$B$6:$B$40,0)),"要確認")</f>
        <v>鉄骨・RC造</v>
      </c>
      <c r="L17" s="159">
        <f>DATEDIF(H17,$L$5,"Y")</f>
        <v>36</v>
      </c>
      <c r="M17" s="172" t="n">
        <v>54</v>
      </c>
      <c r="N17" s="160" t="inlineStr">
        <is>
          <t>無</t>
        </is>
      </c>
      <c r="O17" s="161">
        <f>INDEX(基準額表!$C$7:$G$8,MATCH($J17,基準額表!$B$7:$B$8,0),MATCH($M17,基準額表!$C$4:$G$4,1))</f>
        <v>696</v>
      </c>
      <c r="P17" s="173">
        <f>INDEX(控除額表!$F$6:$J$300,MATCH($N17&amp;"|"&amp;$K17&amp;"|"&amp;$J17,控除額表!$A$6:$A$300,0)+COUNTIFS(控除額表!$A$6:$A$300,$N17&amp;"|"&amp;$K17&amp;"|"&amp;$J17,控除額表!$E$6:$E$300,"&lt;="&amp;$L17)-1,MATCH($M17,控除額表!$F$4:$J$4,1))</f>
        <v>193</v>
      </c>
      <c r="Q17" s="162">
        <f>ROUNDDOWN((O17-P17)*M17,-1)</f>
        <v>27160</v>
      </c>
      <c r="R17" s="163">
        <f>IF(G17&gt;Q17,G17,Q17)</f>
        <v>28000</v>
      </c>
      <c r="S17" s="49" t="str">
        <f>DBCS(FIXED(TEXT(R17,"@"),0))</f>
        <v>２８，０００</v>
      </c>
      <c r="T17" s="164" t="n">
        <v>28000</v>
      </c>
      <c r="U17" s="165" t="str">
        <f>IF(AND(R17&lt;&gt;T17,X17="継続"),"○","")</f>
        <v/>
      </c>
      <c r="V17" s="166" t="n">
        <v>31</v>
      </c>
      <c r="W17" s="167">
        <f>ROUNDDOWN(R17*V17/$W$4,0)</f>
        <v>28000</v>
      </c>
      <c r="X17" s="168" t="n"/>
      <c r="Y17" s="169" t="n"/>
      <c r="Z17" s="170" t="n"/>
      <c r="AA17" s="30" t="n"/>
      <c r="AB17" s="31" t="n"/>
    </row>
    <row r="18" ht="18" customFormat="1" customHeight="1" s="32">
      <c r="B18" s="38">
        <f>ROW()-6</f>
        <v>12</v>
      </c>
      <c r="C18" s="39" t="str">
        <f>[1]一覧!C18</f>
        <v>東京公舎１０４号</v>
      </c>
      <c r="D18" s="40" t="n"/>
      <c r="E18" s="40" t="n"/>
      <c r="F18" s="41">
        <f>[1]一覧!P18</f>
        <v>95000</v>
      </c>
      <c r="G18" s="156">
        <f>F18*0.2</f>
        <v>19000</v>
      </c>
      <c r="H18" s="43">
        <f>[1]一覧!F18</f>
        <v>32325</v>
      </c>
      <c r="I18" s="44" t="str">
        <f>[1]一覧!G18</f>
        <v>ＲＣ</v>
      </c>
      <c r="J18" s="157" t="inlineStr">
        <is>
          <t>東京事務所職員等</t>
        </is>
      </c>
      <c r="K18" s="158" t="str">
        <f>IFERROR(INDEX(区分設定!$C$6:$C$40,MATCH(I18,区分設定!$B$6:$B$40,0)),"要確認")</f>
        <v>鉄骨・RC造</v>
      </c>
      <c r="L18" s="159">
        <f>DATEDIF(H18,$L$5,"Y")</f>
        <v>37</v>
      </c>
      <c r="M18" s="172" t="n">
        <v>39</v>
      </c>
      <c r="N18" s="160" t="inlineStr">
        <is>
          <t>有</t>
        </is>
      </c>
      <c r="O18" s="161">
        <f>INDEX(基準額表!$C$7:$G$8,MATCH($J18,基準額表!$B$7:$B$8,0),MATCH($M18,基準額表!$C$4:$G$4,1))</f>
        <v>696</v>
      </c>
      <c r="P18" s="173">
        <f>INDEX(控除額表!$F$6:$J$300,MATCH($N18&amp;"|"&amp;$K18&amp;"|"&amp;$J18,控除額表!$A$6:$A$300,0)+COUNTIFS(控除額表!$A$6:$A$300,$N18&amp;"|"&amp;$K18&amp;"|"&amp;$J18,控除額表!$E$6:$E$300,"&lt;="&amp;$L18)-1,MATCH($M18,控除額表!$F$4:$J$4,1))</f>
        <v>366</v>
      </c>
      <c r="Q18" s="162">
        <f>ROUNDDOWN((O18-P18)*M18,-1)</f>
        <v>12870</v>
      </c>
      <c r="R18" s="163">
        <f>IF(G18&gt;Q18,G18,Q18)</f>
        <v>19000</v>
      </c>
      <c r="S18" s="49" t="str">
        <f>DBCS(FIXED(TEXT(R18,"@"),0))</f>
        <v>１９，０００</v>
      </c>
      <c r="T18" s="164" t="n">
        <v>19610</v>
      </c>
      <c r="U18" s="165" t="str">
        <f>IF(AND(R18&lt;&gt;T18,X18="継続"),"○","")</f>
        <v/>
      </c>
      <c r="V18" s="166" t="n">
        <v>31</v>
      </c>
      <c r="W18" s="167">
        <f>ROUNDDOWN(R18*V18/$W$4,0)</f>
        <v>19000</v>
      </c>
      <c r="X18" s="168" t="n"/>
      <c r="Y18" s="169" t="n"/>
      <c r="Z18" s="170" t="n"/>
      <c r="AA18" s="30" t="n"/>
      <c r="AB18" s="31" t="n"/>
    </row>
    <row r="19" ht="18" customFormat="1" customHeight="1" s="32">
      <c r="B19" s="38">
        <f>ROW()-6</f>
        <v>13</v>
      </c>
      <c r="C19" s="39" t="str">
        <f>[1]一覧!C19</f>
        <v>東京公舎１０７号</v>
      </c>
      <c r="D19" s="40" t="n"/>
      <c r="E19" s="40" t="n"/>
      <c r="F19" s="41">
        <f>[1]一覧!P19</f>
        <v>124000</v>
      </c>
      <c r="G19" s="156">
        <f>F19*0.2</f>
        <v>24800</v>
      </c>
      <c r="H19" s="43">
        <f>[1]一覧!F19</f>
        <v>38777</v>
      </c>
      <c r="I19" s="44" t="str">
        <f>[1]一覧!G19</f>
        <v>ＲＣ</v>
      </c>
      <c r="J19" s="157" t="inlineStr">
        <is>
          <t>東京事務所職員等</t>
        </is>
      </c>
      <c r="K19" s="158" t="str">
        <f>IFERROR(INDEX(区分設定!$C$6:$C$40,MATCH(I19,区分設定!$B$6:$B$40,0)),"要確認")</f>
        <v>鉄骨・RC造</v>
      </c>
      <c r="L19" s="159">
        <f>DATEDIF(H19,$L$5,"Y")</f>
        <v>20</v>
      </c>
      <c r="M19" s="172" t="n">
        <v>31</v>
      </c>
      <c r="N19" s="160" t="inlineStr">
        <is>
          <t>無</t>
        </is>
      </c>
      <c r="O19" s="161">
        <f>INDEX(基準額表!$C$7:$G$8,MATCH($J19,基準額表!$B$7:$B$8,0),MATCH($M19,基準額表!$C$4:$G$4,1))</f>
        <v>696</v>
      </c>
      <c r="P19" s="173">
        <f>INDEX(控除額表!$F$6:$J$300,MATCH($N19&amp;"|"&amp;$K19&amp;"|"&amp;$J19,控除額表!$A$6:$A$300,0)+COUNTIFS(控除額表!$A$6:$A$300,$N19&amp;"|"&amp;$K19&amp;"|"&amp;$J19,控除額表!$E$6:$E$300,"&lt;="&amp;$L19)-1,MATCH($M19,控除額表!$F$4:$J$4,1))</f>
        <v>111</v>
      </c>
      <c r="Q19" s="162">
        <f>ROUNDDOWN((O19-P19)*M19,-1)</f>
        <v>18130</v>
      </c>
      <c r="R19" s="163">
        <f>IF(G19&gt;Q19,G19,Q19)</f>
        <v>24800</v>
      </c>
      <c r="S19" s="49" t="str">
        <f>DBCS(FIXED(TEXT(R19,"@"),0))</f>
        <v>２４，８００</v>
      </c>
      <c r="T19" s="171" t="n">
        <v>23800</v>
      </c>
      <c r="U19" s="165" t="str">
        <f>IF(AND(R19&lt;&gt;T19,X19="継続"),"○","")</f>
        <v/>
      </c>
      <c r="V19" s="166" t="n">
        <v>31</v>
      </c>
      <c r="W19" s="167">
        <f>ROUNDDOWN(R19*V19/$W$4,0)</f>
        <v>24800</v>
      </c>
      <c r="X19" s="168" t="n"/>
      <c r="Y19" s="169" t="n"/>
      <c r="Z19" s="170" t="n"/>
      <c r="AA19" s="30" t="n"/>
      <c r="AB19" s="31" t="n"/>
    </row>
    <row r="20" ht="18" customFormat="1" customHeight="1" s="32">
      <c r="B20" s="38">
        <f>ROW()-6</f>
        <v>14</v>
      </c>
      <c r="C20" s="39" t="str">
        <f>[1]一覧!C20</f>
        <v>東京公舎１０９号</v>
      </c>
      <c r="D20" s="40" t="n"/>
      <c r="E20" s="40" t="n"/>
      <c r="F20" s="41">
        <f>[1]一覧!P20</f>
        <v>95000</v>
      </c>
      <c r="G20" s="156">
        <f>F20*0.2</f>
        <v>19000</v>
      </c>
      <c r="H20" s="43">
        <f>[1]一覧!F20</f>
        <v>32325</v>
      </c>
      <c r="I20" s="44" t="str">
        <f>[1]一覧!G20</f>
        <v>ＲＣ</v>
      </c>
      <c r="J20" s="157" t="inlineStr">
        <is>
          <t>東京事務所職員等</t>
        </is>
      </c>
      <c r="K20" s="158" t="str">
        <f>IFERROR(INDEX(区分設定!$C$6:$C$40,MATCH(I20,区分設定!$B$6:$B$40,0)),"要確認")</f>
        <v>鉄骨・RC造</v>
      </c>
      <c r="L20" s="159">
        <f>DATEDIF(H20,$L$5,"Y")</f>
        <v>37</v>
      </c>
      <c r="M20" s="172" t="n">
        <v>39</v>
      </c>
      <c r="N20" s="160" t="inlineStr">
        <is>
          <t>無</t>
        </is>
      </c>
      <c r="O20" s="161">
        <f>INDEX(基準額表!$C$7:$G$8,MATCH($J20,基準額表!$B$7:$B$8,0),MATCH($M20,基準額表!$C$4:$G$4,1))</f>
        <v>696</v>
      </c>
      <c r="P20" s="173">
        <f>INDEX(控除額表!$F$6:$J$300,MATCH($N20&amp;"|"&amp;$K20&amp;"|"&amp;$J20,控除額表!$A$6:$A$300,0)+COUNTIFS(控除額表!$A$6:$A$300,$N20&amp;"|"&amp;$K20&amp;"|"&amp;$J20,控除額表!$E$6:$E$300,"&lt;="&amp;$L20)-1,MATCH($M20,控除額表!$F$4:$J$4,1))</f>
        <v>193</v>
      </c>
      <c r="Q20" s="162">
        <f>ROUNDDOWN((O20-P20)*M20,-1)</f>
        <v>19610</v>
      </c>
      <c r="R20" s="163">
        <f>IF(G20&gt;Q20,G20,Q20)</f>
        <v>19610</v>
      </c>
      <c r="S20" s="49" t="str">
        <f>DBCS(FIXED(TEXT(R20,"@"),0))</f>
        <v>１９，６１０</v>
      </c>
      <c r="T20" s="164" t="n">
        <v>19610</v>
      </c>
      <c r="U20" s="165" t="str">
        <f>IF(AND(R20&lt;&gt;T20,X20="継続"),"○","")</f>
        <v/>
      </c>
      <c r="V20" s="166" t="n">
        <v>31</v>
      </c>
      <c r="W20" s="167">
        <f>ROUNDDOWN(R20*V20/$W$4,0)</f>
        <v>19610</v>
      </c>
      <c r="X20" s="168" t="n"/>
      <c r="Y20" s="169" t="n"/>
      <c r="Z20" s="170" t="n"/>
      <c r="AA20" s="30" t="n"/>
      <c r="AB20" s="31" t="n"/>
    </row>
    <row r="21" ht="18" customFormat="1" customHeight="1" s="32">
      <c r="B21" s="38">
        <f>ROW()-6</f>
        <v>15</v>
      </c>
      <c r="C21" s="39" t="str">
        <f>[1]一覧!C21</f>
        <v>東京公舎１１２号</v>
      </c>
      <c r="D21" s="40" t="n"/>
      <c r="E21" s="40" t="n"/>
      <c r="F21" s="41">
        <f>[1]一覧!P21</f>
        <v>140000</v>
      </c>
      <c r="G21" s="156">
        <f>F21*0.2</f>
        <v>28000</v>
      </c>
      <c r="H21" s="43">
        <f>[1]一覧!F21</f>
        <v>40452</v>
      </c>
      <c r="I21" s="44" t="str">
        <f>[1]一覧!G21</f>
        <v>ＲＣ</v>
      </c>
      <c r="J21" s="157" t="inlineStr">
        <is>
          <t>東京事務所職員等</t>
        </is>
      </c>
      <c r="K21" s="158" t="str">
        <f>IFERROR(INDEX(区分設定!$C$6:$C$40,MATCH(I21,区分設定!$B$6:$B$40,0)),"要確認")</f>
        <v>鉄骨・RC造</v>
      </c>
      <c r="L21" s="159">
        <f>DATEDIF(H21,$L$5,"Y")</f>
        <v>15</v>
      </c>
      <c r="M21" s="172" t="n">
        <v>33</v>
      </c>
      <c r="N21" s="160" t="inlineStr">
        <is>
          <t>有</t>
        </is>
      </c>
      <c r="O21" s="173">
        <f>INDEX(基準額表!$C$7:$G$8,MATCH($J21,基準額表!$B$7:$B$8,0),MATCH($M21,基準額表!$C$4:$G$4,1))</f>
        <v>696</v>
      </c>
      <c r="P21" s="173">
        <f>INDEX(控除額表!$F$6:$J$300,MATCH($N21&amp;"|"&amp;$K21&amp;"|"&amp;$J21,控除額表!$A$6:$A$300,0)+COUNTIFS(控除額表!$A$6:$A$300,$N21&amp;"|"&amp;$K21&amp;"|"&amp;$J21,控除額表!$E$6:$E$300,"&lt;="&amp;$L21)-1,MATCH($M21,控除額表!$F$4:$J$4,1))</f>
        <v>291</v>
      </c>
      <c r="Q21" s="162">
        <f>ROUNDDOWN((O21-P21)*M21,-1)</f>
        <v>13360</v>
      </c>
      <c r="R21" s="163">
        <f>IF(G21&gt;Q21,G21,Q21)</f>
        <v>28000</v>
      </c>
      <c r="S21" s="49" t="str">
        <f>DBCS(FIXED(TEXT(R21,"@"),0))</f>
        <v>２８，０００</v>
      </c>
      <c r="T21" s="164" t="n">
        <v>28000</v>
      </c>
      <c r="U21" s="165" t="str">
        <f>IF(AND(R21&lt;&gt;T21,X21="継続"),"○","")</f>
        <v/>
      </c>
      <c r="V21" s="166" t="n">
        <v>31</v>
      </c>
      <c r="W21" s="167">
        <f>ROUNDDOWN(R21*V21/$W$4,0)</f>
        <v>28000</v>
      </c>
      <c r="X21" s="168" t="n"/>
      <c r="Y21" s="169" t="n"/>
      <c r="Z21" s="170" t="n"/>
      <c r="AA21" s="30" t="n"/>
      <c r="AB21" s="31" t="n"/>
    </row>
    <row r="22" ht="18" customFormat="1" customHeight="1" s="32">
      <c r="B22" s="38">
        <f>ROW()-6</f>
        <v>16</v>
      </c>
      <c r="C22" s="39" t="str">
        <f>[1]一覧!C22</f>
        <v>東京公舎１１４号</v>
      </c>
      <c r="D22" s="40" t="n"/>
      <c r="E22" s="40" t="n"/>
      <c r="F22" s="41">
        <f>[1]一覧!P22</f>
        <v>101000</v>
      </c>
      <c r="G22" s="156">
        <f>F22*0.2</f>
        <v>20200</v>
      </c>
      <c r="H22" s="43">
        <f>[1]一覧!F22</f>
        <v>37196</v>
      </c>
      <c r="I22" s="44" t="str">
        <f>[1]一覧!G22</f>
        <v>ＲＣ</v>
      </c>
      <c r="J22" s="157" t="inlineStr">
        <is>
          <t>東京事務所職員等</t>
        </is>
      </c>
      <c r="K22" s="158" t="str">
        <f>IFERROR(INDEX(区分設定!$C$6:$C$40,MATCH(I22,区分設定!$B$6:$B$40,0)),"要確認")</f>
        <v>鉄骨・RC造</v>
      </c>
      <c r="L22" s="159">
        <f>DATEDIF(H22,$L$5,"Y")</f>
        <v>24</v>
      </c>
      <c r="M22" s="172" t="n">
        <v>28</v>
      </c>
      <c r="N22" s="160" t="inlineStr">
        <is>
          <t>有</t>
        </is>
      </c>
      <c r="O22" s="173">
        <f>INDEX(基準額表!$C$7:$G$8,MATCH($J22,基準額表!$B$7:$B$8,0),MATCH($M22,基準額表!$C$4:$G$4,1))</f>
        <v>696</v>
      </c>
      <c r="P22" s="173">
        <f>INDEX(控除額表!$F$6:$J$300,MATCH($N22&amp;"|"&amp;$K22&amp;"|"&amp;$J22,控除額表!$A$6:$A$300,0)+COUNTIFS(控除額表!$A$6:$A$300,$N22&amp;"|"&amp;$K22&amp;"|"&amp;$J22,控除額表!$E$6:$E$300,"&lt;="&amp;$L22)-1,MATCH($M22,控除額表!$F$4:$J$4,1))</f>
        <v>317</v>
      </c>
      <c r="Q22" s="162">
        <f>ROUNDDOWN((O22-P22)*M22,-1)</f>
        <v>10610</v>
      </c>
      <c r="R22" s="163">
        <f>IF(G22&gt;Q22,G22,Q22)</f>
        <v>20200</v>
      </c>
      <c r="S22" s="49" t="str">
        <f>DBCS(FIXED(TEXT(R22,"@"),0))</f>
        <v>２０，２００</v>
      </c>
      <c r="T22" s="171" t="n">
        <v>20200</v>
      </c>
      <c r="U22" s="165" t="str">
        <f>IF(AND(R22&lt;&gt;T22,X22="継続"),"○","")</f>
        <v/>
      </c>
      <c r="V22" s="166" t="n">
        <v>31</v>
      </c>
      <c r="W22" s="167">
        <f>ROUNDDOWN(R22*V22/$W$4,0)</f>
        <v>20200</v>
      </c>
      <c r="X22" s="168" t="n"/>
      <c r="Y22" s="169" t="n"/>
      <c r="Z22" s="170" t="n"/>
      <c r="AA22" s="30" t="n"/>
      <c r="AB22" s="31" t="n"/>
    </row>
    <row r="23" ht="18" customFormat="1" customHeight="1" s="32">
      <c r="B23" s="38">
        <f>ROW()-6</f>
        <v>17</v>
      </c>
      <c r="C23" s="39" t="str">
        <f>[1]一覧!C23</f>
        <v>東京公舎１１６号</v>
      </c>
      <c r="D23" s="40" t="n"/>
      <c r="E23" s="40" t="n"/>
      <c r="F23" s="41">
        <f>[1]一覧!P23</f>
        <v>134000</v>
      </c>
      <c r="G23" s="156">
        <f>F23*0.2</f>
        <v>26800</v>
      </c>
      <c r="H23" s="43">
        <f>[1]一覧!F23</f>
        <v>36068</v>
      </c>
      <c r="I23" s="44" t="str">
        <f>[1]一覧!G23</f>
        <v>ＲＣ</v>
      </c>
      <c r="J23" s="157" t="inlineStr">
        <is>
          <t>東京事務所職員等</t>
        </is>
      </c>
      <c r="K23" s="158" t="str">
        <f>IFERROR(INDEX(区分設定!$C$6:$C$40,MATCH(I23,区分設定!$B$6:$B$40,0)),"要確認")</f>
        <v>鉄骨・RC造</v>
      </c>
      <c r="L23" s="159">
        <f>DATEDIF(H23,$L$5,"Y")</f>
        <v>27</v>
      </c>
      <c r="M23" s="172" t="n">
        <v>52</v>
      </c>
      <c r="N23" s="160" t="inlineStr">
        <is>
          <t>無</t>
        </is>
      </c>
      <c r="O23" s="173">
        <f>INDEX(基準額表!$C$7:$G$8,MATCH($J23,基準額表!$B$7:$B$8,0),MATCH($M23,基準額表!$C$4:$G$4,1))</f>
        <v>696</v>
      </c>
      <c r="P23" s="173">
        <f>INDEX(控除額表!$F$6:$J$300,MATCH($N23&amp;"|"&amp;$K23&amp;"|"&amp;$J23,控除額表!$A$6:$A$300,0)+COUNTIFS(控除額表!$A$6:$A$300,$N23&amp;"|"&amp;$K23&amp;"|"&amp;$J23,控除額表!$E$6:$E$300,"&lt;="&amp;$L23)-1,MATCH($M23,控除額表!$F$4:$J$4,1))</f>
        <v>138</v>
      </c>
      <c r="Q23" s="162">
        <f>ROUNDDOWN((O23-P23)*M23,-1)</f>
        <v>29010</v>
      </c>
      <c r="R23" s="163">
        <f>IF(G23&gt;Q23,G23,Q23)</f>
        <v>29010</v>
      </c>
      <c r="S23" s="49" t="str">
        <f>DBCS(FIXED(TEXT(R23,"@"),0))</f>
        <v>２９，０１０</v>
      </c>
      <c r="T23" s="171" t="n">
        <v>26400</v>
      </c>
      <c r="U23" s="165" t="str">
        <f>IF(AND(R23&lt;&gt;T23,X23="継続"),"○","")</f>
        <v/>
      </c>
      <c r="V23" s="166" t="n">
        <v>31</v>
      </c>
      <c r="W23" s="167">
        <f>ROUNDDOWN(R23*V23/$W$4,0)</f>
        <v>29010</v>
      </c>
      <c r="X23" s="168" t="n"/>
      <c r="Y23" s="169" t="n"/>
      <c r="Z23" s="170" t="n"/>
      <c r="AA23" s="30" t="n"/>
      <c r="AB23" s="31" t="n"/>
    </row>
    <row r="24" ht="18" customFormat="1" customHeight="1" s="32">
      <c r="B24" s="38">
        <f>ROW()-6</f>
        <v>18</v>
      </c>
      <c r="C24" s="39" t="str">
        <f>[1]一覧!C24</f>
        <v>東京公舎１１９号</v>
      </c>
      <c r="D24" s="40" t="n"/>
      <c r="E24" s="40" t="n"/>
      <c r="F24" s="41">
        <f>[1]一覧!P24</f>
        <v>100000</v>
      </c>
      <c r="G24" s="156">
        <f>F24*0.2</f>
        <v>20000</v>
      </c>
      <c r="H24" s="43">
        <f>[1]一覧!F24</f>
        <v>36586</v>
      </c>
      <c r="I24" s="44" t="str">
        <f>[1]一覧!G24</f>
        <v>SRC</v>
      </c>
      <c r="J24" s="157" t="inlineStr">
        <is>
          <t>東京事務所職員等</t>
        </is>
      </c>
      <c r="K24" s="158" t="str">
        <f>IFERROR(INDEX(区分設定!$C$6:$C$40,MATCH(I24,区分設定!$B$6:$B$40,0)),"要確認")</f>
        <v>鉄骨・RC造</v>
      </c>
      <c r="L24" s="159">
        <f>DATEDIF(H24,$L$5,"Y")</f>
        <v>26</v>
      </c>
      <c r="M24" s="172" t="n">
        <v>34</v>
      </c>
      <c r="N24" s="160" t="inlineStr">
        <is>
          <t>無</t>
        </is>
      </c>
      <c r="O24" s="161">
        <f>INDEX(基準額表!$C$7:$G$8,MATCH($J24,基準額表!$B$7:$B$8,0),MATCH($M24,基準額表!$C$4:$G$4,1))</f>
        <v>696</v>
      </c>
      <c r="P24" s="173">
        <f>INDEX(控除額表!$F$6:$J$300,MATCH($N24&amp;"|"&amp;$K24&amp;"|"&amp;$J24,控除額表!$A$6:$A$300,0)+COUNTIFS(控除額表!$A$6:$A$300,$N24&amp;"|"&amp;$K24&amp;"|"&amp;$J24,控除額表!$E$6:$E$300,"&lt;="&amp;$L24)-1,MATCH($M24,控除額表!$F$4:$J$4,1))</f>
        <v>138</v>
      </c>
      <c r="Q24" s="162">
        <f>ROUNDDOWN((O24-P24)*M24,-1)</f>
        <v>18970</v>
      </c>
      <c r="R24" s="163">
        <f>IF(G24&gt;Q24,G24,Q24)</f>
        <v>20000</v>
      </c>
      <c r="S24" s="49" t="str">
        <f>DBCS(FIXED(TEXT(R24,"@"),0))</f>
        <v>２０，０００</v>
      </c>
      <c r="T24" s="171" t="n">
        <v>20000</v>
      </c>
      <c r="U24" s="165" t="str">
        <f>IF(AND(R24&lt;&gt;T24,X24="継続"),"○","")</f>
        <v/>
      </c>
      <c r="V24" s="166" t="n">
        <v>31</v>
      </c>
      <c r="W24" s="167">
        <f>ROUNDDOWN(R24*V24/$W$4,0)</f>
        <v>20000</v>
      </c>
      <c r="X24" s="168" t="n"/>
      <c r="Y24" s="169" t="n"/>
      <c r="Z24" s="170" t="n"/>
      <c r="AA24" s="30" t="n"/>
      <c r="AB24" s="31" t="n"/>
    </row>
    <row r="25" ht="18" customFormat="1" customHeight="1" s="32">
      <c r="B25" s="38">
        <f>ROW()-6</f>
        <v>19</v>
      </c>
      <c r="C25" s="39" t="str">
        <f>[1]一覧!C25</f>
        <v>東京公舎１２０号</v>
      </c>
      <c r="D25" s="40" t="n"/>
      <c r="E25" s="40" t="n"/>
      <c r="F25" s="41">
        <f>[1]一覧!P25</f>
        <v>100000</v>
      </c>
      <c r="G25" s="156">
        <f>F25*0.2</f>
        <v>20000</v>
      </c>
      <c r="H25" s="43">
        <f>[1]一覧!F25</f>
        <v>39417</v>
      </c>
      <c r="I25" s="44" t="str">
        <f>[1]一覧!G25</f>
        <v>ＲＣ</v>
      </c>
      <c r="J25" s="157" t="inlineStr">
        <is>
          <t>東京事務所職員等</t>
        </is>
      </c>
      <c r="K25" s="158" t="str">
        <f>IFERROR(INDEX(区分設定!$C$6:$C$40,MATCH(I25,区分設定!$B$6:$B$40,0)),"要確認")</f>
        <v>鉄骨・RC造</v>
      </c>
      <c r="L25" s="159">
        <f>DATEDIF(H25,$L$5,"Y")</f>
        <v>18</v>
      </c>
      <c r="M25" s="172" t="n">
        <v>29</v>
      </c>
      <c r="N25" s="160" t="inlineStr">
        <is>
          <t>無</t>
        </is>
      </c>
      <c r="O25" s="161">
        <f>INDEX(基準額表!$C$7:$G$8,MATCH($J25,基準額表!$B$7:$B$8,0),MATCH($M25,基準額表!$C$4:$G$4,1))</f>
        <v>696</v>
      </c>
      <c r="P25" s="173">
        <f>INDEX(控除額表!$F$6:$J$300,MATCH($N25&amp;"|"&amp;$K25&amp;"|"&amp;$J25,控除額表!$A$6:$A$300,0)+COUNTIFS(控除額表!$A$6:$A$300,$N25&amp;"|"&amp;$K25&amp;"|"&amp;$J25,控除額表!$E$6:$E$300,"&lt;="&amp;$L25)-1,MATCH($M25,控除額表!$F$4:$J$4,1))</f>
        <v>83</v>
      </c>
      <c r="Q25" s="162">
        <f>ROUNDDOWN((O25-P25)*M25,-1)</f>
        <v>17770</v>
      </c>
      <c r="R25" s="163">
        <f>IF(G25&gt;Q25,G25,Q25)</f>
        <v>20000</v>
      </c>
      <c r="S25" s="49" t="str">
        <f>DBCS(FIXED(TEXT(R25,"@"),0))</f>
        <v>２０，０００</v>
      </c>
      <c r="T25" s="164" t="n">
        <v>20000</v>
      </c>
      <c r="U25" s="165" t="str">
        <f>IF(AND(R25&lt;&gt;T25,X25="継続"),"○","")</f>
        <v/>
      </c>
      <c r="V25" s="166" t="n">
        <v>31</v>
      </c>
      <c r="W25" s="167">
        <f>ROUNDDOWN(R25*V25/$W$4,0)</f>
        <v>20000</v>
      </c>
      <c r="X25" s="168" t="n"/>
      <c r="Y25" s="169" t="n"/>
      <c r="Z25" s="170" t="n"/>
      <c r="AA25" s="30" t="n"/>
      <c r="AB25" s="31" t="n"/>
    </row>
    <row r="26" ht="18" customFormat="1" customHeight="1" s="32">
      <c r="B26" s="38">
        <f>ROW()-6</f>
        <v>20</v>
      </c>
      <c r="C26" s="39" t="str">
        <f>[1]一覧!C26</f>
        <v>東京公舎１２１号</v>
      </c>
      <c r="D26" s="40" t="n"/>
      <c r="E26" s="40" t="n"/>
      <c r="F26" s="41">
        <f>[1]一覧!P26</f>
        <v>92000</v>
      </c>
      <c r="G26" s="156">
        <f>F26*0.2</f>
        <v>18400</v>
      </c>
      <c r="H26" s="43">
        <f>[1]一覧!F26</f>
        <v>36100</v>
      </c>
      <c r="I26" s="44" t="str">
        <f>[1]一覧!G26</f>
        <v>SRC</v>
      </c>
      <c r="J26" s="157" t="inlineStr">
        <is>
          <t>東京事務所職員等</t>
        </is>
      </c>
      <c r="K26" s="158" t="str">
        <f>IFERROR(INDEX(区分設定!$C$6:$C$40,MATCH(I26,区分設定!$B$6:$B$40,0)),"要確認")</f>
        <v>鉄骨・RC造</v>
      </c>
      <c r="L26" s="159">
        <f>DATEDIF(H26,$L$5,"Y")</f>
        <v>27</v>
      </c>
      <c r="M26" s="172" t="n">
        <v>32</v>
      </c>
      <c r="N26" s="160" t="inlineStr">
        <is>
          <t>有</t>
        </is>
      </c>
      <c r="O26" s="161">
        <f>INDEX(基準額表!$C$7:$G$8,MATCH($J26,基準額表!$B$7:$B$8,0),MATCH($M26,基準額表!$C$4:$G$4,1))</f>
        <v>696</v>
      </c>
      <c r="P26" s="173">
        <f>INDEX(控除額表!$F$6:$J$300,MATCH($N26&amp;"|"&amp;$K26&amp;"|"&amp;$J26,控除額表!$A$6:$A$300,0)+COUNTIFS(控除額表!$A$6:$A$300,$N26&amp;"|"&amp;$K26&amp;"|"&amp;$J26,控除額表!$E$6:$E$300,"&lt;="&amp;$L26)-1,MATCH($M26,控除額表!$F$4:$J$4,1))</f>
        <v>337</v>
      </c>
      <c r="Q26" s="162">
        <f>ROUNDDOWN((O26-P26)*M26,-1)</f>
        <v>11480</v>
      </c>
      <c r="R26" s="163">
        <f>IF(G26&gt;Q26,G26,Q26)</f>
        <v>18400</v>
      </c>
      <c r="S26" s="49" t="str">
        <f>DBCS(FIXED(TEXT(R26,"@"),0))</f>
        <v>１８，４００</v>
      </c>
      <c r="T26" s="171" t="n">
        <v>18400</v>
      </c>
      <c r="U26" s="165" t="str">
        <f>IF(AND(R26&lt;&gt;T26,X26="継続"),"○","")</f>
        <v/>
      </c>
      <c r="V26" s="166" t="n">
        <v>31</v>
      </c>
      <c r="W26" s="167">
        <f>ROUNDDOWN(R26*V26/$W$4,0)</f>
        <v>18400</v>
      </c>
      <c r="X26" s="168" t="n"/>
      <c r="Y26" s="169" t="n"/>
      <c r="Z26" s="170" t="n"/>
      <c r="AA26" s="30" t="n"/>
      <c r="AB26" s="31" t="n"/>
    </row>
    <row r="27" ht="18" customFormat="1" customHeight="1" s="32">
      <c r="B27" s="38">
        <f>ROW()-6</f>
        <v>21</v>
      </c>
      <c r="C27" s="39" t="str">
        <f>[1]一覧!C27</f>
        <v>東京公舎１２２号</v>
      </c>
      <c r="D27" s="40" t="n"/>
      <c r="E27" s="40" t="n"/>
      <c r="F27" s="41">
        <f>[1]一覧!P27</f>
        <v>92000</v>
      </c>
      <c r="G27" s="156">
        <f>F27*0.2</f>
        <v>18400</v>
      </c>
      <c r="H27" s="43">
        <f>[1]一覧!F27</f>
        <v>25993</v>
      </c>
      <c r="I27" s="44" t="str">
        <f>[1]一覧!G27</f>
        <v>SRC</v>
      </c>
      <c r="J27" s="157" t="inlineStr">
        <is>
          <t>東京事務所職員等</t>
        </is>
      </c>
      <c r="K27" s="158" t="str">
        <f>IFERROR(INDEX(区分設定!$C$6:$C$40,MATCH(I27,区分設定!$B$6:$B$40,0)),"要確認")</f>
        <v>鉄骨・RC造</v>
      </c>
      <c r="L27" s="159">
        <f>DATEDIF(H27,$L$5,"Y")</f>
        <v>55</v>
      </c>
      <c r="M27" s="172" t="n">
        <v>28</v>
      </c>
      <c r="N27" s="160" t="inlineStr">
        <is>
          <t>有</t>
        </is>
      </c>
      <c r="O27" s="161">
        <f>INDEX(基準額表!$C$7:$G$8,MATCH($J27,基準額表!$B$7:$B$8,0),MATCH($M27,基準額表!$C$4:$G$4,1))</f>
        <v>696</v>
      </c>
      <c r="P27" s="173">
        <f>INDEX(控除額表!$F$6:$J$300,MATCH($N27&amp;"|"&amp;$K27&amp;"|"&amp;$J27,控除額表!$A$6:$A$300,0)+COUNTIFS(控除額表!$A$6:$A$300,$N27&amp;"|"&amp;$K27&amp;"|"&amp;$J27,控除額表!$E$6:$E$300,"&lt;="&amp;$L27)-1,MATCH($M27,控除額表!$F$4:$J$4,1))</f>
        <v>411</v>
      </c>
      <c r="Q27" s="162">
        <f>ROUNDDOWN((O27-P27)*M27,-1)</f>
        <v>7980</v>
      </c>
      <c r="R27" s="163">
        <f>IF(G27&gt;Q27,G27,Q27)</f>
        <v>18400</v>
      </c>
      <c r="S27" s="49" t="str">
        <f>DBCS(FIXED(TEXT(R27,"@"),0))</f>
        <v>１８，４００</v>
      </c>
      <c r="T27" s="164" t="n">
        <v>18400</v>
      </c>
      <c r="U27" s="165" t="str">
        <f>IF(AND(R27&lt;&gt;T27,X27="継続"),"○","")</f>
        <v/>
      </c>
      <c r="V27" s="166" t="n">
        <v>31</v>
      </c>
      <c r="W27" s="167">
        <f>ROUNDDOWN(R27*V27/$W$4,0)</f>
        <v>18400</v>
      </c>
      <c r="X27" s="168" t="n"/>
      <c r="Y27" s="169" t="n"/>
      <c r="Z27" s="170" t="n"/>
      <c r="AA27" s="30" t="n"/>
      <c r="AB27" s="31" t="n"/>
    </row>
    <row r="28" ht="18" customFormat="1" customHeight="1" s="32">
      <c r="B28" s="38">
        <f>ROW()-6</f>
        <v>22</v>
      </c>
      <c r="C28" s="39" t="str">
        <f>[1]一覧!C28</f>
        <v>東京公舎１２３号</v>
      </c>
      <c r="D28" s="40" t="n"/>
      <c r="E28" s="40" t="n"/>
      <c r="F28" s="41">
        <f>[1]一覧!P28</f>
        <v>87600</v>
      </c>
      <c r="G28" s="156">
        <f>F28*0.2</f>
        <v>17520</v>
      </c>
      <c r="H28" s="43">
        <f>[1]一覧!F28</f>
        <v>35977</v>
      </c>
      <c r="I28" s="44" t="str">
        <f>[1]一覧!G28</f>
        <v>ＲＣ</v>
      </c>
      <c r="J28" s="157" t="inlineStr">
        <is>
          <t>東京事務所職員等</t>
        </is>
      </c>
      <c r="K28" s="158" t="str">
        <f>IFERROR(INDEX(区分設定!$C$6:$C$40,MATCH(I28,区分設定!$B$6:$B$40,0)),"要確認")</f>
        <v>鉄骨・RC造</v>
      </c>
      <c r="L28" s="159">
        <f>DATEDIF(H28,$L$5,"Y")</f>
        <v>27</v>
      </c>
      <c r="M28" s="172" t="n">
        <v>25</v>
      </c>
      <c r="N28" s="160" t="inlineStr">
        <is>
          <t>有</t>
        </is>
      </c>
      <c r="O28" s="161">
        <f>INDEX(基準額表!$C$7:$G$8,MATCH($J28,基準額表!$B$7:$B$8,0),MATCH($M28,基準額表!$C$4:$G$4,1))</f>
        <v>696</v>
      </c>
      <c r="P28" s="173">
        <f>INDEX(控除額表!$F$6:$J$300,MATCH($N28&amp;"|"&amp;$K28&amp;"|"&amp;$J28,控除額表!$A$6:$A$300,0)+COUNTIFS(控除額表!$A$6:$A$300,$N28&amp;"|"&amp;$K28&amp;"|"&amp;$J28,控除額表!$E$6:$E$300,"&lt;="&amp;$L28)-1,MATCH($M28,控除額表!$F$4:$J$4,1))</f>
        <v>337</v>
      </c>
      <c r="Q28" s="162">
        <f>ROUNDDOWN((O28-P28)*M28,-1)</f>
        <v>8970</v>
      </c>
      <c r="R28" s="163">
        <f>IF(G28&gt;Q28,G28,Q28)</f>
        <v>17520</v>
      </c>
      <c r="S28" s="49" t="str">
        <f>DBCS(FIXED(TEXT(R28,"@"),0))</f>
        <v>１７，５２０</v>
      </c>
      <c r="T28" s="171" t="n">
        <v>17520</v>
      </c>
      <c r="U28" s="165" t="str">
        <f>IF(AND(R28&lt;&gt;T28,X28="継続"),"○","")</f>
        <v/>
      </c>
      <c r="V28" s="166" t="n">
        <v>31</v>
      </c>
      <c r="W28" s="167">
        <f>ROUNDDOWN(R28*V28/$W$4,0)</f>
        <v>17520</v>
      </c>
      <c r="X28" s="168" t="n"/>
      <c r="Y28" s="169" t="n"/>
      <c r="Z28" s="170" t="n"/>
      <c r="AA28" s="30" t="n"/>
      <c r="AB28" s="31" t="n"/>
    </row>
    <row r="29" ht="18" customFormat="1" customHeight="1" s="32">
      <c r="B29" s="38">
        <f>ROW()-6</f>
        <v>23</v>
      </c>
      <c r="C29" s="39" t="str">
        <f>[1]一覧!C29</f>
        <v>東京公舎１２５号</v>
      </c>
      <c r="D29" s="40" t="n"/>
      <c r="E29" s="40" t="n"/>
      <c r="F29" s="41">
        <f>[1]一覧!P29</f>
        <v>95000</v>
      </c>
      <c r="G29" s="156">
        <f>F29*0.2</f>
        <v>19000</v>
      </c>
      <c r="H29" s="43">
        <f>[1]一覧!F29</f>
        <v>39142</v>
      </c>
      <c r="I29" s="44" t="str">
        <f>[1]一覧!G29</f>
        <v>ＲＣ</v>
      </c>
      <c r="J29" s="157" t="inlineStr">
        <is>
          <t>東京事務所職員等</t>
        </is>
      </c>
      <c r="K29" s="158" t="str">
        <f>IFERROR(INDEX(区分設定!$C$6:$C$40,MATCH(I29,区分設定!$B$6:$B$40,0)),"要確認")</f>
        <v>鉄骨・RC造</v>
      </c>
      <c r="L29" s="159">
        <f>DATEDIF(H29,$L$5,"Y")</f>
        <v>19</v>
      </c>
      <c r="M29" s="172" t="n">
        <v>19</v>
      </c>
      <c r="N29" s="160" t="inlineStr">
        <is>
          <t>無</t>
        </is>
      </c>
      <c r="O29" s="161">
        <f>INDEX(基準額表!$C$7:$G$8,MATCH($J29,基準額表!$B$7:$B$8,0),MATCH($M29,基準額表!$C$4:$G$4,1))</f>
        <v>696</v>
      </c>
      <c r="P29" s="173">
        <f>INDEX(控除額表!$F$6:$J$300,MATCH($N29&amp;"|"&amp;$K29&amp;"|"&amp;$J29,控除額表!$A$6:$A$300,0)+COUNTIFS(控除額表!$A$6:$A$300,$N29&amp;"|"&amp;$K29&amp;"|"&amp;$J29,控除額表!$E$6:$E$300,"&lt;="&amp;$L29)-1,MATCH($M29,控除額表!$F$4:$J$4,1))</f>
        <v>83</v>
      </c>
      <c r="Q29" s="162">
        <f>ROUNDDOWN((O29-P29)*M29,-1)</f>
        <v>11640</v>
      </c>
      <c r="R29" s="163">
        <f>IF(G29&gt;Q29,G29,Q29)</f>
        <v>19000</v>
      </c>
      <c r="S29" s="49" t="str">
        <f>DBCS(FIXED(TEXT(R29,"@"),0))</f>
        <v>１９，０００</v>
      </c>
      <c r="T29" s="164" t="n">
        <v>19000</v>
      </c>
      <c r="U29" s="165" t="str">
        <f>IF(AND(R29&lt;&gt;T29,X29="継続"),"○","")</f>
        <v/>
      </c>
      <c r="V29" s="166" t="n">
        <v>31</v>
      </c>
      <c r="W29" s="167">
        <f>ROUNDDOWN(R29*V29/$W$4,0)</f>
        <v>19000</v>
      </c>
      <c r="X29" s="168" t="n"/>
      <c r="Y29" s="169" t="n"/>
      <c r="Z29" s="170" t="n"/>
      <c r="AA29" s="30" t="n"/>
      <c r="AB29" s="31" t="n"/>
    </row>
    <row r="30" ht="18" customFormat="1" customHeight="1" s="32">
      <c r="B30" s="38">
        <f>ROW()-6</f>
        <v>24</v>
      </c>
      <c r="C30" s="39" t="str">
        <f>[1]一覧!C30</f>
        <v>東京公舎１２６号</v>
      </c>
      <c r="D30" s="40" t="n"/>
      <c r="E30" s="40" t="n"/>
      <c r="F30" s="41">
        <f>[1]一覧!P30</f>
        <v>135000</v>
      </c>
      <c r="G30" s="156">
        <f>F30*0.2</f>
        <v>27000</v>
      </c>
      <c r="H30" s="43">
        <f>[1]一覧!F30</f>
        <v>45108</v>
      </c>
      <c r="I30" s="44" t="str">
        <f>[1]一覧!G30</f>
        <v>ＲＣ</v>
      </c>
      <c r="J30" s="157" t="inlineStr">
        <is>
          <t>東京事務所職員等</t>
        </is>
      </c>
      <c r="K30" s="158" t="str">
        <f>IFERROR(INDEX(区分設定!$C$6:$C$40,MATCH(I30,区分設定!$B$6:$B$40,0)),"要確認")</f>
        <v>鉄骨・RC造</v>
      </c>
      <c r="L30" s="159">
        <f>DATEDIF(H30,$L$5,"Y")</f>
        <v>2</v>
      </c>
      <c r="M30" s="172" t="n">
        <v>30</v>
      </c>
      <c r="N30" s="160" t="inlineStr">
        <is>
          <t>有</t>
        </is>
      </c>
      <c r="O30" s="161">
        <f>INDEX(基準額表!$C$7:$G$8,MATCH($J30,基準額表!$B$7:$B$8,0),MATCH($M30,基準額表!$C$4:$G$4,1))</f>
        <v>696</v>
      </c>
      <c r="P30" s="173">
        <f>INDEX(控除額表!$F$6:$J$300,MATCH($N30&amp;"|"&amp;$K30&amp;"|"&amp;$J30,控除額表!$A$6:$A$300,0)+COUNTIFS(控除額表!$A$6:$A$300,$N30&amp;"|"&amp;$K30&amp;"|"&amp;$J30,控除額表!$E$6:$E$300,"&lt;="&amp;$L30)-1,MATCH($M30,控除額表!$F$4:$J$4,1))</f>
        <v>160</v>
      </c>
      <c r="Q30" s="162">
        <f>ROUNDDOWN((O30-P30)*M30,-1)</f>
        <v>16080</v>
      </c>
      <c r="R30" s="163">
        <f>IF(G30&gt;Q30,G30,Q30)</f>
        <v>27000</v>
      </c>
      <c r="S30" s="49" t="str">
        <f>DBCS(FIXED(TEXT(R30,"@"),0))</f>
        <v>２７，０００</v>
      </c>
      <c r="T30" s="164" t="n">
        <v>27000</v>
      </c>
      <c r="U30" s="165" t="str">
        <f>IF(AND(R30&lt;&gt;T30,X30="継続"),"○","")</f>
        <v/>
      </c>
      <c r="V30" s="166" t="n">
        <v>31</v>
      </c>
      <c r="W30" s="167">
        <f>ROUNDDOWN(R30*V30/$W$4,0)</f>
        <v>27000</v>
      </c>
      <c r="X30" s="168" t="n"/>
      <c r="Y30" s="169" t="n"/>
      <c r="Z30" s="170" t="n"/>
      <c r="AA30" s="30" t="n"/>
      <c r="AB30" s="31" t="n"/>
    </row>
    <row r="31" ht="18" customFormat="1" customHeight="1" s="32">
      <c r="B31" s="38">
        <f>ROW()-6</f>
        <v>25</v>
      </c>
      <c r="C31" s="39" t="str">
        <f>[1]一覧!C31</f>
        <v>東京公舎１２７号</v>
      </c>
      <c r="D31" s="40" t="n"/>
      <c r="E31" s="40" t="n"/>
      <c r="F31" s="41">
        <f>[1]一覧!P31</f>
        <v>95000</v>
      </c>
      <c r="G31" s="156">
        <f>F31*0.2</f>
        <v>19000</v>
      </c>
      <c r="H31" s="43">
        <f>[1]一覧!F31</f>
        <v>38808</v>
      </c>
      <c r="I31" s="44" t="str">
        <f>[1]一覧!G31</f>
        <v>ＲＣ</v>
      </c>
      <c r="J31" s="157" t="inlineStr">
        <is>
          <t>東京事務所職員等</t>
        </is>
      </c>
      <c r="K31" s="158" t="str">
        <f>IFERROR(INDEX(区分設定!$C$6:$C$40,MATCH(I31,区分設定!$B$6:$B$40,0)),"要確認")</f>
        <v>鉄骨・RC造</v>
      </c>
      <c r="L31" s="159">
        <f>DATEDIF(H31,$L$5,"Y")</f>
        <v>20</v>
      </c>
      <c r="M31" s="172" t="n">
        <v>23</v>
      </c>
      <c r="N31" s="160" t="inlineStr">
        <is>
          <t>有</t>
        </is>
      </c>
      <c r="O31" s="161">
        <f>INDEX(基準額表!$C$7:$G$8,MATCH($J31,基準額表!$B$7:$B$8,0),MATCH($M31,基準額表!$C$4:$G$4,1))</f>
        <v>696</v>
      </c>
      <c r="P31" s="173">
        <f>INDEX(控除額表!$F$6:$J$300,MATCH($N31&amp;"|"&amp;$K31&amp;"|"&amp;$J31,控除額表!$A$6:$A$300,0)+COUNTIFS(控除額表!$A$6:$A$300,$N31&amp;"|"&amp;$K31&amp;"|"&amp;$J31,控除額表!$E$6:$E$300,"&lt;="&amp;$L31)-1,MATCH($M31,控除額表!$F$4:$J$4,1))</f>
        <v>317</v>
      </c>
      <c r="Q31" s="162">
        <f>ROUNDDOWN((O31-P31)*M31,-1)</f>
        <v>8710</v>
      </c>
      <c r="R31" s="163">
        <f>IF(G31&gt;Q31,G31,Q31)</f>
        <v>19000</v>
      </c>
      <c r="S31" s="49" t="str">
        <f>DBCS(FIXED(TEXT(R31,"@"),0))</f>
        <v>１９，０００</v>
      </c>
      <c r="T31" s="164" t="n">
        <v>19000</v>
      </c>
      <c r="U31" s="165" t="str">
        <f>IF(AND(R31&lt;&gt;T31,X31="継続"),"○","")</f>
        <v/>
      </c>
      <c r="V31" s="166" t="n">
        <v>31</v>
      </c>
      <c r="W31" s="167">
        <f>ROUNDDOWN(R31*V31/$W$4,0)</f>
        <v>19000</v>
      </c>
      <c r="X31" s="168" t="n"/>
      <c r="Y31" s="169" t="n"/>
      <c r="Z31" s="170" t="n"/>
      <c r="AA31" s="30" t="n"/>
      <c r="AB31" s="31" t="n"/>
    </row>
    <row r="32" ht="18" customFormat="1" customHeight="1" s="32">
      <c r="B32" s="38">
        <f>ROW()-6</f>
        <v>26</v>
      </c>
      <c r="C32" s="39" t="str">
        <f>[1]一覧!C32</f>
        <v>東京公舎１２８号</v>
      </c>
      <c r="D32" s="40" t="n"/>
      <c r="E32" s="40" t="n"/>
      <c r="F32" s="41">
        <f>[1]一覧!P32</f>
        <v>127000</v>
      </c>
      <c r="G32" s="156">
        <f>F32*0.2</f>
        <v>25400</v>
      </c>
      <c r="H32" s="43">
        <f>[1]一覧!F32</f>
        <v>37347</v>
      </c>
      <c r="I32" s="44" t="str">
        <f>[1]一覧!G32</f>
        <v>ＲＣ</v>
      </c>
      <c r="J32" s="157" t="inlineStr">
        <is>
          <t>東京事務所職員等</t>
        </is>
      </c>
      <c r="K32" s="158" t="str">
        <f>IFERROR(INDEX(区分設定!$C$6:$C$40,MATCH(I32,区分設定!$B$6:$B$40,0)),"要確認")</f>
        <v>鉄骨・RC造</v>
      </c>
      <c r="L32" s="159">
        <f>DATEDIF(H32,$L$5,"Y")</f>
        <v>24</v>
      </c>
      <c r="M32" s="172" t="n">
        <v>35</v>
      </c>
      <c r="N32" s="160" t="inlineStr">
        <is>
          <t>有</t>
        </is>
      </c>
      <c r="O32" s="161">
        <f>INDEX(基準額表!$C$7:$G$8,MATCH($J32,基準額表!$B$7:$B$8,0),MATCH($M32,基準額表!$C$4:$G$4,1))</f>
        <v>696</v>
      </c>
      <c r="P32" s="173">
        <f>INDEX(控除額表!$F$6:$J$300,MATCH($N32&amp;"|"&amp;$K32&amp;"|"&amp;$J32,控除額表!$A$6:$A$300,0)+COUNTIFS(控除額表!$A$6:$A$300,$N32&amp;"|"&amp;$K32&amp;"|"&amp;$J32,控除額表!$E$6:$E$300,"&lt;="&amp;$L32)-1,MATCH($M32,控除額表!$F$4:$J$4,1))</f>
        <v>317</v>
      </c>
      <c r="Q32" s="162">
        <f>ROUNDDOWN((O32-P32)*M32,-1)</f>
        <v>13260</v>
      </c>
      <c r="R32" s="163">
        <f>IF(G32&gt;Q32,G32,Q32)</f>
        <v>25400</v>
      </c>
      <c r="S32" s="49" t="str">
        <f>DBCS(FIXED(TEXT(R32,"@"),0))</f>
        <v>２５，４００</v>
      </c>
      <c r="T32" s="164" t="n">
        <v>25400</v>
      </c>
      <c r="U32" s="165" t="str">
        <f>IF(AND(R32&lt;&gt;T32,X32="継続"),"○","")</f>
        <v/>
      </c>
      <c r="V32" s="166" t="n">
        <v>31</v>
      </c>
      <c r="W32" s="167">
        <f>ROUNDDOWN(R32*V32/$W$4,0)</f>
        <v>25400</v>
      </c>
      <c r="X32" s="168" t="n"/>
      <c r="Y32" s="169" t="n"/>
      <c r="Z32" s="170" t="n"/>
      <c r="AA32" s="30" t="n"/>
      <c r="AB32" s="31" t="n"/>
    </row>
    <row r="33" ht="18" customFormat="1" customHeight="1" s="32">
      <c r="B33" s="38">
        <f>ROW()-6</f>
        <v>27</v>
      </c>
      <c r="C33" s="39" t="str">
        <f>[1]一覧!C33</f>
        <v>東京公舎１２９号</v>
      </c>
      <c r="D33" s="40" t="n"/>
      <c r="E33" s="40" t="n"/>
      <c r="F33" s="41">
        <f>[1]一覧!P33</f>
        <v>150000</v>
      </c>
      <c r="G33" s="156">
        <f>F33*0.2</f>
        <v>30000</v>
      </c>
      <c r="H33" s="43">
        <f>[1]一覧!F33</f>
        <v>34912</v>
      </c>
      <c r="I33" s="44" t="str">
        <f>[1]一覧!G33</f>
        <v>ＲＣ</v>
      </c>
      <c r="J33" s="157" t="inlineStr">
        <is>
          <t>東京事務所職員等</t>
        </is>
      </c>
      <c r="K33" s="158" t="str">
        <f>IFERROR(INDEX(区分設定!$C$6:$C$40,MATCH(I33,区分設定!$B$6:$B$40,0)),"要確認")</f>
        <v>鉄骨・RC造</v>
      </c>
      <c r="L33" s="159">
        <f>DATEDIF(H33,$L$5,"Y")</f>
        <v>30</v>
      </c>
      <c r="M33" s="172" t="n">
        <v>59</v>
      </c>
      <c r="N33" s="160" t="inlineStr">
        <is>
          <t>無</t>
        </is>
      </c>
      <c r="O33" s="161">
        <f>INDEX(基準額表!$C$7:$G$8,MATCH($J33,基準額表!$B$7:$B$8,0),MATCH($M33,基準額表!$C$4:$G$4,1))</f>
        <v>870</v>
      </c>
      <c r="P33" s="173">
        <f>INDEX(控除額表!$F$6:$J$300,MATCH($N33&amp;"|"&amp;$K33&amp;"|"&amp;$J33,控除額表!$A$6:$A$300,0)+COUNTIFS(控除額表!$A$6:$A$300,$N33&amp;"|"&amp;$K33&amp;"|"&amp;$J33,控除額表!$E$6:$E$300,"&lt;="&amp;$L33)-1,MATCH($M33,控除額表!$F$4:$J$4,1))</f>
        <v>207</v>
      </c>
      <c r="Q33" s="162">
        <f>ROUNDDOWN((O33-P33)*M33,-1)</f>
        <v>39110</v>
      </c>
      <c r="R33" s="163">
        <f>IF(G33&gt;Q33,G33,Q33)</f>
        <v>39110</v>
      </c>
      <c r="S33" s="49" t="str">
        <f>DBCS(FIXED(TEXT(R33,"@"),0))</f>
        <v>３９，１１０</v>
      </c>
      <c r="T33" s="171" t="inlineStr">
        <is>
          <t>－</t>
        </is>
      </c>
      <c r="U33" s="165" t="str">
        <f>IF(AND(R33&lt;&gt;T33,X33="継続"),"○","")</f>
        <v/>
      </c>
      <c r="V33" s="166" t="n">
        <v>31</v>
      </c>
      <c r="W33" s="167">
        <f>ROUNDDOWN(R33*V33/$W$4,0)</f>
        <v>39110</v>
      </c>
      <c r="X33" s="168" t="n"/>
      <c r="Y33" s="169" t="n"/>
      <c r="Z33" s="170" t="n"/>
      <c r="AA33" s="30" t="n"/>
      <c r="AB33" s="31" t="n"/>
    </row>
    <row r="34" ht="18" customFormat="1" customHeight="1" s="32">
      <c r="B34" s="38">
        <f>ROW()-6</f>
        <v>28</v>
      </c>
      <c r="C34" s="39" t="str">
        <f>[1]一覧!C34</f>
        <v>札幌公舎</v>
      </c>
      <c r="D34" s="40" t="n"/>
      <c r="E34" s="40" t="n"/>
      <c r="F34" s="41">
        <f>[1]一覧!P34</f>
        <v>78000</v>
      </c>
      <c r="G34" s="156">
        <f>F34*0.2</f>
        <v>15600</v>
      </c>
      <c r="H34" s="43">
        <f>[1]一覧!F34</f>
        <v>39142</v>
      </c>
      <c r="I34" s="44" t="str">
        <f>[1]一覧!G34</f>
        <v>ＲＣ</v>
      </c>
      <c r="J34" s="157" t="inlineStr">
        <is>
          <t>その他</t>
        </is>
      </c>
      <c r="K34" s="158" t="str">
        <f>IFERROR(INDEX(区分設定!$C$6:$C$40,MATCH(I34,区分設定!$B$6:$B$40,0)),"要確認")</f>
        <v>鉄骨・RC造</v>
      </c>
      <c r="L34" s="159">
        <f>DATEDIF(H34,$L$5,"Y")</f>
        <v>19</v>
      </c>
      <c r="M34" s="172" t="n">
        <v>39</v>
      </c>
      <c r="N34" s="160" t="inlineStr">
        <is>
          <t>無</t>
        </is>
      </c>
      <c r="O34" s="173">
        <f>INDEX(基準額表!$C$7:$G$8,MATCH($J34,基準額表!$B$7:$B$8,0),MATCH($M34,基準額表!$C$4:$G$4,1))</f>
        <v>498</v>
      </c>
      <c r="P34" s="173">
        <f>INDEX(控除額表!$F$6:$J$300,MATCH($N34&amp;"|"&amp;$K34&amp;"|"&amp;$J34,控除額表!$A$6:$A$300,0)+COUNTIFS(控除額表!$A$6:$A$300,$N34&amp;"|"&amp;$K34&amp;"|"&amp;$J34,控除額表!$E$6:$E$300,"&lt;="&amp;$L34)-1,MATCH($M34,控除額表!$F$4:$J$4,1))</f>
        <v>83</v>
      </c>
      <c r="Q34" s="162">
        <f>ROUNDDOWN((O34-P34)*M34,-1)</f>
        <v>16180</v>
      </c>
      <c r="R34" s="163">
        <f>IF(G34&gt;Q34,G34,Q34)</f>
        <v>16180</v>
      </c>
      <c r="S34" s="49" t="str">
        <f>DBCS(FIXED(TEXT(R34,"@"),0))</f>
        <v>１６，１８０</v>
      </c>
      <c r="T34" s="164" t="n">
        <v>16180</v>
      </c>
      <c r="U34" s="165" t="str">
        <f>IF(AND(R34&lt;&gt;T34,X34="継続"),"○","")</f>
        <v/>
      </c>
      <c r="V34" s="166" t="n">
        <v>31</v>
      </c>
      <c r="W34" s="167">
        <f>ROUNDDOWN(R34*V34/$W$4,0)</f>
        <v>16180</v>
      </c>
      <c r="X34" s="168" t="n"/>
      <c r="Y34" s="169" t="n"/>
      <c r="Z34" s="170" t="n"/>
      <c r="AA34" s="30" t="n"/>
      <c r="AB34" s="31" t="n"/>
    </row>
    <row r="35" ht="18" customHeight="1">
      <c r="B35" s="38">
        <f>ROW()-6</f>
        <v>29</v>
      </c>
      <c r="C35" s="39" t="str">
        <f>[1]一覧!C35</f>
        <v>京都公舎</v>
      </c>
      <c r="D35" s="40" t="n"/>
      <c r="E35" s="40" t="n"/>
      <c r="F35" s="41">
        <f>[1]一覧!P35</f>
        <v>70000</v>
      </c>
      <c r="G35" s="156">
        <f>F35*0.2</f>
        <v>14000</v>
      </c>
      <c r="H35" s="43">
        <f>[1]一覧!F35</f>
        <v>40210</v>
      </c>
      <c r="I35" s="44" t="str">
        <f>[1]一覧!G35</f>
        <v>ＲＣ</v>
      </c>
      <c r="J35" s="157" t="inlineStr">
        <is>
          <t>その他</t>
        </is>
      </c>
      <c r="K35" s="158" t="str">
        <f>IFERROR(INDEX(区分設定!$C$6:$C$40,MATCH(I35,区分設定!$B$6:$B$40,0)),"要確認")</f>
        <v>鉄骨・RC造</v>
      </c>
      <c r="L35" s="159">
        <f>DATEDIF(H35,$L$5,"Y")</f>
        <v>16</v>
      </c>
      <c r="M35" s="172" t="n">
        <v>28</v>
      </c>
      <c r="N35" s="160" t="inlineStr">
        <is>
          <t>無</t>
        </is>
      </c>
      <c r="O35" s="173">
        <f>INDEX(基準額表!$C$7:$G$8,MATCH($J35,基準額表!$B$7:$B$8,0),MATCH($M35,基準額表!$C$4:$G$4,1))</f>
        <v>498</v>
      </c>
      <c r="P35" s="173">
        <f>INDEX(控除額表!$F$6:$J$300,MATCH($N35&amp;"|"&amp;$K35&amp;"|"&amp;$J35,控除額表!$A$6:$A$300,0)+COUNTIFS(控除額表!$A$6:$A$300,$N35&amp;"|"&amp;$K35&amp;"|"&amp;$J35,控除額表!$E$6:$E$300,"&lt;="&amp;$L35)-1,MATCH($M35,控除額表!$F$4:$J$4,1))</f>
        <v>83</v>
      </c>
      <c r="Q35" s="162">
        <f>ROUNDDOWN((O35-P35)*M35,-1)</f>
        <v>11620</v>
      </c>
      <c r="R35" s="163">
        <f>IF(G35&gt;Q35,G35,Q35)</f>
        <v>14000</v>
      </c>
      <c r="S35" s="49" t="str">
        <f>DBCS(FIXED(TEXT(R35,"@"),0))</f>
        <v>１４，０００</v>
      </c>
      <c r="T35" s="164" t="n">
        <v>14000</v>
      </c>
      <c r="U35" s="165" t="str">
        <f>IF(AND(R35&lt;&gt;T35,X35="継続"),"○","")</f>
        <v/>
      </c>
      <c r="V35" s="166" t="n">
        <v>31</v>
      </c>
      <c r="W35" s="167">
        <f>ROUNDDOWN(R35*V35/$W$4,0)</f>
        <v>14000</v>
      </c>
      <c r="X35" s="168" t="n"/>
      <c r="Y35" s="169" t="n"/>
      <c r="Z35" s="170" t="n"/>
      <c r="AA35" s="30" t="n"/>
      <c r="AB35" s="69" t="n"/>
    </row>
    <row r="36" ht="18" customFormat="1" customHeight="1" s="32">
      <c r="B36" s="38">
        <f>ROW()-6</f>
        <v>30</v>
      </c>
      <c r="C36" s="39" t="str">
        <f>[1]一覧!C36</f>
        <v>観音町公舎</v>
      </c>
      <c r="D36" s="40" t="n"/>
      <c r="E36" s="40" t="n"/>
      <c r="F36" s="41">
        <f>[1]一覧!P36</f>
        <v>84000</v>
      </c>
      <c r="G36" s="156">
        <f>F36*0.2</f>
        <v>16800</v>
      </c>
      <c r="H36" s="43">
        <f>[1]一覧!F36</f>
        <v>37104</v>
      </c>
      <c r="I36" s="44" t="str">
        <f>[1]一覧!G36</f>
        <v>ＲＣ</v>
      </c>
      <c r="J36" s="157" t="inlineStr">
        <is>
          <t>その他</t>
        </is>
      </c>
      <c r="K36" s="158" t="str">
        <f>IFERROR(INDEX(区分設定!$C$6:$C$40,MATCH(I36,区分設定!$B$6:$B$40,0)),"要確認")</f>
        <v>鉄骨・RC造</v>
      </c>
      <c r="L36" s="159">
        <f>DATEDIF(H36,$L$5,"Y")</f>
        <v>24</v>
      </c>
      <c r="M36" s="159" t="n">
        <v>50</v>
      </c>
      <c r="N36" s="160" t="inlineStr">
        <is>
          <t>無</t>
        </is>
      </c>
      <c r="O36" s="161">
        <f>INDEX(基準額表!$C$7:$G$8,MATCH($J36,基準額表!$B$7:$B$8,0),MATCH($M36,基準額表!$C$4:$G$4,1))</f>
        <v>498</v>
      </c>
      <c r="P36" s="161">
        <f>INDEX(控除額表!$F$6:$J$300,MATCH($N36&amp;"|"&amp;$K36&amp;"|"&amp;$J36,控除額表!$A$6:$A$300,0)+COUNTIFS(控除額表!$A$6:$A$300,$N36&amp;"|"&amp;$K36&amp;"|"&amp;$J36,控除額表!$E$6:$E$300,"&lt;="&amp;$L36)-1,MATCH($M36,控除額表!$F$4:$J$4,1))</f>
        <v>111</v>
      </c>
      <c r="Q36" s="162">
        <f>ROUNDDOWN((O36-P36)*M36,-1)</f>
        <v>19350</v>
      </c>
      <c r="R36" s="163">
        <f>IF(G36&gt;Q36,G36,Q36)</f>
        <v>19350</v>
      </c>
      <c r="S36" s="49" t="str">
        <f>DBCS(FIXED(TEXT(R36,"@"),0))</f>
        <v>１９，３５０</v>
      </c>
      <c r="T36" s="164" t="n">
        <v>19350</v>
      </c>
      <c r="U36" s="165" t="str">
        <f>IF(AND(R36&lt;&gt;T36,X36="継続"),"○","")</f>
        <v/>
      </c>
      <c r="V36" s="166" t="n">
        <v>31</v>
      </c>
      <c r="W36" s="167">
        <f>ROUNDDOWN(R36*V36/$W$4,0)</f>
        <v>19350</v>
      </c>
      <c r="X36" s="168" t="n"/>
      <c r="Y36" s="169" t="n"/>
      <c r="Z36" s="170" t="n"/>
      <c r="AA36" s="30" t="n"/>
      <c r="AB36" s="31" t="n"/>
    </row>
    <row r="37" ht="18" customFormat="1" customHeight="1" s="32">
      <c r="B37" s="38">
        <f>ROW()-6</f>
        <v>31</v>
      </c>
      <c r="C37" s="39" t="str">
        <f>[1]一覧!C37</f>
        <v>鶴見町第２公舎</v>
      </c>
      <c r="D37" s="40" t="n"/>
      <c r="E37" s="40" t="n"/>
      <c r="F37" s="41" t="n">
        <v>125000</v>
      </c>
      <c r="G37" s="156">
        <f>F37*0.2</f>
        <v>25000</v>
      </c>
      <c r="H37" s="43">
        <f>[1]一覧!F37</f>
        <v>35765</v>
      </c>
      <c r="I37" s="44" t="str">
        <f>[1]一覧!G37</f>
        <v>ＲＣ</v>
      </c>
      <c r="J37" s="157" t="inlineStr">
        <is>
          <t>その他</t>
        </is>
      </c>
      <c r="K37" s="158" t="str">
        <f>IFERROR(INDEX(区分設定!$C$6:$C$40,MATCH(I37,区分設定!$B$6:$B$40,0)),"要確認")</f>
        <v>鉄骨・RC造</v>
      </c>
      <c r="L37" s="159">
        <f>DATEDIF(H37,$L$5,"Y")</f>
        <v>28</v>
      </c>
      <c r="M37" s="159" t="n">
        <v>73</v>
      </c>
      <c r="N37" s="160" t="inlineStr">
        <is>
          <t>無</t>
        </is>
      </c>
      <c r="O37" s="174">
        <f>INDEX(基準額表!$C$7:$G$8,MATCH($J37,基準額表!$B$7:$B$8,0),MATCH($M37,基準額表!$C$4:$G$4,1))</f>
        <v>809</v>
      </c>
      <c r="P37" s="161">
        <f>INDEX(控除額表!$F$6:$J$300,MATCH($N37&amp;"|"&amp;$K37&amp;"|"&amp;$J37,控除額表!$A$6:$A$300,0)+COUNTIFS(控除額表!$A$6:$A$300,$N37&amp;"|"&amp;$K37&amp;"|"&amp;$J37,控除額表!$E$6:$E$300,"&lt;="&amp;$L37)-1,MATCH($M37,控除額表!$F$4:$J$4,1))</f>
        <v>207</v>
      </c>
      <c r="Q37" s="162">
        <f>ROUNDDOWN((O37-P37)*M37,-1)</f>
        <v>43940</v>
      </c>
      <c r="R37" s="163">
        <f>IF(G37&gt;Q37,G37,Q37)</f>
        <v>43940</v>
      </c>
      <c r="S37" s="49" t="str">
        <f>DBCS(FIXED(TEXT(R37,"@"),0))</f>
        <v>４３，９４０</v>
      </c>
      <c r="T37" s="164" t="n">
        <v>43940</v>
      </c>
      <c r="U37" s="165" t="str">
        <f>IF(AND(R37&lt;&gt;T37,X37="継続"),"○","")</f>
        <v/>
      </c>
      <c r="V37" s="166" t="n">
        <v>31</v>
      </c>
      <c r="W37" s="167">
        <f>ROUNDDOWN(R37*V37/$W$4,0)</f>
        <v>43940</v>
      </c>
      <c r="X37" s="168" t="n"/>
      <c r="Y37" s="169" t="n"/>
      <c r="Z37" s="170" t="n"/>
      <c r="AA37" s="30" t="n"/>
      <c r="AB37" s="31" t="n"/>
    </row>
    <row r="38" ht="18" customFormat="1" customHeight="1" s="32">
      <c r="B38" s="38">
        <f>ROW()-6</f>
        <v>32</v>
      </c>
      <c r="C38" s="39" t="str">
        <f>[1]一覧!C38</f>
        <v>上幟町公舎</v>
      </c>
      <c r="D38" s="40" t="n"/>
      <c r="E38" s="40" t="n"/>
      <c r="F38" s="41">
        <f>[1]一覧!P38</f>
        <v>120000</v>
      </c>
      <c r="G38" s="156">
        <f>F38*0.2</f>
        <v>24000</v>
      </c>
      <c r="H38" s="43">
        <f>[1]一覧!F38</f>
        <v>34881</v>
      </c>
      <c r="I38" s="44" t="str">
        <f>[1]一覧!G38</f>
        <v>ＲＣ</v>
      </c>
      <c r="J38" s="157" t="inlineStr">
        <is>
          <t>その他</t>
        </is>
      </c>
      <c r="K38" s="158" t="str">
        <f>IFERROR(INDEX(区分設定!$C$6:$C$40,MATCH(I38,区分設定!$B$6:$B$40,0)),"要確認")</f>
        <v>鉄骨・RC造</v>
      </c>
      <c r="L38" s="159">
        <f>DATEDIF(H38,$L$5,"Y")</f>
        <v>30</v>
      </c>
      <c r="M38" s="159" t="n">
        <v>75</v>
      </c>
      <c r="N38" s="160" t="inlineStr">
        <is>
          <t>無</t>
        </is>
      </c>
      <c r="O38" s="161">
        <f>INDEX(基準額表!$C$7:$G$8,MATCH($J38,基準額表!$B$7:$B$8,0),MATCH($M38,基準額表!$C$4:$G$4,1))</f>
        <v>809</v>
      </c>
      <c r="P38" s="161">
        <f>INDEX(控除額表!$F$6:$J$300,MATCH($N38&amp;"|"&amp;$K38&amp;"|"&amp;$J38,控除額表!$A$6:$A$300,0)+COUNTIFS(控除額表!$A$6:$A$300,$N38&amp;"|"&amp;$K38&amp;"|"&amp;$J38,控除額表!$E$6:$E$300,"&lt;="&amp;$L38)-1,MATCH($M38,控除額表!$F$4:$J$4,1))</f>
        <v>248</v>
      </c>
      <c r="Q38" s="162">
        <f>ROUNDDOWN((O38-P38)*M38,-1)</f>
        <v>42070</v>
      </c>
      <c r="R38" s="163">
        <f>IF(G38&gt;Q38,G38,Q38)</f>
        <v>42070</v>
      </c>
      <c r="S38" s="49" t="str">
        <f>DBCS(FIXED(TEXT(R38,"@"),0))</f>
        <v>４２，０７０</v>
      </c>
      <c r="T38" s="164" t="n">
        <v>45150</v>
      </c>
      <c r="U38" s="165" t="str">
        <f>IF(AND(R38&lt;&gt;T38,X38="継続"),"○","")</f>
        <v/>
      </c>
      <c r="V38" s="166" t="n">
        <v>31</v>
      </c>
      <c r="W38" s="167">
        <f>ROUNDDOWN(R38*V38/$W$4,0)</f>
        <v>42070</v>
      </c>
      <c r="X38" s="168" t="n"/>
      <c r="Y38" s="169" t="n"/>
      <c r="Z38" s="170" t="n"/>
      <c r="AA38" s="30" t="n"/>
      <c r="AB38" s="31" t="n"/>
    </row>
    <row r="39" ht="18" customFormat="1" customHeight="1" s="32">
      <c r="B39" s="38">
        <f>ROW()-6</f>
        <v>33</v>
      </c>
      <c r="C39" s="39" t="str">
        <f>[1]一覧!C39</f>
        <v>国泰寺公舎</v>
      </c>
      <c r="D39" s="40" t="n"/>
      <c r="E39" s="40" t="n"/>
      <c r="F39" s="41">
        <f>[1]一覧!P39</f>
        <v>70000</v>
      </c>
      <c r="G39" s="156">
        <f>F39*0.2</f>
        <v>14000</v>
      </c>
      <c r="H39" s="43">
        <f>[1]一覧!F39</f>
        <v>36192</v>
      </c>
      <c r="I39" s="44" t="str">
        <f>[1]一覧!G39</f>
        <v>ＲＣ</v>
      </c>
      <c r="J39" s="157" t="inlineStr">
        <is>
          <t>その他</t>
        </is>
      </c>
      <c r="K39" s="158" t="str">
        <f>IFERROR(INDEX(区分設定!$C$6:$C$40,MATCH(I39,区分設定!$B$6:$B$40,0)),"要確認")</f>
        <v>鉄骨・RC造</v>
      </c>
      <c r="L39" s="159">
        <f>DATEDIF(H39,$L$5,"Y")</f>
        <v>27</v>
      </c>
      <c r="M39" s="159" t="n">
        <v>40</v>
      </c>
      <c r="N39" s="160" t="inlineStr">
        <is>
          <t>無</t>
        </is>
      </c>
      <c r="O39" s="161">
        <f>INDEX(基準額表!$C$7:$G$8,MATCH($J39,基準額表!$B$7:$B$8,0),MATCH($M39,基準額表!$C$4:$G$4,1))</f>
        <v>498</v>
      </c>
      <c r="P39" s="161">
        <f>INDEX(控除額表!$F$6:$J$300,MATCH($N39&amp;"|"&amp;$K39&amp;"|"&amp;$J39,控除額表!$A$6:$A$300,0)+COUNTIFS(控除額表!$A$6:$A$300,$N39&amp;"|"&amp;$K39&amp;"|"&amp;$J39,控除額表!$E$6:$E$300,"&lt;="&amp;$L39)-1,MATCH($M39,控除額表!$F$4:$J$4,1))</f>
        <v>138</v>
      </c>
      <c r="Q39" s="162">
        <f>ROUNDDOWN((O39-P39)*M39,-1)</f>
        <v>14400</v>
      </c>
      <c r="R39" s="163">
        <f>IF(G39&gt;Q39,G39,Q39)</f>
        <v>14400</v>
      </c>
      <c r="S39" s="49" t="str">
        <f>DBCS(FIXED(TEXT(R39,"@"),0))</f>
        <v>１４，４００</v>
      </c>
      <c r="T39" s="164" t="n">
        <v>14400</v>
      </c>
      <c r="U39" s="165" t="str">
        <f>IF(AND(R39&lt;&gt;T39,X39="継続"),"○","")</f>
        <v/>
      </c>
      <c r="V39" s="166" t="n">
        <v>31</v>
      </c>
      <c r="W39" s="167">
        <f>ROUNDDOWN(R39*V39/$W$4,0)</f>
        <v>14400</v>
      </c>
      <c r="X39" s="168" t="n"/>
      <c r="Y39" s="169" t="n"/>
      <c r="Z39" s="170" t="n"/>
      <c r="AA39" s="30" t="n"/>
      <c r="AB39" s="31" t="n"/>
    </row>
    <row r="40" ht="18" customFormat="1" customHeight="1" s="32">
      <c r="B40" s="38">
        <f>ROW()-6</f>
        <v>34</v>
      </c>
      <c r="C40" s="39" t="str">
        <f>[1]一覧!C40</f>
        <v>西川口町公舎</v>
      </c>
      <c r="D40" s="40" t="n"/>
      <c r="E40" s="40" t="n"/>
      <c r="F40" s="41">
        <f>[1]一覧!P40</f>
        <v>70000</v>
      </c>
      <c r="G40" s="156">
        <f>F40*0.2</f>
        <v>14000</v>
      </c>
      <c r="H40" s="43">
        <f>[1]一覧!F40</f>
        <v>35125</v>
      </c>
      <c r="I40" s="44" t="str">
        <f>[1]一覧!G40</f>
        <v>鉄骨造</v>
      </c>
      <c r="J40" s="157" t="inlineStr">
        <is>
          <t>その他</t>
        </is>
      </c>
      <c r="K40" s="158" t="str">
        <f>IFERROR(INDEX(区分設定!$C$6:$C$40,MATCH(I40,区分設定!$B$6:$B$40,0)),"要確認")</f>
        <v>鉄骨・RC造</v>
      </c>
      <c r="L40" s="159">
        <f>DATEDIF(H40,$L$5,"Y")</f>
        <v>30</v>
      </c>
      <c r="M40" s="159" t="n">
        <v>61</v>
      </c>
      <c r="N40" s="160" t="inlineStr">
        <is>
          <t>無</t>
        </is>
      </c>
      <c r="O40" s="161">
        <f>INDEX(基準額表!$C$7:$G$8,MATCH($J40,基準額表!$B$7:$B$8,0),MATCH($M40,基準額表!$C$4:$G$4,1))</f>
        <v>622</v>
      </c>
      <c r="P40" s="161">
        <f>INDEX(控除額表!$F$6:$J$300,MATCH($N40&amp;"|"&amp;$K40&amp;"|"&amp;$J40,控除額表!$A$6:$A$300,0)+COUNTIFS(控除額表!$A$6:$A$300,$N40&amp;"|"&amp;$K40&amp;"|"&amp;$J40,控除額表!$E$6:$E$300,"&lt;="&amp;$L40)-1,MATCH($M40,控除額表!$F$4:$J$4,1))</f>
        <v>207</v>
      </c>
      <c r="Q40" s="162">
        <f>ROUNDDOWN((O40-P40)*M40,-1)</f>
        <v>25310</v>
      </c>
      <c r="R40" s="163">
        <f>IF(G40&gt;Q40,G40,Q40)</f>
        <v>25310</v>
      </c>
      <c r="S40" s="49" t="str">
        <f>DBCS(FIXED(TEXT(R40,"@"),0))</f>
        <v>２５，３１０</v>
      </c>
      <c r="T40" s="164" t="n">
        <v>27380</v>
      </c>
      <c r="U40" s="165" t="str">
        <f>IF(AND(R40&lt;&gt;T40,X40="継続"),"○","")</f>
        <v/>
      </c>
      <c r="V40" s="166" t="n">
        <v>31</v>
      </c>
      <c r="W40" s="167">
        <f>ROUNDDOWN(R40*V40/$W$4,0)</f>
        <v>25310</v>
      </c>
      <c r="X40" s="168" t="n"/>
      <c r="Y40" s="169" t="n"/>
      <c r="Z40" s="170" t="n"/>
      <c r="AA40" s="30" t="n"/>
      <c r="AB40" s="31" t="n"/>
    </row>
    <row r="41" ht="18" customFormat="1" customHeight="1" s="32">
      <c r="B41" s="38">
        <f>ROW()-6</f>
        <v>35</v>
      </c>
      <c r="C41" s="39" t="str">
        <f>[1]一覧!C41</f>
        <v>富士見町公舎</v>
      </c>
      <c r="D41" s="40" t="n"/>
      <c r="E41" s="40" t="n"/>
      <c r="F41" s="41">
        <f>[1]一覧!P41</f>
        <v>84000</v>
      </c>
      <c r="G41" s="156">
        <f>F41*0.2</f>
        <v>16800</v>
      </c>
      <c r="H41" s="43">
        <f>[1]一覧!F41</f>
        <v>38749</v>
      </c>
      <c r="I41" s="44" t="str">
        <f>[1]一覧!G41</f>
        <v>ＲＣ</v>
      </c>
      <c r="J41" s="157" t="inlineStr">
        <is>
          <t>その他</t>
        </is>
      </c>
      <c r="K41" s="158" t="str">
        <f>IFERROR(INDEX(区分設定!$C$6:$C$40,MATCH(I41,区分設定!$B$6:$B$40,0)),"要確認")</f>
        <v>鉄骨・RC造</v>
      </c>
      <c r="L41" s="159">
        <f>DATEDIF(H41,$L$5,"Y")</f>
        <v>20</v>
      </c>
      <c r="M41" s="159" t="n">
        <v>49</v>
      </c>
      <c r="N41" s="160" t="inlineStr">
        <is>
          <t>無</t>
        </is>
      </c>
      <c r="O41" s="161">
        <f>INDEX(基準額表!$C$7:$G$8,MATCH($J41,基準額表!$B$7:$B$8,0),MATCH($M41,基準額表!$C$4:$G$4,1))</f>
        <v>498</v>
      </c>
      <c r="P41" s="161">
        <f>INDEX(控除額表!$F$6:$J$300,MATCH($N41&amp;"|"&amp;$K41&amp;"|"&amp;$J41,控除額表!$A$6:$A$300,0)+COUNTIFS(控除額表!$A$6:$A$300,$N41&amp;"|"&amp;$K41&amp;"|"&amp;$J41,控除額表!$E$6:$E$300,"&lt;="&amp;$L41)-1,MATCH($M41,控除額表!$F$4:$J$4,1))</f>
        <v>111</v>
      </c>
      <c r="Q41" s="162">
        <f>ROUNDDOWN((O41-P41)*M41,-1)</f>
        <v>18960</v>
      </c>
      <c r="R41" s="163">
        <f>IF(G41&gt;Q41,G41,Q41)</f>
        <v>18960</v>
      </c>
      <c r="S41" s="49" t="str">
        <f>DBCS(FIXED(TEXT(R41,"@"),0))</f>
        <v>１８，９６０</v>
      </c>
      <c r="T41" s="164" t="n">
        <v>20330</v>
      </c>
      <c r="U41" s="165" t="str">
        <f>IF(AND(R41&lt;&gt;T41,X41="継続"),"○","")</f>
        <v/>
      </c>
      <c r="V41" s="166" t="n">
        <v>31</v>
      </c>
      <c r="W41" s="167">
        <f>ROUNDDOWN(R41*V41/$W$4,0)</f>
        <v>18960</v>
      </c>
      <c r="X41" s="168" t="n"/>
      <c r="Y41" s="169" t="n"/>
      <c r="Z41" s="170" t="n"/>
      <c r="AA41" s="30" t="n"/>
      <c r="AB41" s="31" t="n"/>
    </row>
    <row r="42" ht="18" customFormat="1" customHeight="1" s="32">
      <c r="B42" s="38">
        <f>ROW()-6</f>
        <v>36</v>
      </c>
      <c r="C42" s="39" t="str">
        <f>[1]一覧!C42</f>
        <v>幟町公舎</v>
      </c>
      <c r="D42" s="40" t="n"/>
      <c r="E42" s="40" t="n"/>
      <c r="F42" s="41">
        <f>[1]一覧!P42</f>
        <v>110000</v>
      </c>
      <c r="G42" s="156">
        <f>F42*0.2</f>
        <v>22000</v>
      </c>
      <c r="H42" s="43">
        <f>[1]一覧!F42</f>
        <v>38749</v>
      </c>
      <c r="I42" s="44" t="str">
        <f>[1]一覧!G42</f>
        <v>ＲＣ</v>
      </c>
      <c r="J42" s="157" t="inlineStr">
        <is>
          <t>その他</t>
        </is>
      </c>
      <c r="K42" s="158" t="str">
        <f>IFERROR(INDEX(区分設定!$C$6:$C$40,MATCH(I42,区分設定!$B$6:$B$40,0)),"要確認")</f>
        <v>鉄骨・RC造</v>
      </c>
      <c r="L42" s="159">
        <f>DATEDIF(H42,$L$5,"Y")</f>
        <v>20</v>
      </c>
      <c r="M42" s="175" t="n">
        <v>60</v>
      </c>
      <c r="N42" s="176" t="inlineStr">
        <is>
          <t>有</t>
        </is>
      </c>
      <c r="O42" s="161">
        <f>INDEX(基準額表!$C$7:$G$8,MATCH($J42,基準額表!$B$7:$B$8,0),MATCH($M42,基準額表!$C$4:$G$4,1))</f>
        <v>622</v>
      </c>
      <c r="P42" s="161">
        <f>INDEX(控除額表!$F$6:$J$300,MATCH($N42&amp;"|"&amp;$K42&amp;"|"&amp;$J42,控除額表!$A$6:$A$300,0)+COUNTIFS(控除額表!$A$6:$A$300,$N42&amp;"|"&amp;$K42&amp;"|"&amp;$J42,控除額表!$E$6:$E$300,"&lt;="&amp;$L42)-1,MATCH($M42,控除額表!$F$4:$J$4,1))</f>
        <v>332</v>
      </c>
      <c r="Q42" s="162">
        <f>ROUNDDOWN((O42-P42)*M42,-1)</f>
        <v>17400</v>
      </c>
      <c r="R42" s="163">
        <f>IF(G42&gt;Q42,G42,Q42)</f>
        <v>22000</v>
      </c>
      <c r="S42" s="49" t="str">
        <f>DBCS(FIXED(TEXT(R42,"@"),0))</f>
        <v>２２，０００</v>
      </c>
      <c r="T42" s="164" t="n">
        <v>22000</v>
      </c>
      <c r="U42" s="165" t="str">
        <f>IF(AND(R42&lt;&gt;T42,X42="継続"),"○","")</f>
        <v/>
      </c>
      <c r="V42" s="166" t="n">
        <v>31</v>
      </c>
      <c r="W42" s="167">
        <f>ROUNDDOWN(R42*V42/$W$4,0)</f>
        <v>22000</v>
      </c>
      <c r="X42" s="168" t="n"/>
      <c r="Y42" s="169" t="n"/>
      <c r="Z42" s="170" t="n"/>
      <c r="AA42" s="30" t="n"/>
      <c r="AB42" s="31" t="n"/>
    </row>
    <row r="43" ht="18" customFormat="1" customHeight="1" s="32">
      <c r="B43" s="38">
        <f>ROW()-6</f>
        <v>37</v>
      </c>
      <c r="C43" s="39" t="str">
        <f>[1]一覧!C43</f>
        <v>大手町公舎</v>
      </c>
      <c r="D43" s="40" t="n"/>
      <c r="E43" s="40" t="n"/>
      <c r="F43" s="41">
        <f>[1]一覧!P43</f>
        <v>209000</v>
      </c>
      <c r="G43" s="156">
        <f>F43*0.2</f>
        <v>41800</v>
      </c>
      <c r="H43" s="43">
        <f>[1]一覧!F43</f>
        <v>27334</v>
      </c>
      <c r="I43" s="44" t="str">
        <f>[1]一覧!G43</f>
        <v>ＲＣ</v>
      </c>
      <c r="J43" s="157" t="inlineStr">
        <is>
          <t>その他</t>
        </is>
      </c>
      <c r="K43" s="158" t="str">
        <f>IFERROR(INDEX(区分設定!$C$6:$C$40,MATCH(I43,区分設定!$B$6:$B$40,0)),"要確認")</f>
        <v>鉄骨・RC造</v>
      </c>
      <c r="L43" s="159">
        <f>DATEDIF(H43,$L$5,"Y")</f>
        <v>51</v>
      </c>
      <c r="M43" s="159" t="n">
        <v>175</v>
      </c>
      <c r="N43" s="160" t="inlineStr">
        <is>
          <t>無</t>
        </is>
      </c>
      <c r="O43" s="161">
        <f>INDEX(基準額表!$C$7:$G$8,MATCH($J43,基準額表!$B$7:$B$8,0),MATCH($M43,基準額表!$C$4:$G$4,1))</f>
        <v>1213</v>
      </c>
      <c r="P43" s="161">
        <f>INDEX(控除額表!$F$6:$J$300,MATCH($N43&amp;"|"&amp;$K43&amp;"|"&amp;$J43,控除額表!$A$6:$A$300,0)+COUNTIFS(控除額表!$A$6:$A$300,$N43&amp;"|"&amp;$K43&amp;"|"&amp;$J43,控除額表!$E$6:$E$300,"&lt;="&amp;$L43)-1,MATCH($M43,控除額表!$F$4:$J$4,1))</f>
        <v>557</v>
      </c>
      <c r="Q43" s="162">
        <f>ROUNDDOWN((O43-P43)*M43,-1)</f>
        <v>114800</v>
      </c>
      <c r="R43" s="163">
        <f>IF(G43&gt;Q43,G43,Q43)</f>
        <v>114800</v>
      </c>
      <c r="S43" s="49" t="str">
        <f>DBCS(FIXED(TEXT(R43,"@"),0))</f>
        <v>１１４，８００</v>
      </c>
      <c r="T43" s="164" t="n">
        <v>114800</v>
      </c>
      <c r="U43" s="165" t="str">
        <f>IF(AND(R43&lt;&gt;T43,X43="継続"),"○","")</f>
        <v/>
      </c>
      <c r="V43" s="166" t="n">
        <v>31</v>
      </c>
      <c r="W43" s="167">
        <f>ROUNDDOWN(R43*V43/$W$4,0)</f>
        <v>114800</v>
      </c>
      <c r="X43" s="168" t="n"/>
      <c r="Y43" s="169" t="n"/>
      <c r="Z43" s="170" t="n"/>
      <c r="AA43" s="30" t="n"/>
      <c r="AB43" s="31" t="n"/>
    </row>
    <row r="44" ht="18" customFormat="1" customHeight="1" s="32">
      <c r="B44" s="38">
        <f>ROW()-6</f>
        <v>38</v>
      </c>
      <c r="C44" s="39" t="str">
        <f>[1]一覧!C44</f>
        <v>小町公舎</v>
      </c>
      <c r="D44" s="40" t="n"/>
      <c r="E44" s="40" t="n"/>
      <c r="F44" s="41">
        <f>[1]一覧!P44</f>
        <v>76000</v>
      </c>
      <c r="G44" s="156">
        <f>F44*0.2</f>
        <v>15200</v>
      </c>
      <c r="H44" s="43">
        <f>[1]一覧!F44</f>
        <v>41456</v>
      </c>
      <c r="I44" s="44" t="str">
        <f>[1]一覧!G44</f>
        <v>ＲＣ</v>
      </c>
      <c r="J44" s="157" t="inlineStr">
        <is>
          <t>その他</t>
        </is>
      </c>
      <c r="K44" s="158" t="str">
        <f>IFERROR(INDEX(区分設定!$C$6:$C$40,MATCH(I44,区分設定!$B$6:$B$40,0)),"要確認")</f>
        <v>鉄骨・RC造</v>
      </c>
      <c r="L44" s="159">
        <f>DATEDIF(H44,$L$5,"Y")</f>
        <v>12</v>
      </c>
      <c r="M44" s="159" t="n">
        <v>36</v>
      </c>
      <c r="N44" s="160" t="inlineStr">
        <is>
          <t>無</t>
        </is>
      </c>
      <c r="O44" s="161">
        <f>INDEX(基準額表!$C$7:$G$8,MATCH($J44,基準額表!$B$7:$B$8,0),MATCH($M44,基準額表!$C$4:$G$4,1))</f>
        <v>498</v>
      </c>
      <c r="P44" s="161">
        <f>INDEX(控除額表!$F$6:$J$300,MATCH($N44&amp;"|"&amp;$K44&amp;"|"&amp;$J44,控除額表!$A$6:$A$300,0)+COUNTIFS(控除額表!$A$6:$A$300,$N44&amp;"|"&amp;$K44&amp;"|"&amp;$J44,控除額表!$E$6:$E$300,"&lt;="&amp;$L44)-1,MATCH($M44,控除額表!$F$4:$J$4,1))</f>
        <v>0</v>
      </c>
      <c r="Q44" s="162">
        <f>ROUNDDOWN((O44-P44)*M44,-1)</f>
        <v>17920</v>
      </c>
      <c r="R44" s="163">
        <f>IF(G44&gt;Q44,G44,Q44)</f>
        <v>17920</v>
      </c>
      <c r="S44" s="49" t="str">
        <f>DBCS(FIXED(TEXT(R44,"@"),0))</f>
        <v>１７，９２０</v>
      </c>
      <c r="T44" s="171" t="inlineStr">
        <is>
          <t>－</t>
        </is>
      </c>
      <c r="U44" s="165" t="str">
        <f>IF(AND(R44&lt;&gt;T44,X44="継続"),"○","")</f>
        <v/>
      </c>
      <c r="V44" s="166" t="n">
        <v>31</v>
      </c>
      <c r="W44" s="167">
        <f>ROUNDDOWN(R44*V44/$W$4,0)</f>
        <v>17920</v>
      </c>
      <c r="X44" s="168" t="n"/>
      <c r="Y44" s="169" t="n"/>
      <c r="Z44" s="170" t="n"/>
      <c r="AA44" s="30" t="n"/>
      <c r="AB44" s="31" t="n"/>
    </row>
    <row r="45" ht="18" customFormat="1" customHeight="1" s="32" thickBot="1">
      <c r="B45" s="55">
        <f>ROW()-6</f>
        <v>39</v>
      </c>
      <c r="C45" s="56" t="str">
        <f>[1]一覧!C45</f>
        <v>国泰寺公舎２号</v>
      </c>
      <c r="D45" s="57" t="n"/>
      <c r="E45" s="57" t="n"/>
      <c r="F45" s="58">
        <f>[1]一覧!P45</f>
        <v>68000</v>
      </c>
      <c r="G45" s="177">
        <f>F45*0.2</f>
        <v>13600</v>
      </c>
      <c r="H45" s="60">
        <f>[1]一覧!F45</f>
        <v>36192</v>
      </c>
      <c r="I45" s="61" t="str">
        <f>[1]一覧!G45</f>
        <v>ＲＣ</v>
      </c>
      <c r="J45" s="178" t="inlineStr">
        <is>
          <t>その他</t>
        </is>
      </c>
      <c r="K45" s="179" t="str">
        <f>IFERROR(INDEX(区分設定!$C$6:$C$40,MATCH(I45,区分設定!$B$6:$B$40,0)),"要確認")</f>
        <v>鉄骨・RC造</v>
      </c>
      <c r="L45" s="180">
        <f>DATEDIF(H45,$L$5,"Y")</f>
        <v>27</v>
      </c>
      <c r="M45" s="180" t="n">
        <v>40</v>
      </c>
      <c r="N45" s="181" t="inlineStr">
        <is>
          <t>無</t>
        </is>
      </c>
      <c r="O45" s="182">
        <f>INDEX(基準額表!$C$7:$G$8,MATCH($J45,基準額表!$B$7:$B$8,0),MATCH($M45,基準額表!$C$4:$G$4,1))</f>
        <v>498</v>
      </c>
      <c r="P45" s="182">
        <f>INDEX(控除額表!$F$6:$J$300,MATCH($N45&amp;"|"&amp;$K45&amp;"|"&amp;$J45,控除額表!$A$6:$A$300,0)+COUNTIFS(控除額表!$A$6:$A$300,$N45&amp;"|"&amp;$K45&amp;"|"&amp;$J45,控除額表!$E$6:$E$300,"&lt;="&amp;$L45)-1,MATCH($M45,控除額表!$F$4:$J$4,1))</f>
        <v>138</v>
      </c>
      <c r="Q45" s="183">
        <f>ROUNDDOWN((O45-P45)*M45,-1)</f>
        <v>14400</v>
      </c>
      <c r="R45" s="184">
        <f>IF(G45&gt;Q45,G45,Q45)</f>
        <v>14400</v>
      </c>
      <c r="S45" s="66" t="str">
        <f>DBCS(FIXED(TEXT(R45,"@"),0))</f>
        <v>１４，４００</v>
      </c>
      <c r="T45" s="185" t="inlineStr">
        <is>
          <t>－</t>
        </is>
      </c>
      <c r="U45" s="186" t="str">
        <f>IF(AND(R45&lt;&gt;T45,X45="継続"),"○","")</f>
        <v/>
      </c>
      <c r="V45" s="187" t="n">
        <v>31</v>
      </c>
      <c r="W45" s="188">
        <f>ROUNDDOWN(R45*V45/$W$4,0)</f>
        <v>14400</v>
      </c>
      <c r="X45" s="189" t="n"/>
      <c r="Y45" s="190" t="n"/>
      <c r="Z45" s="191" t="n"/>
      <c r="AA45" s="37" t="n"/>
      <c r="AB45" s="31" t="n"/>
    </row>
    <row r="46" ht="21.75" customFormat="1" customHeight="1" s="4" thickBot="1" thickTop="1">
      <c r="B46" s="5" t="inlineStr">
        <is>
          <t>合　　　計</t>
        </is>
      </c>
      <c r="C46" s="6" t="n"/>
      <c r="D46" s="6" t="n"/>
      <c r="E46" s="6" t="n"/>
      <c r="F46" s="7">
        <f>SUBTOTAL(9,(F7:F45))</f>
        <v>4254600</v>
      </c>
      <c r="G46" s="192">
        <f>SUM(G7:G45)</f>
        <v>850920</v>
      </c>
      <c r="H46" s="9" t="n"/>
      <c r="I46" s="10" t="n"/>
      <c r="J46" s="10" t="n"/>
      <c r="K46" s="10" t="n"/>
      <c r="L46" s="10" t="n"/>
      <c r="M46" s="11" t="n"/>
      <c r="N46" s="10" t="n"/>
      <c r="O46" s="11" t="n"/>
      <c r="P46" s="11" t="n"/>
      <c r="Q46" s="12" t="n"/>
      <c r="R46" s="193">
        <f>SUM(R7:R45)</f>
        <v>1003240</v>
      </c>
      <c r="S46" s="193" t="n"/>
      <c r="T46" s="194" t="n"/>
      <c r="U46" s="195" t="n"/>
      <c r="V46" s="194" t="n"/>
      <c r="W46" s="196">
        <f>SUM(W7:W45)</f>
        <v>1003240</v>
      </c>
      <c r="X46" s="193" t="n"/>
      <c r="Y46" s="197" t="n"/>
      <c r="Z46" s="198" t="n"/>
      <c r="AA46" s="19" t="n"/>
      <c r="AB46" s="20" t="n"/>
    </row>
    <row r="47"/>
    <row r="48">
      <c r="C48" s="21" t="n"/>
      <c r="D48" s="21" t="n"/>
      <c r="E48" s="21" t="n"/>
      <c r="F48" s="21" t="n"/>
      <c r="L48" s="22" t="n"/>
      <c r="O48" s="21" t="n"/>
      <c r="P48" s="21" t="n"/>
    </row>
    <row r="49">
      <c r="C49" s="21" t="n"/>
      <c r="D49" s="21" t="n"/>
      <c r="E49" s="21" t="n"/>
      <c r="F49" s="21" t="n"/>
      <c r="O49" s="21" t="n"/>
      <c r="P49" s="21" t="n"/>
    </row>
    <row r="50">
      <c r="C50" s="21" t="n"/>
      <c r="D50" s="21" t="n"/>
      <c r="E50" s="21" t="n"/>
      <c r="F50" s="21" t="n"/>
      <c r="O50" s="21" t="n"/>
      <c r="P50" s="21" t="n"/>
    </row>
    <row r="51">
      <c r="C51" s="21" t="n"/>
      <c r="D51" s="21" t="n"/>
      <c r="E51" s="21" t="n"/>
      <c r="F51" s="21" t="n"/>
      <c r="O51" s="21" t="n"/>
      <c r="P51" s="21" t="n"/>
    </row>
    <row r="52">
      <c r="C52" s="21" t="n"/>
      <c r="D52" s="21" t="n"/>
      <c r="E52" s="21" t="n"/>
      <c r="F52" s="21" t="n"/>
      <c r="O52" s="21" t="n"/>
      <c r="P52" s="21" t="n"/>
    </row>
    <row r="53">
      <c r="C53" s="21" t="n"/>
      <c r="D53" s="21" t="n"/>
      <c r="E53" s="21" t="n"/>
      <c r="F53" s="21" t="n"/>
      <c r="O53" s="21" t="n"/>
      <c r="P53" s="21" t="n"/>
    </row>
    <row r="54">
      <c r="C54" s="21" t="n"/>
      <c r="D54" s="21" t="n"/>
      <c r="E54" s="21" t="n"/>
      <c r="F54" s="21" t="n"/>
      <c r="O54" s="21" t="n"/>
      <c r="P54" s="21" t="n"/>
    </row>
    <row r="55">
      <c r="C55" s="21" t="n"/>
      <c r="D55" s="21" t="n"/>
      <c r="E55" s="21" t="n"/>
      <c r="F55" s="21" t="n"/>
      <c r="O55" s="21" t="n"/>
      <c r="P55" s="21" t="n"/>
    </row>
    <row r="56">
      <c r="C56" s="21" t="n"/>
      <c r="D56" s="21" t="n"/>
      <c r="E56" s="21" t="n"/>
      <c r="F56" s="21" t="n"/>
      <c r="O56" s="21" t="n"/>
      <c r="P56" s="21" t="n"/>
    </row>
  </sheetData>
  <autoFilter ref="A6:AE45"/>
  <mergeCells count="6">
    <mergeCell ref="F3:G3"/>
    <mergeCell ref="V2:W2"/>
    <mergeCell ref="T2:U2"/>
    <mergeCell ref="H3:Q3"/>
    <mergeCell ref="F2:R2"/>
    <mergeCell ref="X2:AA2"/>
  </mergeCells>
  <conditionalFormatting sqref="K7:S45">
    <cfRule type="expression" priority="1" dxfId="0">
      <formula>ISERROR(K7)</formula>
    </cfRule>
  </conditionalFormatting>
  <conditionalFormatting sqref="K7:K45">
    <cfRule type="expression" priority="2" dxfId="0">
      <formula>K7="要確認"</formula>
    </cfRule>
  </conditionalFormatting>
  <dataValidations count="2">
    <dataValidation sqref="J7:J45" showDropDown="0" showInputMessage="0" showErrorMessage="1" allowBlank="0" errorTitle="住宅区分" error="一覧から選択してください" type="list">
      <formula1>"東京事務所職員等,その他"</formula1>
    </dataValidation>
    <dataValidation sqref="N7:N45" showDropDown="0" showInputMessage="0" showErrorMessage="1" allowBlank="0" errorTitle="単赴手当" error="「有」または「無」を入力してください" type="list">
      <formula1>"有,無"</formula1>
    </dataValidation>
  </dataValidations>
  <pageMargins left="0.9055118110236221" right="0.3149606299212598" top="0.7480314960629921" bottom="0.7480314960629921" header="0.3149606299212598" footer="0.3149606299212598"/>
  <pageSetup orientation="landscape" paperSize="9" scale="54"/>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B24"/>
  <sheetViews>
    <sheetView showGridLines="0" workbookViewId="0">
      <selection activeCell="A1" sqref="A1"/>
    </sheetView>
  </sheetViews>
  <sheetFormatPr baseColWidth="8" defaultRowHeight="15"/>
  <cols>
    <col width="2" customWidth="1" min="1" max="1"/>
    <col width="110" customWidth="1" min="2" max="2"/>
  </cols>
  <sheetData>
    <row r="1">
      <c r="B1" s="199" t="inlineStr">
        <is>
          <t>使い方（職員住宅使用料の自動算定）</t>
        </is>
      </c>
    </row>
    <row r="2">
      <c r="B2" s="200" t="inlineStr"/>
    </row>
    <row r="3">
      <c r="B3" s="201" t="inlineStr">
        <is>
          <t>■ 何が変わったか</t>
        </is>
      </c>
    </row>
    <row r="4" ht="26" customHeight="1">
      <c r="B4" s="200" t="inlineStr">
        <is>
          <t>・「基準額」「控除額」を表から目視で拾う作業をなくし、住宅区分・構造・単身赴任手当・経過年数・居住面積から自動で算定します。</t>
        </is>
      </c>
    </row>
    <row r="5" ht="26" customHeight="1">
      <c r="B5" s="200" t="inlineStr">
        <is>
          <t>・根拠表は別シート（基準額表・控除額表）に収録。数値は要綱 別表第１・第２（R6.9.1）および 02 基準使用料・控除額.xlsx と全件一致を確認済み。</t>
        </is>
      </c>
    </row>
    <row r="6">
      <c r="B6" s="200" t="inlineStr"/>
    </row>
    <row r="7">
      <c r="B7" s="201" t="inlineStr">
        <is>
          <t>■ 入力するセル（10月シート）</t>
        </is>
      </c>
    </row>
    <row r="8">
      <c r="B8" s="200" t="inlineStr">
        <is>
          <t>・J列 住宅区分：「東京事務所職員等」か「その他」を選択（黄色セル。従来の基準額から自動判定した初期値を設定済み）。</t>
        </is>
      </c>
    </row>
    <row r="9">
      <c r="B9" s="200" t="inlineStr">
        <is>
          <t>・M列 居住面積（調整済延べ面積＝延べ面積−公用部分、1㎡未満切捨て後の値）、N列 単赴手当（有／無）。</t>
        </is>
      </c>
    </row>
    <row r="10" ht="26" customHeight="1">
      <c r="B10" s="200" t="inlineStr">
        <is>
          <t>・H列 建築年月、I列 構造、L5 基準日（経過年数の算定基準日）。H・I列は従来どおり外部ブック(R8_職員住宅一覧)から参照。</t>
        </is>
      </c>
    </row>
    <row r="11">
      <c r="B11" s="200" t="inlineStr"/>
    </row>
    <row r="12">
      <c r="B12" s="201" t="inlineStr">
        <is>
          <t>■ 自動で計算されるセル</t>
        </is>
      </c>
    </row>
    <row r="13">
      <c r="B13" s="200" t="inlineStr">
        <is>
          <t>・K 構造区分：I列の表記を「区分設定」シートで木造／組積造／鉄骨・RC造に読み替え。</t>
        </is>
      </c>
    </row>
    <row r="14">
      <c r="B14" s="200" t="inlineStr">
        <is>
          <t>・L 経過年数＝DATEDIF(建築年月, 基準日, "Y")。</t>
        </is>
      </c>
    </row>
    <row r="15">
      <c r="B15" s="200" t="inlineStr">
        <is>
          <t>・O 基準額＝住宅区分×居住面積の区分で「基準額表」から取得。</t>
        </is>
      </c>
    </row>
    <row r="16">
      <c r="B16" s="200" t="inlineStr">
        <is>
          <t>・P 控除額＝単赴手当×構造×住宅区分×経過年数(5年刻み・下限以上)×居住面積の区分で「控除額表」から取得。</t>
        </is>
      </c>
    </row>
    <row r="17">
      <c r="B17" s="200" t="inlineStr">
        <is>
          <t>・Q 計算額＝(基準額−控除額)×居住面積、10円未満切捨て。R＝賃料の2割と計算額の高い方（従来式のまま）。</t>
        </is>
      </c>
    </row>
    <row r="18">
      <c r="B18" s="200" t="inlineStr"/>
    </row>
    <row r="19">
      <c r="B19" s="201" t="inlineStr">
        <is>
          <t>■ 注意・仮定</t>
        </is>
      </c>
    </row>
    <row r="20">
      <c r="B20" s="200" t="inlineStr">
        <is>
          <t>・経過年数が5年未満の単身赴任手当「無」は、原表に該当行がないため控除0円として補完（控除額表に明記）。</t>
        </is>
      </c>
    </row>
    <row r="21" ht="40" customHeight="1">
      <c r="B21" s="200" t="inlineStr">
        <is>
          <t>・原表(要綱)に、隣接する面積区分より小さい値など不自然に見える数値があります（例：木造・東京・無・10年の「70㎡以上80㎡未満」=0円、組積造・その他・無・10年の100㎡以上=1円）。要綱どおり収録しており、修正は要綱を確認のうえ控除額表で行ってください。</t>
        </is>
      </c>
    </row>
    <row r="22">
      <c r="B22" s="200" t="inlineStr">
        <is>
          <t>・「要確認」表示や赤色セルは、区分や構造表記の未登録などの入力不備です。L1に件数を表示します。</t>
        </is>
      </c>
    </row>
    <row r="23">
      <c r="B23" s="200" t="inlineStr">
        <is>
          <t>・要綱改正時は「基準額表」「控除額表」の青字セルだけを更新してください。</t>
        </is>
      </c>
    </row>
    <row r="24">
      <c r="B24" s="200" t="inlineStr">
        <is>
          <t>・DATEDIFの第3引数は全角「Ｙ」から半角"Y"に変更しました（計算結果は同じ）。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G11"/>
  <sheetViews>
    <sheetView showGridLines="0" workbookViewId="0">
      <selection activeCell="A1" sqref="A1"/>
    </sheetView>
  </sheetViews>
  <sheetFormatPr baseColWidth="8" defaultRowHeight="15"/>
  <cols>
    <col width="2" customWidth="1" min="1" max="1"/>
    <col width="24" customWidth="1" min="2" max="2"/>
    <col width="13" customWidth="1" min="3" max="3"/>
    <col width="13" customWidth="1" min="4" max="4"/>
    <col width="13" customWidth="1" min="5" max="5"/>
    <col width="13" customWidth="1" min="6" max="6"/>
    <col width="13" customWidth="1" min="7" max="7"/>
  </cols>
  <sheetData>
    <row r="1">
      <c r="B1" s="202" t="inlineStr">
        <is>
          <t>基準使用料（1㎡あたり・月額・円）　単身赴任手当 有・無共通</t>
        </is>
      </c>
    </row>
    <row r="2">
      <c r="B2" s="203" t="inlineStr">
        <is>
          <t>出典：広島市職員住宅使用料算定要綱 別表第１ 1（令和6年9月1日施行）。数値は要綱改正時のみ更新（青字＝法定値の入力セル）。</t>
        </is>
      </c>
    </row>
    <row r="4">
      <c r="B4" s="204" t="inlineStr">
        <is>
          <t>面積下限(㎡)</t>
        </is>
      </c>
      <c r="C4" s="205" t="n">
        <v>0</v>
      </c>
      <c r="D4" s="205" t="n">
        <v>55</v>
      </c>
      <c r="E4" s="205" t="n">
        <v>70</v>
      </c>
      <c r="F4" s="205" t="n">
        <v>80</v>
      </c>
      <c r="G4" s="205" t="n">
        <v>100</v>
      </c>
    </row>
    <row r="5" ht="30" customHeight="1">
      <c r="B5" s="204" t="inlineStr">
        <is>
          <t>延べ面積</t>
        </is>
      </c>
      <c r="C5" s="204" t="inlineStr">
        <is>
          <t>55㎡未満</t>
        </is>
      </c>
      <c r="D5" s="204" t="inlineStr">
        <is>
          <t>55㎡以上
70㎡未満</t>
        </is>
      </c>
      <c r="E5" s="204" t="inlineStr">
        <is>
          <t>70㎡以上
80㎡未満</t>
        </is>
      </c>
      <c r="F5" s="204" t="inlineStr">
        <is>
          <t>80㎡以上
100㎡未満</t>
        </is>
      </c>
      <c r="G5" s="204" t="inlineStr">
        <is>
          <t>100㎡以上</t>
        </is>
      </c>
    </row>
    <row r="6">
      <c r="B6" s="204" t="inlineStr">
        <is>
          <t>住宅区分</t>
        </is>
      </c>
      <c r="C6" s="204" t="inlineStr"/>
      <c r="D6" s="204" t="inlineStr"/>
      <c r="E6" s="204" t="inlineStr"/>
      <c r="F6" s="204" t="inlineStr"/>
      <c r="G6" s="204" t="inlineStr"/>
    </row>
    <row r="7">
      <c r="B7" s="204" t="inlineStr">
        <is>
          <t>東京事務所職員等</t>
        </is>
      </c>
      <c r="C7" s="206" t="n">
        <v>696</v>
      </c>
      <c r="D7" s="206" t="n">
        <v>870</v>
      </c>
      <c r="E7" s="206" t="n">
        <v>1305</v>
      </c>
      <c r="F7" s="206" t="n">
        <v>1566</v>
      </c>
      <c r="G7" s="206" t="n">
        <v>1827</v>
      </c>
    </row>
    <row r="8">
      <c r="B8" s="204" t="inlineStr">
        <is>
          <t>その他</t>
        </is>
      </c>
      <c r="C8" s="206" t="n">
        <v>498</v>
      </c>
      <c r="D8" s="206" t="n">
        <v>622</v>
      </c>
      <c r="E8" s="206" t="n">
        <v>809</v>
      </c>
      <c r="F8" s="206" t="n">
        <v>995</v>
      </c>
      <c r="G8" s="206" t="n">
        <v>1213</v>
      </c>
    </row>
    <row r="10">
      <c r="B10" s="203" t="inlineStr">
        <is>
          <t>東京事務所職員等＝東京事務所職員及びひろしまプロモーションセンター職員が居住する住宅。その他＝それ以外の職員が居住する住宅。</t>
        </is>
      </c>
    </row>
    <row r="11">
      <c r="B11" s="203" t="inlineStr">
        <is>
          <t>※自動車保管場所の基準使用料・調整額（02ファイルの下段）は、10月シートが賃料の2割と比較する方式のため未使用。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9"/>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2" customWidth="1" min="3" max="3"/>
    <col width="16" customWidth="1" min="4" max="4"/>
    <col width="7" customWidth="1" min="5" max="5"/>
    <col width="10" customWidth="1" min="6" max="6"/>
    <col width="10" customWidth="1" min="7" max="7"/>
    <col width="10" customWidth="1" min="8" max="8"/>
    <col width="10" customWidth="1" min="9" max="9"/>
    <col width="10" customWidth="1" min="10" max="10"/>
    <col width="44" customWidth="1" min="11" max="11"/>
  </cols>
  <sheetData>
    <row r="1">
      <c r="A1" s="202" t="inlineStr">
        <is>
          <t>経年による控除額（1㎡あたり・月額・円）</t>
        </is>
      </c>
    </row>
    <row r="2">
      <c r="A2" s="203" t="inlineStr">
        <is>
          <t>出典：広島市職員住宅使用料算定要綱 別表第１ 2（単身赴任手当なし）・別表第２（あり）。経過年数は「年数(下限)以上」で該当行を判定（例：29年→25年行）。</t>
        </is>
      </c>
    </row>
    <row r="3">
      <c r="A3" s="203" t="inlineStr">
        <is>
          <t>同一キーの行は連続させ、年数(下限)の昇順に並べること。行の追加・改正はこの表だけを直せばよい（10月シートは自動で追従）。300行目まで参照。</t>
        </is>
      </c>
    </row>
    <row r="4">
      <c r="A4" s="204" t="inlineStr">
        <is>
          <t>面積下限(㎡)→</t>
        </is>
      </c>
      <c r="B4" s="204" t="inlineStr"/>
      <c r="C4" s="204" t="inlineStr"/>
      <c r="D4" s="204" t="inlineStr"/>
      <c r="E4" s="204" t="inlineStr"/>
      <c r="F4" s="205" t="n">
        <v>0</v>
      </c>
      <c r="G4" s="205" t="n">
        <v>55</v>
      </c>
      <c r="H4" s="205" t="n">
        <v>70</v>
      </c>
      <c r="I4" s="205" t="n">
        <v>80</v>
      </c>
      <c r="J4" s="205" t="n">
        <v>100</v>
      </c>
    </row>
    <row r="5" ht="30" customHeight="1">
      <c r="A5" s="204" t="inlineStr">
        <is>
          <t>キー(自動)</t>
        </is>
      </c>
      <c r="B5" s="204" t="inlineStr">
        <is>
          <t>単身赴任
手当</t>
        </is>
      </c>
      <c r="C5" s="204" t="inlineStr">
        <is>
          <t>構造区分</t>
        </is>
      </c>
      <c r="D5" s="204" t="inlineStr">
        <is>
          <t>住宅区分</t>
        </is>
      </c>
      <c r="E5" s="204" t="inlineStr">
        <is>
          <t>年数
(下限)</t>
        </is>
      </c>
      <c r="F5" s="204" t="inlineStr">
        <is>
          <t>55㎡未満</t>
        </is>
      </c>
      <c r="G5" s="204" t="inlineStr">
        <is>
          <t>55㎡以上
70㎡未満</t>
        </is>
      </c>
      <c r="H5" s="204" t="inlineStr">
        <is>
          <t>70㎡以上
80㎡未満</t>
        </is>
      </c>
      <c r="I5" s="204" t="inlineStr">
        <is>
          <t>80㎡以上
100㎡未満</t>
        </is>
      </c>
      <c r="J5" s="204" t="inlineStr">
        <is>
          <t>100㎡以上</t>
        </is>
      </c>
      <c r="K5" s="204" t="inlineStr">
        <is>
          <t>備考</t>
        </is>
      </c>
    </row>
    <row r="6">
      <c r="A6" s="207" t="str">
        <f>B6&amp;"|"&amp;C6&amp;"|"&amp;D6</f>
        <v>無|木造|東京事務所職員等</v>
      </c>
      <c r="B6" s="208" t="inlineStr">
        <is>
          <t>無</t>
        </is>
      </c>
      <c r="C6" s="209" t="inlineStr">
        <is>
          <t>木造</t>
        </is>
      </c>
      <c r="D6" s="209" t="inlineStr">
        <is>
          <t>東京事務所職員等</t>
        </is>
      </c>
      <c r="E6" s="205" t="n">
        <v>0</v>
      </c>
      <c r="F6" s="206" t="n">
        <v>0</v>
      </c>
      <c r="G6" s="206" t="n">
        <v>0</v>
      </c>
      <c r="H6" s="206" t="n">
        <v>0</v>
      </c>
      <c r="I6" s="206" t="n">
        <v>0</v>
      </c>
      <c r="J6" s="206" t="n">
        <v>0</v>
      </c>
      <c r="K6" s="210" t="inlineStr">
        <is>
          <t>原表に行なし。5年未満は控除なし(0円)として補完</t>
        </is>
      </c>
    </row>
    <row r="7">
      <c r="A7" s="207" t="str">
        <f>B7&amp;"|"&amp;C7&amp;"|"&amp;D7</f>
        <v>無|木造|東京事務所職員等</v>
      </c>
      <c r="B7" s="208" t="inlineStr">
        <is>
          <t>無</t>
        </is>
      </c>
      <c r="C7" s="209" t="inlineStr">
        <is>
          <t>木造</t>
        </is>
      </c>
      <c r="D7" s="209" t="inlineStr">
        <is>
          <t>東京事務所職員等</t>
        </is>
      </c>
      <c r="E7" s="205" t="n">
        <v>5</v>
      </c>
      <c r="F7" s="206" t="n">
        <v>0</v>
      </c>
      <c r="G7" s="206" t="n">
        <v>0</v>
      </c>
      <c r="H7" s="206" t="n">
        <v>0</v>
      </c>
      <c r="I7" s="206" t="n">
        <v>0</v>
      </c>
      <c r="J7" s="206" t="n">
        <v>0</v>
      </c>
      <c r="K7" s="210" t="inlineStr"/>
    </row>
    <row r="8">
      <c r="A8" s="207" t="str">
        <f>B8&amp;"|"&amp;C8&amp;"|"&amp;D8</f>
        <v>無|木造|東京事務所職員等</v>
      </c>
      <c r="B8" s="208" t="inlineStr">
        <is>
          <t>無</t>
        </is>
      </c>
      <c r="C8" s="209" t="inlineStr">
        <is>
          <t>木造</t>
        </is>
      </c>
      <c r="D8" s="209" t="inlineStr">
        <is>
          <t>東京事務所職員等</t>
        </is>
      </c>
      <c r="E8" s="205" t="n">
        <v>10</v>
      </c>
      <c r="F8" s="206" t="n">
        <v>0</v>
      </c>
      <c r="G8" s="206" t="n">
        <v>56</v>
      </c>
      <c r="H8" s="206" t="n">
        <v>0</v>
      </c>
      <c r="I8" s="206" t="n">
        <v>90</v>
      </c>
      <c r="J8" s="206" t="n">
        <v>165</v>
      </c>
      <c r="K8" s="210" t="inlineStr"/>
    </row>
    <row r="9">
      <c r="A9" s="207" t="str">
        <f>B9&amp;"|"&amp;C9&amp;"|"&amp;D9</f>
        <v>無|木造|東京事務所職員等</v>
      </c>
      <c r="B9" s="208" t="inlineStr">
        <is>
          <t>無</t>
        </is>
      </c>
      <c r="C9" s="209" t="inlineStr">
        <is>
          <t>木造</t>
        </is>
      </c>
      <c r="D9" s="209" t="inlineStr">
        <is>
          <t>東京事務所職員等</t>
        </is>
      </c>
      <c r="E9" s="205" t="n">
        <v>15</v>
      </c>
      <c r="F9" s="206" t="n">
        <v>124</v>
      </c>
      <c r="G9" s="206" t="n">
        <v>156</v>
      </c>
      <c r="H9" s="206" t="n">
        <v>187</v>
      </c>
      <c r="I9" s="206" t="n">
        <v>233</v>
      </c>
      <c r="J9" s="206" t="n">
        <v>333</v>
      </c>
      <c r="K9" s="210" t="inlineStr"/>
    </row>
    <row r="10">
      <c r="A10" s="207" t="str">
        <f>B10&amp;"|"&amp;C10&amp;"|"&amp;D10</f>
        <v>無|木造|東京事務所職員等</v>
      </c>
      <c r="B10" s="208" t="inlineStr">
        <is>
          <t>無</t>
        </is>
      </c>
      <c r="C10" s="209" t="inlineStr">
        <is>
          <t>木造</t>
        </is>
      </c>
      <c r="D10" s="209" t="inlineStr">
        <is>
          <t>東京事務所職員等</t>
        </is>
      </c>
      <c r="E10" s="205" t="n">
        <v>20</v>
      </c>
      <c r="F10" s="206" t="n">
        <v>186</v>
      </c>
      <c r="G10" s="206" t="n">
        <v>282</v>
      </c>
      <c r="H10" s="206" t="n">
        <v>279</v>
      </c>
      <c r="I10" s="206" t="n">
        <v>406</v>
      </c>
      <c r="J10" s="206" t="n">
        <v>581</v>
      </c>
      <c r="K10" s="210" t="inlineStr"/>
    </row>
    <row r="11">
      <c r="A11" s="207" t="str">
        <f>B11&amp;"|"&amp;C11&amp;"|"&amp;D11</f>
        <v>無|木造|東京事務所職員等</v>
      </c>
      <c r="B11" s="208" t="inlineStr">
        <is>
          <t>無</t>
        </is>
      </c>
      <c r="C11" s="209" t="inlineStr">
        <is>
          <t>木造</t>
        </is>
      </c>
      <c r="D11" s="209" t="inlineStr">
        <is>
          <t>東京事務所職員等</t>
        </is>
      </c>
      <c r="E11" s="205" t="n">
        <v>25</v>
      </c>
      <c r="F11" s="206" t="n">
        <v>248</v>
      </c>
      <c r="G11" s="206" t="n">
        <v>348</v>
      </c>
      <c r="H11" s="206" t="n">
        <v>371</v>
      </c>
      <c r="I11" s="206" t="n">
        <v>532</v>
      </c>
      <c r="J11" s="206" t="n">
        <v>705</v>
      </c>
      <c r="K11" s="210" t="inlineStr"/>
    </row>
    <row r="12">
      <c r="A12" s="207" t="str">
        <f>B12&amp;"|"&amp;C12&amp;"|"&amp;D12</f>
        <v>無|木造|東京事務所職員等</v>
      </c>
      <c r="B12" s="208" t="inlineStr">
        <is>
          <t>無</t>
        </is>
      </c>
      <c r="C12" s="209" t="inlineStr">
        <is>
          <t>木造</t>
        </is>
      </c>
      <c r="D12" s="209" t="inlineStr">
        <is>
          <t>東京事務所職員等</t>
        </is>
      </c>
      <c r="E12" s="205" t="n">
        <v>30</v>
      </c>
      <c r="F12" s="206" t="n">
        <v>312</v>
      </c>
      <c r="G12" s="206" t="n">
        <v>420</v>
      </c>
      <c r="H12" s="206" t="n">
        <v>385</v>
      </c>
      <c r="I12" s="206" t="n">
        <v>638</v>
      </c>
      <c r="J12" s="206" t="n">
        <v>843</v>
      </c>
      <c r="K12" s="210" t="inlineStr"/>
    </row>
    <row r="13">
      <c r="A13" s="207" t="str">
        <f>B13&amp;"|"&amp;C13&amp;"|"&amp;D13</f>
        <v>無|木造|その他</v>
      </c>
      <c r="B13" s="208" t="inlineStr">
        <is>
          <t>無</t>
        </is>
      </c>
      <c r="C13" s="209" t="inlineStr">
        <is>
          <t>木造</t>
        </is>
      </c>
      <c r="D13" s="209" t="inlineStr">
        <is>
          <t>その他</t>
        </is>
      </c>
      <c r="E13" s="205" t="n">
        <v>0</v>
      </c>
      <c r="F13" s="206" t="n">
        <v>0</v>
      </c>
      <c r="G13" s="206" t="n">
        <v>0</v>
      </c>
      <c r="H13" s="206" t="n">
        <v>0</v>
      </c>
      <c r="I13" s="206" t="n">
        <v>0</v>
      </c>
      <c r="J13" s="206" t="n">
        <v>0</v>
      </c>
      <c r="K13" s="210" t="inlineStr">
        <is>
          <t>原表に行なし。5年未満は控除なし(0円)として補完</t>
        </is>
      </c>
    </row>
    <row r="14">
      <c r="A14" s="207" t="str">
        <f>B14&amp;"|"&amp;C14&amp;"|"&amp;D14</f>
        <v>無|木造|その他</v>
      </c>
      <c r="B14" s="208" t="inlineStr">
        <is>
          <t>無</t>
        </is>
      </c>
      <c r="C14" s="209" t="inlineStr">
        <is>
          <t>木造</t>
        </is>
      </c>
      <c r="D14" s="209" t="inlineStr">
        <is>
          <t>その他</t>
        </is>
      </c>
      <c r="E14" s="205" t="n">
        <v>5</v>
      </c>
      <c r="F14" s="206" t="n">
        <v>0</v>
      </c>
      <c r="G14" s="206" t="n">
        <v>0</v>
      </c>
      <c r="H14" s="206" t="n">
        <v>0</v>
      </c>
      <c r="I14" s="206" t="n">
        <v>0</v>
      </c>
      <c r="J14" s="206" t="n">
        <v>0</v>
      </c>
      <c r="K14" s="210" t="inlineStr"/>
    </row>
    <row r="15">
      <c r="A15" s="207" t="str">
        <f>B15&amp;"|"&amp;C15&amp;"|"&amp;D15</f>
        <v>無|木造|その他</v>
      </c>
      <c r="B15" s="208" t="inlineStr">
        <is>
          <t>無</t>
        </is>
      </c>
      <c r="C15" s="209" t="inlineStr">
        <is>
          <t>木造</t>
        </is>
      </c>
      <c r="D15" s="209" t="inlineStr">
        <is>
          <t>その他</t>
        </is>
      </c>
      <c r="E15" s="205" t="n">
        <v>10</v>
      </c>
      <c r="F15" s="206" t="n">
        <v>46</v>
      </c>
      <c r="G15" s="206" t="n">
        <v>76</v>
      </c>
      <c r="H15" s="206" t="n">
        <v>55</v>
      </c>
      <c r="I15" s="206" t="n">
        <v>133</v>
      </c>
      <c r="J15" s="206" t="n">
        <v>173</v>
      </c>
      <c r="K15" s="210" t="inlineStr"/>
    </row>
    <row r="16">
      <c r="A16" s="207" t="str">
        <f>B16&amp;"|"&amp;C16&amp;"|"&amp;D16</f>
        <v>無|木造|その他</v>
      </c>
      <c r="B16" s="208" t="inlineStr">
        <is>
          <t>無</t>
        </is>
      </c>
      <c r="C16" s="209" t="inlineStr">
        <is>
          <t>木造</t>
        </is>
      </c>
      <c r="D16" s="209" t="inlineStr">
        <is>
          <t>その他</t>
        </is>
      </c>
      <c r="E16" s="205" t="n">
        <v>15</v>
      </c>
      <c r="F16" s="206" t="n">
        <v>124</v>
      </c>
      <c r="G16" s="206" t="n">
        <v>172</v>
      </c>
      <c r="H16" s="206" t="n">
        <v>187</v>
      </c>
      <c r="I16" s="206" t="n">
        <v>263</v>
      </c>
      <c r="J16" s="206" t="n">
        <v>335</v>
      </c>
      <c r="K16" s="210" t="inlineStr"/>
    </row>
    <row r="17">
      <c r="A17" s="207" t="str">
        <f>B17&amp;"|"&amp;C17&amp;"|"&amp;D17</f>
        <v>無|木造|その他</v>
      </c>
      <c r="B17" s="208" t="inlineStr">
        <is>
          <t>無</t>
        </is>
      </c>
      <c r="C17" s="209" t="inlineStr">
        <is>
          <t>木造</t>
        </is>
      </c>
      <c r="D17" s="209" t="inlineStr">
        <is>
          <t>その他</t>
        </is>
      </c>
      <c r="E17" s="205" t="n">
        <v>20</v>
      </c>
      <c r="F17" s="206" t="n">
        <v>212</v>
      </c>
      <c r="G17" s="206" t="n">
        <v>292</v>
      </c>
      <c r="H17" s="206" t="n">
        <v>307</v>
      </c>
      <c r="I17" s="206" t="n">
        <v>433</v>
      </c>
      <c r="J17" s="206" t="n">
        <v>569</v>
      </c>
      <c r="K17" s="210" t="inlineStr"/>
    </row>
    <row r="18">
      <c r="A18" s="207" t="str">
        <f>B18&amp;"|"&amp;C18&amp;"|"&amp;D18</f>
        <v>無|木造|その他</v>
      </c>
      <c r="B18" s="208" t="inlineStr">
        <is>
          <t>無</t>
        </is>
      </c>
      <c r="C18" s="209" t="inlineStr">
        <is>
          <t>木造</t>
        </is>
      </c>
      <c r="D18" s="209" t="inlineStr">
        <is>
          <t>その他</t>
        </is>
      </c>
      <c r="E18" s="205" t="n">
        <v>25</v>
      </c>
      <c r="F18" s="206" t="n">
        <v>270</v>
      </c>
      <c r="G18" s="206" t="n">
        <v>356</v>
      </c>
      <c r="H18" s="206" t="n">
        <v>393</v>
      </c>
      <c r="I18" s="206" t="n">
        <v>553</v>
      </c>
      <c r="J18" s="206" t="n">
        <v>687</v>
      </c>
      <c r="K18" s="210" t="inlineStr"/>
    </row>
    <row r="19">
      <c r="A19" s="207" t="str">
        <f>B19&amp;"|"&amp;C19&amp;"|"&amp;D19</f>
        <v>無|木造|その他</v>
      </c>
      <c r="B19" s="208" t="inlineStr">
        <is>
          <t>無</t>
        </is>
      </c>
      <c r="C19" s="209" t="inlineStr">
        <is>
          <t>木造</t>
        </is>
      </c>
      <c r="D19" s="209" t="inlineStr">
        <is>
          <t>その他</t>
        </is>
      </c>
      <c r="E19" s="205" t="n">
        <v>30</v>
      </c>
      <c r="F19" s="206" t="n">
        <v>284</v>
      </c>
      <c r="G19" s="206" t="n">
        <v>404</v>
      </c>
      <c r="H19" s="206" t="n">
        <v>479</v>
      </c>
      <c r="I19" s="206" t="n">
        <v>655</v>
      </c>
      <c r="J19" s="206" t="n">
        <v>817</v>
      </c>
      <c r="K19" s="210" t="inlineStr"/>
    </row>
    <row r="20">
      <c r="A20" s="207" t="str">
        <f>B20&amp;"|"&amp;C20&amp;"|"&amp;D20</f>
        <v>無|組積造|東京事務所職員等</v>
      </c>
      <c r="B20" s="208" t="inlineStr">
        <is>
          <t>無</t>
        </is>
      </c>
      <c r="C20" s="209" t="inlineStr">
        <is>
          <t>組積造</t>
        </is>
      </c>
      <c r="D20" s="209" t="inlineStr">
        <is>
          <t>東京事務所職員等</t>
        </is>
      </c>
      <c r="E20" s="205" t="n">
        <v>0</v>
      </c>
      <c r="F20" s="206" t="n">
        <v>0</v>
      </c>
      <c r="G20" s="206" t="n">
        <v>0</v>
      </c>
      <c r="H20" s="206" t="n">
        <v>0</v>
      </c>
      <c r="I20" s="206" t="n">
        <v>0</v>
      </c>
      <c r="J20" s="206" t="n">
        <v>0</v>
      </c>
      <c r="K20" s="210" t="inlineStr">
        <is>
          <t>原表に行なし。5年未満は控除なし(0円)として補完</t>
        </is>
      </c>
    </row>
    <row r="21">
      <c r="A21" s="207" t="str">
        <f>B21&amp;"|"&amp;C21&amp;"|"&amp;D21</f>
        <v>無|組積造|東京事務所職員等</v>
      </c>
      <c r="B21" s="208" t="inlineStr">
        <is>
          <t>無</t>
        </is>
      </c>
      <c r="C21" s="209" t="inlineStr">
        <is>
          <t>組積造</t>
        </is>
      </c>
      <c r="D21" s="209" t="inlineStr">
        <is>
          <t>東京事務所職員等</t>
        </is>
      </c>
      <c r="E21" s="205" t="n">
        <v>5</v>
      </c>
      <c r="F21" s="206" t="n">
        <v>0</v>
      </c>
      <c r="G21" s="206" t="n">
        <v>0</v>
      </c>
      <c r="H21" s="206" t="n">
        <v>0</v>
      </c>
      <c r="I21" s="206" t="n">
        <v>0</v>
      </c>
      <c r="J21" s="206" t="n">
        <v>0</v>
      </c>
      <c r="K21" s="210" t="inlineStr"/>
    </row>
    <row r="22">
      <c r="A22" s="207" t="str">
        <f>B22&amp;"|"&amp;C22&amp;"|"&amp;D22</f>
        <v>無|組積造|東京事務所職員等</v>
      </c>
      <c r="B22" s="208" t="inlineStr">
        <is>
          <t>無</t>
        </is>
      </c>
      <c r="C22" s="209" t="inlineStr">
        <is>
          <t>組積造</t>
        </is>
      </c>
      <c r="D22" s="209" t="inlineStr">
        <is>
          <t>東京事務所職員等</t>
        </is>
      </c>
      <c r="E22" s="205" t="n">
        <v>10</v>
      </c>
      <c r="F22" s="206" t="n">
        <v>0</v>
      </c>
      <c r="G22" s="206" t="n">
        <v>0</v>
      </c>
      <c r="H22" s="206" t="n">
        <v>0</v>
      </c>
      <c r="I22" s="206" t="n">
        <v>0</v>
      </c>
      <c r="J22" s="206" t="n">
        <v>0</v>
      </c>
      <c r="K22" s="210" t="inlineStr"/>
    </row>
    <row r="23">
      <c r="A23" s="207" t="str">
        <f>B23&amp;"|"&amp;C23&amp;"|"&amp;D23</f>
        <v>無|組積造|東京事務所職員等</v>
      </c>
      <c r="B23" s="208" t="inlineStr">
        <is>
          <t>無</t>
        </is>
      </c>
      <c r="C23" s="209" t="inlineStr">
        <is>
          <t>組積造</t>
        </is>
      </c>
      <c r="D23" s="209" t="inlineStr">
        <is>
          <t>東京事務所職員等</t>
        </is>
      </c>
      <c r="E23" s="205" t="n">
        <v>15</v>
      </c>
      <c r="F23" s="206" t="n">
        <v>124</v>
      </c>
      <c r="G23" s="206" t="n">
        <v>156</v>
      </c>
      <c r="H23" s="206" t="n">
        <v>187</v>
      </c>
      <c r="I23" s="206" t="n">
        <v>233</v>
      </c>
      <c r="J23" s="206" t="n">
        <v>280</v>
      </c>
      <c r="K23" s="210" t="inlineStr"/>
    </row>
    <row r="24">
      <c r="A24" s="207" t="str">
        <f>B24&amp;"|"&amp;C24&amp;"|"&amp;D24</f>
        <v>無|組積造|東京事務所職員等</v>
      </c>
      <c r="B24" s="208" t="inlineStr">
        <is>
          <t>無</t>
        </is>
      </c>
      <c r="C24" s="209" t="inlineStr">
        <is>
          <t>組積造</t>
        </is>
      </c>
      <c r="D24" s="209" t="inlineStr">
        <is>
          <t>東京事務所職員等</t>
        </is>
      </c>
      <c r="E24" s="205" t="n">
        <v>20</v>
      </c>
      <c r="F24" s="206" t="n">
        <v>186</v>
      </c>
      <c r="G24" s="206" t="n">
        <v>233</v>
      </c>
      <c r="H24" s="206" t="n">
        <v>279</v>
      </c>
      <c r="I24" s="206" t="n">
        <v>349</v>
      </c>
      <c r="J24" s="206" t="n">
        <v>419</v>
      </c>
      <c r="K24" s="210" t="inlineStr"/>
    </row>
    <row r="25">
      <c r="A25" s="207" t="str">
        <f>B25&amp;"|"&amp;C25&amp;"|"&amp;D25</f>
        <v>無|組積造|東京事務所職員等</v>
      </c>
      <c r="B25" s="208" t="inlineStr">
        <is>
          <t>無</t>
        </is>
      </c>
      <c r="C25" s="209" t="inlineStr">
        <is>
          <t>組積造</t>
        </is>
      </c>
      <c r="D25" s="209" t="inlineStr">
        <is>
          <t>東京事務所職員等</t>
        </is>
      </c>
      <c r="E25" s="205" t="n">
        <v>25</v>
      </c>
      <c r="F25" s="206" t="n">
        <v>217</v>
      </c>
      <c r="G25" s="206" t="n">
        <v>271</v>
      </c>
      <c r="H25" s="206" t="n">
        <v>325</v>
      </c>
      <c r="I25" s="206" t="n">
        <v>407</v>
      </c>
      <c r="J25" s="206" t="n">
        <v>488</v>
      </c>
      <c r="K25" s="210" t="inlineStr"/>
    </row>
    <row r="26">
      <c r="A26" s="207" t="str">
        <f>B26&amp;"|"&amp;C26&amp;"|"&amp;D26</f>
        <v>無|組積造|東京事務所職員等</v>
      </c>
      <c r="B26" s="208" t="inlineStr">
        <is>
          <t>無</t>
        </is>
      </c>
      <c r="C26" s="209" t="inlineStr">
        <is>
          <t>組積造</t>
        </is>
      </c>
      <c r="D26" s="209" t="inlineStr">
        <is>
          <t>東京事務所職員等</t>
        </is>
      </c>
      <c r="E26" s="205" t="n">
        <v>30</v>
      </c>
      <c r="F26" s="206" t="n">
        <v>232</v>
      </c>
      <c r="G26" s="206" t="n">
        <v>290</v>
      </c>
      <c r="H26" s="206" t="n">
        <v>348</v>
      </c>
      <c r="I26" s="206" t="n">
        <v>435</v>
      </c>
      <c r="J26" s="206" t="n">
        <v>522</v>
      </c>
      <c r="K26" s="210" t="inlineStr"/>
    </row>
    <row r="27">
      <c r="A27" s="207" t="str">
        <f>B27&amp;"|"&amp;C27&amp;"|"&amp;D27</f>
        <v>無|組積造|東京事務所職員等</v>
      </c>
      <c r="B27" s="208" t="inlineStr">
        <is>
          <t>無</t>
        </is>
      </c>
      <c r="C27" s="209" t="inlineStr">
        <is>
          <t>組積造</t>
        </is>
      </c>
      <c r="D27" s="209" t="inlineStr">
        <is>
          <t>東京事務所職員等</t>
        </is>
      </c>
      <c r="E27" s="205" t="n">
        <v>35</v>
      </c>
      <c r="F27" s="206" t="n">
        <v>248</v>
      </c>
      <c r="G27" s="206" t="n">
        <v>309</v>
      </c>
      <c r="H27" s="206" t="n">
        <v>371</v>
      </c>
      <c r="I27" s="206" t="n">
        <v>464</v>
      </c>
      <c r="J27" s="206" t="n">
        <v>557</v>
      </c>
      <c r="K27" s="210" t="inlineStr"/>
    </row>
    <row r="28">
      <c r="A28" s="207" t="str">
        <f>B28&amp;"|"&amp;C28&amp;"|"&amp;D28</f>
        <v>無|組積造|その他</v>
      </c>
      <c r="B28" s="208" t="inlineStr">
        <is>
          <t>無</t>
        </is>
      </c>
      <c r="C28" s="209" t="inlineStr">
        <is>
          <t>組積造</t>
        </is>
      </c>
      <c r="D28" s="209" t="inlineStr">
        <is>
          <t>その他</t>
        </is>
      </c>
      <c r="E28" s="205" t="n">
        <v>0</v>
      </c>
      <c r="F28" s="206" t="n">
        <v>0</v>
      </c>
      <c r="G28" s="206" t="n">
        <v>0</v>
      </c>
      <c r="H28" s="206" t="n">
        <v>0</v>
      </c>
      <c r="I28" s="206" t="n">
        <v>0</v>
      </c>
      <c r="J28" s="206" t="n">
        <v>0</v>
      </c>
      <c r="K28" s="210" t="inlineStr">
        <is>
          <t>原表に行なし。5年未満は控除なし(0円)として補完</t>
        </is>
      </c>
    </row>
    <row r="29">
      <c r="A29" s="207" t="str">
        <f>B29&amp;"|"&amp;C29&amp;"|"&amp;D29</f>
        <v>無|組積造|その他</v>
      </c>
      <c r="B29" s="208" t="inlineStr">
        <is>
          <t>無</t>
        </is>
      </c>
      <c r="C29" s="209" t="inlineStr">
        <is>
          <t>組積造</t>
        </is>
      </c>
      <c r="D29" s="209" t="inlineStr">
        <is>
          <t>その他</t>
        </is>
      </c>
      <c r="E29" s="205" t="n">
        <v>5</v>
      </c>
      <c r="F29" s="206" t="n">
        <v>0</v>
      </c>
      <c r="G29" s="206" t="n">
        <v>0</v>
      </c>
      <c r="H29" s="206" t="n">
        <v>0</v>
      </c>
      <c r="I29" s="206" t="n">
        <v>0</v>
      </c>
      <c r="J29" s="206" t="n">
        <v>0</v>
      </c>
      <c r="K29" s="210" t="inlineStr"/>
    </row>
    <row r="30">
      <c r="A30" s="207" t="str">
        <f>B30&amp;"|"&amp;C30&amp;"|"&amp;D30</f>
        <v>無|組積造|その他</v>
      </c>
      <c r="B30" s="208" t="inlineStr">
        <is>
          <t>無</t>
        </is>
      </c>
      <c r="C30" s="209" t="inlineStr">
        <is>
          <t>組積造</t>
        </is>
      </c>
      <c r="D30" s="209" t="inlineStr">
        <is>
          <t>その他</t>
        </is>
      </c>
      <c r="E30" s="205" t="n">
        <v>10</v>
      </c>
      <c r="F30" s="206" t="n">
        <v>0</v>
      </c>
      <c r="G30" s="206" t="n">
        <v>0</v>
      </c>
      <c r="H30" s="206" t="n">
        <v>0</v>
      </c>
      <c r="I30" s="206" t="n">
        <v>0</v>
      </c>
      <c r="J30" s="206" t="n">
        <v>1</v>
      </c>
      <c r="K30" s="210" t="inlineStr"/>
    </row>
    <row r="31">
      <c r="A31" s="207" t="str">
        <f>B31&amp;"|"&amp;C31&amp;"|"&amp;D31</f>
        <v>無|組積造|その他</v>
      </c>
      <c r="B31" s="208" t="inlineStr">
        <is>
          <t>無</t>
        </is>
      </c>
      <c r="C31" s="209" t="inlineStr">
        <is>
          <t>組積造</t>
        </is>
      </c>
      <c r="D31" s="209" t="inlineStr">
        <is>
          <t>その他</t>
        </is>
      </c>
      <c r="E31" s="205" t="n">
        <v>15</v>
      </c>
      <c r="F31" s="206" t="n">
        <v>124</v>
      </c>
      <c r="G31" s="206" t="n">
        <v>156</v>
      </c>
      <c r="H31" s="206" t="n">
        <v>187</v>
      </c>
      <c r="I31" s="206" t="n">
        <v>233</v>
      </c>
      <c r="J31" s="206" t="n">
        <v>280</v>
      </c>
      <c r="K31" s="210" t="inlineStr"/>
    </row>
    <row r="32">
      <c r="A32" s="207" t="str">
        <f>B32&amp;"|"&amp;C32&amp;"|"&amp;D32</f>
        <v>無|組積造|その他</v>
      </c>
      <c r="B32" s="208" t="inlineStr">
        <is>
          <t>無</t>
        </is>
      </c>
      <c r="C32" s="209" t="inlineStr">
        <is>
          <t>組積造</t>
        </is>
      </c>
      <c r="D32" s="209" t="inlineStr">
        <is>
          <t>その他</t>
        </is>
      </c>
      <c r="E32" s="205" t="n">
        <v>20</v>
      </c>
      <c r="F32" s="206" t="n">
        <v>186</v>
      </c>
      <c r="G32" s="206" t="n">
        <v>233</v>
      </c>
      <c r="H32" s="206" t="n">
        <v>279</v>
      </c>
      <c r="I32" s="206" t="n">
        <v>349</v>
      </c>
      <c r="J32" s="206" t="n">
        <v>419</v>
      </c>
      <c r="K32" s="210" t="inlineStr"/>
    </row>
    <row r="33">
      <c r="A33" s="207" t="str">
        <f>B33&amp;"|"&amp;C33&amp;"|"&amp;D33</f>
        <v>無|組積造|その他</v>
      </c>
      <c r="B33" s="208" t="inlineStr">
        <is>
          <t>無</t>
        </is>
      </c>
      <c r="C33" s="209" t="inlineStr">
        <is>
          <t>組積造</t>
        </is>
      </c>
      <c r="D33" s="209" t="inlineStr">
        <is>
          <t>その他</t>
        </is>
      </c>
      <c r="E33" s="205" t="n">
        <v>25</v>
      </c>
      <c r="F33" s="206" t="n">
        <v>217</v>
      </c>
      <c r="G33" s="206" t="n">
        <v>271</v>
      </c>
      <c r="H33" s="206" t="n">
        <v>325</v>
      </c>
      <c r="I33" s="206" t="n">
        <v>407</v>
      </c>
      <c r="J33" s="206" t="n">
        <v>488</v>
      </c>
      <c r="K33" s="210" t="inlineStr"/>
    </row>
    <row r="34">
      <c r="A34" s="207" t="str">
        <f>B34&amp;"|"&amp;C34&amp;"|"&amp;D34</f>
        <v>無|組積造|その他</v>
      </c>
      <c r="B34" s="208" t="inlineStr">
        <is>
          <t>無</t>
        </is>
      </c>
      <c r="C34" s="209" t="inlineStr">
        <is>
          <t>組積造</t>
        </is>
      </c>
      <c r="D34" s="209" t="inlineStr">
        <is>
          <t>その他</t>
        </is>
      </c>
      <c r="E34" s="205" t="n">
        <v>30</v>
      </c>
      <c r="F34" s="206" t="n">
        <v>232</v>
      </c>
      <c r="G34" s="206" t="n">
        <v>290</v>
      </c>
      <c r="H34" s="206" t="n">
        <v>348</v>
      </c>
      <c r="I34" s="206" t="n">
        <v>435</v>
      </c>
      <c r="J34" s="206" t="n">
        <v>522</v>
      </c>
      <c r="K34" s="210" t="inlineStr"/>
    </row>
    <row r="35">
      <c r="A35" s="207" t="str">
        <f>B35&amp;"|"&amp;C35&amp;"|"&amp;D35</f>
        <v>無|組積造|その他</v>
      </c>
      <c r="B35" s="208" t="inlineStr">
        <is>
          <t>無</t>
        </is>
      </c>
      <c r="C35" s="209" t="inlineStr">
        <is>
          <t>組積造</t>
        </is>
      </c>
      <c r="D35" s="209" t="inlineStr">
        <is>
          <t>その他</t>
        </is>
      </c>
      <c r="E35" s="205" t="n">
        <v>35</v>
      </c>
      <c r="F35" s="206" t="n">
        <v>248</v>
      </c>
      <c r="G35" s="206" t="n">
        <v>309</v>
      </c>
      <c r="H35" s="206" t="n">
        <v>371</v>
      </c>
      <c r="I35" s="206" t="n">
        <v>464</v>
      </c>
      <c r="J35" s="206" t="n">
        <v>557</v>
      </c>
      <c r="K35" s="210" t="inlineStr"/>
    </row>
    <row r="36">
      <c r="A36" s="207" t="str">
        <f>B36&amp;"|"&amp;C36&amp;"|"&amp;D36</f>
        <v>無|鉄骨・RC造|東京事務所職員等</v>
      </c>
      <c r="B36" s="208" t="inlineStr">
        <is>
          <t>無</t>
        </is>
      </c>
      <c r="C36" s="209" t="inlineStr">
        <is>
          <t>鉄骨・RC造</t>
        </is>
      </c>
      <c r="D36" s="209" t="inlineStr">
        <is>
          <t>東京事務所職員等</t>
        </is>
      </c>
      <c r="E36" s="205" t="n">
        <v>0</v>
      </c>
      <c r="F36" s="206" t="n">
        <v>0</v>
      </c>
      <c r="G36" s="206" t="n">
        <v>0</v>
      </c>
      <c r="H36" s="206" t="n">
        <v>0</v>
      </c>
      <c r="I36" s="206" t="n">
        <v>0</v>
      </c>
      <c r="J36" s="206" t="n">
        <v>0</v>
      </c>
      <c r="K36" s="210" t="inlineStr">
        <is>
          <t>原表に行なし。5年未満は控除なし(0円)として補完</t>
        </is>
      </c>
    </row>
    <row r="37">
      <c r="A37" s="207" t="str">
        <f>B37&amp;"|"&amp;C37&amp;"|"&amp;D37</f>
        <v>無|鉄骨・RC造|東京事務所職員等</v>
      </c>
      <c r="B37" s="208" t="inlineStr">
        <is>
          <t>無</t>
        </is>
      </c>
      <c r="C37" s="209" t="inlineStr">
        <is>
          <t>鉄骨・RC造</t>
        </is>
      </c>
      <c r="D37" s="209" t="inlineStr">
        <is>
          <t>東京事務所職員等</t>
        </is>
      </c>
      <c r="E37" s="205" t="n">
        <v>5</v>
      </c>
      <c r="F37" s="206" t="n">
        <v>0</v>
      </c>
      <c r="G37" s="206" t="n">
        <v>0</v>
      </c>
      <c r="H37" s="206" t="n">
        <v>0</v>
      </c>
      <c r="I37" s="206" t="n">
        <v>0</v>
      </c>
      <c r="J37" s="206" t="n">
        <v>0</v>
      </c>
      <c r="K37" s="210" t="inlineStr"/>
    </row>
    <row r="38">
      <c r="A38" s="207" t="str">
        <f>B38&amp;"|"&amp;C38&amp;"|"&amp;D38</f>
        <v>無|鉄骨・RC造|東京事務所職員等</v>
      </c>
      <c r="B38" s="208" t="inlineStr">
        <is>
          <t>無</t>
        </is>
      </c>
      <c r="C38" s="209" t="inlineStr">
        <is>
          <t>鉄骨・RC造</t>
        </is>
      </c>
      <c r="D38" s="209" t="inlineStr">
        <is>
          <t>東京事務所職員等</t>
        </is>
      </c>
      <c r="E38" s="205" t="n">
        <v>10</v>
      </c>
      <c r="F38" s="206" t="n">
        <v>0</v>
      </c>
      <c r="G38" s="206" t="n">
        <v>0</v>
      </c>
      <c r="H38" s="206" t="n">
        <v>0</v>
      </c>
      <c r="I38" s="206" t="n">
        <v>0</v>
      </c>
      <c r="J38" s="206" t="n">
        <v>0</v>
      </c>
      <c r="K38" s="210" t="inlineStr"/>
    </row>
    <row r="39">
      <c r="A39" s="207" t="str">
        <f>B39&amp;"|"&amp;C39&amp;"|"&amp;D39</f>
        <v>無|鉄骨・RC造|東京事務所職員等</v>
      </c>
      <c r="B39" s="208" t="inlineStr">
        <is>
          <t>無</t>
        </is>
      </c>
      <c r="C39" s="209" t="inlineStr">
        <is>
          <t>鉄骨・RC造</t>
        </is>
      </c>
      <c r="D39" s="209" t="inlineStr">
        <is>
          <t>東京事務所職員等</t>
        </is>
      </c>
      <c r="E39" s="205" t="n">
        <v>15</v>
      </c>
      <c r="F39" s="206" t="n">
        <v>83</v>
      </c>
      <c r="G39" s="206" t="n">
        <v>104</v>
      </c>
      <c r="H39" s="206" t="n">
        <v>125</v>
      </c>
      <c r="I39" s="206" t="n">
        <v>156</v>
      </c>
      <c r="J39" s="206" t="n">
        <v>188</v>
      </c>
      <c r="K39" s="210" t="inlineStr"/>
    </row>
    <row r="40">
      <c r="A40" s="207" t="str">
        <f>B40&amp;"|"&amp;C40&amp;"|"&amp;D40</f>
        <v>無|鉄骨・RC造|東京事務所職員等</v>
      </c>
      <c r="B40" s="208" t="inlineStr">
        <is>
          <t>無</t>
        </is>
      </c>
      <c r="C40" s="209" t="inlineStr">
        <is>
          <t>鉄骨・RC造</t>
        </is>
      </c>
      <c r="D40" s="209" t="inlineStr">
        <is>
          <t>東京事務所職員等</t>
        </is>
      </c>
      <c r="E40" s="205" t="n">
        <v>20</v>
      </c>
      <c r="F40" s="206" t="n">
        <v>111</v>
      </c>
      <c r="G40" s="206" t="n">
        <v>139</v>
      </c>
      <c r="H40" s="206" t="n">
        <v>166</v>
      </c>
      <c r="I40" s="206" t="n">
        <v>208</v>
      </c>
      <c r="J40" s="206" t="n">
        <v>249</v>
      </c>
      <c r="K40" s="210" t="inlineStr"/>
    </row>
    <row r="41">
      <c r="A41" s="207" t="str">
        <f>B41&amp;"|"&amp;C41&amp;"|"&amp;D41</f>
        <v>無|鉄骨・RC造|東京事務所職員等</v>
      </c>
      <c r="B41" s="208" t="inlineStr">
        <is>
          <t>無</t>
        </is>
      </c>
      <c r="C41" s="209" t="inlineStr">
        <is>
          <t>鉄骨・RC造</t>
        </is>
      </c>
      <c r="D41" s="209" t="inlineStr">
        <is>
          <t>東京事務所職員等</t>
        </is>
      </c>
      <c r="E41" s="205" t="n">
        <v>25</v>
      </c>
      <c r="F41" s="206" t="n">
        <v>138</v>
      </c>
      <c r="G41" s="206" t="n">
        <v>173</v>
      </c>
      <c r="H41" s="206" t="n">
        <v>207</v>
      </c>
      <c r="I41" s="206" t="n">
        <v>259</v>
      </c>
      <c r="J41" s="206" t="n">
        <v>311</v>
      </c>
      <c r="K41" s="210" t="inlineStr"/>
    </row>
    <row r="42">
      <c r="A42" s="207" t="str">
        <f>B42&amp;"|"&amp;C42&amp;"|"&amp;D42</f>
        <v>無|鉄骨・RC造|東京事務所職員等</v>
      </c>
      <c r="B42" s="208" t="inlineStr">
        <is>
          <t>無</t>
        </is>
      </c>
      <c r="C42" s="209" t="inlineStr">
        <is>
          <t>鉄骨・RC造</t>
        </is>
      </c>
      <c r="D42" s="209" t="inlineStr">
        <is>
          <t>東京事務所職員等</t>
        </is>
      </c>
      <c r="E42" s="205" t="n">
        <v>30</v>
      </c>
      <c r="F42" s="206" t="n">
        <v>166</v>
      </c>
      <c r="G42" s="206" t="n">
        <v>207</v>
      </c>
      <c r="H42" s="206" t="n">
        <v>248</v>
      </c>
      <c r="I42" s="206" t="n">
        <v>310</v>
      </c>
      <c r="J42" s="206" t="n">
        <v>372</v>
      </c>
      <c r="K42" s="210" t="inlineStr"/>
    </row>
    <row r="43">
      <c r="A43" s="207" t="str">
        <f>B43&amp;"|"&amp;C43&amp;"|"&amp;D43</f>
        <v>無|鉄骨・RC造|東京事務所職員等</v>
      </c>
      <c r="B43" s="208" t="inlineStr">
        <is>
          <t>無</t>
        </is>
      </c>
      <c r="C43" s="209" t="inlineStr">
        <is>
          <t>鉄骨・RC造</t>
        </is>
      </c>
      <c r="D43" s="209" t="inlineStr">
        <is>
          <t>東京事務所職員等</t>
        </is>
      </c>
      <c r="E43" s="205" t="n">
        <v>35</v>
      </c>
      <c r="F43" s="206" t="n">
        <v>193</v>
      </c>
      <c r="G43" s="206" t="n">
        <v>241</v>
      </c>
      <c r="H43" s="206" t="n">
        <v>289</v>
      </c>
      <c r="I43" s="206" t="n">
        <v>362</v>
      </c>
      <c r="J43" s="206" t="n">
        <v>434</v>
      </c>
      <c r="K43" s="210" t="inlineStr"/>
    </row>
    <row r="44">
      <c r="A44" s="207" t="str">
        <f>B44&amp;"|"&amp;C44&amp;"|"&amp;D44</f>
        <v>無|鉄骨・RC造|東京事務所職員等</v>
      </c>
      <c r="B44" s="208" t="inlineStr">
        <is>
          <t>無</t>
        </is>
      </c>
      <c r="C44" s="209" t="inlineStr">
        <is>
          <t>鉄骨・RC造</t>
        </is>
      </c>
      <c r="D44" s="209" t="inlineStr">
        <is>
          <t>東京事務所職員等</t>
        </is>
      </c>
      <c r="E44" s="205" t="n">
        <v>40</v>
      </c>
      <c r="F44" s="206" t="n">
        <v>220</v>
      </c>
      <c r="G44" s="206" t="n">
        <v>275</v>
      </c>
      <c r="H44" s="206" t="n">
        <v>330</v>
      </c>
      <c r="I44" s="206" t="n">
        <v>413</v>
      </c>
      <c r="J44" s="206" t="n">
        <v>496</v>
      </c>
      <c r="K44" s="210" t="inlineStr"/>
    </row>
    <row r="45">
      <c r="A45" s="207" t="str">
        <f>B45&amp;"|"&amp;C45&amp;"|"&amp;D45</f>
        <v>無|鉄骨・RC造|東京事務所職員等</v>
      </c>
      <c r="B45" s="208" t="inlineStr">
        <is>
          <t>無</t>
        </is>
      </c>
      <c r="C45" s="209" t="inlineStr">
        <is>
          <t>鉄骨・RC造</t>
        </is>
      </c>
      <c r="D45" s="209" t="inlineStr">
        <is>
          <t>東京事務所職員等</t>
        </is>
      </c>
      <c r="E45" s="205" t="n">
        <v>45</v>
      </c>
      <c r="F45" s="206" t="n">
        <v>248</v>
      </c>
      <c r="G45" s="206" t="n">
        <v>309</v>
      </c>
      <c r="H45" s="206" t="n">
        <v>371</v>
      </c>
      <c r="I45" s="206" t="n">
        <v>464</v>
      </c>
      <c r="J45" s="206" t="n">
        <v>557</v>
      </c>
      <c r="K45" s="210" t="inlineStr"/>
    </row>
    <row r="46">
      <c r="A46" s="207" t="str">
        <f>B46&amp;"|"&amp;C46&amp;"|"&amp;D46</f>
        <v>無|鉄骨・RC造|東京事務所職員等</v>
      </c>
      <c r="B46" s="208" t="inlineStr">
        <is>
          <t>無</t>
        </is>
      </c>
      <c r="C46" s="209" t="inlineStr">
        <is>
          <t>鉄骨・RC造</t>
        </is>
      </c>
      <c r="D46" s="209" t="inlineStr">
        <is>
          <t>東京事務所職員等</t>
        </is>
      </c>
      <c r="E46" s="205" t="n">
        <v>50</v>
      </c>
      <c r="F46" s="206" t="n">
        <v>248</v>
      </c>
      <c r="G46" s="206" t="n">
        <v>309</v>
      </c>
      <c r="H46" s="206" t="n">
        <v>371</v>
      </c>
      <c r="I46" s="206" t="n">
        <v>464</v>
      </c>
      <c r="J46" s="206" t="n">
        <v>557</v>
      </c>
      <c r="K46" s="210" t="inlineStr"/>
    </row>
    <row r="47">
      <c r="A47" s="207" t="str">
        <f>B47&amp;"|"&amp;C47&amp;"|"&amp;D47</f>
        <v>無|鉄骨・RC造|その他</v>
      </c>
      <c r="B47" s="208" t="inlineStr">
        <is>
          <t>無</t>
        </is>
      </c>
      <c r="C47" s="209" t="inlineStr">
        <is>
          <t>鉄骨・RC造</t>
        </is>
      </c>
      <c r="D47" s="209" t="inlineStr">
        <is>
          <t>その他</t>
        </is>
      </c>
      <c r="E47" s="205" t="n">
        <v>0</v>
      </c>
      <c r="F47" s="206" t="n">
        <v>0</v>
      </c>
      <c r="G47" s="206" t="n">
        <v>0</v>
      </c>
      <c r="H47" s="206" t="n">
        <v>0</v>
      </c>
      <c r="I47" s="206" t="n">
        <v>0</v>
      </c>
      <c r="J47" s="206" t="n">
        <v>0</v>
      </c>
      <c r="K47" s="210" t="inlineStr">
        <is>
          <t>原表に行なし。5年未満は控除なし(0円)として補完</t>
        </is>
      </c>
    </row>
    <row r="48">
      <c r="A48" s="207" t="str">
        <f>B48&amp;"|"&amp;C48&amp;"|"&amp;D48</f>
        <v>無|鉄骨・RC造|その他</v>
      </c>
      <c r="B48" s="208" t="inlineStr">
        <is>
          <t>無</t>
        </is>
      </c>
      <c r="C48" s="209" t="inlineStr">
        <is>
          <t>鉄骨・RC造</t>
        </is>
      </c>
      <c r="D48" s="209" t="inlineStr">
        <is>
          <t>その他</t>
        </is>
      </c>
      <c r="E48" s="205" t="n">
        <v>5</v>
      </c>
      <c r="F48" s="206" t="n">
        <v>0</v>
      </c>
      <c r="G48" s="206" t="n">
        <v>0</v>
      </c>
      <c r="H48" s="206" t="n">
        <v>0</v>
      </c>
      <c r="I48" s="206" t="n">
        <v>0</v>
      </c>
      <c r="J48" s="206" t="n">
        <v>0</v>
      </c>
      <c r="K48" s="210" t="inlineStr"/>
    </row>
    <row r="49">
      <c r="A49" s="207" t="str">
        <f>B49&amp;"|"&amp;C49&amp;"|"&amp;D49</f>
        <v>無|鉄骨・RC造|その他</v>
      </c>
      <c r="B49" s="208" t="inlineStr">
        <is>
          <t>無</t>
        </is>
      </c>
      <c r="C49" s="209" t="inlineStr">
        <is>
          <t>鉄骨・RC造</t>
        </is>
      </c>
      <c r="D49" s="209" t="inlineStr">
        <is>
          <t>その他</t>
        </is>
      </c>
      <c r="E49" s="205" t="n">
        <v>10</v>
      </c>
      <c r="F49" s="206" t="n">
        <v>0</v>
      </c>
      <c r="G49" s="206" t="n">
        <v>0</v>
      </c>
      <c r="H49" s="206" t="n">
        <v>0</v>
      </c>
      <c r="I49" s="206" t="n">
        <v>0</v>
      </c>
      <c r="J49" s="206" t="n">
        <v>0</v>
      </c>
      <c r="K49" s="210" t="inlineStr"/>
    </row>
    <row r="50">
      <c r="A50" s="207" t="str">
        <f>B50&amp;"|"&amp;C50&amp;"|"&amp;D50</f>
        <v>無|鉄骨・RC造|その他</v>
      </c>
      <c r="B50" s="208" t="inlineStr">
        <is>
          <t>無</t>
        </is>
      </c>
      <c r="C50" s="209" t="inlineStr">
        <is>
          <t>鉄骨・RC造</t>
        </is>
      </c>
      <c r="D50" s="209" t="inlineStr">
        <is>
          <t>その他</t>
        </is>
      </c>
      <c r="E50" s="205" t="n">
        <v>15</v>
      </c>
      <c r="F50" s="206" t="n">
        <v>83</v>
      </c>
      <c r="G50" s="206" t="n">
        <v>104</v>
      </c>
      <c r="H50" s="206" t="n">
        <v>125</v>
      </c>
      <c r="I50" s="206" t="n">
        <v>156</v>
      </c>
      <c r="J50" s="206" t="n">
        <v>188</v>
      </c>
      <c r="K50" s="210" t="inlineStr"/>
    </row>
    <row r="51">
      <c r="A51" s="207" t="str">
        <f>B51&amp;"|"&amp;C51&amp;"|"&amp;D51</f>
        <v>無|鉄骨・RC造|その他</v>
      </c>
      <c r="B51" s="208" t="inlineStr">
        <is>
          <t>無</t>
        </is>
      </c>
      <c r="C51" s="209" t="inlineStr">
        <is>
          <t>鉄骨・RC造</t>
        </is>
      </c>
      <c r="D51" s="209" t="inlineStr">
        <is>
          <t>その他</t>
        </is>
      </c>
      <c r="E51" s="205" t="n">
        <v>20</v>
      </c>
      <c r="F51" s="206" t="n">
        <v>111</v>
      </c>
      <c r="G51" s="206" t="n">
        <v>139</v>
      </c>
      <c r="H51" s="206" t="n">
        <v>166</v>
      </c>
      <c r="I51" s="206" t="n">
        <v>208</v>
      </c>
      <c r="J51" s="206" t="n">
        <v>249</v>
      </c>
      <c r="K51" s="210" t="inlineStr"/>
    </row>
    <row r="52">
      <c r="A52" s="207" t="str">
        <f>B52&amp;"|"&amp;C52&amp;"|"&amp;D52</f>
        <v>無|鉄骨・RC造|その他</v>
      </c>
      <c r="B52" s="208" t="inlineStr">
        <is>
          <t>無</t>
        </is>
      </c>
      <c r="C52" s="209" t="inlineStr">
        <is>
          <t>鉄骨・RC造</t>
        </is>
      </c>
      <c r="D52" s="209" t="inlineStr">
        <is>
          <t>その他</t>
        </is>
      </c>
      <c r="E52" s="205" t="n">
        <v>25</v>
      </c>
      <c r="F52" s="206" t="n">
        <v>138</v>
      </c>
      <c r="G52" s="206" t="n">
        <v>173</v>
      </c>
      <c r="H52" s="206" t="n">
        <v>207</v>
      </c>
      <c r="I52" s="206" t="n">
        <v>259</v>
      </c>
      <c r="J52" s="206" t="n">
        <v>311</v>
      </c>
      <c r="K52" s="210" t="inlineStr"/>
    </row>
    <row r="53">
      <c r="A53" s="207" t="str">
        <f>B53&amp;"|"&amp;C53&amp;"|"&amp;D53</f>
        <v>無|鉄骨・RC造|その他</v>
      </c>
      <c r="B53" s="208" t="inlineStr">
        <is>
          <t>無</t>
        </is>
      </c>
      <c r="C53" s="209" t="inlineStr">
        <is>
          <t>鉄骨・RC造</t>
        </is>
      </c>
      <c r="D53" s="209" t="inlineStr">
        <is>
          <t>その他</t>
        </is>
      </c>
      <c r="E53" s="205" t="n">
        <v>30</v>
      </c>
      <c r="F53" s="206" t="n">
        <v>166</v>
      </c>
      <c r="G53" s="206" t="n">
        <v>207</v>
      </c>
      <c r="H53" s="206" t="n">
        <v>248</v>
      </c>
      <c r="I53" s="206" t="n">
        <v>310</v>
      </c>
      <c r="J53" s="206" t="n">
        <v>372</v>
      </c>
      <c r="K53" s="210" t="inlineStr"/>
    </row>
    <row r="54">
      <c r="A54" s="207" t="str">
        <f>B54&amp;"|"&amp;C54&amp;"|"&amp;D54</f>
        <v>無|鉄骨・RC造|その他</v>
      </c>
      <c r="B54" s="208" t="inlineStr">
        <is>
          <t>無</t>
        </is>
      </c>
      <c r="C54" s="209" t="inlineStr">
        <is>
          <t>鉄骨・RC造</t>
        </is>
      </c>
      <c r="D54" s="209" t="inlineStr">
        <is>
          <t>その他</t>
        </is>
      </c>
      <c r="E54" s="205" t="n">
        <v>35</v>
      </c>
      <c r="F54" s="206" t="n">
        <v>193</v>
      </c>
      <c r="G54" s="206" t="n">
        <v>241</v>
      </c>
      <c r="H54" s="206" t="n">
        <v>289</v>
      </c>
      <c r="I54" s="206" t="n">
        <v>362</v>
      </c>
      <c r="J54" s="206" t="n">
        <v>434</v>
      </c>
      <c r="K54" s="210" t="inlineStr"/>
    </row>
    <row r="55">
      <c r="A55" s="207" t="str">
        <f>B55&amp;"|"&amp;C55&amp;"|"&amp;D55</f>
        <v>無|鉄骨・RC造|その他</v>
      </c>
      <c r="B55" s="208" t="inlineStr">
        <is>
          <t>無</t>
        </is>
      </c>
      <c r="C55" s="209" t="inlineStr">
        <is>
          <t>鉄骨・RC造</t>
        </is>
      </c>
      <c r="D55" s="209" t="inlineStr">
        <is>
          <t>その他</t>
        </is>
      </c>
      <c r="E55" s="205" t="n">
        <v>40</v>
      </c>
      <c r="F55" s="206" t="n">
        <v>220</v>
      </c>
      <c r="G55" s="206" t="n">
        <v>275</v>
      </c>
      <c r="H55" s="206" t="n">
        <v>330</v>
      </c>
      <c r="I55" s="206" t="n">
        <v>413</v>
      </c>
      <c r="J55" s="206" t="n">
        <v>496</v>
      </c>
      <c r="K55" s="210" t="inlineStr"/>
    </row>
    <row r="56">
      <c r="A56" s="207" t="str">
        <f>B56&amp;"|"&amp;C56&amp;"|"&amp;D56</f>
        <v>無|鉄骨・RC造|その他</v>
      </c>
      <c r="B56" s="208" t="inlineStr">
        <is>
          <t>無</t>
        </is>
      </c>
      <c r="C56" s="209" t="inlineStr">
        <is>
          <t>鉄骨・RC造</t>
        </is>
      </c>
      <c r="D56" s="209" t="inlineStr">
        <is>
          <t>その他</t>
        </is>
      </c>
      <c r="E56" s="205" t="n">
        <v>45</v>
      </c>
      <c r="F56" s="206" t="n">
        <v>248</v>
      </c>
      <c r="G56" s="206" t="n">
        <v>309</v>
      </c>
      <c r="H56" s="206" t="n">
        <v>371</v>
      </c>
      <c r="I56" s="206" t="n">
        <v>464</v>
      </c>
      <c r="J56" s="206" t="n">
        <v>557</v>
      </c>
      <c r="K56" s="210" t="inlineStr"/>
    </row>
    <row r="57">
      <c r="A57" s="207" t="str">
        <f>B57&amp;"|"&amp;C57&amp;"|"&amp;D57</f>
        <v>無|鉄骨・RC造|その他</v>
      </c>
      <c r="B57" s="208" t="inlineStr">
        <is>
          <t>無</t>
        </is>
      </c>
      <c r="C57" s="209" t="inlineStr">
        <is>
          <t>鉄骨・RC造</t>
        </is>
      </c>
      <c r="D57" s="209" t="inlineStr">
        <is>
          <t>その他</t>
        </is>
      </c>
      <c r="E57" s="205" t="n">
        <v>50</v>
      </c>
      <c r="F57" s="206" t="n">
        <v>248</v>
      </c>
      <c r="G57" s="206" t="n">
        <v>309</v>
      </c>
      <c r="H57" s="206" t="n">
        <v>371</v>
      </c>
      <c r="I57" s="206" t="n">
        <v>464</v>
      </c>
      <c r="J57" s="206" t="n">
        <v>557</v>
      </c>
      <c r="K57" s="210" t="inlineStr"/>
    </row>
    <row r="58">
      <c r="A58" s="207" t="str">
        <f>B58&amp;"|"&amp;C58&amp;"|"&amp;D58</f>
        <v>有|木造|東京事務所職員等</v>
      </c>
      <c r="B58" s="208" t="inlineStr">
        <is>
          <t>有</t>
        </is>
      </c>
      <c r="C58" s="209" t="inlineStr">
        <is>
          <t>木造</t>
        </is>
      </c>
      <c r="D58" s="209" t="inlineStr">
        <is>
          <t>東京事務所職員等</t>
        </is>
      </c>
      <c r="E58" s="205" t="n">
        <v>0</v>
      </c>
      <c r="F58" s="206" t="n">
        <v>160</v>
      </c>
      <c r="G58" s="206" t="n">
        <v>247</v>
      </c>
      <c r="H58" s="206" t="n">
        <v>371</v>
      </c>
      <c r="I58" s="206" t="n">
        <v>531</v>
      </c>
      <c r="J58" s="206" t="n">
        <v>621</v>
      </c>
      <c r="K58" s="210" t="inlineStr"/>
    </row>
    <row r="59">
      <c r="A59" s="207" t="str">
        <f>B59&amp;"|"&amp;C59&amp;"|"&amp;D59</f>
        <v>有|木造|東京事務所職員等</v>
      </c>
      <c r="B59" s="208" t="inlineStr">
        <is>
          <t>有</t>
        </is>
      </c>
      <c r="C59" s="209" t="inlineStr">
        <is>
          <t>木造</t>
        </is>
      </c>
      <c r="D59" s="209" t="inlineStr">
        <is>
          <t>東京事務所職員等</t>
        </is>
      </c>
      <c r="E59" s="205" t="n">
        <v>5</v>
      </c>
      <c r="F59" s="206" t="n">
        <v>270</v>
      </c>
      <c r="G59" s="206" t="n">
        <v>383</v>
      </c>
      <c r="H59" s="206" t="n">
        <v>528</v>
      </c>
      <c r="I59" s="206" t="n">
        <v>717</v>
      </c>
      <c r="J59" s="206" t="n">
        <v>854</v>
      </c>
      <c r="K59" s="210" t="inlineStr"/>
    </row>
    <row r="60">
      <c r="A60" s="207" t="str">
        <f>B60&amp;"|"&amp;C60&amp;"|"&amp;D60</f>
        <v>有|木造|東京事務所職員等</v>
      </c>
      <c r="B60" s="208" t="inlineStr">
        <is>
          <t>有</t>
        </is>
      </c>
      <c r="C60" s="209" t="inlineStr">
        <is>
          <t>木造</t>
        </is>
      </c>
      <c r="D60" s="209" t="inlineStr">
        <is>
          <t>東京事務所職員等</t>
        </is>
      </c>
      <c r="E60" s="205" t="n">
        <v>10</v>
      </c>
      <c r="F60" s="206" t="n">
        <v>337</v>
      </c>
      <c r="G60" s="206" t="n">
        <v>463</v>
      </c>
      <c r="H60" s="206" t="n">
        <v>621</v>
      </c>
      <c r="I60" s="206" t="n">
        <v>828</v>
      </c>
      <c r="J60" s="206" t="n">
        <v>996</v>
      </c>
      <c r="K60" s="210" t="inlineStr"/>
    </row>
    <row r="61">
      <c r="A61" s="207" t="str">
        <f>B61&amp;"|"&amp;C61&amp;"|"&amp;D61</f>
        <v>有|木造|東京事務所職員等</v>
      </c>
      <c r="B61" s="208" t="inlineStr">
        <is>
          <t>有</t>
        </is>
      </c>
      <c r="C61" s="209" t="inlineStr">
        <is>
          <t>木造</t>
        </is>
      </c>
      <c r="D61" s="209" t="inlineStr">
        <is>
          <t>東京事務所職員等</t>
        </is>
      </c>
      <c r="E61" s="205" t="n">
        <v>15</v>
      </c>
      <c r="F61" s="206" t="n">
        <v>376</v>
      </c>
      <c r="G61" s="206" t="n">
        <v>512</v>
      </c>
      <c r="H61" s="206" t="n">
        <v>677</v>
      </c>
      <c r="I61" s="206" t="n">
        <v>895</v>
      </c>
      <c r="J61" s="206" t="n">
        <v>1080</v>
      </c>
      <c r="K61" s="210" t="inlineStr"/>
    </row>
    <row r="62">
      <c r="A62" s="207" t="str">
        <f>B62&amp;"|"&amp;C62&amp;"|"&amp;D62</f>
        <v>有|木造|東京事務所職員等</v>
      </c>
      <c r="B62" s="208" t="inlineStr">
        <is>
          <t>有</t>
        </is>
      </c>
      <c r="C62" s="209" t="inlineStr">
        <is>
          <t>木造</t>
        </is>
      </c>
      <c r="D62" s="209" t="inlineStr">
        <is>
          <t>東京事務所職員等</t>
        </is>
      </c>
      <c r="E62" s="205" t="n">
        <v>20</v>
      </c>
      <c r="F62" s="206" t="n">
        <v>424</v>
      </c>
      <c r="G62" s="206" t="n">
        <v>576</v>
      </c>
      <c r="H62" s="206" t="n">
        <v>754</v>
      </c>
      <c r="I62" s="206" t="n">
        <v>986</v>
      </c>
      <c r="J62" s="206" t="n">
        <v>1204</v>
      </c>
      <c r="K62" s="210" t="inlineStr"/>
    </row>
    <row r="63">
      <c r="A63" s="207" t="str">
        <f>B63&amp;"|"&amp;C63&amp;"|"&amp;D63</f>
        <v>有|木造|東京事務所職員等</v>
      </c>
      <c r="B63" s="208" t="inlineStr">
        <is>
          <t>有</t>
        </is>
      </c>
      <c r="C63" s="209" t="inlineStr">
        <is>
          <t>木造</t>
        </is>
      </c>
      <c r="D63" s="209" t="inlineStr">
        <is>
          <t>東京事務所職員等</t>
        </is>
      </c>
      <c r="E63" s="205" t="n">
        <v>25</v>
      </c>
      <c r="F63" s="206" t="n">
        <v>454</v>
      </c>
      <c r="G63" s="206" t="n">
        <v>609</v>
      </c>
      <c r="H63" s="206" t="n">
        <v>800</v>
      </c>
      <c r="I63" s="206" t="n">
        <v>1049</v>
      </c>
      <c r="J63" s="206" t="n">
        <v>1266</v>
      </c>
      <c r="K63" s="210" t="inlineStr"/>
    </row>
    <row r="64">
      <c r="A64" s="207" t="str">
        <f>B64&amp;"|"&amp;C64&amp;"|"&amp;D64</f>
        <v>有|木造|東京事務所職員等</v>
      </c>
      <c r="B64" s="208" t="inlineStr">
        <is>
          <t>有</t>
        </is>
      </c>
      <c r="C64" s="209" t="inlineStr">
        <is>
          <t>木造</t>
        </is>
      </c>
      <c r="D64" s="209" t="inlineStr">
        <is>
          <t>東京事務所職員等</t>
        </is>
      </c>
      <c r="E64" s="205" t="n">
        <v>30</v>
      </c>
      <c r="F64" s="206" t="n">
        <v>504</v>
      </c>
      <c r="G64" s="206" t="n">
        <v>645</v>
      </c>
      <c r="H64" s="206" t="n">
        <v>845</v>
      </c>
      <c r="I64" s="206" t="n">
        <v>1102</v>
      </c>
      <c r="J64" s="206" t="n">
        <v>1335</v>
      </c>
      <c r="K64" s="210" t="inlineStr"/>
    </row>
    <row r="65">
      <c r="A65" s="207" t="str">
        <f>B65&amp;"|"&amp;C65&amp;"|"&amp;D65</f>
        <v>有|木造|その他</v>
      </c>
      <c r="B65" s="208" t="inlineStr">
        <is>
          <t>有</t>
        </is>
      </c>
      <c r="C65" s="209" t="inlineStr">
        <is>
          <t>木造</t>
        </is>
      </c>
      <c r="D65" s="209" t="inlineStr">
        <is>
          <t>その他</t>
        </is>
      </c>
      <c r="E65" s="205" t="n">
        <v>0</v>
      </c>
      <c r="F65" s="206" t="n">
        <v>100</v>
      </c>
      <c r="G65" s="206" t="n">
        <v>139</v>
      </c>
      <c r="H65" s="206" t="n">
        <v>188</v>
      </c>
      <c r="I65" s="206" t="n">
        <v>275</v>
      </c>
      <c r="J65" s="206" t="n">
        <v>328</v>
      </c>
      <c r="K65" s="210" t="inlineStr"/>
    </row>
    <row r="66">
      <c r="A66" s="207" t="str">
        <f>B66&amp;"|"&amp;C66&amp;"|"&amp;D66</f>
        <v>有|木造|その他</v>
      </c>
      <c r="B66" s="208" t="inlineStr">
        <is>
          <t>有</t>
        </is>
      </c>
      <c r="C66" s="209" t="inlineStr">
        <is>
          <t>木造</t>
        </is>
      </c>
      <c r="D66" s="209" t="inlineStr">
        <is>
          <t>その他</t>
        </is>
      </c>
      <c r="E66" s="205" t="n">
        <v>5</v>
      </c>
      <c r="F66" s="206" t="n">
        <v>207</v>
      </c>
      <c r="G66" s="206" t="n">
        <v>272</v>
      </c>
      <c r="H66" s="206" t="n">
        <v>341</v>
      </c>
      <c r="I66" s="206" t="n">
        <v>457</v>
      </c>
      <c r="J66" s="206" t="n">
        <v>556</v>
      </c>
      <c r="K66" s="210" t="inlineStr"/>
    </row>
    <row r="67">
      <c r="A67" s="207" t="str">
        <f>B67&amp;"|"&amp;C67&amp;"|"&amp;D67</f>
        <v>有|木造|その他</v>
      </c>
      <c r="B67" s="208" t="inlineStr">
        <is>
          <t>有</t>
        </is>
      </c>
      <c r="C67" s="209" t="inlineStr">
        <is>
          <t>木造</t>
        </is>
      </c>
      <c r="D67" s="209" t="inlineStr">
        <is>
          <t>その他</t>
        </is>
      </c>
      <c r="E67" s="205" t="n">
        <v>10</v>
      </c>
      <c r="F67" s="206" t="n">
        <v>272</v>
      </c>
      <c r="G67" s="206" t="n">
        <v>349</v>
      </c>
      <c r="H67" s="206" t="n">
        <v>432</v>
      </c>
      <c r="I67" s="206" t="n">
        <v>564</v>
      </c>
      <c r="J67" s="206" t="n">
        <v>693</v>
      </c>
      <c r="K67" s="210" t="inlineStr"/>
    </row>
    <row r="68">
      <c r="A68" s="207" t="str">
        <f>B68&amp;"|"&amp;C68&amp;"|"&amp;D68</f>
        <v>有|木造|その他</v>
      </c>
      <c r="B68" s="208" t="inlineStr">
        <is>
          <t>有</t>
        </is>
      </c>
      <c r="C68" s="209" t="inlineStr">
        <is>
          <t>木造</t>
        </is>
      </c>
      <c r="D68" s="209" t="inlineStr">
        <is>
          <t>その他</t>
        </is>
      </c>
      <c r="E68" s="205" t="n">
        <v>15</v>
      </c>
      <c r="F68" s="206" t="n">
        <v>310</v>
      </c>
      <c r="G68" s="206" t="n">
        <v>397</v>
      </c>
      <c r="H68" s="206" t="n">
        <v>485</v>
      </c>
      <c r="I68" s="206" t="n">
        <v>629</v>
      </c>
      <c r="J68" s="206" t="n">
        <v>774</v>
      </c>
      <c r="K68" s="210" t="inlineStr"/>
    </row>
    <row r="69">
      <c r="A69" s="207" t="str">
        <f>B69&amp;"|"&amp;C69&amp;"|"&amp;D69</f>
        <v>有|木造|その他</v>
      </c>
      <c r="B69" s="208" t="inlineStr">
        <is>
          <t>有</t>
        </is>
      </c>
      <c r="C69" s="209" t="inlineStr">
        <is>
          <t>木造</t>
        </is>
      </c>
      <c r="D69" s="209" t="inlineStr">
        <is>
          <t>その他</t>
        </is>
      </c>
      <c r="E69" s="205" t="n">
        <v>20</v>
      </c>
      <c r="F69" s="206" t="n">
        <v>355</v>
      </c>
      <c r="G69" s="206" t="n">
        <v>457</v>
      </c>
      <c r="H69" s="206" t="n">
        <v>558</v>
      </c>
      <c r="I69" s="206" t="n">
        <v>714</v>
      </c>
      <c r="J69" s="206" t="n">
        <v>891</v>
      </c>
      <c r="K69" s="210" t="inlineStr"/>
    </row>
    <row r="70">
      <c r="A70" s="207" t="str">
        <f>B70&amp;"|"&amp;C70&amp;"|"&amp;D70</f>
        <v>有|木造|その他</v>
      </c>
      <c r="B70" s="208" t="inlineStr">
        <is>
          <t>有</t>
        </is>
      </c>
      <c r="C70" s="209" t="inlineStr">
        <is>
          <t>木造</t>
        </is>
      </c>
      <c r="D70" s="209" t="inlineStr">
        <is>
          <t>その他</t>
        </is>
      </c>
      <c r="E70" s="205" t="n">
        <v>25</v>
      </c>
      <c r="F70" s="206" t="n">
        <v>384</v>
      </c>
      <c r="G70" s="206" t="n">
        <v>489</v>
      </c>
      <c r="H70" s="206" t="n">
        <v>601</v>
      </c>
      <c r="I70" s="206" t="n">
        <v>774</v>
      </c>
      <c r="J70" s="206" t="n">
        <v>950</v>
      </c>
      <c r="K70" s="210" t="inlineStr"/>
    </row>
    <row r="71">
      <c r="A71" s="207" t="str">
        <f>B71&amp;"|"&amp;C71&amp;"|"&amp;D71</f>
        <v>有|木造|その他</v>
      </c>
      <c r="B71" s="208" t="inlineStr">
        <is>
          <t>有</t>
        </is>
      </c>
      <c r="C71" s="209" t="inlineStr">
        <is>
          <t>木造</t>
        </is>
      </c>
      <c r="D71" s="209" t="inlineStr">
        <is>
          <t>その他</t>
        </is>
      </c>
      <c r="E71" s="205" t="n">
        <v>30</v>
      </c>
      <c r="F71" s="206" t="n">
        <v>391</v>
      </c>
      <c r="G71" s="206" t="n">
        <v>513</v>
      </c>
      <c r="H71" s="206" t="n">
        <v>644</v>
      </c>
      <c r="I71" s="206" t="n">
        <v>825</v>
      </c>
      <c r="J71" s="206" t="n">
        <v>1015</v>
      </c>
      <c r="K71" s="210" t="inlineStr"/>
    </row>
    <row r="72">
      <c r="A72" s="207" t="str">
        <f>B72&amp;"|"&amp;C72&amp;"|"&amp;D72</f>
        <v>有|組積造|東京事務所職員等</v>
      </c>
      <c r="B72" s="208" t="inlineStr">
        <is>
          <t>有</t>
        </is>
      </c>
      <c r="C72" s="209" t="inlineStr">
        <is>
          <t>組積造</t>
        </is>
      </c>
      <c r="D72" s="209" t="inlineStr">
        <is>
          <t>東京事務所職員等</t>
        </is>
      </c>
      <c r="E72" s="205" t="n">
        <v>0</v>
      </c>
      <c r="F72" s="206" t="n">
        <v>160</v>
      </c>
      <c r="G72" s="206" t="n">
        <v>247</v>
      </c>
      <c r="H72" s="206" t="n">
        <v>371</v>
      </c>
      <c r="I72" s="206" t="n">
        <v>531</v>
      </c>
      <c r="J72" s="206" t="n">
        <v>621</v>
      </c>
      <c r="K72" s="210" t="inlineStr"/>
    </row>
    <row r="73">
      <c r="A73" s="207" t="str">
        <f>B73&amp;"|"&amp;C73&amp;"|"&amp;D73</f>
        <v>有|組積造|東京事務所職員等</v>
      </c>
      <c r="B73" s="208" t="inlineStr">
        <is>
          <t>有</t>
        </is>
      </c>
      <c r="C73" s="209" t="inlineStr">
        <is>
          <t>組積造</t>
        </is>
      </c>
      <c r="D73" s="209" t="inlineStr">
        <is>
          <t>東京事務所職員等</t>
        </is>
      </c>
      <c r="E73" s="205" t="n">
        <v>5</v>
      </c>
      <c r="F73" s="206" t="n">
        <v>233</v>
      </c>
      <c r="G73" s="206" t="n">
        <v>338</v>
      </c>
      <c r="H73" s="206" t="n">
        <v>475</v>
      </c>
      <c r="I73" s="206" t="n">
        <v>654</v>
      </c>
      <c r="J73" s="206" t="n">
        <v>776</v>
      </c>
      <c r="K73" s="210" t="inlineStr"/>
    </row>
    <row r="74">
      <c r="A74" s="207" t="str">
        <f>B74&amp;"|"&amp;C74&amp;"|"&amp;D74</f>
        <v>有|組積造|東京事務所職員等</v>
      </c>
      <c r="B74" s="208" t="inlineStr">
        <is>
          <t>有</t>
        </is>
      </c>
      <c r="C74" s="209" t="inlineStr">
        <is>
          <t>組積造</t>
        </is>
      </c>
      <c r="D74" s="209" t="inlineStr">
        <is>
          <t>東京事務所職員等</t>
        </is>
      </c>
      <c r="E74" s="205" t="n">
        <v>10</v>
      </c>
      <c r="F74" s="206" t="n">
        <v>293</v>
      </c>
      <c r="G74" s="206" t="n">
        <v>410</v>
      </c>
      <c r="H74" s="206" t="n">
        <v>559</v>
      </c>
      <c r="I74" s="206" t="n">
        <v>755</v>
      </c>
      <c r="J74" s="206" t="n">
        <v>904</v>
      </c>
      <c r="K74" s="210" t="inlineStr"/>
    </row>
    <row r="75">
      <c r="A75" s="207" t="str">
        <f>B75&amp;"|"&amp;C75&amp;"|"&amp;D75</f>
        <v>有|組積造|東京事務所職員等</v>
      </c>
      <c r="B75" s="208" t="inlineStr">
        <is>
          <t>有</t>
        </is>
      </c>
      <c r="C75" s="209" t="inlineStr">
        <is>
          <t>組積造</t>
        </is>
      </c>
      <c r="D75" s="209" t="inlineStr">
        <is>
          <t>東京事務所職員等</t>
        </is>
      </c>
      <c r="E75" s="205" t="n">
        <v>15</v>
      </c>
      <c r="F75" s="206" t="n">
        <v>334</v>
      </c>
      <c r="G75" s="206" t="n">
        <v>460</v>
      </c>
      <c r="H75" s="206" t="n">
        <v>616</v>
      </c>
      <c r="I75" s="206" t="n">
        <v>823</v>
      </c>
      <c r="J75" s="206" t="n">
        <v>989</v>
      </c>
      <c r="K75" s="210" t="inlineStr"/>
    </row>
    <row r="76">
      <c r="A76" s="207" t="str">
        <f>B76&amp;"|"&amp;C76&amp;"|"&amp;D76</f>
        <v>有|組積造|東京事務所職員等</v>
      </c>
      <c r="B76" s="208" t="inlineStr">
        <is>
          <t>有</t>
        </is>
      </c>
      <c r="C76" s="209" t="inlineStr">
        <is>
          <t>組積造</t>
        </is>
      </c>
      <c r="D76" s="209" t="inlineStr">
        <is>
          <t>東京事務所職員等</t>
        </is>
      </c>
      <c r="E76" s="205" t="n">
        <v>20</v>
      </c>
      <c r="F76" s="206" t="n">
        <v>363</v>
      </c>
      <c r="G76" s="206" t="n">
        <v>496</v>
      </c>
      <c r="H76" s="206" t="n">
        <v>659</v>
      </c>
      <c r="I76" s="206" t="n">
        <v>873</v>
      </c>
      <c r="J76" s="206" t="n">
        <v>1052</v>
      </c>
      <c r="K76" s="210" t="inlineStr"/>
    </row>
    <row r="77">
      <c r="A77" s="207" t="str">
        <f>B77&amp;"|"&amp;C77&amp;"|"&amp;D77</f>
        <v>有|組積造|東京事務所職員等</v>
      </c>
      <c r="B77" s="208" t="inlineStr">
        <is>
          <t>有</t>
        </is>
      </c>
      <c r="C77" s="209" t="inlineStr">
        <is>
          <t>組積造</t>
        </is>
      </c>
      <c r="D77" s="209" t="inlineStr">
        <is>
          <t>東京事務所職員等</t>
        </is>
      </c>
      <c r="E77" s="205" t="n">
        <v>25</v>
      </c>
      <c r="F77" s="206" t="n">
        <v>379</v>
      </c>
      <c r="G77" s="206" t="n">
        <v>516</v>
      </c>
      <c r="H77" s="206" t="n">
        <v>682</v>
      </c>
      <c r="I77" s="206" t="n">
        <v>900</v>
      </c>
      <c r="J77" s="206" t="n">
        <v>1087</v>
      </c>
      <c r="K77" s="210" t="inlineStr"/>
    </row>
    <row r="78">
      <c r="A78" s="207" t="str">
        <f>B78&amp;"|"&amp;C78&amp;"|"&amp;D78</f>
        <v>有|組積造|東京事務所職員等</v>
      </c>
      <c r="B78" s="208" t="inlineStr">
        <is>
          <t>有</t>
        </is>
      </c>
      <c r="C78" s="209" t="inlineStr">
        <is>
          <t>組積造</t>
        </is>
      </c>
      <c r="D78" s="209" t="inlineStr">
        <is>
          <t>東京事務所職員等</t>
        </is>
      </c>
      <c r="E78" s="205" t="n">
        <v>30</v>
      </c>
      <c r="F78" s="206" t="n">
        <v>400</v>
      </c>
      <c r="G78" s="206" t="n">
        <v>542</v>
      </c>
      <c r="H78" s="206" t="n">
        <v>710</v>
      </c>
      <c r="I78" s="206" t="n">
        <v>933</v>
      </c>
      <c r="J78" s="206" t="n">
        <v>1130</v>
      </c>
      <c r="K78" s="210" t="inlineStr"/>
    </row>
    <row r="79">
      <c r="A79" s="207" t="str">
        <f>B79&amp;"|"&amp;C79&amp;"|"&amp;D79</f>
        <v>有|組積造|東京事務所職員等</v>
      </c>
      <c r="B79" s="208" t="inlineStr">
        <is>
          <t>有</t>
        </is>
      </c>
      <c r="C79" s="209" t="inlineStr">
        <is>
          <t>組積造</t>
        </is>
      </c>
      <c r="D79" s="209" t="inlineStr">
        <is>
          <t>東京事務所職員等</t>
        </is>
      </c>
      <c r="E79" s="205" t="n">
        <v>35</v>
      </c>
      <c r="F79" s="206" t="n">
        <v>409</v>
      </c>
      <c r="G79" s="206" t="n">
        <v>553</v>
      </c>
      <c r="H79" s="206" t="n">
        <v>724</v>
      </c>
      <c r="I79" s="206" t="n">
        <v>949</v>
      </c>
      <c r="J79" s="206" t="n">
        <v>1150</v>
      </c>
      <c r="K79" s="210" t="inlineStr"/>
    </row>
    <row r="80">
      <c r="A80" s="207" t="str">
        <f>B80&amp;"|"&amp;C80&amp;"|"&amp;D80</f>
        <v>有|組積造|その他</v>
      </c>
      <c r="B80" s="208" t="inlineStr">
        <is>
          <t>有</t>
        </is>
      </c>
      <c r="C80" s="209" t="inlineStr">
        <is>
          <t>組積造</t>
        </is>
      </c>
      <c r="D80" s="209" t="inlineStr">
        <is>
          <t>その他</t>
        </is>
      </c>
      <c r="E80" s="205" t="n">
        <v>0</v>
      </c>
      <c r="F80" s="206" t="n">
        <v>100</v>
      </c>
      <c r="G80" s="206" t="n">
        <v>139</v>
      </c>
      <c r="H80" s="206" t="n">
        <v>188</v>
      </c>
      <c r="I80" s="206" t="n">
        <v>275</v>
      </c>
      <c r="J80" s="206" t="n">
        <v>328</v>
      </c>
      <c r="K80" s="210" t="inlineStr"/>
    </row>
    <row r="81">
      <c r="A81" s="207" t="str">
        <f>B81&amp;"|"&amp;C81&amp;"|"&amp;D81</f>
        <v>有|組積造|その他</v>
      </c>
      <c r="B81" s="208" t="inlineStr">
        <is>
          <t>有</t>
        </is>
      </c>
      <c r="C81" s="209" t="inlineStr">
        <is>
          <t>組積造</t>
        </is>
      </c>
      <c r="D81" s="209" t="inlineStr">
        <is>
          <t>その他</t>
        </is>
      </c>
      <c r="E81" s="205" t="n">
        <v>5</v>
      </c>
      <c r="F81" s="206" t="n">
        <v>173</v>
      </c>
      <c r="G81" s="206" t="n">
        <v>229</v>
      </c>
      <c r="H81" s="206" t="n">
        <v>290</v>
      </c>
      <c r="I81" s="206" t="n">
        <v>397</v>
      </c>
      <c r="J81" s="206" t="n">
        <v>482</v>
      </c>
      <c r="K81" s="210" t="inlineStr"/>
    </row>
    <row r="82">
      <c r="A82" s="207" t="str">
        <f>B82&amp;"|"&amp;C82&amp;"|"&amp;D82</f>
        <v>有|組積造|その他</v>
      </c>
      <c r="B82" s="208" t="inlineStr">
        <is>
          <t>有</t>
        </is>
      </c>
      <c r="C82" s="209" t="inlineStr">
        <is>
          <t>組積造</t>
        </is>
      </c>
      <c r="D82" s="209" t="inlineStr">
        <is>
          <t>その他</t>
        </is>
      </c>
      <c r="E82" s="205" t="n">
        <v>10</v>
      </c>
      <c r="F82" s="206" t="n">
        <v>231</v>
      </c>
      <c r="G82" s="206" t="n">
        <v>300</v>
      </c>
      <c r="H82" s="206" t="n">
        <v>373</v>
      </c>
      <c r="I82" s="206" t="n">
        <v>495</v>
      </c>
      <c r="J82" s="206" t="n">
        <v>607</v>
      </c>
      <c r="K82" s="210" t="inlineStr"/>
    </row>
    <row r="83">
      <c r="A83" s="207" t="str">
        <f>B83&amp;"|"&amp;C83&amp;"|"&amp;D83</f>
        <v>有|組積造|その他</v>
      </c>
      <c r="B83" s="208" t="inlineStr">
        <is>
          <t>有</t>
        </is>
      </c>
      <c r="C83" s="209" t="inlineStr">
        <is>
          <t>組積造</t>
        </is>
      </c>
      <c r="D83" s="209" t="inlineStr">
        <is>
          <t>その他</t>
        </is>
      </c>
      <c r="E83" s="205" t="n">
        <v>15</v>
      </c>
      <c r="F83" s="206" t="n">
        <v>271</v>
      </c>
      <c r="G83" s="206" t="n">
        <v>349</v>
      </c>
      <c r="H83" s="206" t="n">
        <v>429</v>
      </c>
      <c r="I83" s="206" t="n">
        <v>562</v>
      </c>
      <c r="J83" s="206" t="n">
        <v>690</v>
      </c>
      <c r="K83" s="210" t="inlineStr"/>
    </row>
    <row r="84">
      <c r="A84" s="207" t="str">
        <f>B84&amp;"|"&amp;C84&amp;"|"&amp;D84</f>
        <v>有|組積造|その他</v>
      </c>
      <c r="B84" s="208" t="inlineStr">
        <is>
          <t>有</t>
        </is>
      </c>
      <c r="C84" s="209" t="inlineStr">
        <is>
          <t>組積造</t>
        </is>
      </c>
      <c r="D84" s="209" t="inlineStr">
        <is>
          <t>その他</t>
        </is>
      </c>
      <c r="E84" s="205" t="n">
        <v>20</v>
      </c>
      <c r="F84" s="206" t="n">
        <v>299</v>
      </c>
      <c r="G84" s="206" t="n">
        <v>384</v>
      </c>
      <c r="H84" s="206" t="n">
        <v>471</v>
      </c>
      <c r="I84" s="206" t="n">
        <v>610</v>
      </c>
      <c r="J84" s="206" t="n">
        <v>751</v>
      </c>
      <c r="K84" s="210" t="inlineStr"/>
    </row>
    <row r="85">
      <c r="A85" s="207" t="str">
        <f>B85&amp;"|"&amp;C85&amp;"|"&amp;D85</f>
        <v>有|組積造|その他</v>
      </c>
      <c r="B85" s="208" t="inlineStr">
        <is>
          <t>有</t>
        </is>
      </c>
      <c r="C85" s="209" t="inlineStr">
        <is>
          <t>組積造</t>
        </is>
      </c>
      <c r="D85" s="209" t="inlineStr">
        <is>
          <t>その他</t>
        </is>
      </c>
      <c r="E85" s="205" t="n">
        <v>25</v>
      </c>
      <c r="F85" s="206" t="n">
        <v>315</v>
      </c>
      <c r="G85" s="206" t="n">
        <v>404</v>
      </c>
      <c r="H85" s="206" t="n">
        <v>493</v>
      </c>
      <c r="I85" s="206" t="n">
        <v>638</v>
      </c>
      <c r="J85" s="206" t="n">
        <v>786</v>
      </c>
      <c r="K85" s="210" t="inlineStr"/>
    </row>
    <row r="86">
      <c r="A86" s="207" t="str">
        <f>B86&amp;"|"&amp;C86&amp;"|"&amp;D86</f>
        <v>有|組積造|その他</v>
      </c>
      <c r="B86" s="208" t="inlineStr">
        <is>
          <t>有</t>
        </is>
      </c>
      <c r="C86" s="209" t="inlineStr">
        <is>
          <t>組積造</t>
        </is>
      </c>
      <c r="D86" s="209" t="inlineStr">
        <is>
          <t>その他</t>
        </is>
      </c>
      <c r="E86" s="205" t="n">
        <v>30</v>
      </c>
      <c r="F86" s="206" t="n">
        <v>336</v>
      </c>
      <c r="G86" s="206" t="n">
        <v>428</v>
      </c>
      <c r="H86" s="206" t="n">
        <v>521</v>
      </c>
      <c r="I86" s="206" t="n">
        <v>670</v>
      </c>
      <c r="J86" s="206" t="n">
        <v>828</v>
      </c>
      <c r="K86" s="210" t="inlineStr"/>
    </row>
    <row r="87">
      <c r="A87" s="207" t="str">
        <f>B87&amp;"|"&amp;C87&amp;"|"&amp;D87</f>
        <v>有|組積造|その他</v>
      </c>
      <c r="B87" s="208" t="inlineStr">
        <is>
          <t>有</t>
        </is>
      </c>
      <c r="C87" s="209" t="inlineStr">
        <is>
          <t>組積造</t>
        </is>
      </c>
      <c r="D87" s="209" t="inlineStr">
        <is>
          <t>その他</t>
        </is>
      </c>
      <c r="E87" s="205" t="n">
        <v>35</v>
      </c>
      <c r="F87" s="206" t="n">
        <v>345</v>
      </c>
      <c r="G87" s="206" t="n">
        <v>441</v>
      </c>
      <c r="H87" s="206" t="n">
        <v>535</v>
      </c>
      <c r="I87" s="206" t="n">
        <v>687</v>
      </c>
      <c r="J87" s="206" t="n">
        <v>849</v>
      </c>
      <c r="K87" s="210" t="inlineStr"/>
    </row>
    <row r="88">
      <c r="A88" s="207" t="str">
        <f>B88&amp;"|"&amp;C88&amp;"|"&amp;D88</f>
        <v>有|鉄骨・RC造|東京事務所職員等</v>
      </c>
      <c r="B88" s="208" t="inlineStr">
        <is>
          <t>有</t>
        </is>
      </c>
      <c r="C88" s="209" t="inlineStr">
        <is>
          <t>鉄骨・RC造</t>
        </is>
      </c>
      <c r="D88" s="209" t="inlineStr">
        <is>
          <t>東京事務所職員等</t>
        </is>
      </c>
      <c r="E88" s="205" t="n">
        <v>0</v>
      </c>
      <c r="F88" s="206" t="n">
        <v>160</v>
      </c>
      <c r="G88" s="206" t="n">
        <v>247</v>
      </c>
      <c r="H88" s="206" t="n">
        <v>371</v>
      </c>
      <c r="I88" s="206" t="n">
        <v>531</v>
      </c>
      <c r="J88" s="206" t="n">
        <v>621</v>
      </c>
      <c r="K88" s="210" t="inlineStr"/>
    </row>
    <row r="89">
      <c r="A89" s="207" t="str">
        <f>B89&amp;"|"&amp;C89&amp;"|"&amp;D89</f>
        <v>有|鉄骨・RC造|東京事務所職員等</v>
      </c>
      <c r="B89" s="208" t="inlineStr">
        <is>
          <t>有</t>
        </is>
      </c>
      <c r="C89" s="209" t="inlineStr">
        <is>
          <t>鉄骨・RC造</t>
        </is>
      </c>
      <c r="D89" s="209" t="inlineStr">
        <is>
          <t>東京事務所職員等</t>
        </is>
      </c>
      <c r="E89" s="205" t="n">
        <v>5</v>
      </c>
      <c r="F89" s="206" t="n">
        <v>214</v>
      </c>
      <c r="G89" s="206" t="n">
        <v>314</v>
      </c>
      <c r="H89" s="206" t="n">
        <v>448</v>
      </c>
      <c r="I89" s="206" t="n">
        <v>622</v>
      </c>
      <c r="J89" s="206" t="n">
        <v>736</v>
      </c>
      <c r="K89" s="210" t="inlineStr"/>
    </row>
    <row r="90">
      <c r="A90" s="207" t="str">
        <f>B90&amp;"|"&amp;C90&amp;"|"&amp;D90</f>
        <v>有|鉄骨・RC造|東京事務所職員等</v>
      </c>
      <c r="B90" s="208" t="inlineStr">
        <is>
          <t>有</t>
        </is>
      </c>
      <c r="C90" s="209" t="inlineStr">
        <is>
          <t>鉄骨・RC造</t>
        </is>
      </c>
      <c r="D90" s="209" t="inlineStr">
        <is>
          <t>東京事務所職員等</t>
        </is>
      </c>
      <c r="E90" s="205" t="n">
        <v>10</v>
      </c>
      <c r="F90" s="206" t="n">
        <v>257</v>
      </c>
      <c r="G90" s="206" t="n">
        <v>366</v>
      </c>
      <c r="H90" s="206" t="n">
        <v>508</v>
      </c>
      <c r="I90" s="206" t="n">
        <v>694</v>
      </c>
      <c r="J90" s="206" t="n">
        <v>827</v>
      </c>
      <c r="K90" s="210" t="inlineStr"/>
    </row>
    <row r="91">
      <c r="A91" s="207" t="str">
        <f>B91&amp;"|"&amp;C91&amp;"|"&amp;D91</f>
        <v>有|鉄骨・RC造|東京事務所職員等</v>
      </c>
      <c r="B91" s="208" t="inlineStr">
        <is>
          <t>有</t>
        </is>
      </c>
      <c r="C91" s="209" t="inlineStr">
        <is>
          <t>鉄骨・RC造</t>
        </is>
      </c>
      <c r="D91" s="209" t="inlineStr">
        <is>
          <t>東京事務所職員等</t>
        </is>
      </c>
      <c r="E91" s="205" t="n">
        <v>15</v>
      </c>
      <c r="F91" s="206" t="n">
        <v>291</v>
      </c>
      <c r="G91" s="206" t="n">
        <v>407</v>
      </c>
      <c r="H91" s="206" t="n">
        <v>555</v>
      </c>
      <c r="I91" s="206" t="n">
        <v>750</v>
      </c>
      <c r="J91" s="206" t="n">
        <v>898</v>
      </c>
      <c r="K91" s="210" t="inlineStr"/>
    </row>
    <row r="92">
      <c r="A92" s="207" t="str">
        <f>B92&amp;"|"&amp;C92&amp;"|"&amp;D92</f>
        <v>有|鉄骨・RC造|東京事務所職員等</v>
      </c>
      <c r="B92" s="208" t="inlineStr">
        <is>
          <t>有</t>
        </is>
      </c>
      <c r="C92" s="209" t="inlineStr">
        <is>
          <t>鉄骨・RC造</t>
        </is>
      </c>
      <c r="D92" s="209" t="inlineStr">
        <is>
          <t>東京事務所職員等</t>
        </is>
      </c>
      <c r="E92" s="205" t="n">
        <v>20</v>
      </c>
      <c r="F92" s="206" t="n">
        <v>317</v>
      </c>
      <c r="G92" s="206" t="n">
        <v>440</v>
      </c>
      <c r="H92" s="206" t="n">
        <v>592</v>
      </c>
      <c r="I92" s="206" t="n">
        <v>794</v>
      </c>
      <c r="J92" s="206" t="n">
        <v>954</v>
      </c>
      <c r="K92" s="210" t="inlineStr"/>
    </row>
    <row r="93">
      <c r="A93" s="207" t="str">
        <f>B93&amp;"|"&amp;C93&amp;"|"&amp;D93</f>
        <v>有|鉄骨・RC造|東京事務所職員等</v>
      </c>
      <c r="B93" s="208" t="inlineStr">
        <is>
          <t>有</t>
        </is>
      </c>
      <c r="C93" s="209" t="inlineStr">
        <is>
          <t>鉄骨・RC造</t>
        </is>
      </c>
      <c r="D93" s="209" t="inlineStr">
        <is>
          <t>東京事務所職員等</t>
        </is>
      </c>
      <c r="E93" s="205" t="n">
        <v>25</v>
      </c>
      <c r="F93" s="206" t="n">
        <v>337</v>
      </c>
      <c r="G93" s="206" t="n">
        <v>465</v>
      </c>
      <c r="H93" s="206" t="n">
        <v>621</v>
      </c>
      <c r="I93" s="206" t="n">
        <v>828</v>
      </c>
      <c r="J93" s="206" t="n">
        <v>997</v>
      </c>
      <c r="K93" s="210" t="inlineStr"/>
    </row>
    <row r="94">
      <c r="A94" s="207" t="str">
        <f>B94&amp;"|"&amp;C94&amp;"|"&amp;D94</f>
        <v>有|鉄骨・RC造|東京事務所職員等</v>
      </c>
      <c r="B94" s="208" t="inlineStr">
        <is>
          <t>有</t>
        </is>
      </c>
      <c r="C94" s="209" t="inlineStr">
        <is>
          <t>鉄骨・RC造</t>
        </is>
      </c>
      <c r="D94" s="209" t="inlineStr">
        <is>
          <t>東京事務所職員等</t>
        </is>
      </c>
      <c r="E94" s="205" t="n">
        <v>30</v>
      </c>
      <c r="F94" s="206" t="n">
        <v>354</v>
      </c>
      <c r="G94" s="206" t="n">
        <v>485</v>
      </c>
      <c r="H94" s="206" t="n">
        <v>644</v>
      </c>
      <c r="I94" s="206" t="n">
        <v>855</v>
      </c>
      <c r="J94" s="206" t="n">
        <v>1031</v>
      </c>
      <c r="K94" s="210" t="inlineStr"/>
    </row>
    <row r="95">
      <c r="A95" s="207" t="str">
        <f>B95&amp;"|"&amp;C95&amp;"|"&amp;D95</f>
        <v>有|鉄骨・RC造|東京事務所職員等</v>
      </c>
      <c r="B95" s="208" t="inlineStr">
        <is>
          <t>有</t>
        </is>
      </c>
      <c r="C95" s="209" t="inlineStr">
        <is>
          <t>鉄骨・RC造</t>
        </is>
      </c>
      <c r="D95" s="209" t="inlineStr">
        <is>
          <t>東京事務所職員等</t>
        </is>
      </c>
      <c r="E95" s="205" t="n">
        <v>35</v>
      </c>
      <c r="F95" s="206" t="n">
        <v>366</v>
      </c>
      <c r="G95" s="206" t="n">
        <v>500</v>
      </c>
      <c r="H95" s="206" t="n">
        <v>662</v>
      </c>
      <c r="I95" s="206" t="n">
        <v>876</v>
      </c>
      <c r="J95" s="206" t="n">
        <v>1058</v>
      </c>
      <c r="K95" s="210" t="inlineStr"/>
    </row>
    <row r="96">
      <c r="A96" s="207" t="str">
        <f>B96&amp;"|"&amp;C96&amp;"|"&amp;D96</f>
        <v>有|鉄骨・RC造|東京事務所職員等</v>
      </c>
      <c r="B96" s="208" t="inlineStr">
        <is>
          <t>有</t>
        </is>
      </c>
      <c r="C96" s="209" t="inlineStr">
        <is>
          <t>鉄骨・RC造</t>
        </is>
      </c>
      <c r="D96" s="209" t="inlineStr">
        <is>
          <t>東京事務所職員等</t>
        </is>
      </c>
      <c r="E96" s="205" t="n">
        <v>40</v>
      </c>
      <c r="F96" s="206" t="n">
        <v>376</v>
      </c>
      <c r="G96" s="206" t="n">
        <v>512</v>
      </c>
      <c r="H96" s="206" t="n">
        <v>676</v>
      </c>
      <c r="I96" s="206" t="n">
        <v>893</v>
      </c>
      <c r="J96" s="206" t="n">
        <v>1079</v>
      </c>
      <c r="K96" s="210" t="inlineStr"/>
    </row>
    <row r="97">
      <c r="A97" s="207" t="str">
        <f>B97&amp;"|"&amp;C97&amp;"|"&amp;D97</f>
        <v>有|鉄骨・RC造|東京事務所職員等</v>
      </c>
      <c r="B97" s="208" t="inlineStr">
        <is>
          <t>有</t>
        </is>
      </c>
      <c r="C97" s="209" t="inlineStr">
        <is>
          <t>鉄骨・RC造</t>
        </is>
      </c>
      <c r="D97" s="209" t="inlineStr">
        <is>
          <t>東京事務所職員等</t>
        </is>
      </c>
      <c r="E97" s="205" t="n">
        <v>45</v>
      </c>
      <c r="F97" s="206" t="n">
        <v>382</v>
      </c>
      <c r="G97" s="206" t="n">
        <v>519</v>
      </c>
      <c r="H97" s="206" t="n">
        <v>684</v>
      </c>
      <c r="I97" s="206" t="n">
        <v>902</v>
      </c>
      <c r="J97" s="206" t="n">
        <v>1091</v>
      </c>
      <c r="K97" s="210" t="inlineStr"/>
    </row>
    <row r="98">
      <c r="A98" s="207" t="str">
        <f>B98&amp;"|"&amp;C98&amp;"|"&amp;D98</f>
        <v>有|鉄骨・RC造|東京事務所職員等</v>
      </c>
      <c r="B98" s="208" t="inlineStr">
        <is>
          <t>有</t>
        </is>
      </c>
      <c r="C98" s="209" t="inlineStr">
        <is>
          <t>鉄骨・RC造</t>
        </is>
      </c>
      <c r="D98" s="209" t="inlineStr">
        <is>
          <t>東京事務所職員等</t>
        </is>
      </c>
      <c r="E98" s="205" t="n">
        <v>50</v>
      </c>
      <c r="F98" s="206" t="n">
        <v>411</v>
      </c>
      <c r="G98" s="206" t="n">
        <v>556</v>
      </c>
      <c r="H98" s="206" t="n">
        <v>726</v>
      </c>
      <c r="I98" s="206" t="n">
        <v>952</v>
      </c>
      <c r="J98" s="206" t="n">
        <v>1154</v>
      </c>
      <c r="K98" s="210" t="inlineStr"/>
    </row>
    <row r="99">
      <c r="A99" s="207" t="str">
        <f>B99&amp;"|"&amp;C99&amp;"|"&amp;D99</f>
        <v>有|鉄骨・RC造|その他</v>
      </c>
      <c r="B99" s="208" t="inlineStr">
        <is>
          <t>有</t>
        </is>
      </c>
      <c r="C99" s="209" t="inlineStr">
        <is>
          <t>鉄骨・RC造</t>
        </is>
      </c>
      <c r="D99" s="209" t="inlineStr">
        <is>
          <t>その他</t>
        </is>
      </c>
      <c r="E99" s="205" t="n">
        <v>0</v>
      </c>
      <c r="F99" s="206" t="n">
        <v>100</v>
      </c>
      <c r="G99" s="206" t="n">
        <v>139</v>
      </c>
      <c r="H99" s="206" t="n">
        <v>188</v>
      </c>
      <c r="I99" s="206" t="n">
        <v>275</v>
      </c>
      <c r="J99" s="206" t="n">
        <v>328</v>
      </c>
      <c r="K99" s="210" t="inlineStr"/>
    </row>
    <row r="100">
      <c r="A100" s="207" t="str">
        <f>B100&amp;"|"&amp;C100&amp;"|"&amp;D100</f>
        <v>有|鉄骨・RC造|その他</v>
      </c>
      <c r="B100" s="208" t="inlineStr">
        <is>
          <t>有</t>
        </is>
      </c>
      <c r="C100" s="209" t="inlineStr">
        <is>
          <t>鉄骨・RC造</t>
        </is>
      </c>
      <c r="D100" s="209" t="inlineStr">
        <is>
          <t>その他</t>
        </is>
      </c>
      <c r="E100" s="205" t="n">
        <v>5</v>
      </c>
      <c r="F100" s="206" t="n">
        <v>154</v>
      </c>
      <c r="G100" s="206" t="n">
        <v>206</v>
      </c>
      <c r="H100" s="206" t="n">
        <v>265</v>
      </c>
      <c r="I100" s="206" t="n">
        <v>366</v>
      </c>
      <c r="J100" s="206" t="n">
        <v>443</v>
      </c>
      <c r="K100" s="210" t="inlineStr"/>
    </row>
    <row r="101">
      <c r="A101" s="207" t="str">
        <f>B101&amp;"|"&amp;C101&amp;"|"&amp;D101</f>
        <v>有|鉄骨・RC造|その他</v>
      </c>
      <c r="B101" s="208" t="inlineStr">
        <is>
          <t>有</t>
        </is>
      </c>
      <c r="C101" s="209" t="inlineStr">
        <is>
          <t>鉄骨・RC造</t>
        </is>
      </c>
      <c r="D101" s="209" t="inlineStr">
        <is>
          <t>その他</t>
        </is>
      </c>
      <c r="E101" s="205" t="n">
        <v>10</v>
      </c>
      <c r="F101" s="206" t="n">
        <v>197</v>
      </c>
      <c r="G101" s="206" t="n">
        <v>258</v>
      </c>
      <c r="H101" s="206" t="n">
        <v>325</v>
      </c>
      <c r="I101" s="206" t="n">
        <v>438</v>
      </c>
      <c r="J101" s="206" t="n">
        <v>534</v>
      </c>
      <c r="K101" s="210" t="inlineStr"/>
    </row>
    <row r="102">
      <c r="A102" s="207" t="str">
        <f>B102&amp;"|"&amp;C102&amp;"|"&amp;D102</f>
        <v>有|鉄骨・RC造|その他</v>
      </c>
      <c r="B102" s="208" t="inlineStr">
        <is>
          <t>有</t>
        </is>
      </c>
      <c r="C102" s="209" t="inlineStr">
        <is>
          <t>鉄骨・RC造</t>
        </is>
      </c>
      <c r="D102" s="209" t="inlineStr">
        <is>
          <t>その他</t>
        </is>
      </c>
      <c r="E102" s="205" t="n">
        <v>15</v>
      </c>
      <c r="F102" s="206" t="n">
        <v>231</v>
      </c>
      <c r="G102" s="206" t="n">
        <v>299</v>
      </c>
      <c r="H102" s="206" t="n">
        <v>372</v>
      </c>
      <c r="I102" s="206" t="n">
        <v>494</v>
      </c>
      <c r="J102" s="206" t="n">
        <v>605</v>
      </c>
      <c r="K102" s="210" t="inlineStr"/>
    </row>
    <row r="103">
      <c r="A103" s="207" t="str">
        <f>B103&amp;"|"&amp;C103&amp;"|"&amp;D103</f>
        <v>有|鉄骨・RC造|その他</v>
      </c>
      <c r="B103" s="208" t="inlineStr">
        <is>
          <t>有</t>
        </is>
      </c>
      <c r="C103" s="209" t="inlineStr">
        <is>
          <t>鉄骨・RC造</t>
        </is>
      </c>
      <c r="D103" s="209" t="inlineStr">
        <is>
          <t>その他</t>
        </is>
      </c>
      <c r="E103" s="205" t="n">
        <v>20</v>
      </c>
      <c r="F103" s="206" t="n">
        <v>257</v>
      </c>
      <c r="G103" s="206" t="n">
        <v>332</v>
      </c>
      <c r="H103" s="206" t="n">
        <v>409</v>
      </c>
      <c r="I103" s="206" t="n">
        <v>538</v>
      </c>
      <c r="J103" s="206" t="n">
        <v>661</v>
      </c>
      <c r="K103" s="210" t="inlineStr"/>
    </row>
    <row r="104">
      <c r="A104" s="207" t="str">
        <f>B104&amp;"|"&amp;C104&amp;"|"&amp;D104</f>
        <v>有|鉄骨・RC造|その他</v>
      </c>
      <c r="B104" s="208" t="inlineStr">
        <is>
          <t>有</t>
        </is>
      </c>
      <c r="C104" s="209" t="inlineStr">
        <is>
          <t>鉄骨・RC造</t>
        </is>
      </c>
      <c r="D104" s="209" t="inlineStr">
        <is>
          <t>その他</t>
        </is>
      </c>
      <c r="E104" s="205" t="n">
        <v>25</v>
      </c>
      <c r="F104" s="206" t="n">
        <v>277</v>
      </c>
      <c r="G104" s="206" t="n">
        <v>357</v>
      </c>
      <c r="H104" s="206" t="n">
        <v>438</v>
      </c>
      <c r="I104" s="206" t="n">
        <v>572</v>
      </c>
      <c r="J104" s="206" t="n">
        <v>704</v>
      </c>
      <c r="K104" s="210" t="inlineStr"/>
    </row>
    <row r="105">
      <c r="A105" s="207" t="str">
        <f>B105&amp;"|"&amp;C105&amp;"|"&amp;D105</f>
        <v>有|鉄骨・RC造|その他</v>
      </c>
      <c r="B105" s="208" t="inlineStr">
        <is>
          <t>有</t>
        </is>
      </c>
      <c r="C105" s="209" t="inlineStr">
        <is>
          <t>鉄骨・RC造</t>
        </is>
      </c>
      <c r="D105" s="209" t="inlineStr">
        <is>
          <t>その他</t>
        </is>
      </c>
      <c r="E105" s="205" t="n">
        <v>30</v>
      </c>
      <c r="F105" s="206" t="n">
        <v>294</v>
      </c>
      <c r="G105" s="206" t="n">
        <v>377</v>
      </c>
      <c r="H105" s="206" t="n">
        <v>461</v>
      </c>
      <c r="I105" s="206" t="n">
        <v>599</v>
      </c>
      <c r="J105" s="206" t="n">
        <v>738</v>
      </c>
      <c r="K105" s="210" t="inlineStr"/>
    </row>
    <row r="106">
      <c r="A106" s="207" t="str">
        <f>B106&amp;"|"&amp;C106&amp;"|"&amp;D106</f>
        <v>有|鉄骨・RC造|その他</v>
      </c>
      <c r="B106" s="208" t="inlineStr">
        <is>
          <t>有</t>
        </is>
      </c>
      <c r="C106" s="209" t="inlineStr">
        <is>
          <t>鉄骨・RC造</t>
        </is>
      </c>
      <c r="D106" s="209" t="inlineStr">
        <is>
          <t>その他</t>
        </is>
      </c>
      <c r="E106" s="205" t="n">
        <v>35</v>
      </c>
      <c r="F106" s="206" t="n">
        <v>306</v>
      </c>
      <c r="G106" s="206" t="n">
        <v>392</v>
      </c>
      <c r="H106" s="206" t="n">
        <v>479</v>
      </c>
      <c r="I106" s="206" t="n">
        <v>620</v>
      </c>
      <c r="J106" s="206" t="n">
        <v>765</v>
      </c>
      <c r="K106" s="210" t="inlineStr"/>
    </row>
    <row r="107">
      <c r="A107" s="207" t="str">
        <f>B107&amp;"|"&amp;C107&amp;"|"&amp;D107</f>
        <v>有|鉄骨・RC造|その他</v>
      </c>
      <c r="B107" s="208" t="inlineStr">
        <is>
          <t>有</t>
        </is>
      </c>
      <c r="C107" s="209" t="inlineStr">
        <is>
          <t>鉄骨・RC造</t>
        </is>
      </c>
      <c r="D107" s="209" t="inlineStr">
        <is>
          <t>その他</t>
        </is>
      </c>
      <c r="E107" s="205" t="n">
        <v>40</v>
      </c>
      <c r="F107" s="206" t="n">
        <v>316</v>
      </c>
      <c r="G107" s="206" t="n">
        <v>404</v>
      </c>
      <c r="H107" s="206" t="n">
        <v>493</v>
      </c>
      <c r="I107" s="206" t="n">
        <v>637</v>
      </c>
      <c r="J107" s="206" t="n">
        <v>786</v>
      </c>
      <c r="K107" s="210" t="inlineStr"/>
    </row>
    <row r="108">
      <c r="A108" s="207" t="str">
        <f>B108&amp;"|"&amp;C108&amp;"|"&amp;D108</f>
        <v>有|鉄骨・RC造|その他</v>
      </c>
      <c r="B108" s="208" t="inlineStr">
        <is>
          <t>有</t>
        </is>
      </c>
      <c r="C108" s="209" t="inlineStr">
        <is>
          <t>鉄骨・RC造</t>
        </is>
      </c>
      <c r="D108" s="209" t="inlineStr">
        <is>
          <t>その他</t>
        </is>
      </c>
      <c r="E108" s="205" t="n">
        <v>45</v>
      </c>
      <c r="F108" s="206" t="n">
        <v>322</v>
      </c>
      <c r="G108" s="206" t="n">
        <v>411</v>
      </c>
      <c r="H108" s="206" t="n">
        <v>501</v>
      </c>
      <c r="I108" s="206" t="n">
        <v>646</v>
      </c>
      <c r="J108" s="206" t="n">
        <v>798</v>
      </c>
      <c r="K108" s="210" t="inlineStr"/>
    </row>
    <row r="109">
      <c r="A109" s="207" t="str">
        <f>B109&amp;"|"&amp;C109&amp;"|"&amp;D109</f>
        <v>有|鉄骨・RC造|その他</v>
      </c>
      <c r="B109" s="208" t="inlineStr">
        <is>
          <t>有</t>
        </is>
      </c>
      <c r="C109" s="209" t="inlineStr">
        <is>
          <t>鉄骨・RC造</t>
        </is>
      </c>
      <c r="D109" s="209" t="inlineStr">
        <is>
          <t>その他</t>
        </is>
      </c>
      <c r="E109" s="205" t="n">
        <v>50</v>
      </c>
      <c r="F109" s="206" t="n">
        <v>351</v>
      </c>
      <c r="G109" s="206" t="n">
        <v>448</v>
      </c>
      <c r="H109" s="206" t="n">
        <v>543</v>
      </c>
      <c r="I109" s="206" t="n">
        <v>696</v>
      </c>
      <c r="J109" s="206" t="n">
        <v>861</v>
      </c>
      <c r="K109" s="2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40"/>
  <sheetViews>
    <sheetView showGridLines="0" workbookViewId="0">
      <selection activeCell="A1" sqref="A1"/>
    </sheetView>
  </sheetViews>
  <sheetFormatPr baseColWidth="8" defaultRowHeight="15"/>
  <cols>
    <col width="2" customWidth="1" min="1" max="1"/>
    <col width="28" customWidth="1" min="2" max="2"/>
    <col width="14" customWidth="1" min="3" max="3"/>
  </cols>
  <sheetData>
    <row r="1">
      <c r="B1" s="202" t="inlineStr">
        <is>
          <t>構造区分の読み替え表</t>
        </is>
      </c>
    </row>
    <row r="2">
      <c r="B2" s="203" t="inlineStr">
        <is>
          <t>10月シート「構造」列の表記 → 控除額表の構造区分。未登録の表記は「要確認」と表示されるので、下の空行に追加してください（青字・40行目まで有効）。</t>
        </is>
      </c>
    </row>
    <row r="3">
      <c r="B3" s="203" t="inlineStr">
        <is>
          <t>※「ＲＣ」「SRC」「鉄骨造」は実データに存在する表記。それ以外は予備として追加した読み替え（要綱の構造区分：木造／組積造／鉄骨・鉄筋コンクリート造及び鉄筋コンクリート造）。</t>
        </is>
      </c>
    </row>
    <row r="5">
      <c r="B5" s="204" t="inlineStr">
        <is>
          <t>構造（10月シートの表記）</t>
        </is>
      </c>
      <c r="C5" s="204" t="inlineStr">
        <is>
          <t>構造区分</t>
        </is>
      </c>
    </row>
    <row r="6">
      <c r="B6" s="209" t="inlineStr">
        <is>
          <t>ＲＣ</t>
        </is>
      </c>
      <c r="C6" s="209" t="inlineStr">
        <is>
          <t>鉄骨・RC造</t>
        </is>
      </c>
    </row>
    <row r="7">
      <c r="B7" s="209" t="inlineStr">
        <is>
          <t>SRC</t>
        </is>
      </c>
      <c r="C7" s="209" t="inlineStr">
        <is>
          <t>鉄骨・RC造</t>
        </is>
      </c>
    </row>
    <row r="8">
      <c r="B8" s="209" t="inlineStr">
        <is>
          <t>鉄骨造</t>
        </is>
      </c>
      <c r="C8" s="209" t="inlineStr">
        <is>
          <t>鉄骨・RC造</t>
        </is>
      </c>
    </row>
    <row r="9">
      <c r="B9" s="209" t="inlineStr">
        <is>
          <t>RC</t>
        </is>
      </c>
      <c r="C9" s="209" t="inlineStr">
        <is>
          <t>鉄骨・RC造</t>
        </is>
      </c>
    </row>
    <row r="10">
      <c r="B10" s="209" t="inlineStr">
        <is>
          <t>ＳＲＣ</t>
        </is>
      </c>
      <c r="C10" s="209" t="inlineStr">
        <is>
          <t>鉄骨・RC造</t>
        </is>
      </c>
    </row>
    <row r="11">
      <c r="B11" s="209" t="inlineStr">
        <is>
          <t>鉄筋コンクリート造</t>
        </is>
      </c>
      <c r="C11" s="209" t="inlineStr">
        <is>
          <t>鉄骨・RC造</t>
        </is>
      </c>
    </row>
    <row r="12">
      <c r="B12" s="209" t="inlineStr">
        <is>
          <t>鉄骨鉄筋コンクリート造</t>
        </is>
      </c>
      <c r="C12" s="209" t="inlineStr">
        <is>
          <t>鉄骨・RC造</t>
        </is>
      </c>
    </row>
    <row r="13">
      <c r="B13" s="209" t="inlineStr">
        <is>
          <t>Ｓ</t>
        </is>
      </c>
      <c r="C13" s="209" t="inlineStr">
        <is>
          <t>鉄骨・RC造</t>
        </is>
      </c>
    </row>
    <row r="14">
      <c r="B14" s="209" t="inlineStr">
        <is>
          <t>木造</t>
        </is>
      </c>
      <c r="C14" s="209" t="inlineStr">
        <is>
          <t>木造</t>
        </is>
      </c>
    </row>
    <row r="15">
      <c r="B15" s="209" t="inlineStr">
        <is>
          <t>Ｗ</t>
        </is>
      </c>
      <c r="C15" s="209" t="inlineStr">
        <is>
          <t>木造</t>
        </is>
      </c>
    </row>
    <row r="16">
      <c r="B16" s="209" t="inlineStr">
        <is>
          <t>組積造</t>
        </is>
      </c>
      <c r="C16" s="209" t="inlineStr">
        <is>
          <t>組積造</t>
        </is>
      </c>
    </row>
    <row r="17">
      <c r="B17" s="209" t="inlineStr">
        <is>
          <t>ブロック造</t>
        </is>
      </c>
      <c r="C17" s="209" t="inlineStr">
        <is>
          <t>組積造</t>
        </is>
      </c>
    </row>
    <row r="18">
      <c r="B18" s="209" t="inlineStr">
        <is>
          <t>れんが造</t>
        </is>
      </c>
      <c r="C18" s="209" t="inlineStr">
        <is>
          <t>組積造</t>
        </is>
      </c>
    </row>
    <row r="19">
      <c r="B19" s="209" t="inlineStr">
        <is>
          <t>石造</t>
        </is>
      </c>
      <c r="C19" s="209" t="inlineStr">
        <is>
          <t>組積造</t>
        </is>
      </c>
    </row>
    <row r="20">
      <c r="B20" s="209" t="n"/>
      <c r="C20" s="209" t="n"/>
    </row>
    <row r="21">
      <c r="B21" s="209" t="n"/>
      <c r="C21" s="209" t="n"/>
    </row>
    <row r="22">
      <c r="B22" s="209" t="n"/>
      <c r="C22" s="209" t="n"/>
    </row>
    <row r="23">
      <c r="B23" s="209" t="n"/>
      <c r="C23" s="209" t="n"/>
    </row>
    <row r="24">
      <c r="B24" s="209" t="n"/>
      <c r="C24" s="209" t="n"/>
    </row>
    <row r="25">
      <c r="B25" s="209" t="n"/>
      <c r="C25" s="209" t="n"/>
    </row>
    <row r="26">
      <c r="B26" s="209" t="n"/>
      <c r="C26" s="209" t="n"/>
    </row>
    <row r="27">
      <c r="B27" s="209" t="n"/>
      <c r="C27" s="209" t="n"/>
    </row>
    <row r="28">
      <c r="B28" s="209" t="n"/>
      <c r="C28" s="209" t="n"/>
    </row>
    <row r="29">
      <c r="B29" s="209" t="n"/>
      <c r="C29" s="209" t="n"/>
    </row>
    <row r="30">
      <c r="B30" s="209" t="n"/>
      <c r="C30" s="209" t="n"/>
    </row>
    <row r="31">
      <c r="B31" s="209" t="n"/>
      <c r="C31" s="209" t="n"/>
    </row>
    <row r="32">
      <c r="B32" s="209" t="n"/>
      <c r="C32" s="209" t="n"/>
    </row>
    <row r="33">
      <c r="B33" s="209" t="n"/>
      <c r="C33" s="209" t="n"/>
    </row>
    <row r="34">
      <c r="B34" s="209" t="n"/>
      <c r="C34" s="209" t="n"/>
    </row>
    <row r="35">
      <c r="B35" s="209" t="n"/>
      <c r="C35" s="209" t="n"/>
    </row>
    <row r="36">
      <c r="B36" s="209" t="n"/>
      <c r="C36" s="209" t="n"/>
    </row>
    <row r="37">
      <c r="B37" s="209" t="n"/>
      <c r="C37" s="209" t="n"/>
    </row>
    <row r="38">
      <c r="B38" s="209" t="n"/>
      <c r="C38" s="209" t="n"/>
    </row>
    <row r="39">
      <c r="B39" s="209" t="n"/>
      <c r="C39" s="209" t="n"/>
    </row>
    <row r="40">
      <c r="B40" s="209" t="n"/>
      <c r="C40" s="20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清水 佑樹</dc:creator>
  <dcterms:created xmlns:dcterms="http://purl.org/dc/terms/" xmlns:xsi="http://www.w3.org/2001/XMLSchema-instance" xsi:type="dcterms:W3CDTF">2026-04-09T00:21:38Z</dcterms:created>
  <dcterms:modified xmlns:dcterms="http://purl.org/dc/terms/" xmlns:xsi="http://www.w3.org/2001/XMLSchema-instance" xsi:type="dcterms:W3CDTF">2026-10-15T01:41:34Z</dcterms:modified>
  <cp:lastModifiedBy>清水 佑樹</cp:lastModifiedBy>
  <cp:lastPrinted>2026-09-25T00:00:07Z</cp:lastPrinted>
</cp:coreProperties>
</file>