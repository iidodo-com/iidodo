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2" yWindow="-108" windowWidth="29016" windowHeight="15696" tabRatio="500" firstSheet="0" activeTab="1" autoFilterDateGrouping="1"/>
  </bookViews>
  <sheets>
    <sheet xmlns:r="http://schemas.openxmlformats.org/officeDocument/2006/relationships" name="使い方" sheetId="1" state="visible" r:id="rId1"/>
    <sheet xmlns:r="http://schemas.openxmlformats.org/officeDocument/2006/relationships" name="入力" sheetId="2" state="visible" r:id="rId2"/>
    <sheet xmlns:r="http://schemas.openxmlformats.org/officeDocument/2006/relationships" name="月別集計" sheetId="3" state="visible" r:id="rId3"/>
    <sheet xmlns:r="http://schemas.openxmlformats.org/officeDocument/2006/relationships" name="算定表" sheetId="4" state="visible" r:id="rId4"/>
    <sheet xmlns:r="http://schemas.openxmlformats.org/officeDocument/2006/relationships" name="カレンダーマスタ" sheetId="5" state="visible" r:id="rId5"/>
  </sheets>
  <definedNames>
    <definedName name="_xlnm.Print_Titles" localSheetId="3">'算定表'!$5:$5</definedName>
  </definedNames>
  <calcPr calcId="191029" fullCalcOnLoad="1"/>
</workbook>
</file>

<file path=xl/styles.xml><?xml version="1.0" encoding="utf-8"?>
<styleSheet xmlns="http://schemas.openxmlformats.org/spreadsheetml/2006/main">
  <numFmts count="4">
    <numFmt numFmtId="164" formatCode="#,##0;[Red]\-#,##0;0"/>
    <numFmt numFmtId="165" formatCode="yyyy/m"/>
    <numFmt numFmtId="166" formatCode="#,##0.0"/>
    <numFmt numFmtId="167" formatCode="yyyy/m/d"/>
  </numFmts>
  <fonts count="16">
    <font>
      <name val="Calibri"/>
      <charset val="1"/>
      <family val="2"/>
      <color theme="1"/>
      <sz val="11"/>
    </font>
    <font>
      <name val="WenQuanYi Zen Hei"/>
      <family val="2"/>
      <b val="1"/>
      <color rgb="FF000000"/>
      <sz val="14"/>
    </font>
    <font>
      <name val="Meiryo UI"/>
      <charset val="128"/>
      <family val="3"/>
      <b val="1"/>
      <color rgb="FF000000"/>
      <sz val="14"/>
    </font>
    <font>
      <name val="Meiryo UI"/>
      <charset val="128"/>
      <family val="3"/>
      <color rgb="FF000000"/>
      <sz val="10"/>
    </font>
    <font>
      <name val="WenQuanYi Zen Hei"/>
      <family val="2"/>
      <b val="1"/>
      <color rgb="FF000000"/>
      <sz val="10"/>
    </font>
    <font>
      <name val="WenQuanYi Zen Hei"/>
      <family val="2"/>
      <color rgb="FF000000"/>
      <sz val="10"/>
    </font>
    <font>
      <name val="WenQuanYi Zen Hei"/>
      <family val="2"/>
      <i val="1"/>
      <color rgb="FF000000"/>
      <sz val="10"/>
    </font>
    <font>
      <name val="Meiryo UI"/>
      <charset val="128"/>
      <family val="3"/>
      <color rgb="FF0000FF"/>
      <sz val="10"/>
    </font>
    <font>
      <name val="WenQuanYi Zen Hei"/>
      <family val="2"/>
      <color rgb="FF0000FF"/>
      <sz val="10"/>
    </font>
    <font>
      <name val="Meiryo UI"/>
      <charset val="128"/>
      <family val="3"/>
      <i val="1"/>
      <color rgb="FF000000"/>
      <sz val="10"/>
    </font>
    <font>
      <name val="Meiryo UI"/>
      <charset val="128"/>
      <family val="3"/>
      <b val="1"/>
      <color rgb="FF000000"/>
      <sz val="10"/>
    </font>
    <font>
      <name val="WenQuanYi Zen Hei"/>
      <family val="2"/>
      <b val="1"/>
      <color rgb="FFFFFFFF"/>
      <sz val="10"/>
    </font>
    <font>
      <name val="Meiryo UI"/>
      <charset val="128"/>
      <family val="3"/>
      <b val="1"/>
      <color rgb="FFFFFFFF"/>
      <sz val="10"/>
    </font>
    <font>
      <name val="WenQuanYi Zen Hei"/>
      <family val="2"/>
      <color rgb="FF000000"/>
      <sz val="9"/>
    </font>
    <font>
      <name val="Meiryo UI"/>
      <charset val="128"/>
      <family val="3"/>
      <color rgb="FF000000"/>
      <sz val="9"/>
    </font>
    <font>
      <name val="ＭＳ Ｐゴシック"/>
      <charset val="128"/>
      <family val="3"/>
      <sz val="6"/>
    </font>
  </fonts>
  <fills count="7">
    <fill>
      <patternFill/>
    </fill>
    <fill>
      <patternFill patternType="gray125"/>
    </fill>
    <fill>
      <patternFill patternType="solid">
        <fgColor rgb="FFFFFF99"/>
        <bgColor rgb="FFFCE4D6"/>
      </patternFill>
    </fill>
    <fill>
      <patternFill patternType="solid">
        <fgColor rgb="FFD9D9D9"/>
        <bgColor rgb="FFDDEBF7"/>
      </patternFill>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s>
  <cellStyleXfs count="1">
    <xf numFmtId="0" fontId="0" fillId="0" borderId="0"/>
  </cellStyleXfs>
  <cellXfs count="59">
    <xf numFmtId="0" fontId="0" fillId="0" borderId="0" pivotButton="0" quotePrefix="0" xfId="0"/>
    <xf numFmtId="0" fontId="4" fillId="5" borderId="1" applyAlignment="1" pivotButton="0" quotePrefix="0" xfId="0">
      <alignment horizontal="center"/>
    </xf>
    <xf numFmtId="0" fontId="4" fillId="6" borderId="1" applyAlignment="1" pivotButton="0" quotePrefix="0" xfId="0">
      <alignment horizontal="center"/>
    </xf>
    <xf numFmtId="0" fontId="6" fillId="0" borderId="0" applyAlignment="1" pivotButton="0" quotePrefix="0" xfId="0">
      <alignment vertical="center" wrapText="1"/>
    </xf>
    <xf numFmtId="0" fontId="4" fillId="0" borderId="0" pivotButton="0" quotePrefix="0" xfId="0"/>
    <xf numFmtId="0" fontId="8" fillId="2" borderId="1" applyAlignment="1" pivotButton="0" quotePrefix="0" xfId="0">
      <alignment horizontal="left" vertical="center"/>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0" borderId="0" pivotButton="0" quotePrefix="0" xfId="0"/>
    <xf numFmtId="0" fontId="4" fillId="0" borderId="0" pivotButton="0" quotePrefix="0" xfId="0"/>
    <xf numFmtId="0" fontId="7" fillId="2" borderId="1" applyAlignment="1" pivotButton="0" quotePrefix="0" xfId="0">
      <alignment horizontal="left" vertical="center"/>
    </xf>
    <xf numFmtId="0" fontId="5" fillId="0" borderId="0" pivotButton="0" quotePrefix="0" xfId="0"/>
    <xf numFmtId="14" fontId="3" fillId="3" borderId="1" applyAlignment="1" pivotButton="0" quotePrefix="0" xfId="0">
      <alignment horizontal="right"/>
    </xf>
    <xf numFmtId="14" fontId="7" fillId="2" borderId="1" applyAlignment="1" pivotButton="0" quotePrefix="0" xfId="0">
      <alignment horizontal="right" vertical="center"/>
    </xf>
    <xf numFmtId="164" fontId="7" fillId="2" borderId="1" applyAlignment="1" pivotButton="0" quotePrefix="0" xfId="0">
      <alignment horizontal="right" vertical="center"/>
    </xf>
    <xf numFmtId="0" fontId="11" fillId="4" borderId="1" applyAlignment="1" pivotButton="0" quotePrefix="0" xfId="0">
      <alignment horizontal="center" vertical="center" wrapText="1"/>
    </xf>
    <xf numFmtId="0" fontId="7" fillId="2" borderId="1" pivotButton="0" quotePrefix="0" xfId="0"/>
    <xf numFmtId="14" fontId="7" fillId="2" borderId="1" applyAlignment="1" pivotButton="0" quotePrefix="0" xfId="0">
      <alignment horizontal="right"/>
    </xf>
    <xf numFmtId="164" fontId="7" fillId="2" borderId="1" pivotButton="0" quotePrefix="0" xfId="0"/>
    <xf numFmtId="164" fontId="3" fillId="3" borderId="1" pivotButton="0" quotePrefix="0" xfId="0"/>
    <xf numFmtId="0" fontId="8" fillId="2" borderId="1" pivotButton="0" quotePrefix="0" xfId="0"/>
    <xf numFmtId="0" fontId="12" fillId="4" borderId="1" applyAlignment="1" pivotButton="0" quotePrefix="0" xfId="0">
      <alignment horizontal="center" vertical="center" wrapText="1"/>
    </xf>
    <xf numFmtId="0" fontId="3" fillId="0" borderId="1" pivotButton="0" quotePrefix="0" xfId="0"/>
    <xf numFmtId="14" fontId="3" fillId="0" borderId="1" pivotButton="0" quotePrefix="0" xfId="0"/>
    <xf numFmtId="165" fontId="3" fillId="0" borderId="1" pivotButton="0" quotePrefix="0" xfId="0"/>
    <xf numFmtId="0" fontId="3" fillId="3" borderId="1" pivotButton="0" quotePrefix="0" xfId="0"/>
    <xf numFmtId="166" fontId="3" fillId="3" borderId="1" pivotButton="0" quotePrefix="0" xfId="0"/>
    <xf numFmtId="0" fontId="3" fillId="0" borderId="1" applyAlignment="1" pivotButton="0" quotePrefix="0" xfId="0">
      <alignment horizontal="center" vertical="center"/>
    </xf>
    <xf numFmtId="14" fontId="3" fillId="0" borderId="1" applyAlignment="1" pivotButton="0" quotePrefix="0" xfId="0">
      <alignment horizontal="right" vertical="center"/>
    </xf>
    <xf numFmtId="164" fontId="3" fillId="0" borderId="1" applyAlignment="1" pivotButton="0" quotePrefix="0" xfId="0">
      <alignment horizontal="right" vertical="center"/>
    </xf>
    <xf numFmtId="0" fontId="3" fillId="0" borderId="1" applyAlignment="1" pivotButton="0" quotePrefix="0" xfId="0">
      <alignment horizontal="right" vertical="center"/>
    </xf>
    <xf numFmtId="0" fontId="4" fillId="0" borderId="1" applyAlignment="1" pivotButton="0" quotePrefix="0" xfId="0">
      <alignment horizontal="center" vertical="center"/>
    </xf>
    <xf numFmtId="164" fontId="10" fillId="5" borderId="1" applyAlignment="1" pivotButton="0" quotePrefix="0" xfId="0">
      <alignment horizontal="right" vertical="center"/>
    </xf>
    <xf numFmtId="164" fontId="10" fillId="6" borderId="1" applyAlignment="1" pivotButton="0" quotePrefix="0" xfId="0">
      <alignment horizontal="right"/>
    </xf>
    <xf numFmtId="164" fontId="10" fillId="5" borderId="1" applyAlignment="1" pivotButton="0" quotePrefix="0" xfId="0">
      <alignment horizontal="right"/>
    </xf>
    <xf numFmtId="164" fontId="0" fillId="0" borderId="0" pivotButton="0" quotePrefix="0" xfId="0"/>
    <xf numFmtId="0" fontId="0" fillId="0" borderId="0" pivotButton="0" quotePrefix="0" xfId="0"/>
    <xf numFmtId="0" fontId="13" fillId="0" borderId="0" pivotButton="0" quotePrefix="0" xfId="0"/>
    <xf numFmtId="0" fontId="4" fillId="3" borderId="0" pivotButton="0" quotePrefix="0" xfId="0"/>
    <xf numFmtId="165" fontId="3" fillId="0" borderId="0" pivotButton="0" quotePrefix="0" xfId="0"/>
    <xf numFmtId="0" fontId="7" fillId="0" borderId="0" pivotButton="0" quotePrefix="0" xfId="0"/>
    <xf numFmtId="0" fontId="0" fillId="0" borderId="4" pivotButton="0" quotePrefix="0" xfId="0"/>
    <xf numFmtId="164" fontId="7" fillId="2" borderId="1" applyAlignment="1" pivotButton="0" quotePrefix="0" xfId="0">
      <alignment horizontal="right" vertical="center"/>
    </xf>
    <xf numFmtId="0" fontId="7" fillId="2" borderId="1" applyAlignment="1" pivotButton="0" quotePrefix="0" xfId="0">
      <alignment horizontal="right" vertical="center"/>
    </xf>
    <xf numFmtId="164" fontId="7" fillId="2" borderId="1" pivotButton="0" quotePrefix="0" xfId="0"/>
    <xf numFmtId="164" fontId="3" fillId="3" borderId="1" pivotButton="0" quotePrefix="0" xfId="0"/>
    <xf numFmtId="165" fontId="3" fillId="0" borderId="1" pivotButton="0" quotePrefix="0" xfId="0"/>
    <xf numFmtId="166" fontId="3" fillId="3" borderId="1" pivotButton="0" quotePrefix="0" xfId="0"/>
    <xf numFmtId="167" fontId="3" fillId="0" borderId="1" applyAlignment="1" pivotButton="0" quotePrefix="0" xfId="0">
      <alignment horizontal="right" vertical="center"/>
    </xf>
    <xf numFmtId="164" fontId="3" fillId="0" borderId="1" applyAlignment="1" pivotButton="0" quotePrefix="0" xfId="0">
      <alignment horizontal="right" vertical="center"/>
    </xf>
    <xf numFmtId="164" fontId="10" fillId="5" borderId="1" applyAlignment="1" pivotButton="0" quotePrefix="0" xfId="0">
      <alignment horizontal="right" vertical="center"/>
    </xf>
    <xf numFmtId="164" fontId="10" fillId="6" borderId="1" applyAlignment="1" pivotButton="0" quotePrefix="0" xfId="0">
      <alignment horizontal="right"/>
    </xf>
    <xf numFmtId="164" fontId="10" fillId="5" borderId="1" applyAlignment="1" pivotButton="0" quotePrefix="0" xfId="0">
      <alignment horizontal="right"/>
    </xf>
    <xf numFmtId="164" fontId="0" fillId="0" borderId="0" pivotButton="0" quotePrefix="0" xfId="0"/>
    <xf numFmtId="0" fontId="0" fillId="0" borderId="5" pivotButton="0" quotePrefix="0" xfId="0"/>
    <xf numFmtId="165" fontId="3" fillId="0" borderId="0" pivotButton="0" quotePrefix="0" xfId="0"/>
  </cellXfs>
  <cellStyles count="1">
    <cellStyle name="標準" xfId="0" builtinId="0"/>
  </cellStyles>
  <dxfs count="1">
    <dxf>
      <font>
        <name val="Meiryo UI"/>
        <charset val="1"/>
        <color rgb="FFC00000"/>
      </font>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zoomScaleNormal="100" workbookViewId="0">
      <selection activeCell="A33" sqref="A33"/>
    </sheetView>
  </sheetViews>
  <sheetFormatPr baseColWidth="8" defaultColWidth="8.6640625" defaultRowHeight="14.4"/>
  <cols>
    <col width="120" customWidth="1" style="39" min="1" max="1"/>
  </cols>
  <sheetData>
    <row r="1" ht="18.6" customHeight="1" s="39">
      <c r="A1" s="6" t="inlineStr">
        <is>
          <t>傷病手当金 算定表（試算＋調整額＋差額を1ファイルで計算）</t>
        </is>
      </c>
    </row>
    <row r="2">
      <c r="A2" s="7" t="n"/>
    </row>
    <row r="3">
      <c r="A3" s="8" t="inlineStr">
        <is>
          <t>【何が変わったか】</t>
        </is>
      </c>
    </row>
    <row r="4">
      <c r="A4" s="9" t="inlineStr">
        <is>
          <t>従来：①簡易試算シートで標準支給額を算出 → ②別ファイルの給与調整シートで調整額を算出 → ③差し引いて支給額を確認</t>
        </is>
      </c>
    </row>
    <row r="5">
      <c r="A5" s="9" t="inlineStr">
        <is>
          <t>今回：「入力」シートに入れるだけで、標準支給額・調整額・差引支給額（差額）が「算定表」シートに一度に表示されます。</t>
        </is>
      </c>
    </row>
    <row r="6">
      <c r="A6" s="7" t="n"/>
    </row>
    <row r="7">
      <c r="A7" s="8" t="inlineStr">
        <is>
          <t>【使い方】</t>
        </is>
      </c>
    </row>
    <row r="8">
      <c r="A8" s="7" t="inlineStr">
        <is>
          <t>1．「入力」シート：職員番号・氏名・病気休暇開始日を入力（黄色のセルのみ）。退職者は退職日と退職時附加金の受給有無も入力。</t>
        </is>
      </c>
    </row>
    <row r="9">
      <c r="A9" s="7" t="inlineStr">
        <is>
          <t>2．「入力」シート：給与証明に基づき、報酬が変わる日（10割→8割→無給、給与改定日など）ごとに1行ずつ入力。</t>
        </is>
      </c>
    </row>
    <row r="10" ht="27.6" customHeight="1" s="39">
      <c r="A10" s="7" t="inlineStr">
        <is>
          <t>3．「入力」シート：標準報酬月額（直近12か月＋支給予定月）を入力。基幹で日額を確認済みの場合は「傷病手当日額の確認値」に入力。</t>
        </is>
      </c>
    </row>
    <row r="11">
      <c r="A11" s="7" t="inlineStr">
        <is>
          <t>4．「算定表」シートで、月別（月の途中で区分が変わる場合は分割）・法定／附加別の標準支給額・調整額・差引支給額を確認。</t>
        </is>
      </c>
    </row>
    <row r="12">
      <c r="A12" s="7" t="inlineStr">
        <is>
          <t>5．「月別集計」シートで月ごと・法定／附加ごとの差引支給額を確認し、桐／基幹の入力額と照合（調整額はマイナスで入力）。</t>
        </is>
      </c>
    </row>
    <row r="13">
      <c r="A13" s="7" t="n"/>
    </row>
    <row r="14">
      <c r="A14" s="8" t="inlineStr">
        <is>
          <t>【シート構成】</t>
        </is>
      </c>
    </row>
    <row r="15">
      <c r="A15" s="9" t="inlineStr">
        <is>
          <t>使い方 ／ 入力（黄色セルのみ入力） ／ 算定表（結果。印刷用） ／ 月別集計（基幹入力用） ／ カレンダーマスタ（月ごとの勤務を要する日数）</t>
        </is>
      </c>
    </row>
    <row r="16">
      <c r="A16" s="7" t="n"/>
    </row>
    <row r="17">
      <c r="A17" s="8" t="inlineStr">
        <is>
          <t>【前提・出典】</t>
        </is>
      </c>
    </row>
    <row r="18">
      <c r="A18" s="9" t="inlineStr">
        <is>
          <t>・計算式は、添付の「傷病手当金簡易試算」（日額の試算）と「給与調整」（報酬日額・調整額）の式をそのまま統合しています。</t>
        </is>
      </c>
    </row>
    <row r="19">
      <c r="A19" s="9" t="inlineStr">
        <is>
          <t>・給付期間：待機3日の後に支給開始、法定給付は1年6か月、附加給付は続く6か月（傷病手当金・附加金マニュアルによる）。</t>
        </is>
      </c>
    </row>
    <row r="20" ht="26.4" customHeight="1" s="39">
      <c r="A20" s="9" t="inlineStr">
        <is>
          <t>・入力シートの例（広島太郎）は、添付ファイルの日付・標準報酬月額を使用。給与額は旧シートの給与証明の日額から逆算したサンプルです。</t>
        </is>
      </c>
    </row>
    <row r="21">
      <c r="A21" s="9" t="inlineStr">
        <is>
          <t>・報酬日額が傷病手当日額以上の月は「支給なし」とし、手当の給付期間の延長は本ファイルでは計算していません。</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fitToPage="1"/>
  </sheetPr>
  <dimension ref="A1:J79"/>
  <sheetViews>
    <sheetView showGridLines="0" tabSelected="1" zoomScaleNormal="100" workbookViewId="0">
      <selection activeCell="N23" sqref="N23"/>
    </sheetView>
  </sheetViews>
  <sheetFormatPr baseColWidth="8" defaultColWidth="8.6640625" defaultRowHeight="14.4"/>
  <cols>
    <col width="14" customWidth="1" style="39" min="1" max="2"/>
    <col width="13" customWidth="1" style="39" min="3" max="11"/>
  </cols>
  <sheetData>
    <row r="1" ht="17.4" customHeight="1" s="39">
      <c r="A1" s="10" t="inlineStr">
        <is>
          <t>傷病手当金 算定表（入力シート）</t>
        </is>
      </c>
    </row>
    <row r="2">
      <c r="A2" s="11" t="inlineStr">
        <is>
          <t>黄色のセル（青字）だけ入力してください。試算・調整額・差額は「算定表」シートに自動表示されます。</t>
        </is>
      </c>
    </row>
    <row r="4">
      <c r="A4" s="12" t="inlineStr">
        <is>
          <t>職員番号</t>
        </is>
      </c>
      <c r="C4" s="13" t="inlineStr">
        <is>
          <t>0000000</t>
        </is>
      </c>
      <c r="G4" s="12" t="inlineStr">
        <is>
          <t>■ 給付期間（自動計算）</t>
        </is>
      </c>
    </row>
    <row r="5">
      <c r="A5" s="12" t="inlineStr">
        <is>
          <t>氏名</t>
        </is>
      </c>
      <c r="C5" s="5" t="inlineStr">
        <is>
          <t>広島　太郎</t>
        </is>
      </c>
      <c r="D5" s="44" t="n"/>
      <c r="G5" s="14" t="inlineStr">
        <is>
          <t>支給開始日（待機3日後）</t>
        </is>
      </c>
      <c r="J5" s="15">
        <f>C6+3</f>
        <v/>
      </c>
    </row>
    <row r="6" ht="27.75" customHeight="1" s="39">
      <c r="A6" s="12" t="inlineStr">
        <is>
          <t>病気休暇の開始日</t>
        </is>
      </c>
      <c r="C6" s="16" t="n">
        <v>45495</v>
      </c>
      <c r="D6" s="3" t="inlineStr">
        <is>
          <t>※待機期間（3日）は年休でも可</t>
        </is>
      </c>
      <c r="G6" s="14" t="inlineStr">
        <is>
          <t>法定給付の末日（1年6月）</t>
        </is>
      </c>
      <c r="J6" s="15">
        <f>DATE(YEAR(J5)+1,MONTH(J5)+6,DAY(J5)-1)</f>
        <v/>
      </c>
    </row>
    <row r="7" ht="27.75" customHeight="1" s="39">
      <c r="A7" s="12" t="inlineStr">
        <is>
          <t>退職日（任意）</t>
        </is>
      </c>
      <c r="C7" s="16" t="n"/>
      <c r="D7" s="3" t="inlineStr">
        <is>
          <t>※退職者のみ入力（在職中は空欄）。法定給付は退職後も末日まで算定</t>
        </is>
      </c>
      <c r="G7" s="14" t="inlineStr">
        <is>
          <t>附加給付の開始日</t>
        </is>
      </c>
      <c r="J7" s="15">
        <f>J6+1</f>
        <v/>
      </c>
    </row>
    <row r="8" ht="54" customHeight="1" s="39">
      <c r="A8" s="12" t="inlineStr">
        <is>
          <t>傷病手当日額の確認値（任意）</t>
        </is>
      </c>
      <c r="C8" s="45" t="n"/>
      <c r="D8" s="3" t="inlineStr">
        <is>
          <t>※基幹の仮入力で確認した日額。入力すると全期間この額で算定。空欄なら下の標準報酬から試算</t>
        </is>
      </c>
      <c r="G8" s="14" t="inlineStr">
        <is>
          <t>附加給付の末日（+6月）</t>
        </is>
      </c>
      <c r="J8" s="15">
        <f>DATE(YEAR(J7),MONTH(J7)+6,DAY(J7)-1)</f>
        <v/>
      </c>
    </row>
    <row r="9">
      <c r="A9" s="12" t="inlineStr">
        <is>
          <t>退職時附加金の受給（退職者のみ）</t>
        </is>
      </c>
      <c r="C9" s="46" t="n"/>
      <c r="D9" s="3" t="inlineStr">
        <is>
          <t>※退職日を入力した場合のみ。「有」なら附加は退職日まで、空欄・「無」なら法定のみ</t>
        </is>
      </c>
      <c r="G9" s="14" t="inlineStr">
        <is>
          <t>算定の最終日</t>
        </is>
      </c>
      <c r="J9" s="15">
        <f>IF(C7="",J8,IF(C9="有",MAX(J6,MIN(J8,C7)),J6))</f>
        <v/>
      </c>
    </row>
    <row r="11">
      <c r="A11" s="12" t="inlineStr">
        <is>
          <t>■ 給与状況（給与課の給与証明で確認）　※報酬が変わる日ごとに1行。開始日の古い順に上から入力</t>
        </is>
      </c>
    </row>
    <row r="12" ht="30" customHeight="1" s="39">
      <c r="A12" s="18" t="inlineStr">
        <is>
          <t>区分</t>
        </is>
      </c>
      <c r="B12" s="18" t="inlineStr">
        <is>
          <t>開始日</t>
        </is>
      </c>
      <c r="C12" s="18" t="inlineStr">
        <is>
          <t>終了日
（自動）</t>
        </is>
      </c>
      <c r="D12" s="18" t="inlineStr">
        <is>
          <t>給料月額</t>
        </is>
      </c>
      <c r="E12" s="18" t="inlineStr">
        <is>
          <t>地域手当</t>
        </is>
      </c>
      <c r="F12" s="18" t="inlineStr">
        <is>
          <t>扶養手当</t>
        </is>
      </c>
      <c r="G12" s="18" t="inlineStr">
        <is>
          <t>住居手当</t>
        </is>
      </c>
      <c r="H12" s="18" t="inlineStr">
        <is>
          <t>日額で支給
されるもの</t>
        </is>
      </c>
      <c r="I12" s="18" t="inlineStr">
        <is>
          <t>月額で支給
されるもの</t>
        </is>
      </c>
    </row>
    <row r="13">
      <c r="A13" s="19" t="inlineStr">
        <is>
          <t>10割</t>
        </is>
      </c>
      <c r="B13" s="20" t="n">
        <v>45495</v>
      </c>
      <c r="C13" s="15">
        <f>IF(B13="","",IF(AND(B14&lt;&gt;"",B14&gt;B13),B14-1,$J$9))</f>
        <v/>
      </c>
      <c r="D13" s="47" t="n">
        <v>225300</v>
      </c>
      <c r="E13" s="47" t="n">
        <v>22530</v>
      </c>
      <c r="F13" s="47" t="n">
        <v>0</v>
      </c>
      <c r="G13" s="47" t="n">
        <v>0</v>
      </c>
      <c r="H13" s="48">
        <f>IF(B13="","",D13+E13)</f>
        <v/>
      </c>
      <c r="I13" s="48">
        <f>IF(B13="","",F13+G13)</f>
        <v/>
      </c>
    </row>
    <row r="14">
      <c r="A14" s="19" t="inlineStr">
        <is>
          <t>10割</t>
        </is>
      </c>
      <c r="B14" s="20" t="n">
        <v>45658</v>
      </c>
      <c r="C14" s="15">
        <f>IF(B14="","",IF(AND(B15&lt;&gt;"",B15&gt;B14),B15-1,$J$9))</f>
        <v/>
      </c>
      <c r="D14" s="47" t="n">
        <v>235200</v>
      </c>
      <c r="E14" s="47" t="n">
        <v>23520</v>
      </c>
      <c r="F14" s="47" t="n">
        <v>0</v>
      </c>
      <c r="G14" s="47" t="n">
        <v>0</v>
      </c>
      <c r="H14" s="48">
        <f>IF(B14="","",D14+E14)</f>
        <v/>
      </c>
      <c r="I14" s="48">
        <f>IF(B14="","",F14+G14)</f>
        <v/>
      </c>
    </row>
    <row r="15">
      <c r="A15" s="19" t="inlineStr">
        <is>
          <t>8割</t>
        </is>
      </c>
      <c r="B15" s="20" t="n">
        <v>45675</v>
      </c>
      <c r="C15" s="15">
        <f>IF(B15="","",IF(AND(B16&lt;&gt;"",B16&gt;B15),B16-1,$J$9))</f>
        <v/>
      </c>
      <c r="D15" s="47" t="n">
        <v>188160</v>
      </c>
      <c r="E15" s="47" t="n">
        <v>18816</v>
      </c>
      <c r="F15" s="47" t="n">
        <v>0</v>
      </c>
      <c r="G15" s="47" t="n">
        <v>0</v>
      </c>
      <c r="H15" s="48">
        <f>IF(B15="","",D15+E15)</f>
        <v/>
      </c>
      <c r="I15" s="48">
        <f>IF(B15="","",F15+G15)</f>
        <v/>
      </c>
    </row>
    <row r="16">
      <c r="A16" s="19" t="inlineStr">
        <is>
          <t>8割</t>
        </is>
      </c>
      <c r="B16" s="20" t="n">
        <v>45748</v>
      </c>
      <c r="C16" s="15">
        <f>IF(B16="","",IF(AND(B17&lt;&gt;"",B17&gt;B16),B17-1,$J$9))</f>
        <v/>
      </c>
      <c r="D16" s="47" t="n">
        <v>193980</v>
      </c>
      <c r="E16" s="47" t="n">
        <v>19398</v>
      </c>
      <c r="F16" s="47" t="n">
        <v>0</v>
      </c>
      <c r="G16" s="47" t="n">
        <v>0</v>
      </c>
      <c r="H16" s="48">
        <f>IF(B16="","",D16+E16)</f>
        <v/>
      </c>
      <c r="I16" s="48">
        <f>IF(B16="","",F16+G16)</f>
        <v/>
      </c>
    </row>
    <row r="17">
      <c r="A17" s="19" t="inlineStr">
        <is>
          <t>8割</t>
        </is>
      </c>
      <c r="B17" s="20" t="n">
        <v>46023</v>
      </c>
      <c r="C17" s="15">
        <f>IF(B17="","",IF(AND(B18&lt;&gt;"",B18&gt;B17),B18-1,$J$9))</f>
        <v/>
      </c>
      <c r="D17" s="47" t="n">
        <v>200243</v>
      </c>
      <c r="E17" s="47" t="n">
        <v>20024</v>
      </c>
      <c r="F17" s="47" t="n">
        <v>0</v>
      </c>
      <c r="G17" s="47" t="n">
        <v>0</v>
      </c>
      <c r="H17" s="48">
        <f>IF(B17="","",D17+E17)</f>
        <v/>
      </c>
      <c r="I17" s="48">
        <f>IF(B17="","",F17+G17)</f>
        <v/>
      </c>
    </row>
    <row r="18">
      <c r="A18" s="23" t="inlineStr">
        <is>
          <t>無給</t>
        </is>
      </c>
      <c r="B18" s="20" t="n">
        <v>46040</v>
      </c>
      <c r="C18" s="15">
        <f>IF(B18="","",IF(AND(B19&lt;&gt;"",B19&gt;B18),B19-1,$J$9))</f>
        <v/>
      </c>
      <c r="D18" s="47" t="n">
        <v>0</v>
      </c>
      <c r="E18" s="47" t="n">
        <v>0</v>
      </c>
      <c r="F18" s="47" t="n">
        <v>0</v>
      </c>
      <c r="G18" s="47" t="n">
        <v>0</v>
      </c>
      <c r="H18" s="48">
        <f>IF(B18="","",D18+E18)</f>
        <v/>
      </c>
      <c r="I18" s="48">
        <f>IF(B18="","",F18+G18)</f>
        <v/>
      </c>
    </row>
    <row r="19">
      <c r="A19" s="19" t="n"/>
      <c r="B19" s="20" t="n"/>
      <c r="C19" s="15">
        <f>IF(B19="","",IF(AND(B20&lt;&gt;"",B20&gt;B19),B20-1,$J$9))</f>
        <v/>
      </c>
      <c r="D19" s="47" t="n"/>
      <c r="E19" s="47" t="n"/>
      <c r="F19" s="47" t="n"/>
      <c r="G19" s="47" t="n"/>
      <c r="H19" s="48">
        <f>IF(B19="","",D19+E19)</f>
        <v/>
      </c>
      <c r="I19" s="48">
        <f>IF(B19="","",F19+G19)</f>
        <v/>
      </c>
    </row>
    <row r="20">
      <c r="A20" s="19" t="n"/>
      <c r="B20" s="20" t="n"/>
      <c r="C20" s="15">
        <f>IF(B20="","",$J$9)</f>
        <v/>
      </c>
      <c r="D20" s="47" t="n"/>
      <c r="E20" s="47" t="n"/>
      <c r="F20" s="47" t="n"/>
      <c r="G20" s="47" t="n"/>
      <c r="H20" s="48">
        <f>IF(B20="","",D20+E20)</f>
        <v/>
      </c>
      <c r="I20" s="48">
        <f>IF(B20="","",F20+G20)</f>
        <v/>
      </c>
    </row>
    <row r="21">
      <c r="A21" s="11" t="inlineStr">
        <is>
          <t>※日額で支給されるもの＝給料月額＋地域手当、月額で支給されるもの＝扶養手当＋住居手当（旧「計算内訳シート」「給与調整」と同じ区分）。無給期間は全て0。</t>
        </is>
      </c>
    </row>
    <row r="22">
      <c r="A22" s="11" t="inlineStr">
        <is>
          <t>※例のデータは、旧「給与調整」シートの給与証明の日額（247,830円など）から逆算したサンプルです。実際の証明額で書き換えてください。</t>
        </is>
      </c>
    </row>
    <row r="24">
      <c r="A24" s="12" t="inlineStr">
        <is>
          <t>■ 報酬日額（自動計算）＝ 日額で支給されるもの ÷ 勤務を要する日数 ＋ 月額で支給されるもの ÷ 22　（円未満切捨）</t>
        </is>
      </c>
    </row>
    <row r="25">
      <c r="A25" s="18" t="inlineStr">
        <is>
          <t>区分</t>
        </is>
      </c>
      <c r="B25" s="18" t="inlineStr">
        <is>
          <t>開始日</t>
        </is>
      </c>
      <c r="C25" s="24" t="inlineStr">
        <is>
          <t>20日の月</t>
        </is>
      </c>
      <c r="D25" s="24" t="inlineStr">
        <is>
          <t>21日の月</t>
        </is>
      </c>
      <c r="E25" s="24" t="inlineStr">
        <is>
          <t>22日の月</t>
        </is>
      </c>
      <c r="F25" s="24" t="inlineStr">
        <is>
          <t>23日の月</t>
        </is>
      </c>
    </row>
    <row r="26">
      <c r="A26" s="25">
        <f>IF(B13="","",A13)</f>
        <v/>
      </c>
      <c r="B26" s="26">
        <f>IF(B13="","",B13)</f>
        <v/>
      </c>
      <c r="C26" s="48">
        <f>IF($B13="","",ROUNDDOWN($H13/20+$I13/22,0))</f>
        <v/>
      </c>
      <c r="D26" s="48">
        <f>IF($B13="","",ROUNDDOWN($H13/21+$I13/22,0))</f>
        <v/>
      </c>
      <c r="E26" s="48">
        <f>IF($B13="","",ROUNDDOWN($H13/22+$I13/22,0))</f>
        <v/>
      </c>
      <c r="F26" s="48">
        <f>IF($B13="","",ROUNDDOWN($H13/23+$I13/22,0))</f>
        <v/>
      </c>
    </row>
    <row r="27">
      <c r="A27" s="25">
        <f>IF(B14="","",A14)</f>
        <v/>
      </c>
      <c r="B27" s="26">
        <f>IF(B14="","",B14)</f>
        <v/>
      </c>
      <c r="C27" s="48">
        <f>IF($B14="","",ROUNDDOWN($H14/20+$I14/22,0))</f>
        <v/>
      </c>
      <c r="D27" s="48">
        <f>IF($B14="","",ROUNDDOWN($H14/21+$I14/22,0))</f>
        <v/>
      </c>
      <c r="E27" s="48">
        <f>IF($B14="","",ROUNDDOWN($H14/22+$I14/22,0))</f>
        <v/>
      </c>
      <c r="F27" s="48">
        <f>IF($B14="","",ROUNDDOWN($H14/23+$I14/22,0))</f>
        <v/>
      </c>
    </row>
    <row r="28">
      <c r="A28" s="25">
        <f>IF(B15="","",A15)</f>
        <v/>
      </c>
      <c r="B28" s="26">
        <f>IF(B15="","",B15)</f>
        <v/>
      </c>
      <c r="C28" s="48">
        <f>IF($B15="","",ROUNDDOWN($H15/20+$I15/22,0))</f>
        <v/>
      </c>
      <c r="D28" s="48">
        <f>IF($B15="","",ROUNDDOWN($H15/21+$I15/22,0))</f>
        <v/>
      </c>
      <c r="E28" s="48">
        <f>IF($B15="","",ROUNDDOWN($H15/22+$I15/22,0))</f>
        <v/>
      </c>
      <c r="F28" s="48">
        <f>IF($B15="","",ROUNDDOWN($H15/23+$I15/22,0))</f>
        <v/>
      </c>
    </row>
    <row r="29">
      <c r="A29" s="25">
        <f>IF(B16="","",A16)</f>
        <v/>
      </c>
      <c r="B29" s="26">
        <f>IF(B16="","",B16)</f>
        <v/>
      </c>
      <c r="C29" s="48">
        <f>IF($B16="","",ROUNDDOWN($H16/20+$I16/22,0))</f>
        <v/>
      </c>
      <c r="D29" s="48">
        <f>IF($B16="","",ROUNDDOWN($H16/21+$I16/22,0))</f>
        <v/>
      </c>
      <c r="E29" s="48">
        <f>IF($B16="","",ROUNDDOWN($H16/22+$I16/22,0))</f>
        <v/>
      </c>
      <c r="F29" s="48">
        <f>IF($B16="","",ROUNDDOWN($H16/23+$I16/22,0))</f>
        <v/>
      </c>
    </row>
    <row r="30">
      <c r="A30" s="25">
        <f>IF(B17="","",A17)</f>
        <v/>
      </c>
      <c r="B30" s="26">
        <f>IF(B17="","",B17)</f>
        <v/>
      </c>
      <c r="C30" s="48">
        <f>IF($B17="","",ROUNDDOWN($H17/20+$I17/22,0))</f>
        <v/>
      </c>
      <c r="D30" s="48">
        <f>IF($B17="","",ROUNDDOWN($H17/21+$I17/22,0))</f>
        <v/>
      </c>
      <c r="E30" s="48">
        <f>IF($B17="","",ROUNDDOWN($H17/22+$I17/22,0))</f>
        <v/>
      </c>
      <c r="F30" s="48">
        <f>IF($B17="","",ROUNDDOWN($H17/23+$I17/22,0))</f>
        <v/>
      </c>
    </row>
    <row r="31">
      <c r="A31" s="25">
        <f>IF(B18="","",A18)</f>
        <v/>
      </c>
      <c r="B31" s="26">
        <f>IF(B18="","",B18)</f>
        <v/>
      </c>
      <c r="C31" s="48">
        <f>IF($B18="","",ROUNDDOWN($H18/20+$I18/22,0))</f>
        <v/>
      </c>
      <c r="D31" s="48">
        <f>IF($B18="","",ROUNDDOWN($H18/21+$I18/22,0))</f>
        <v/>
      </c>
      <c r="E31" s="48">
        <f>IF($B18="","",ROUNDDOWN($H18/22+$I18/22,0))</f>
        <v/>
      </c>
      <c r="F31" s="48">
        <f>IF($B18="","",ROUNDDOWN($H18/23+$I18/22,0))</f>
        <v/>
      </c>
    </row>
    <row r="32">
      <c r="A32" s="25">
        <f>IF(B19="","",A19)</f>
        <v/>
      </c>
      <c r="B32" s="26">
        <f>IF(B19="","",B19)</f>
        <v/>
      </c>
      <c r="C32" s="48">
        <f>IF($B19="","",ROUNDDOWN($H19/20+$I19/22,0))</f>
        <v/>
      </c>
      <c r="D32" s="48">
        <f>IF($B19="","",ROUNDDOWN($H19/21+$I19/22,0))</f>
        <v/>
      </c>
      <c r="E32" s="48">
        <f>IF($B19="","",ROUNDDOWN($H19/22+$I19/22,0))</f>
        <v/>
      </c>
      <c r="F32" s="48">
        <f>IF($B19="","",ROUNDDOWN($H19/23+$I19/22,0))</f>
        <v/>
      </c>
    </row>
    <row r="33">
      <c r="A33" s="25">
        <f>IF(B20="","",A20)</f>
        <v/>
      </c>
      <c r="B33" s="26">
        <f>IF(B20="","",B20)</f>
        <v/>
      </c>
      <c r="C33" s="48">
        <f>IF($B20="","",ROUNDDOWN($H20/20+$I20/22,0))</f>
        <v/>
      </c>
      <c r="D33" s="48">
        <f>IF($B20="","",ROUNDDOWN($H20/21+$I20/22,0))</f>
        <v/>
      </c>
      <c r="E33" s="48">
        <f>IF($B20="","",ROUNDDOWN($H20/22+$I20/22,0))</f>
        <v/>
      </c>
      <c r="F33" s="48">
        <f>IF($B20="","",ROUNDDOWN($H20/23+$I20/22,0))</f>
        <v/>
      </c>
    </row>
    <row r="35">
      <c r="A35" s="12" t="inlineStr">
        <is>
          <t>■ 標準報酬月額と傷病手当日額の試算（直近12か月平均 ÷ 22 → 10円未満四捨五入 → ×2/3 → 1円未満四捨五入）</t>
        </is>
      </c>
    </row>
    <row r="36" ht="30" customHeight="1" s="39">
      <c r="A36" s="18" t="inlineStr">
        <is>
          <t>年月</t>
        </is>
      </c>
      <c r="B36" s="18" t="inlineStr">
        <is>
          <t>標準報酬
月額</t>
        </is>
      </c>
      <c r="C36" s="18" t="inlineStr">
        <is>
          <t>直近12月
平均</t>
        </is>
      </c>
      <c r="D36" s="24" t="inlineStr">
        <is>
          <t>÷22</t>
        </is>
      </c>
      <c r="E36" s="24" t="inlineStr">
        <is>
          <t>10円未満
四捨五入</t>
        </is>
      </c>
      <c r="F36" s="24" t="inlineStr">
        <is>
          <t>×2/3</t>
        </is>
      </c>
      <c r="G36" s="18" t="inlineStr">
        <is>
          <t>傷病手当
日額</t>
        </is>
      </c>
    </row>
    <row r="37">
      <c r="A37" s="49">
        <f>DATE(YEAR($J$5),MONTH($J$5)-12+0,1)</f>
        <v/>
      </c>
      <c r="B37" s="47" t="n">
        <v>440000</v>
      </c>
      <c r="C37" s="28" t="n"/>
      <c r="D37" s="28" t="n"/>
      <c r="E37" s="28" t="n"/>
      <c r="F37" s="28" t="n"/>
      <c r="G37" s="28" t="n"/>
    </row>
    <row r="38">
      <c r="A38" s="49">
        <f>DATE(YEAR($J$5),MONTH($J$5)-12+1,1)</f>
        <v/>
      </c>
      <c r="B38" s="47" t="n">
        <v>440000</v>
      </c>
      <c r="C38" s="28" t="n"/>
      <c r="D38" s="28" t="n"/>
      <c r="E38" s="28" t="n"/>
      <c r="F38" s="28" t="n"/>
      <c r="G38" s="28" t="n"/>
    </row>
    <row r="39">
      <c r="A39" s="49">
        <f>DATE(YEAR($J$5),MONTH($J$5)-12+2,1)</f>
        <v/>
      </c>
      <c r="B39" s="47" t="n">
        <v>410000</v>
      </c>
      <c r="C39" s="28" t="n"/>
      <c r="D39" s="28" t="n"/>
      <c r="E39" s="28" t="n"/>
      <c r="F39" s="28" t="n"/>
      <c r="G39" s="28" t="n"/>
    </row>
    <row r="40">
      <c r="A40" s="49">
        <f>DATE(YEAR($J$5),MONTH($J$5)-12+3,1)</f>
        <v/>
      </c>
      <c r="B40" s="47" t="n">
        <v>410000</v>
      </c>
      <c r="C40" s="28" t="n"/>
      <c r="D40" s="28" t="n"/>
      <c r="E40" s="28" t="n"/>
      <c r="F40" s="28" t="n"/>
      <c r="G40" s="28" t="n"/>
    </row>
    <row r="41">
      <c r="A41" s="49">
        <f>DATE(YEAR($J$5),MONTH($J$5)-12+4,1)</f>
        <v/>
      </c>
      <c r="B41" s="47" t="n">
        <v>410000</v>
      </c>
      <c r="C41" s="28" t="n"/>
      <c r="D41" s="28" t="n"/>
      <c r="E41" s="28" t="n"/>
      <c r="F41" s="28" t="n"/>
      <c r="G41" s="28" t="n"/>
    </row>
    <row r="42">
      <c r="A42" s="49">
        <f>DATE(YEAR($J$5),MONTH($J$5)-12+5,1)</f>
        <v/>
      </c>
      <c r="B42" s="47" t="n">
        <v>410000</v>
      </c>
      <c r="C42" s="28" t="n"/>
      <c r="D42" s="28" t="n"/>
      <c r="E42" s="28" t="n"/>
      <c r="F42" s="28" t="n"/>
      <c r="G42" s="28" t="n"/>
    </row>
    <row r="43">
      <c r="A43" s="49">
        <f>DATE(YEAR($J$5),MONTH($J$5)-12+6,1)</f>
        <v/>
      </c>
      <c r="B43" s="47" t="n">
        <v>410000</v>
      </c>
      <c r="C43" s="28" t="n"/>
      <c r="D43" s="28" t="n"/>
      <c r="E43" s="28" t="n"/>
      <c r="F43" s="28" t="n"/>
      <c r="G43" s="28" t="n"/>
    </row>
    <row r="44">
      <c r="A44" s="49">
        <f>DATE(YEAR($J$5),MONTH($J$5)-12+7,1)</f>
        <v/>
      </c>
      <c r="B44" s="47" t="n">
        <v>410000</v>
      </c>
      <c r="C44" s="28" t="n"/>
      <c r="D44" s="28" t="n"/>
      <c r="E44" s="28" t="n"/>
      <c r="F44" s="28" t="n"/>
      <c r="G44" s="28" t="n"/>
    </row>
    <row r="45">
      <c r="A45" s="49">
        <f>DATE(YEAR($J$5),MONTH($J$5)-12+8,1)</f>
        <v/>
      </c>
      <c r="B45" s="47" t="n">
        <v>410000</v>
      </c>
      <c r="C45" s="28" t="n"/>
      <c r="D45" s="28" t="n"/>
      <c r="E45" s="28" t="n"/>
      <c r="F45" s="28" t="n"/>
      <c r="G45" s="28" t="n"/>
    </row>
    <row r="46">
      <c r="A46" s="49">
        <f>DATE(YEAR($J$5),MONTH($J$5)-12+9,1)</f>
        <v/>
      </c>
      <c r="B46" s="47" t="n">
        <v>410000</v>
      </c>
      <c r="C46" s="28" t="n"/>
      <c r="D46" s="28" t="n"/>
      <c r="E46" s="28" t="n"/>
      <c r="F46" s="28" t="n"/>
      <c r="G46" s="28" t="n"/>
    </row>
    <row r="47">
      <c r="A47" s="49">
        <f>DATE(YEAR($J$5),MONTH($J$5)-12+10,1)</f>
        <v/>
      </c>
      <c r="B47" s="47" t="n">
        <v>280000</v>
      </c>
      <c r="C47" s="28" t="n"/>
      <c r="D47" s="28" t="n"/>
      <c r="E47" s="28" t="n"/>
      <c r="F47" s="28" t="n"/>
      <c r="G47" s="28" t="n"/>
    </row>
    <row r="48">
      <c r="A48" s="49">
        <f>DATE(YEAR($J$5),MONTH($J$5)-12+11,1)</f>
        <v/>
      </c>
      <c r="B48" s="47" t="n">
        <v>320000</v>
      </c>
      <c r="C48" s="48">
        <f>AVERAGE(B37:B48)</f>
        <v/>
      </c>
      <c r="D48" s="50">
        <f>C48/22</f>
        <v/>
      </c>
      <c r="E48" s="48">
        <f>ROUND(D48,-1)</f>
        <v/>
      </c>
      <c r="F48" s="50">
        <f>E48/3*2</f>
        <v/>
      </c>
      <c r="G48" s="48">
        <f>ROUND(F48,0)</f>
        <v/>
      </c>
    </row>
    <row r="49">
      <c r="A49" s="49">
        <f>DATE(YEAR($J$5),MONTH($J$5)-12+12,1)</f>
        <v/>
      </c>
      <c r="B49" s="47" t="n">
        <v>320000</v>
      </c>
      <c r="C49" s="48">
        <f>AVERAGE(B38:B49)</f>
        <v/>
      </c>
      <c r="D49" s="50">
        <f>C49/22</f>
        <v/>
      </c>
      <c r="E49" s="48">
        <f>ROUND(D49,-1)</f>
        <v/>
      </c>
      <c r="F49" s="50">
        <f>E49/3*2</f>
        <v/>
      </c>
      <c r="G49" s="48">
        <f>ROUND(F49,0)</f>
        <v/>
      </c>
    </row>
    <row r="50">
      <c r="A50" s="49">
        <f>DATE(YEAR($J$5),MONTH($J$5)-12+13,1)</f>
        <v/>
      </c>
      <c r="B50" s="47" t="n">
        <v>320000</v>
      </c>
      <c r="C50" s="48">
        <f>AVERAGE(B39:B50)</f>
        <v/>
      </c>
      <c r="D50" s="50">
        <f>C50/22</f>
        <v/>
      </c>
      <c r="E50" s="48">
        <f>ROUND(D50,-1)</f>
        <v/>
      </c>
      <c r="F50" s="50">
        <f>E50/3*2</f>
        <v/>
      </c>
      <c r="G50" s="48">
        <f>ROUND(F50,0)</f>
        <v/>
      </c>
    </row>
    <row r="51">
      <c r="A51" s="49">
        <f>DATE(YEAR($J$5),MONTH($J$5)-12+14,1)</f>
        <v/>
      </c>
      <c r="B51" s="47" t="n">
        <v>320000</v>
      </c>
      <c r="C51" s="48">
        <f>AVERAGE(B40:B51)</f>
        <v/>
      </c>
      <c r="D51" s="50">
        <f>C51/22</f>
        <v/>
      </c>
      <c r="E51" s="48">
        <f>ROUND(D51,-1)</f>
        <v/>
      </c>
      <c r="F51" s="50">
        <f>E51/3*2</f>
        <v/>
      </c>
      <c r="G51" s="48">
        <f>ROUND(F51,0)</f>
        <v/>
      </c>
    </row>
    <row r="52">
      <c r="A52" s="49">
        <f>DATE(YEAR($J$5),MONTH($J$5)-12+15,1)</f>
        <v/>
      </c>
      <c r="B52" s="47" t="n">
        <v>340000</v>
      </c>
      <c r="C52" s="48">
        <f>AVERAGE(B41:B52)</f>
        <v/>
      </c>
      <c r="D52" s="50">
        <f>C52/22</f>
        <v/>
      </c>
      <c r="E52" s="48">
        <f>ROUND(D52,-1)</f>
        <v/>
      </c>
      <c r="F52" s="50">
        <f>E52/3*2</f>
        <v/>
      </c>
      <c r="G52" s="48">
        <f>ROUND(F52,0)</f>
        <v/>
      </c>
    </row>
    <row r="53">
      <c r="A53" s="49">
        <f>DATE(YEAR($J$5),MONTH($J$5)-12+16,1)</f>
        <v/>
      </c>
      <c r="B53" s="47" t="n">
        <v>340000</v>
      </c>
      <c r="C53" s="48">
        <f>AVERAGE(B42:B53)</f>
        <v/>
      </c>
      <c r="D53" s="50">
        <f>C53/22</f>
        <v/>
      </c>
      <c r="E53" s="48">
        <f>ROUND(D53,-1)</f>
        <v/>
      </c>
      <c r="F53" s="50">
        <f>E53/3*2</f>
        <v/>
      </c>
      <c r="G53" s="48">
        <f>ROUND(F53,0)</f>
        <v/>
      </c>
    </row>
    <row r="54">
      <c r="A54" s="49">
        <f>DATE(YEAR($J$5),MONTH($J$5)-12+17,1)</f>
        <v/>
      </c>
      <c r="B54" s="47" t="n">
        <v>340000</v>
      </c>
      <c r="C54" s="48">
        <f>AVERAGE(B43:B54)</f>
        <v/>
      </c>
      <c r="D54" s="50">
        <f>C54/22</f>
        <v/>
      </c>
      <c r="E54" s="48">
        <f>ROUND(D54,-1)</f>
        <v/>
      </c>
      <c r="F54" s="50">
        <f>E54/3*2</f>
        <v/>
      </c>
      <c r="G54" s="48">
        <f>ROUND(F54,0)</f>
        <v/>
      </c>
    </row>
    <row r="55">
      <c r="A55" s="49">
        <f>DATE(YEAR($J$5),MONTH($J$5)-12+18,1)</f>
        <v/>
      </c>
      <c r="B55" s="47" t="n">
        <v>340000</v>
      </c>
      <c r="C55" s="48">
        <f>AVERAGE(B44:B55)</f>
        <v/>
      </c>
      <c r="D55" s="50">
        <f>C55/22</f>
        <v/>
      </c>
      <c r="E55" s="48">
        <f>ROUND(D55,-1)</f>
        <v/>
      </c>
      <c r="F55" s="50">
        <f>E55/3*2</f>
        <v/>
      </c>
      <c r="G55" s="48">
        <f>ROUND(F55,0)</f>
        <v/>
      </c>
    </row>
    <row r="56">
      <c r="A56" s="49">
        <f>DATE(YEAR($J$5),MONTH($J$5)-12+19,1)</f>
        <v/>
      </c>
      <c r="B56" s="47" t="n">
        <v>340000</v>
      </c>
      <c r="C56" s="48">
        <f>AVERAGE(B45:B56)</f>
        <v/>
      </c>
      <c r="D56" s="50">
        <f>C56/22</f>
        <v/>
      </c>
      <c r="E56" s="48">
        <f>ROUND(D56,-1)</f>
        <v/>
      </c>
      <c r="F56" s="50">
        <f>E56/3*2</f>
        <v/>
      </c>
      <c r="G56" s="48">
        <f>ROUND(F56,0)</f>
        <v/>
      </c>
    </row>
    <row r="57">
      <c r="A57" s="49">
        <f>DATE(YEAR($J$5),MONTH($J$5)-12+20,1)</f>
        <v/>
      </c>
      <c r="B57" s="47" t="n">
        <v>340000</v>
      </c>
      <c r="C57" s="48">
        <f>AVERAGE(B46:B57)</f>
        <v/>
      </c>
      <c r="D57" s="50">
        <f>C57/22</f>
        <v/>
      </c>
      <c r="E57" s="48">
        <f>ROUND(D57,-1)</f>
        <v/>
      </c>
      <c r="F57" s="50">
        <f>E57/3*2</f>
        <v/>
      </c>
      <c r="G57" s="48">
        <f>ROUND(F57,0)</f>
        <v/>
      </c>
    </row>
    <row r="58">
      <c r="A58" s="49">
        <f>DATE(YEAR($J$5),MONTH($J$5)-12+21,1)</f>
        <v/>
      </c>
      <c r="B58" s="47" t="n">
        <v>340000</v>
      </c>
      <c r="C58" s="48">
        <f>AVERAGE(B47:B58)</f>
        <v/>
      </c>
      <c r="D58" s="50">
        <f>C58/22</f>
        <v/>
      </c>
      <c r="E58" s="48">
        <f>ROUND(D58,-1)</f>
        <v/>
      </c>
      <c r="F58" s="50">
        <f>E58/3*2</f>
        <v/>
      </c>
      <c r="G58" s="48">
        <f>ROUND(F58,0)</f>
        <v/>
      </c>
    </row>
    <row r="59">
      <c r="A59" s="49">
        <f>DATE(YEAR($J$5),MONTH($J$5)-12+22,1)</f>
        <v/>
      </c>
      <c r="B59" s="47" t="n">
        <v>340000</v>
      </c>
      <c r="C59" s="48">
        <f>AVERAGE(B48:B59)</f>
        <v/>
      </c>
      <c r="D59" s="50">
        <f>C59/22</f>
        <v/>
      </c>
      <c r="E59" s="48">
        <f>ROUND(D59,-1)</f>
        <v/>
      </c>
      <c r="F59" s="50">
        <f>E59/3*2</f>
        <v/>
      </c>
      <c r="G59" s="48">
        <f>ROUND(F59,0)</f>
        <v/>
      </c>
    </row>
    <row r="60">
      <c r="A60" s="49">
        <f>DATE(YEAR($J$5),MONTH($J$5)-12+23,1)</f>
        <v/>
      </c>
      <c r="B60" s="47" t="n">
        <v>340000</v>
      </c>
      <c r="C60" s="48">
        <f>AVERAGE(B49:B60)</f>
        <v/>
      </c>
      <c r="D60" s="50">
        <f>C60/22</f>
        <v/>
      </c>
      <c r="E60" s="48">
        <f>ROUND(D60,-1)</f>
        <v/>
      </c>
      <c r="F60" s="50">
        <f>E60/3*2</f>
        <v/>
      </c>
      <c r="G60" s="48">
        <f>ROUND(F60,0)</f>
        <v/>
      </c>
    </row>
    <row r="61">
      <c r="A61" s="49">
        <f>DATE(YEAR($J$5),MONTH($J$5)-12+24,1)</f>
        <v/>
      </c>
      <c r="B61" s="47" t="n">
        <v>340000</v>
      </c>
      <c r="C61" s="48">
        <f>AVERAGE(B50:B61)</f>
        <v/>
      </c>
      <c r="D61" s="50">
        <f>C61/22</f>
        <v/>
      </c>
      <c r="E61" s="48">
        <f>ROUND(D61,-1)</f>
        <v/>
      </c>
      <c r="F61" s="50">
        <f>E61/3*2</f>
        <v/>
      </c>
      <c r="G61" s="48">
        <f>ROUND(F61,0)</f>
        <v/>
      </c>
    </row>
    <row r="62">
      <c r="A62" s="49">
        <f>DATE(YEAR($J$5),MONTH($J$5)-12+25,1)</f>
        <v/>
      </c>
      <c r="B62" s="47" t="n">
        <v>340000</v>
      </c>
      <c r="C62" s="48">
        <f>AVERAGE(B51:B62)</f>
        <v/>
      </c>
      <c r="D62" s="50">
        <f>C62/22</f>
        <v/>
      </c>
      <c r="E62" s="48">
        <f>ROUND(D62,-1)</f>
        <v/>
      </c>
      <c r="F62" s="50">
        <f>E62/3*2</f>
        <v/>
      </c>
      <c r="G62" s="48">
        <f>ROUND(F62,0)</f>
        <v/>
      </c>
    </row>
    <row r="63">
      <c r="A63" s="49">
        <f>DATE(YEAR($J$5),MONTH($J$5)-12+26,1)</f>
        <v/>
      </c>
      <c r="B63" s="47" t="n">
        <v>340000</v>
      </c>
      <c r="C63" s="48">
        <f>AVERAGE(B52:B63)</f>
        <v/>
      </c>
      <c r="D63" s="50">
        <f>C63/22</f>
        <v/>
      </c>
      <c r="E63" s="48">
        <f>ROUND(D63,-1)</f>
        <v/>
      </c>
      <c r="F63" s="50">
        <f>E63/3*2</f>
        <v/>
      </c>
      <c r="G63" s="48">
        <f>ROUND(F63,0)</f>
        <v/>
      </c>
    </row>
    <row r="64">
      <c r="A64" s="49">
        <f>DATE(YEAR($J$5),MONTH($J$5)-12+27,1)</f>
        <v/>
      </c>
      <c r="B64" s="47" t="n">
        <v>340000</v>
      </c>
      <c r="C64" s="48">
        <f>AVERAGE(B53:B64)</f>
        <v/>
      </c>
      <c r="D64" s="50">
        <f>C64/22</f>
        <v/>
      </c>
      <c r="E64" s="48">
        <f>ROUND(D64,-1)</f>
        <v/>
      </c>
      <c r="F64" s="50">
        <f>E64/3*2</f>
        <v/>
      </c>
      <c r="G64" s="48">
        <f>ROUND(F64,0)</f>
        <v/>
      </c>
    </row>
    <row r="65">
      <c r="A65" s="49">
        <f>DATE(YEAR($J$5),MONTH($J$5)-12+28,1)</f>
        <v/>
      </c>
      <c r="B65" s="47" t="n">
        <v>340000</v>
      </c>
      <c r="C65" s="48">
        <f>AVERAGE(B54:B65)</f>
        <v/>
      </c>
      <c r="D65" s="50">
        <f>C65/22</f>
        <v/>
      </c>
      <c r="E65" s="48">
        <f>ROUND(D65,-1)</f>
        <v/>
      </c>
      <c r="F65" s="50">
        <f>E65/3*2</f>
        <v/>
      </c>
      <c r="G65" s="48">
        <f>ROUND(F65,0)</f>
        <v/>
      </c>
    </row>
    <row r="66">
      <c r="A66" s="49">
        <f>DATE(YEAR($J$5),MONTH($J$5)-12+29,1)</f>
        <v/>
      </c>
      <c r="B66" s="47" t="n">
        <v>340000</v>
      </c>
      <c r="C66" s="48">
        <f>AVERAGE(B55:B66)</f>
        <v/>
      </c>
      <c r="D66" s="50">
        <f>C66/22</f>
        <v/>
      </c>
      <c r="E66" s="48">
        <f>ROUND(D66,-1)</f>
        <v/>
      </c>
      <c r="F66" s="50">
        <f>E66/3*2</f>
        <v/>
      </c>
      <c r="G66" s="48">
        <f>ROUND(F66,0)</f>
        <v/>
      </c>
    </row>
    <row r="67">
      <c r="A67" s="49">
        <f>DATE(YEAR($J$5),MONTH($J$5)-12+30,1)</f>
        <v/>
      </c>
      <c r="B67" s="47" t="n">
        <v>340000</v>
      </c>
      <c r="C67" s="48">
        <f>AVERAGE(B56:B67)</f>
        <v/>
      </c>
      <c r="D67" s="50">
        <f>C67/22</f>
        <v/>
      </c>
      <c r="E67" s="48">
        <f>ROUND(D67,-1)</f>
        <v/>
      </c>
      <c r="F67" s="50">
        <f>E67/3*2</f>
        <v/>
      </c>
      <c r="G67" s="48">
        <f>ROUND(F67,0)</f>
        <v/>
      </c>
    </row>
    <row r="68">
      <c r="A68" s="49">
        <f>DATE(YEAR($J$5),MONTH($J$5)-12+31,1)</f>
        <v/>
      </c>
      <c r="B68" s="47" t="n">
        <v>340000</v>
      </c>
      <c r="C68" s="48">
        <f>AVERAGE(B57:B68)</f>
        <v/>
      </c>
      <c r="D68" s="50">
        <f>C68/22</f>
        <v/>
      </c>
      <c r="E68" s="48">
        <f>ROUND(D68,-1)</f>
        <v/>
      </c>
      <c r="F68" s="50">
        <f>E68/3*2</f>
        <v/>
      </c>
      <c r="G68" s="48">
        <f>ROUND(F68,0)</f>
        <v/>
      </c>
    </row>
    <row r="69">
      <c r="A69" s="49">
        <f>DATE(YEAR($J$5),MONTH($J$5)-12+32,1)</f>
        <v/>
      </c>
      <c r="B69" s="47" t="n">
        <v>340000</v>
      </c>
      <c r="C69" s="48">
        <f>AVERAGE(B58:B69)</f>
        <v/>
      </c>
      <c r="D69" s="50">
        <f>C69/22</f>
        <v/>
      </c>
      <c r="E69" s="48">
        <f>ROUND(D69,-1)</f>
        <v/>
      </c>
      <c r="F69" s="50">
        <f>E69/3*2</f>
        <v/>
      </c>
      <c r="G69" s="48">
        <f>ROUND(F69,0)</f>
        <v/>
      </c>
    </row>
    <row r="70">
      <c r="A70" s="49">
        <f>DATE(YEAR($J$5),MONTH($J$5)-12+33,1)</f>
        <v/>
      </c>
      <c r="B70" s="47" t="n">
        <v>340000</v>
      </c>
      <c r="C70" s="48">
        <f>AVERAGE(B59:B70)</f>
        <v/>
      </c>
      <c r="D70" s="50">
        <f>C70/22</f>
        <v/>
      </c>
      <c r="E70" s="48">
        <f>ROUND(D70,-1)</f>
        <v/>
      </c>
      <c r="F70" s="50">
        <f>E70/3*2</f>
        <v/>
      </c>
      <c r="G70" s="48">
        <f>ROUND(F70,0)</f>
        <v/>
      </c>
    </row>
    <row r="71">
      <c r="A71" s="49">
        <f>DATE(YEAR($J$5),MONTH($J$5)-12+34,1)</f>
        <v/>
      </c>
      <c r="B71" s="47" t="n">
        <v>340000</v>
      </c>
      <c r="C71" s="48">
        <f>AVERAGE(B60:B71)</f>
        <v/>
      </c>
      <c r="D71" s="50">
        <f>C71/22</f>
        <v/>
      </c>
      <c r="E71" s="48">
        <f>ROUND(D71,-1)</f>
        <v/>
      </c>
      <c r="F71" s="50">
        <f>E71/3*2</f>
        <v/>
      </c>
      <c r="G71" s="48">
        <f>ROUND(F71,0)</f>
        <v/>
      </c>
    </row>
    <row r="72">
      <c r="A72" s="49">
        <f>DATE(YEAR($J$5),MONTH($J$5)-12+35,1)</f>
        <v/>
      </c>
      <c r="B72" s="47" t="n">
        <v>340000</v>
      </c>
      <c r="C72" s="48">
        <f>AVERAGE(B61:B72)</f>
        <v/>
      </c>
      <c r="D72" s="50">
        <f>C72/22</f>
        <v/>
      </c>
      <c r="E72" s="48">
        <f>ROUND(D72,-1)</f>
        <v/>
      </c>
      <c r="F72" s="50">
        <f>E72/3*2</f>
        <v/>
      </c>
      <c r="G72" s="48">
        <f>ROUND(F72,0)</f>
        <v/>
      </c>
    </row>
    <row r="73">
      <c r="A73" s="49">
        <f>DATE(YEAR($J$5),MONTH($J$5)-12+36,1)</f>
        <v/>
      </c>
      <c r="B73" s="47" t="n">
        <v>340000</v>
      </c>
      <c r="C73" s="48">
        <f>AVERAGE(B62:B73)</f>
        <v/>
      </c>
      <c r="D73" s="50">
        <f>C73/22</f>
        <v/>
      </c>
      <c r="E73" s="48">
        <f>ROUND(D73,-1)</f>
        <v/>
      </c>
      <c r="F73" s="50">
        <f>E73/3*2</f>
        <v/>
      </c>
      <c r="G73" s="48">
        <f>ROUND(F73,0)</f>
        <v/>
      </c>
    </row>
    <row r="74">
      <c r="A74" s="49">
        <f>DATE(YEAR($J$5),MONTH($J$5)-12+37,1)</f>
        <v/>
      </c>
      <c r="B74" s="47" t="n">
        <v>340000</v>
      </c>
      <c r="C74" s="48">
        <f>AVERAGE(B63:B74)</f>
        <v/>
      </c>
      <c r="D74" s="50">
        <f>C74/22</f>
        <v/>
      </c>
      <c r="E74" s="48">
        <f>ROUND(D74,-1)</f>
        <v/>
      </c>
      <c r="F74" s="50">
        <f>E74/3*2</f>
        <v/>
      </c>
      <c r="G74" s="48">
        <f>ROUND(F74,0)</f>
        <v/>
      </c>
    </row>
    <row r="75">
      <c r="A75" s="49">
        <f>DATE(YEAR($J$5),MONTH($J$5)-12+38,1)</f>
        <v/>
      </c>
      <c r="B75" s="47" t="n">
        <v>340000</v>
      </c>
      <c r="C75" s="48">
        <f>AVERAGE(B64:B75)</f>
        <v/>
      </c>
      <c r="D75" s="50">
        <f>C75/22</f>
        <v/>
      </c>
      <c r="E75" s="48">
        <f>ROUND(D75,-1)</f>
        <v/>
      </c>
      <c r="F75" s="50">
        <f>E75/3*2</f>
        <v/>
      </c>
      <c r="G75" s="48">
        <f>ROUND(F75,0)</f>
        <v/>
      </c>
    </row>
    <row r="76">
      <c r="A76" s="49">
        <f>DATE(YEAR($J$5),MONTH($J$5)-12+39,1)</f>
        <v/>
      </c>
      <c r="B76" s="47" t="n">
        <v>340000</v>
      </c>
      <c r="C76" s="48">
        <f>AVERAGE(B65:B76)</f>
        <v/>
      </c>
      <c r="D76" s="50">
        <f>C76/22</f>
        <v/>
      </c>
      <c r="E76" s="48">
        <f>ROUND(D76,-1)</f>
        <v/>
      </c>
      <c r="F76" s="50">
        <f>E76/3*2</f>
        <v/>
      </c>
      <c r="G76" s="48">
        <f>ROUND(F76,0)</f>
        <v/>
      </c>
    </row>
    <row r="77">
      <c r="A77" s="49">
        <f>DATE(YEAR($J$5),MONTH($J$5)-12+40,1)</f>
        <v/>
      </c>
      <c r="B77" s="47" t="n">
        <v>340000</v>
      </c>
      <c r="C77" s="48">
        <f>AVERAGE(B66:B77)</f>
        <v/>
      </c>
      <c r="D77" s="50">
        <f>C77/22</f>
        <v/>
      </c>
      <c r="E77" s="48">
        <f>ROUND(D77,-1)</f>
        <v/>
      </c>
      <c r="F77" s="50">
        <f>E77/3*2</f>
        <v/>
      </c>
      <c r="G77" s="48">
        <f>ROUND(F77,0)</f>
        <v/>
      </c>
    </row>
    <row r="78">
      <c r="A78" s="49">
        <f>DATE(YEAR($J$5),MONTH($J$5)-12+41,1)</f>
        <v/>
      </c>
      <c r="B78" s="47" t="n">
        <v>340000</v>
      </c>
      <c r="C78" s="48">
        <f>AVERAGE(B67:B78)</f>
        <v/>
      </c>
      <c r="D78" s="50">
        <f>C78/22</f>
        <v/>
      </c>
      <c r="E78" s="48">
        <f>ROUND(D78,-1)</f>
        <v/>
      </c>
      <c r="F78" s="50">
        <f>E78/3*2</f>
        <v/>
      </c>
      <c r="G78" s="48">
        <f>ROUND(F78,0)</f>
        <v/>
      </c>
    </row>
    <row r="79">
      <c r="A79" s="11" t="inlineStr">
        <is>
          <t>※標準報酬月額は、支給開始月の12か月前〜以降の各月を入力（将来月は現在の額を見込みで入力し、定時決定・随時改定があれば更新）。</t>
        </is>
      </c>
    </row>
  </sheetData>
  <mergeCells count="9">
    <mergeCell ref="A6:B6"/>
    <mergeCell ref="A7:B7"/>
    <mergeCell ref="A9:B9"/>
    <mergeCell ref="C5:D5"/>
    <mergeCell ref="D9:F9"/>
    <mergeCell ref="D7:F7"/>
    <mergeCell ref="D8:F8"/>
    <mergeCell ref="D6:F6"/>
    <mergeCell ref="A8:B8"/>
  </mergeCells>
  <dataValidations count="2">
    <dataValidation sqref="A13:A20" showDropDown="0" showInputMessage="0" showErrorMessage="0" allowBlank="1" type="list">
      <formula1>"10割,8割,無給,その他"</formula1>
      <formula2>0</formula2>
    </dataValidation>
    <dataValidation sqref="C9" showDropDown="0" showInputMessage="0" showErrorMessage="0" allowBlank="1" type="list">
      <formula1>"有,無"</formula1>
    </dataValidation>
  </dataValidations>
  <pageMargins left="0.75" right="0.75" top="1" bottom="1"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L45"/>
  <sheetViews>
    <sheetView workbookViewId="0">
      <pane ySplit="5" topLeftCell="A6" activePane="bottomLeft" state="frozen"/>
      <selection pane="bottomLeft" activeCell="A1" sqref="A1"/>
    </sheetView>
  </sheetViews>
  <sheetFormatPr baseColWidth="8" defaultRowHeight="15"/>
  <cols>
    <col width="6" customWidth="1" style="39" min="1" max="1"/>
    <col width="7" customWidth="1" style="39" min="2" max="2"/>
    <col width="5" customWidth="1" style="39" min="3" max="3"/>
    <col width="7" customWidth="1" style="39" min="4" max="4"/>
    <col width="12" customWidth="1" style="39" min="5" max="5"/>
    <col width="12" customWidth="1" style="39" min="6" max="6"/>
    <col width="9" customWidth="1" style="39" min="7" max="7"/>
    <col width="13" customWidth="1" style="39" min="8" max="8"/>
    <col width="12" customWidth="1" style="39" min="9" max="9"/>
    <col width="16" customWidth="1" style="39" min="10" max="10"/>
    <col width="10" customWidth="1" style="39" min="11" max="11"/>
    <col hidden="1" width="5" customWidth="1" style="39" min="12" max="12"/>
  </cols>
  <sheetData>
    <row r="1">
      <c r="A1" s="10">
        <f>算定表!A1</f>
        <v/>
      </c>
    </row>
    <row r="2">
      <c r="A2" s="11" t="inlineStr">
        <is>
          <t>基幹システム入力用：月ごと・法定／附加ごとに集計します（給与区分で行が分かれる月も1行にまとめています）。</t>
        </is>
      </c>
    </row>
    <row r="5" ht="34" customHeight="1" s="39">
      <c r="A5" s="18" t="inlineStr">
        <is>
          <t>番号</t>
        </is>
      </c>
      <c r="B5" s="18" t="inlineStr">
        <is>
          <t>年</t>
        </is>
      </c>
      <c r="C5" s="18" t="inlineStr">
        <is>
          <t>月</t>
        </is>
      </c>
      <c r="D5" s="18" t="inlineStr">
        <is>
          <t>給付
区分</t>
        </is>
      </c>
      <c r="E5" s="18" t="inlineStr">
        <is>
          <t>支給期間
（始）</t>
        </is>
      </c>
      <c r="F5" s="18" t="inlineStr">
        <is>
          <t>支給期間
（終）</t>
        </is>
      </c>
      <c r="G5" s="18" t="inlineStr">
        <is>
          <t>支給日数</t>
        </is>
      </c>
      <c r="H5" s="18" t="inlineStr">
        <is>
          <t>標準支給額</t>
        </is>
      </c>
      <c r="I5" s="18" t="inlineStr">
        <is>
          <t>調整額</t>
        </is>
      </c>
      <c r="J5" s="18" t="inlineStr">
        <is>
          <t>差引支給額
（基幹入力額）</t>
        </is>
      </c>
      <c r="K5" s="18" t="inlineStr">
        <is>
          <t>備考</t>
        </is>
      </c>
      <c r="L5" s="18" t="inlineStr">
        <is>
          <t>行</t>
        </is>
      </c>
    </row>
    <row r="6">
      <c r="A6" s="30">
        <f>IF(ROW()-5&lt;=MAX(算定表!$Q$6:$Q$53),ROW()-5,"")</f>
        <v/>
      </c>
      <c r="B6" s="30">
        <f>IF(A6="","",INDEX(算定表!$B$6:$B$53,L6))</f>
        <v/>
      </c>
      <c r="C6" s="30">
        <f>IF(A6="","",INDEX(算定表!$C$6:$C$53,L6))</f>
        <v/>
      </c>
      <c r="D6" s="30">
        <f>IF(A6="","",INDEX(算定表!$E$6:$E$53,L6))</f>
        <v/>
      </c>
      <c r="E6" s="51">
        <f>IF(A6="","",INDEX(算定表!$F$6:$F$53,L6))</f>
        <v/>
      </c>
      <c r="F6" s="51">
        <f>IF(A6="","",LOOKUP(2,1/((算定表!$B$6:$B$53=B6)*(算定表!$C$6:$C$53=C6)*(算定表!$E$6:$E$53=D6)),算定表!$G$6:$G$53))</f>
        <v/>
      </c>
      <c r="G6" s="33">
        <f>IF(A6="","",SUMIFS(算定表!$I$6:$I$53,算定表!$B$6:$B$53,B6,算定表!$C$6:$C$53,C6,算定表!$E$6:$E$53,D6))</f>
        <v/>
      </c>
      <c r="H6" s="52">
        <f>IF(A6="","",SUMIFS(算定表!$M$6:$M$53,算定表!$B$6:$B$53,B6,算定表!$C$6:$C$53,C6,算定表!$E$6:$E$53,D6))</f>
        <v/>
      </c>
      <c r="I6" s="52">
        <f>IF(A6="","",SUMIFS(算定表!$N$6:$N$53,算定表!$B$6:$B$53,B6,算定表!$C$6:$C$53,C6,算定表!$E$6:$E$53,D6))</f>
        <v/>
      </c>
      <c r="J6" s="53">
        <f>IF(A6="","",SUMIFS(算定表!$O$6:$O$53,算定表!$B$6:$B$53,B6,算定表!$C$6:$C$53,C6,算定表!$E$6:$E$53,D6))</f>
        <v/>
      </c>
      <c r="K6" s="30">
        <f>IF(A6="","",IF(J6=0,"支給なし",""))</f>
        <v/>
      </c>
      <c r="L6" s="30">
        <f>IF(A6="","",MATCH(A6,算定表!$Q$6:$Q$53,0))</f>
        <v/>
      </c>
    </row>
    <row r="7">
      <c r="A7" s="30">
        <f>IF(ROW()-5&lt;=MAX(算定表!$Q$6:$Q$53),ROW()-5,"")</f>
        <v/>
      </c>
      <c r="B7" s="30">
        <f>IF(A7="","",INDEX(算定表!$B$6:$B$53,L7))</f>
        <v/>
      </c>
      <c r="C7" s="30">
        <f>IF(A7="","",INDEX(算定表!$C$6:$C$53,L7))</f>
        <v/>
      </c>
      <c r="D7" s="30">
        <f>IF(A7="","",INDEX(算定表!$E$6:$E$53,L7))</f>
        <v/>
      </c>
      <c r="E7" s="51">
        <f>IF(A7="","",INDEX(算定表!$F$6:$F$53,L7))</f>
        <v/>
      </c>
      <c r="F7" s="51">
        <f>IF(A7="","",LOOKUP(2,1/((算定表!$B$6:$B$53=B7)*(算定表!$C$6:$C$53=C7)*(算定表!$E$6:$E$53=D7)),算定表!$G$6:$G$53))</f>
        <v/>
      </c>
      <c r="G7" s="33">
        <f>IF(A7="","",SUMIFS(算定表!$I$6:$I$53,算定表!$B$6:$B$53,B7,算定表!$C$6:$C$53,C7,算定表!$E$6:$E$53,D7))</f>
        <v/>
      </c>
      <c r="H7" s="52">
        <f>IF(A7="","",SUMIFS(算定表!$M$6:$M$53,算定表!$B$6:$B$53,B7,算定表!$C$6:$C$53,C7,算定表!$E$6:$E$53,D7))</f>
        <v/>
      </c>
      <c r="I7" s="52">
        <f>IF(A7="","",SUMIFS(算定表!$N$6:$N$53,算定表!$B$6:$B$53,B7,算定表!$C$6:$C$53,C7,算定表!$E$6:$E$53,D7))</f>
        <v/>
      </c>
      <c r="J7" s="53">
        <f>IF(A7="","",SUMIFS(算定表!$O$6:$O$53,算定表!$B$6:$B$53,B7,算定表!$C$6:$C$53,C7,算定表!$E$6:$E$53,D7))</f>
        <v/>
      </c>
      <c r="K7" s="30">
        <f>IF(A7="","",IF(J7=0,"支給なし",""))</f>
        <v/>
      </c>
      <c r="L7" s="30">
        <f>IF(A7="","",MATCH(A7,算定表!$Q$6:$Q$53,0))</f>
        <v/>
      </c>
    </row>
    <row r="8">
      <c r="A8" s="30">
        <f>IF(ROW()-5&lt;=MAX(算定表!$Q$6:$Q$53),ROW()-5,"")</f>
        <v/>
      </c>
      <c r="B8" s="30">
        <f>IF(A8="","",INDEX(算定表!$B$6:$B$53,L8))</f>
        <v/>
      </c>
      <c r="C8" s="30">
        <f>IF(A8="","",INDEX(算定表!$C$6:$C$53,L8))</f>
        <v/>
      </c>
      <c r="D8" s="30">
        <f>IF(A8="","",INDEX(算定表!$E$6:$E$53,L8))</f>
        <v/>
      </c>
      <c r="E8" s="51">
        <f>IF(A8="","",INDEX(算定表!$F$6:$F$53,L8))</f>
        <v/>
      </c>
      <c r="F8" s="51">
        <f>IF(A8="","",LOOKUP(2,1/((算定表!$B$6:$B$53=B8)*(算定表!$C$6:$C$53=C8)*(算定表!$E$6:$E$53=D8)),算定表!$G$6:$G$53))</f>
        <v/>
      </c>
      <c r="G8" s="33">
        <f>IF(A8="","",SUMIFS(算定表!$I$6:$I$53,算定表!$B$6:$B$53,B8,算定表!$C$6:$C$53,C8,算定表!$E$6:$E$53,D8))</f>
        <v/>
      </c>
      <c r="H8" s="52">
        <f>IF(A8="","",SUMIFS(算定表!$M$6:$M$53,算定表!$B$6:$B$53,B8,算定表!$C$6:$C$53,C8,算定表!$E$6:$E$53,D8))</f>
        <v/>
      </c>
      <c r="I8" s="52">
        <f>IF(A8="","",SUMIFS(算定表!$N$6:$N$53,算定表!$B$6:$B$53,B8,算定表!$C$6:$C$53,C8,算定表!$E$6:$E$53,D8))</f>
        <v/>
      </c>
      <c r="J8" s="53">
        <f>IF(A8="","",SUMIFS(算定表!$O$6:$O$53,算定表!$B$6:$B$53,B8,算定表!$C$6:$C$53,C8,算定表!$E$6:$E$53,D8))</f>
        <v/>
      </c>
      <c r="K8" s="30">
        <f>IF(A8="","",IF(J8=0,"支給なし",""))</f>
        <v/>
      </c>
      <c r="L8" s="30">
        <f>IF(A8="","",MATCH(A8,算定表!$Q$6:$Q$53,0))</f>
        <v/>
      </c>
    </row>
    <row r="9">
      <c r="A9" s="30">
        <f>IF(ROW()-5&lt;=MAX(算定表!$Q$6:$Q$53),ROW()-5,"")</f>
        <v/>
      </c>
      <c r="B9" s="30">
        <f>IF(A9="","",INDEX(算定表!$B$6:$B$53,L9))</f>
        <v/>
      </c>
      <c r="C9" s="30">
        <f>IF(A9="","",INDEX(算定表!$C$6:$C$53,L9))</f>
        <v/>
      </c>
      <c r="D9" s="30">
        <f>IF(A9="","",INDEX(算定表!$E$6:$E$53,L9))</f>
        <v/>
      </c>
      <c r="E9" s="51">
        <f>IF(A9="","",INDEX(算定表!$F$6:$F$53,L9))</f>
        <v/>
      </c>
      <c r="F9" s="51">
        <f>IF(A9="","",LOOKUP(2,1/((算定表!$B$6:$B$53=B9)*(算定表!$C$6:$C$53=C9)*(算定表!$E$6:$E$53=D9)),算定表!$G$6:$G$53))</f>
        <v/>
      </c>
      <c r="G9" s="33">
        <f>IF(A9="","",SUMIFS(算定表!$I$6:$I$53,算定表!$B$6:$B$53,B9,算定表!$C$6:$C$53,C9,算定表!$E$6:$E$53,D9))</f>
        <v/>
      </c>
      <c r="H9" s="52">
        <f>IF(A9="","",SUMIFS(算定表!$M$6:$M$53,算定表!$B$6:$B$53,B9,算定表!$C$6:$C$53,C9,算定表!$E$6:$E$53,D9))</f>
        <v/>
      </c>
      <c r="I9" s="52">
        <f>IF(A9="","",SUMIFS(算定表!$N$6:$N$53,算定表!$B$6:$B$53,B9,算定表!$C$6:$C$53,C9,算定表!$E$6:$E$53,D9))</f>
        <v/>
      </c>
      <c r="J9" s="53">
        <f>IF(A9="","",SUMIFS(算定表!$O$6:$O$53,算定表!$B$6:$B$53,B9,算定表!$C$6:$C$53,C9,算定表!$E$6:$E$53,D9))</f>
        <v/>
      </c>
      <c r="K9" s="30">
        <f>IF(A9="","",IF(J9=0,"支給なし",""))</f>
        <v/>
      </c>
      <c r="L9" s="30">
        <f>IF(A9="","",MATCH(A9,算定表!$Q$6:$Q$53,0))</f>
        <v/>
      </c>
    </row>
    <row r="10">
      <c r="A10" s="30">
        <f>IF(ROW()-5&lt;=MAX(算定表!$Q$6:$Q$53),ROW()-5,"")</f>
        <v/>
      </c>
      <c r="B10" s="30">
        <f>IF(A10="","",INDEX(算定表!$B$6:$B$53,L10))</f>
        <v/>
      </c>
      <c r="C10" s="30">
        <f>IF(A10="","",INDEX(算定表!$C$6:$C$53,L10))</f>
        <v/>
      </c>
      <c r="D10" s="30">
        <f>IF(A10="","",INDEX(算定表!$E$6:$E$53,L10))</f>
        <v/>
      </c>
      <c r="E10" s="51">
        <f>IF(A10="","",INDEX(算定表!$F$6:$F$53,L10))</f>
        <v/>
      </c>
      <c r="F10" s="51">
        <f>IF(A10="","",LOOKUP(2,1/((算定表!$B$6:$B$53=B10)*(算定表!$C$6:$C$53=C10)*(算定表!$E$6:$E$53=D10)),算定表!$G$6:$G$53))</f>
        <v/>
      </c>
      <c r="G10" s="33">
        <f>IF(A10="","",SUMIFS(算定表!$I$6:$I$53,算定表!$B$6:$B$53,B10,算定表!$C$6:$C$53,C10,算定表!$E$6:$E$53,D10))</f>
        <v/>
      </c>
      <c r="H10" s="52">
        <f>IF(A10="","",SUMIFS(算定表!$M$6:$M$53,算定表!$B$6:$B$53,B10,算定表!$C$6:$C$53,C10,算定表!$E$6:$E$53,D10))</f>
        <v/>
      </c>
      <c r="I10" s="52">
        <f>IF(A10="","",SUMIFS(算定表!$N$6:$N$53,算定表!$B$6:$B$53,B10,算定表!$C$6:$C$53,C10,算定表!$E$6:$E$53,D10))</f>
        <v/>
      </c>
      <c r="J10" s="53">
        <f>IF(A10="","",SUMIFS(算定表!$O$6:$O$53,算定表!$B$6:$B$53,B10,算定表!$C$6:$C$53,C10,算定表!$E$6:$E$53,D10))</f>
        <v/>
      </c>
      <c r="K10" s="30">
        <f>IF(A10="","",IF(J10=0,"支給なし",""))</f>
        <v/>
      </c>
      <c r="L10" s="30">
        <f>IF(A10="","",MATCH(A10,算定表!$Q$6:$Q$53,0))</f>
        <v/>
      </c>
    </row>
    <row r="11">
      <c r="A11" s="30">
        <f>IF(ROW()-5&lt;=MAX(算定表!$Q$6:$Q$53),ROW()-5,"")</f>
        <v/>
      </c>
      <c r="B11" s="30">
        <f>IF(A11="","",INDEX(算定表!$B$6:$B$53,L11))</f>
        <v/>
      </c>
      <c r="C11" s="30">
        <f>IF(A11="","",INDEX(算定表!$C$6:$C$53,L11))</f>
        <v/>
      </c>
      <c r="D11" s="30">
        <f>IF(A11="","",INDEX(算定表!$E$6:$E$53,L11))</f>
        <v/>
      </c>
      <c r="E11" s="51">
        <f>IF(A11="","",INDEX(算定表!$F$6:$F$53,L11))</f>
        <v/>
      </c>
      <c r="F11" s="51">
        <f>IF(A11="","",LOOKUP(2,1/((算定表!$B$6:$B$53=B11)*(算定表!$C$6:$C$53=C11)*(算定表!$E$6:$E$53=D11)),算定表!$G$6:$G$53))</f>
        <v/>
      </c>
      <c r="G11" s="33">
        <f>IF(A11="","",SUMIFS(算定表!$I$6:$I$53,算定表!$B$6:$B$53,B11,算定表!$C$6:$C$53,C11,算定表!$E$6:$E$53,D11))</f>
        <v/>
      </c>
      <c r="H11" s="52">
        <f>IF(A11="","",SUMIFS(算定表!$M$6:$M$53,算定表!$B$6:$B$53,B11,算定表!$C$6:$C$53,C11,算定表!$E$6:$E$53,D11))</f>
        <v/>
      </c>
      <c r="I11" s="52">
        <f>IF(A11="","",SUMIFS(算定表!$N$6:$N$53,算定表!$B$6:$B$53,B11,算定表!$C$6:$C$53,C11,算定表!$E$6:$E$53,D11))</f>
        <v/>
      </c>
      <c r="J11" s="53">
        <f>IF(A11="","",SUMIFS(算定表!$O$6:$O$53,算定表!$B$6:$B$53,B11,算定表!$C$6:$C$53,C11,算定表!$E$6:$E$53,D11))</f>
        <v/>
      </c>
      <c r="K11" s="30">
        <f>IF(A11="","",IF(J11=0,"支給なし",""))</f>
        <v/>
      </c>
      <c r="L11" s="30">
        <f>IF(A11="","",MATCH(A11,算定表!$Q$6:$Q$53,0))</f>
        <v/>
      </c>
    </row>
    <row r="12">
      <c r="A12" s="30">
        <f>IF(ROW()-5&lt;=MAX(算定表!$Q$6:$Q$53),ROW()-5,"")</f>
        <v/>
      </c>
      <c r="B12" s="30">
        <f>IF(A12="","",INDEX(算定表!$B$6:$B$53,L12))</f>
        <v/>
      </c>
      <c r="C12" s="30">
        <f>IF(A12="","",INDEX(算定表!$C$6:$C$53,L12))</f>
        <v/>
      </c>
      <c r="D12" s="30">
        <f>IF(A12="","",INDEX(算定表!$E$6:$E$53,L12))</f>
        <v/>
      </c>
      <c r="E12" s="51">
        <f>IF(A12="","",INDEX(算定表!$F$6:$F$53,L12))</f>
        <v/>
      </c>
      <c r="F12" s="51">
        <f>IF(A12="","",LOOKUP(2,1/((算定表!$B$6:$B$53=B12)*(算定表!$C$6:$C$53=C12)*(算定表!$E$6:$E$53=D12)),算定表!$G$6:$G$53))</f>
        <v/>
      </c>
      <c r="G12" s="33">
        <f>IF(A12="","",SUMIFS(算定表!$I$6:$I$53,算定表!$B$6:$B$53,B12,算定表!$C$6:$C$53,C12,算定表!$E$6:$E$53,D12))</f>
        <v/>
      </c>
      <c r="H12" s="52">
        <f>IF(A12="","",SUMIFS(算定表!$M$6:$M$53,算定表!$B$6:$B$53,B12,算定表!$C$6:$C$53,C12,算定表!$E$6:$E$53,D12))</f>
        <v/>
      </c>
      <c r="I12" s="52">
        <f>IF(A12="","",SUMIFS(算定表!$N$6:$N$53,算定表!$B$6:$B$53,B12,算定表!$C$6:$C$53,C12,算定表!$E$6:$E$53,D12))</f>
        <v/>
      </c>
      <c r="J12" s="53">
        <f>IF(A12="","",SUMIFS(算定表!$O$6:$O$53,算定表!$B$6:$B$53,B12,算定表!$C$6:$C$53,C12,算定表!$E$6:$E$53,D12))</f>
        <v/>
      </c>
      <c r="K12" s="30">
        <f>IF(A12="","",IF(J12=0,"支給なし",""))</f>
        <v/>
      </c>
      <c r="L12" s="30">
        <f>IF(A12="","",MATCH(A12,算定表!$Q$6:$Q$53,0))</f>
        <v/>
      </c>
    </row>
    <row r="13">
      <c r="A13" s="30">
        <f>IF(ROW()-5&lt;=MAX(算定表!$Q$6:$Q$53),ROW()-5,"")</f>
        <v/>
      </c>
      <c r="B13" s="30">
        <f>IF(A13="","",INDEX(算定表!$B$6:$B$53,L13))</f>
        <v/>
      </c>
      <c r="C13" s="30">
        <f>IF(A13="","",INDEX(算定表!$C$6:$C$53,L13))</f>
        <v/>
      </c>
      <c r="D13" s="30">
        <f>IF(A13="","",INDEX(算定表!$E$6:$E$53,L13))</f>
        <v/>
      </c>
      <c r="E13" s="51">
        <f>IF(A13="","",INDEX(算定表!$F$6:$F$53,L13))</f>
        <v/>
      </c>
      <c r="F13" s="51">
        <f>IF(A13="","",LOOKUP(2,1/((算定表!$B$6:$B$53=B13)*(算定表!$C$6:$C$53=C13)*(算定表!$E$6:$E$53=D13)),算定表!$G$6:$G$53))</f>
        <v/>
      </c>
      <c r="G13" s="33">
        <f>IF(A13="","",SUMIFS(算定表!$I$6:$I$53,算定表!$B$6:$B$53,B13,算定表!$C$6:$C$53,C13,算定表!$E$6:$E$53,D13))</f>
        <v/>
      </c>
      <c r="H13" s="52">
        <f>IF(A13="","",SUMIFS(算定表!$M$6:$M$53,算定表!$B$6:$B$53,B13,算定表!$C$6:$C$53,C13,算定表!$E$6:$E$53,D13))</f>
        <v/>
      </c>
      <c r="I13" s="52">
        <f>IF(A13="","",SUMIFS(算定表!$N$6:$N$53,算定表!$B$6:$B$53,B13,算定表!$C$6:$C$53,C13,算定表!$E$6:$E$53,D13))</f>
        <v/>
      </c>
      <c r="J13" s="53">
        <f>IF(A13="","",SUMIFS(算定表!$O$6:$O$53,算定表!$B$6:$B$53,B13,算定表!$C$6:$C$53,C13,算定表!$E$6:$E$53,D13))</f>
        <v/>
      </c>
      <c r="K13" s="30">
        <f>IF(A13="","",IF(J13=0,"支給なし",""))</f>
        <v/>
      </c>
      <c r="L13" s="30">
        <f>IF(A13="","",MATCH(A13,算定表!$Q$6:$Q$53,0))</f>
        <v/>
      </c>
    </row>
    <row r="14">
      <c r="A14" s="30">
        <f>IF(ROW()-5&lt;=MAX(算定表!$Q$6:$Q$53),ROW()-5,"")</f>
        <v/>
      </c>
      <c r="B14" s="30">
        <f>IF(A14="","",INDEX(算定表!$B$6:$B$53,L14))</f>
        <v/>
      </c>
      <c r="C14" s="30">
        <f>IF(A14="","",INDEX(算定表!$C$6:$C$53,L14))</f>
        <v/>
      </c>
      <c r="D14" s="30">
        <f>IF(A14="","",INDEX(算定表!$E$6:$E$53,L14))</f>
        <v/>
      </c>
      <c r="E14" s="51">
        <f>IF(A14="","",INDEX(算定表!$F$6:$F$53,L14))</f>
        <v/>
      </c>
      <c r="F14" s="51">
        <f>IF(A14="","",LOOKUP(2,1/((算定表!$B$6:$B$53=B14)*(算定表!$C$6:$C$53=C14)*(算定表!$E$6:$E$53=D14)),算定表!$G$6:$G$53))</f>
        <v/>
      </c>
      <c r="G14" s="33">
        <f>IF(A14="","",SUMIFS(算定表!$I$6:$I$53,算定表!$B$6:$B$53,B14,算定表!$C$6:$C$53,C14,算定表!$E$6:$E$53,D14))</f>
        <v/>
      </c>
      <c r="H14" s="52">
        <f>IF(A14="","",SUMIFS(算定表!$M$6:$M$53,算定表!$B$6:$B$53,B14,算定表!$C$6:$C$53,C14,算定表!$E$6:$E$53,D14))</f>
        <v/>
      </c>
      <c r="I14" s="52">
        <f>IF(A14="","",SUMIFS(算定表!$N$6:$N$53,算定表!$B$6:$B$53,B14,算定表!$C$6:$C$53,C14,算定表!$E$6:$E$53,D14))</f>
        <v/>
      </c>
      <c r="J14" s="53">
        <f>IF(A14="","",SUMIFS(算定表!$O$6:$O$53,算定表!$B$6:$B$53,B14,算定表!$C$6:$C$53,C14,算定表!$E$6:$E$53,D14))</f>
        <v/>
      </c>
      <c r="K14" s="30">
        <f>IF(A14="","",IF(J14=0,"支給なし",""))</f>
        <v/>
      </c>
      <c r="L14" s="30">
        <f>IF(A14="","",MATCH(A14,算定表!$Q$6:$Q$53,0))</f>
        <v/>
      </c>
    </row>
    <row r="15">
      <c r="A15" s="30">
        <f>IF(ROW()-5&lt;=MAX(算定表!$Q$6:$Q$53),ROW()-5,"")</f>
        <v/>
      </c>
      <c r="B15" s="30">
        <f>IF(A15="","",INDEX(算定表!$B$6:$B$53,L15))</f>
        <v/>
      </c>
      <c r="C15" s="30">
        <f>IF(A15="","",INDEX(算定表!$C$6:$C$53,L15))</f>
        <v/>
      </c>
      <c r="D15" s="30">
        <f>IF(A15="","",INDEX(算定表!$E$6:$E$53,L15))</f>
        <v/>
      </c>
      <c r="E15" s="51">
        <f>IF(A15="","",INDEX(算定表!$F$6:$F$53,L15))</f>
        <v/>
      </c>
      <c r="F15" s="51">
        <f>IF(A15="","",LOOKUP(2,1/((算定表!$B$6:$B$53=B15)*(算定表!$C$6:$C$53=C15)*(算定表!$E$6:$E$53=D15)),算定表!$G$6:$G$53))</f>
        <v/>
      </c>
      <c r="G15" s="33">
        <f>IF(A15="","",SUMIFS(算定表!$I$6:$I$53,算定表!$B$6:$B$53,B15,算定表!$C$6:$C$53,C15,算定表!$E$6:$E$53,D15))</f>
        <v/>
      </c>
      <c r="H15" s="52">
        <f>IF(A15="","",SUMIFS(算定表!$M$6:$M$53,算定表!$B$6:$B$53,B15,算定表!$C$6:$C$53,C15,算定表!$E$6:$E$53,D15))</f>
        <v/>
      </c>
      <c r="I15" s="52">
        <f>IF(A15="","",SUMIFS(算定表!$N$6:$N$53,算定表!$B$6:$B$53,B15,算定表!$C$6:$C$53,C15,算定表!$E$6:$E$53,D15))</f>
        <v/>
      </c>
      <c r="J15" s="53">
        <f>IF(A15="","",SUMIFS(算定表!$O$6:$O$53,算定表!$B$6:$B$53,B15,算定表!$C$6:$C$53,C15,算定表!$E$6:$E$53,D15))</f>
        <v/>
      </c>
      <c r="K15" s="30">
        <f>IF(A15="","",IF(J15=0,"支給なし",""))</f>
        <v/>
      </c>
      <c r="L15" s="30">
        <f>IF(A15="","",MATCH(A15,算定表!$Q$6:$Q$53,0))</f>
        <v/>
      </c>
    </row>
    <row r="16">
      <c r="A16" s="30">
        <f>IF(ROW()-5&lt;=MAX(算定表!$Q$6:$Q$53),ROW()-5,"")</f>
        <v/>
      </c>
      <c r="B16" s="30">
        <f>IF(A16="","",INDEX(算定表!$B$6:$B$53,L16))</f>
        <v/>
      </c>
      <c r="C16" s="30">
        <f>IF(A16="","",INDEX(算定表!$C$6:$C$53,L16))</f>
        <v/>
      </c>
      <c r="D16" s="30">
        <f>IF(A16="","",INDEX(算定表!$E$6:$E$53,L16))</f>
        <v/>
      </c>
      <c r="E16" s="51">
        <f>IF(A16="","",INDEX(算定表!$F$6:$F$53,L16))</f>
        <v/>
      </c>
      <c r="F16" s="51">
        <f>IF(A16="","",LOOKUP(2,1/((算定表!$B$6:$B$53=B16)*(算定表!$C$6:$C$53=C16)*(算定表!$E$6:$E$53=D16)),算定表!$G$6:$G$53))</f>
        <v/>
      </c>
      <c r="G16" s="33">
        <f>IF(A16="","",SUMIFS(算定表!$I$6:$I$53,算定表!$B$6:$B$53,B16,算定表!$C$6:$C$53,C16,算定表!$E$6:$E$53,D16))</f>
        <v/>
      </c>
      <c r="H16" s="52">
        <f>IF(A16="","",SUMIFS(算定表!$M$6:$M$53,算定表!$B$6:$B$53,B16,算定表!$C$6:$C$53,C16,算定表!$E$6:$E$53,D16))</f>
        <v/>
      </c>
      <c r="I16" s="52">
        <f>IF(A16="","",SUMIFS(算定表!$N$6:$N$53,算定表!$B$6:$B$53,B16,算定表!$C$6:$C$53,C16,算定表!$E$6:$E$53,D16))</f>
        <v/>
      </c>
      <c r="J16" s="53">
        <f>IF(A16="","",SUMIFS(算定表!$O$6:$O$53,算定表!$B$6:$B$53,B16,算定表!$C$6:$C$53,C16,算定表!$E$6:$E$53,D16))</f>
        <v/>
      </c>
      <c r="K16" s="30">
        <f>IF(A16="","",IF(J16=0,"支給なし",""))</f>
        <v/>
      </c>
      <c r="L16" s="30">
        <f>IF(A16="","",MATCH(A16,算定表!$Q$6:$Q$53,0))</f>
        <v/>
      </c>
    </row>
    <row r="17">
      <c r="A17" s="30">
        <f>IF(ROW()-5&lt;=MAX(算定表!$Q$6:$Q$53),ROW()-5,"")</f>
        <v/>
      </c>
      <c r="B17" s="30">
        <f>IF(A17="","",INDEX(算定表!$B$6:$B$53,L17))</f>
        <v/>
      </c>
      <c r="C17" s="30">
        <f>IF(A17="","",INDEX(算定表!$C$6:$C$53,L17))</f>
        <v/>
      </c>
      <c r="D17" s="30">
        <f>IF(A17="","",INDEX(算定表!$E$6:$E$53,L17))</f>
        <v/>
      </c>
      <c r="E17" s="51">
        <f>IF(A17="","",INDEX(算定表!$F$6:$F$53,L17))</f>
        <v/>
      </c>
      <c r="F17" s="51">
        <f>IF(A17="","",LOOKUP(2,1/((算定表!$B$6:$B$53=B17)*(算定表!$C$6:$C$53=C17)*(算定表!$E$6:$E$53=D17)),算定表!$G$6:$G$53))</f>
        <v/>
      </c>
      <c r="G17" s="33">
        <f>IF(A17="","",SUMIFS(算定表!$I$6:$I$53,算定表!$B$6:$B$53,B17,算定表!$C$6:$C$53,C17,算定表!$E$6:$E$53,D17))</f>
        <v/>
      </c>
      <c r="H17" s="52">
        <f>IF(A17="","",SUMIFS(算定表!$M$6:$M$53,算定表!$B$6:$B$53,B17,算定表!$C$6:$C$53,C17,算定表!$E$6:$E$53,D17))</f>
        <v/>
      </c>
      <c r="I17" s="52">
        <f>IF(A17="","",SUMIFS(算定表!$N$6:$N$53,算定表!$B$6:$B$53,B17,算定表!$C$6:$C$53,C17,算定表!$E$6:$E$53,D17))</f>
        <v/>
      </c>
      <c r="J17" s="53">
        <f>IF(A17="","",SUMIFS(算定表!$O$6:$O$53,算定表!$B$6:$B$53,B17,算定表!$C$6:$C$53,C17,算定表!$E$6:$E$53,D17))</f>
        <v/>
      </c>
      <c r="K17" s="30">
        <f>IF(A17="","",IF(J17=0,"支給なし",""))</f>
        <v/>
      </c>
      <c r="L17" s="30">
        <f>IF(A17="","",MATCH(A17,算定表!$Q$6:$Q$53,0))</f>
        <v/>
      </c>
    </row>
    <row r="18">
      <c r="A18" s="30">
        <f>IF(ROW()-5&lt;=MAX(算定表!$Q$6:$Q$53),ROW()-5,"")</f>
        <v/>
      </c>
      <c r="B18" s="30">
        <f>IF(A18="","",INDEX(算定表!$B$6:$B$53,L18))</f>
        <v/>
      </c>
      <c r="C18" s="30">
        <f>IF(A18="","",INDEX(算定表!$C$6:$C$53,L18))</f>
        <v/>
      </c>
      <c r="D18" s="30">
        <f>IF(A18="","",INDEX(算定表!$E$6:$E$53,L18))</f>
        <v/>
      </c>
      <c r="E18" s="51">
        <f>IF(A18="","",INDEX(算定表!$F$6:$F$53,L18))</f>
        <v/>
      </c>
      <c r="F18" s="51">
        <f>IF(A18="","",LOOKUP(2,1/((算定表!$B$6:$B$53=B18)*(算定表!$C$6:$C$53=C18)*(算定表!$E$6:$E$53=D18)),算定表!$G$6:$G$53))</f>
        <v/>
      </c>
      <c r="G18" s="33">
        <f>IF(A18="","",SUMIFS(算定表!$I$6:$I$53,算定表!$B$6:$B$53,B18,算定表!$C$6:$C$53,C18,算定表!$E$6:$E$53,D18))</f>
        <v/>
      </c>
      <c r="H18" s="52">
        <f>IF(A18="","",SUMIFS(算定表!$M$6:$M$53,算定表!$B$6:$B$53,B18,算定表!$C$6:$C$53,C18,算定表!$E$6:$E$53,D18))</f>
        <v/>
      </c>
      <c r="I18" s="52">
        <f>IF(A18="","",SUMIFS(算定表!$N$6:$N$53,算定表!$B$6:$B$53,B18,算定表!$C$6:$C$53,C18,算定表!$E$6:$E$53,D18))</f>
        <v/>
      </c>
      <c r="J18" s="53">
        <f>IF(A18="","",SUMIFS(算定表!$O$6:$O$53,算定表!$B$6:$B$53,B18,算定表!$C$6:$C$53,C18,算定表!$E$6:$E$53,D18))</f>
        <v/>
      </c>
      <c r="K18" s="30">
        <f>IF(A18="","",IF(J18=0,"支給なし",""))</f>
        <v/>
      </c>
      <c r="L18" s="30">
        <f>IF(A18="","",MATCH(A18,算定表!$Q$6:$Q$53,0))</f>
        <v/>
      </c>
    </row>
    <row r="19">
      <c r="A19" s="30">
        <f>IF(ROW()-5&lt;=MAX(算定表!$Q$6:$Q$53),ROW()-5,"")</f>
        <v/>
      </c>
      <c r="B19" s="30">
        <f>IF(A19="","",INDEX(算定表!$B$6:$B$53,L19))</f>
        <v/>
      </c>
      <c r="C19" s="30">
        <f>IF(A19="","",INDEX(算定表!$C$6:$C$53,L19))</f>
        <v/>
      </c>
      <c r="D19" s="30">
        <f>IF(A19="","",INDEX(算定表!$E$6:$E$53,L19))</f>
        <v/>
      </c>
      <c r="E19" s="51">
        <f>IF(A19="","",INDEX(算定表!$F$6:$F$53,L19))</f>
        <v/>
      </c>
      <c r="F19" s="51">
        <f>IF(A19="","",LOOKUP(2,1/((算定表!$B$6:$B$53=B19)*(算定表!$C$6:$C$53=C19)*(算定表!$E$6:$E$53=D19)),算定表!$G$6:$G$53))</f>
        <v/>
      </c>
      <c r="G19" s="33">
        <f>IF(A19="","",SUMIFS(算定表!$I$6:$I$53,算定表!$B$6:$B$53,B19,算定表!$C$6:$C$53,C19,算定表!$E$6:$E$53,D19))</f>
        <v/>
      </c>
      <c r="H19" s="52">
        <f>IF(A19="","",SUMIFS(算定表!$M$6:$M$53,算定表!$B$6:$B$53,B19,算定表!$C$6:$C$53,C19,算定表!$E$6:$E$53,D19))</f>
        <v/>
      </c>
      <c r="I19" s="52">
        <f>IF(A19="","",SUMIFS(算定表!$N$6:$N$53,算定表!$B$6:$B$53,B19,算定表!$C$6:$C$53,C19,算定表!$E$6:$E$53,D19))</f>
        <v/>
      </c>
      <c r="J19" s="53">
        <f>IF(A19="","",SUMIFS(算定表!$O$6:$O$53,算定表!$B$6:$B$53,B19,算定表!$C$6:$C$53,C19,算定表!$E$6:$E$53,D19))</f>
        <v/>
      </c>
      <c r="K19" s="30">
        <f>IF(A19="","",IF(J19=0,"支給なし",""))</f>
        <v/>
      </c>
      <c r="L19" s="30">
        <f>IF(A19="","",MATCH(A19,算定表!$Q$6:$Q$53,0))</f>
        <v/>
      </c>
    </row>
    <row r="20">
      <c r="A20" s="30">
        <f>IF(ROW()-5&lt;=MAX(算定表!$Q$6:$Q$53),ROW()-5,"")</f>
        <v/>
      </c>
      <c r="B20" s="30">
        <f>IF(A20="","",INDEX(算定表!$B$6:$B$53,L20))</f>
        <v/>
      </c>
      <c r="C20" s="30">
        <f>IF(A20="","",INDEX(算定表!$C$6:$C$53,L20))</f>
        <v/>
      </c>
      <c r="D20" s="30">
        <f>IF(A20="","",INDEX(算定表!$E$6:$E$53,L20))</f>
        <v/>
      </c>
      <c r="E20" s="51">
        <f>IF(A20="","",INDEX(算定表!$F$6:$F$53,L20))</f>
        <v/>
      </c>
      <c r="F20" s="51">
        <f>IF(A20="","",LOOKUP(2,1/((算定表!$B$6:$B$53=B20)*(算定表!$C$6:$C$53=C20)*(算定表!$E$6:$E$53=D20)),算定表!$G$6:$G$53))</f>
        <v/>
      </c>
      <c r="G20" s="33">
        <f>IF(A20="","",SUMIFS(算定表!$I$6:$I$53,算定表!$B$6:$B$53,B20,算定表!$C$6:$C$53,C20,算定表!$E$6:$E$53,D20))</f>
        <v/>
      </c>
      <c r="H20" s="52">
        <f>IF(A20="","",SUMIFS(算定表!$M$6:$M$53,算定表!$B$6:$B$53,B20,算定表!$C$6:$C$53,C20,算定表!$E$6:$E$53,D20))</f>
        <v/>
      </c>
      <c r="I20" s="52">
        <f>IF(A20="","",SUMIFS(算定表!$N$6:$N$53,算定表!$B$6:$B$53,B20,算定表!$C$6:$C$53,C20,算定表!$E$6:$E$53,D20))</f>
        <v/>
      </c>
      <c r="J20" s="53">
        <f>IF(A20="","",SUMIFS(算定表!$O$6:$O$53,算定表!$B$6:$B$53,B20,算定表!$C$6:$C$53,C20,算定表!$E$6:$E$53,D20))</f>
        <v/>
      </c>
      <c r="K20" s="30">
        <f>IF(A20="","",IF(J20=0,"支給なし",""))</f>
        <v/>
      </c>
      <c r="L20" s="30">
        <f>IF(A20="","",MATCH(A20,算定表!$Q$6:$Q$53,0))</f>
        <v/>
      </c>
    </row>
    <row r="21">
      <c r="A21" s="30">
        <f>IF(ROW()-5&lt;=MAX(算定表!$Q$6:$Q$53),ROW()-5,"")</f>
        <v/>
      </c>
      <c r="B21" s="30">
        <f>IF(A21="","",INDEX(算定表!$B$6:$B$53,L21))</f>
        <v/>
      </c>
      <c r="C21" s="30">
        <f>IF(A21="","",INDEX(算定表!$C$6:$C$53,L21))</f>
        <v/>
      </c>
      <c r="D21" s="30">
        <f>IF(A21="","",INDEX(算定表!$E$6:$E$53,L21))</f>
        <v/>
      </c>
      <c r="E21" s="51">
        <f>IF(A21="","",INDEX(算定表!$F$6:$F$53,L21))</f>
        <v/>
      </c>
      <c r="F21" s="51">
        <f>IF(A21="","",LOOKUP(2,1/((算定表!$B$6:$B$53=B21)*(算定表!$C$6:$C$53=C21)*(算定表!$E$6:$E$53=D21)),算定表!$G$6:$G$53))</f>
        <v/>
      </c>
      <c r="G21" s="33">
        <f>IF(A21="","",SUMIFS(算定表!$I$6:$I$53,算定表!$B$6:$B$53,B21,算定表!$C$6:$C$53,C21,算定表!$E$6:$E$53,D21))</f>
        <v/>
      </c>
      <c r="H21" s="52">
        <f>IF(A21="","",SUMIFS(算定表!$M$6:$M$53,算定表!$B$6:$B$53,B21,算定表!$C$6:$C$53,C21,算定表!$E$6:$E$53,D21))</f>
        <v/>
      </c>
      <c r="I21" s="52">
        <f>IF(A21="","",SUMIFS(算定表!$N$6:$N$53,算定表!$B$6:$B$53,B21,算定表!$C$6:$C$53,C21,算定表!$E$6:$E$53,D21))</f>
        <v/>
      </c>
      <c r="J21" s="53">
        <f>IF(A21="","",SUMIFS(算定表!$O$6:$O$53,算定表!$B$6:$B$53,B21,算定表!$C$6:$C$53,C21,算定表!$E$6:$E$53,D21))</f>
        <v/>
      </c>
      <c r="K21" s="30">
        <f>IF(A21="","",IF(J21=0,"支給なし",""))</f>
        <v/>
      </c>
      <c r="L21" s="30">
        <f>IF(A21="","",MATCH(A21,算定表!$Q$6:$Q$53,0))</f>
        <v/>
      </c>
    </row>
    <row r="22">
      <c r="A22" s="30">
        <f>IF(ROW()-5&lt;=MAX(算定表!$Q$6:$Q$53),ROW()-5,"")</f>
        <v/>
      </c>
      <c r="B22" s="30">
        <f>IF(A22="","",INDEX(算定表!$B$6:$B$53,L22))</f>
        <v/>
      </c>
      <c r="C22" s="30">
        <f>IF(A22="","",INDEX(算定表!$C$6:$C$53,L22))</f>
        <v/>
      </c>
      <c r="D22" s="30">
        <f>IF(A22="","",INDEX(算定表!$E$6:$E$53,L22))</f>
        <v/>
      </c>
      <c r="E22" s="51">
        <f>IF(A22="","",INDEX(算定表!$F$6:$F$53,L22))</f>
        <v/>
      </c>
      <c r="F22" s="51">
        <f>IF(A22="","",LOOKUP(2,1/((算定表!$B$6:$B$53=B22)*(算定表!$C$6:$C$53=C22)*(算定表!$E$6:$E$53=D22)),算定表!$G$6:$G$53))</f>
        <v/>
      </c>
      <c r="G22" s="33">
        <f>IF(A22="","",SUMIFS(算定表!$I$6:$I$53,算定表!$B$6:$B$53,B22,算定表!$C$6:$C$53,C22,算定表!$E$6:$E$53,D22))</f>
        <v/>
      </c>
      <c r="H22" s="52">
        <f>IF(A22="","",SUMIFS(算定表!$M$6:$M$53,算定表!$B$6:$B$53,B22,算定表!$C$6:$C$53,C22,算定表!$E$6:$E$53,D22))</f>
        <v/>
      </c>
      <c r="I22" s="52">
        <f>IF(A22="","",SUMIFS(算定表!$N$6:$N$53,算定表!$B$6:$B$53,B22,算定表!$C$6:$C$53,C22,算定表!$E$6:$E$53,D22))</f>
        <v/>
      </c>
      <c r="J22" s="53">
        <f>IF(A22="","",SUMIFS(算定表!$O$6:$O$53,算定表!$B$6:$B$53,B22,算定表!$C$6:$C$53,C22,算定表!$E$6:$E$53,D22))</f>
        <v/>
      </c>
      <c r="K22" s="30">
        <f>IF(A22="","",IF(J22=0,"支給なし",""))</f>
        <v/>
      </c>
      <c r="L22" s="30">
        <f>IF(A22="","",MATCH(A22,算定表!$Q$6:$Q$53,0))</f>
        <v/>
      </c>
    </row>
    <row r="23">
      <c r="A23" s="30">
        <f>IF(ROW()-5&lt;=MAX(算定表!$Q$6:$Q$53),ROW()-5,"")</f>
        <v/>
      </c>
      <c r="B23" s="30">
        <f>IF(A23="","",INDEX(算定表!$B$6:$B$53,L23))</f>
        <v/>
      </c>
      <c r="C23" s="30">
        <f>IF(A23="","",INDEX(算定表!$C$6:$C$53,L23))</f>
        <v/>
      </c>
      <c r="D23" s="30">
        <f>IF(A23="","",INDEX(算定表!$E$6:$E$53,L23))</f>
        <v/>
      </c>
      <c r="E23" s="51">
        <f>IF(A23="","",INDEX(算定表!$F$6:$F$53,L23))</f>
        <v/>
      </c>
      <c r="F23" s="51">
        <f>IF(A23="","",LOOKUP(2,1/((算定表!$B$6:$B$53=B23)*(算定表!$C$6:$C$53=C23)*(算定表!$E$6:$E$53=D23)),算定表!$G$6:$G$53))</f>
        <v/>
      </c>
      <c r="G23" s="33">
        <f>IF(A23="","",SUMIFS(算定表!$I$6:$I$53,算定表!$B$6:$B$53,B23,算定表!$C$6:$C$53,C23,算定表!$E$6:$E$53,D23))</f>
        <v/>
      </c>
      <c r="H23" s="52">
        <f>IF(A23="","",SUMIFS(算定表!$M$6:$M$53,算定表!$B$6:$B$53,B23,算定表!$C$6:$C$53,C23,算定表!$E$6:$E$53,D23))</f>
        <v/>
      </c>
      <c r="I23" s="52">
        <f>IF(A23="","",SUMIFS(算定表!$N$6:$N$53,算定表!$B$6:$B$53,B23,算定表!$C$6:$C$53,C23,算定表!$E$6:$E$53,D23))</f>
        <v/>
      </c>
      <c r="J23" s="53">
        <f>IF(A23="","",SUMIFS(算定表!$O$6:$O$53,算定表!$B$6:$B$53,B23,算定表!$C$6:$C$53,C23,算定表!$E$6:$E$53,D23))</f>
        <v/>
      </c>
      <c r="K23" s="30">
        <f>IF(A23="","",IF(J23=0,"支給なし",""))</f>
        <v/>
      </c>
      <c r="L23" s="30">
        <f>IF(A23="","",MATCH(A23,算定表!$Q$6:$Q$53,0))</f>
        <v/>
      </c>
    </row>
    <row r="24">
      <c r="A24" s="30">
        <f>IF(ROW()-5&lt;=MAX(算定表!$Q$6:$Q$53),ROW()-5,"")</f>
        <v/>
      </c>
      <c r="B24" s="30">
        <f>IF(A24="","",INDEX(算定表!$B$6:$B$53,L24))</f>
        <v/>
      </c>
      <c r="C24" s="30">
        <f>IF(A24="","",INDEX(算定表!$C$6:$C$53,L24))</f>
        <v/>
      </c>
      <c r="D24" s="30">
        <f>IF(A24="","",INDEX(算定表!$E$6:$E$53,L24))</f>
        <v/>
      </c>
      <c r="E24" s="51">
        <f>IF(A24="","",INDEX(算定表!$F$6:$F$53,L24))</f>
        <v/>
      </c>
      <c r="F24" s="51">
        <f>IF(A24="","",LOOKUP(2,1/((算定表!$B$6:$B$53=B24)*(算定表!$C$6:$C$53=C24)*(算定表!$E$6:$E$53=D24)),算定表!$G$6:$G$53))</f>
        <v/>
      </c>
      <c r="G24" s="33">
        <f>IF(A24="","",SUMIFS(算定表!$I$6:$I$53,算定表!$B$6:$B$53,B24,算定表!$C$6:$C$53,C24,算定表!$E$6:$E$53,D24))</f>
        <v/>
      </c>
      <c r="H24" s="52">
        <f>IF(A24="","",SUMIFS(算定表!$M$6:$M$53,算定表!$B$6:$B$53,B24,算定表!$C$6:$C$53,C24,算定表!$E$6:$E$53,D24))</f>
        <v/>
      </c>
      <c r="I24" s="52">
        <f>IF(A24="","",SUMIFS(算定表!$N$6:$N$53,算定表!$B$6:$B$53,B24,算定表!$C$6:$C$53,C24,算定表!$E$6:$E$53,D24))</f>
        <v/>
      </c>
      <c r="J24" s="53">
        <f>IF(A24="","",SUMIFS(算定表!$O$6:$O$53,算定表!$B$6:$B$53,B24,算定表!$C$6:$C$53,C24,算定表!$E$6:$E$53,D24))</f>
        <v/>
      </c>
      <c r="K24" s="30">
        <f>IF(A24="","",IF(J24=0,"支給なし",""))</f>
        <v/>
      </c>
      <c r="L24" s="30">
        <f>IF(A24="","",MATCH(A24,算定表!$Q$6:$Q$53,0))</f>
        <v/>
      </c>
    </row>
    <row r="25">
      <c r="A25" s="30">
        <f>IF(ROW()-5&lt;=MAX(算定表!$Q$6:$Q$53),ROW()-5,"")</f>
        <v/>
      </c>
      <c r="B25" s="30">
        <f>IF(A25="","",INDEX(算定表!$B$6:$B$53,L25))</f>
        <v/>
      </c>
      <c r="C25" s="30">
        <f>IF(A25="","",INDEX(算定表!$C$6:$C$53,L25))</f>
        <v/>
      </c>
      <c r="D25" s="30">
        <f>IF(A25="","",INDEX(算定表!$E$6:$E$53,L25))</f>
        <v/>
      </c>
      <c r="E25" s="51">
        <f>IF(A25="","",INDEX(算定表!$F$6:$F$53,L25))</f>
        <v/>
      </c>
      <c r="F25" s="51">
        <f>IF(A25="","",LOOKUP(2,1/((算定表!$B$6:$B$53=B25)*(算定表!$C$6:$C$53=C25)*(算定表!$E$6:$E$53=D25)),算定表!$G$6:$G$53))</f>
        <v/>
      </c>
      <c r="G25" s="33">
        <f>IF(A25="","",SUMIFS(算定表!$I$6:$I$53,算定表!$B$6:$B$53,B25,算定表!$C$6:$C$53,C25,算定表!$E$6:$E$53,D25))</f>
        <v/>
      </c>
      <c r="H25" s="52">
        <f>IF(A25="","",SUMIFS(算定表!$M$6:$M$53,算定表!$B$6:$B$53,B25,算定表!$C$6:$C$53,C25,算定表!$E$6:$E$53,D25))</f>
        <v/>
      </c>
      <c r="I25" s="52">
        <f>IF(A25="","",SUMIFS(算定表!$N$6:$N$53,算定表!$B$6:$B$53,B25,算定表!$C$6:$C$53,C25,算定表!$E$6:$E$53,D25))</f>
        <v/>
      </c>
      <c r="J25" s="53">
        <f>IF(A25="","",SUMIFS(算定表!$O$6:$O$53,算定表!$B$6:$B$53,B25,算定表!$C$6:$C$53,C25,算定表!$E$6:$E$53,D25))</f>
        <v/>
      </c>
      <c r="K25" s="30">
        <f>IF(A25="","",IF(J25=0,"支給なし",""))</f>
        <v/>
      </c>
      <c r="L25" s="30">
        <f>IF(A25="","",MATCH(A25,算定表!$Q$6:$Q$53,0))</f>
        <v/>
      </c>
    </row>
    <row r="26">
      <c r="A26" s="30">
        <f>IF(ROW()-5&lt;=MAX(算定表!$Q$6:$Q$53),ROW()-5,"")</f>
        <v/>
      </c>
      <c r="B26" s="30">
        <f>IF(A26="","",INDEX(算定表!$B$6:$B$53,L26))</f>
        <v/>
      </c>
      <c r="C26" s="30">
        <f>IF(A26="","",INDEX(算定表!$C$6:$C$53,L26))</f>
        <v/>
      </c>
      <c r="D26" s="30">
        <f>IF(A26="","",INDEX(算定表!$E$6:$E$53,L26))</f>
        <v/>
      </c>
      <c r="E26" s="51">
        <f>IF(A26="","",INDEX(算定表!$F$6:$F$53,L26))</f>
        <v/>
      </c>
      <c r="F26" s="51">
        <f>IF(A26="","",LOOKUP(2,1/((算定表!$B$6:$B$53=B26)*(算定表!$C$6:$C$53=C26)*(算定表!$E$6:$E$53=D26)),算定表!$G$6:$G$53))</f>
        <v/>
      </c>
      <c r="G26" s="33">
        <f>IF(A26="","",SUMIFS(算定表!$I$6:$I$53,算定表!$B$6:$B$53,B26,算定表!$C$6:$C$53,C26,算定表!$E$6:$E$53,D26))</f>
        <v/>
      </c>
      <c r="H26" s="52">
        <f>IF(A26="","",SUMIFS(算定表!$M$6:$M$53,算定表!$B$6:$B$53,B26,算定表!$C$6:$C$53,C26,算定表!$E$6:$E$53,D26))</f>
        <v/>
      </c>
      <c r="I26" s="52">
        <f>IF(A26="","",SUMIFS(算定表!$N$6:$N$53,算定表!$B$6:$B$53,B26,算定表!$C$6:$C$53,C26,算定表!$E$6:$E$53,D26))</f>
        <v/>
      </c>
      <c r="J26" s="53">
        <f>IF(A26="","",SUMIFS(算定表!$O$6:$O$53,算定表!$B$6:$B$53,B26,算定表!$C$6:$C$53,C26,算定表!$E$6:$E$53,D26))</f>
        <v/>
      </c>
      <c r="K26" s="30">
        <f>IF(A26="","",IF(J26=0,"支給なし",""))</f>
        <v/>
      </c>
      <c r="L26" s="30">
        <f>IF(A26="","",MATCH(A26,算定表!$Q$6:$Q$53,0))</f>
        <v/>
      </c>
    </row>
    <row r="27">
      <c r="A27" s="30">
        <f>IF(ROW()-5&lt;=MAX(算定表!$Q$6:$Q$53),ROW()-5,"")</f>
        <v/>
      </c>
      <c r="B27" s="30">
        <f>IF(A27="","",INDEX(算定表!$B$6:$B$53,L27))</f>
        <v/>
      </c>
      <c r="C27" s="30">
        <f>IF(A27="","",INDEX(算定表!$C$6:$C$53,L27))</f>
        <v/>
      </c>
      <c r="D27" s="30">
        <f>IF(A27="","",INDEX(算定表!$E$6:$E$53,L27))</f>
        <v/>
      </c>
      <c r="E27" s="51">
        <f>IF(A27="","",INDEX(算定表!$F$6:$F$53,L27))</f>
        <v/>
      </c>
      <c r="F27" s="51">
        <f>IF(A27="","",LOOKUP(2,1/((算定表!$B$6:$B$53=B27)*(算定表!$C$6:$C$53=C27)*(算定表!$E$6:$E$53=D27)),算定表!$G$6:$G$53))</f>
        <v/>
      </c>
      <c r="G27" s="33">
        <f>IF(A27="","",SUMIFS(算定表!$I$6:$I$53,算定表!$B$6:$B$53,B27,算定表!$C$6:$C$53,C27,算定表!$E$6:$E$53,D27))</f>
        <v/>
      </c>
      <c r="H27" s="52">
        <f>IF(A27="","",SUMIFS(算定表!$M$6:$M$53,算定表!$B$6:$B$53,B27,算定表!$C$6:$C$53,C27,算定表!$E$6:$E$53,D27))</f>
        <v/>
      </c>
      <c r="I27" s="52">
        <f>IF(A27="","",SUMIFS(算定表!$N$6:$N$53,算定表!$B$6:$B$53,B27,算定表!$C$6:$C$53,C27,算定表!$E$6:$E$53,D27))</f>
        <v/>
      </c>
      <c r="J27" s="53">
        <f>IF(A27="","",SUMIFS(算定表!$O$6:$O$53,算定表!$B$6:$B$53,B27,算定表!$C$6:$C$53,C27,算定表!$E$6:$E$53,D27))</f>
        <v/>
      </c>
      <c r="K27" s="30">
        <f>IF(A27="","",IF(J27=0,"支給なし",""))</f>
        <v/>
      </c>
      <c r="L27" s="30">
        <f>IF(A27="","",MATCH(A27,算定表!$Q$6:$Q$53,0))</f>
        <v/>
      </c>
    </row>
    <row r="28">
      <c r="A28" s="30">
        <f>IF(ROW()-5&lt;=MAX(算定表!$Q$6:$Q$53),ROW()-5,"")</f>
        <v/>
      </c>
      <c r="B28" s="30">
        <f>IF(A28="","",INDEX(算定表!$B$6:$B$53,L28))</f>
        <v/>
      </c>
      <c r="C28" s="30">
        <f>IF(A28="","",INDEX(算定表!$C$6:$C$53,L28))</f>
        <v/>
      </c>
      <c r="D28" s="30">
        <f>IF(A28="","",INDEX(算定表!$E$6:$E$53,L28))</f>
        <v/>
      </c>
      <c r="E28" s="51">
        <f>IF(A28="","",INDEX(算定表!$F$6:$F$53,L28))</f>
        <v/>
      </c>
      <c r="F28" s="51">
        <f>IF(A28="","",LOOKUP(2,1/((算定表!$B$6:$B$53=B28)*(算定表!$C$6:$C$53=C28)*(算定表!$E$6:$E$53=D28)),算定表!$G$6:$G$53))</f>
        <v/>
      </c>
      <c r="G28" s="33">
        <f>IF(A28="","",SUMIFS(算定表!$I$6:$I$53,算定表!$B$6:$B$53,B28,算定表!$C$6:$C$53,C28,算定表!$E$6:$E$53,D28))</f>
        <v/>
      </c>
      <c r="H28" s="52">
        <f>IF(A28="","",SUMIFS(算定表!$M$6:$M$53,算定表!$B$6:$B$53,B28,算定表!$C$6:$C$53,C28,算定表!$E$6:$E$53,D28))</f>
        <v/>
      </c>
      <c r="I28" s="52">
        <f>IF(A28="","",SUMIFS(算定表!$N$6:$N$53,算定表!$B$6:$B$53,B28,算定表!$C$6:$C$53,C28,算定表!$E$6:$E$53,D28))</f>
        <v/>
      </c>
      <c r="J28" s="53">
        <f>IF(A28="","",SUMIFS(算定表!$O$6:$O$53,算定表!$B$6:$B$53,B28,算定表!$C$6:$C$53,C28,算定表!$E$6:$E$53,D28))</f>
        <v/>
      </c>
      <c r="K28" s="30">
        <f>IF(A28="","",IF(J28=0,"支給なし",""))</f>
        <v/>
      </c>
      <c r="L28" s="30">
        <f>IF(A28="","",MATCH(A28,算定表!$Q$6:$Q$53,0))</f>
        <v/>
      </c>
    </row>
    <row r="29">
      <c r="A29" s="30">
        <f>IF(ROW()-5&lt;=MAX(算定表!$Q$6:$Q$53),ROW()-5,"")</f>
        <v/>
      </c>
      <c r="B29" s="30">
        <f>IF(A29="","",INDEX(算定表!$B$6:$B$53,L29))</f>
        <v/>
      </c>
      <c r="C29" s="30">
        <f>IF(A29="","",INDEX(算定表!$C$6:$C$53,L29))</f>
        <v/>
      </c>
      <c r="D29" s="30">
        <f>IF(A29="","",INDEX(算定表!$E$6:$E$53,L29))</f>
        <v/>
      </c>
      <c r="E29" s="51">
        <f>IF(A29="","",INDEX(算定表!$F$6:$F$53,L29))</f>
        <v/>
      </c>
      <c r="F29" s="51">
        <f>IF(A29="","",LOOKUP(2,1/((算定表!$B$6:$B$53=B29)*(算定表!$C$6:$C$53=C29)*(算定表!$E$6:$E$53=D29)),算定表!$G$6:$G$53))</f>
        <v/>
      </c>
      <c r="G29" s="33">
        <f>IF(A29="","",SUMIFS(算定表!$I$6:$I$53,算定表!$B$6:$B$53,B29,算定表!$C$6:$C$53,C29,算定表!$E$6:$E$53,D29))</f>
        <v/>
      </c>
      <c r="H29" s="52">
        <f>IF(A29="","",SUMIFS(算定表!$M$6:$M$53,算定表!$B$6:$B$53,B29,算定表!$C$6:$C$53,C29,算定表!$E$6:$E$53,D29))</f>
        <v/>
      </c>
      <c r="I29" s="52">
        <f>IF(A29="","",SUMIFS(算定表!$N$6:$N$53,算定表!$B$6:$B$53,B29,算定表!$C$6:$C$53,C29,算定表!$E$6:$E$53,D29))</f>
        <v/>
      </c>
      <c r="J29" s="53">
        <f>IF(A29="","",SUMIFS(算定表!$O$6:$O$53,算定表!$B$6:$B$53,B29,算定表!$C$6:$C$53,C29,算定表!$E$6:$E$53,D29))</f>
        <v/>
      </c>
      <c r="K29" s="30">
        <f>IF(A29="","",IF(J29=0,"支給なし",""))</f>
        <v/>
      </c>
      <c r="L29" s="30">
        <f>IF(A29="","",MATCH(A29,算定表!$Q$6:$Q$53,0))</f>
        <v/>
      </c>
    </row>
    <row r="30">
      <c r="A30" s="30">
        <f>IF(ROW()-5&lt;=MAX(算定表!$Q$6:$Q$53),ROW()-5,"")</f>
        <v/>
      </c>
      <c r="B30" s="30">
        <f>IF(A30="","",INDEX(算定表!$B$6:$B$53,L30))</f>
        <v/>
      </c>
      <c r="C30" s="30">
        <f>IF(A30="","",INDEX(算定表!$C$6:$C$53,L30))</f>
        <v/>
      </c>
      <c r="D30" s="30">
        <f>IF(A30="","",INDEX(算定表!$E$6:$E$53,L30))</f>
        <v/>
      </c>
      <c r="E30" s="51">
        <f>IF(A30="","",INDEX(算定表!$F$6:$F$53,L30))</f>
        <v/>
      </c>
      <c r="F30" s="51">
        <f>IF(A30="","",LOOKUP(2,1/((算定表!$B$6:$B$53=B30)*(算定表!$C$6:$C$53=C30)*(算定表!$E$6:$E$53=D30)),算定表!$G$6:$G$53))</f>
        <v/>
      </c>
      <c r="G30" s="33">
        <f>IF(A30="","",SUMIFS(算定表!$I$6:$I$53,算定表!$B$6:$B$53,B30,算定表!$C$6:$C$53,C30,算定表!$E$6:$E$53,D30))</f>
        <v/>
      </c>
      <c r="H30" s="52">
        <f>IF(A30="","",SUMIFS(算定表!$M$6:$M$53,算定表!$B$6:$B$53,B30,算定表!$C$6:$C$53,C30,算定表!$E$6:$E$53,D30))</f>
        <v/>
      </c>
      <c r="I30" s="52">
        <f>IF(A30="","",SUMIFS(算定表!$N$6:$N$53,算定表!$B$6:$B$53,B30,算定表!$C$6:$C$53,C30,算定表!$E$6:$E$53,D30))</f>
        <v/>
      </c>
      <c r="J30" s="53">
        <f>IF(A30="","",SUMIFS(算定表!$O$6:$O$53,算定表!$B$6:$B$53,B30,算定表!$C$6:$C$53,C30,算定表!$E$6:$E$53,D30))</f>
        <v/>
      </c>
      <c r="K30" s="30">
        <f>IF(A30="","",IF(J30=0,"支給なし",""))</f>
        <v/>
      </c>
      <c r="L30" s="30">
        <f>IF(A30="","",MATCH(A30,算定表!$Q$6:$Q$53,0))</f>
        <v/>
      </c>
    </row>
    <row r="31">
      <c r="A31" s="30">
        <f>IF(ROW()-5&lt;=MAX(算定表!$Q$6:$Q$53),ROW()-5,"")</f>
        <v/>
      </c>
      <c r="B31" s="30">
        <f>IF(A31="","",INDEX(算定表!$B$6:$B$53,L31))</f>
        <v/>
      </c>
      <c r="C31" s="30">
        <f>IF(A31="","",INDEX(算定表!$C$6:$C$53,L31))</f>
        <v/>
      </c>
      <c r="D31" s="30">
        <f>IF(A31="","",INDEX(算定表!$E$6:$E$53,L31))</f>
        <v/>
      </c>
      <c r="E31" s="51">
        <f>IF(A31="","",INDEX(算定表!$F$6:$F$53,L31))</f>
        <v/>
      </c>
      <c r="F31" s="51">
        <f>IF(A31="","",LOOKUP(2,1/((算定表!$B$6:$B$53=B31)*(算定表!$C$6:$C$53=C31)*(算定表!$E$6:$E$53=D31)),算定表!$G$6:$G$53))</f>
        <v/>
      </c>
      <c r="G31" s="33">
        <f>IF(A31="","",SUMIFS(算定表!$I$6:$I$53,算定表!$B$6:$B$53,B31,算定表!$C$6:$C$53,C31,算定表!$E$6:$E$53,D31))</f>
        <v/>
      </c>
      <c r="H31" s="52">
        <f>IF(A31="","",SUMIFS(算定表!$M$6:$M$53,算定表!$B$6:$B$53,B31,算定表!$C$6:$C$53,C31,算定表!$E$6:$E$53,D31))</f>
        <v/>
      </c>
      <c r="I31" s="52">
        <f>IF(A31="","",SUMIFS(算定表!$N$6:$N$53,算定表!$B$6:$B$53,B31,算定表!$C$6:$C$53,C31,算定表!$E$6:$E$53,D31))</f>
        <v/>
      </c>
      <c r="J31" s="53">
        <f>IF(A31="","",SUMIFS(算定表!$O$6:$O$53,算定表!$B$6:$B$53,B31,算定表!$C$6:$C$53,C31,算定表!$E$6:$E$53,D31))</f>
        <v/>
      </c>
      <c r="K31" s="30">
        <f>IF(A31="","",IF(J31=0,"支給なし",""))</f>
        <v/>
      </c>
      <c r="L31" s="30">
        <f>IF(A31="","",MATCH(A31,算定表!$Q$6:$Q$53,0))</f>
        <v/>
      </c>
    </row>
    <row r="32">
      <c r="A32" s="30">
        <f>IF(ROW()-5&lt;=MAX(算定表!$Q$6:$Q$53),ROW()-5,"")</f>
        <v/>
      </c>
      <c r="B32" s="30">
        <f>IF(A32="","",INDEX(算定表!$B$6:$B$53,L32))</f>
        <v/>
      </c>
      <c r="C32" s="30">
        <f>IF(A32="","",INDEX(算定表!$C$6:$C$53,L32))</f>
        <v/>
      </c>
      <c r="D32" s="30">
        <f>IF(A32="","",INDEX(算定表!$E$6:$E$53,L32))</f>
        <v/>
      </c>
      <c r="E32" s="51">
        <f>IF(A32="","",INDEX(算定表!$F$6:$F$53,L32))</f>
        <v/>
      </c>
      <c r="F32" s="51">
        <f>IF(A32="","",LOOKUP(2,1/((算定表!$B$6:$B$53=B32)*(算定表!$C$6:$C$53=C32)*(算定表!$E$6:$E$53=D32)),算定表!$G$6:$G$53))</f>
        <v/>
      </c>
      <c r="G32" s="33">
        <f>IF(A32="","",SUMIFS(算定表!$I$6:$I$53,算定表!$B$6:$B$53,B32,算定表!$C$6:$C$53,C32,算定表!$E$6:$E$53,D32))</f>
        <v/>
      </c>
      <c r="H32" s="52">
        <f>IF(A32="","",SUMIFS(算定表!$M$6:$M$53,算定表!$B$6:$B$53,B32,算定表!$C$6:$C$53,C32,算定表!$E$6:$E$53,D32))</f>
        <v/>
      </c>
      <c r="I32" s="52">
        <f>IF(A32="","",SUMIFS(算定表!$N$6:$N$53,算定表!$B$6:$B$53,B32,算定表!$C$6:$C$53,C32,算定表!$E$6:$E$53,D32))</f>
        <v/>
      </c>
      <c r="J32" s="53">
        <f>IF(A32="","",SUMIFS(算定表!$O$6:$O$53,算定表!$B$6:$B$53,B32,算定表!$C$6:$C$53,C32,算定表!$E$6:$E$53,D32))</f>
        <v/>
      </c>
      <c r="K32" s="30">
        <f>IF(A32="","",IF(J32=0,"支給なし",""))</f>
        <v/>
      </c>
      <c r="L32" s="30">
        <f>IF(A32="","",MATCH(A32,算定表!$Q$6:$Q$53,0))</f>
        <v/>
      </c>
    </row>
    <row r="33">
      <c r="A33" s="30">
        <f>IF(ROW()-5&lt;=MAX(算定表!$Q$6:$Q$53),ROW()-5,"")</f>
        <v/>
      </c>
      <c r="B33" s="30">
        <f>IF(A33="","",INDEX(算定表!$B$6:$B$53,L33))</f>
        <v/>
      </c>
      <c r="C33" s="30">
        <f>IF(A33="","",INDEX(算定表!$C$6:$C$53,L33))</f>
        <v/>
      </c>
      <c r="D33" s="30">
        <f>IF(A33="","",INDEX(算定表!$E$6:$E$53,L33))</f>
        <v/>
      </c>
      <c r="E33" s="51">
        <f>IF(A33="","",INDEX(算定表!$F$6:$F$53,L33))</f>
        <v/>
      </c>
      <c r="F33" s="51">
        <f>IF(A33="","",LOOKUP(2,1/((算定表!$B$6:$B$53=B33)*(算定表!$C$6:$C$53=C33)*(算定表!$E$6:$E$53=D33)),算定表!$G$6:$G$53))</f>
        <v/>
      </c>
      <c r="G33" s="33">
        <f>IF(A33="","",SUMIFS(算定表!$I$6:$I$53,算定表!$B$6:$B$53,B33,算定表!$C$6:$C$53,C33,算定表!$E$6:$E$53,D33))</f>
        <v/>
      </c>
      <c r="H33" s="52">
        <f>IF(A33="","",SUMIFS(算定表!$M$6:$M$53,算定表!$B$6:$B$53,B33,算定表!$C$6:$C$53,C33,算定表!$E$6:$E$53,D33))</f>
        <v/>
      </c>
      <c r="I33" s="52">
        <f>IF(A33="","",SUMIFS(算定表!$N$6:$N$53,算定表!$B$6:$B$53,B33,算定表!$C$6:$C$53,C33,算定表!$E$6:$E$53,D33))</f>
        <v/>
      </c>
      <c r="J33" s="53">
        <f>IF(A33="","",SUMIFS(算定表!$O$6:$O$53,算定表!$B$6:$B$53,B33,算定表!$C$6:$C$53,C33,算定表!$E$6:$E$53,D33))</f>
        <v/>
      </c>
      <c r="K33" s="30">
        <f>IF(A33="","",IF(J33=0,"支給なし",""))</f>
        <v/>
      </c>
      <c r="L33" s="30">
        <f>IF(A33="","",MATCH(A33,算定表!$Q$6:$Q$53,0))</f>
        <v/>
      </c>
    </row>
    <row r="34">
      <c r="A34" s="30">
        <f>IF(ROW()-5&lt;=MAX(算定表!$Q$6:$Q$53),ROW()-5,"")</f>
        <v/>
      </c>
      <c r="B34" s="30">
        <f>IF(A34="","",INDEX(算定表!$B$6:$B$53,L34))</f>
        <v/>
      </c>
      <c r="C34" s="30">
        <f>IF(A34="","",INDEX(算定表!$C$6:$C$53,L34))</f>
        <v/>
      </c>
      <c r="D34" s="30">
        <f>IF(A34="","",INDEX(算定表!$E$6:$E$53,L34))</f>
        <v/>
      </c>
      <c r="E34" s="51">
        <f>IF(A34="","",INDEX(算定表!$F$6:$F$53,L34))</f>
        <v/>
      </c>
      <c r="F34" s="51">
        <f>IF(A34="","",LOOKUP(2,1/((算定表!$B$6:$B$53=B34)*(算定表!$C$6:$C$53=C34)*(算定表!$E$6:$E$53=D34)),算定表!$G$6:$G$53))</f>
        <v/>
      </c>
      <c r="G34" s="33">
        <f>IF(A34="","",SUMIFS(算定表!$I$6:$I$53,算定表!$B$6:$B$53,B34,算定表!$C$6:$C$53,C34,算定表!$E$6:$E$53,D34))</f>
        <v/>
      </c>
      <c r="H34" s="52">
        <f>IF(A34="","",SUMIFS(算定表!$M$6:$M$53,算定表!$B$6:$B$53,B34,算定表!$C$6:$C$53,C34,算定表!$E$6:$E$53,D34))</f>
        <v/>
      </c>
      <c r="I34" s="52">
        <f>IF(A34="","",SUMIFS(算定表!$N$6:$N$53,算定表!$B$6:$B$53,B34,算定表!$C$6:$C$53,C34,算定表!$E$6:$E$53,D34))</f>
        <v/>
      </c>
      <c r="J34" s="53">
        <f>IF(A34="","",SUMIFS(算定表!$O$6:$O$53,算定表!$B$6:$B$53,B34,算定表!$C$6:$C$53,C34,算定表!$E$6:$E$53,D34))</f>
        <v/>
      </c>
      <c r="K34" s="30">
        <f>IF(A34="","",IF(J34=0,"支給なし",""))</f>
        <v/>
      </c>
      <c r="L34" s="30">
        <f>IF(A34="","",MATCH(A34,算定表!$Q$6:$Q$53,0))</f>
        <v/>
      </c>
    </row>
    <row r="35">
      <c r="A35" s="30">
        <f>IF(ROW()-5&lt;=MAX(算定表!$Q$6:$Q$53),ROW()-5,"")</f>
        <v/>
      </c>
      <c r="B35" s="30">
        <f>IF(A35="","",INDEX(算定表!$B$6:$B$53,L35))</f>
        <v/>
      </c>
      <c r="C35" s="30">
        <f>IF(A35="","",INDEX(算定表!$C$6:$C$53,L35))</f>
        <v/>
      </c>
      <c r="D35" s="30">
        <f>IF(A35="","",INDEX(算定表!$E$6:$E$53,L35))</f>
        <v/>
      </c>
      <c r="E35" s="51">
        <f>IF(A35="","",INDEX(算定表!$F$6:$F$53,L35))</f>
        <v/>
      </c>
      <c r="F35" s="51">
        <f>IF(A35="","",LOOKUP(2,1/((算定表!$B$6:$B$53=B35)*(算定表!$C$6:$C$53=C35)*(算定表!$E$6:$E$53=D35)),算定表!$G$6:$G$53))</f>
        <v/>
      </c>
      <c r="G35" s="33">
        <f>IF(A35="","",SUMIFS(算定表!$I$6:$I$53,算定表!$B$6:$B$53,B35,算定表!$C$6:$C$53,C35,算定表!$E$6:$E$53,D35))</f>
        <v/>
      </c>
      <c r="H35" s="52">
        <f>IF(A35="","",SUMIFS(算定表!$M$6:$M$53,算定表!$B$6:$B$53,B35,算定表!$C$6:$C$53,C35,算定表!$E$6:$E$53,D35))</f>
        <v/>
      </c>
      <c r="I35" s="52">
        <f>IF(A35="","",SUMIFS(算定表!$N$6:$N$53,算定表!$B$6:$B$53,B35,算定表!$C$6:$C$53,C35,算定表!$E$6:$E$53,D35))</f>
        <v/>
      </c>
      <c r="J35" s="53">
        <f>IF(A35="","",SUMIFS(算定表!$O$6:$O$53,算定表!$B$6:$B$53,B35,算定表!$C$6:$C$53,C35,算定表!$E$6:$E$53,D35))</f>
        <v/>
      </c>
      <c r="K35" s="30">
        <f>IF(A35="","",IF(J35=0,"支給なし",""))</f>
        <v/>
      </c>
      <c r="L35" s="30">
        <f>IF(A35="","",MATCH(A35,算定表!$Q$6:$Q$53,0))</f>
        <v/>
      </c>
    </row>
    <row r="37">
      <c r="A37" s="2" t="inlineStr">
        <is>
          <t>法定給付 計</t>
        </is>
      </c>
      <c r="B37" s="2" t="n"/>
      <c r="C37" s="2" t="n"/>
      <c r="D37" s="2" t="n"/>
      <c r="E37" s="2" t="n"/>
      <c r="F37" s="2" t="n"/>
      <c r="G37" s="54">
        <f>SUMIFS(G6:G35,$D$6:$D$35,"法定")</f>
        <v/>
      </c>
      <c r="H37" s="54">
        <f>SUMIFS(H6:H35,$D$6:$D$35,"法定")</f>
        <v/>
      </c>
      <c r="I37" s="54">
        <f>SUMIFS(I6:I35,$D$6:$D$35,"法定")</f>
        <v/>
      </c>
      <c r="J37" s="54">
        <f>SUMIFS(J6:J35,$D$6:$D$35,"法定")</f>
        <v/>
      </c>
      <c r="K37" s="54" t="n"/>
    </row>
    <row r="38">
      <c r="A38" s="2" t="inlineStr">
        <is>
          <t>附加給付 計</t>
        </is>
      </c>
      <c r="B38" s="2" t="n"/>
      <c r="C38" s="2" t="n"/>
      <c r="D38" s="2" t="n"/>
      <c r="E38" s="2" t="n"/>
      <c r="F38" s="2" t="n"/>
      <c r="G38" s="54">
        <f>SUMIFS(G6:G35,$D$6:$D$35,"附加")</f>
        <v/>
      </c>
      <c r="H38" s="54">
        <f>SUMIFS(H6:H35,$D$6:$D$35,"附加")</f>
        <v/>
      </c>
      <c r="I38" s="54">
        <f>SUMIFS(I6:I35,$D$6:$D$35,"附加")</f>
        <v/>
      </c>
      <c r="J38" s="54">
        <f>SUMIFS(J6:J35,$D$6:$D$35,"附加")</f>
        <v/>
      </c>
      <c r="K38" s="54" t="n"/>
    </row>
    <row r="39">
      <c r="A39" s="1" t="inlineStr">
        <is>
          <t>合　計</t>
        </is>
      </c>
      <c r="B39" s="1" t="n"/>
      <c r="C39" s="1" t="n"/>
      <c r="D39" s="1" t="n"/>
      <c r="E39" s="1" t="n"/>
      <c r="F39" s="1" t="n"/>
      <c r="G39" s="55">
        <f>SUM(G37:G38)</f>
        <v/>
      </c>
      <c r="H39" s="55">
        <f>SUM(H37:H38)</f>
        <v/>
      </c>
      <c r="I39" s="55">
        <f>SUM(I37:I38)</f>
        <v/>
      </c>
      <c r="J39" s="55">
        <f>SUM(J37:J38)</f>
        <v/>
      </c>
      <c r="K39" s="55" t="n"/>
    </row>
    <row r="41">
      <c r="A41" s="12" t="inlineStr">
        <is>
          <t>■ 検算（算定表の合計との差。0なら整合）</t>
        </is>
      </c>
    </row>
    <row r="42">
      <c r="A42" s="14" t="inlineStr">
        <is>
          <t>差引支給額：月別集計 − 算定表</t>
        </is>
      </c>
      <c r="J42" s="56">
        <f>J39-算定表!O57</f>
        <v/>
      </c>
    </row>
    <row r="43">
      <c r="A43" s="14" t="inlineStr">
        <is>
          <t>支給日数：月別集計 − 算定表</t>
        </is>
      </c>
      <c r="G43" s="56">
        <f>G39-算定表!I57</f>
        <v/>
      </c>
    </row>
    <row r="45">
      <c r="A45" s="40" t="inlineStr">
        <is>
          <t>・基幹の「調整額」欄は、障害年金等との調整がある場合のみマイナスで追加入力します（本表の調整額は報酬との調整額）。</t>
        </is>
      </c>
    </row>
  </sheetData>
  <mergeCells count="3">
    <mergeCell ref="A38:F38"/>
    <mergeCell ref="A39:F39"/>
    <mergeCell ref="A37:F37"/>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Q70"/>
  <sheetViews>
    <sheetView showGridLines="0" zoomScaleNormal="100" workbookViewId="0">
      <pane ySplit="5" topLeftCell="A6" activePane="bottomLeft" state="frozen"/>
      <selection pane="bottomLeft" activeCell="H23" sqref="H23"/>
    </sheetView>
  </sheetViews>
  <sheetFormatPr baseColWidth="8" defaultColWidth="8.6640625" defaultRowHeight="14.4"/>
  <cols>
    <col width="6" customWidth="1" style="39" min="1" max="1"/>
    <col width="7" customWidth="1" style="39" min="2" max="2"/>
    <col width="5" customWidth="1" style="39" min="3" max="3"/>
    <col width="7" customWidth="1" style="39" min="4" max="5"/>
    <col width="11" customWidth="1" style="39" min="6" max="7"/>
    <col width="9" customWidth="1" style="39" min="8" max="9"/>
    <col width="11" customWidth="1" style="39" min="10" max="10"/>
    <col width="10" customWidth="1" style="39" min="11" max="11"/>
    <col width="8" customWidth="1" style="39" min="12" max="12"/>
    <col width="13" customWidth="1" style="39" min="13" max="15"/>
    <col hidden="1" width="13" customWidth="1" style="39" min="17" max="17"/>
  </cols>
  <sheetData>
    <row r="1" ht="17.4" customHeight="1" s="39">
      <c r="A1" s="10">
        <f>"（"&amp;入力!C4&amp;"）　"&amp;入力!C5</f>
        <v/>
      </c>
    </row>
    <row r="2">
      <c r="A2" s="14">
        <f>"病気休暇：" &amp; TEXT(入力!C6,"yyyy/m/d") &amp; "～　　傷病手当（法定）：" &amp; TEXT(入力!J5,"yyyy/m/d") &amp; "～" &amp; TEXT(入力!J6,"yyyy/m/d")&amp; IF(入力!J9&gt;入力!J6,"　　附加給付：" &amp; TEXT(入力!J7,"yyyy/m/d") &amp; "～" &amp; TEXT(入力!J9,"yyyy/m/d"),"　　附加給付：なし")</f>
        <v/>
      </c>
    </row>
    <row r="3">
      <c r="A3" s="11" t="inlineStr">
        <is>
          <t xml:space="preserve">　標準支給額（報酬がないとした場合の額）から、報酬との調整額を差し引いた「差引支給額」を月別・給付区分別に自動計算します。</t>
        </is>
      </c>
    </row>
    <row r="5" ht="42" customHeight="1" s="39">
      <c r="A5" s="18" t="inlineStr">
        <is>
          <t>番号</t>
        </is>
      </c>
      <c r="B5" s="18" t="inlineStr">
        <is>
          <t>年</t>
        </is>
      </c>
      <c r="C5" s="18" t="inlineStr">
        <is>
          <t>月</t>
        </is>
      </c>
      <c r="D5" s="18" t="inlineStr">
        <is>
          <t>給与
区分</t>
        </is>
      </c>
      <c r="E5" s="18" t="inlineStr">
        <is>
          <t>給付
区分</t>
        </is>
      </c>
      <c r="F5" s="18" t="inlineStr">
        <is>
          <t>支給期間
（始）</t>
        </is>
      </c>
      <c r="G5" s="18" t="inlineStr">
        <is>
          <t>支給期間
（終）</t>
        </is>
      </c>
      <c r="H5" s="18" t="inlineStr">
        <is>
          <t>勤務を
要する日</t>
        </is>
      </c>
      <c r="I5" s="18" t="inlineStr">
        <is>
          <t>支給日数
（A）</t>
        </is>
      </c>
      <c r="J5" s="18" t="inlineStr">
        <is>
          <t>傷病手当
日額（B）</t>
        </is>
      </c>
      <c r="K5" s="18" t="inlineStr">
        <is>
          <t>報酬日額
（C）</t>
        </is>
      </c>
      <c r="L5" s="18" t="inlineStr">
        <is>
          <t>支給
可否</t>
        </is>
      </c>
      <c r="M5" s="18" t="inlineStr">
        <is>
          <t>標準支給額
（F=B×A）</t>
        </is>
      </c>
      <c r="N5" s="18" t="inlineStr">
        <is>
          <t>調整額
（G）</t>
        </is>
      </c>
      <c r="O5" s="18" t="inlineStr">
        <is>
          <t>差引支給額
（E=F−G）</t>
        </is>
      </c>
      <c r="Q5" s="18" t="inlineStr">
        <is>
          <t>集計用</t>
        </is>
      </c>
    </row>
    <row r="6">
      <c r="A6" s="30">
        <f>IF(F6="","",1)</f>
        <v/>
      </c>
      <c r="B6" s="30">
        <f>IF(F6="","",YEAR(F6))</f>
        <v/>
      </c>
      <c r="C6" s="30">
        <f>IF(F6="","",MONTH(F6))</f>
        <v/>
      </c>
      <c r="D6" s="30">
        <f>IF(F6="","",INDEX(入力!$A$13:$A$20,MATCH(F6,入力!$B$13:$B$20,1)))</f>
        <v/>
      </c>
      <c r="E6" s="30">
        <f>IF(F6="","",IF(G6&lt;=入力!$J$6,"法定","附加"))</f>
        <v/>
      </c>
      <c r="F6" s="31">
        <f>入力!$J$5</f>
        <v/>
      </c>
      <c r="G6" s="31">
        <f>IF(F6="","",MIN(EOMONTH(F6,0),入力!$J$9,IF(AND(入力!$B$13&lt;&gt;"",入力!$B$13&gt;F6),入力!$B$13-1,999999),IF(AND(入力!$B$14&lt;&gt;"",入力!$B$14&gt;F6),入力!$B$14-1,999999),IF(AND(入力!$B$15&lt;&gt;"",入力!$B$15&gt;F6),入力!$B$15-1,999999),IF(AND(入力!$B$16&lt;&gt;"",入力!$B$16&gt;F6),入力!$B$16-1,999999),IF(AND(入力!$B$17&lt;&gt;"",入力!$B$17&gt;F6),入力!$B$17-1,999999),IF(AND(入力!$B$18&lt;&gt;"",入力!$B$18&gt;F6),入力!$B$18-1,999999),IF(AND(入力!$B$19&lt;&gt;"",入力!$B$19&gt;F6),入力!$B$19-1,999999),IF(AND(入力!$B$20&lt;&gt;"",入力!$B$20&gt;F6),入力!$B$20-1,999999),IF(AND(入力!$J$7&lt;&gt;"",入力!$J$7&gt;F6),入力!$J$7-1,999999)))</f>
        <v/>
      </c>
      <c r="H6" s="52">
        <f>IF(F6="","",IFERROR(VLOOKUP(DATE(B6,C6,1),カレンダーマスタ!$A$2:$B$97,2,0),NETWORKDAYS(DATE(B6,C6,1),EOMONTH(F6,0))))</f>
        <v/>
      </c>
      <c r="I6" s="33">
        <f>IF(F6="","",NETWORKDAYS(F6,G6))</f>
        <v/>
      </c>
      <c r="J6" s="52">
        <f>IF(F6="","",IF(入力!$C$8&lt;&gt;"",入力!$C$8,INDEX(入力!$G$37:$G$78,MATCH(DATE(B6,C6,1),入力!$A$37:$A$78,0))))</f>
        <v/>
      </c>
      <c r="K6" s="52">
        <f>IF(F6="","",ROUNDDOWN(INDEX(入力!$H$13:$H$20,MATCH(F6,入力!$B$13:$B$20,1))/H6+INDEX(入力!$I$13:$I$20,MATCH(F6,入力!$B$13:$B$20,1))/22,0))</f>
        <v/>
      </c>
      <c r="L6" s="34">
        <f>IF(F6="","",IF(J6&gt;K6,"〇","×"))</f>
        <v/>
      </c>
      <c r="M6" s="52">
        <f>IF(F6="","",J6*I6)</f>
        <v/>
      </c>
      <c r="N6" s="52">
        <f>IF(F6="","",MIN(J6,K6)*I6)</f>
        <v/>
      </c>
      <c r="O6" s="53">
        <f>IF(F6="","",M6-N6)</f>
        <v/>
      </c>
      <c r="Q6">
        <f>IF(F6="","",IF(COUNTIFS($B$6:B6,B6,$C$6:C6,C6,$E$6:E6,E6)=1,MAX($Q$5:Q5)+1,""))</f>
        <v/>
      </c>
    </row>
    <row r="7">
      <c r="A7" s="30">
        <f>IF(F7="","",2)</f>
        <v/>
      </c>
      <c r="B7" s="30">
        <f>IF(F7="","",YEAR(F7))</f>
        <v/>
      </c>
      <c r="C7" s="30">
        <f>IF(F7="","",MONTH(F7))</f>
        <v/>
      </c>
      <c r="D7" s="30">
        <f>IF(F7="","",INDEX(入力!$A$13:$A$20,MATCH(F7,入力!$B$13:$B$20,1)))</f>
        <v/>
      </c>
      <c r="E7" s="30">
        <f>IF(F7="","",IF(G7&lt;=入力!$J$6,"法定","附加"))</f>
        <v/>
      </c>
      <c r="F7" s="31">
        <f>IF(G6="","",IF(G6&gt;=入力!$J$9,"",G6+1))</f>
        <v/>
      </c>
      <c r="G7" s="31">
        <f>IF(F7="","",MIN(EOMONTH(F7,0),入力!$J$9,IF(AND(入力!$B$13&lt;&gt;"",入力!$B$13&gt;F7),入力!$B$13-1,999999),IF(AND(入力!$B$14&lt;&gt;"",入力!$B$14&gt;F7),入力!$B$14-1,999999),IF(AND(入力!$B$15&lt;&gt;"",入力!$B$15&gt;F7),入力!$B$15-1,999999),IF(AND(入力!$B$16&lt;&gt;"",入力!$B$16&gt;F7),入力!$B$16-1,999999),IF(AND(入力!$B$17&lt;&gt;"",入力!$B$17&gt;F7),入力!$B$17-1,999999),IF(AND(入力!$B$18&lt;&gt;"",入力!$B$18&gt;F7),入力!$B$18-1,999999),IF(AND(入力!$B$19&lt;&gt;"",入力!$B$19&gt;F7),入力!$B$19-1,999999),IF(AND(入力!$B$20&lt;&gt;"",入力!$B$20&gt;F7),入力!$B$20-1,999999),IF(AND(入力!$J$7&lt;&gt;"",入力!$J$7&gt;F7),入力!$J$7-1,999999)))</f>
        <v/>
      </c>
      <c r="H7" s="52">
        <f>IF(F7="","",IFERROR(VLOOKUP(DATE(B7,C7,1),カレンダーマスタ!$A$2:$B$97,2,0),NETWORKDAYS(DATE(B7,C7,1),EOMONTH(F7,0))))</f>
        <v/>
      </c>
      <c r="I7" s="33">
        <f>IF(F7="","",NETWORKDAYS(F7,G7))</f>
        <v/>
      </c>
      <c r="J7" s="52">
        <f>IF(F7="","",IF(入力!$C$8&lt;&gt;"",入力!$C$8,INDEX(入力!$G$37:$G$78,MATCH(DATE(B7,C7,1),入力!$A$37:$A$78,0))))</f>
        <v/>
      </c>
      <c r="K7" s="52">
        <f>IF(F7="","",ROUNDDOWN(INDEX(入力!$H$13:$H$20,MATCH(F7,入力!$B$13:$B$20,1))/H7+INDEX(入力!$I$13:$I$20,MATCH(F7,入力!$B$13:$B$20,1))/22,0))</f>
        <v/>
      </c>
      <c r="L7" s="34">
        <f>IF(F7="","",IF(J7&gt;K7,"〇","×"))</f>
        <v/>
      </c>
      <c r="M7" s="52">
        <f>IF(F7="","",J7*I7)</f>
        <v/>
      </c>
      <c r="N7" s="52">
        <f>IF(F7="","",MIN(J7,K7)*I7)</f>
        <v/>
      </c>
      <c r="O7" s="53">
        <f>IF(F7="","",M7-N7)</f>
        <v/>
      </c>
      <c r="Q7">
        <f>IF(F7="","",IF(COUNTIFS($B$6:B7,B7,$C$6:C7,C7,$E$6:E7,E7)=1,MAX($Q$5:Q6)+1,""))</f>
        <v/>
      </c>
    </row>
    <row r="8">
      <c r="A8" s="30">
        <f>IF(F8="","",3)</f>
        <v/>
      </c>
      <c r="B8" s="30">
        <f>IF(F8="","",YEAR(F8))</f>
        <v/>
      </c>
      <c r="C8" s="30">
        <f>IF(F8="","",MONTH(F8))</f>
        <v/>
      </c>
      <c r="D8" s="30">
        <f>IF(F8="","",INDEX(入力!$A$13:$A$20,MATCH(F8,入力!$B$13:$B$20,1)))</f>
        <v/>
      </c>
      <c r="E8" s="30">
        <f>IF(F8="","",IF(G8&lt;=入力!$J$6,"法定","附加"))</f>
        <v/>
      </c>
      <c r="F8" s="31">
        <f>IF(G7="","",IF(G7&gt;=入力!$J$9,"",G7+1))</f>
        <v/>
      </c>
      <c r="G8" s="31">
        <f>IF(F8="","",MIN(EOMONTH(F8,0),入力!$J$9,IF(AND(入力!$B$13&lt;&gt;"",入力!$B$13&gt;F8),入力!$B$13-1,999999),IF(AND(入力!$B$14&lt;&gt;"",入力!$B$14&gt;F8),入力!$B$14-1,999999),IF(AND(入力!$B$15&lt;&gt;"",入力!$B$15&gt;F8),入力!$B$15-1,999999),IF(AND(入力!$B$16&lt;&gt;"",入力!$B$16&gt;F8),入力!$B$16-1,999999),IF(AND(入力!$B$17&lt;&gt;"",入力!$B$17&gt;F8),入力!$B$17-1,999999),IF(AND(入力!$B$18&lt;&gt;"",入力!$B$18&gt;F8),入力!$B$18-1,999999),IF(AND(入力!$B$19&lt;&gt;"",入力!$B$19&gt;F8),入力!$B$19-1,999999),IF(AND(入力!$B$20&lt;&gt;"",入力!$B$20&gt;F8),入力!$B$20-1,999999),IF(AND(入力!$J$7&lt;&gt;"",入力!$J$7&gt;F8),入力!$J$7-1,999999)))</f>
        <v/>
      </c>
      <c r="H8" s="52">
        <f>IF(F8="","",IFERROR(VLOOKUP(DATE(B8,C8,1),カレンダーマスタ!$A$2:$B$97,2,0),NETWORKDAYS(DATE(B8,C8,1),EOMONTH(F8,0))))</f>
        <v/>
      </c>
      <c r="I8" s="33">
        <f>IF(F8="","",NETWORKDAYS(F8,G8))</f>
        <v/>
      </c>
      <c r="J8" s="52">
        <f>IF(F8="","",IF(入力!$C$8&lt;&gt;"",入力!$C$8,INDEX(入力!$G$37:$G$78,MATCH(DATE(B8,C8,1),入力!$A$37:$A$78,0))))</f>
        <v/>
      </c>
      <c r="K8" s="52">
        <f>IF(F8="","",ROUNDDOWN(INDEX(入力!$H$13:$H$20,MATCH(F8,入力!$B$13:$B$20,1))/H8+INDEX(入力!$I$13:$I$20,MATCH(F8,入力!$B$13:$B$20,1))/22,0))</f>
        <v/>
      </c>
      <c r="L8" s="34">
        <f>IF(F8="","",IF(J8&gt;K8,"〇","×"))</f>
        <v/>
      </c>
      <c r="M8" s="52">
        <f>IF(F8="","",J8*I8)</f>
        <v/>
      </c>
      <c r="N8" s="52">
        <f>IF(F8="","",MIN(J8,K8)*I8)</f>
        <v/>
      </c>
      <c r="O8" s="53">
        <f>IF(F8="","",M8-N8)</f>
        <v/>
      </c>
      <c r="Q8">
        <f>IF(F8="","",IF(COUNTIFS($B$6:B8,B8,$C$6:C8,C8,$E$6:E8,E8)=1,MAX($Q$5:Q7)+1,""))</f>
        <v/>
      </c>
    </row>
    <row r="9">
      <c r="A9" s="30">
        <f>IF(F9="","",4)</f>
        <v/>
      </c>
      <c r="B9" s="30">
        <f>IF(F9="","",YEAR(F9))</f>
        <v/>
      </c>
      <c r="C9" s="30">
        <f>IF(F9="","",MONTH(F9))</f>
        <v/>
      </c>
      <c r="D9" s="30">
        <f>IF(F9="","",INDEX(入力!$A$13:$A$20,MATCH(F9,入力!$B$13:$B$20,1)))</f>
        <v/>
      </c>
      <c r="E9" s="30">
        <f>IF(F9="","",IF(G9&lt;=入力!$J$6,"法定","附加"))</f>
        <v/>
      </c>
      <c r="F9" s="31">
        <f>IF(G8="","",IF(G8&gt;=入力!$J$9,"",G8+1))</f>
        <v/>
      </c>
      <c r="G9" s="31">
        <f>IF(F9="","",MIN(EOMONTH(F9,0),入力!$J$9,IF(AND(入力!$B$13&lt;&gt;"",入力!$B$13&gt;F9),入力!$B$13-1,999999),IF(AND(入力!$B$14&lt;&gt;"",入力!$B$14&gt;F9),入力!$B$14-1,999999),IF(AND(入力!$B$15&lt;&gt;"",入力!$B$15&gt;F9),入力!$B$15-1,999999),IF(AND(入力!$B$16&lt;&gt;"",入力!$B$16&gt;F9),入力!$B$16-1,999999),IF(AND(入力!$B$17&lt;&gt;"",入力!$B$17&gt;F9),入力!$B$17-1,999999),IF(AND(入力!$B$18&lt;&gt;"",入力!$B$18&gt;F9),入力!$B$18-1,999999),IF(AND(入力!$B$19&lt;&gt;"",入力!$B$19&gt;F9),入力!$B$19-1,999999),IF(AND(入力!$B$20&lt;&gt;"",入力!$B$20&gt;F9),入力!$B$20-1,999999),IF(AND(入力!$J$7&lt;&gt;"",入力!$J$7&gt;F9),入力!$J$7-1,999999)))</f>
        <v/>
      </c>
      <c r="H9" s="52">
        <f>IF(F9="","",IFERROR(VLOOKUP(DATE(B9,C9,1),カレンダーマスタ!$A$2:$B$97,2,0),NETWORKDAYS(DATE(B9,C9,1),EOMONTH(F9,0))))</f>
        <v/>
      </c>
      <c r="I9" s="33">
        <f>IF(F9="","",NETWORKDAYS(F9,G9))</f>
        <v/>
      </c>
      <c r="J9" s="52">
        <f>IF(F9="","",IF(入力!$C$8&lt;&gt;"",入力!$C$8,INDEX(入力!$G$37:$G$78,MATCH(DATE(B9,C9,1),入力!$A$37:$A$78,0))))</f>
        <v/>
      </c>
      <c r="K9" s="52">
        <f>IF(F9="","",ROUNDDOWN(INDEX(入力!$H$13:$H$20,MATCH(F9,入力!$B$13:$B$20,1))/H9+INDEX(入力!$I$13:$I$20,MATCH(F9,入力!$B$13:$B$20,1))/22,0))</f>
        <v/>
      </c>
      <c r="L9" s="34">
        <f>IF(F9="","",IF(J9&gt;K9,"〇","×"))</f>
        <v/>
      </c>
      <c r="M9" s="52">
        <f>IF(F9="","",J9*I9)</f>
        <v/>
      </c>
      <c r="N9" s="52">
        <f>IF(F9="","",MIN(J9,K9)*I9)</f>
        <v/>
      </c>
      <c r="O9" s="53">
        <f>IF(F9="","",M9-N9)</f>
        <v/>
      </c>
      <c r="Q9">
        <f>IF(F9="","",IF(COUNTIFS($B$6:B9,B9,$C$6:C9,C9,$E$6:E9,E9)=1,MAX($Q$5:Q8)+1,""))</f>
        <v/>
      </c>
    </row>
    <row r="10">
      <c r="A10" s="30">
        <f>IF(F10="","",5)</f>
        <v/>
      </c>
      <c r="B10" s="30">
        <f>IF(F10="","",YEAR(F10))</f>
        <v/>
      </c>
      <c r="C10" s="30">
        <f>IF(F10="","",MONTH(F10))</f>
        <v/>
      </c>
      <c r="D10" s="30">
        <f>IF(F10="","",INDEX(入力!$A$13:$A$20,MATCH(F10,入力!$B$13:$B$20,1)))</f>
        <v/>
      </c>
      <c r="E10" s="30">
        <f>IF(F10="","",IF(G10&lt;=入力!$J$6,"法定","附加"))</f>
        <v/>
      </c>
      <c r="F10" s="31">
        <f>IF(G9="","",IF(G9&gt;=入力!$J$9,"",G9+1))</f>
        <v/>
      </c>
      <c r="G10" s="31">
        <f>IF(F10="","",MIN(EOMONTH(F10,0),入力!$J$9,IF(AND(入力!$B$13&lt;&gt;"",入力!$B$13&gt;F10),入力!$B$13-1,999999),IF(AND(入力!$B$14&lt;&gt;"",入力!$B$14&gt;F10),入力!$B$14-1,999999),IF(AND(入力!$B$15&lt;&gt;"",入力!$B$15&gt;F10),入力!$B$15-1,999999),IF(AND(入力!$B$16&lt;&gt;"",入力!$B$16&gt;F10),入力!$B$16-1,999999),IF(AND(入力!$B$17&lt;&gt;"",入力!$B$17&gt;F10),入力!$B$17-1,999999),IF(AND(入力!$B$18&lt;&gt;"",入力!$B$18&gt;F10),入力!$B$18-1,999999),IF(AND(入力!$B$19&lt;&gt;"",入力!$B$19&gt;F10),入力!$B$19-1,999999),IF(AND(入力!$B$20&lt;&gt;"",入力!$B$20&gt;F10),入力!$B$20-1,999999),IF(AND(入力!$J$7&lt;&gt;"",入力!$J$7&gt;F10),入力!$J$7-1,999999)))</f>
        <v/>
      </c>
      <c r="H10" s="52">
        <f>IF(F10="","",IFERROR(VLOOKUP(DATE(B10,C10,1),カレンダーマスタ!$A$2:$B$97,2,0),NETWORKDAYS(DATE(B10,C10,1),EOMONTH(F10,0))))</f>
        <v/>
      </c>
      <c r="I10" s="33">
        <f>IF(F10="","",NETWORKDAYS(F10,G10))</f>
        <v/>
      </c>
      <c r="J10" s="52">
        <f>IF(F10="","",IF(入力!$C$8&lt;&gt;"",入力!$C$8,INDEX(入力!$G$37:$G$78,MATCH(DATE(B10,C10,1),入力!$A$37:$A$78,0))))</f>
        <v/>
      </c>
      <c r="K10" s="52">
        <f>IF(F10="","",ROUNDDOWN(INDEX(入力!$H$13:$H$20,MATCH(F10,入力!$B$13:$B$20,1))/H10+INDEX(入力!$I$13:$I$20,MATCH(F10,入力!$B$13:$B$20,1))/22,0))</f>
        <v/>
      </c>
      <c r="L10" s="34">
        <f>IF(F10="","",IF(J10&gt;K10,"〇","×"))</f>
        <v/>
      </c>
      <c r="M10" s="52">
        <f>IF(F10="","",J10*I10)</f>
        <v/>
      </c>
      <c r="N10" s="52">
        <f>IF(F10="","",MIN(J10,K10)*I10)</f>
        <v/>
      </c>
      <c r="O10" s="53">
        <f>IF(F10="","",M10-N10)</f>
        <v/>
      </c>
      <c r="Q10">
        <f>IF(F10="","",IF(COUNTIFS($B$6:B10,B10,$C$6:C10,C10,$E$6:E10,E10)=1,MAX($Q$5:Q9)+1,""))</f>
        <v/>
      </c>
    </row>
    <row r="11">
      <c r="A11" s="30">
        <f>IF(F11="","",6)</f>
        <v/>
      </c>
      <c r="B11" s="30">
        <f>IF(F11="","",YEAR(F11))</f>
        <v/>
      </c>
      <c r="C11" s="30">
        <f>IF(F11="","",MONTH(F11))</f>
        <v/>
      </c>
      <c r="D11" s="30">
        <f>IF(F11="","",INDEX(入力!$A$13:$A$20,MATCH(F11,入力!$B$13:$B$20,1)))</f>
        <v/>
      </c>
      <c r="E11" s="30">
        <f>IF(F11="","",IF(G11&lt;=入力!$J$6,"法定","附加"))</f>
        <v/>
      </c>
      <c r="F11" s="31">
        <f>IF(G10="","",IF(G10&gt;=入力!$J$9,"",G10+1))</f>
        <v/>
      </c>
      <c r="G11" s="31">
        <f>IF(F11="","",MIN(EOMONTH(F11,0),入力!$J$9,IF(AND(入力!$B$13&lt;&gt;"",入力!$B$13&gt;F11),入力!$B$13-1,999999),IF(AND(入力!$B$14&lt;&gt;"",入力!$B$14&gt;F11),入力!$B$14-1,999999),IF(AND(入力!$B$15&lt;&gt;"",入力!$B$15&gt;F11),入力!$B$15-1,999999),IF(AND(入力!$B$16&lt;&gt;"",入力!$B$16&gt;F11),入力!$B$16-1,999999),IF(AND(入力!$B$17&lt;&gt;"",入力!$B$17&gt;F11),入力!$B$17-1,999999),IF(AND(入力!$B$18&lt;&gt;"",入力!$B$18&gt;F11),入力!$B$18-1,999999),IF(AND(入力!$B$19&lt;&gt;"",入力!$B$19&gt;F11),入力!$B$19-1,999999),IF(AND(入力!$B$20&lt;&gt;"",入力!$B$20&gt;F11),入力!$B$20-1,999999),IF(AND(入力!$J$7&lt;&gt;"",入力!$J$7&gt;F11),入力!$J$7-1,999999)))</f>
        <v/>
      </c>
      <c r="H11" s="52">
        <f>IF(F11="","",IFERROR(VLOOKUP(DATE(B11,C11,1),カレンダーマスタ!$A$2:$B$97,2,0),NETWORKDAYS(DATE(B11,C11,1),EOMONTH(F11,0))))</f>
        <v/>
      </c>
      <c r="I11" s="33">
        <f>IF(F11="","",NETWORKDAYS(F11,G11))</f>
        <v/>
      </c>
      <c r="J11" s="52">
        <f>IF(F11="","",IF(入力!$C$8&lt;&gt;"",入力!$C$8,INDEX(入力!$G$37:$G$78,MATCH(DATE(B11,C11,1),入力!$A$37:$A$78,0))))</f>
        <v/>
      </c>
      <c r="K11" s="52">
        <f>IF(F11="","",ROUNDDOWN(INDEX(入力!$H$13:$H$20,MATCH(F11,入力!$B$13:$B$20,1))/H11+INDEX(入力!$I$13:$I$20,MATCH(F11,入力!$B$13:$B$20,1))/22,0))</f>
        <v/>
      </c>
      <c r="L11" s="34">
        <f>IF(F11="","",IF(J11&gt;K11,"〇","×"))</f>
        <v/>
      </c>
      <c r="M11" s="52">
        <f>IF(F11="","",J11*I11)</f>
        <v/>
      </c>
      <c r="N11" s="52">
        <f>IF(F11="","",MIN(J11,K11)*I11)</f>
        <v/>
      </c>
      <c r="O11" s="53">
        <f>IF(F11="","",M11-N11)</f>
        <v/>
      </c>
      <c r="Q11">
        <f>IF(F11="","",IF(COUNTIFS($B$6:B11,B11,$C$6:C11,C11,$E$6:E11,E11)=1,MAX($Q$5:Q10)+1,""))</f>
        <v/>
      </c>
    </row>
    <row r="12">
      <c r="A12" s="30">
        <f>IF(F12="","",7)</f>
        <v/>
      </c>
      <c r="B12" s="30">
        <f>IF(F12="","",YEAR(F12))</f>
        <v/>
      </c>
      <c r="C12" s="30">
        <f>IF(F12="","",MONTH(F12))</f>
        <v/>
      </c>
      <c r="D12" s="30">
        <f>IF(F12="","",INDEX(入力!$A$13:$A$20,MATCH(F12,入力!$B$13:$B$20,1)))</f>
        <v/>
      </c>
      <c r="E12" s="30">
        <f>IF(F12="","",IF(G12&lt;=入力!$J$6,"法定","附加"))</f>
        <v/>
      </c>
      <c r="F12" s="31">
        <f>IF(G11="","",IF(G11&gt;=入力!$J$9,"",G11+1))</f>
        <v/>
      </c>
      <c r="G12" s="31">
        <f>IF(F12="","",MIN(EOMONTH(F12,0),入力!$J$9,IF(AND(入力!$B$13&lt;&gt;"",入力!$B$13&gt;F12),入力!$B$13-1,999999),IF(AND(入力!$B$14&lt;&gt;"",入力!$B$14&gt;F12),入力!$B$14-1,999999),IF(AND(入力!$B$15&lt;&gt;"",入力!$B$15&gt;F12),入力!$B$15-1,999999),IF(AND(入力!$B$16&lt;&gt;"",入力!$B$16&gt;F12),入力!$B$16-1,999999),IF(AND(入力!$B$17&lt;&gt;"",入力!$B$17&gt;F12),入力!$B$17-1,999999),IF(AND(入力!$B$18&lt;&gt;"",入力!$B$18&gt;F12),入力!$B$18-1,999999),IF(AND(入力!$B$19&lt;&gt;"",入力!$B$19&gt;F12),入力!$B$19-1,999999),IF(AND(入力!$B$20&lt;&gt;"",入力!$B$20&gt;F12),入力!$B$20-1,999999),IF(AND(入力!$J$7&lt;&gt;"",入力!$J$7&gt;F12),入力!$J$7-1,999999)))</f>
        <v/>
      </c>
      <c r="H12" s="52">
        <f>IF(F12="","",IFERROR(VLOOKUP(DATE(B12,C12,1),カレンダーマスタ!$A$2:$B$97,2,0),NETWORKDAYS(DATE(B12,C12,1),EOMONTH(F12,0))))</f>
        <v/>
      </c>
      <c r="I12" s="33">
        <f>IF(F12="","",NETWORKDAYS(F12,G12))</f>
        <v/>
      </c>
      <c r="J12" s="52">
        <f>IF(F12="","",IF(入力!$C$8&lt;&gt;"",入力!$C$8,INDEX(入力!$G$37:$G$78,MATCH(DATE(B12,C12,1),入力!$A$37:$A$78,0))))</f>
        <v/>
      </c>
      <c r="K12" s="52">
        <f>IF(F12="","",ROUNDDOWN(INDEX(入力!$H$13:$H$20,MATCH(F12,入力!$B$13:$B$20,1))/H12+INDEX(入力!$I$13:$I$20,MATCH(F12,入力!$B$13:$B$20,1))/22,0))</f>
        <v/>
      </c>
      <c r="L12" s="34">
        <f>IF(F12="","",IF(J12&gt;K12,"〇","×"))</f>
        <v/>
      </c>
      <c r="M12" s="52">
        <f>IF(F12="","",J12*I12)</f>
        <v/>
      </c>
      <c r="N12" s="52">
        <f>IF(F12="","",MIN(J12,K12)*I12)</f>
        <v/>
      </c>
      <c r="O12" s="53">
        <f>IF(F12="","",M12-N12)</f>
        <v/>
      </c>
      <c r="Q12">
        <f>IF(F12="","",IF(COUNTIFS($B$6:B12,B12,$C$6:C12,C12,$E$6:E12,E12)=1,MAX($Q$5:Q11)+1,""))</f>
        <v/>
      </c>
    </row>
    <row r="13">
      <c r="A13" s="30">
        <f>IF(F13="","",8)</f>
        <v/>
      </c>
      <c r="B13" s="30">
        <f>IF(F13="","",YEAR(F13))</f>
        <v/>
      </c>
      <c r="C13" s="30">
        <f>IF(F13="","",MONTH(F13))</f>
        <v/>
      </c>
      <c r="D13" s="30">
        <f>IF(F13="","",INDEX(入力!$A$13:$A$20,MATCH(F13,入力!$B$13:$B$20,1)))</f>
        <v/>
      </c>
      <c r="E13" s="30">
        <f>IF(F13="","",IF(G13&lt;=入力!$J$6,"法定","附加"))</f>
        <v/>
      </c>
      <c r="F13" s="31">
        <f>IF(G12="","",IF(G12&gt;=入力!$J$9,"",G12+1))</f>
        <v/>
      </c>
      <c r="G13" s="31">
        <f>IF(F13="","",MIN(EOMONTH(F13,0),入力!$J$9,IF(AND(入力!$B$13&lt;&gt;"",入力!$B$13&gt;F13),入力!$B$13-1,999999),IF(AND(入力!$B$14&lt;&gt;"",入力!$B$14&gt;F13),入力!$B$14-1,999999),IF(AND(入力!$B$15&lt;&gt;"",入力!$B$15&gt;F13),入力!$B$15-1,999999),IF(AND(入力!$B$16&lt;&gt;"",入力!$B$16&gt;F13),入力!$B$16-1,999999),IF(AND(入力!$B$17&lt;&gt;"",入力!$B$17&gt;F13),入力!$B$17-1,999999),IF(AND(入力!$B$18&lt;&gt;"",入力!$B$18&gt;F13),入力!$B$18-1,999999),IF(AND(入力!$B$19&lt;&gt;"",入力!$B$19&gt;F13),入力!$B$19-1,999999),IF(AND(入力!$B$20&lt;&gt;"",入力!$B$20&gt;F13),入力!$B$20-1,999999),IF(AND(入力!$J$7&lt;&gt;"",入力!$J$7&gt;F13),入力!$J$7-1,999999)))</f>
        <v/>
      </c>
      <c r="H13" s="52">
        <f>IF(F13="","",IFERROR(VLOOKUP(DATE(B13,C13,1),カレンダーマスタ!$A$2:$B$97,2,0),NETWORKDAYS(DATE(B13,C13,1),EOMONTH(F13,0))))</f>
        <v/>
      </c>
      <c r="I13" s="33">
        <f>IF(F13="","",NETWORKDAYS(F13,G13))</f>
        <v/>
      </c>
      <c r="J13" s="52">
        <f>IF(F13="","",IF(入力!$C$8&lt;&gt;"",入力!$C$8,INDEX(入力!$G$37:$G$78,MATCH(DATE(B13,C13,1),入力!$A$37:$A$78,0))))</f>
        <v/>
      </c>
      <c r="K13" s="52">
        <f>IF(F13="","",ROUNDDOWN(INDEX(入力!$H$13:$H$20,MATCH(F13,入力!$B$13:$B$20,1))/H13+INDEX(入力!$I$13:$I$20,MATCH(F13,入力!$B$13:$B$20,1))/22,0))</f>
        <v/>
      </c>
      <c r="L13" s="34">
        <f>IF(F13="","",IF(J13&gt;K13,"〇","×"))</f>
        <v/>
      </c>
      <c r="M13" s="52">
        <f>IF(F13="","",J13*I13)</f>
        <v/>
      </c>
      <c r="N13" s="52">
        <f>IF(F13="","",MIN(J13,K13)*I13)</f>
        <v/>
      </c>
      <c r="O13" s="53">
        <f>IF(F13="","",M13-N13)</f>
        <v/>
      </c>
      <c r="Q13">
        <f>IF(F13="","",IF(COUNTIFS($B$6:B13,B13,$C$6:C13,C13,$E$6:E13,E13)=1,MAX($Q$5:Q12)+1,""))</f>
        <v/>
      </c>
    </row>
    <row r="14">
      <c r="A14" s="30">
        <f>IF(F14="","",9)</f>
        <v/>
      </c>
      <c r="B14" s="30">
        <f>IF(F14="","",YEAR(F14))</f>
        <v/>
      </c>
      <c r="C14" s="30">
        <f>IF(F14="","",MONTH(F14))</f>
        <v/>
      </c>
      <c r="D14" s="30">
        <f>IF(F14="","",INDEX(入力!$A$13:$A$20,MATCH(F14,入力!$B$13:$B$20,1)))</f>
        <v/>
      </c>
      <c r="E14" s="30">
        <f>IF(F14="","",IF(G14&lt;=入力!$J$6,"法定","附加"))</f>
        <v/>
      </c>
      <c r="F14" s="31">
        <f>IF(G13="","",IF(G13&gt;=入力!$J$9,"",G13+1))</f>
        <v/>
      </c>
      <c r="G14" s="31">
        <f>IF(F14="","",MIN(EOMONTH(F14,0),入力!$J$9,IF(AND(入力!$B$13&lt;&gt;"",入力!$B$13&gt;F14),入力!$B$13-1,999999),IF(AND(入力!$B$14&lt;&gt;"",入力!$B$14&gt;F14),入力!$B$14-1,999999),IF(AND(入力!$B$15&lt;&gt;"",入力!$B$15&gt;F14),入力!$B$15-1,999999),IF(AND(入力!$B$16&lt;&gt;"",入力!$B$16&gt;F14),入力!$B$16-1,999999),IF(AND(入力!$B$17&lt;&gt;"",入力!$B$17&gt;F14),入力!$B$17-1,999999),IF(AND(入力!$B$18&lt;&gt;"",入力!$B$18&gt;F14),入力!$B$18-1,999999),IF(AND(入力!$B$19&lt;&gt;"",入力!$B$19&gt;F14),入力!$B$19-1,999999),IF(AND(入力!$B$20&lt;&gt;"",入力!$B$20&gt;F14),入力!$B$20-1,999999),IF(AND(入力!$J$7&lt;&gt;"",入力!$J$7&gt;F14),入力!$J$7-1,999999)))</f>
        <v/>
      </c>
      <c r="H14" s="52">
        <f>IF(F14="","",IFERROR(VLOOKUP(DATE(B14,C14,1),カレンダーマスタ!$A$2:$B$97,2,0),NETWORKDAYS(DATE(B14,C14,1),EOMONTH(F14,0))))</f>
        <v/>
      </c>
      <c r="I14" s="33">
        <f>IF(F14="","",NETWORKDAYS(F14,G14))</f>
        <v/>
      </c>
      <c r="J14" s="52">
        <f>IF(F14="","",IF(入力!$C$8&lt;&gt;"",入力!$C$8,INDEX(入力!$G$37:$G$78,MATCH(DATE(B14,C14,1),入力!$A$37:$A$78,0))))</f>
        <v/>
      </c>
      <c r="K14" s="52">
        <f>IF(F14="","",ROUNDDOWN(INDEX(入力!$H$13:$H$20,MATCH(F14,入力!$B$13:$B$20,1))/H14+INDEX(入力!$I$13:$I$20,MATCH(F14,入力!$B$13:$B$20,1))/22,0))</f>
        <v/>
      </c>
      <c r="L14" s="34">
        <f>IF(F14="","",IF(J14&gt;K14,"〇","×"))</f>
        <v/>
      </c>
      <c r="M14" s="52">
        <f>IF(F14="","",J14*I14)</f>
        <v/>
      </c>
      <c r="N14" s="52">
        <f>IF(F14="","",MIN(J14,K14)*I14)</f>
        <v/>
      </c>
      <c r="O14" s="53">
        <f>IF(F14="","",M14-N14)</f>
        <v/>
      </c>
      <c r="Q14">
        <f>IF(F14="","",IF(COUNTIFS($B$6:B14,B14,$C$6:C14,C14,$E$6:E14,E14)=1,MAX($Q$5:Q13)+1,""))</f>
        <v/>
      </c>
    </row>
    <row r="15">
      <c r="A15" s="30">
        <f>IF(F15="","",10)</f>
        <v/>
      </c>
      <c r="B15" s="30">
        <f>IF(F15="","",YEAR(F15))</f>
        <v/>
      </c>
      <c r="C15" s="30">
        <f>IF(F15="","",MONTH(F15))</f>
        <v/>
      </c>
      <c r="D15" s="30">
        <f>IF(F15="","",INDEX(入力!$A$13:$A$20,MATCH(F15,入力!$B$13:$B$20,1)))</f>
        <v/>
      </c>
      <c r="E15" s="30">
        <f>IF(F15="","",IF(G15&lt;=入力!$J$6,"法定","附加"))</f>
        <v/>
      </c>
      <c r="F15" s="31">
        <f>IF(G14="","",IF(G14&gt;=入力!$J$9,"",G14+1))</f>
        <v/>
      </c>
      <c r="G15" s="31">
        <f>IF(F15="","",MIN(EOMONTH(F15,0),入力!$J$9,IF(AND(入力!$B$13&lt;&gt;"",入力!$B$13&gt;F15),入力!$B$13-1,999999),IF(AND(入力!$B$14&lt;&gt;"",入力!$B$14&gt;F15),入力!$B$14-1,999999),IF(AND(入力!$B$15&lt;&gt;"",入力!$B$15&gt;F15),入力!$B$15-1,999999),IF(AND(入力!$B$16&lt;&gt;"",入力!$B$16&gt;F15),入力!$B$16-1,999999),IF(AND(入力!$B$17&lt;&gt;"",入力!$B$17&gt;F15),入力!$B$17-1,999999),IF(AND(入力!$B$18&lt;&gt;"",入力!$B$18&gt;F15),入力!$B$18-1,999999),IF(AND(入力!$B$19&lt;&gt;"",入力!$B$19&gt;F15),入力!$B$19-1,999999),IF(AND(入力!$B$20&lt;&gt;"",入力!$B$20&gt;F15),入力!$B$20-1,999999),IF(AND(入力!$J$7&lt;&gt;"",入力!$J$7&gt;F15),入力!$J$7-1,999999)))</f>
        <v/>
      </c>
      <c r="H15" s="52">
        <f>IF(F15="","",IFERROR(VLOOKUP(DATE(B15,C15,1),カレンダーマスタ!$A$2:$B$97,2,0),NETWORKDAYS(DATE(B15,C15,1),EOMONTH(F15,0))))</f>
        <v/>
      </c>
      <c r="I15" s="33">
        <f>IF(F15="","",NETWORKDAYS(F15,G15))</f>
        <v/>
      </c>
      <c r="J15" s="52">
        <f>IF(F15="","",IF(入力!$C$8&lt;&gt;"",入力!$C$8,INDEX(入力!$G$37:$G$78,MATCH(DATE(B15,C15,1),入力!$A$37:$A$78,0))))</f>
        <v/>
      </c>
      <c r="K15" s="52">
        <f>IF(F15="","",ROUNDDOWN(INDEX(入力!$H$13:$H$20,MATCH(F15,入力!$B$13:$B$20,1))/H15+INDEX(入力!$I$13:$I$20,MATCH(F15,入力!$B$13:$B$20,1))/22,0))</f>
        <v/>
      </c>
      <c r="L15" s="34">
        <f>IF(F15="","",IF(J15&gt;K15,"〇","×"))</f>
        <v/>
      </c>
      <c r="M15" s="52">
        <f>IF(F15="","",J15*I15)</f>
        <v/>
      </c>
      <c r="N15" s="52">
        <f>IF(F15="","",MIN(J15,K15)*I15)</f>
        <v/>
      </c>
      <c r="O15" s="53">
        <f>IF(F15="","",M15-N15)</f>
        <v/>
      </c>
      <c r="Q15">
        <f>IF(F15="","",IF(COUNTIFS($B$6:B15,B15,$C$6:C15,C15,$E$6:E15,E15)=1,MAX($Q$5:Q14)+1,""))</f>
        <v/>
      </c>
    </row>
    <row r="16">
      <c r="A16" s="30">
        <f>IF(F16="","",11)</f>
        <v/>
      </c>
      <c r="B16" s="30">
        <f>IF(F16="","",YEAR(F16))</f>
        <v/>
      </c>
      <c r="C16" s="30">
        <f>IF(F16="","",MONTH(F16))</f>
        <v/>
      </c>
      <c r="D16" s="30">
        <f>IF(F16="","",INDEX(入力!$A$13:$A$20,MATCH(F16,入力!$B$13:$B$20,1)))</f>
        <v/>
      </c>
      <c r="E16" s="30">
        <f>IF(F16="","",IF(G16&lt;=入力!$J$6,"法定","附加"))</f>
        <v/>
      </c>
      <c r="F16" s="31">
        <f>IF(G15="","",IF(G15&gt;=入力!$J$9,"",G15+1))</f>
        <v/>
      </c>
      <c r="G16" s="31">
        <f>IF(F16="","",MIN(EOMONTH(F16,0),入力!$J$9,IF(AND(入力!$B$13&lt;&gt;"",入力!$B$13&gt;F16),入力!$B$13-1,999999),IF(AND(入力!$B$14&lt;&gt;"",入力!$B$14&gt;F16),入力!$B$14-1,999999),IF(AND(入力!$B$15&lt;&gt;"",入力!$B$15&gt;F16),入力!$B$15-1,999999),IF(AND(入力!$B$16&lt;&gt;"",入力!$B$16&gt;F16),入力!$B$16-1,999999),IF(AND(入力!$B$17&lt;&gt;"",入力!$B$17&gt;F16),入力!$B$17-1,999999),IF(AND(入力!$B$18&lt;&gt;"",入力!$B$18&gt;F16),入力!$B$18-1,999999),IF(AND(入力!$B$19&lt;&gt;"",入力!$B$19&gt;F16),入力!$B$19-1,999999),IF(AND(入力!$B$20&lt;&gt;"",入力!$B$20&gt;F16),入力!$B$20-1,999999),IF(AND(入力!$J$7&lt;&gt;"",入力!$J$7&gt;F16),入力!$J$7-1,999999)))</f>
        <v/>
      </c>
      <c r="H16" s="52">
        <f>IF(F16="","",IFERROR(VLOOKUP(DATE(B16,C16,1),カレンダーマスタ!$A$2:$B$97,2,0),NETWORKDAYS(DATE(B16,C16,1),EOMONTH(F16,0))))</f>
        <v/>
      </c>
      <c r="I16" s="33">
        <f>IF(F16="","",NETWORKDAYS(F16,G16))</f>
        <v/>
      </c>
      <c r="J16" s="52">
        <f>IF(F16="","",IF(入力!$C$8&lt;&gt;"",入力!$C$8,INDEX(入力!$G$37:$G$78,MATCH(DATE(B16,C16,1),入力!$A$37:$A$78,0))))</f>
        <v/>
      </c>
      <c r="K16" s="52">
        <f>IF(F16="","",ROUNDDOWN(INDEX(入力!$H$13:$H$20,MATCH(F16,入力!$B$13:$B$20,1))/H16+INDEX(入力!$I$13:$I$20,MATCH(F16,入力!$B$13:$B$20,1))/22,0))</f>
        <v/>
      </c>
      <c r="L16" s="34">
        <f>IF(F16="","",IF(J16&gt;K16,"〇","×"))</f>
        <v/>
      </c>
      <c r="M16" s="52">
        <f>IF(F16="","",J16*I16)</f>
        <v/>
      </c>
      <c r="N16" s="52">
        <f>IF(F16="","",MIN(J16,K16)*I16)</f>
        <v/>
      </c>
      <c r="O16" s="53">
        <f>IF(F16="","",M16-N16)</f>
        <v/>
      </c>
      <c r="Q16">
        <f>IF(F16="","",IF(COUNTIFS($B$6:B16,B16,$C$6:C16,C16,$E$6:E16,E16)=1,MAX($Q$5:Q15)+1,""))</f>
        <v/>
      </c>
    </row>
    <row r="17">
      <c r="A17" s="30">
        <f>IF(F17="","",12)</f>
        <v/>
      </c>
      <c r="B17" s="30">
        <f>IF(F17="","",YEAR(F17))</f>
        <v/>
      </c>
      <c r="C17" s="30">
        <f>IF(F17="","",MONTH(F17))</f>
        <v/>
      </c>
      <c r="D17" s="30">
        <f>IF(F17="","",INDEX(入力!$A$13:$A$20,MATCH(F17,入力!$B$13:$B$20,1)))</f>
        <v/>
      </c>
      <c r="E17" s="30">
        <f>IF(F17="","",IF(G17&lt;=入力!$J$6,"法定","附加"))</f>
        <v/>
      </c>
      <c r="F17" s="31">
        <f>IF(G16="","",IF(G16&gt;=入力!$J$9,"",G16+1))</f>
        <v/>
      </c>
      <c r="G17" s="31">
        <f>IF(F17="","",MIN(EOMONTH(F17,0),入力!$J$9,IF(AND(入力!$B$13&lt;&gt;"",入力!$B$13&gt;F17),入力!$B$13-1,999999),IF(AND(入力!$B$14&lt;&gt;"",入力!$B$14&gt;F17),入力!$B$14-1,999999),IF(AND(入力!$B$15&lt;&gt;"",入力!$B$15&gt;F17),入力!$B$15-1,999999),IF(AND(入力!$B$16&lt;&gt;"",入力!$B$16&gt;F17),入力!$B$16-1,999999),IF(AND(入力!$B$17&lt;&gt;"",入力!$B$17&gt;F17),入力!$B$17-1,999999),IF(AND(入力!$B$18&lt;&gt;"",入力!$B$18&gt;F17),入力!$B$18-1,999999),IF(AND(入力!$B$19&lt;&gt;"",入力!$B$19&gt;F17),入力!$B$19-1,999999),IF(AND(入力!$B$20&lt;&gt;"",入力!$B$20&gt;F17),入力!$B$20-1,999999),IF(AND(入力!$J$7&lt;&gt;"",入力!$J$7&gt;F17),入力!$J$7-1,999999)))</f>
        <v/>
      </c>
      <c r="H17" s="52">
        <f>IF(F17="","",IFERROR(VLOOKUP(DATE(B17,C17,1),カレンダーマスタ!$A$2:$B$97,2,0),NETWORKDAYS(DATE(B17,C17,1),EOMONTH(F17,0))))</f>
        <v/>
      </c>
      <c r="I17" s="33">
        <f>IF(F17="","",NETWORKDAYS(F17,G17))</f>
        <v/>
      </c>
      <c r="J17" s="52">
        <f>IF(F17="","",IF(入力!$C$8&lt;&gt;"",入力!$C$8,INDEX(入力!$G$37:$G$78,MATCH(DATE(B17,C17,1),入力!$A$37:$A$78,0))))</f>
        <v/>
      </c>
      <c r="K17" s="52">
        <f>IF(F17="","",ROUNDDOWN(INDEX(入力!$H$13:$H$20,MATCH(F17,入力!$B$13:$B$20,1))/H17+INDEX(入力!$I$13:$I$20,MATCH(F17,入力!$B$13:$B$20,1))/22,0))</f>
        <v/>
      </c>
      <c r="L17" s="34">
        <f>IF(F17="","",IF(J17&gt;K17,"〇","×"))</f>
        <v/>
      </c>
      <c r="M17" s="52">
        <f>IF(F17="","",J17*I17)</f>
        <v/>
      </c>
      <c r="N17" s="52">
        <f>IF(F17="","",MIN(J17,K17)*I17)</f>
        <v/>
      </c>
      <c r="O17" s="53">
        <f>IF(F17="","",M17-N17)</f>
        <v/>
      </c>
      <c r="Q17">
        <f>IF(F17="","",IF(COUNTIFS($B$6:B17,B17,$C$6:C17,C17,$E$6:E17,E17)=1,MAX($Q$5:Q16)+1,""))</f>
        <v/>
      </c>
    </row>
    <row r="18">
      <c r="A18" s="30">
        <f>IF(F18="","",13)</f>
        <v/>
      </c>
      <c r="B18" s="30">
        <f>IF(F18="","",YEAR(F18))</f>
        <v/>
      </c>
      <c r="C18" s="30">
        <f>IF(F18="","",MONTH(F18))</f>
        <v/>
      </c>
      <c r="D18" s="30">
        <f>IF(F18="","",INDEX(入力!$A$13:$A$20,MATCH(F18,入力!$B$13:$B$20,1)))</f>
        <v/>
      </c>
      <c r="E18" s="30">
        <f>IF(F18="","",IF(G18&lt;=入力!$J$6,"法定","附加"))</f>
        <v/>
      </c>
      <c r="F18" s="31">
        <f>IF(G17="","",IF(G17&gt;=入力!$J$9,"",G17+1))</f>
        <v/>
      </c>
      <c r="G18" s="31">
        <f>IF(F18="","",MIN(EOMONTH(F18,0),入力!$J$9,IF(AND(入力!$B$13&lt;&gt;"",入力!$B$13&gt;F18),入力!$B$13-1,999999),IF(AND(入力!$B$14&lt;&gt;"",入力!$B$14&gt;F18),入力!$B$14-1,999999),IF(AND(入力!$B$15&lt;&gt;"",入力!$B$15&gt;F18),入力!$B$15-1,999999),IF(AND(入力!$B$16&lt;&gt;"",入力!$B$16&gt;F18),入力!$B$16-1,999999),IF(AND(入力!$B$17&lt;&gt;"",入力!$B$17&gt;F18),入力!$B$17-1,999999),IF(AND(入力!$B$18&lt;&gt;"",入力!$B$18&gt;F18),入力!$B$18-1,999999),IF(AND(入力!$B$19&lt;&gt;"",入力!$B$19&gt;F18),入力!$B$19-1,999999),IF(AND(入力!$B$20&lt;&gt;"",入力!$B$20&gt;F18),入力!$B$20-1,999999),IF(AND(入力!$J$7&lt;&gt;"",入力!$J$7&gt;F18),入力!$J$7-1,999999)))</f>
        <v/>
      </c>
      <c r="H18" s="52">
        <f>IF(F18="","",IFERROR(VLOOKUP(DATE(B18,C18,1),カレンダーマスタ!$A$2:$B$97,2,0),NETWORKDAYS(DATE(B18,C18,1),EOMONTH(F18,0))))</f>
        <v/>
      </c>
      <c r="I18" s="33">
        <f>IF(F18="","",NETWORKDAYS(F18,G18))</f>
        <v/>
      </c>
      <c r="J18" s="52">
        <f>IF(F18="","",IF(入力!$C$8&lt;&gt;"",入力!$C$8,INDEX(入力!$G$37:$G$78,MATCH(DATE(B18,C18,1),入力!$A$37:$A$78,0))))</f>
        <v/>
      </c>
      <c r="K18" s="52">
        <f>IF(F18="","",ROUNDDOWN(INDEX(入力!$H$13:$H$20,MATCH(F18,入力!$B$13:$B$20,1))/H18+INDEX(入力!$I$13:$I$20,MATCH(F18,入力!$B$13:$B$20,1))/22,0))</f>
        <v/>
      </c>
      <c r="L18" s="34">
        <f>IF(F18="","",IF(J18&gt;K18,"〇","×"))</f>
        <v/>
      </c>
      <c r="M18" s="52">
        <f>IF(F18="","",J18*I18)</f>
        <v/>
      </c>
      <c r="N18" s="52">
        <f>IF(F18="","",MIN(J18,K18)*I18)</f>
        <v/>
      </c>
      <c r="O18" s="53">
        <f>IF(F18="","",M18-N18)</f>
        <v/>
      </c>
      <c r="Q18">
        <f>IF(F18="","",IF(COUNTIFS($B$6:B18,B18,$C$6:C18,C18,$E$6:E18,E18)=1,MAX($Q$5:Q17)+1,""))</f>
        <v/>
      </c>
    </row>
    <row r="19">
      <c r="A19" s="30">
        <f>IF(F19="","",14)</f>
        <v/>
      </c>
      <c r="B19" s="30">
        <f>IF(F19="","",YEAR(F19))</f>
        <v/>
      </c>
      <c r="C19" s="30">
        <f>IF(F19="","",MONTH(F19))</f>
        <v/>
      </c>
      <c r="D19" s="30">
        <f>IF(F19="","",INDEX(入力!$A$13:$A$20,MATCH(F19,入力!$B$13:$B$20,1)))</f>
        <v/>
      </c>
      <c r="E19" s="30">
        <f>IF(F19="","",IF(G19&lt;=入力!$J$6,"法定","附加"))</f>
        <v/>
      </c>
      <c r="F19" s="31">
        <f>IF(G18="","",IF(G18&gt;=入力!$J$9,"",G18+1))</f>
        <v/>
      </c>
      <c r="G19" s="31">
        <f>IF(F19="","",MIN(EOMONTH(F19,0),入力!$J$9,IF(AND(入力!$B$13&lt;&gt;"",入力!$B$13&gt;F19),入力!$B$13-1,999999),IF(AND(入力!$B$14&lt;&gt;"",入力!$B$14&gt;F19),入力!$B$14-1,999999),IF(AND(入力!$B$15&lt;&gt;"",入力!$B$15&gt;F19),入力!$B$15-1,999999),IF(AND(入力!$B$16&lt;&gt;"",入力!$B$16&gt;F19),入力!$B$16-1,999999),IF(AND(入力!$B$17&lt;&gt;"",入力!$B$17&gt;F19),入力!$B$17-1,999999),IF(AND(入力!$B$18&lt;&gt;"",入力!$B$18&gt;F19),入力!$B$18-1,999999),IF(AND(入力!$B$19&lt;&gt;"",入力!$B$19&gt;F19),入力!$B$19-1,999999),IF(AND(入力!$B$20&lt;&gt;"",入力!$B$20&gt;F19),入力!$B$20-1,999999),IF(AND(入力!$J$7&lt;&gt;"",入力!$J$7&gt;F19),入力!$J$7-1,999999)))</f>
        <v/>
      </c>
      <c r="H19" s="52">
        <f>IF(F19="","",IFERROR(VLOOKUP(DATE(B19,C19,1),カレンダーマスタ!$A$2:$B$97,2,0),NETWORKDAYS(DATE(B19,C19,1),EOMONTH(F19,0))))</f>
        <v/>
      </c>
      <c r="I19" s="33">
        <f>IF(F19="","",NETWORKDAYS(F19,G19))</f>
        <v/>
      </c>
      <c r="J19" s="52">
        <f>IF(F19="","",IF(入力!$C$8&lt;&gt;"",入力!$C$8,INDEX(入力!$G$37:$G$78,MATCH(DATE(B19,C19,1),入力!$A$37:$A$78,0))))</f>
        <v/>
      </c>
      <c r="K19" s="52">
        <f>IF(F19="","",ROUNDDOWN(INDEX(入力!$H$13:$H$20,MATCH(F19,入力!$B$13:$B$20,1))/H19+INDEX(入力!$I$13:$I$20,MATCH(F19,入力!$B$13:$B$20,1))/22,0))</f>
        <v/>
      </c>
      <c r="L19" s="34">
        <f>IF(F19="","",IF(J19&gt;K19,"〇","×"))</f>
        <v/>
      </c>
      <c r="M19" s="52">
        <f>IF(F19="","",J19*I19)</f>
        <v/>
      </c>
      <c r="N19" s="52">
        <f>IF(F19="","",MIN(J19,K19)*I19)</f>
        <v/>
      </c>
      <c r="O19" s="53">
        <f>IF(F19="","",M19-N19)</f>
        <v/>
      </c>
      <c r="Q19">
        <f>IF(F19="","",IF(COUNTIFS($B$6:B19,B19,$C$6:C19,C19,$E$6:E19,E19)=1,MAX($Q$5:Q18)+1,""))</f>
        <v/>
      </c>
    </row>
    <row r="20">
      <c r="A20" s="30">
        <f>IF(F20="","",15)</f>
        <v/>
      </c>
      <c r="B20" s="30">
        <f>IF(F20="","",YEAR(F20))</f>
        <v/>
      </c>
      <c r="C20" s="30">
        <f>IF(F20="","",MONTH(F20))</f>
        <v/>
      </c>
      <c r="D20" s="30">
        <f>IF(F20="","",INDEX(入力!$A$13:$A$20,MATCH(F20,入力!$B$13:$B$20,1)))</f>
        <v/>
      </c>
      <c r="E20" s="30">
        <f>IF(F20="","",IF(G20&lt;=入力!$J$6,"法定","附加"))</f>
        <v/>
      </c>
      <c r="F20" s="31">
        <f>IF(G19="","",IF(G19&gt;=入力!$J$9,"",G19+1))</f>
        <v/>
      </c>
      <c r="G20" s="31">
        <f>IF(F20="","",MIN(EOMONTH(F20,0),入力!$J$9,IF(AND(入力!$B$13&lt;&gt;"",入力!$B$13&gt;F20),入力!$B$13-1,999999),IF(AND(入力!$B$14&lt;&gt;"",入力!$B$14&gt;F20),入力!$B$14-1,999999),IF(AND(入力!$B$15&lt;&gt;"",入力!$B$15&gt;F20),入力!$B$15-1,999999),IF(AND(入力!$B$16&lt;&gt;"",入力!$B$16&gt;F20),入力!$B$16-1,999999),IF(AND(入力!$B$17&lt;&gt;"",入力!$B$17&gt;F20),入力!$B$17-1,999999),IF(AND(入力!$B$18&lt;&gt;"",入力!$B$18&gt;F20),入力!$B$18-1,999999),IF(AND(入力!$B$19&lt;&gt;"",入力!$B$19&gt;F20),入力!$B$19-1,999999),IF(AND(入力!$B$20&lt;&gt;"",入力!$B$20&gt;F20),入力!$B$20-1,999999),IF(AND(入力!$J$7&lt;&gt;"",入力!$J$7&gt;F20),入力!$J$7-1,999999)))</f>
        <v/>
      </c>
      <c r="H20" s="52">
        <f>IF(F20="","",IFERROR(VLOOKUP(DATE(B20,C20,1),カレンダーマスタ!$A$2:$B$97,2,0),NETWORKDAYS(DATE(B20,C20,1),EOMONTH(F20,0))))</f>
        <v/>
      </c>
      <c r="I20" s="33">
        <f>IF(F20="","",NETWORKDAYS(F20,G20))</f>
        <v/>
      </c>
      <c r="J20" s="52">
        <f>IF(F20="","",IF(入力!$C$8&lt;&gt;"",入力!$C$8,INDEX(入力!$G$37:$G$78,MATCH(DATE(B20,C20,1),入力!$A$37:$A$78,0))))</f>
        <v/>
      </c>
      <c r="K20" s="52">
        <f>IF(F20="","",ROUNDDOWN(INDEX(入力!$H$13:$H$20,MATCH(F20,入力!$B$13:$B$20,1))/H20+INDEX(入力!$I$13:$I$20,MATCH(F20,入力!$B$13:$B$20,1))/22,0))</f>
        <v/>
      </c>
      <c r="L20" s="34">
        <f>IF(F20="","",IF(J20&gt;K20,"〇","×"))</f>
        <v/>
      </c>
      <c r="M20" s="52">
        <f>IF(F20="","",J20*I20)</f>
        <v/>
      </c>
      <c r="N20" s="52">
        <f>IF(F20="","",MIN(J20,K20)*I20)</f>
        <v/>
      </c>
      <c r="O20" s="53">
        <f>IF(F20="","",M20-N20)</f>
        <v/>
      </c>
      <c r="Q20">
        <f>IF(F20="","",IF(COUNTIFS($B$6:B20,B20,$C$6:C20,C20,$E$6:E20,E20)=1,MAX($Q$5:Q19)+1,""))</f>
        <v/>
      </c>
    </row>
    <row r="21">
      <c r="A21" s="30">
        <f>IF(F21="","",16)</f>
        <v/>
      </c>
      <c r="B21" s="30">
        <f>IF(F21="","",YEAR(F21))</f>
        <v/>
      </c>
      <c r="C21" s="30">
        <f>IF(F21="","",MONTH(F21))</f>
        <v/>
      </c>
      <c r="D21" s="30">
        <f>IF(F21="","",INDEX(入力!$A$13:$A$20,MATCH(F21,入力!$B$13:$B$20,1)))</f>
        <v/>
      </c>
      <c r="E21" s="30">
        <f>IF(F21="","",IF(G21&lt;=入力!$J$6,"法定","附加"))</f>
        <v/>
      </c>
      <c r="F21" s="31">
        <f>IF(G20="","",IF(G20&gt;=入力!$J$9,"",G20+1))</f>
        <v/>
      </c>
      <c r="G21" s="31">
        <f>IF(F21="","",MIN(EOMONTH(F21,0),入力!$J$9,IF(AND(入力!$B$13&lt;&gt;"",入力!$B$13&gt;F21),入力!$B$13-1,999999),IF(AND(入力!$B$14&lt;&gt;"",入力!$B$14&gt;F21),入力!$B$14-1,999999),IF(AND(入力!$B$15&lt;&gt;"",入力!$B$15&gt;F21),入力!$B$15-1,999999),IF(AND(入力!$B$16&lt;&gt;"",入力!$B$16&gt;F21),入力!$B$16-1,999999),IF(AND(入力!$B$17&lt;&gt;"",入力!$B$17&gt;F21),入力!$B$17-1,999999),IF(AND(入力!$B$18&lt;&gt;"",入力!$B$18&gt;F21),入力!$B$18-1,999999),IF(AND(入力!$B$19&lt;&gt;"",入力!$B$19&gt;F21),入力!$B$19-1,999999),IF(AND(入力!$B$20&lt;&gt;"",入力!$B$20&gt;F21),入力!$B$20-1,999999),IF(AND(入力!$J$7&lt;&gt;"",入力!$J$7&gt;F21),入力!$J$7-1,999999)))</f>
        <v/>
      </c>
      <c r="H21" s="52">
        <f>IF(F21="","",IFERROR(VLOOKUP(DATE(B21,C21,1),カレンダーマスタ!$A$2:$B$97,2,0),NETWORKDAYS(DATE(B21,C21,1),EOMONTH(F21,0))))</f>
        <v/>
      </c>
      <c r="I21" s="33">
        <f>IF(F21="","",NETWORKDAYS(F21,G21))</f>
        <v/>
      </c>
      <c r="J21" s="52">
        <f>IF(F21="","",IF(入力!$C$8&lt;&gt;"",入力!$C$8,INDEX(入力!$G$37:$G$78,MATCH(DATE(B21,C21,1),入力!$A$37:$A$78,0))))</f>
        <v/>
      </c>
      <c r="K21" s="52">
        <f>IF(F21="","",ROUNDDOWN(INDEX(入力!$H$13:$H$20,MATCH(F21,入力!$B$13:$B$20,1))/H21+INDEX(入力!$I$13:$I$20,MATCH(F21,入力!$B$13:$B$20,1))/22,0))</f>
        <v/>
      </c>
      <c r="L21" s="34">
        <f>IF(F21="","",IF(J21&gt;K21,"〇","×"))</f>
        <v/>
      </c>
      <c r="M21" s="52">
        <f>IF(F21="","",J21*I21)</f>
        <v/>
      </c>
      <c r="N21" s="52">
        <f>IF(F21="","",MIN(J21,K21)*I21)</f>
        <v/>
      </c>
      <c r="O21" s="53">
        <f>IF(F21="","",M21-N21)</f>
        <v/>
      </c>
      <c r="Q21">
        <f>IF(F21="","",IF(COUNTIFS($B$6:B21,B21,$C$6:C21,C21,$E$6:E21,E21)=1,MAX($Q$5:Q20)+1,""))</f>
        <v/>
      </c>
    </row>
    <row r="22">
      <c r="A22" s="30">
        <f>IF(F22="","",17)</f>
        <v/>
      </c>
      <c r="B22" s="30">
        <f>IF(F22="","",YEAR(F22))</f>
        <v/>
      </c>
      <c r="C22" s="30">
        <f>IF(F22="","",MONTH(F22))</f>
        <v/>
      </c>
      <c r="D22" s="30">
        <f>IF(F22="","",INDEX(入力!$A$13:$A$20,MATCH(F22,入力!$B$13:$B$20,1)))</f>
        <v/>
      </c>
      <c r="E22" s="30">
        <f>IF(F22="","",IF(G22&lt;=入力!$J$6,"法定","附加"))</f>
        <v/>
      </c>
      <c r="F22" s="31">
        <f>IF(G21="","",IF(G21&gt;=入力!$J$9,"",G21+1))</f>
        <v/>
      </c>
      <c r="G22" s="31">
        <f>IF(F22="","",MIN(EOMONTH(F22,0),入力!$J$9,IF(AND(入力!$B$13&lt;&gt;"",入力!$B$13&gt;F22),入力!$B$13-1,999999),IF(AND(入力!$B$14&lt;&gt;"",入力!$B$14&gt;F22),入力!$B$14-1,999999),IF(AND(入力!$B$15&lt;&gt;"",入力!$B$15&gt;F22),入力!$B$15-1,999999),IF(AND(入力!$B$16&lt;&gt;"",入力!$B$16&gt;F22),入力!$B$16-1,999999),IF(AND(入力!$B$17&lt;&gt;"",入力!$B$17&gt;F22),入力!$B$17-1,999999),IF(AND(入力!$B$18&lt;&gt;"",入力!$B$18&gt;F22),入力!$B$18-1,999999),IF(AND(入力!$B$19&lt;&gt;"",入力!$B$19&gt;F22),入力!$B$19-1,999999),IF(AND(入力!$B$20&lt;&gt;"",入力!$B$20&gt;F22),入力!$B$20-1,999999),IF(AND(入力!$J$7&lt;&gt;"",入力!$J$7&gt;F22),入力!$J$7-1,999999)))</f>
        <v/>
      </c>
      <c r="H22" s="52">
        <f>IF(F22="","",IFERROR(VLOOKUP(DATE(B22,C22,1),カレンダーマスタ!$A$2:$B$97,2,0),NETWORKDAYS(DATE(B22,C22,1),EOMONTH(F22,0))))</f>
        <v/>
      </c>
      <c r="I22" s="33">
        <f>IF(F22="","",NETWORKDAYS(F22,G22))</f>
        <v/>
      </c>
      <c r="J22" s="52">
        <f>IF(F22="","",IF(入力!$C$8&lt;&gt;"",入力!$C$8,INDEX(入力!$G$37:$G$78,MATCH(DATE(B22,C22,1),入力!$A$37:$A$78,0))))</f>
        <v/>
      </c>
      <c r="K22" s="52">
        <f>IF(F22="","",ROUNDDOWN(INDEX(入力!$H$13:$H$20,MATCH(F22,入力!$B$13:$B$20,1))/H22+INDEX(入力!$I$13:$I$20,MATCH(F22,入力!$B$13:$B$20,1))/22,0))</f>
        <v/>
      </c>
      <c r="L22" s="34">
        <f>IF(F22="","",IF(J22&gt;K22,"〇","×"))</f>
        <v/>
      </c>
      <c r="M22" s="52">
        <f>IF(F22="","",J22*I22)</f>
        <v/>
      </c>
      <c r="N22" s="52">
        <f>IF(F22="","",MIN(J22,K22)*I22)</f>
        <v/>
      </c>
      <c r="O22" s="53">
        <f>IF(F22="","",M22-N22)</f>
        <v/>
      </c>
      <c r="Q22">
        <f>IF(F22="","",IF(COUNTIFS($B$6:B22,B22,$C$6:C22,C22,$E$6:E22,E22)=1,MAX($Q$5:Q21)+1,""))</f>
        <v/>
      </c>
    </row>
    <row r="23">
      <c r="A23" s="30">
        <f>IF(F23="","",18)</f>
        <v/>
      </c>
      <c r="B23" s="30">
        <f>IF(F23="","",YEAR(F23))</f>
        <v/>
      </c>
      <c r="C23" s="30">
        <f>IF(F23="","",MONTH(F23))</f>
        <v/>
      </c>
      <c r="D23" s="30">
        <f>IF(F23="","",INDEX(入力!$A$13:$A$20,MATCH(F23,入力!$B$13:$B$20,1)))</f>
        <v/>
      </c>
      <c r="E23" s="30">
        <f>IF(F23="","",IF(G23&lt;=入力!$J$6,"法定","附加"))</f>
        <v/>
      </c>
      <c r="F23" s="31">
        <f>IF(G22="","",IF(G22&gt;=入力!$J$9,"",G22+1))</f>
        <v/>
      </c>
      <c r="G23" s="31">
        <f>IF(F23="","",MIN(EOMONTH(F23,0),入力!$J$9,IF(AND(入力!$B$13&lt;&gt;"",入力!$B$13&gt;F23),入力!$B$13-1,999999),IF(AND(入力!$B$14&lt;&gt;"",入力!$B$14&gt;F23),入力!$B$14-1,999999),IF(AND(入力!$B$15&lt;&gt;"",入力!$B$15&gt;F23),入力!$B$15-1,999999),IF(AND(入力!$B$16&lt;&gt;"",入力!$B$16&gt;F23),入力!$B$16-1,999999),IF(AND(入力!$B$17&lt;&gt;"",入力!$B$17&gt;F23),入力!$B$17-1,999999),IF(AND(入力!$B$18&lt;&gt;"",入力!$B$18&gt;F23),入力!$B$18-1,999999),IF(AND(入力!$B$19&lt;&gt;"",入力!$B$19&gt;F23),入力!$B$19-1,999999),IF(AND(入力!$B$20&lt;&gt;"",入力!$B$20&gt;F23),入力!$B$20-1,999999),IF(AND(入力!$J$7&lt;&gt;"",入力!$J$7&gt;F23),入力!$J$7-1,999999)))</f>
        <v/>
      </c>
      <c r="H23" s="52">
        <f>IF(F23="","",IFERROR(VLOOKUP(DATE(B23,C23,1),カレンダーマスタ!$A$2:$B$97,2,0),NETWORKDAYS(DATE(B23,C23,1),EOMONTH(F23,0))))</f>
        <v/>
      </c>
      <c r="I23" s="33">
        <f>IF(F23="","",NETWORKDAYS(F23,G23))</f>
        <v/>
      </c>
      <c r="J23" s="52">
        <f>IF(F23="","",IF(入力!$C$8&lt;&gt;"",入力!$C$8,INDEX(入力!$G$37:$G$78,MATCH(DATE(B23,C23,1),入力!$A$37:$A$78,0))))</f>
        <v/>
      </c>
      <c r="K23" s="52">
        <f>IF(F23="","",ROUNDDOWN(INDEX(入力!$H$13:$H$20,MATCH(F23,入力!$B$13:$B$20,1))/H23+INDEX(入力!$I$13:$I$20,MATCH(F23,入力!$B$13:$B$20,1))/22,0))</f>
        <v/>
      </c>
      <c r="L23" s="34">
        <f>IF(F23="","",IF(J23&gt;K23,"〇","×"))</f>
        <v/>
      </c>
      <c r="M23" s="52">
        <f>IF(F23="","",J23*I23)</f>
        <v/>
      </c>
      <c r="N23" s="52">
        <f>IF(F23="","",MIN(J23,K23)*I23)</f>
        <v/>
      </c>
      <c r="O23" s="53">
        <f>IF(F23="","",M23-N23)</f>
        <v/>
      </c>
      <c r="Q23">
        <f>IF(F23="","",IF(COUNTIFS($B$6:B23,B23,$C$6:C23,C23,$E$6:E23,E23)=1,MAX($Q$5:Q22)+1,""))</f>
        <v/>
      </c>
    </row>
    <row r="24">
      <c r="A24" s="30">
        <f>IF(F24="","",19)</f>
        <v/>
      </c>
      <c r="B24" s="30">
        <f>IF(F24="","",YEAR(F24))</f>
        <v/>
      </c>
      <c r="C24" s="30">
        <f>IF(F24="","",MONTH(F24))</f>
        <v/>
      </c>
      <c r="D24" s="30">
        <f>IF(F24="","",INDEX(入力!$A$13:$A$20,MATCH(F24,入力!$B$13:$B$20,1)))</f>
        <v/>
      </c>
      <c r="E24" s="30">
        <f>IF(F24="","",IF(G24&lt;=入力!$J$6,"法定","附加"))</f>
        <v/>
      </c>
      <c r="F24" s="31">
        <f>IF(G23="","",IF(G23&gt;=入力!$J$9,"",G23+1))</f>
        <v/>
      </c>
      <c r="G24" s="31">
        <f>IF(F24="","",MIN(EOMONTH(F24,0),入力!$J$9,IF(AND(入力!$B$13&lt;&gt;"",入力!$B$13&gt;F24),入力!$B$13-1,999999),IF(AND(入力!$B$14&lt;&gt;"",入力!$B$14&gt;F24),入力!$B$14-1,999999),IF(AND(入力!$B$15&lt;&gt;"",入力!$B$15&gt;F24),入力!$B$15-1,999999),IF(AND(入力!$B$16&lt;&gt;"",入力!$B$16&gt;F24),入力!$B$16-1,999999),IF(AND(入力!$B$17&lt;&gt;"",入力!$B$17&gt;F24),入力!$B$17-1,999999),IF(AND(入力!$B$18&lt;&gt;"",入力!$B$18&gt;F24),入力!$B$18-1,999999),IF(AND(入力!$B$19&lt;&gt;"",入力!$B$19&gt;F24),入力!$B$19-1,999999),IF(AND(入力!$B$20&lt;&gt;"",入力!$B$20&gt;F24),入力!$B$20-1,999999),IF(AND(入力!$J$7&lt;&gt;"",入力!$J$7&gt;F24),入力!$J$7-1,999999)))</f>
        <v/>
      </c>
      <c r="H24" s="52">
        <f>IF(F24="","",IFERROR(VLOOKUP(DATE(B24,C24,1),カレンダーマスタ!$A$2:$B$97,2,0),NETWORKDAYS(DATE(B24,C24,1),EOMONTH(F24,0))))</f>
        <v/>
      </c>
      <c r="I24" s="33">
        <f>IF(F24="","",NETWORKDAYS(F24,G24))</f>
        <v/>
      </c>
      <c r="J24" s="52">
        <f>IF(F24="","",IF(入力!$C$8&lt;&gt;"",入力!$C$8,INDEX(入力!$G$37:$G$78,MATCH(DATE(B24,C24,1),入力!$A$37:$A$78,0))))</f>
        <v/>
      </c>
      <c r="K24" s="52">
        <f>IF(F24="","",ROUNDDOWN(INDEX(入力!$H$13:$H$20,MATCH(F24,入力!$B$13:$B$20,1))/H24+INDEX(入力!$I$13:$I$20,MATCH(F24,入力!$B$13:$B$20,1))/22,0))</f>
        <v/>
      </c>
      <c r="L24" s="34">
        <f>IF(F24="","",IF(J24&gt;K24,"〇","×"))</f>
        <v/>
      </c>
      <c r="M24" s="52">
        <f>IF(F24="","",J24*I24)</f>
        <v/>
      </c>
      <c r="N24" s="52">
        <f>IF(F24="","",MIN(J24,K24)*I24)</f>
        <v/>
      </c>
      <c r="O24" s="53">
        <f>IF(F24="","",M24-N24)</f>
        <v/>
      </c>
      <c r="Q24">
        <f>IF(F24="","",IF(COUNTIFS($B$6:B24,B24,$C$6:C24,C24,$E$6:E24,E24)=1,MAX($Q$5:Q23)+1,""))</f>
        <v/>
      </c>
    </row>
    <row r="25">
      <c r="A25" s="30">
        <f>IF(F25="","",20)</f>
        <v/>
      </c>
      <c r="B25" s="30">
        <f>IF(F25="","",YEAR(F25))</f>
        <v/>
      </c>
      <c r="C25" s="30">
        <f>IF(F25="","",MONTH(F25))</f>
        <v/>
      </c>
      <c r="D25" s="30">
        <f>IF(F25="","",INDEX(入力!$A$13:$A$20,MATCH(F25,入力!$B$13:$B$20,1)))</f>
        <v/>
      </c>
      <c r="E25" s="30">
        <f>IF(F25="","",IF(G25&lt;=入力!$J$6,"法定","附加"))</f>
        <v/>
      </c>
      <c r="F25" s="31">
        <f>IF(G24="","",IF(G24&gt;=入力!$J$9,"",G24+1))</f>
        <v/>
      </c>
      <c r="G25" s="31">
        <f>IF(F25="","",MIN(EOMONTH(F25,0),入力!$J$9,IF(AND(入力!$B$13&lt;&gt;"",入力!$B$13&gt;F25),入力!$B$13-1,999999),IF(AND(入力!$B$14&lt;&gt;"",入力!$B$14&gt;F25),入力!$B$14-1,999999),IF(AND(入力!$B$15&lt;&gt;"",入力!$B$15&gt;F25),入力!$B$15-1,999999),IF(AND(入力!$B$16&lt;&gt;"",入力!$B$16&gt;F25),入力!$B$16-1,999999),IF(AND(入力!$B$17&lt;&gt;"",入力!$B$17&gt;F25),入力!$B$17-1,999999),IF(AND(入力!$B$18&lt;&gt;"",入力!$B$18&gt;F25),入力!$B$18-1,999999),IF(AND(入力!$B$19&lt;&gt;"",入力!$B$19&gt;F25),入力!$B$19-1,999999),IF(AND(入力!$B$20&lt;&gt;"",入力!$B$20&gt;F25),入力!$B$20-1,999999),IF(AND(入力!$J$7&lt;&gt;"",入力!$J$7&gt;F25),入力!$J$7-1,999999)))</f>
        <v/>
      </c>
      <c r="H25" s="52">
        <f>IF(F25="","",IFERROR(VLOOKUP(DATE(B25,C25,1),カレンダーマスタ!$A$2:$B$97,2,0),NETWORKDAYS(DATE(B25,C25,1),EOMONTH(F25,0))))</f>
        <v/>
      </c>
      <c r="I25" s="33">
        <f>IF(F25="","",NETWORKDAYS(F25,G25))</f>
        <v/>
      </c>
      <c r="J25" s="52">
        <f>IF(F25="","",IF(入力!$C$8&lt;&gt;"",入力!$C$8,INDEX(入力!$G$37:$G$78,MATCH(DATE(B25,C25,1),入力!$A$37:$A$78,0))))</f>
        <v/>
      </c>
      <c r="K25" s="52">
        <f>IF(F25="","",ROUNDDOWN(INDEX(入力!$H$13:$H$20,MATCH(F25,入力!$B$13:$B$20,1))/H25+INDEX(入力!$I$13:$I$20,MATCH(F25,入力!$B$13:$B$20,1))/22,0))</f>
        <v/>
      </c>
      <c r="L25" s="34">
        <f>IF(F25="","",IF(J25&gt;K25,"〇","×"))</f>
        <v/>
      </c>
      <c r="M25" s="52">
        <f>IF(F25="","",J25*I25)</f>
        <v/>
      </c>
      <c r="N25" s="52">
        <f>IF(F25="","",MIN(J25,K25)*I25)</f>
        <v/>
      </c>
      <c r="O25" s="53">
        <f>IF(F25="","",M25-N25)</f>
        <v/>
      </c>
      <c r="Q25">
        <f>IF(F25="","",IF(COUNTIFS($B$6:B25,B25,$C$6:C25,C25,$E$6:E25,E25)=1,MAX($Q$5:Q24)+1,""))</f>
        <v/>
      </c>
    </row>
    <row r="26">
      <c r="A26" s="30">
        <f>IF(F26="","",21)</f>
        <v/>
      </c>
      <c r="B26" s="30">
        <f>IF(F26="","",YEAR(F26))</f>
        <v/>
      </c>
      <c r="C26" s="30">
        <f>IF(F26="","",MONTH(F26))</f>
        <v/>
      </c>
      <c r="D26" s="30">
        <f>IF(F26="","",INDEX(入力!$A$13:$A$20,MATCH(F26,入力!$B$13:$B$20,1)))</f>
        <v/>
      </c>
      <c r="E26" s="30">
        <f>IF(F26="","",IF(G26&lt;=入力!$J$6,"法定","附加"))</f>
        <v/>
      </c>
      <c r="F26" s="31">
        <f>IF(G25="","",IF(G25&gt;=入力!$J$9,"",G25+1))</f>
        <v/>
      </c>
      <c r="G26" s="31">
        <f>IF(F26="","",MIN(EOMONTH(F26,0),入力!$J$9,IF(AND(入力!$B$13&lt;&gt;"",入力!$B$13&gt;F26),入力!$B$13-1,999999),IF(AND(入力!$B$14&lt;&gt;"",入力!$B$14&gt;F26),入力!$B$14-1,999999),IF(AND(入力!$B$15&lt;&gt;"",入力!$B$15&gt;F26),入力!$B$15-1,999999),IF(AND(入力!$B$16&lt;&gt;"",入力!$B$16&gt;F26),入力!$B$16-1,999999),IF(AND(入力!$B$17&lt;&gt;"",入力!$B$17&gt;F26),入力!$B$17-1,999999),IF(AND(入力!$B$18&lt;&gt;"",入力!$B$18&gt;F26),入力!$B$18-1,999999),IF(AND(入力!$B$19&lt;&gt;"",入力!$B$19&gt;F26),入力!$B$19-1,999999),IF(AND(入力!$B$20&lt;&gt;"",入力!$B$20&gt;F26),入力!$B$20-1,999999),IF(AND(入力!$J$7&lt;&gt;"",入力!$J$7&gt;F26),入力!$J$7-1,999999)))</f>
        <v/>
      </c>
      <c r="H26" s="52">
        <f>IF(F26="","",IFERROR(VLOOKUP(DATE(B26,C26,1),カレンダーマスタ!$A$2:$B$97,2,0),NETWORKDAYS(DATE(B26,C26,1),EOMONTH(F26,0))))</f>
        <v/>
      </c>
      <c r="I26" s="33">
        <f>IF(F26="","",NETWORKDAYS(F26,G26))</f>
        <v/>
      </c>
      <c r="J26" s="52">
        <f>IF(F26="","",IF(入力!$C$8&lt;&gt;"",入力!$C$8,INDEX(入力!$G$37:$G$78,MATCH(DATE(B26,C26,1),入力!$A$37:$A$78,0))))</f>
        <v/>
      </c>
      <c r="K26" s="52">
        <f>IF(F26="","",ROUNDDOWN(INDEX(入力!$H$13:$H$20,MATCH(F26,入力!$B$13:$B$20,1))/H26+INDEX(入力!$I$13:$I$20,MATCH(F26,入力!$B$13:$B$20,1))/22,0))</f>
        <v/>
      </c>
      <c r="L26" s="34">
        <f>IF(F26="","",IF(J26&gt;K26,"〇","×"))</f>
        <v/>
      </c>
      <c r="M26" s="52">
        <f>IF(F26="","",J26*I26)</f>
        <v/>
      </c>
      <c r="N26" s="52">
        <f>IF(F26="","",MIN(J26,K26)*I26)</f>
        <v/>
      </c>
      <c r="O26" s="53">
        <f>IF(F26="","",M26-N26)</f>
        <v/>
      </c>
      <c r="Q26">
        <f>IF(F26="","",IF(COUNTIFS($B$6:B26,B26,$C$6:C26,C26,$E$6:E26,E26)=1,MAX($Q$5:Q25)+1,""))</f>
        <v/>
      </c>
    </row>
    <row r="27">
      <c r="A27" s="30">
        <f>IF(F27="","",22)</f>
        <v/>
      </c>
      <c r="B27" s="30">
        <f>IF(F27="","",YEAR(F27))</f>
        <v/>
      </c>
      <c r="C27" s="30">
        <f>IF(F27="","",MONTH(F27))</f>
        <v/>
      </c>
      <c r="D27" s="30">
        <f>IF(F27="","",INDEX(入力!$A$13:$A$20,MATCH(F27,入力!$B$13:$B$20,1)))</f>
        <v/>
      </c>
      <c r="E27" s="30">
        <f>IF(F27="","",IF(G27&lt;=入力!$J$6,"法定","附加"))</f>
        <v/>
      </c>
      <c r="F27" s="31">
        <f>IF(G26="","",IF(G26&gt;=入力!$J$9,"",G26+1))</f>
        <v/>
      </c>
      <c r="G27" s="31">
        <f>IF(F27="","",MIN(EOMONTH(F27,0),入力!$J$9,IF(AND(入力!$B$13&lt;&gt;"",入力!$B$13&gt;F27),入力!$B$13-1,999999),IF(AND(入力!$B$14&lt;&gt;"",入力!$B$14&gt;F27),入力!$B$14-1,999999),IF(AND(入力!$B$15&lt;&gt;"",入力!$B$15&gt;F27),入力!$B$15-1,999999),IF(AND(入力!$B$16&lt;&gt;"",入力!$B$16&gt;F27),入力!$B$16-1,999999),IF(AND(入力!$B$17&lt;&gt;"",入力!$B$17&gt;F27),入力!$B$17-1,999999),IF(AND(入力!$B$18&lt;&gt;"",入力!$B$18&gt;F27),入力!$B$18-1,999999),IF(AND(入力!$B$19&lt;&gt;"",入力!$B$19&gt;F27),入力!$B$19-1,999999),IF(AND(入力!$B$20&lt;&gt;"",入力!$B$20&gt;F27),入力!$B$20-1,999999),IF(AND(入力!$J$7&lt;&gt;"",入力!$J$7&gt;F27),入力!$J$7-1,999999)))</f>
        <v/>
      </c>
      <c r="H27" s="52">
        <f>IF(F27="","",IFERROR(VLOOKUP(DATE(B27,C27,1),カレンダーマスタ!$A$2:$B$97,2,0),NETWORKDAYS(DATE(B27,C27,1),EOMONTH(F27,0))))</f>
        <v/>
      </c>
      <c r="I27" s="33">
        <f>IF(F27="","",NETWORKDAYS(F27,G27))</f>
        <v/>
      </c>
      <c r="J27" s="52">
        <f>IF(F27="","",IF(入力!$C$8&lt;&gt;"",入力!$C$8,INDEX(入力!$G$37:$G$78,MATCH(DATE(B27,C27,1),入力!$A$37:$A$78,0))))</f>
        <v/>
      </c>
      <c r="K27" s="52">
        <f>IF(F27="","",ROUNDDOWN(INDEX(入力!$H$13:$H$20,MATCH(F27,入力!$B$13:$B$20,1))/H27+INDEX(入力!$I$13:$I$20,MATCH(F27,入力!$B$13:$B$20,1))/22,0))</f>
        <v/>
      </c>
      <c r="L27" s="34">
        <f>IF(F27="","",IF(J27&gt;K27,"〇","×"))</f>
        <v/>
      </c>
      <c r="M27" s="52">
        <f>IF(F27="","",J27*I27)</f>
        <v/>
      </c>
      <c r="N27" s="52">
        <f>IF(F27="","",MIN(J27,K27)*I27)</f>
        <v/>
      </c>
      <c r="O27" s="53">
        <f>IF(F27="","",M27-N27)</f>
        <v/>
      </c>
      <c r="Q27">
        <f>IF(F27="","",IF(COUNTIFS($B$6:B27,B27,$C$6:C27,C27,$E$6:E27,E27)=1,MAX($Q$5:Q26)+1,""))</f>
        <v/>
      </c>
    </row>
    <row r="28">
      <c r="A28" s="30">
        <f>IF(F28="","",23)</f>
        <v/>
      </c>
      <c r="B28" s="30">
        <f>IF(F28="","",YEAR(F28))</f>
        <v/>
      </c>
      <c r="C28" s="30">
        <f>IF(F28="","",MONTH(F28))</f>
        <v/>
      </c>
      <c r="D28" s="30">
        <f>IF(F28="","",INDEX(入力!$A$13:$A$20,MATCH(F28,入力!$B$13:$B$20,1)))</f>
        <v/>
      </c>
      <c r="E28" s="30">
        <f>IF(F28="","",IF(G28&lt;=入力!$J$6,"法定","附加"))</f>
        <v/>
      </c>
      <c r="F28" s="31">
        <f>IF(G27="","",IF(G27&gt;=入力!$J$9,"",G27+1))</f>
        <v/>
      </c>
      <c r="G28" s="31">
        <f>IF(F28="","",MIN(EOMONTH(F28,0),入力!$J$9,IF(AND(入力!$B$13&lt;&gt;"",入力!$B$13&gt;F28),入力!$B$13-1,999999),IF(AND(入力!$B$14&lt;&gt;"",入力!$B$14&gt;F28),入力!$B$14-1,999999),IF(AND(入力!$B$15&lt;&gt;"",入力!$B$15&gt;F28),入力!$B$15-1,999999),IF(AND(入力!$B$16&lt;&gt;"",入力!$B$16&gt;F28),入力!$B$16-1,999999),IF(AND(入力!$B$17&lt;&gt;"",入力!$B$17&gt;F28),入力!$B$17-1,999999),IF(AND(入力!$B$18&lt;&gt;"",入力!$B$18&gt;F28),入力!$B$18-1,999999),IF(AND(入力!$B$19&lt;&gt;"",入力!$B$19&gt;F28),入力!$B$19-1,999999),IF(AND(入力!$B$20&lt;&gt;"",入力!$B$20&gt;F28),入力!$B$20-1,999999),IF(AND(入力!$J$7&lt;&gt;"",入力!$J$7&gt;F28),入力!$J$7-1,999999)))</f>
        <v/>
      </c>
      <c r="H28" s="52">
        <f>IF(F28="","",IFERROR(VLOOKUP(DATE(B28,C28,1),カレンダーマスタ!$A$2:$B$97,2,0),NETWORKDAYS(DATE(B28,C28,1),EOMONTH(F28,0))))</f>
        <v/>
      </c>
      <c r="I28" s="33">
        <f>IF(F28="","",NETWORKDAYS(F28,G28))</f>
        <v/>
      </c>
      <c r="J28" s="52">
        <f>IF(F28="","",IF(入力!$C$8&lt;&gt;"",入力!$C$8,INDEX(入力!$G$37:$G$78,MATCH(DATE(B28,C28,1),入力!$A$37:$A$78,0))))</f>
        <v/>
      </c>
      <c r="K28" s="52">
        <f>IF(F28="","",ROUNDDOWN(INDEX(入力!$H$13:$H$20,MATCH(F28,入力!$B$13:$B$20,1))/H28+INDEX(入力!$I$13:$I$20,MATCH(F28,入力!$B$13:$B$20,1))/22,0))</f>
        <v/>
      </c>
      <c r="L28" s="34">
        <f>IF(F28="","",IF(J28&gt;K28,"〇","×"))</f>
        <v/>
      </c>
      <c r="M28" s="52">
        <f>IF(F28="","",J28*I28)</f>
        <v/>
      </c>
      <c r="N28" s="52">
        <f>IF(F28="","",MIN(J28,K28)*I28)</f>
        <v/>
      </c>
      <c r="O28" s="53">
        <f>IF(F28="","",M28-N28)</f>
        <v/>
      </c>
      <c r="Q28">
        <f>IF(F28="","",IF(COUNTIFS($B$6:B28,B28,$C$6:C28,C28,$E$6:E28,E28)=1,MAX($Q$5:Q27)+1,""))</f>
        <v/>
      </c>
    </row>
    <row r="29">
      <c r="A29" s="30">
        <f>IF(F29="","",24)</f>
        <v/>
      </c>
      <c r="B29" s="30">
        <f>IF(F29="","",YEAR(F29))</f>
        <v/>
      </c>
      <c r="C29" s="30">
        <f>IF(F29="","",MONTH(F29))</f>
        <v/>
      </c>
      <c r="D29" s="30">
        <f>IF(F29="","",INDEX(入力!$A$13:$A$20,MATCH(F29,入力!$B$13:$B$20,1)))</f>
        <v/>
      </c>
      <c r="E29" s="30">
        <f>IF(F29="","",IF(G29&lt;=入力!$J$6,"法定","附加"))</f>
        <v/>
      </c>
      <c r="F29" s="31">
        <f>IF(G28="","",IF(G28&gt;=入力!$J$9,"",G28+1))</f>
        <v/>
      </c>
      <c r="G29" s="31">
        <f>IF(F29="","",MIN(EOMONTH(F29,0),入力!$J$9,IF(AND(入力!$B$13&lt;&gt;"",入力!$B$13&gt;F29),入力!$B$13-1,999999),IF(AND(入力!$B$14&lt;&gt;"",入力!$B$14&gt;F29),入力!$B$14-1,999999),IF(AND(入力!$B$15&lt;&gt;"",入力!$B$15&gt;F29),入力!$B$15-1,999999),IF(AND(入力!$B$16&lt;&gt;"",入力!$B$16&gt;F29),入力!$B$16-1,999999),IF(AND(入力!$B$17&lt;&gt;"",入力!$B$17&gt;F29),入力!$B$17-1,999999),IF(AND(入力!$B$18&lt;&gt;"",入力!$B$18&gt;F29),入力!$B$18-1,999999),IF(AND(入力!$B$19&lt;&gt;"",入力!$B$19&gt;F29),入力!$B$19-1,999999),IF(AND(入力!$B$20&lt;&gt;"",入力!$B$20&gt;F29),入力!$B$20-1,999999),IF(AND(入力!$J$7&lt;&gt;"",入力!$J$7&gt;F29),入力!$J$7-1,999999)))</f>
        <v/>
      </c>
      <c r="H29" s="52">
        <f>IF(F29="","",IFERROR(VLOOKUP(DATE(B29,C29,1),カレンダーマスタ!$A$2:$B$97,2,0),NETWORKDAYS(DATE(B29,C29,1),EOMONTH(F29,0))))</f>
        <v/>
      </c>
      <c r="I29" s="33">
        <f>IF(F29="","",NETWORKDAYS(F29,G29))</f>
        <v/>
      </c>
      <c r="J29" s="52">
        <f>IF(F29="","",IF(入力!$C$8&lt;&gt;"",入力!$C$8,INDEX(入力!$G$37:$G$78,MATCH(DATE(B29,C29,1),入力!$A$37:$A$78,0))))</f>
        <v/>
      </c>
      <c r="K29" s="52">
        <f>IF(F29="","",ROUNDDOWN(INDEX(入力!$H$13:$H$20,MATCH(F29,入力!$B$13:$B$20,1))/H29+INDEX(入力!$I$13:$I$20,MATCH(F29,入力!$B$13:$B$20,1))/22,0))</f>
        <v/>
      </c>
      <c r="L29" s="34">
        <f>IF(F29="","",IF(J29&gt;K29,"〇","×"))</f>
        <v/>
      </c>
      <c r="M29" s="52">
        <f>IF(F29="","",J29*I29)</f>
        <v/>
      </c>
      <c r="N29" s="52">
        <f>IF(F29="","",MIN(J29,K29)*I29)</f>
        <v/>
      </c>
      <c r="O29" s="53">
        <f>IF(F29="","",M29-N29)</f>
        <v/>
      </c>
      <c r="Q29">
        <f>IF(F29="","",IF(COUNTIFS($B$6:B29,B29,$C$6:C29,C29,$E$6:E29,E29)=1,MAX($Q$5:Q28)+1,""))</f>
        <v/>
      </c>
    </row>
    <row r="30">
      <c r="A30" s="30">
        <f>IF(F30="","",25)</f>
        <v/>
      </c>
      <c r="B30" s="30">
        <f>IF(F30="","",YEAR(F30))</f>
        <v/>
      </c>
      <c r="C30" s="30">
        <f>IF(F30="","",MONTH(F30))</f>
        <v/>
      </c>
      <c r="D30" s="30">
        <f>IF(F30="","",INDEX(入力!$A$13:$A$20,MATCH(F30,入力!$B$13:$B$20,1)))</f>
        <v/>
      </c>
      <c r="E30" s="30">
        <f>IF(F30="","",IF(G30&lt;=入力!$J$6,"法定","附加"))</f>
        <v/>
      </c>
      <c r="F30" s="31">
        <f>IF(G29="","",IF(G29&gt;=入力!$J$9,"",G29+1))</f>
        <v/>
      </c>
      <c r="G30" s="31">
        <f>IF(F30="","",MIN(EOMONTH(F30,0),入力!$J$9,IF(AND(入力!$B$13&lt;&gt;"",入力!$B$13&gt;F30),入力!$B$13-1,999999),IF(AND(入力!$B$14&lt;&gt;"",入力!$B$14&gt;F30),入力!$B$14-1,999999),IF(AND(入力!$B$15&lt;&gt;"",入力!$B$15&gt;F30),入力!$B$15-1,999999),IF(AND(入力!$B$16&lt;&gt;"",入力!$B$16&gt;F30),入力!$B$16-1,999999),IF(AND(入力!$B$17&lt;&gt;"",入力!$B$17&gt;F30),入力!$B$17-1,999999),IF(AND(入力!$B$18&lt;&gt;"",入力!$B$18&gt;F30),入力!$B$18-1,999999),IF(AND(入力!$B$19&lt;&gt;"",入力!$B$19&gt;F30),入力!$B$19-1,999999),IF(AND(入力!$B$20&lt;&gt;"",入力!$B$20&gt;F30),入力!$B$20-1,999999),IF(AND(入力!$J$7&lt;&gt;"",入力!$J$7&gt;F30),入力!$J$7-1,999999)))</f>
        <v/>
      </c>
      <c r="H30" s="52">
        <f>IF(F30="","",IFERROR(VLOOKUP(DATE(B30,C30,1),カレンダーマスタ!$A$2:$B$97,2,0),NETWORKDAYS(DATE(B30,C30,1),EOMONTH(F30,0))))</f>
        <v/>
      </c>
      <c r="I30" s="33">
        <f>IF(F30="","",NETWORKDAYS(F30,G30))</f>
        <v/>
      </c>
      <c r="J30" s="52">
        <f>IF(F30="","",IF(入力!$C$8&lt;&gt;"",入力!$C$8,INDEX(入力!$G$37:$G$78,MATCH(DATE(B30,C30,1),入力!$A$37:$A$78,0))))</f>
        <v/>
      </c>
      <c r="K30" s="52">
        <f>IF(F30="","",ROUNDDOWN(INDEX(入力!$H$13:$H$20,MATCH(F30,入力!$B$13:$B$20,1))/H30+INDEX(入力!$I$13:$I$20,MATCH(F30,入力!$B$13:$B$20,1))/22,0))</f>
        <v/>
      </c>
      <c r="L30" s="34">
        <f>IF(F30="","",IF(J30&gt;K30,"〇","×"))</f>
        <v/>
      </c>
      <c r="M30" s="52">
        <f>IF(F30="","",J30*I30)</f>
        <v/>
      </c>
      <c r="N30" s="52">
        <f>IF(F30="","",MIN(J30,K30)*I30)</f>
        <v/>
      </c>
      <c r="O30" s="53">
        <f>IF(F30="","",M30-N30)</f>
        <v/>
      </c>
      <c r="Q30">
        <f>IF(F30="","",IF(COUNTIFS($B$6:B30,B30,$C$6:C30,C30,$E$6:E30,E30)=1,MAX($Q$5:Q29)+1,""))</f>
        <v/>
      </c>
    </row>
    <row r="31">
      <c r="A31" s="30">
        <f>IF(F31="","",26)</f>
        <v/>
      </c>
      <c r="B31" s="30">
        <f>IF(F31="","",YEAR(F31))</f>
        <v/>
      </c>
      <c r="C31" s="30">
        <f>IF(F31="","",MONTH(F31))</f>
        <v/>
      </c>
      <c r="D31" s="30">
        <f>IF(F31="","",INDEX(入力!$A$13:$A$20,MATCH(F31,入力!$B$13:$B$20,1)))</f>
        <v/>
      </c>
      <c r="E31" s="30">
        <f>IF(F31="","",IF(G31&lt;=入力!$J$6,"法定","附加"))</f>
        <v/>
      </c>
      <c r="F31" s="31">
        <f>IF(G30="","",IF(G30&gt;=入力!$J$9,"",G30+1))</f>
        <v/>
      </c>
      <c r="G31" s="31">
        <f>IF(F31="","",MIN(EOMONTH(F31,0),入力!$J$9,IF(AND(入力!$B$13&lt;&gt;"",入力!$B$13&gt;F31),入力!$B$13-1,999999),IF(AND(入力!$B$14&lt;&gt;"",入力!$B$14&gt;F31),入力!$B$14-1,999999),IF(AND(入力!$B$15&lt;&gt;"",入力!$B$15&gt;F31),入力!$B$15-1,999999),IF(AND(入力!$B$16&lt;&gt;"",入力!$B$16&gt;F31),入力!$B$16-1,999999),IF(AND(入力!$B$17&lt;&gt;"",入力!$B$17&gt;F31),入力!$B$17-1,999999),IF(AND(入力!$B$18&lt;&gt;"",入力!$B$18&gt;F31),入力!$B$18-1,999999),IF(AND(入力!$B$19&lt;&gt;"",入力!$B$19&gt;F31),入力!$B$19-1,999999),IF(AND(入力!$B$20&lt;&gt;"",入力!$B$20&gt;F31),入力!$B$20-1,999999),IF(AND(入力!$J$7&lt;&gt;"",入力!$J$7&gt;F31),入力!$J$7-1,999999)))</f>
        <v/>
      </c>
      <c r="H31" s="52">
        <f>IF(F31="","",IFERROR(VLOOKUP(DATE(B31,C31,1),カレンダーマスタ!$A$2:$B$97,2,0),NETWORKDAYS(DATE(B31,C31,1),EOMONTH(F31,0))))</f>
        <v/>
      </c>
      <c r="I31" s="33">
        <f>IF(F31="","",NETWORKDAYS(F31,G31))</f>
        <v/>
      </c>
      <c r="J31" s="52">
        <f>IF(F31="","",IF(入力!$C$8&lt;&gt;"",入力!$C$8,INDEX(入力!$G$37:$G$78,MATCH(DATE(B31,C31,1),入力!$A$37:$A$78,0))))</f>
        <v/>
      </c>
      <c r="K31" s="52">
        <f>IF(F31="","",ROUNDDOWN(INDEX(入力!$H$13:$H$20,MATCH(F31,入力!$B$13:$B$20,1))/H31+INDEX(入力!$I$13:$I$20,MATCH(F31,入力!$B$13:$B$20,1))/22,0))</f>
        <v/>
      </c>
      <c r="L31" s="34">
        <f>IF(F31="","",IF(J31&gt;K31,"〇","×"))</f>
        <v/>
      </c>
      <c r="M31" s="52">
        <f>IF(F31="","",J31*I31)</f>
        <v/>
      </c>
      <c r="N31" s="52">
        <f>IF(F31="","",MIN(J31,K31)*I31)</f>
        <v/>
      </c>
      <c r="O31" s="53">
        <f>IF(F31="","",M31-N31)</f>
        <v/>
      </c>
      <c r="Q31">
        <f>IF(F31="","",IF(COUNTIFS($B$6:B31,B31,$C$6:C31,C31,$E$6:E31,E31)=1,MAX($Q$5:Q30)+1,""))</f>
        <v/>
      </c>
    </row>
    <row r="32">
      <c r="A32" s="30">
        <f>IF(F32="","",27)</f>
        <v/>
      </c>
      <c r="B32" s="30">
        <f>IF(F32="","",YEAR(F32))</f>
        <v/>
      </c>
      <c r="C32" s="30">
        <f>IF(F32="","",MONTH(F32))</f>
        <v/>
      </c>
      <c r="D32" s="30">
        <f>IF(F32="","",INDEX(入力!$A$13:$A$20,MATCH(F32,入力!$B$13:$B$20,1)))</f>
        <v/>
      </c>
      <c r="E32" s="30">
        <f>IF(F32="","",IF(G32&lt;=入力!$J$6,"法定","附加"))</f>
        <v/>
      </c>
      <c r="F32" s="31">
        <f>IF(G31="","",IF(G31&gt;=入力!$J$9,"",G31+1))</f>
        <v/>
      </c>
      <c r="G32" s="31">
        <f>IF(F32="","",MIN(EOMONTH(F32,0),入力!$J$9,IF(AND(入力!$B$13&lt;&gt;"",入力!$B$13&gt;F32),入力!$B$13-1,999999),IF(AND(入力!$B$14&lt;&gt;"",入力!$B$14&gt;F32),入力!$B$14-1,999999),IF(AND(入力!$B$15&lt;&gt;"",入力!$B$15&gt;F32),入力!$B$15-1,999999),IF(AND(入力!$B$16&lt;&gt;"",入力!$B$16&gt;F32),入力!$B$16-1,999999),IF(AND(入力!$B$17&lt;&gt;"",入力!$B$17&gt;F32),入力!$B$17-1,999999),IF(AND(入力!$B$18&lt;&gt;"",入力!$B$18&gt;F32),入力!$B$18-1,999999),IF(AND(入力!$B$19&lt;&gt;"",入力!$B$19&gt;F32),入力!$B$19-1,999999),IF(AND(入力!$B$20&lt;&gt;"",入力!$B$20&gt;F32),入力!$B$20-1,999999),IF(AND(入力!$J$7&lt;&gt;"",入力!$J$7&gt;F32),入力!$J$7-1,999999)))</f>
        <v/>
      </c>
      <c r="H32" s="52">
        <f>IF(F32="","",IFERROR(VLOOKUP(DATE(B32,C32,1),カレンダーマスタ!$A$2:$B$97,2,0),NETWORKDAYS(DATE(B32,C32,1),EOMONTH(F32,0))))</f>
        <v/>
      </c>
      <c r="I32" s="33">
        <f>IF(F32="","",NETWORKDAYS(F32,G32))</f>
        <v/>
      </c>
      <c r="J32" s="52">
        <f>IF(F32="","",IF(入力!$C$8&lt;&gt;"",入力!$C$8,INDEX(入力!$G$37:$G$78,MATCH(DATE(B32,C32,1),入力!$A$37:$A$78,0))))</f>
        <v/>
      </c>
      <c r="K32" s="52">
        <f>IF(F32="","",ROUNDDOWN(INDEX(入力!$H$13:$H$20,MATCH(F32,入力!$B$13:$B$20,1))/H32+INDEX(入力!$I$13:$I$20,MATCH(F32,入力!$B$13:$B$20,1))/22,0))</f>
        <v/>
      </c>
      <c r="L32" s="34">
        <f>IF(F32="","",IF(J32&gt;K32,"〇","×"))</f>
        <v/>
      </c>
      <c r="M32" s="52">
        <f>IF(F32="","",J32*I32)</f>
        <v/>
      </c>
      <c r="N32" s="52">
        <f>IF(F32="","",MIN(J32,K32)*I32)</f>
        <v/>
      </c>
      <c r="O32" s="53">
        <f>IF(F32="","",M32-N32)</f>
        <v/>
      </c>
      <c r="Q32">
        <f>IF(F32="","",IF(COUNTIFS($B$6:B32,B32,$C$6:C32,C32,$E$6:E32,E32)=1,MAX($Q$5:Q31)+1,""))</f>
        <v/>
      </c>
    </row>
    <row r="33">
      <c r="A33" s="30">
        <f>IF(F33="","",28)</f>
        <v/>
      </c>
      <c r="B33" s="30">
        <f>IF(F33="","",YEAR(F33))</f>
        <v/>
      </c>
      <c r="C33" s="30">
        <f>IF(F33="","",MONTH(F33))</f>
        <v/>
      </c>
      <c r="D33" s="30">
        <f>IF(F33="","",INDEX(入力!$A$13:$A$20,MATCH(F33,入力!$B$13:$B$20,1)))</f>
        <v/>
      </c>
      <c r="E33" s="30">
        <f>IF(F33="","",IF(G33&lt;=入力!$J$6,"法定","附加"))</f>
        <v/>
      </c>
      <c r="F33" s="31">
        <f>IF(G32="","",IF(G32&gt;=入力!$J$9,"",G32+1))</f>
        <v/>
      </c>
      <c r="G33" s="31">
        <f>IF(F33="","",MIN(EOMONTH(F33,0),入力!$J$9,IF(AND(入力!$B$13&lt;&gt;"",入力!$B$13&gt;F33),入力!$B$13-1,999999),IF(AND(入力!$B$14&lt;&gt;"",入力!$B$14&gt;F33),入力!$B$14-1,999999),IF(AND(入力!$B$15&lt;&gt;"",入力!$B$15&gt;F33),入力!$B$15-1,999999),IF(AND(入力!$B$16&lt;&gt;"",入力!$B$16&gt;F33),入力!$B$16-1,999999),IF(AND(入力!$B$17&lt;&gt;"",入力!$B$17&gt;F33),入力!$B$17-1,999999),IF(AND(入力!$B$18&lt;&gt;"",入力!$B$18&gt;F33),入力!$B$18-1,999999),IF(AND(入力!$B$19&lt;&gt;"",入力!$B$19&gt;F33),入力!$B$19-1,999999),IF(AND(入力!$B$20&lt;&gt;"",入力!$B$20&gt;F33),入力!$B$20-1,999999),IF(AND(入力!$J$7&lt;&gt;"",入力!$J$7&gt;F33),入力!$J$7-1,999999)))</f>
        <v/>
      </c>
      <c r="H33" s="52">
        <f>IF(F33="","",IFERROR(VLOOKUP(DATE(B33,C33,1),カレンダーマスタ!$A$2:$B$97,2,0),NETWORKDAYS(DATE(B33,C33,1),EOMONTH(F33,0))))</f>
        <v/>
      </c>
      <c r="I33" s="33">
        <f>IF(F33="","",NETWORKDAYS(F33,G33))</f>
        <v/>
      </c>
      <c r="J33" s="52">
        <f>IF(F33="","",IF(入力!$C$8&lt;&gt;"",入力!$C$8,INDEX(入力!$G$37:$G$78,MATCH(DATE(B33,C33,1),入力!$A$37:$A$78,0))))</f>
        <v/>
      </c>
      <c r="K33" s="52">
        <f>IF(F33="","",ROUNDDOWN(INDEX(入力!$H$13:$H$20,MATCH(F33,入力!$B$13:$B$20,1))/H33+INDEX(入力!$I$13:$I$20,MATCH(F33,入力!$B$13:$B$20,1))/22,0))</f>
        <v/>
      </c>
      <c r="L33" s="34">
        <f>IF(F33="","",IF(J33&gt;K33,"〇","×"))</f>
        <v/>
      </c>
      <c r="M33" s="52">
        <f>IF(F33="","",J33*I33)</f>
        <v/>
      </c>
      <c r="N33" s="52">
        <f>IF(F33="","",MIN(J33,K33)*I33)</f>
        <v/>
      </c>
      <c r="O33" s="53">
        <f>IF(F33="","",M33-N33)</f>
        <v/>
      </c>
      <c r="Q33">
        <f>IF(F33="","",IF(COUNTIFS($B$6:B33,B33,$C$6:C33,C33,$E$6:E33,E33)=1,MAX($Q$5:Q32)+1,""))</f>
        <v/>
      </c>
    </row>
    <row r="34">
      <c r="A34" s="30">
        <f>IF(F34="","",29)</f>
        <v/>
      </c>
      <c r="B34" s="30">
        <f>IF(F34="","",YEAR(F34))</f>
        <v/>
      </c>
      <c r="C34" s="30">
        <f>IF(F34="","",MONTH(F34))</f>
        <v/>
      </c>
      <c r="D34" s="30">
        <f>IF(F34="","",INDEX(入力!$A$13:$A$20,MATCH(F34,入力!$B$13:$B$20,1)))</f>
        <v/>
      </c>
      <c r="E34" s="30">
        <f>IF(F34="","",IF(G34&lt;=入力!$J$6,"法定","附加"))</f>
        <v/>
      </c>
      <c r="F34" s="31">
        <f>IF(G33="","",IF(G33&gt;=入力!$J$9,"",G33+1))</f>
        <v/>
      </c>
      <c r="G34" s="31">
        <f>IF(F34="","",MIN(EOMONTH(F34,0),入力!$J$9,IF(AND(入力!$B$13&lt;&gt;"",入力!$B$13&gt;F34),入力!$B$13-1,999999),IF(AND(入力!$B$14&lt;&gt;"",入力!$B$14&gt;F34),入力!$B$14-1,999999),IF(AND(入力!$B$15&lt;&gt;"",入力!$B$15&gt;F34),入力!$B$15-1,999999),IF(AND(入力!$B$16&lt;&gt;"",入力!$B$16&gt;F34),入力!$B$16-1,999999),IF(AND(入力!$B$17&lt;&gt;"",入力!$B$17&gt;F34),入力!$B$17-1,999999),IF(AND(入力!$B$18&lt;&gt;"",入力!$B$18&gt;F34),入力!$B$18-1,999999),IF(AND(入力!$B$19&lt;&gt;"",入力!$B$19&gt;F34),入力!$B$19-1,999999),IF(AND(入力!$B$20&lt;&gt;"",入力!$B$20&gt;F34),入力!$B$20-1,999999),IF(AND(入力!$J$7&lt;&gt;"",入力!$J$7&gt;F34),入力!$J$7-1,999999)))</f>
        <v/>
      </c>
      <c r="H34" s="52">
        <f>IF(F34="","",IFERROR(VLOOKUP(DATE(B34,C34,1),カレンダーマスタ!$A$2:$B$97,2,0),NETWORKDAYS(DATE(B34,C34,1),EOMONTH(F34,0))))</f>
        <v/>
      </c>
      <c r="I34" s="33">
        <f>IF(F34="","",NETWORKDAYS(F34,G34))</f>
        <v/>
      </c>
      <c r="J34" s="52">
        <f>IF(F34="","",IF(入力!$C$8&lt;&gt;"",入力!$C$8,INDEX(入力!$G$37:$G$78,MATCH(DATE(B34,C34,1),入力!$A$37:$A$78,0))))</f>
        <v/>
      </c>
      <c r="K34" s="52">
        <f>IF(F34="","",ROUNDDOWN(INDEX(入力!$H$13:$H$20,MATCH(F34,入力!$B$13:$B$20,1))/H34+INDEX(入力!$I$13:$I$20,MATCH(F34,入力!$B$13:$B$20,1))/22,0))</f>
        <v/>
      </c>
      <c r="L34" s="34">
        <f>IF(F34="","",IF(J34&gt;K34,"〇","×"))</f>
        <v/>
      </c>
      <c r="M34" s="52">
        <f>IF(F34="","",J34*I34)</f>
        <v/>
      </c>
      <c r="N34" s="52">
        <f>IF(F34="","",MIN(J34,K34)*I34)</f>
        <v/>
      </c>
      <c r="O34" s="53">
        <f>IF(F34="","",M34-N34)</f>
        <v/>
      </c>
      <c r="Q34">
        <f>IF(F34="","",IF(COUNTIFS($B$6:B34,B34,$C$6:C34,C34,$E$6:E34,E34)=1,MAX($Q$5:Q33)+1,""))</f>
        <v/>
      </c>
    </row>
    <row r="35">
      <c r="A35" s="30">
        <f>IF(F35="","",30)</f>
        <v/>
      </c>
      <c r="B35" s="30">
        <f>IF(F35="","",YEAR(F35))</f>
        <v/>
      </c>
      <c r="C35" s="30">
        <f>IF(F35="","",MONTH(F35))</f>
        <v/>
      </c>
      <c r="D35" s="30">
        <f>IF(F35="","",INDEX(入力!$A$13:$A$20,MATCH(F35,入力!$B$13:$B$20,1)))</f>
        <v/>
      </c>
      <c r="E35" s="30">
        <f>IF(F35="","",IF(G35&lt;=入力!$J$6,"法定","附加"))</f>
        <v/>
      </c>
      <c r="F35" s="31">
        <f>IF(G34="","",IF(G34&gt;=入力!$J$9,"",G34+1))</f>
        <v/>
      </c>
      <c r="G35" s="31">
        <f>IF(F35="","",MIN(EOMONTH(F35,0),入力!$J$9,IF(AND(入力!$B$13&lt;&gt;"",入力!$B$13&gt;F35),入力!$B$13-1,999999),IF(AND(入力!$B$14&lt;&gt;"",入力!$B$14&gt;F35),入力!$B$14-1,999999),IF(AND(入力!$B$15&lt;&gt;"",入力!$B$15&gt;F35),入力!$B$15-1,999999),IF(AND(入力!$B$16&lt;&gt;"",入力!$B$16&gt;F35),入力!$B$16-1,999999),IF(AND(入力!$B$17&lt;&gt;"",入力!$B$17&gt;F35),入力!$B$17-1,999999),IF(AND(入力!$B$18&lt;&gt;"",入力!$B$18&gt;F35),入力!$B$18-1,999999),IF(AND(入力!$B$19&lt;&gt;"",入力!$B$19&gt;F35),入力!$B$19-1,999999),IF(AND(入力!$B$20&lt;&gt;"",入力!$B$20&gt;F35),入力!$B$20-1,999999),IF(AND(入力!$J$7&lt;&gt;"",入力!$J$7&gt;F35),入力!$J$7-1,999999)))</f>
        <v/>
      </c>
      <c r="H35" s="52">
        <f>IF(F35="","",IFERROR(VLOOKUP(DATE(B35,C35,1),カレンダーマスタ!$A$2:$B$97,2,0),NETWORKDAYS(DATE(B35,C35,1),EOMONTH(F35,0))))</f>
        <v/>
      </c>
      <c r="I35" s="33">
        <f>IF(F35="","",NETWORKDAYS(F35,G35))</f>
        <v/>
      </c>
      <c r="J35" s="52">
        <f>IF(F35="","",IF(入力!$C$8&lt;&gt;"",入力!$C$8,INDEX(入力!$G$37:$G$78,MATCH(DATE(B35,C35,1),入力!$A$37:$A$78,0))))</f>
        <v/>
      </c>
      <c r="K35" s="52">
        <f>IF(F35="","",ROUNDDOWN(INDEX(入力!$H$13:$H$20,MATCH(F35,入力!$B$13:$B$20,1))/H35+INDEX(入力!$I$13:$I$20,MATCH(F35,入力!$B$13:$B$20,1))/22,0))</f>
        <v/>
      </c>
      <c r="L35" s="34">
        <f>IF(F35="","",IF(J35&gt;K35,"〇","×"))</f>
        <v/>
      </c>
      <c r="M35" s="52">
        <f>IF(F35="","",J35*I35)</f>
        <v/>
      </c>
      <c r="N35" s="52">
        <f>IF(F35="","",MIN(J35,K35)*I35)</f>
        <v/>
      </c>
      <c r="O35" s="53">
        <f>IF(F35="","",M35-N35)</f>
        <v/>
      </c>
      <c r="Q35">
        <f>IF(F35="","",IF(COUNTIFS($B$6:B35,B35,$C$6:C35,C35,$E$6:E35,E35)=1,MAX($Q$5:Q34)+1,""))</f>
        <v/>
      </c>
    </row>
    <row r="36">
      <c r="A36" s="30">
        <f>IF(F36="","",31)</f>
        <v/>
      </c>
      <c r="B36" s="30">
        <f>IF(F36="","",YEAR(F36))</f>
        <v/>
      </c>
      <c r="C36" s="30">
        <f>IF(F36="","",MONTH(F36))</f>
        <v/>
      </c>
      <c r="D36" s="30">
        <f>IF(F36="","",INDEX(入力!$A$13:$A$20,MATCH(F36,入力!$B$13:$B$20,1)))</f>
        <v/>
      </c>
      <c r="E36" s="30">
        <f>IF(F36="","",IF(G36&lt;=入力!$J$6,"法定","附加"))</f>
        <v/>
      </c>
      <c r="F36" s="31">
        <f>IF(G35="","",IF(G35&gt;=入力!$J$9,"",G35+1))</f>
        <v/>
      </c>
      <c r="G36" s="31">
        <f>IF(F36="","",MIN(EOMONTH(F36,0),入力!$J$9,IF(AND(入力!$B$13&lt;&gt;"",入力!$B$13&gt;F36),入力!$B$13-1,999999),IF(AND(入力!$B$14&lt;&gt;"",入力!$B$14&gt;F36),入力!$B$14-1,999999),IF(AND(入力!$B$15&lt;&gt;"",入力!$B$15&gt;F36),入力!$B$15-1,999999),IF(AND(入力!$B$16&lt;&gt;"",入力!$B$16&gt;F36),入力!$B$16-1,999999),IF(AND(入力!$B$17&lt;&gt;"",入力!$B$17&gt;F36),入力!$B$17-1,999999),IF(AND(入力!$B$18&lt;&gt;"",入力!$B$18&gt;F36),入力!$B$18-1,999999),IF(AND(入力!$B$19&lt;&gt;"",入力!$B$19&gt;F36),入力!$B$19-1,999999),IF(AND(入力!$B$20&lt;&gt;"",入力!$B$20&gt;F36),入力!$B$20-1,999999),IF(AND(入力!$J$7&lt;&gt;"",入力!$J$7&gt;F36),入力!$J$7-1,999999)))</f>
        <v/>
      </c>
      <c r="H36" s="52">
        <f>IF(F36="","",IFERROR(VLOOKUP(DATE(B36,C36,1),カレンダーマスタ!$A$2:$B$97,2,0),NETWORKDAYS(DATE(B36,C36,1),EOMONTH(F36,0))))</f>
        <v/>
      </c>
      <c r="I36" s="33">
        <f>IF(F36="","",NETWORKDAYS(F36,G36))</f>
        <v/>
      </c>
      <c r="J36" s="52">
        <f>IF(F36="","",IF(入力!$C$8&lt;&gt;"",入力!$C$8,INDEX(入力!$G$37:$G$78,MATCH(DATE(B36,C36,1),入力!$A$37:$A$78,0))))</f>
        <v/>
      </c>
      <c r="K36" s="52">
        <f>IF(F36="","",ROUNDDOWN(INDEX(入力!$H$13:$H$20,MATCH(F36,入力!$B$13:$B$20,1))/H36+INDEX(入力!$I$13:$I$20,MATCH(F36,入力!$B$13:$B$20,1))/22,0))</f>
        <v/>
      </c>
      <c r="L36" s="34">
        <f>IF(F36="","",IF(J36&gt;K36,"〇","×"))</f>
        <v/>
      </c>
      <c r="M36" s="52">
        <f>IF(F36="","",J36*I36)</f>
        <v/>
      </c>
      <c r="N36" s="52">
        <f>IF(F36="","",MIN(J36,K36)*I36)</f>
        <v/>
      </c>
      <c r="O36" s="53">
        <f>IF(F36="","",M36-N36)</f>
        <v/>
      </c>
      <c r="Q36">
        <f>IF(F36="","",IF(COUNTIFS($B$6:B36,B36,$C$6:C36,C36,$E$6:E36,E36)=1,MAX($Q$5:Q35)+1,""))</f>
        <v/>
      </c>
    </row>
    <row r="37">
      <c r="A37" s="30">
        <f>IF(F37="","",32)</f>
        <v/>
      </c>
      <c r="B37" s="30">
        <f>IF(F37="","",YEAR(F37))</f>
        <v/>
      </c>
      <c r="C37" s="30">
        <f>IF(F37="","",MONTH(F37))</f>
        <v/>
      </c>
      <c r="D37" s="30">
        <f>IF(F37="","",INDEX(入力!$A$13:$A$20,MATCH(F37,入力!$B$13:$B$20,1)))</f>
        <v/>
      </c>
      <c r="E37" s="30">
        <f>IF(F37="","",IF(G37&lt;=入力!$J$6,"法定","附加"))</f>
        <v/>
      </c>
      <c r="F37" s="31">
        <f>IF(G36="","",IF(G36&gt;=入力!$J$9,"",G36+1))</f>
        <v/>
      </c>
      <c r="G37" s="31">
        <f>IF(F37="","",MIN(EOMONTH(F37,0),入力!$J$9,IF(AND(入力!$B$13&lt;&gt;"",入力!$B$13&gt;F37),入力!$B$13-1,999999),IF(AND(入力!$B$14&lt;&gt;"",入力!$B$14&gt;F37),入力!$B$14-1,999999),IF(AND(入力!$B$15&lt;&gt;"",入力!$B$15&gt;F37),入力!$B$15-1,999999),IF(AND(入力!$B$16&lt;&gt;"",入力!$B$16&gt;F37),入力!$B$16-1,999999),IF(AND(入力!$B$17&lt;&gt;"",入力!$B$17&gt;F37),入力!$B$17-1,999999),IF(AND(入力!$B$18&lt;&gt;"",入力!$B$18&gt;F37),入力!$B$18-1,999999),IF(AND(入力!$B$19&lt;&gt;"",入力!$B$19&gt;F37),入力!$B$19-1,999999),IF(AND(入力!$B$20&lt;&gt;"",入力!$B$20&gt;F37),入力!$B$20-1,999999),IF(AND(入力!$J$7&lt;&gt;"",入力!$J$7&gt;F37),入力!$J$7-1,999999)))</f>
        <v/>
      </c>
      <c r="H37" s="52">
        <f>IF(F37="","",IFERROR(VLOOKUP(DATE(B37,C37,1),カレンダーマスタ!$A$2:$B$97,2,0),NETWORKDAYS(DATE(B37,C37,1),EOMONTH(F37,0))))</f>
        <v/>
      </c>
      <c r="I37" s="33">
        <f>IF(F37="","",NETWORKDAYS(F37,G37))</f>
        <v/>
      </c>
      <c r="J37" s="52">
        <f>IF(F37="","",IF(入力!$C$8&lt;&gt;"",入力!$C$8,INDEX(入力!$G$37:$G$78,MATCH(DATE(B37,C37,1),入力!$A$37:$A$78,0))))</f>
        <v/>
      </c>
      <c r="K37" s="52">
        <f>IF(F37="","",ROUNDDOWN(INDEX(入力!$H$13:$H$20,MATCH(F37,入力!$B$13:$B$20,1))/H37+INDEX(入力!$I$13:$I$20,MATCH(F37,入力!$B$13:$B$20,1))/22,0))</f>
        <v/>
      </c>
      <c r="L37" s="34">
        <f>IF(F37="","",IF(J37&gt;K37,"〇","×"))</f>
        <v/>
      </c>
      <c r="M37" s="52">
        <f>IF(F37="","",J37*I37)</f>
        <v/>
      </c>
      <c r="N37" s="52">
        <f>IF(F37="","",MIN(J37,K37)*I37)</f>
        <v/>
      </c>
      <c r="O37" s="53">
        <f>IF(F37="","",M37-N37)</f>
        <v/>
      </c>
      <c r="Q37">
        <f>IF(F37="","",IF(COUNTIFS($B$6:B37,B37,$C$6:C37,C37,$E$6:E37,E37)=1,MAX($Q$5:Q36)+1,""))</f>
        <v/>
      </c>
    </row>
    <row r="38">
      <c r="A38" s="30">
        <f>IF(F38="","",33)</f>
        <v/>
      </c>
      <c r="B38" s="30">
        <f>IF(F38="","",YEAR(F38))</f>
        <v/>
      </c>
      <c r="C38" s="30">
        <f>IF(F38="","",MONTH(F38))</f>
        <v/>
      </c>
      <c r="D38" s="30">
        <f>IF(F38="","",INDEX(入力!$A$13:$A$20,MATCH(F38,入力!$B$13:$B$20,1)))</f>
        <v/>
      </c>
      <c r="E38" s="30">
        <f>IF(F38="","",IF(G38&lt;=入力!$J$6,"法定","附加"))</f>
        <v/>
      </c>
      <c r="F38" s="31">
        <f>IF(G37="","",IF(G37&gt;=入力!$J$9,"",G37+1))</f>
        <v/>
      </c>
      <c r="G38" s="31">
        <f>IF(F38="","",MIN(EOMONTH(F38,0),入力!$J$9,IF(AND(入力!$B$13&lt;&gt;"",入力!$B$13&gt;F38),入力!$B$13-1,999999),IF(AND(入力!$B$14&lt;&gt;"",入力!$B$14&gt;F38),入力!$B$14-1,999999),IF(AND(入力!$B$15&lt;&gt;"",入力!$B$15&gt;F38),入力!$B$15-1,999999),IF(AND(入力!$B$16&lt;&gt;"",入力!$B$16&gt;F38),入力!$B$16-1,999999),IF(AND(入力!$B$17&lt;&gt;"",入力!$B$17&gt;F38),入力!$B$17-1,999999),IF(AND(入力!$B$18&lt;&gt;"",入力!$B$18&gt;F38),入力!$B$18-1,999999),IF(AND(入力!$B$19&lt;&gt;"",入力!$B$19&gt;F38),入力!$B$19-1,999999),IF(AND(入力!$B$20&lt;&gt;"",入力!$B$20&gt;F38),入力!$B$20-1,999999),IF(AND(入力!$J$7&lt;&gt;"",入力!$J$7&gt;F38),入力!$J$7-1,999999)))</f>
        <v/>
      </c>
      <c r="H38" s="52">
        <f>IF(F38="","",IFERROR(VLOOKUP(DATE(B38,C38,1),カレンダーマスタ!$A$2:$B$97,2,0),NETWORKDAYS(DATE(B38,C38,1),EOMONTH(F38,0))))</f>
        <v/>
      </c>
      <c r="I38" s="33">
        <f>IF(F38="","",NETWORKDAYS(F38,G38))</f>
        <v/>
      </c>
      <c r="J38" s="52">
        <f>IF(F38="","",IF(入力!$C$8&lt;&gt;"",入力!$C$8,INDEX(入力!$G$37:$G$78,MATCH(DATE(B38,C38,1),入力!$A$37:$A$78,0))))</f>
        <v/>
      </c>
      <c r="K38" s="52">
        <f>IF(F38="","",ROUNDDOWN(INDEX(入力!$H$13:$H$20,MATCH(F38,入力!$B$13:$B$20,1))/H38+INDEX(入力!$I$13:$I$20,MATCH(F38,入力!$B$13:$B$20,1))/22,0))</f>
        <v/>
      </c>
      <c r="L38" s="34">
        <f>IF(F38="","",IF(J38&gt;K38,"〇","×"))</f>
        <v/>
      </c>
      <c r="M38" s="52">
        <f>IF(F38="","",J38*I38)</f>
        <v/>
      </c>
      <c r="N38" s="52">
        <f>IF(F38="","",MIN(J38,K38)*I38)</f>
        <v/>
      </c>
      <c r="O38" s="53">
        <f>IF(F38="","",M38-N38)</f>
        <v/>
      </c>
      <c r="Q38">
        <f>IF(F38="","",IF(COUNTIFS($B$6:B38,B38,$C$6:C38,C38,$E$6:E38,E38)=1,MAX($Q$5:Q37)+1,""))</f>
        <v/>
      </c>
    </row>
    <row r="39">
      <c r="A39" s="30">
        <f>IF(F39="","",34)</f>
        <v/>
      </c>
      <c r="B39" s="30">
        <f>IF(F39="","",YEAR(F39))</f>
        <v/>
      </c>
      <c r="C39" s="30">
        <f>IF(F39="","",MONTH(F39))</f>
        <v/>
      </c>
      <c r="D39" s="30">
        <f>IF(F39="","",INDEX(入力!$A$13:$A$20,MATCH(F39,入力!$B$13:$B$20,1)))</f>
        <v/>
      </c>
      <c r="E39" s="30">
        <f>IF(F39="","",IF(G39&lt;=入力!$J$6,"法定","附加"))</f>
        <v/>
      </c>
      <c r="F39" s="31">
        <f>IF(G38="","",IF(G38&gt;=入力!$J$9,"",G38+1))</f>
        <v/>
      </c>
      <c r="G39" s="31">
        <f>IF(F39="","",MIN(EOMONTH(F39,0),入力!$J$9,IF(AND(入力!$B$13&lt;&gt;"",入力!$B$13&gt;F39),入力!$B$13-1,999999),IF(AND(入力!$B$14&lt;&gt;"",入力!$B$14&gt;F39),入力!$B$14-1,999999),IF(AND(入力!$B$15&lt;&gt;"",入力!$B$15&gt;F39),入力!$B$15-1,999999),IF(AND(入力!$B$16&lt;&gt;"",入力!$B$16&gt;F39),入力!$B$16-1,999999),IF(AND(入力!$B$17&lt;&gt;"",入力!$B$17&gt;F39),入力!$B$17-1,999999),IF(AND(入力!$B$18&lt;&gt;"",入力!$B$18&gt;F39),入力!$B$18-1,999999),IF(AND(入力!$B$19&lt;&gt;"",入力!$B$19&gt;F39),入力!$B$19-1,999999),IF(AND(入力!$B$20&lt;&gt;"",入力!$B$20&gt;F39),入力!$B$20-1,999999),IF(AND(入力!$J$7&lt;&gt;"",入力!$J$7&gt;F39),入力!$J$7-1,999999)))</f>
        <v/>
      </c>
      <c r="H39" s="52">
        <f>IF(F39="","",IFERROR(VLOOKUP(DATE(B39,C39,1),カレンダーマスタ!$A$2:$B$97,2,0),NETWORKDAYS(DATE(B39,C39,1),EOMONTH(F39,0))))</f>
        <v/>
      </c>
      <c r="I39" s="33">
        <f>IF(F39="","",NETWORKDAYS(F39,G39))</f>
        <v/>
      </c>
      <c r="J39" s="52">
        <f>IF(F39="","",IF(入力!$C$8&lt;&gt;"",入力!$C$8,INDEX(入力!$G$37:$G$78,MATCH(DATE(B39,C39,1),入力!$A$37:$A$78,0))))</f>
        <v/>
      </c>
      <c r="K39" s="52">
        <f>IF(F39="","",ROUNDDOWN(INDEX(入力!$H$13:$H$20,MATCH(F39,入力!$B$13:$B$20,1))/H39+INDEX(入力!$I$13:$I$20,MATCH(F39,入力!$B$13:$B$20,1))/22,0))</f>
        <v/>
      </c>
      <c r="L39" s="34">
        <f>IF(F39="","",IF(J39&gt;K39,"〇","×"))</f>
        <v/>
      </c>
      <c r="M39" s="52">
        <f>IF(F39="","",J39*I39)</f>
        <v/>
      </c>
      <c r="N39" s="52">
        <f>IF(F39="","",MIN(J39,K39)*I39)</f>
        <v/>
      </c>
      <c r="O39" s="53">
        <f>IF(F39="","",M39-N39)</f>
        <v/>
      </c>
      <c r="Q39">
        <f>IF(F39="","",IF(COUNTIFS($B$6:B39,B39,$C$6:C39,C39,$E$6:E39,E39)=1,MAX($Q$5:Q38)+1,""))</f>
        <v/>
      </c>
    </row>
    <row r="40">
      <c r="A40" s="30">
        <f>IF(F40="","",35)</f>
        <v/>
      </c>
      <c r="B40" s="30">
        <f>IF(F40="","",YEAR(F40))</f>
        <v/>
      </c>
      <c r="C40" s="30">
        <f>IF(F40="","",MONTH(F40))</f>
        <v/>
      </c>
      <c r="D40" s="30">
        <f>IF(F40="","",INDEX(入力!$A$13:$A$20,MATCH(F40,入力!$B$13:$B$20,1)))</f>
        <v/>
      </c>
      <c r="E40" s="30">
        <f>IF(F40="","",IF(G40&lt;=入力!$J$6,"法定","附加"))</f>
        <v/>
      </c>
      <c r="F40" s="31">
        <f>IF(G39="","",IF(G39&gt;=入力!$J$9,"",G39+1))</f>
        <v/>
      </c>
      <c r="G40" s="31">
        <f>IF(F40="","",MIN(EOMONTH(F40,0),入力!$J$9,IF(AND(入力!$B$13&lt;&gt;"",入力!$B$13&gt;F40),入力!$B$13-1,999999),IF(AND(入力!$B$14&lt;&gt;"",入力!$B$14&gt;F40),入力!$B$14-1,999999),IF(AND(入力!$B$15&lt;&gt;"",入力!$B$15&gt;F40),入力!$B$15-1,999999),IF(AND(入力!$B$16&lt;&gt;"",入力!$B$16&gt;F40),入力!$B$16-1,999999),IF(AND(入力!$B$17&lt;&gt;"",入力!$B$17&gt;F40),入力!$B$17-1,999999),IF(AND(入力!$B$18&lt;&gt;"",入力!$B$18&gt;F40),入力!$B$18-1,999999),IF(AND(入力!$B$19&lt;&gt;"",入力!$B$19&gt;F40),入力!$B$19-1,999999),IF(AND(入力!$B$20&lt;&gt;"",入力!$B$20&gt;F40),入力!$B$20-1,999999),IF(AND(入力!$J$7&lt;&gt;"",入力!$J$7&gt;F40),入力!$J$7-1,999999)))</f>
        <v/>
      </c>
      <c r="H40" s="52">
        <f>IF(F40="","",IFERROR(VLOOKUP(DATE(B40,C40,1),カレンダーマスタ!$A$2:$B$97,2,0),NETWORKDAYS(DATE(B40,C40,1),EOMONTH(F40,0))))</f>
        <v/>
      </c>
      <c r="I40" s="33">
        <f>IF(F40="","",NETWORKDAYS(F40,G40))</f>
        <v/>
      </c>
      <c r="J40" s="52">
        <f>IF(F40="","",IF(入力!$C$8&lt;&gt;"",入力!$C$8,INDEX(入力!$G$37:$G$78,MATCH(DATE(B40,C40,1),入力!$A$37:$A$78,0))))</f>
        <v/>
      </c>
      <c r="K40" s="52">
        <f>IF(F40="","",ROUNDDOWN(INDEX(入力!$H$13:$H$20,MATCH(F40,入力!$B$13:$B$20,1))/H40+INDEX(入力!$I$13:$I$20,MATCH(F40,入力!$B$13:$B$20,1))/22,0))</f>
        <v/>
      </c>
      <c r="L40" s="34">
        <f>IF(F40="","",IF(J40&gt;K40,"〇","×"))</f>
        <v/>
      </c>
      <c r="M40" s="52">
        <f>IF(F40="","",J40*I40)</f>
        <v/>
      </c>
      <c r="N40" s="52">
        <f>IF(F40="","",MIN(J40,K40)*I40)</f>
        <v/>
      </c>
      <c r="O40" s="53">
        <f>IF(F40="","",M40-N40)</f>
        <v/>
      </c>
      <c r="Q40">
        <f>IF(F40="","",IF(COUNTIFS($B$6:B40,B40,$C$6:C40,C40,$E$6:E40,E40)=1,MAX($Q$5:Q39)+1,""))</f>
        <v/>
      </c>
    </row>
    <row r="41">
      <c r="A41" s="30">
        <f>IF(F41="","",36)</f>
        <v/>
      </c>
      <c r="B41" s="30">
        <f>IF(F41="","",YEAR(F41))</f>
        <v/>
      </c>
      <c r="C41" s="30">
        <f>IF(F41="","",MONTH(F41))</f>
        <v/>
      </c>
      <c r="D41" s="30">
        <f>IF(F41="","",INDEX(入力!$A$13:$A$20,MATCH(F41,入力!$B$13:$B$20,1)))</f>
        <v/>
      </c>
      <c r="E41" s="30">
        <f>IF(F41="","",IF(G41&lt;=入力!$J$6,"法定","附加"))</f>
        <v/>
      </c>
      <c r="F41" s="31">
        <f>IF(G40="","",IF(G40&gt;=入力!$J$9,"",G40+1))</f>
        <v/>
      </c>
      <c r="G41" s="31">
        <f>IF(F41="","",MIN(EOMONTH(F41,0),入力!$J$9,IF(AND(入力!$B$13&lt;&gt;"",入力!$B$13&gt;F41),入力!$B$13-1,999999),IF(AND(入力!$B$14&lt;&gt;"",入力!$B$14&gt;F41),入力!$B$14-1,999999),IF(AND(入力!$B$15&lt;&gt;"",入力!$B$15&gt;F41),入力!$B$15-1,999999),IF(AND(入力!$B$16&lt;&gt;"",入力!$B$16&gt;F41),入力!$B$16-1,999999),IF(AND(入力!$B$17&lt;&gt;"",入力!$B$17&gt;F41),入力!$B$17-1,999999),IF(AND(入力!$B$18&lt;&gt;"",入力!$B$18&gt;F41),入力!$B$18-1,999999),IF(AND(入力!$B$19&lt;&gt;"",入力!$B$19&gt;F41),入力!$B$19-1,999999),IF(AND(入力!$B$20&lt;&gt;"",入力!$B$20&gt;F41),入力!$B$20-1,999999),IF(AND(入力!$J$7&lt;&gt;"",入力!$J$7&gt;F41),入力!$J$7-1,999999)))</f>
        <v/>
      </c>
      <c r="H41" s="52">
        <f>IF(F41="","",IFERROR(VLOOKUP(DATE(B41,C41,1),カレンダーマスタ!$A$2:$B$97,2,0),NETWORKDAYS(DATE(B41,C41,1),EOMONTH(F41,0))))</f>
        <v/>
      </c>
      <c r="I41" s="33">
        <f>IF(F41="","",NETWORKDAYS(F41,G41))</f>
        <v/>
      </c>
      <c r="J41" s="52">
        <f>IF(F41="","",IF(入力!$C$8&lt;&gt;"",入力!$C$8,INDEX(入力!$G$37:$G$78,MATCH(DATE(B41,C41,1),入力!$A$37:$A$78,0))))</f>
        <v/>
      </c>
      <c r="K41" s="52">
        <f>IF(F41="","",ROUNDDOWN(INDEX(入力!$H$13:$H$20,MATCH(F41,入力!$B$13:$B$20,1))/H41+INDEX(入力!$I$13:$I$20,MATCH(F41,入力!$B$13:$B$20,1))/22,0))</f>
        <v/>
      </c>
      <c r="L41" s="34">
        <f>IF(F41="","",IF(J41&gt;K41,"〇","×"))</f>
        <v/>
      </c>
      <c r="M41" s="52">
        <f>IF(F41="","",J41*I41)</f>
        <v/>
      </c>
      <c r="N41" s="52">
        <f>IF(F41="","",MIN(J41,K41)*I41)</f>
        <v/>
      </c>
      <c r="O41" s="53">
        <f>IF(F41="","",M41-N41)</f>
        <v/>
      </c>
      <c r="Q41">
        <f>IF(F41="","",IF(COUNTIFS($B$6:B41,B41,$C$6:C41,C41,$E$6:E41,E41)=1,MAX($Q$5:Q40)+1,""))</f>
        <v/>
      </c>
    </row>
    <row r="42">
      <c r="A42" s="30">
        <f>IF(F42="","",37)</f>
        <v/>
      </c>
      <c r="B42" s="30">
        <f>IF(F42="","",YEAR(F42))</f>
        <v/>
      </c>
      <c r="C42" s="30">
        <f>IF(F42="","",MONTH(F42))</f>
        <v/>
      </c>
      <c r="D42" s="30">
        <f>IF(F42="","",INDEX(入力!$A$13:$A$20,MATCH(F42,入力!$B$13:$B$20,1)))</f>
        <v/>
      </c>
      <c r="E42" s="30">
        <f>IF(F42="","",IF(G42&lt;=入力!$J$6,"法定","附加"))</f>
        <v/>
      </c>
      <c r="F42" s="31">
        <f>IF(G41="","",IF(G41&gt;=入力!$J$9,"",G41+1))</f>
        <v/>
      </c>
      <c r="G42" s="31">
        <f>IF(F42="","",MIN(EOMONTH(F42,0),入力!$J$9,IF(AND(入力!$B$13&lt;&gt;"",入力!$B$13&gt;F42),入力!$B$13-1,999999),IF(AND(入力!$B$14&lt;&gt;"",入力!$B$14&gt;F42),入力!$B$14-1,999999),IF(AND(入力!$B$15&lt;&gt;"",入力!$B$15&gt;F42),入力!$B$15-1,999999),IF(AND(入力!$B$16&lt;&gt;"",入力!$B$16&gt;F42),入力!$B$16-1,999999),IF(AND(入力!$B$17&lt;&gt;"",入力!$B$17&gt;F42),入力!$B$17-1,999999),IF(AND(入力!$B$18&lt;&gt;"",入力!$B$18&gt;F42),入力!$B$18-1,999999),IF(AND(入力!$B$19&lt;&gt;"",入力!$B$19&gt;F42),入力!$B$19-1,999999),IF(AND(入力!$B$20&lt;&gt;"",入力!$B$20&gt;F42),入力!$B$20-1,999999),IF(AND(入力!$J$7&lt;&gt;"",入力!$J$7&gt;F42),入力!$J$7-1,999999)))</f>
        <v/>
      </c>
      <c r="H42" s="52">
        <f>IF(F42="","",IFERROR(VLOOKUP(DATE(B42,C42,1),カレンダーマスタ!$A$2:$B$97,2,0),NETWORKDAYS(DATE(B42,C42,1),EOMONTH(F42,0))))</f>
        <v/>
      </c>
      <c r="I42" s="33">
        <f>IF(F42="","",NETWORKDAYS(F42,G42))</f>
        <v/>
      </c>
      <c r="J42" s="52">
        <f>IF(F42="","",IF(入力!$C$8&lt;&gt;"",入力!$C$8,INDEX(入力!$G$37:$G$78,MATCH(DATE(B42,C42,1),入力!$A$37:$A$78,0))))</f>
        <v/>
      </c>
      <c r="K42" s="52">
        <f>IF(F42="","",ROUNDDOWN(INDEX(入力!$H$13:$H$20,MATCH(F42,入力!$B$13:$B$20,1))/H42+INDEX(入力!$I$13:$I$20,MATCH(F42,入力!$B$13:$B$20,1))/22,0))</f>
        <v/>
      </c>
      <c r="L42" s="34">
        <f>IF(F42="","",IF(J42&gt;K42,"〇","×"))</f>
        <v/>
      </c>
      <c r="M42" s="52">
        <f>IF(F42="","",J42*I42)</f>
        <v/>
      </c>
      <c r="N42" s="52">
        <f>IF(F42="","",MIN(J42,K42)*I42)</f>
        <v/>
      </c>
      <c r="O42" s="53">
        <f>IF(F42="","",M42-N42)</f>
        <v/>
      </c>
      <c r="Q42">
        <f>IF(F42="","",IF(COUNTIFS($B$6:B42,B42,$C$6:C42,C42,$E$6:E42,E42)=1,MAX($Q$5:Q41)+1,""))</f>
        <v/>
      </c>
    </row>
    <row r="43">
      <c r="A43" s="30">
        <f>IF(F43="","",38)</f>
        <v/>
      </c>
      <c r="B43" s="30">
        <f>IF(F43="","",YEAR(F43))</f>
        <v/>
      </c>
      <c r="C43" s="30">
        <f>IF(F43="","",MONTH(F43))</f>
        <v/>
      </c>
      <c r="D43" s="30">
        <f>IF(F43="","",INDEX(入力!$A$13:$A$20,MATCH(F43,入力!$B$13:$B$20,1)))</f>
        <v/>
      </c>
      <c r="E43" s="30">
        <f>IF(F43="","",IF(G43&lt;=入力!$J$6,"法定","附加"))</f>
        <v/>
      </c>
      <c r="F43" s="31">
        <f>IF(G42="","",IF(G42&gt;=入力!$J$9,"",G42+1))</f>
        <v/>
      </c>
      <c r="G43" s="31">
        <f>IF(F43="","",MIN(EOMONTH(F43,0),入力!$J$9,IF(AND(入力!$B$13&lt;&gt;"",入力!$B$13&gt;F43),入力!$B$13-1,999999),IF(AND(入力!$B$14&lt;&gt;"",入力!$B$14&gt;F43),入力!$B$14-1,999999),IF(AND(入力!$B$15&lt;&gt;"",入力!$B$15&gt;F43),入力!$B$15-1,999999),IF(AND(入力!$B$16&lt;&gt;"",入力!$B$16&gt;F43),入力!$B$16-1,999999),IF(AND(入力!$B$17&lt;&gt;"",入力!$B$17&gt;F43),入力!$B$17-1,999999),IF(AND(入力!$B$18&lt;&gt;"",入力!$B$18&gt;F43),入力!$B$18-1,999999),IF(AND(入力!$B$19&lt;&gt;"",入力!$B$19&gt;F43),入力!$B$19-1,999999),IF(AND(入力!$B$20&lt;&gt;"",入力!$B$20&gt;F43),入力!$B$20-1,999999),IF(AND(入力!$J$7&lt;&gt;"",入力!$J$7&gt;F43),入力!$J$7-1,999999)))</f>
        <v/>
      </c>
      <c r="H43" s="52">
        <f>IF(F43="","",IFERROR(VLOOKUP(DATE(B43,C43,1),カレンダーマスタ!$A$2:$B$97,2,0),NETWORKDAYS(DATE(B43,C43,1),EOMONTH(F43,0))))</f>
        <v/>
      </c>
      <c r="I43" s="33">
        <f>IF(F43="","",NETWORKDAYS(F43,G43))</f>
        <v/>
      </c>
      <c r="J43" s="52">
        <f>IF(F43="","",IF(入力!$C$8&lt;&gt;"",入力!$C$8,INDEX(入力!$G$37:$G$78,MATCH(DATE(B43,C43,1),入力!$A$37:$A$78,0))))</f>
        <v/>
      </c>
      <c r="K43" s="52">
        <f>IF(F43="","",ROUNDDOWN(INDEX(入力!$H$13:$H$20,MATCH(F43,入力!$B$13:$B$20,1))/H43+INDEX(入力!$I$13:$I$20,MATCH(F43,入力!$B$13:$B$20,1))/22,0))</f>
        <v/>
      </c>
      <c r="L43" s="34">
        <f>IF(F43="","",IF(J43&gt;K43,"〇","×"))</f>
        <v/>
      </c>
      <c r="M43" s="52">
        <f>IF(F43="","",J43*I43)</f>
        <v/>
      </c>
      <c r="N43" s="52">
        <f>IF(F43="","",MIN(J43,K43)*I43)</f>
        <v/>
      </c>
      <c r="O43" s="53">
        <f>IF(F43="","",M43-N43)</f>
        <v/>
      </c>
      <c r="Q43">
        <f>IF(F43="","",IF(COUNTIFS($B$6:B43,B43,$C$6:C43,C43,$E$6:E43,E43)=1,MAX($Q$5:Q42)+1,""))</f>
        <v/>
      </c>
    </row>
    <row r="44">
      <c r="A44" s="30">
        <f>IF(F44="","",39)</f>
        <v/>
      </c>
      <c r="B44" s="30">
        <f>IF(F44="","",YEAR(F44))</f>
        <v/>
      </c>
      <c r="C44" s="30">
        <f>IF(F44="","",MONTH(F44))</f>
        <v/>
      </c>
      <c r="D44" s="30">
        <f>IF(F44="","",INDEX(入力!$A$13:$A$20,MATCH(F44,入力!$B$13:$B$20,1)))</f>
        <v/>
      </c>
      <c r="E44" s="30">
        <f>IF(F44="","",IF(G44&lt;=入力!$J$6,"法定","附加"))</f>
        <v/>
      </c>
      <c r="F44" s="31">
        <f>IF(G43="","",IF(G43&gt;=入力!$J$9,"",G43+1))</f>
        <v/>
      </c>
      <c r="G44" s="31">
        <f>IF(F44="","",MIN(EOMONTH(F44,0),入力!$J$9,IF(AND(入力!$B$13&lt;&gt;"",入力!$B$13&gt;F44),入力!$B$13-1,999999),IF(AND(入力!$B$14&lt;&gt;"",入力!$B$14&gt;F44),入力!$B$14-1,999999),IF(AND(入力!$B$15&lt;&gt;"",入力!$B$15&gt;F44),入力!$B$15-1,999999),IF(AND(入力!$B$16&lt;&gt;"",入力!$B$16&gt;F44),入力!$B$16-1,999999),IF(AND(入力!$B$17&lt;&gt;"",入力!$B$17&gt;F44),入力!$B$17-1,999999),IF(AND(入力!$B$18&lt;&gt;"",入力!$B$18&gt;F44),入力!$B$18-1,999999),IF(AND(入力!$B$19&lt;&gt;"",入力!$B$19&gt;F44),入力!$B$19-1,999999),IF(AND(入力!$B$20&lt;&gt;"",入力!$B$20&gt;F44),入力!$B$20-1,999999),IF(AND(入力!$J$7&lt;&gt;"",入力!$J$7&gt;F44),入力!$J$7-1,999999)))</f>
        <v/>
      </c>
      <c r="H44" s="52">
        <f>IF(F44="","",IFERROR(VLOOKUP(DATE(B44,C44,1),カレンダーマスタ!$A$2:$B$97,2,0),NETWORKDAYS(DATE(B44,C44,1),EOMONTH(F44,0))))</f>
        <v/>
      </c>
      <c r="I44" s="33">
        <f>IF(F44="","",NETWORKDAYS(F44,G44))</f>
        <v/>
      </c>
      <c r="J44" s="52">
        <f>IF(F44="","",IF(入力!$C$8&lt;&gt;"",入力!$C$8,INDEX(入力!$G$37:$G$78,MATCH(DATE(B44,C44,1),入力!$A$37:$A$78,0))))</f>
        <v/>
      </c>
      <c r="K44" s="52">
        <f>IF(F44="","",ROUNDDOWN(INDEX(入力!$H$13:$H$20,MATCH(F44,入力!$B$13:$B$20,1))/H44+INDEX(入力!$I$13:$I$20,MATCH(F44,入力!$B$13:$B$20,1))/22,0))</f>
        <v/>
      </c>
      <c r="L44" s="34">
        <f>IF(F44="","",IF(J44&gt;K44,"〇","×"))</f>
        <v/>
      </c>
      <c r="M44" s="52">
        <f>IF(F44="","",J44*I44)</f>
        <v/>
      </c>
      <c r="N44" s="52">
        <f>IF(F44="","",MIN(J44,K44)*I44)</f>
        <v/>
      </c>
      <c r="O44" s="53">
        <f>IF(F44="","",M44-N44)</f>
        <v/>
      </c>
      <c r="Q44">
        <f>IF(F44="","",IF(COUNTIFS($B$6:B44,B44,$C$6:C44,C44,$E$6:E44,E44)=1,MAX($Q$5:Q43)+1,""))</f>
        <v/>
      </c>
    </row>
    <row r="45">
      <c r="A45" s="30">
        <f>IF(F45="","",40)</f>
        <v/>
      </c>
      <c r="B45" s="30">
        <f>IF(F45="","",YEAR(F45))</f>
        <v/>
      </c>
      <c r="C45" s="30">
        <f>IF(F45="","",MONTH(F45))</f>
        <v/>
      </c>
      <c r="D45" s="30">
        <f>IF(F45="","",INDEX(入力!$A$13:$A$20,MATCH(F45,入力!$B$13:$B$20,1)))</f>
        <v/>
      </c>
      <c r="E45" s="30">
        <f>IF(F45="","",IF(G45&lt;=入力!$J$6,"法定","附加"))</f>
        <v/>
      </c>
      <c r="F45" s="31">
        <f>IF(G44="","",IF(G44&gt;=入力!$J$9,"",G44+1))</f>
        <v/>
      </c>
      <c r="G45" s="31">
        <f>IF(F45="","",MIN(EOMONTH(F45,0),入力!$J$9,IF(AND(入力!$B$13&lt;&gt;"",入力!$B$13&gt;F45),入力!$B$13-1,999999),IF(AND(入力!$B$14&lt;&gt;"",入力!$B$14&gt;F45),入力!$B$14-1,999999),IF(AND(入力!$B$15&lt;&gt;"",入力!$B$15&gt;F45),入力!$B$15-1,999999),IF(AND(入力!$B$16&lt;&gt;"",入力!$B$16&gt;F45),入力!$B$16-1,999999),IF(AND(入力!$B$17&lt;&gt;"",入力!$B$17&gt;F45),入力!$B$17-1,999999),IF(AND(入力!$B$18&lt;&gt;"",入力!$B$18&gt;F45),入力!$B$18-1,999999),IF(AND(入力!$B$19&lt;&gt;"",入力!$B$19&gt;F45),入力!$B$19-1,999999),IF(AND(入力!$B$20&lt;&gt;"",入力!$B$20&gt;F45),入力!$B$20-1,999999),IF(AND(入力!$J$7&lt;&gt;"",入力!$J$7&gt;F45),入力!$J$7-1,999999)))</f>
        <v/>
      </c>
      <c r="H45" s="52">
        <f>IF(F45="","",IFERROR(VLOOKUP(DATE(B45,C45,1),カレンダーマスタ!$A$2:$B$97,2,0),NETWORKDAYS(DATE(B45,C45,1),EOMONTH(F45,0))))</f>
        <v/>
      </c>
      <c r="I45" s="33">
        <f>IF(F45="","",NETWORKDAYS(F45,G45))</f>
        <v/>
      </c>
      <c r="J45" s="52">
        <f>IF(F45="","",IF(入力!$C$8&lt;&gt;"",入力!$C$8,INDEX(入力!$G$37:$G$78,MATCH(DATE(B45,C45,1),入力!$A$37:$A$78,0))))</f>
        <v/>
      </c>
      <c r="K45" s="52">
        <f>IF(F45="","",ROUNDDOWN(INDEX(入力!$H$13:$H$20,MATCH(F45,入力!$B$13:$B$20,1))/H45+INDEX(入力!$I$13:$I$20,MATCH(F45,入力!$B$13:$B$20,1))/22,0))</f>
        <v/>
      </c>
      <c r="L45" s="34">
        <f>IF(F45="","",IF(J45&gt;K45,"〇","×"))</f>
        <v/>
      </c>
      <c r="M45" s="52">
        <f>IF(F45="","",J45*I45)</f>
        <v/>
      </c>
      <c r="N45" s="52">
        <f>IF(F45="","",MIN(J45,K45)*I45)</f>
        <v/>
      </c>
      <c r="O45" s="53">
        <f>IF(F45="","",M45-N45)</f>
        <v/>
      </c>
      <c r="Q45">
        <f>IF(F45="","",IF(COUNTIFS($B$6:B45,B45,$C$6:C45,C45,$E$6:E45,E45)=1,MAX($Q$5:Q44)+1,""))</f>
        <v/>
      </c>
    </row>
    <row r="46">
      <c r="A46" s="30">
        <f>IF(F46="","",41)</f>
        <v/>
      </c>
      <c r="B46" s="30">
        <f>IF(F46="","",YEAR(F46))</f>
        <v/>
      </c>
      <c r="C46" s="30">
        <f>IF(F46="","",MONTH(F46))</f>
        <v/>
      </c>
      <c r="D46" s="30">
        <f>IF(F46="","",INDEX(入力!$A$13:$A$20,MATCH(F46,入力!$B$13:$B$20,1)))</f>
        <v/>
      </c>
      <c r="E46" s="30">
        <f>IF(F46="","",IF(G46&lt;=入力!$J$6,"法定","附加"))</f>
        <v/>
      </c>
      <c r="F46" s="31">
        <f>IF(G45="","",IF(G45&gt;=入力!$J$9,"",G45+1))</f>
        <v/>
      </c>
      <c r="G46" s="31">
        <f>IF(F46="","",MIN(EOMONTH(F46,0),入力!$J$9,IF(AND(入力!$B$13&lt;&gt;"",入力!$B$13&gt;F46),入力!$B$13-1,999999),IF(AND(入力!$B$14&lt;&gt;"",入力!$B$14&gt;F46),入力!$B$14-1,999999),IF(AND(入力!$B$15&lt;&gt;"",入力!$B$15&gt;F46),入力!$B$15-1,999999),IF(AND(入力!$B$16&lt;&gt;"",入力!$B$16&gt;F46),入力!$B$16-1,999999),IF(AND(入力!$B$17&lt;&gt;"",入力!$B$17&gt;F46),入力!$B$17-1,999999),IF(AND(入力!$B$18&lt;&gt;"",入力!$B$18&gt;F46),入力!$B$18-1,999999),IF(AND(入力!$B$19&lt;&gt;"",入力!$B$19&gt;F46),入力!$B$19-1,999999),IF(AND(入力!$B$20&lt;&gt;"",入力!$B$20&gt;F46),入力!$B$20-1,999999),IF(AND(入力!$J$7&lt;&gt;"",入力!$J$7&gt;F46),入力!$J$7-1,999999)))</f>
        <v/>
      </c>
      <c r="H46" s="52">
        <f>IF(F46="","",IFERROR(VLOOKUP(DATE(B46,C46,1),カレンダーマスタ!$A$2:$B$97,2,0),NETWORKDAYS(DATE(B46,C46,1),EOMONTH(F46,0))))</f>
        <v/>
      </c>
      <c r="I46" s="33">
        <f>IF(F46="","",NETWORKDAYS(F46,G46))</f>
        <v/>
      </c>
      <c r="J46" s="52">
        <f>IF(F46="","",IF(入力!$C$8&lt;&gt;"",入力!$C$8,INDEX(入力!$G$37:$G$78,MATCH(DATE(B46,C46,1),入力!$A$37:$A$78,0))))</f>
        <v/>
      </c>
      <c r="K46" s="52">
        <f>IF(F46="","",ROUNDDOWN(INDEX(入力!$H$13:$H$20,MATCH(F46,入力!$B$13:$B$20,1))/H46+INDEX(入力!$I$13:$I$20,MATCH(F46,入力!$B$13:$B$20,1))/22,0))</f>
        <v/>
      </c>
      <c r="L46" s="34">
        <f>IF(F46="","",IF(J46&gt;K46,"〇","×"))</f>
        <v/>
      </c>
      <c r="M46" s="52">
        <f>IF(F46="","",J46*I46)</f>
        <v/>
      </c>
      <c r="N46" s="52">
        <f>IF(F46="","",MIN(J46,K46)*I46)</f>
        <v/>
      </c>
      <c r="O46" s="53">
        <f>IF(F46="","",M46-N46)</f>
        <v/>
      </c>
      <c r="Q46">
        <f>IF(F46="","",IF(COUNTIFS($B$6:B46,B46,$C$6:C46,C46,$E$6:E46,E46)=1,MAX($Q$5:Q45)+1,""))</f>
        <v/>
      </c>
    </row>
    <row r="47">
      <c r="A47" s="30">
        <f>IF(F47="","",42)</f>
        <v/>
      </c>
      <c r="B47" s="30">
        <f>IF(F47="","",YEAR(F47))</f>
        <v/>
      </c>
      <c r="C47" s="30">
        <f>IF(F47="","",MONTH(F47))</f>
        <v/>
      </c>
      <c r="D47" s="30">
        <f>IF(F47="","",INDEX(入力!$A$13:$A$20,MATCH(F47,入力!$B$13:$B$20,1)))</f>
        <v/>
      </c>
      <c r="E47" s="30">
        <f>IF(F47="","",IF(G47&lt;=入力!$J$6,"法定","附加"))</f>
        <v/>
      </c>
      <c r="F47" s="31">
        <f>IF(G46="","",IF(G46&gt;=入力!$J$9,"",G46+1))</f>
        <v/>
      </c>
      <c r="G47" s="31">
        <f>IF(F47="","",MIN(EOMONTH(F47,0),入力!$J$9,IF(AND(入力!$B$13&lt;&gt;"",入力!$B$13&gt;F47),入力!$B$13-1,999999),IF(AND(入力!$B$14&lt;&gt;"",入力!$B$14&gt;F47),入力!$B$14-1,999999),IF(AND(入力!$B$15&lt;&gt;"",入力!$B$15&gt;F47),入力!$B$15-1,999999),IF(AND(入力!$B$16&lt;&gt;"",入力!$B$16&gt;F47),入力!$B$16-1,999999),IF(AND(入力!$B$17&lt;&gt;"",入力!$B$17&gt;F47),入力!$B$17-1,999999),IF(AND(入力!$B$18&lt;&gt;"",入力!$B$18&gt;F47),入力!$B$18-1,999999),IF(AND(入力!$B$19&lt;&gt;"",入力!$B$19&gt;F47),入力!$B$19-1,999999),IF(AND(入力!$B$20&lt;&gt;"",入力!$B$20&gt;F47),入力!$B$20-1,999999),IF(AND(入力!$J$7&lt;&gt;"",入力!$J$7&gt;F47),入力!$J$7-1,999999)))</f>
        <v/>
      </c>
      <c r="H47" s="52">
        <f>IF(F47="","",IFERROR(VLOOKUP(DATE(B47,C47,1),カレンダーマスタ!$A$2:$B$97,2,0),NETWORKDAYS(DATE(B47,C47,1),EOMONTH(F47,0))))</f>
        <v/>
      </c>
      <c r="I47" s="33">
        <f>IF(F47="","",NETWORKDAYS(F47,G47))</f>
        <v/>
      </c>
      <c r="J47" s="52">
        <f>IF(F47="","",IF(入力!$C$8&lt;&gt;"",入力!$C$8,INDEX(入力!$G$37:$G$78,MATCH(DATE(B47,C47,1),入力!$A$37:$A$78,0))))</f>
        <v/>
      </c>
      <c r="K47" s="52">
        <f>IF(F47="","",ROUNDDOWN(INDEX(入力!$H$13:$H$20,MATCH(F47,入力!$B$13:$B$20,1))/H47+INDEX(入力!$I$13:$I$20,MATCH(F47,入力!$B$13:$B$20,1))/22,0))</f>
        <v/>
      </c>
      <c r="L47" s="34">
        <f>IF(F47="","",IF(J47&gt;K47,"〇","×"))</f>
        <v/>
      </c>
      <c r="M47" s="52">
        <f>IF(F47="","",J47*I47)</f>
        <v/>
      </c>
      <c r="N47" s="52">
        <f>IF(F47="","",MIN(J47,K47)*I47)</f>
        <v/>
      </c>
      <c r="O47" s="53">
        <f>IF(F47="","",M47-N47)</f>
        <v/>
      </c>
      <c r="Q47">
        <f>IF(F47="","",IF(COUNTIFS($B$6:B47,B47,$C$6:C47,C47,$E$6:E47,E47)=1,MAX($Q$5:Q46)+1,""))</f>
        <v/>
      </c>
    </row>
    <row r="48">
      <c r="A48" s="30">
        <f>IF(F48="","",43)</f>
        <v/>
      </c>
      <c r="B48" s="30">
        <f>IF(F48="","",YEAR(F48))</f>
        <v/>
      </c>
      <c r="C48" s="30">
        <f>IF(F48="","",MONTH(F48))</f>
        <v/>
      </c>
      <c r="D48" s="30">
        <f>IF(F48="","",INDEX(入力!$A$13:$A$20,MATCH(F48,入力!$B$13:$B$20,1)))</f>
        <v/>
      </c>
      <c r="E48" s="30">
        <f>IF(F48="","",IF(G48&lt;=入力!$J$6,"法定","附加"))</f>
        <v/>
      </c>
      <c r="F48" s="31">
        <f>IF(G47="","",IF(G47&gt;=入力!$J$9,"",G47+1))</f>
        <v/>
      </c>
      <c r="G48" s="31">
        <f>IF(F48="","",MIN(EOMONTH(F48,0),入力!$J$9,IF(AND(入力!$B$13&lt;&gt;"",入力!$B$13&gt;F48),入力!$B$13-1,999999),IF(AND(入力!$B$14&lt;&gt;"",入力!$B$14&gt;F48),入力!$B$14-1,999999),IF(AND(入力!$B$15&lt;&gt;"",入力!$B$15&gt;F48),入力!$B$15-1,999999),IF(AND(入力!$B$16&lt;&gt;"",入力!$B$16&gt;F48),入力!$B$16-1,999999),IF(AND(入力!$B$17&lt;&gt;"",入力!$B$17&gt;F48),入力!$B$17-1,999999),IF(AND(入力!$B$18&lt;&gt;"",入力!$B$18&gt;F48),入力!$B$18-1,999999),IF(AND(入力!$B$19&lt;&gt;"",入力!$B$19&gt;F48),入力!$B$19-1,999999),IF(AND(入力!$B$20&lt;&gt;"",入力!$B$20&gt;F48),入力!$B$20-1,999999),IF(AND(入力!$J$7&lt;&gt;"",入力!$J$7&gt;F48),入力!$J$7-1,999999)))</f>
        <v/>
      </c>
      <c r="H48" s="52">
        <f>IF(F48="","",IFERROR(VLOOKUP(DATE(B48,C48,1),カレンダーマスタ!$A$2:$B$97,2,0),NETWORKDAYS(DATE(B48,C48,1),EOMONTH(F48,0))))</f>
        <v/>
      </c>
      <c r="I48" s="33">
        <f>IF(F48="","",NETWORKDAYS(F48,G48))</f>
        <v/>
      </c>
      <c r="J48" s="52">
        <f>IF(F48="","",IF(入力!$C$8&lt;&gt;"",入力!$C$8,INDEX(入力!$G$37:$G$78,MATCH(DATE(B48,C48,1),入力!$A$37:$A$78,0))))</f>
        <v/>
      </c>
      <c r="K48" s="52">
        <f>IF(F48="","",ROUNDDOWN(INDEX(入力!$H$13:$H$20,MATCH(F48,入力!$B$13:$B$20,1))/H48+INDEX(入力!$I$13:$I$20,MATCH(F48,入力!$B$13:$B$20,1))/22,0))</f>
        <v/>
      </c>
      <c r="L48" s="34">
        <f>IF(F48="","",IF(J48&gt;K48,"〇","×"))</f>
        <v/>
      </c>
      <c r="M48" s="52">
        <f>IF(F48="","",J48*I48)</f>
        <v/>
      </c>
      <c r="N48" s="52">
        <f>IF(F48="","",MIN(J48,K48)*I48)</f>
        <v/>
      </c>
      <c r="O48" s="53">
        <f>IF(F48="","",M48-N48)</f>
        <v/>
      </c>
      <c r="Q48">
        <f>IF(F48="","",IF(COUNTIFS($B$6:B48,B48,$C$6:C48,C48,$E$6:E48,E48)=1,MAX($Q$5:Q47)+1,""))</f>
        <v/>
      </c>
    </row>
    <row r="49">
      <c r="A49" s="30">
        <f>IF(F49="","",44)</f>
        <v/>
      </c>
      <c r="B49" s="30">
        <f>IF(F49="","",YEAR(F49))</f>
        <v/>
      </c>
      <c r="C49" s="30">
        <f>IF(F49="","",MONTH(F49))</f>
        <v/>
      </c>
      <c r="D49" s="30">
        <f>IF(F49="","",INDEX(入力!$A$13:$A$20,MATCH(F49,入力!$B$13:$B$20,1)))</f>
        <v/>
      </c>
      <c r="E49" s="30">
        <f>IF(F49="","",IF(G49&lt;=入力!$J$6,"法定","附加"))</f>
        <v/>
      </c>
      <c r="F49" s="31">
        <f>IF(G48="","",IF(G48&gt;=入力!$J$9,"",G48+1))</f>
        <v/>
      </c>
      <c r="G49" s="31">
        <f>IF(F49="","",MIN(EOMONTH(F49,0),入力!$J$9,IF(AND(入力!$B$13&lt;&gt;"",入力!$B$13&gt;F49),入力!$B$13-1,999999),IF(AND(入力!$B$14&lt;&gt;"",入力!$B$14&gt;F49),入力!$B$14-1,999999),IF(AND(入力!$B$15&lt;&gt;"",入力!$B$15&gt;F49),入力!$B$15-1,999999),IF(AND(入力!$B$16&lt;&gt;"",入力!$B$16&gt;F49),入力!$B$16-1,999999),IF(AND(入力!$B$17&lt;&gt;"",入力!$B$17&gt;F49),入力!$B$17-1,999999),IF(AND(入力!$B$18&lt;&gt;"",入力!$B$18&gt;F49),入力!$B$18-1,999999),IF(AND(入力!$B$19&lt;&gt;"",入力!$B$19&gt;F49),入力!$B$19-1,999999),IF(AND(入力!$B$20&lt;&gt;"",入力!$B$20&gt;F49),入力!$B$20-1,999999),IF(AND(入力!$J$7&lt;&gt;"",入力!$J$7&gt;F49),入力!$J$7-1,999999)))</f>
        <v/>
      </c>
      <c r="H49" s="52">
        <f>IF(F49="","",IFERROR(VLOOKUP(DATE(B49,C49,1),カレンダーマスタ!$A$2:$B$97,2,0),NETWORKDAYS(DATE(B49,C49,1),EOMONTH(F49,0))))</f>
        <v/>
      </c>
      <c r="I49" s="33">
        <f>IF(F49="","",NETWORKDAYS(F49,G49))</f>
        <v/>
      </c>
      <c r="J49" s="52">
        <f>IF(F49="","",IF(入力!$C$8&lt;&gt;"",入力!$C$8,INDEX(入力!$G$37:$G$78,MATCH(DATE(B49,C49,1),入力!$A$37:$A$78,0))))</f>
        <v/>
      </c>
      <c r="K49" s="52">
        <f>IF(F49="","",ROUNDDOWN(INDEX(入力!$H$13:$H$20,MATCH(F49,入力!$B$13:$B$20,1))/H49+INDEX(入力!$I$13:$I$20,MATCH(F49,入力!$B$13:$B$20,1))/22,0))</f>
        <v/>
      </c>
      <c r="L49" s="34">
        <f>IF(F49="","",IF(J49&gt;K49,"〇","×"))</f>
        <v/>
      </c>
      <c r="M49" s="52">
        <f>IF(F49="","",J49*I49)</f>
        <v/>
      </c>
      <c r="N49" s="52">
        <f>IF(F49="","",MIN(J49,K49)*I49)</f>
        <v/>
      </c>
      <c r="O49" s="53">
        <f>IF(F49="","",M49-N49)</f>
        <v/>
      </c>
      <c r="Q49">
        <f>IF(F49="","",IF(COUNTIFS($B$6:B49,B49,$C$6:C49,C49,$E$6:E49,E49)=1,MAX($Q$5:Q48)+1,""))</f>
        <v/>
      </c>
    </row>
    <row r="50">
      <c r="A50" s="30">
        <f>IF(F50="","",45)</f>
        <v/>
      </c>
      <c r="B50" s="30">
        <f>IF(F50="","",YEAR(F50))</f>
        <v/>
      </c>
      <c r="C50" s="30">
        <f>IF(F50="","",MONTH(F50))</f>
        <v/>
      </c>
      <c r="D50" s="30">
        <f>IF(F50="","",INDEX(入力!$A$13:$A$20,MATCH(F50,入力!$B$13:$B$20,1)))</f>
        <v/>
      </c>
      <c r="E50" s="30">
        <f>IF(F50="","",IF(G50&lt;=入力!$J$6,"法定","附加"))</f>
        <v/>
      </c>
      <c r="F50" s="31">
        <f>IF(G49="","",IF(G49&gt;=入力!$J$9,"",G49+1))</f>
        <v/>
      </c>
      <c r="G50" s="31">
        <f>IF(F50="","",MIN(EOMONTH(F50,0),入力!$J$9,IF(AND(入力!$B$13&lt;&gt;"",入力!$B$13&gt;F50),入力!$B$13-1,999999),IF(AND(入力!$B$14&lt;&gt;"",入力!$B$14&gt;F50),入力!$B$14-1,999999),IF(AND(入力!$B$15&lt;&gt;"",入力!$B$15&gt;F50),入力!$B$15-1,999999),IF(AND(入力!$B$16&lt;&gt;"",入力!$B$16&gt;F50),入力!$B$16-1,999999),IF(AND(入力!$B$17&lt;&gt;"",入力!$B$17&gt;F50),入力!$B$17-1,999999),IF(AND(入力!$B$18&lt;&gt;"",入力!$B$18&gt;F50),入力!$B$18-1,999999),IF(AND(入力!$B$19&lt;&gt;"",入力!$B$19&gt;F50),入力!$B$19-1,999999),IF(AND(入力!$B$20&lt;&gt;"",入力!$B$20&gt;F50),入力!$B$20-1,999999),IF(AND(入力!$J$7&lt;&gt;"",入力!$J$7&gt;F50),入力!$J$7-1,999999)))</f>
        <v/>
      </c>
      <c r="H50" s="52">
        <f>IF(F50="","",IFERROR(VLOOKUP(DATE(B50,C50,1),カレンダーマスタ!$A$2:$B$97,2,0),NETWORKDAYS(DATE(B50,C50,1),EOMONTH(F50,0))))</f>
        <v/>
      </c>
      <c r="I50" s="33">
        <f>IF(F50="","",NETWORKDAYS(F50,G50))</f>
        <v/>
      </c>
      <c r="J50" s="52">
        <f>IF(F50="","",IF(入力!$C$8&lt;&gt;"",入力!$C$8,INDEX(入力!$G$37:$G$78,MATCH(DATE(B50,C50,1),入力!$A$37:$A$78,0))))</f>
        <v/>
      </c>
      <c r="K50" s="52">
        <f>IF(F50="","",ROUNDDOWN(INDEX(入力!$H$13:$H$20,MATCH(F50,入力!$B$13:$B$20,1))/H50+INDEX(入力!$I$13:$I$20,MATCH(F50,入力!$B$13:$B$20,1))/22,0))</f>
        <v/>
      </c>
      <c r="L50" s="34">
        <f>IF(F50="","",IF(J50&gt;K50,"〇","×"))</f>
        <v/>
      </c>
      <c r="M50" s="52">
        <f>IF(F50="","",J50*I50)</f>
        <v/>
      </c>
      <c r="N50" s="52">
        <f>IF(F50="","",MIN(J50,K50)*I50)</f>
        <v/>
      </c>
      <c r="O50" s="53">
        <f>IF(F50="","",M50-N50)</f>
        <v/>
      </c>
      <c r="Q50">
        <f>IF(F50="","",IF(COUNTIFS($B$6:B50,B50,$C$6:C50,C50,$E$6:E50,E50)=1,MAX($Q$5:Q49)+1,""))</f>
        <v/>
      </c>
    </row>
    <row r="51">
      <c r="A51" s="30">
        <f>IF(F51="","",46)</f>
        <v/>
      </c>
      <c r="B51" s="30">
        <f>IF(F51="","",YEAR(F51))</f>
        <v/>
      </c>
      <c r="C51" s="30">
        <f>IF(F51="","",MONTH(F51))</f>
        <v/>
      </c>
      <c r="D51" s="30">
        <f>IF(F51="","",INDEX(入力!$A$13:$A$20,MATCH(F51,入力!$B$13:$B$20,1)))</f>
        <v/>
      </c>
      <c r="E51" s="30">
        <f>IF(F51="","",IF(G51&lt;=入力!$J$6,"法定","附加"))</f>
        <v/>
      </c>
      <c r="F51" s="31">
        <f>IF(G50="","",IF(G50&gt;=入力!$J$9,"",G50+1))</f>
        <v/>
      </c>
      <c r="G51" s="31">
        <f>IF(F51="","",MIN(EOMONTH(F51,0),入力!$J$9,IF(AND(入力!$B$13&lt;&gt;"",入力!$B$13&gt;F51),入力!$B$13-1,999999),IF(AND(入力!$B$14&lt;&gt;"",入力!$B$14&gt;F51),入力!$B$14-1,999999),IF(AND(入力!$B$15&lt;&gt;"",入力!$B$15&gt;F51),入力!$B$15-1,999999),IF(AND(入力!$B$16&lt;&gt;"",入力!$B$16&gt;F51),入力!$B$16-1,999999),IF(AND(入力!$B$17&lt;&gt;"",入力!$B$17&gt;F51),入力!$B$17-1,999999),IF(AND(入力!$B$18&lt;&gt;"",入力!$B$18&gt;F51),入力!$B$18-1,999999),IF(AND(入力!$B$19&lt;&gt;"",入力!$B$19&gt;F51),入力!$B$19-1,999999),IF(AND(入力!$B$20&lt;&gt;"",入力!$B$20&gt;F51),入力!$B$20-1,999999),IF(AND(入力!$J$7&lt;&gt;"",入力!$J$7&gt;F51),入力!$J$7-1,999999)))</f>
        <v/>
      </c>
      <c r="H51" s="52">
        <f>IF(F51="","",IFERROR(VLOOKUP(DATE(B51,C51,1),カレンダーマスタ!$A$2:$B$97,2,0),NETWORKDAYS(DATE(B51,C51,1),EOMONTH(F51,0))))</f>
        <v/>
      </c>
      <c r="I51" s="33">
        <f>IF(F51="","",NETWORKDAYS(F51,G51))</f>
        <v/>
      </c>
      <c r="J51" s="52">
        <f>IF(F51="","",IF(入力!$C$8&lt;&gt;"",入力!$C$8,INDEX(入力!$G$37:$G$78,MATCH(DATE(B51,C51,1),入力!$A$37:$A$78,0))))</f>
        <v/>
      </c>
      <c r="K51" s="52">
        <f>IF(F51="","",ROUNDDOWN(INDEX(入力!$H$13:$H$20,MATCH(F51,入力!$B$13:$B$20,1))/H51+INDEX(入力!$I$13:$I$20,MATCH(F51,入力!$B$13:$B$20,1))/22,0))</f>
        <v/>
      </c>
      <c r="L51" s="34">
        <f>IF(F51="","",IF(J51&gt;K51,"〇","×"))</f>
        <v/>
      </c>
      <c r="M51" s="52">
        <f>IF(F51="","",J51*I51)</f>
        <v/>
      </c>
      <c r="N51" s="52">
        <f>IF(F51="","",MIN(J51,K51)*I51)</f>
        <v/>
      </c>
      <c r="O51" s="53">
        <f>IF(F51="","",M51-N51)</f>
        <v/>
      </c>
      <c r="Q51">
        <f>IF(F51="","",IF(COUNTIFS($B$6:B51,B51,$C$6:C51,C51,$E$6:E51,E51)=1,MAX($Q$5:Q50)+1,""))</f>
        <v/>
      </c>
    </row>
    <row r="52">
      <c r="A52" s="30">
        <f>IF(F52="","",47)</f>
        <v/>
      </c>
      <c r="B52" s="30">
        <f>IF(F52="","",YEAR(F52))</f>
        <v/>
      </c>
      <c r="C52" s="30">
        <f>IF(F52="","",MONTH(F52))</f>
        <v/>
      </c>
      <c r="D52" s="30">
        <f>IF(F52="","",INDEX(入力!$A$13:$A$20,MATCH(F52,入力!$B$13:$B$20,1)))</f>
        <v/>
      </c>
      <c r="E52" s="30">
        <f>IF(F52="","",IF(G52&lt;=入力!$J$6,"法定","附加"))</f>
        <v/>
      </c>
      <c r="F52" s="31">
        <f>IF(G51="","",IF(G51&gt;=入力!$J$9,"",G51+1))</f>
        <v/>
      </c>
      <c r="G52" s="31">
        <f>IF(F52="","",MIN(EOMONTH(F52,0),入力!$J$9,IF(AND(入力!$B$13&lt;&gt;"",入力!$B$13&gt;F52),入力!$B$13-1,999999),IF(AND(入力!$B$14&lt;&gt;"",入力!$B$14&gt;F52),入力!$B$14-1,999999),IF(AND(入力!$B$15&lt;&gt;"",入力!$B$15&gt;F52),入力!$B$15-1,999999),IF(AND(入力!$B$16&lt;&gt;"",入力!$B$16&gt;F52),入力!$B$16-1,999999),IF(AND(入力!$B$17&lt;&gt;"",入力!$B$17&gt;F52),入力!$B$17-1,999999),IF(AND(入力!$B$18&lt;&gt;"",入力!$B$18&gt;F52),入力!$B$18-1,999999),IF(AND(入力!$B$19&lt;&gt;"",入力!$B$19&gt;F52),入力!$B$19-1,999999),IF(AND(入力!$B$20&lt;&gt;"",入力!$B$20&gt;F52),入力!$B$20-1,999999),IF(AND(入力!$J$7&lt;&gt;"",入力!$J$7&gt;F52),入力!$J$7-1,999999)))</f>
        <v/>
      </c>
      <c r="H52" s="52">
        <f>IF(F52="","",IFERROR(VLOOKUP(DATE(B52,C52,1),カレンダーマスタ!$A$2:$B$97,2,0),NETWORKDAYS(DATE(B52,C52,1),EOMONTH(F52,0))))</f>
        <v/>
      </c>
      <c r="I52" s="33">
        <f>IF(F52="","",NETWORKDAYS(F52,G52))</f>
        <v/>
      </c>
      <c r="J52" s="52">
        <f>IF(F52="","",IF(入力!$C$8&lt;&gt;"",入力!$C$8,INDEX(入力!$G$37:$G$78,MATCH(DATE(B52,C52,1),入力!$A$37:$A$78,0))))</f>
        <v/>
      </c>
      <c r="K52" s="52">
        <f>IF(F52="","",ROUNDDOWN(INDEX(入力!$H$13:$H$20,MATCH(F52,入力!$B$13:$B$20,1))/H52+INDEX(入力!$I$13:$I$20,MATCH(F52,入力!$B$13:$B$20,1))/22,0))</f>
        <v/>
      </c>
      <c r="L52" s="34">
        <f>IF(F52="","",IF(J52&gt;K52,"〇","×"))</f>
        <v/>
      </c>
      <c r="M52" s="52">
        <f>IF(F52="","",J52*I52)</f>
        <v/>
      </c>
      <c r="N52" s="52">
        <f>IF(F52="","",MIN(J52,K52)*I52)</f>
        <v/>
      </c>
      <c r="O52" s="53">
        <f>IF(F52="","",M52-N52)</f>
        <v/>
      </c>
      <c r="Q52">
        <f>IF(F52="","",IF(COUNTIFS($B$6:B52,B52,$C$6:C52,C52,$E$6:E52,E52)=1,MAX($Q$5:Q51)+1,""))</f>
        <v/>
      </c>
    </row>
    <row r="53">
      <c r="A53" s="30">
        <f>IF(F53="","",48)</f>
        <v/>
      </c>
      <c r="B53" s="30">
        <f>IF(F53="","",YEAR(F53))</f>
        <v/>
      </c>
      <c r="C53" s="30">
        <f>IF(F53="","",MONTH(F53))</f>
        <v/>
      </c>
      <c r="D53" s="30">
        <f>IF(F53="","",INDEX(入力!$A$13:$A$20,MATCH(F53,入力!$B$13:$B$20,1)))</f>
        <v/>
      </c>
      <c r="E53" s="30">
        <f>IF(F53="","",IF(G53&lt;=入力!$J$6,"法定","附加"))</f>
        <v/>
      </c>
      <c r="F53" s="31">
        <f>IF(G52="","",IF(G52&gt;=入力!$J$9,"",G52+1))</f>
        <v/>
      </c>
      <c r="G53" s="31">
        <f>IF(F53="","",MIN(EOMONTH(F53,0),入力!$J$9,IF(AND(入力!$B$13&lt;&gt;"",入力!$B$13&gt;F53),入力!$B$13-1,999999),IF(AND(入力!$B$14&lt;&gt;"",入力!$B$14&gt;F53),入力!$B$14-1,999999),IF(AND(入力!$B$15&lt;&gt;"",入力!$B$15&gt;F53),入力!$B$15-1,999999),IF(AND(入力!$B$16&lt;&gt;"",入力!$B$16&gt;F53),入力!$B$16-1,999999),IF(AND(入力!$B$17&lt;&gt;"",入力!$B$17&gt;F53),入力!$B$17-1,999999),IF(AND(入力!$B$18&lt;&gt;"",入力!$B$18&gt;F53),入力!$B$18-1,999999),IF(AND(入力!$B$19&lt;&gt;"",入力!$B$19&gt;F53),入力!$B$19-1,999999),IF(AND(入力!$B$20&lt;&gt;"",入力!$B$20&gt;F53),入力!$B$20-1,999999),IF(AND(入力!$J$7&lt;&gt;"",入力!$J$7&gt;F53),入力!$J$7-1,999999)))</f>
        <v/>
      </c>
      <c r="H53" s="52">
        <f>IF(F53="","",IFERROR(VLOOKUP(DATE(B53,C53,1),カレンダーマスタ!$A$2:$B$97,2,0),NETWORKDAYS(DATE(B53,C53,1),EOMONTH(F53,0))))</f>
        <v/>
      </c>
      <c r="I53" s="33">
        <f>IF(F53="","",NETWORKDAYS(F53,G53))</f>
        <v/>
      </c>
      <c r="J53" s="52">
        <f>IF(F53="","",IF(入力!$C$8&lt;&gt;"",入力!$C$8,INDEX(入力!$G$37:$G$78,MATCH(DATE(B53,C53,1),入力!$A$37:$A$78,0))))</f>
        <v/>
      </c>
      <c r="K53" s="52">
        <f>IF(F53="","",ROUNDDOWN(INDEX(入力!$H$13:$H$20,MATCH(F53,入力!$B$13:$B$20,1))/H53+INDEX(入力!$I$13:$I$20,MATCH(F53,入力!$B$13:$B$20,1))/22,0))</f>
        <v/>
      </c>
      <c r="L53" s="34">
        <f>IF(F53="","",IF(J53&gt;K53,"〇","×"))</f>
        <v/>
      </c>
      <c r="M53" s="52">
        <f>IF(F53="","",J53*I53)</f>
        <v/>
      </c>
      <c r="N53" s="52">
        <f>IF(F53="","",MIN(J53,K53)*I53)</f>
        <v/>
      </c>
      <c r="O53" s="53">
        <f>IF(F53="","",M53-N53)</f>
        <v/>
      </c>
      <c r="Q53">
        <f>IF(F53="","",IF(COUNTIFS($B$6:B53,B53,$C$6:C53,C53,$E$6:E53,E53)=1,MAX($Q$5:Q52)+1,""))</f>
        <v/>
      </c>
    </row>
    <row r="55">
      <c r="A55" s="2" t="inlineStr">
        <is>
          <t>法定給付 計</t>
        </is>
      </c>
      <c r="B55" s="57" t="n"/>
      <c r="C55" s="57" t="n"/>
      <c r="D55" s="57" t="n"/>
      <c r="E55" s="57" t="n"/>
      <c r="F55" s="57" t="n"/>
      <c r="G55" s="57" t="n"/>
      <c r="H55" s="44" t="n"/>
      <c r="I55" s="54">
        <f>SUMIFS(I6:I53,E6:E53,"法定")</f>
        <v/>
      </c>
      <c r="J55" s="54" t="n"/>
      <c r="K55" s="54" t="n"/>
      <c r="L55" s="54" t="n"/>
      <c r="M55" s="54">
        <f>SUMIFS(M6:M53,E6:E53,"法定")</f>
        <v/>
      </c>
      <c r="N55" s="54">
        <f>SUMIFS(N6:N53,E6:E53,"法定")</f>
        <v/>
      </c>
      <c r="O55" s="54">
        <f>SUMIFS(O6:O53,E6:E53,"法定")</f>
        <v/>
      </c>
    </row>
    <row r="56">
      <c r="A56" s="2" t="inlineStr">
        <is>
          <t>附加給付 計</t>
        </is>
      </c>
      <c r="B56" s="57" t="n"/>
      <c r="C56" s="57" t="n"/>
      <c r="D56" s="57" t="n"/>
      <c r="E56" s="57" t="n"/>
      <c r="F56" s="57" t="n"/>
      <c r="G56" s="57" t="n"/>
      <c r="H56" s="44" t="n"/>
      <c r="I56" s="54">
        <f>SUMIFS(I6:I53,E6:E53,"附加")</f>
        <v/>
      </c>
      <c r="J56" s="54" t="n"/>
      <c r="K56" s="54" t="n"/>
      <c r="L56" s="54" t="n"/>
      <c r="M56" s="54">
        <f>SUMIFS(M6:M53,E6:E53,"附加")</f>
        <v/>
      </c>
      <c r="N56" s="54">
        <f>SUMIFS(N6:N53,E6:E53,"附加")</f>
        <v/>
      </c>
      <c r="O56" s="54">
        <f>SUMIFS(O6:O53,E6:E53,"附加")</f>
        <v/>
      </c>
    </row>
    <row r="57">
      <c r="A57" s="1" t="inlineStr">
        <is>
          <t>合　計</t>
        </is>
      </c>
      <c r="B57" s="57" t="n"/>
      <c r="C57" s="57" t="n"/>
      <c r="D57" s="57" t="n"/>
      <c r="E57" s="57" t="n"/>
      <c r="F57" s="57" t="n"/>
      <c r="G57" s="57" t="n"/>
      <c r="H57" s="44" t="n"/>
      <c r="I57" s="55">
        <f>SUM(I55:I56)</f>
        <v/>
      </c>
      <c r="J57" s="55" t="n"/>
      <c r="K57" s="55" t="n"/>
      <c r="L57" s="55" t="n"/>
      <c r="M57" s="55">
        <f>SUM(M55:M56)</f>
        <v/>
      </c>
      <c r="N57" s="55">
        <f>SUM(N55:N56)</f>
        <v/>
      </c>
      <c r="O57" s="55">
        <f>SUM(O55:O56)</f>
        <v/>
      </c>
    </row>
    <row r="59">
      <c r="A59" s="12" t="inlineStr">
        <is>
          <t>■ 検算</t>
        </is>
      </c>
    </row>
    <row r="60">
      <c r="A60" s="14" t="inlineStr">
        <is>
          <t>標準支給額 − 調整額 − 差引支給額（0なら整合）</t>
        </is>
      </c>
      <c r="O60" s="56">
        <f>M57-N57-O57</f>
        <v/>
      </c>
    </row>
    <row r="61">
      <c r="A61" s="14" t="inlineStr">
        <is>
          <t>支給可否が×の月数（報酬日額 ≧ 傷病手当日額のため支給なし）</t>
        </is>
      </c>
      <c r="O61">
        <f>COUNTIF(L6:L53,"×")</f>
        <v/>
      </c>
    </row>
    <row r="63">
      <c r="A63" s="12" t="inlineStr">
        <is>
          <t>【計算の考え方】</t>
        </is>
      </c>
    </row>
    <row r="64">
      <c r="A64" s="40" t="inlineStr">
        <is>
          <t>・傷病手当日額（B）＝入力シートの標準報酬月額から試算（確認値を入力した場合はその額）。標準支給額（F）＝B×支給日数（A）。</t>
        </is>
      </c>
    </row>
    <row r="65">
      <c r="A65" s="40" t="inlineStr">
        <is>
          <t>・報酬日額（C）＝(日額で支給されるもの÷勤務を要する日数＋月額で支給されるもの÷22)の円未満切捨。月の途中で給与区分や給付区分が変わる場合は自動で行を分割します。</t>
        </is>
      </c>
    </row>
    <row r="66">
      <c r="A66" s="40" t="inlineStr">
        <is>
          <t>・調整額（G）＝報酬日額と傷病手当日額の小さい方×支給日数。報酬日額が傷病手当日額以上（×）の行は、調整額＝標準支給額となり差引支給額は0円です。</t>
        </is>
      </c>
    </row>
    <row r="67">
      <c r="A67" s="40" t="inlineStr">
        <is>
          <t>・差引支給額（E）＝標準支給額（F）−調整額（G）。基幹システムには法定給付・附加給付別に、月ごとに入力してください。</t>
        </is>
      </c>
    </row>
    <row r="68">
      <c r="A68" s="40" t="inlineStr">
        <is>
          <t>・支給日数は土日を除く日数です（祝日・年末年始は考慮していません）。実際の勤務を要する日数と異なる場合は、カレンダーマスタ等で確認してください。</t>
        </is>
      </c>
    </row>
    <row r="69">
      <c r="A69" s="40" t="inlineStr">
        <is>
          <t>・障害年金等との調整は本表に含まれていません。調整がある場合は、基幹システムでマイナスの調整額を別途入力してください。</t>
        </is>
      </c>
    </row>
    <row r="70">
      <c r="A70" s="40" t="inlineStr">
        <is>
          <t>・退職者：法定給付は退職日に関係なく末日まで、附加給付は「退職時附加金の受給：有」の場合のみ退職日まで算定します（マニュアル2①）。</t>
        </is>
      </c>
    </row>
  </sheetData>
  <mergeCells count="3">
    <mergeCell ref="A56:H56"/>
    <mergeCell ref="A57:H57"/>
    <mergeCell ref="A55:H55"/>
  </mergeCells>
  <conditionalFormatting sqref="A6:O53">
    <cfRule type="expression" priority="2" dxfId="0">
      <formula>$L6="×"</formula>
    </cfRule>
  </conditionalFormatting>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sheetPr>
  <dimension ref="A1:D97"/>
  <sheetViews>
    <sheetView topLeftCell="A70" zoomScaleNormal="100" workbookViewId="0">
      <selection activeCell="A1" sqref="A1"/>
    </sheetView>
  </sheetViews>
  <sheetFormatPr baseColWidth="8" defaultColWidth="8.6640625" defaultRowHeight="14.4"/>
  <cols>
    <col width="12" customWidth="1" style="39" min="1" max="1"/>
    <col width="16" customWidth="1" style="39" min="2" max="2"/>
  </cols>
  <sheetData>
    <row r="1">
      <c r="A1" s="41" t="inlineStr">
        <is>
          <t>日付</t>
        </is>
      </c>
      <c r="B1" s="41" t="inlineStr">
        <is>
          <t>勤務を要する日数</t>
        </is>
      </c>
      <c r="D1" s="11" t="inlineStr">
        <is>
          <t>※月初日と、その月の「勤務を要する日数」（土日除く）。祝日等で変更する月はB列を直接修正。表にない月は自動で土日除外日数を計算します。</t>
        </is>
      </c>
    </row>
    <row r="2">
      <c r="A2" s="58" t="n">
        <v>43831</v>
      </c>
      <c r="B2" s="43" t="n">
        <v>23</v>
      </c>
    </row>
    <row r="3">
      <c r="A3" s="58" t="n">
        <v>43862</v>
      </c>
      <c r="B3" s="43" t="n">
        <v>20</v>
      </c>
    </row>
    <row r="4">
      <c r="A4" s="58" t="n">
        <v>43891</v>
      </c>
      <c r="B4" s="43" t="n">
        <v>22</v>
      </c>
    </row>
    <row r="5">
      <c r="A5" s="58" t="n">
        <v>43922</v>
      </c>
      <c r="B5" s="43" t="n">
        <v>22</v>
      </c>
    </row>
    <row r="6">
      <c r="A6" s="58" t="n">
        <v>43952</v>
      </c>
      <c r="B6" s="43" t="n">
        <v>21</v>
      </c>
    </row>
    <row r="7">
      <c r="A7" s="58" t="n">
        <v>43983</v>
      </c>
      <c r="B7" s="43" t="n">
        <v>22</v>
      </c>
    </row>
    <row r="8">
      <c r="A8" s="58" t="n">
        <v>44013</v>
      </c>
      <c r="B8" s="43" t="n">
        <v>23</v>
      </c>
    </row>
    <row r="9">
      <c r="A9" s="58" t="n">
        <v>44044</v>
      </c>
      <c r="B9" s="43" t="n">
        <v>21</v>
      </c>
    </row>
    <row r="10">
      <c r="A10" s="58" t="n">
        <v>44075</v>
      </c>
      <c r="B10" s="43" t="n">
        <v>22</v>
      </c>
    </row>
    <row r="11">
      <c r="A11" s="58" t="n">
        <v>44105</v>
      </c>
      <c r="B11" s="43" t="n">
        <v>22</v>
      </c>
    </row>
    <row r="12">
      <c r="A12" s="58" t="n">
        <v>44136</v>
      </c>
      <c r="B12" s="43" t="n">
        <v>21</v>
      </c>
    </row>
    <row r="13">
      <c r="A13" s="58" t="n">
        <v>44166</v>
      </c>
      <c r="B13" s="43" t="n">
        <v>23</v>
      </c>
    </row>
    <row r="14">
      <c r="A14" s="58" t="n">
        <v>44197</v>
      </c>
      <c r="B14" s="43" t="n">
        <v>21</v>
      </c>
    </row>
    <row r="15">
      <c r="A15" s="58" t="n">
        <v>44228</v>
      </c>
      <c r="B15" s="43" t="n">
        <v>20</v>
      </c>
    </row>
    <row r="16">
      <c r="A16" s="58" t="n">
        <v>44256</v>
      </c>
      <c r="B16" s="43" t="n">
        <v>23</v>
      </c>
    </row>
    <row r="17">
      <c r="A17" s="58" t="n">
        <v>44287</v>
      </c>
      <c r="B17" s="43" t="n">
        <v>22</v>
      </c>
    </row>
    <row r="18">
      <c r="A18" s="58" t="n">
        <v>44317</v>
      </c>
      <c r="B18" s="43" t="n">
        <v>21</v>
      </c>
    </row>
    <row r="19">
      <c r="A19" s="58" t="n">
        <v>44348</v>
      </c>
      <c r="B19" s="43" t="n">
        <v>22</v>
      </c>
    </row>
    <row r="20">
      <c r="A20" s="58" t="n">
        <v>44378</v>
      </c>
      <c r="B20" s="43" t="n">
        <v>22</v>
      </c>
    </row>
    <row r="21">
      <c r="A21" s="58" t="n">
        <v>44409</v>
      </c>
      <c r="B21" s="43" t="n">
        <v>22</v>
      </c>
    </row>
    <row r="22">
      <c r="A22" s="58" t="n">
        <v>44440</v>
      </c>
      <c r="B22" s="43" t="n">
        <v>22</v>
      </c>
    </row>
    <row r="23">
      <c r="A23" s="58" t="n">
        <v>44470</v>
      </c>
      <c r="B23" s="43" t="n">
        <v>21</v>
      </c>
    </row>
    <row r="24">
      <c r="A24" s="58" t="n">
        <v>44501</v>
      </c>
      <c r="B24" s="43" t="n">
        <v>22</v>
      </c>
    </row>
    <row r="25">
      <c r="A25" s="58" t="n">
        <v>44531</v>
      </c>
      <c r="B25" s="43" t="n">
        <v>22</v>
      </c>
    </row>
    <row r="26">
      <c r="A26" s="58" t="n">
        <v>44562</v>
      </c>
      <c r="B26" s="43" t="n">
        <v>21</v>
      </c>
    </row>
    <row r="27">
      <c r="A27" s="58" t="n">
        <v>44593</v>
      </c>
      <c r="B27" s="43" t="n">
        <v>20</v>
      </c>
    </row>
    <row r="28">
      <c r="A28" s="58" t="n">
        <v>44621</v>
      </c>
      <c r="B28" s="43" t="n">
        <v>23</v>
      </c>
    </row>
    <row r="29">
      <c r="A29" s="58" t="n">
        <v>44652</v>
      </c>
      <c r="B29" s="43" t="n">
        <v>21</v>
      </c>
    </row>
    <row r="30">
      <c r="A30" s="58" t="n">
        <v>44682</v>
      </c>
      <c r="B30" s="43" t="n">
        <v>22</v>
      </c>
    </row>
    <row r="31">
      <c r="A31" s="58" t="n">
        <v>44713</v>
      </c>
      <c r="B31" s="43" t="n">
        <v>22</v>
      </c>
    </row>
    <row r="32">
      <c r="A32" s="58" t="n">
        <v>44743</v>
      </c>
      <c r="B32" s="43" t="n">
        <v>21</v>
      </c>
    </row>
    <row r="33">
      <c r="A33" s="58" t="n">
        <v>44774</v>
      </c>
      <c r="B33" s="43" t="n">
        <v>23</v>
      </c>
    </row>
    <row r="34">
      <c r="A34" s="58" t="n">
        <v>44805</v>
      </c>
      <c r="B34" s="43" t="n">
        <v>22</v>
      </c>
    </row>
    <row r="35">
      <c r="A35" s="58" t="n">
        <v>44835</v>
      </c>
      <c r="B35" s="43" t="n">
        <v>21</v>
      </c>
    </row>
    <row r="36">
      <c r="A36" s="58" t="n">
        <v>44866</v>
      </c>
      <c r="B36" s="43" t="n">
        <v>22</v>
      </c>
    </row>
    <row r="37">
      <c r="A37" s="58" t="n">
        <v>44896</v>
      </c>
      <c r="B37" s="43" t="n">
        <v>22</v>
      </c>
    </row>
    <row r="38">
      <c r="A38" s="58" t="n">
        <v>44927</v>
      </c>
      <c r="B38" s="43" t="n">
        <v>22</v>
      </c>
    </row>
    <row r="39">
      <c r="A39" s="58" t="n">
        <v>44958</v>
      </c>
      <c r="B39" s="43" t="n">
        <v>20</v>
      </c>
    </row>
    <row r="40">
      <c r="A40" s="58" t="n">
        <v>44986</v>
      </c>
      <c r="B40" s="43" t="n">
        <v>23</v>
      </c>
    </row>
    <row r="41">
      <c r="A41" s="58" t="n">
        <v>45017</v>
      </c>
      <c r="B41" s="43" t="n">
        <v>20</v>
      </c>
    </row>
    <row r="42">
      <c r="A42" s="58" t="n">
        <v>45047</v>
      </c>
      <c r="B42" s="43" t="n">
        <v>23</v>
      </c>
    </row>
    <row r="43">
      <c r="A43" s="58" t="n">
        <v>45078</v>
      </c>
      <c r="B43" s="43" t="n">
        <v>22</v>
      </c>
    </row>
    <row r="44">
      <c r="A44" s="58" t="n">
        <v>45108</v>
      </c>
      <c r="B44" s="43" t="n">
        <v>21</v>
      </c>
    </row>
    <row r="45">
      <c r="A45" s="58" t="n">
        <v>45139</v>
      </c>
      <c r="B45" s="43" t="n">
        <v>23</v>
      </c>
    </row>
    <row r="46">
      <c r="A46" s="58" t="n">
        <v>45170</v>
      </c>
      <c r="B46" s="43" t="n">
        <v>21</v>
      </c>
    </row>
    <row r="47">
      <c r="A47" s="58" t="n">
        <v>45200</v>
      </c>
      <c r="B47" s="43" t="n">
        <v>22</v>
      </c>
    </row>
    <row r="48">
      <c r="A48" s="58" t="n">
        <v>45231</v>
      </c>
      <c r="B48" s="43" t="n">
        <v>22</v>
      </c>
    </row>
    <row r="49">
      <c r="A49" s="58" t="n">
        <v>45261</v>
      </c>
      <c r="B49" s="43" t="n">
        <v>21</v>
      </c>
    </row>
    <row r="50">
      <c r="A50" s="58" t="n">
        <v>45292</v>
      </c>
      <c r="B50" s="43" t="n">
        <v>23</v>
      </c>
    </row>
    <row r="51">
      <c r="A51" s="58" t="n">
        <v>45323</v>
      </c>
      <c r="B51" s="43" t="n">
        <v>21</v>
      </c>
    </row>
    <row r="52">
      <c r="A52" s="58" t="n">
        <v>45352</v>
      </c>
      <c r="B52" s="43" t="n">
        <v>21</v>
      </c>
    </row>
    <row r="53">
      <c r="A53" s="58" t="n">
        <v>45383</v>
      </c>
      <c r="B53" s="43" t="n">
        <v>22</v>
      </c>
    </row>
    <row r="54">
      <c r="A54" s="58" t="n">
        <v>45413</v>
      </c>
      <c r="B54" s="43" t="n">
        <v>23</v>
      </c>
    </row>
    <row r="55">
      <c r="A55" s="58" t="n">
        <v>45444</v>
      </c>
      <c r="B55" s="43" t="n">
        <v>20</v>
      </c>
    </row>
    <row r="56">
      <c r="A56" s="58" t="n">
        <v>45474</v>
      </c>
      <c r="B56" s="43" t="n">
        <v>23</v>
      </c>
    </row>
    <row r="57">
      <c r="A57" s="58" t="n">
        <v>45505</v>
      </c>
      <c r="B57" s="43" t="n">
        <v>22</v>
      </c>
    </row>
    <row r="58">
      <c r="A58" s="58" t="n">
        <v>45536</v>
      </c>
      <c r="B58" s="43" t="n">
        <v>21</v>
      </c>
    </row>
    <row r="59">
      <c r="A59" s="58" t="n">
        <v>45566</v>
      </c>
      <c r="B59" s="43" t="n">
        <v>23</v>
      </c>
    </row>
    <row r="60">
      <c r="A60" s="58" t="n">
        <v>45597</v>
      </c>
      <c r="B60" s="43" t="n">
        <v>21</v>
      </c>
    </row>
    <row r="61">
      <c r="A61" s="58" t="n">
        <v>45627</v>
      </c>
      <c r="B61" s="43" t="n">
        <v>22</v>
      </c>
    </row>
    <row r="62">
      <c r="A62" s="58" t="n">
        <v>45658</v>
      </c>
      <c r="B62" s="43" t="n">
        <v>23</v>
      </c>
    </row>
    <row r="63">
      <c r="A63" s="58" t="n">
        <v>45689</v>
      </c>
      <c r="B63" s="43" t="n">
        <v>20</v>
      </c>
    </row>
    <row r="64">
      <c r="A64" s="58" t="n">
        <v>45717</v>
      </c>
      <c r="B64" s="43" t="n">
        <v>21</v>
      </c>
    </row>
    <row r="65">
      <c r="A65" s="58" t="n">
        <v>45748</v>
      </c>
      <c r="B65" s="43" t="n">
        <v>22</v>
      </c>
    </row>
    <row r="66">
      <c r="A66" s="58" t="n">
        <v>45778</v>
      </c>
      <c r="B66" s="43" t="n">
        <v>22</v>
      </c>
    </row>
    <row r="67">
      <c r="A67" s="58" t="n">
        <v>45809</v>
      </c>
      <c r="B67" s="43" t="n">
        <v>21</v>
      </c>
    </row>
    <row r="68">
      <c r="A68" s="58" t="n">
        <v>45839</v>
      </c>
      <c r="B68" s="43" t="n">
        <v>23</v>
      </c>
    </row>
    <row r="69">
      <c r="A69" s="58" t="n">
        <v>45870</v>
      </c>
      <c r="B69" s="43" t="n">
        <v>21</v>
      </c>
    </row>
    <row r="70">
      <c r="A70" s="58" t="n">
        <v>45901</v>
      </c>
      <c r="B70" s="43" t="n">
        <v>22</v>
      </c>
    </row>
    <row r="71">
      <c r="A71" s="58" t="n">
        <v>45931</v>
      </c>
      <c r="B71" s="43" t="n">
        <v>23</v>
      </c>
    </row>
    <row r="72">
      <c r="A72" s="58" t="n">
        <v>45962</v>
      </c>
      <c r="B72" s="43" t="n">
        <v>20</v>
      </c>
    </row>
    <row r="73">
      <c r="A73" s="58" t="n">
        <v>45992</v>
      </c>
      <c r="B73" s="43" t="n">
        <v>23</v>
      </c>
    </row>
    <row r="74">
      <c r="A74" s="58" t="n">
        <v>46023</v>
      </c>
      <c r="B74" s="43" t="n">
        <v>22</v>
      </c>
    </row>
    <row r="75">
      <c r="A75" s="58" t="n">
        <v>46054</v>
      </c>
      <c r="B75" s="43" t="n">
        <v>20</v>
      </c>
    </row>
    <row r="76">
      <c r="A76" s="58" t="n">
        <v>46082</v>
      </c>
      <c r="B76" s="43" t="n">
        <v>22</v>
      </c>
    </row>
    <row r="77">
      <c r="A77" s="58" t="n">
        <v>46113</v>
      </c>
      <c r="B77" s="43" t="n">
        <v>22</v>
      </c>
    </row>
    <row r="78">
      <c r="A78" s="58" t="n">
        <v>46143</v>
      </c>
      <c r="B78" s="43" t="n">
        <v>21</v>
      </c>
    </row>
    <row r="79">
      <c r="A79" s="58" t="n">
        <v>46174</v>
      </c>
      <c r="B79" s="43" t="n">
        <v>22</v>
      </c>
    </row>
    <row r="80">
      <c r="A80" s="58" t="n">
        <v>46204</v>
      </c>
      <c r="B80" s="43" t="n">
        <v>23</v>
      </c>
    </row>
    <row r="81">
      <c r="A81" s="58" t="n">
        <v>46235</v>
      </c>
      <c r="B81" s="43" t="n">
        <v>21</v>
      </c>
    </row>
    <row r="82">
      <c r="A82" s="58" t="n">
        <v>46266</v>
      </c>
      <c r="B82" s="43" t="n">
        <v>22</v>
      </c>
    </row>
    <row r="83">
      <c r="A83" s="58" t="n">
        <v>46296</v>
      </c>
      <c r="B83" s="43" t="n">
        <v>22</v>
      </c>
    </row>
    <row r="84">
      <c r="A84" s="58" t="n">
        <v>46327</v>
      </c>
      <c r="B84" s="43" t="n">
        <v>21</v>
      </c>
    </row>
    <row r="85">
      <c r="A85" s="58" t="n">
        <v>46357</v>
      </c>
      <c r="B85" s="43" t="n">
        <v>23</v>
      </c>
    </row>
    <row r="86">
      <c r="A86" s="58" t="n">
        <v>46388</v>
      </c>
      <c r="B86" s="43" t="n">
        <v>21</v>
      </c>
    </row>
    <row r="87">
      <c r="A87" s="58" t="n">
        <v>46419</v>
      </c>
      <c r="B87" s="43" t="n">
        <v>20</v>
      </c>
    </row>
    <row r="88">
      <c r="A88" s="58" t="n">
        <v>46447</v>
      </c>
      <c r="B88" s="43" t="n">
        <v>23</v>
      </c>
    </row>
    <row r="89">
      <c r="A89" s="58" t="n">
        <v>46478</v>
      </c>
      <c r="B89" s="43" t="n">
        <v>22</v>
      </c>
    </row>
    <row r="90">
      <c r="A90" s="58" t="n">
        <v>46508</v>
      </c>
      <c r="B90" s="43" t="n">
        <v>21</v>
      </c>
    </row>
    <row r="91">
      <c r="A91" s="58" t="n">
        <v>46539</v>
      </c>
      <c r="B91" s="43" t="n">
        <v>22</v>
      </c>
    </row>
    <row r="92">
      <c r="A92" s="58" t="n">
        <v>46569</v>
      </c>
      <c r="B92" s="43" t="n">
        <v>22</v>
      </c>
    </row>
    <row r="93">
      <c r="A93" s="58" t="n">
        <v>46600</v>
      </c>
      <c r="B93" s="43" t="n">
        <v>22</v>
      </c>
    </row>
    <row r="94">
      <c r="A94" s="58" t="n">
        <v>46631</v>
      </c>
      <c r="B94" s="43" t="n">
        <v>22</v>
      </c>
    </row>
    <row r="95">
      <c r="A95" s="58" t="n">
        <v>46661</v>
      </c>
      <c r="B95" s="43" t="n">
        <v>21</v>
      </c>
    </row>
    <row r="96">
      <c r="A96" s="58" t="n">
        <v>46692</v>
      </c>
      <c r="B96" s="43" t="n">
        <v>22</v>
      </c>
    </row>
    <row r="97">
      <c r="A97" s="58" t="n">
        <v>46722</v>
      </c>
      <c r="B97" s="43" t="n">
        <v>23</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2026-10-16T02:20:10Z</dcterms:created>
  <dcterms:modified xmlns:dcterms="http://purl.org/dc/terms/" xmlns:xsi="http://www.w3.org/2001/XMLSchema-instance" xsi:type="dcterms:W3CDTF">2026-10-26T01:45:06Z</dcterms:modified>
  <cp:lastModifiedBy>木本 拓志</cp:lastModifiedBy>
  <cp:revision>0</cp:revision>
</cp:coreProperties>
</file>