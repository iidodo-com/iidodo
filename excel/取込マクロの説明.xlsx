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取込マクロの説明" sheetId="1" r:id="rId1"/>
  </sheets>
  <calcPr calcId="124519" fullCalcOnLoad="1"/>
</workbook>
</file>

<file path=xl/sharedStrings.xml><?xml version="1.0" encoding="utf-8"?>
<sst xmlns="http://schemas.openxmlformats.org/spreadsheetml/2006/main" count="88" uniqueCount="74">
  <si>
    <t>取込マクロ（CSV取り込み）の動き</t>
  </si>
  <si>
    <t>フォルダを選ぶだけで、CSVを読んで数え、小さな集計表を作ります。下の例は黄色の時刻を変えると、集計も変わります。</t>
  </si>
  <si>
    <t>1. 全体の流れ</t>
  </si>
  <si>
    <t>フォルダを選ぶ</t>
  </si>
  <si>
    <t>実行すると、CSVが入っているフォルダを選ぶ画面が出る。</t>
  </si>
  <si>
    <t>↓</t>
  </si>
  <si>
    <t>CSVを探す</t>
  </si>
  <si>
    <t>選んだフォルダの下を、浅い階層から順に探す。「全区」フォルダには入らない。</t>
  </si>
  <si>
    <t>ファイルを選ぶ</t>
  </si>
  <si>
    <t>名前に CD＋6桁（例 CD25031000000）があるCSVだけ使う。6桁が年月日。区はフォルダの名前（02東区 など）で決める。</t>
  </si>
  <si>
    <t>重複をはぶく</t>
  </si>
  <si>
    <t>同じ区・同じ日のファイルが2つ以上あるときは、最初の1つだけ使う。</t>
  </si>
  <si>
    <t>1行ずつ読む</t>
  </si>
  <si>
    <t>発券した時刻、呼び出した時刻、処理が済んだ時刻（と、厚生部は業務の種類）を見る。</t>
  </si>
  <si>
    <t>15分枠に数える</t>
  </si>
  <si>
    <t>発券時刻を15分ごとの枠に分けて、区×年月×枠ごとに件数を足す。処理時間（分）も足す。</t>
  </si>
  <si>
    <t>シートに書く</t>
  </si>
  <si>
    <t>古い内容を消して、集計表を「取込_市民部」「取込_厚生部」「取込_業務別」に書き込む。</t>
  </si>
  <si>
    <t>再計算</t>
  </si>
  <si>
    <t>削減効果の式が新しいデータで計算し直され、完了メッセージが出る。</t>
  </si>
  <si>
    <t>2. 区とファイルの決め方（例）</t>
  </si>
  <si>
    <t>置いてある場所</t>
  </si>
  <si>
    <t>ファイル名</t>
  </si>
  <si>
    <t>区</t>
  </si>
  <si>
    <t>日付</t>
  </si>
  <si>
    <t>扱い</t>
  </si>
  <si>
    <t>…/３月/02東区/</t>
  </si>
  <si>
    <t>CD25031000000.CSV</t>
  </si>
  <si>
    <t>東区</t>
  </si>
  <si>
    <t>2025/03/10</t>
  </si>
  <si>
    <t>読む</t>
  </si>
  <si>
    <t>…/３月/作業用/02東区/</t>
  </si>
  <si>
    <t>重複なので読まない</t>
  </si>
  <si>
    <t>…/全区/</t>
  </si>
  <si>
    <t>－</t>
  </si>
  <si>
    <t>「全区」は入らない</t>
  </si>
  <si>
    <t>…/R8.4月/01 中区/</t>
  </si>
  <si>
    <t>中区_CD26040100000.CSV</t>
  </si>
  <si>
    <t>中区</t>
  </si>
  <si>
    <t>2026/04/01</t>
  </si>
  <si>
    <t>…/メモ/</t>
  </si>
  <si>
    <t>一覧表.xlsx</t>
  </si>
  <si>
    <t>CSVでないので読まない</t>
  </si>
  <si>
    <t>3. 数え方の例（中区 2025年3月10日のCSVから6件）</t>
  </si>
  <si>
    <t>CSVの1行が「1人分の発券」です。黄色が元データ（CSVの時刻）、白がマクロの計算です。</t>
  </si>
  <si>
    <t>No.</t>
  </si>
  <si>
    <t>発券時刻</t>
  </si>
  <si>
    <t>呼出時刻</t>
  </si>
  <si>
    <t>処理済み時刻</t>
  </si>
  <si>
    <t>15分枠（開始）</t>
  </si>
  <si>
    <t>待ち（分）</t>
  </si>
  <si>
    <t>処理時間（分）</t>
  </si>
  <si>
    <t>15分枠は「分」で表示（990 ＝ 16:30、1005 ＝ 16:45）。処理済み時刻のない行は、件数には数えるが、処理時間の平均には入れない。</t>
  </si>
  <si>
    <t>4. 集計表になる（取込シートに書かれる形）</t>
  </si>
  <si>
    <t>15分枠</t>
  </si>
  <si>
    <t>16:15〜16:30</t>
  </si>
  <si>
    <t>16:30〜16:45</t>
  </si>
  <si>
    <t>16:45〜17:00</t>
  </si>
  <si>
    <t>17:00〜17:15</t>
  </si>
  <si>
    <t>17:15〜17:30</t>
  </si>
  <si>
    <t>計</t>
  </si>
  <si>
    <t>枠の開始（分）</t>
  </si>
  <si>
    <t>発券数（件）</t>
  </si>
  <si>
    <t>処理時間の合計（分）</t>
  </si>
  <si>
    <t>処理時間の件数</t>
  </si>
  <si>
    <t>平均処理時間（分）</t>
  </si>
  <si>
    <t>合計 ÷ 件数</t>
  </si>
  <si>
    <t>実際は、これを区×年月ごとに作ります（1か月で数万件）。さらに、時間外削減効果のシートが「16:30以降の枠の件数」と「平均処理時間」を使って、減らせる時間を計算します。</t>
  </si>
  <si>
    <t>5. 知っておくこと</t>
  </si>
  <si>
    <t>・取り込むたびに、前の内容は消えて置き換わる（追記ではない）。</t>
  </si>
  <si>
    <t>・CSVそのものは書き換えない（読むだけ）。</t>
  </si>
  <si>
    <t>・2023年1月〜2028年12月の範囲だけ数える。</t>
  </si>
  <si>
    <t>・時刻が読めない行は数えない。</t>
  </si>
  <si>
    <t>・処理時間は、呼出から処理済みまでをそのまま使う（長いものも除かない）。</t>
  </si>
</sst>
</file>

<file path=xl/styles.xml><?xml version="1.0" encoding="utf-8"?>
<styleSheet xmlns="http://schemas.openxmlformats.org/spreadsheetml/2006/main">
  <numFmts count="3">
    <numFmt numFmtId="164" formatCode="h:mm:ss"/>
    <numFmt numFmtId="165" formatCode="0.0"/>
    <numFmt numFmtId="166" formatCode="#,##0"/>
  </numFmts>
  <fonts count="10">
    <font>
      <sz val="11"/>
      <color theme="1"/>
      <name val="Calibri"/>
      <family val="2"/>
      <scheme val="minor"/>
    </font>
    <font>
      <b/>
      <sz val="14"/>
      <color theme="1"/>
      <name val="Meiryo UI"/>
      <family val="2"/>
    </font>
    <font>
      <sz val="10"/>
      <color rgb="FF595959"/>
      <name val="Meiryo UI"/>
      <family val="2"/>
    </font>
    <font>
      <b/>
      <sz val="11"/>
      <color theme="1"/>
      <name val="Meiryo UI"/>
      <family val="2"/>
    </font>
    <font>
      <b/>
      <sz val="10"/>
      <color rgb="FFFFFFFF"/>
      <name val="Meiryo UI"/>
      <family val="2"/>
    </font>
    <font>
      <b/>
      <sz val="10"/>
      <color theme="1"/>
      <name val="Meiryo UI"/>
      <family val="2"/>
    </font>
    <font>
      <sz val="10"/>
      <color theme="1"/>
      <name val="Meiryo UI"/>
      <family val="2"/>
    </font>
    <font>
      <sz val="12"/>
      <color rgb="FF7F7F7F"/>
      <name val="Meiryo UI"/>
      <family val="2"/>
    </font>
    <font>
      <sz val="9"/>
      <color theme="1"/>
      <name val="Meiryo UI"/>
      <family val="2"/>
    </font>
    <font>
      <sz val="9"/>
      <color rgb="FF595959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DE6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rgb="FF7F96B8"/>
      </left>
      <right style="thin">
        <color rgb="FF7F96B8"/>
      </right>
      <top style="thin">
        <color rgb="FF7F96B8"/>
      </top>
      <bottom style="thin">
        <color rgb="FF7F96B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9" fillId="0" borderId="0" xfId="0" applyFont="1" applyAlignment="1">
      <alignment vertical="top" wrapText="1"/>
    </xf>
    <xf numFmtId="164" fontId="6" fillId="5" borderId="5" xfId="0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55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4.7109375" customWidth="1"/>
    <col min="4" max="4" width="12.7109375" customWidth="1"/>
    <col min="5" max="10" width="13.7109375" customWidth="1"/>
    <col min="11" max="11" width="3.7109375" customWidth="1"/>
  </cols>
  <sheetData>
    <row r="1" spans="2:10">
      <c r="B1" s="1" t="s">
        <v>0</v>
      </c>
    </row>
    <row r="2" spans="2:10">
      <c r="B2" s="2" t="s">
        <v>1</v>
      </c>
    </row>
    <row r="4" spans="2:10">
      <c r="B4" s="3" t="s">
        <v>2</v>
      </c>
      <c r="C4" s="3"/>
      <c r="D4" s="3"/>
      <c r="E4" s="3"/>
      <c r="F4" s="3"/>
      <c r="G4" s="3"/>
      <c r="H4" s="3"/>
      <c r="I4" s="3"/>
      <c r="J4" s="3"/>
    </row>
    <row r="5" spans="2:10" ht="30" customHeight="1">
      <c r="B5" s="4">
        <v>1</v>
      </c>
      <c r="C5" s="5" t="s">
        <v>3</v>
      </c>
      <c r="D5" s="5"/>
      <c r="E5" s="6" t="s">
        <v>4</v>
      </c>
      <c r="F5" s="6"/>
      <c r="G5" s="6"/>
      <c r="H5" s="6"/>
      <c r="I5" s="6"/>
      <c r="J5" s="6"/>
    </row>
    <row r="6" spans="2:10">
      <c r="C6" s="7" t="s">
        <v>5</v>
      </c>
      <c r="D6" s="7"/>
    </row>
    <row r="7" spans="2:10" ht="30" customHeight="1">
      <c r="B7" s="4">
        <v>2</v>
      </c>
      <c r="C7" s="5" t="s">
        <v>6</v>
      </c>
      <c r="D7" s="5"/>
      <c r="E7" s="6" t="s">
        <v>7</v>
      </c>
      <c r="F7" s="6"/>
      <c r="G7" s="6"/>
      <c r="H7" s="6"/>
      <c r="I7" s="6"/>
      <c r="J7" s="6"/>
    </row>
    <row r="8" spans="2:10">
      <c r="C8" s="7" t="s">
        <v>5</v>
      </c>
      <c r="D8" s="7"/>
    </row>
    <row r="9" spans="2:10" ht="30" customHeight="1">
      <c r="B9" s="4">
        <v>3</v>
      </c>
      <c r="C9" s="5" t="s">
        <v>8</v>
      </c>
      <c r="D9" s="5"/>
      <c r="E9" s="6" t="s">
        <v>9</v>
      </c>
      <c r="F9" s="6"/>
      <c r="G9" s="6"/>
      <c r="H9" s="6"/>
      <c r="I9" s="6"/>
      <c r="J9" s="6"/>
    </row>
    <row r="10" spans="2:10">
      <c r="C10" s="7" t="s">
        <v>5</v>
      </c>
      <c r="D10" s="7"/>
    </row>
    <row r="11" spans="2:10" ht="30" customHeight="1">
      <c r="B11" s="4">
        <v>4</v>
      </c>
      <c r="C11" s="5" t="s">
        <v>10</v>
      </c>
      <c r="D11" s="5"/>
      <c r="E11" s="6" t="s">
        <v>11</v>
      </c>
      <c r="F11" s="6"/>
      <c r="G11" s="6"/>
      <c r="H11" s="6"/>
      <c r="I11" s="6"/>
      <c r="J11" s="6"/>
    </row>
    <row r="12" spans="2:10">
      <c r="C12" s="7" t="s">
        <v>5</v>
      </c>
      <c r="D12" s="7"/>
    </row>
    <row r="13" spans="2:10" ht="30" customHeight="1">
      <c r="B13" s="4">
        <v>5</v>
      </c>
      <c r="C13" s="5" t="s">
        <v>12</v>
      </c>
      <c r="D13" s="5"/>
      <c r="E13" s="6" t="s">
        <v>13</v>
      </c>
      <c r="F13" s="6"/>
      <c r="G13" s="6"/>
      <c r="H13" s="6"/>
      <c r="I13" s="6"/>
      <c r="J13" s="6"/>
    </row>
    <row r="14" spans="2:10">
      <c r="C14" s="7" t="s">
        <v>5</v>
      </c>
      <c r="D14" s="7"/>
    </row>
    <row r="15" spans="2:10" ht="30" customHeight="1">
      <c r="B15" s="4">
        <v>6</v>
      </c>
      <c r="C15" s="5" t="s">
        <v>14</v>
      </c>
      <c r="D15" s="5"/>
      <c r="E15" s="6" t="s">
        <v>15</v>
      </c>
      <c r="F15" s="6"/>
      <c r="G15" s="6"/>
      <c r="H15" s="6"/>
      <c r="I15" s="6"/>
      <c r="J15" s="6"/>
    </row>
    <row r="16" spans="2:10">
      <c r="C16" s="7" t="s">
        <v>5</v>
      </c>
      <c r="D16" s="7"/>
    </row>
    <row r="17" spans="2:10" ht="30" customHeight="1">
      <c r="B17" s="4">
        <v>7</v>
      </c>
      <c r="C17" s="5" t="s">
        <v>16</v>
      </c>
      <c r="D17" s="5"/>
      <c r="E17" s="6" t="s">
        <v>17</v>
      </c>
      <c r="F17" s="6"/>
      <c r="G17" s="6"/>
      <c r="H17" s="6"/>
      <c r="I17" s="6"/>
      <c r="J17" s="6"/>
    </row>
    <row r="18" spans="2:10">
      <c r="C18" s="7" t="s">
        <v>5</v>
      </c>
      <c r="D18" s="7"/>
    </row>
    <row r="19" spans="2:10" ht="30" customHeight="1">
      <c r="B19" s="4">
        <v>8</v>
      </c>
      <c r="C19" s="5" t="s">
        <v>18</v>
      </c>
      <c r="D19" s="5"/>
      <c r="E19" s="6" t="s">
        <v>19</v>
      </c>
      <c r="F19" s="6"/>
      <c r="G19" s="6"/>
      <c r="H19" s="6"/>
      <c r="I19" s="6"/>
      <c r="J19" s="6"/>
    </row>
    <row r="21" spans="2:10">
      <c r="B21" s="3" t="s">
        <v>20</v>
      </c>
      <c r="C21" s="3"/>
      <c r="D21" s="3"/>
      <c r="E21" s="3"/>
      <c r="F21" s="3"/>
      <c r="G21" s="3"/>
      <c r="H21" s="3"/>
      <c r="I21" s="3"/>
      <c r="J21" s="3"/>
    </row>
    <row r="22" spans="2:10">
      <c r="B22" s="8"/>
      <c r="C22" s="8" t="s">
        <v>21</v>
      </c>
      <c r="D22" s="8"/>
      <c r="E22" s="8"/>
      <c r="F22" s="8" t="s">
        <v>22</v>
      </c>
      <c r="G22" s="8"/>
      <c r="H22" s="8" t="s">
        <v>23</v>
      </c>
      <c r="I22" s="8" t="s">
        <v>24</v>
      </c>
      <c r="J22" s="8" t="s">
        <v>25</v>
      </c>
    </row>
    <row r="23" spans="2:10" ht="26" customHeight="1">
      <c r="B23" s="9">
        <v>1</v>
      </c>
      <c r="C23" s="6" t="s">
        <v>26</v>
      </c>
      <c r="D23" s="6"/>
      <c r="E23" s="6"/>
      <c r="F23" s="6" t="s">
        <v>27</v>
      </c>
      <c r="G23" s="6"/>
      <c r="H23" s="9" t="s">
        <v>28</v>
      </c>
      <c r="I23" s="9" t="s">
        <v>29</v>
      </c>
      <c r="J23" s="10" t="s">
        <v>30</v>
      </c>
    </row>
    <row r="24" spans="2:10" ht="26" customHeight="1">
      <c r="B24" s="9">
        <v>2</v>
      </c>
      <c r="C24" s="6" t="s">
        <v>31</v>
      </c>
      <c r="D24" s="6"/>
      <c r="E24" s="6"/>
      <c r="F24" s="6" t="s">
        <v>27</v>
      </c>
      <c r="G24" s="6"/>
      <c r="H24" s="9" t="s">
        <v>28</v>
      </c>
      <c r="I24" s="9" t="s">
        <v>29</v>
      </c>
      <c r="J24" s="10" t="s">
        <v>32</v>
      </c>
    </row>
    <row r="25" spans="2:10" ht="26" customHeight="1">
      <c r="B25" s="9">
        <v>3</v>
      </c>
      <c r="C25" s="6" t="s">
        <v>33</v>
      </c>
      <c r="D25" s="6"/>
      <c r="E25" s="6"/>
      <c r="F25" s="6" t="s">
        <v>27</v>
      </c>
      <c r="G25" s="6"/>
      <c r="H25" s="9" t="s">
        <v>34</v>
      </c>
      <c r="I25" s="9" t="s">
        <v>34</v>
      </c>
      <c r="J25" s="10" t="s">
        <v>35</v>
      </c>
    </row>
    <row r="26" spans="2:10" ht="26" customHeight="1">
      <c r="B26" s="9">
        <v>4</v>
      </c>
      <c r="C26" s="6" t="s">
        <v>36</v>
      </c>
      <c r="D26" s="6"/>
      <c r="E26" s="6"/>
      <c r="F26" s="6" t="s">
        <v>37</v>
      </c>
      <c r="G26" s="6"/>
      <c r="H26" s="9" t="s">
        <v>38</v>
      </c>
      <c r="I26" s="9" t="s">
        <v>39</v>
      </c>
      <c r="J26" s="10" t="s">
        <v>30</v>
      </c>
    </row>
    <row r="27" spans="2:10" ht="26" customHeight="1">
      <c r="B27" s="9">
        <v>5</v>
      </c>
      <c r="C27" s="6" t="s">
        <v>40</v>
      </c>
      <c r="D27" s="6"/>
      <c r="E27" s="6"/>
      <c r="F27" s="6" t="s">
        <v>41</v>
      </c>
      <c r="G27" s="6"/>
      <c r="H27" s="9" t="s">
        <v>34</v>
      </c>
      <c r="I27" s="9" t="s">
        <v>34</v>
      </c>
      <c r="J27" s="10" t="s">
        <v>42</v>
      </c>
    </row>
    <row r="29" spans="2:10">
      <c r="B29" s="3" t="s">
        <v>43</v>
      </c>
      <c r="C29" s="3"/>
      <c r="D29" s="3"/>
      <c r="E29" s="3"/>
      <c r="F29" s="3"/>
      <c r="G29" s="3"/>
      <c r="H29" s="3"/>
      <c r="I29" s="3"/>
      <c r="J29" s="3"/>
    </row>
    <row r="30" spans="2:10">
      <c r="B30" s="11" t="s">
        <v>44</v>
      </c>
      <c r="C30" s="11"/>
      <c r="D30" s="11"/>
      <c r="E30" s="11"/>
      <c r="F30" s="11"/>
      <c r="G30" s="11"/>
      <c r="H30" s="11"/>
      <c r="I30" s="11"/>
      <c r="J30" s="11"/>
    </row>
    <row r="31" spans="2:10" ht="28" customHeight="1">
      <c r="B31" s="8" t="s">
        <v>45</v>
      </c>
      <c r="C31" s="8" t="s">
        <v>46</v>
      </c>
      <c r="D31" s="8" t="s">
        <v>47</v>
      </c>
      <c r="E31" s="8" t="s">
        <v>48</v>
      </c>
      <c r="F31" s="8" t="s">
        <v>49</v>
      </c>
      <c r="G31" s="8" t="s">
        <v>50</v>
      </c>
      <c r="H31" s="8" t="s">
        <v>51</v>
      </c>
    </row>
    <row r="32" spans="2:10">
      <c r="B32" s="9">
        <v>1</v>
      </c>
      <c r="C32" s="12">
        <v>0.6862268518518518</v>
      </c>
      <c r="D32" s="12">
        <v>0.6909722222222222</v>
      </c>
      <c r="E32" s="12">
        <v>0.6975694444444445</v>
      </c>
      <c r="F32" s="13">
        <f>INT(ROUND(C32*1440,6)/15)*15</f>
        <v>975</v>
      </c>
      <c r="G32" s="14">
        <f>ROUND((D32-C32)*1440,1)</f>
        <v>6.8</v>
      </c>
      <c r="H32" s="14">
        <f>IF(E32="","処理済みなし",ROUND((E32-D32)*1440,1))</f>
        <v>9.5</v>
      </c>
    </row>
    <row r="33" spans="2:10">
      <c r="B33" s="9">
        <v>2</v>
      </c>
      <c r="C33" s="12">
        <v>0.6887152777777777</v>
      </c>
      <c r="D33" s="12">
        <v>0.6945601851851851</v>
      </c>
      <c r="E33" s="12">
        <v>0.7027777777777777</v>
      </c>
      <c r="F33" s="13">
        <f>INT(ROUND(C33*1440,6)/15)*15</f>
        <v>990</v>
      </c>
      <c r="G33" s="14">
        <f>ROUND((D33-C33)*1440,1)</f>
        <v>8.4</v>
      </c>
      <c r="H33" s="14">
        <f>IF(E33="","処理済みなし",ROUND((E33-D33)*1440,1))</f>
        <v>11.8</v>
      </c>
    </row>
    <row r="34" spans="2:10">
      <c r="B34" s="9">
        <v>3</v>
      </c>
      <c r="C34" s="12">
        <v>0.6974537037037037</v>
      </c>
      <c r="D34" s="12">
        <v>0.7013888888888888</v>
      </c>
      <c r="E34" s="12">
        <v>0.7074074074074074</v>
      </c>
      <c r="F34" s="13">
        <f>INT(ROUND(C34*1440,6)/15)*15</f>
        <v>990</v>
      </c>
      <c r="G34" s="14">
        <f>ROUND((D34-C34)*1440,1)</f>
        <v>5.7</v>
      </c>
      <c r="H34" s="14">
        <f>IF(E34="","処理済みなし",ROUND((E34-D34)*1440,1))</f>
        <v>8.7</v>
      </c>
    </row>
    <row r="35" spans="2:10">
      <c r="B35" s="9">
        <v>4</v>
      </c>
      <c r="C35" s="12">
        <v>0.7014467592592593</v>
      </c>
      <c r="D35" s="12">
        <v>0.7100694444444444</v>
      </c>
      <c r="E35" s="12">
        <v>0.7152777777777778</v>
      </c>
      <c r="F35" s="13">
        <f>INT(ROUND(C35*1440,6)/15)*15</f>
        <v>1005</v>
      </c>
      <c r="G35" s="14">
        <f>ROUND((D35-C35)*1440,1)</f>
        <v>12.4</v>
      </c>
      <c r="H35" s="14">
        <f>IF(E35="","処理済みなし",ROUND((E35-D35)*1440,1))</f>
        <v>7.5</v>
      </c>
    </row>
    <row r="36" spans="2:10">
      <c r="B36" s="9">
        <v>5</v>
      </c>
      <c r="C36" s="12">
        <v>0.7121527777777777</v>
      </c>
      <c r="D36" s="12">
        <v>0.7125</v>
      </c>
      <c r="E36" s="12"/>
      <c r="F36" s="13">
        <f>INT(ROUND(C36*1440,6)/15)*15</f>
        <v>1020</v>
      </c>
      <c r="G36" s="14">
        <f>ROUND((D36-C36)*1440,1)</f>
        <v>0.5</v>
      </c>
      <c r="H36" s="14" t="str">
        <f>IF(E36="","処理済みなし",ROUND((E36-D36)*1440,1))</f>
        <v>処理済みなし</v>
      </c>
    </row>
    <row r="37" spans="2:10">
      <c r="B37" s="9">
        <v>6</v>
      </c>
      <c r="C37" s="12">
        <v>0.7222222222222222</v>
      </c>
      <c r="D37" s="12">
        <v>0.7229166666666667</v>
      </c>
      <c r="E37" s="12">
        <v>0.7291666666666666</v>
      </c>
      <c r="F37" s="13">
        <f>INT(ROUND(C37*1440,6)/15)*15</f>
        <v>1035</v>
      </c>
      <c r="G37" s="14">
        <f>ROUND((D37-C37)*1440,1)</f>
        <v>1.0</v>
      </c>
      <c r="H37" s="14">
        <f>IF(E37="","処理済みなし",ROUND((E37-D37)*1440,1))</f>
        <v>9.0</v>
      </c>
    </row>
    <row r="38" spans="2:10">
      <c r="B38" s="11" t="s">
        <v>52</v>
      </c>
      <c r="C38" s="11"/>
      <c r="D38" s="11"/>
      <c r="E38" s="11"/>
      <c r="F38" s="11"/>
      <c r="G38" s="11"/>
      <c r="H38" s="11"/>
      <c r="I38" s="11"/>
      <c r="J38" s="11"/>
    </row>
    <row r="40" spans="2:10">
      <c r="B40" s="3" t="s">
        <v>53</v>
      </c>
      <c r="C40" s="3"/>
      <c r="D40" s="3"/>
      <c r="E40" s="3"/>
      <c r="F40" s="3"/>
      <c r="G40" s="3"/>
      <c r="H40" s="3"/>
      <c r="I40" s="3"/>
      <c r="J40" s="3"/>
    </row>
    <row r="41" spans="2:10" ht="28" customHeight="1">
      <c r="C41" s="8" t="s">
        <v>54</v>
      </c>
      <c r="D41" s="8" t="s">
        <v>55</v>
      </c>
      <c r="E41" s="8" t="s">
        <v>56</v>
      </c>
      <c r="F41" s="8" t="s">
        <v>57</v>
      </c>
      <c r="G41" s="8" t="s">
        <v>58</v>
      </c>
      <c r="H41" s="8" t="s">
        <v>59</v>
      </c>
      <c r="I41" s="8" t="s">
        <v>60</v>
      </c>
    </row>
    <row r="42" spans="2:10">
      <c r="C42" s="9" t="s">
        <v>61</v>
      </c>
      <c r="D42" s="13">
        <v>975</v>
      </c>
      <c r="E42" s="13">
        <v>990</v>
      </c>
      <c r="F42" s="13">
        <v>1005</v>
      </c>
      <c r="G42" s="13">
        <v>1020</v>
      </c>
      <c r="H42" s="13">
        <v>1035</v>
      </c>
    </row>
    <row r="43" spans="2:10">
      <c r="C43" s="9" t="s">
        <v>62</v>
      </c>
      <c r="D43" s="15">
        <f>COUNTIF($F$32:$F$37,D42)</f>
        <v>1</v>
      </c>
      <c r="E43" s="15">
        <f>COUNTIF($F$32:$F$37,E42)</f>
        <v>2</v>
      </c>
      <c r="F43" s="15">
        <f>COUNTIF($F$32:$F$37,F42)</f>
        <v>1</v>
      </c>
      <c r="G43" s="15">
        <f>COUNTIF($F$32:$F$37,G42)</f>
        <v>1</v>
      </c>
      <c r="H43" s="15">
        <f>COUNTIF($F$32:$F$37,H42)</f>
        <v>1</v>
      </c>
      <c r="I43" s="15">
        <f>SUM(D43:H43)</f>
        <v>6</v>
      </c>
    </row>
    <row r="44" spans="2:10">
      <c r="C44" s="9" t="s">
        <v>63</v>
      </c>
      <c r="D44" s="9"/>
      <c r="E44" s="9"/>
      <c r="F44" s="9"/>
      <c r="G44" s="9"/>
      <c r="H44" s="9"/>
      <c r="I44" s="16">
        <f>SUM(H32:H37)</f>
        <v>46.5</v>
      </c>
    </row>
    <row r="45" spans="2:10">
      <c r="C45" s="9" t="s">
        <v>64</v>
      </c>
      <c r="D45" s="9"/>
      <c r="E45" s="9"/>
      <c r="F45" s="9"/>
      <c r="G45" s="9"/>
      <c r="H45" s="9"/>
      <c r="I45" s="15">
        <f>COUNT(H32:H37)</f>
        <v>5</v>
      </c>
    </row>
    <row r="46" spans="2:10">
      <c r="C46" s="9" t="s">
        <v>65</v>
      </c>
      <c r="D46" s="9" t="s">
        <v>66</v>
      </c>
      <c r="E46" s="9"/>
      <c r="F46" s="9"/>
      <c r="G46" s="9"/>
      <c r="H46" s="9"/>
      <c r="I46" s="16">
        <f>I44/I45</f>
        <v>9.3</v>
      </c>
    </row>
    <row r="48" spans="2:10" ht="28" customHeight="1">
      <c r="B48" s="11" t="s">
        <v>67</v>
      </c>
      <c r="C48" s="11"/>
      <c r="D48" s="11"/>
      <c r="E48" s="11"/>
      <c r="F48" s="11"/>
      <c r="G48" s="11"/>
      <c r="H48" s="11"/>
      <c r="I48" s="11"/>
      <c r="J48" s="11"/>
    </row>
    <row r="50" spans="2:10">
      <c r="B50" s="3" t="s">
        <v>68</v>
      </c>
      <c r="C50" s="3"/>
      <c r="D50" s="3"/>
      <c r="E50" s="3"/>
      <c r="F50" s="3"/>
      <c r="G50" s="3"/>
      <c r="H50" s="3"/>
      <c r="I50" s="3"/>
      <c r="J50" s="3"/>
    </row>
    <row r="51" spans="2:10">
      <c r="B51" s="17" t="s">
        <v>69</v>
      </c>
      <c r="C51" s="17"/>
      <c r="D51" s="17"/>
      <c r="E51" s="17"/>
      <c r="F51" s="17"/>
      <c r="G51" s="17"/>
      <c r="H51" s="17"/>
      <c r="I51" s="17"/>
      <c r="J51" s="17"/>
    </row>
    <row r="52" spans="2:10">
      <c r="B52" s="17" t="s">
        <v>70</v>
      </c>
      <c r="C52" s="17"/>
      <c r="D52" s="17"/>
      <c r="E52" s="17"/>
      <c r="F52" s="17"/>
      <c r="G52" s="17"/>
      <c r="H52" s="17"/>
      <c r="I52" s="17"/>
      <c r="J52" s="17"/>
    </row>
    <row r="53" spans="2:10">
      <c r="B53" s="17" t="s">
        <v>71</v>
      </c>
      <c r="C53" s="17"/>
      <c r="D53" s="17"/>
      <c r="E53" s="17"/>
      <c r="F53" s="17"/>
      <c r="G53" s="17"/>
      <c r="H53" s="17"/>
      <c r="I53" s="17"/>
      <c r="J53" s="17"/>
    </row>
    <row r="54" spans="2:10">
      <c r="B54" s="17" t="s">
        <v>72</v>
      </c>
      <c r="C54" s="17"/>
      <c r="D54" s="17"/>
      <c r="E54" s="17"/>
      <c r="F54" s="17"/>
      <c r="G54" s="17"/>
      <c r="H54" s="17"/>
      <c r="I54" s="17"/>
      <c r="J54" s="17"/>
    </row>
    <row r="55" spans="2:10">
      <c r="B55" s="17" t="s">
        <v>73</v>
      </c>
      <c r="C55" s="17"/>
      <c r="D55" s="17"/>
      <c r="E55" s="17"/>
      <c r="F55" s="17"/>
      <c r="G55" s="17"/>
      <c r="H55" s="17"/>
      <c r="I55" s="17"/>
      <c r="J55" s="17"/>
    </row>
  </sheetData>
  <mergeCells count="46">
    <mergeCell ref="C5:D5"/>
    <mergeCell ref="E5:J5"/>
    <mergeCell ref="C6:D6"/>
    <mergeCell ref="C7:D7"/>
    <mergeCell ref="E7:J7"/>
    <mergeCell ref="C8:D8"/>
    <mergeCell ref="C9:D9"/>
    <mergeCell ref="E9:J9"/>
    <mergeCell ref="C10:D10"/>
    <mergeCell ref="C11:D11"/>
    <mergeCell ref="E11:J11"/>
    <mergeCell ref="C12:D12"/>
    <mergeCell ref="C13:D13"/>
    <mergeCell ref="E13:J13"/>
    <mergeCell ref="C14:D14"/>
    <mergeCell ref="C15:D15"/>
    <mergeCell ref="E15:J15"/>
    <mergeCell ref="C16:D16"/>
    <mergeCell ref="C17:D17"/>
    <mergeCell ref="E17:J17"/>
    <mergeCell ref="C18:D18"/>
    <mergeCell ref="C19:D19"/>
    <mergeCell ref="E19:J19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B30:J30"/>
    <mergeCell ref="B38:J38"/>
    <mergeCell ref="D44:H44"/>
    <mergeCell ref="D45:H45"/>
    <mergeCell ref="D46:H46"/>
    <mergeCell ref="B48:J48"/>
    <mergeCell ref="B51:J51"/>
    <mergeCell ref="B52:J52"/>
    <mergeCell ref="B53:J53"/>
    <mergeCell ref="B54:J54"/>
    <mergeCell ref="B55:J55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取込マクロの説明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2026-10-27T00:33:22Z</dcterms:created>
  <dcterms:modified xsi:type="dcterms:W3CDTF">2026-10-27T00:33:22Z</dcterms:modified>
</cp:coreProperties>
</file>