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はじめに" sheetId="1" r:id="rId1"/>
    <sheet name="ダッシュボード" sheetId="2" r:id="rId2"/>
    <sheet name="ヒートマップ" sheetId="3" r:id="rId3"/>
    <sheet name="カレンダー" sheetId="4" r:id="rId4"/>
    <sheet name="シミュレーター" sheetId="5" r:id="rId5"/>
    <sheet name="業務ランキング" sheetId="6" r:id="rId6"/>
    <sheet name="PDF突合" sheetId="7" r:id="rId7"/>
    <sheet name="データ" sheetId="8" r:id="rId8"/>
    <sheet name="計算" sheetId="9" state="hidden" r:id="rId9"/>
  </sheets>
  <calcPr calcId="124519" fullCalcOnLoad="1"/>
</workbook>
</file>

<file path=xl/sharedStrings.xml><?xml version="1.0" encoding="utf-8"?>
<sst xmlns="http://schemas.openxmlformats.org/spreadsheetml/2006/main" count="1633" uniqueCount="596">
  <si>
    <t>データ置き場（ここは触らなくてOK。ほかのシートが自動で読み取ります）</t>
  </si>
  <si>
    <t>各行は「区×月」「区×曜日」などで集計済み。列は15分ごとの発券数（来庁した人数）。時刻は「その15分の開始時刻」です。</t>
  </si>
  <si>
    <t>① 区×月×15分（キー= 区|月）</t>
  </si>
  <si>
    <t>キー</t>
  </si>
  <si>
    <t>区</t>
  </si>
  <si>
    <t>月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</si>
  <si>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</si>
  <si>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</si>
  <si>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</si>
  <si>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</si>
  <si>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</si>
  <si>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</si>
  <si>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</si>
  <si>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</si>
  <si>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</si>
  <si>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</si>
  <si>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</si>
  <si>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</si>
  <si>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</si>
  <si>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</si>
  <si>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</si>
  <si>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</si>
  <si>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</si>
  <si>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</si>
  <si>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</si>
  <si>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</si>
  <si>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</si>
  <si>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</si>
  <si>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</si>
  <si>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</si>
  <si>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</si>
  <si>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</si>
  <si>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</si>
  <si>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</si>
  <si>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</si>
  <si>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</si>
  <si>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</si>
  <si>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</si>
  <si>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</si>
  <si>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</si>
  <si>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</si>
  <si>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</si>
  <si>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</si>
  <si>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</si>
  <si>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</si>
  <si>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</si>
  <si>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</si>
  <si>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</si>
  <si>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</si>
  <si>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</si>
  <si>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</si>
  <si>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</si>
  <si>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</si>
  <si>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</si>
  <si>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</si>
  <si>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</si>
  <si>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</si>
  <si>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</si>
  <si>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</si>
  <si>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</si>
  <si>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</si>
  <si>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</si>
  <si>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合計</t>
  </si>
  <si>
    <t>全区|全期間</t>
  </si>
  <si>
    <t>全区</t>
  </si>
  <si>
    <t>全期間</t>
  </si>
  <si>
    <t>全区|4月</t>
  </si>
  <si>
    <t>4月</t>
  </si>
  <si>
    <t>全区|5月</t>
  </si>
  <si>
    <t>5月</t>
  </si>
  <si>
    <t>全区|6月</t>
  </si>
  <si>
    <t>6月</t>
  </si>
  <si>
    <t>全区|7月</t>
  </si>
  <si>
    <t>7月</t>
  </si>
  <si>
    <t>全区|8月</t>
  </si>
  <si>
    <t>8月</t>
  </si>
  <si>
    <t>全区|9月</t>
  </si>
  <si>
    <t>9月</t>
  </si>
  <si>
    <t>全区|10月</t>
  </si>
  <si>
    <t>10月</t>
  </si>
  <si>
    <t>全区|11月</t>
  </si>
  <si>
    <t>11月</t>
  </si>
  <si>
    <t>全区|12月</t>
  </si>
  <si>
    <t>12月</t>
  </si>
  <si>
    <t>全区|1月</t>
  </si>
  <si>
    <t>1月</t>
  </si>
  <si>
    <t>全区|2月</t>
  </si>
  <si>
    <t>2月</t>
  </si>
  <si>
    <t>全区|3月</t>
  </si>
  <si>
    <t>3月</t>
  </si>
  <si>
    <t>中区|全期間</t>
  </si>
  <si>
    <t>中区</t>
  </si>
  <si>
    <t>中区|4月</t>
  </si>
  <si>
    <t>中区|5月</t>
  </si>
  <si>
    <t>中区|6月</t>
  </si>
  <si>
    <t>中区|7月</t>
  </si>
  <si>
    <t>中区|8月</t>
  </si>
  <si>
    <t>中区|9月</t>
  </si>
  <si>
    <t>中区|10月</t>
  </si>
  <si>
    <t>中区|11月</t>
  </si>
  <si>
    <t>中区|12月</t>
  </si>
  <si>
    <t>中区|1月</t>
  </si>
  <si>
    <t>中区|2月</t>
  </si>
  <si>
    <t>中区|3月</t>
  </si>
  <si>
    <t>東区|全期間</t>
  </si>
  <si>
    <t>東区</t>
  </si>
  <si>
    <t>東区|4月</t>
  </si>
  <si>
    <t>東区|5月</t>
  </si>
  <si>
    <t>東区|6月</t>
  </si>
  <si>
    <t>東区|7月</t>
  </si>
  <si>
    <t>東区|8月</t>
  </si>
  <si>
    <t>東区|9月</t>
  </si>
  <si>
    <t>東区|10月</t>
  </si>
  <si>
    <t>東区|11月</t>
  </si>
  <si>
    <t>東区|12月</t>
  </si>
  <si>
    <t>東区|1月</t>
  </si>
  <si>
    <t>東区|2月</t>
  </si>
  <si>
    <t>東区|3月</t>
  </si>
  <si>
    <t>南区|全期間</t>
  </si>
  <si>
    <t>南区</t>
  </si>
  <si>
    <t>南区|4月</t>
  </si>
  <si>
    <t>南区|5月</t>
  </si>
  <si>
    <t>南区|6月</t>
  </si>
  <si>
    <t>南区|7月</t>
  </si>
  <si>
    <t>南区|8月</t>
  </si>
  <si>
    <t>南区|9月</t>
  </si>
  <si>
    <t>南区|10月</t>
  </si>
  <si>
    <t>南区|11月</t>
  </si>
  <si>
    <t>南区|12月</t>
  </si>
  <si>
    <t>南区|1月</t>
  </si>
  <si>
    <t>南区|2月</t>
  </si>
  <si>
    <t>南区|3月</t>
  </si>
  <si>
    <t>西区|全期間</t>
  </si>
  <si>
    <t>西区</t>
  </si>
  <si>
    <t>西区|4月</t>
  </si>
  <si>
    <t>西区|5月</t>
  </si>
  <si>
    <t>西区|6月</t>
  </si>
  <si>
    <t>西区|7月</t>
  </si>
  <si>
    <t>西区|8月</t>
  </si>
  <si>
    <t>西区|9月</t>
  </si>
  <si>
    <t>西区|10月</t>
  </si>
  <si>
    <t>西区|11月</t>
  </si>
  <si>
    <t>西区|12月</t>
  </si>
  <si>
    <t>西区|1月</t>
  </si>
  <si>
    <t>西区|2月</t>
  </si>
  <si>
    <t>西区|3月</t>
  </si>
  <si>
    <t>安佐南区|全期間</t>
  </si>
  <si>
    <t>安佐南区</t>
  </si>
  <si>
    <t>安佐南区|4月</t>
  </si>
  <si>
    <t>安佐南区|5月</t>
  </si>
  <si>
    <t>安佐南区|6月</t>
  </si>
  <si>
    <t>安佐南区|7月</t>
  </si>
  <si>
    <t>安佐南区|8月</t>
  </si>
  <si>
    <t>安佐南区|9月</t>
  </si>
  <si>
    <t>安佐南区|10月</t>
  </si>
  <si>
    <t>安佐南区|11月</t>
  </si>
  <si>
    <t>安佐南区|12月</t>
  </si>
  <si>
    <t>安佐南区|1月</t>
  </si>
  <si>
    <t>安佐南区|2月</t>
  </si>
  <si>
    <t>安佐南区|3月</t>
  </si>
  <si>
    <t>安佐北区|全期間</t>
  </si>
  <si>
    <t>安佐北区</t>
  </si>
  <si>
    <t>安佐北区|4月</t>
  </si>
  <si>
    <t>安佐北区|5月</t>
  </si>
  <si>
    <t>安佐北区|6月</t>
  </si>
  <si>
    <t>安佐北区|7月</t>
  </si>
  <si>
    <t>安佐北区|8月</t>
  </si>
  <si>
    <t>安佐北区|9月</t>
  </si>
  <si>
    <t>安佐北区|10月</t>
  </si>
  <si>
    <t>安佐北区|11月</t>
  </si>
  <si>
    <t>安佐北区|12月</t>
  </si>
  <si>
    <t>安佐北区|1月</t>
  </si>
  <si>
    <t>安佐北区|2月</t>
  </si>
  <si>
    <t>安佐北区|3月</t>
  </si>
  <si>
    <t>安芸区|全期間</t>
  </si>
  <si>
    <t>安芸区</t>
  </si>
  <si>
    <t>安芸区|4月</t>
  </si>
  <si>
    <t>安芸区|5月</t>
  </si>
  <si>
    <t>安芸区|6月</t>
  </si>
  <si>
    <t>安芸区|7月</t>
  </si>
  <si>
    <t>安芸区|8月</t>
  </si>
  <si>
    <t>安芸区|9月</t>
  </si>
  <si>
    <t>安芸区|10月</t>
  </si>
  <si>
    <t>安芸区|11月</t>
  </si>
  <si>
    <t>安芸区|12月</t>
  </si>
  <si>
    <t>安芸区|1月</t>
  </si>
  <si>
    <t>安芸区|2月</t>
  </si>
  <si>
    <t>安芸区|3月</t>
  </si>
  <si>
    <t>佐伯区|全期間</t>
  </si>
  <si>
    <t>佐伯区</t>
  </si>
  <si>
    <t>佐伯区|4月</t>
  </si>
  <si>
    <t>佐伯区|5月</t>
  </si>
  <si>
    <t>佐伯区|6月</t>
  </si>
  <si>
    <t>佐伯区|7月</t>
  </si>
  <si>
    <t>佐伯区|8月</t>
  </si>
  <si>
    <t>佐伯区|9月</t>
  </si>
  <si>
    <t>佐伯区|10月</t>
  </si>
  <si>
    <t>佐伯区|11月</t>
  </si>
  <si>
    <t>佐伯区|12月</t>
  </si>
  <si>
    <t>佐伯区|1月</t>
  </si>
  <si>
    <t>佐伯区|2月</t>
  </si>
  <si>
    <t>佐伯区|3月</t>
  </si>
  <si>
    <t>② 区×曜日×15分（キー= 区|曜日）</t>
  </si>
  <si>
    <t>曜日</t>
  </si>
  <si>
    <t>全区|月</t>
  </si>
  <si>
    <t>全区|火</t>
  </si>
  <si>
    <t>火</t>
  </si>
  <si>
    <t>全区|水</t>
  </si>
  <si>
    <t>水</t>
  </si>
  <si>
    <t>全区|木</t>
  </si>
  <si>
    <t>木</t>
  </si>
  <si>
    <t>全区|金</t>
  </si>
  <si>
    <t>金</t>
  </si>
  <si>
    <t>全区|土</t>
  </si>
  <si>
    <t>土</t>
  </si>
  <si>
    <t>全区|日</t>
  </si>
  <si>
    <t>日</t>
  </si>
  <si>
    <t>中区|月</t>
  </si>
  <si>
    <t>中区|火</t>
  </si>
  <si>
    <t>中区|水</t>
  </si>
  <si>
    <t>中区|木</t>
  </si>
  <si>
    <t>中区|金</t>
  </si>
  <si>
    <t>中区|土</t>
  </si>
  <si>
    <t>中区|日</t>
  </si>
  <si>
    <t>東区|月</t>
  </si>
  <si>
    <t>東区|火</t>
  </si>
  <si>
    <t>東区|水</t>
  </si>
  <si>
    <t>東区|木</t>
  </si>
  <si>
    <t>東区|金</t>
  </si>
  <si>
    <t>東区|土</t>
  </si>
  <si>
    <t>東区|日</t>
  </si>
  <si>
    <t>南区|月</t>
  </si>
  <si>
    <t>南区|火</t>
  </si>
  <si>
    <t>南区|水</t>
  </si>
  <si>
    <t>南区|木</t>
  </si>
  <si>
    <t>南区|金</t>
  </si>
  <si>
    <t>南区|土</t>
  </si>
  <si>
    <t>南区|日</t>
  </si>
  <si>
    <t>西区|月</t>
  </si>
  <si>
    <t>西区|火</t>
  </si>
  <si>
    <t>西区|水</t>
  </si>
  <si>
    <t>西区|木</t>
  </si>
  <si>
    <t>西区|金</t>
  </si>
  <si>
    <t>西区|土</t>
  </si>
  <si>
    <t>西区|日</t>
  </si>
  <si>
    <t>安佐南区|月</t>
  </si>
  <si>
    <t>安佐南区|火</t>
  </si>
  <si>
    <t>安佐南区|水</t>
  </si>
  <si>
    <t>安佐南区|木</t>
  </si>
  <si>
    <t>安佐南区|金</t>
  </si>
  <si>
    <t>安佐南区|土</t>
  </si>
  <si>
    <t>安佐南区|日</t>
  </si>
  <si>
    <t>安佐北区|月</t>
  </si>
  <si>
    <t>安佐北区|火</t>
  </si>
  <si>
    <t>安佐北区|水</t>
  </si>
  <si>
    <t>安佐北区|木</t>
  </si>
  <si>
    <t>安佐北区|金</t>
  </si>
  <si>
    <t>安佐北区|土</t>
  </si>
  <si>
    <t>安佐北区|日</t>
  </si>
  <si>
    <t>安芸区|月</t>
  </si>
  <si>
    <t>安芸区|火</t>
  </si>
  <si>
    <t>安芸区|水</t>
  </si>
  <si>
    <t>安芸区|木</t>
  </si>
  <si>
    <t>安芸区|金</t>
  </si>
  <si>
    <t>安芸区|土</t>
  </si>
  <si>
    <t>安芸区|日</t>
  </si>
  <si>
    <t>佐伯区|月</t>
  </si>
  <si>
    <t>佐伯区|火</t>
  </si>
  <si>
    <t>佐伯区|水</t>
  </si>
  <si>
    <t>佐伯区|木</t>
  </si>
  <si>
    <t>佐伯区|金</t>
  </si>
  <si>
    <t>佐伯区|土</t>
  </si>
  <si>
    <t>佐伯区|日</t>
  </si>
  <si>
    <t>③ 区×月の待ち時間（秒の合計と件数。3時間超の外れ値は除外）</t>
  </si>
  <si>
    <t>待ち時間合計(秒)</t>
  </si>
  <si>
    <t>件数</t>
  </si>
  <si>
    <t>④ 日別の発券数（区別）</t>
  </si>
  <si>
    <t>日付</t>
  </si>
  <si>
    <t>⑤ 窓口業務別の発券数（全区の多い順）</t>
  </si>
  <si>
    <t>業務名</t>
  </si>
  <si>
    <t>平均待ち(秒)</t>
  </si>
  <si>
    <t>証明書の受付</t>
  </si>
  <si>
    <t>マイナンバーカード</t>
  </si>
  <si>
    <t>国民健康保険</t>
  </si>
  <si>
    <t>住所の変更・印鑑登録</t>
  </si>
  <si>
    <t>マイナンバー</t>
  </si>
  <si>
    <t>証明書の交付</t>
  </si>
  <si>
    <t>カード受取・記載変更等</t>
  </si>
  <si>
    <t>住民異動届・印鑑登録</t>
  </si>
  <si>
    <t>ご本人のカードの</t>
  </si>
  <si>
    <t>証明書交付</t>
  </si>
  <si>
    <t>住所の変更</t>
  </si>
  <si>
    <t>国民年金</t>
  </si>
  <si>
    <t>証明申請等</t>
  </si>
  <si>
    <t>個人番号カード（ﾏｲﾅﾝﾊﾞｰ)</t>
  </si>
  <si>
    <t>マイナンバーカード手続</t>
  </si>
  <si>
    <t>戸籍の届出・車臨番</t>
  </si>
  <si>
    <t>戸籍届出・臨時運行許可</t>
  </si>
  <si>
    <t>証明書の発行専用</t>
  </si>
  <si>
    <t>マイナンバーカード受取</t>
  </si>
  <si>
    <t>マイナンバ－カード</t>
  </si>
  <si>
    <t>交付済カード・電子証明の手続</t>
  </si>
  <si>
    <t>戸籍の届出</t>
  </si>
  <si>
    <t>住所の変更など</t>
  </si>
  <si>
    <t>保険年金課</t>
  </si>
  <si>
    <t>高額医療・はりきゅう</t>
  </si>
  <si>
    <t>④ﾏｲﾅﾝﾊﾞｰｶｰﾄﾞ受取・記載変更等</t>
  </si>
  <si>
    <t>戸籍届</t>
  </si>
  <si>
    <t>住所異動届、印鑑届</t>
  </si>
  <si>
    <t>戸籍届出・特別永住者切替</t>
  </si>
  <si>
    <t>印鑑の登録</t>
  </si>
  <si>
    <t>住所の変更・印鑑の登録</t>
  </si>
  <si>
    <t>本人の電子証明・暗証番号</t>
  </si>
  <si>
    <t>市税証明書交付・市税収納</t>
  </si>
  <si>
    <t>印鑑登録</t>
  </si>
  <si>
    <t>戸籍届、特別永住者証明書</t>
  </si>
  <si>
    <t>マイナンバーカードの申請</t>
  </si>
  <si>
    <t>電子証明等（ご本人手続）</t>
  </si>
  <si>
    <t>マイナポータルで</t>
  </si>
  <si>
    <t>自動車臨時運行許可</t>
  </si>
  <si>
    <t>市税の証明・収納/原付標識交付</t>
  </si>
  <si>
    <t>高額療養費・限度額認定証</t>
  </si>
  <si>
    <t>援護事務</t>
  </si>
  <si>
    <t>②援護事務（特別弔慰金など）</t>
  </si>
  <si>
    <t>代理での電子証明・暗証番号</t>
  </si>
  <si>
    <t>ﾏｲﾅﾎﾟｰﾀﾙで予約済住民異動</t>
  </si>
  <si>
    <t>就学事務、住民票に関する相談</t>
  </si>
  <si>
    <t>⑥はり・きゅう施術券</t>
  </si>
  <si>
    <t>電子証明等（代理人手続）</t>
  </si>
  <si>
    <t>就学事務、住民票に関すること</t>
  </si>
  <si>
    <t>④所得申立書</t>
  </si>
  <si>
    <t>計算用シート（非表示）。ダッシュボードの選択に応じて、データ置き場から必要な行を取り出しています。</t>
  </si>
  <si>
    <t>選択行(行番号)</t>
  </si>
  <si>
    <t>時刻ラベル</t>
  </si>
  <si>
    <t>開始(分)</t>
  </si>
  <si>
    <t>発券数</t>
  </si>
  <si>
    <t>開庁時間内</t>
  </si>
  <si>
    <t>開庁時間外</t>
  </si>
  <si>
    <t>終了(分)</t>
  </si>
  <si>
    <t>総数</t>
  </si>
  <si>
    <t>時間内</t>
  </si>
  <si>
    <t>時間外</t>
  </si>
  <si>
    <t>時間外割合</t>
  </si>
  <si>
    <t>ピーク位置</t>
  </si>
  <si>
    <t>ピーク時間帯</t>
  </si>
  <si>
    <t>ピーク人数</t>
  </si>
  <si>
    <t>月番号</t>
  </si>
  <si>
    <t>区の列番号</t>
  </si>
  <si>
    <t>営業日数</t>
  </si>
  <si>
    <t>1日あたり</t>
  </si>
  <si>
    <t>平均待ち(分)</t>
  </si>
  <si>
    <t>ソート用</t>
  </si>
  <si>
    <t>順位の区</t>
  </si>
  <si>
    <t>選択中</t>
  </si>
  <si>
    <t>その他</t>
  </si>
  <si>
    <t>選択月</t>
  </si>
  <si>
    <t>広島市 区役所窓口  来庁者ダッシュボード（令和7年度）</t>
  </si>
  <si>
    <t>番号発券機のデータ（2025年4月〜2026年3月、762,002人分）を見える化しました。黄色いセルを▼から選ぶと、グラフが全部切り替わります。</t>
  </si>
  <si>
    <t>① 区</t>
  </si>
  <si>
    <t>② 月</t>
  </si>
  <si>
    <t>③ 開庁(案)</t>
  </si>
  <si>
    <t>④ 〜まで</t>
  </si>
  <si>
    <t>←選んでね</t>
  </si>
  <si>
    <t>来庁者の合計（人）</t>
  </si>
  <si>
    <t>1日あたり（人）</t>
  </si>
  <si>
    <t>一番混む15分</t>
  </si>
  <si>
    <t>開庁時間外の割合</t>
  </si>
  <si>
    <t>平均待ち時間（分）</t>
  </si>
  <si>
    <t>※「開庁時間外」＝③〜④で選んだ時間帯より前・後に発券された人。窓口を何時に開閉するとどれだけの人をカバーできるかの目安です。</t>
  </si>
  <si>
    <t>※ マクロ版（.xlsm）には「区を順番に再生」「月を順番に再生」などのボタンが付いています。</t>
  </si>
  <si>
    <t>混雑ヒートマップ  ―  色が濃いほど混んでいます</t>
  </si>
  <si>
    <t>区を選ぶ →</t>
  </si>
  <si>
    <t>数字は隠してあります。マスにカーソルを合わせて、上の数式バーを見ると人数が分かります。</t>
  </si>
  <si>
    <t>① 曜日 × 時間帯（選んだ区の1年間の合計）</t>
  </si>
  <si>
    <t>7時</t>
  </si>
  <si>
    <t>8時</t>
  </si>
  <si>
    <t>9時</t>
  </si>
  <si>
    <t>10時</t>
  </si>
  <si>
    <t>11時</t>
  </si>
  <si>
    <t>12時</t>
  </si>
  <si>
    <t>13時</t>
  </si>
  <si>
    <t>14時</t>
  </si>
  <si>
    <t>15時</t>
  </si>
  <si>
    <t>16時</t>
  </si>
  <si>
    <t>17時</t>
  </si>
  <si>
    <t>18時</t>
  </si>
  <si>
    <t>19時</t>
  </si>
  <si>
    <t>20時</t>
  </si>
  <si>
    <t>② 月 × 時間帯（選んだ区）</t>
  </si>
  <si>
    <t>③ 区ごとの1日の流れ（各区の中で一番混む所が赤。形のちがいを比べてください）</t>
  </si>
  <si>
    <t>1年の形</t>
  </si>
  <si>
    <t>凡例：</t>
  </si>
  <si>
    <t>空いている ← → 混んでいる</t>
  </si>
  <si>
    <t>来庁者カレンダー  ―  1日ごとの来庁者数（色が濃いほど多い日）</t>
  </si>
  <si>
    <t>※「全区」は8区の合計。区を選ぶと、その区だけのカレンダーになります。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</si>
  <si>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</si>
  <si>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</si>
  <si>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</si>
  <si>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</si>
  <si>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</si>
  <si>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</si>
  <si>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</si>
  <si>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</si>
  <si>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</si>
  <si>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</si>
  <si>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</si>
  <si>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</si>
  <si>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※ 空白の日は休庁日（土日祝）または発券なし。土日の少ない数字は、日曜開庁などの特別な日です。</t>
  </si>
  <si>
    <t>開庁時間シミュレーター  ―  何時に開けて何時に閉めると、何人カバーできる？</t>
  </si>
  <si>
    <t>区を選ぶ</t>
  </si>
  <si>
    <t>開庁（開始）</t>
  </si>
  <si>
    <t>閉庁（終了）</t>
  </si>
  <si>
    <t>↑ 黄色いセルを変えると、下の数字とグラフが変わります。</t>
  </si>
  <si>
    <t>分に直した値</t>
  </si>
  <si>
    <t>この区の1年間</t>
  </si>
  <si>
    <t>開庁時間外（取りこぼし）</t>
  </si>
  <si>
    <t>時間外の割合</t>
  </si>
  <si>
    <t>案ごとの比較（選んだ区）</t>
  </si>
  <si>
    <t>案</t>
  </si>
  <si>
    <t>開始</t>
  </si>
  <si>
    <t>終了</t>
  </si>
  <si>
    <t>案A  9:00〜16:30</t>
  </si>
  <si>
    <t>案B  8:45〜16:30</t>
  </si>
  <si>
    <t>案C  8:30〜17:15</t>
  </si>
  <si>
    <t>あなたの案（上で設定）</t>
  </si>
  <si>
    <t>区ごとの時間外の割合（上の開庁時間で計算）</t>
  </si>
  <si>
    <t>※ 案A〜Cは、PDFの「開庁時間（案）」の比較表と同じ条件です。</t>
  </si>
  <si>
    <t>窓口業務ランキング  ―  どの手続きで来る人が多い？</t>
  </si>
  <si>
    <t>順位</t>
  </si>
  <si>
    <t>窓口業務</t>
  </si>
  <si>
    <t>来庁者数</t>
  </si>
  <si>
    <t>割合</t>
  </si>
  <si>
    <t>※ 平均待ち時間（分）は、全区の合計から計算（3時間超の外れ値を除く）。赤いほど待ち時間が長い手続きです。</t>
  </si>
  <si>
    <t>元のPDF（令和7年度 時間帯別来庁者）との突合チェック</t>
  </si>
  <si>
    <t>元のPDFの表の数字と、このブックの集計が合っているかを確認します。</t>
  </si>
  <si>
    <t>PDFの表記</t>
  </si>
  <si>
    <t>時間帯（開始）</t>
  </si>
  <si>
    <t>PDFの数字</t>
  </si>
  <si>
    <t>このブック</t>
  </si>
  <si>
    <t>差</t>
  </si>
  <si>
    <t>7-0</t>
  </si>
  <si>
    <t>6:45〜</t>
  </si>
  <si>
    <t>7-15</t>
  </si>
  <si>
    <t>7:00〜</t>
  </si>
  <si>
    <t>7-30</t>
  </si>
  <si>
    <t>7:15〜</t>
  </si>
  <si>
    <t>7-45</t>
  </si>
  <si>
    <t>7:30〜</t>
  </si>
  <si>
    <t>8-0</t>
  </si>
  <si>
    <t>7:45〜</t>
  </si>
  <si>
    <t>8-15</t>
  </si>
  <si>
    <t>8:00〜</t>
  </si>
  <si>
    <t>8-30</t>
  </si>
  <si>
    <t>8:15〜</t>
  </si>
  <si>
    <t>8-45</t>
  </si>
  <si>
    <t>8:30〜</t>
  </si>
  <si>
    <t>9-0</t>
  </si>
  <si>
    <t>8:45〜</t>
  </si>
  <si>
    <t>9-15</t>
  </si>
  <si>
    <t>9:00〜</t>
  </si>
  <si>
    <t>9-30</t>
  </si>
  <si>
    <t>9:15〜</t>
  </si>
  <si>
    <t>9-45</t>
  </si>
  <si>
    <t>9:30〜</t>
  </si>
  <si>
    <t>10-0</t>
  </si>
  <si>
    <t>9:45〜</t>
  </si>
  <si>
    <t>10-15</t>
  </si>
  <si>
    <t>10:00〜</t>
  </si>
  <si>
    <t>10-30</t>
  </si>
  <si>
    <t>10:15〜</t>
  </si>
  <si>
    <t>10-45</t>
  </si>
  <si>
    <t>10:30〜</t>
  </si>
  <si>
    <t>11-0</t>
  </si>
  <si>
    <t>10:45〜</t>
  </si>
  <si>
    <t>11-15</t>
  </si>
  <si>
    <t>11:00〜</t>
  </si>
  <si>
    <t>11-30</t>
  </si>
  <si>
    <t>11:15〜</t>
  </si>
  <si>
    <t>11-45</t>
  </si>
  <si>
    <t>11:30〜</t>
  </si>
  <si>
    <t>12-0</t>
  </si>
  <si>
    <t>11:45〜</t>
  </si>
  <si>
    <t>12-15</t>
  </si>
  <si>
    <t>12:00〜</t>
  </si>
  <si>
    <t>12-30</t>
  </si>
  <si>
    <t>12:15〜</t>
  </si>
  <si>
    <t>12-45</t>
  </si>
  <si>
    <t>12:30〜</t>
  </si>
  <si>
    <t>13-0</t>
  </si>
  <si>
    <t>12:45〜</t>
  </si>
  <si>
    <t>13-15</t>
  </si>
  <si>
    <t>13:00〜</t>
  </si>
  <si>
    <t>13-30</t>
  </si>
  <si>
    <t>13:15〜</t>
  </si>
  <si>
    <t>13-45</t>
  </si>
  <si>
    <t>13:30〜</t>
  </si>
  <si>
    <t>14-0</t>
  </si>
  <si>
    <t>13:45〜</t>
  </si>
  <si>
    <t>14-15</t>
  </si>
  <si>
    <t>14:00〜</t>
  </si>
  <si>
    <t>14-30</t>
  </si>
  <si>
    <t>14:15〜</t>
  </si>
  <si>
    <t>14-45</t>
  </si>
  <si>
    <t>14:30〜</t>
  </si>
  <si>
    <t>15-0</t>
  </si>
  <si>
    <t>14:45〜</t>
  </si>
  <si>
    <t>15-15</t>
  </si>
  <si>
    <t>15:00〜</t>
  </si>
  <si>
    <t>15-30</t>
  </si>
  <si>
    <t>15:15〜</t>
  </si>
  <si>
    <t>15-45</t>
  </si>
  <si>
    <t>15:30〜</t>
  </si>
  <si>
    <t>16-0</t>
  </si>
  <si>
    <t>15:45〜</t>
  </si>
  <si>
    <t>16-15</t>
  </si>
  <si>
    <t>16:00〜</t>
  </si>
  <si>
    <t>16-30</t>
  </si>
  <si>
    <t>16:15〜</t>
  </si>
  <si>
    <t>16-45</t>
  </si>
  <si>
    <t>16:30〜</t>
  </si>
  <si>
    <t>17-0</t>
  </si>
  <si>
    <t>16:45〜</t>
  </si>
  <si>
    <t>17-15</t>
  </si>
  <si>
    <t>17:00〜</t>
  </si>
  <si>
    <t>17-30</t>
  </si>
  <si>
    <t>17:15〜</t>
  </si>
  <si>
    <t>17-45</t>
  </si>
  <si>
    <t>17:30〜</t>
  </si>
  <si>
    <t>18-0</t>
  </si>
  <si>
    <t>17:45〜</t>
  </si>
  <si>
    <t>18-15</t>
  </si>
  <si>
    <t>18:00〜</t>
  </si>
  <si>
    <t>18-30</t>
  </si>
  <si>
    <t>18:15〜</t>
  </si>
  <si>
    <t>18-45</t>
  </si>
  <si>
    <t>18:30〜</t>
  </si>
  <si>
    <t>19-0</t>
  </si>
  <si>
    <t>18:45〜</t>
  </si>
  <si>
    <t>19-15</t>
  </si>
  <si>
    <t>19:00〜</t>
  </si>
  <si>
    <t>19-30</t>
  </si>
  <si>
    <t>19:15〜</t>
  </si>
  <si>
    <t>19-45</t>
  </si>
  <si>
    <t>19:30〜</t>
  </si>
  <si>
    <t>20-0</t>
  </si>
  <si>
    <t>19:45〜</t>
  </si>
  <si>
    <t>20-15</t>
  </si>
  <si>
    <t>20:00〜</t>
  </si>
  <si>
    <t>20-30</t>
  </si>
  <si>
    <t>20:15〜</t>
  </si>
  <si>
    <t>20-45</t>
  </si>
  <si>
    <t>20:30〜</t>
  </si>
  <si>
    <t>開庁時間（案）の比較表</t>
  </si>
  <si>
    <t>PDFの時間内</t>
  </si>
  <si>
    <t>全データの件数（2025/4〜2026/5）</t>
  </si>
  <si>
    <t>＝PDFの「全部」</t>
  </si>
  <si>
    <t>読み方：「✓」は完全一致です。10:45〜11:00の1行だけ差がありますが、開庁時間（案）の3つの件数は完全一致しているため、PDFの数字を目で読み取る際の差（2件）と考えられます。「PDFの数字」はPDFの画像から転記しました。</t>
  </si>
  <si>
    <t>広島市 区役所窓口  来庁者データ見える化ブック</t>
  </si>
  <si>
    <t>はじめての方でも、クリックだけで「いつ・どの区が・どれくらい混むか」が分かります。</t>
  </si>
  <si>
    <t>使い方は3ステップ</t>
  </si>
  <si>
    <t>① 黄色いセルを探す</t>
  </si>
  <si>
    <t>各シートの上のほうにある黄色いセルが「選ぶところ」です。▼ボタンから選ぶだけ。</t>
  </si>
  <si>
    <t>② 選ぶ</t>
  </si>
  <si>
    <t>区・月・開庁時間などを選ぶと、数字もグラフも一瞬で切り替わります。</t>
  </si>
  <si>
    <t>③ グラフを見る</t>
  </si>
  <si>
    <t>ダッシュボードの上の「💡」の一文が、選んだ内容を日本語で説明してくれます。</t>
  </si>
  <si>
    <t>シート案内（クリックで移動）</t>
  </si>
  <si>
    <t>ダッシュボード</t>
  </si>
  <si>
    <t>全体像。区・月・開庁時間を選ぶと、KPI・グラフが切り替わる中心シート。</t>
  </si>
  <si>
    <t>ヒートマップ</t>
  </si>
  <si>
    <t>曜日×時間、月×時間、区ごとの1日の流れを色で見る。</t>
  </si>
  <si>
    <t>カレンダー</t>
  </si>
  <si>
    <t>1日ごとの来庁者数を、年間カレンダーで色分け。</t>
  </si>
  <si>
    <t>シミュレーター</t>
  </si>
  <si>
    <t>何時に開けて何時に閉めると何人カバーできるか、案を比べる。</t>
  </si>
  <si>
    <t>業務ランキング</t>
  </si>
  <si>
    <t>どの窓口業務が多いか、待ち時間が長いのはどれか。</t>
  </si>
  <si>
    <t>PDF突合</t>
  </si>
  <si>
    <t>元のPDFの数字とこのブックの集計が一致するかのチェック表。</t>
  </si>
  <si>
    <t>データ</t>
  </si>
  <si>
    <t>集計済みのデータ置き場（触らなくてOK）。</t>
  </si>
  <si>
    <t>色の意味</t>
  </si>
  <si>
    <t>黄色＝あなたが選ぶセル</t>
  </si>
  <si>
    <t>青緑＝開庁時間の「内」／ふつうの値</t>
  </si>
  <si>
    <t>オレンジ＝開庁時間の「外」／注目してほしい値</t>
  </si>
  <si>
    <t>赤＝とくに多い・混んでいる</t>
  </si>
  <si>
    <t>言葉の説明</t>
  </si>
  <si>
    <t>発券</t>
  </si>
  <si>
    <t>窓口の番号札（整理券）を取ること。＝来庁した人の数として数えています。</t>
  </si>
  <si>
    <t>15分ごとの時間帯</t>
  </si>
  <si>
    <t>例「9:00」は 9:00〜9:15 に発券した人数。元のPDFでは終わりの時刻（9-15）で表記しています。</t>
  </si>
  <si>
    <t>選んだ開庁時間より前・後に発券した人。窓口の時間を変えたとき、影響を受けそうな人数の目安。</t>
  </si>
  <si>
    <t>待ち時間</t>
  </si>
  <si>
    <t>番号札を取ってから呼ばれるまでの時間。3時間を超える極端な値は平均から除いています。</t>
  </si>
  <si>
    <t>元データ</t>
  </si>
  <si>
    <t>区役所の番号発券機の記録（令和7年4月〜令和8年3月、762,002件）を集計。個人を特定する情報は含まれていません。</t>
  </si>
</sst>
</file>

<file path=xl/styles.xml><?xml version="1.0" encoding="utf-8"?>
<styleSheet xmlns="http://schemas.openxmlformats.org/spreadsheetml/2006/main">
  <numFmts count="9">
    <numFmt numFmtId="164" formatCode="h:mm"/>
    <numFmt numFmtId="165" formatCode="#,##0"/>
    <numFmt numFmtId="166" formatCode="@"/>
    <numFmt numFmtId="167" formatCode="0.0%"/>
    <numFmt numFmtId="168" formatCode="0.0"/>
    <numFmt numFmtId="169" formatCode=";;;"/>
    <numFmt numFmtId="170" formatCode="d"/>
    <numFmt numFmtId="171" formatCode="+#,##0;-#,##0;&quot;✓&quot;"/>
    <numFmt numFmtId="172" formatCode="yyyy/mm/dd"/>
  </numFmts>
  <fonts count="34">
    <font>
      <sz val="11"/>
      <color theme="1"/>
      <name val="Calibri"/>
      <family val="2"/>
      <scheme val="minor"/>
    </font>
    <font>
      <b/>
      <sz val="26"/>
      <color rgb="FFFFFFFF"/>
      <name val="Meiryo UI"/>
      <family val="2"/>
    </font>
    <font>
      <i/>
      <sz val="10"/>
      <color rgb="FFFFFFFF"/>
      <name val="Meiryo UI"/>
      <family val="2"/>
    </font>
    <font>
      <b/>
      <sz val="14"/>
      <color rgb="FF1F3A5F"/>
      <name val="Meiryo UI"/>
      <family val="2"/>
    </font>
    <font>
      <b/>
      <sz val="13"/>
      <color rgb="FF1FA7A8"/>
      <name val="Meiryo UI"/>
      <family val="2"/>
    </font>
    <font>
      <sz val="11"/>
      <color theme="1"/>
      <name val="Meiryo UI"/>
      <family val="2"/>
    </font>
    <font>
      <u/>
      <sz val="12"/>
      <color rgb="FF0563C1"/>
      <name val="Meiryo UI"/>
      <family val="2"/>
    </font>
    <font>
      <b/>
      <sz val="11"/>
      <color theme="1"/>
      <name val="Meiryo UI"/>
      <family val="2"/>
    </font>
    <font>
      <b/>
      <sz val="22"/>
      <color rgb="FFFFFFFF"/>
      <name val="Meiryo UI"/>
      <family val="2"/>
    </font>
    <font>
      <b/>
      <sz val="11"/>
      <color rgb="FFFFFFFF"/>
      <name val="Meiryo UI"/>
      <family val="2"/>
    </font>
    <font>
      <b/>
      <sz val="14"/>
      <color theme="1"/>
      <name val="Meiryo UI"/>
      <family val="2"/>
    </font>
    <font>
      <b/>
      <sz val="9"/>
      <color rgb="FFF28C28"/>
      <name val="Meiryo UI"/>
      <family val="2"/>
    </font>
    <font>
      <sz val="9"/>
      <color rgb="FF6B7A90"/>
      <name val="Meiryo UI"/>
      <family val="2"/>
    </font>
    <font>
      <sz val="10"/>
      <color rgb="FF6B7A90"/>
      <name val="Meiryo UI"/>
      <family val="2"/>
    </font>
    <font>
      <b/>
      <sz val="26"/>
      <color rgb="FF1F3A5F"/>
      <name val="Meiryo UI"/>
      <family val="2"/>
    </font>
    <font>
      <b/>
      <sz val="26"/>
      <color rgb="FF1FA7A8"/>
      <name val="Meiryo UI"/>
      <family val="2"/>
    </font>
    <font>
      <b/>
      <sz val="17"/>
      <color rgb="FFF28C28"/>
      <name val="Meiryo UI"/>
      <family val="2"/>
    </font>
    <font>
      <b/>
      <sz val="26"/>
      <color rgb="FFD64545"/>
      <name val="Meiryo UI"/>
      <family val="2"/>
    </font>
    <font>
      <b/>
      <sz val="26"/>
      <color rgb="FF7A5AC8"/>
      <name val="Meiryo UI"/>
      <family val="2"/>
    </font>
    <font>
      <b/>
      <sz val="12"/>
      <color rgb="FF1F3A5F"/>
      <name val="Meiryo UI"/>
      <family val="2"/>
    </font>
    <font>
      <b/>
      <sz val="9"/>
      <color rgb="FF1F3A5F"/>
      <name val="Meiryo UI"/>
      <family val="2"/>
    </font>
    <font>
      <b/>
      <sz val="10"/>
      <color rgb="FF1F3A5F"/>
      <name val="Meiryo UI"/>
      <family val="2"/>
    </font>
    <font>
      <sz val="8"/>
      <color theme="1"/>
      <name val="Meiryo UI"/>
      <family val="2"/>
    </font>
    <font>
      <b/>
      <sz val="13"/>
      <color rgb="FFFFFFFF"/>
      <name val="Meiryo UI"/>
      <family val="2"/>
    </font>
    <font>
      <b/>
      <sz val="9"/>
      <color rgb="FF1565C0"/>
      <name val="Meiryo UI"/>
      <family val="2"/>
    </font>
    <font>
      <b/>
      <sz val="9"/>
      <color rgb="FFD64545"/>
      <name val="Meiryo UI"/>
      <family val="2"/>
    </font>
    <font>
      <sz val="8"/>
      <color rgb="FF6B7A90"/>
      <name val="Meiryo UI"/>
      <family val="2"/>
    </font>
    <font>
      <b/>
      <sz val="10"/>
      <color theme="1"/>
      <name val="Meiryo UI"/>
      <family val="2"/>
    </font>
    <font>
      <b/>
      <sz val="20"/>
      <color rgb="FF1F3A5F"/>
      <name val="Meiryo UI"/>
      <family val="2"/>
    </font>
    <font>
      <b/>
      <sz val="20"/>
      <color rgb="FF1FA7A8"/>
      <name val="Meiryo UI"/>
      <family val="2"/>
    </font>
    <font>
      <b/>
      <sz val="20"/>
      <color rgb="FFF28C28"/>
      <name val="Meiryo UI"/>
      <family val="2"/>
    </font>
    <font>
      <b/>
      <sz val="20"/>
      <color rgb="FFD64545"/>
      <name val="Meiryo UI"/>
      <family val="2"/>
    </font>
    <font>
      <b/>
      <sz val="10"/>
      <color rgb="FFFFFFFF"/>
      <name val="Meiryo UI"/>
      <family val="2"/>
    </font>
    <font>
      <sz val="10"/>
      <color theme="1"/>
      <name val="Meiryo U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E9A6"/>
        <bgColor indexed="64"/>
      </patternFill>
    </fill>
    <fill>
      <patternFill patternType="solid">
        <fgColor rgb="FF1FA7A8"/>
        <bgColor indexed="64"/>
      </patternFill>
    </fill>
    <fill>
      <patternFill patternType="solid">
        <fgColor rgb="FFF28C28"/>
        <bgColor indexed="64"/>
      </patternFill>
    </fill>
    <fill>
      <patternFill patternType="solid">
        <fgColor rgb="FFD645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E9B0"/>
        <bgColor indexed="64"/>
      </patternFill>
    </fill>
    <fill>
      <patternFill patternType="solid">
        <fgColor rgb="FFFFD580"/>
        <bgColor indexed="64"/>
      </patternFill>
    </fill>
    <fill>
      <patternFill patternType="solid">
        <fgColor rgb="FFF29A5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DECE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1FA7A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28C28"/>
      </left>
      <right style="medium">
        <color rgb="FFF28C28"/>
      </right>
      <top style="medium">
        <color rgb="FFF28C28"/>
      </top>
      <bottom style="medium">
        <color rgb="FFF28C28"/>
      </bottom>
      <diagonal/>
    </border>
    <border>
      <left style="thin">
        <color rgb="FFD5DDE8"/>
      </left>
      <right style="thin">
        <color rgb="FFD5DDE8"/>
      </right>
      <top style="thick">
        <color rgb="FF1F3A5F"/>
      </top>
      <bottom/>
      <diagonal/>
    </border>
    <border>
      <left style="thin">
        <color rgb="FFD5DDE8"/>
      </left>
      <right style="thin">
        <color rgb="FFD5DDE8"/>
      </right>
      <top style="thick">
        <color rgb="FF1FA7A8"/>
      </top>
      <bottom/>
      <diagonal/>
    </border>
    <border>
      <left style="thin">
        <color rgb="FFD5DDE8"/>
      </left>
      <right style="thin">
        <color rgb="FFD5DDE8"/>
      </right>
      <top style="thick">
        <color rgb="FFF28C28"/>
      </top>
      <bottom/>
      <diagonal/>
    </border>
    <border>
      <left style="thin">
        <color rgb="FFD5DDE8"/>
      </left>
      <right style="thin">
        <color rgb="FFD5DDE8"/>
      </right>
      <top style="thick">
        <color rgb="FFD64545"/>
      </top>
      <bottom/>
      <diagonal/>
    </border>
    <border>
      <left style="thin">
        <color rgb="FFD5DDE8"/>
      </left>
      <right style="thin">
        <color rgb="FFD5DDE8"/>
      </right>
      <top style="thick">
        <color rgb="FF7A5AC8"/>
      </top>
      <bottom/>
      <diagonal/>
    </border>
    <border>
      <left style="thin">
        <color rgb="FFD5DDE8"/>
      </left>
      <right style="thin">
        <color rgb="FFD5DDE8"/>
      </right>
      <top/>
      <bottom/>
      <diagonal/>
    </border>
    <border>
      <left style="thin">
        <color rgb="FFD5DDE8"/>
      </left>
      <right style="thin">
        <color rgb="FFD5DDE8"/>
      </right>
      <top/>
      <bottom style="thin">
        <color rgb="FFD5DDE8"/>
      </bottom>
      <diagonal/>
    </border>
    <border>
      <left/>
      <right/>
      <top style="thick">
        <color rgb="FF1F3A5F"/>
      </top>
      <bottom/>
      <diagonal/>
    </border>
    <border>
      <left/>
      <right/>
      <top style="thick">
        <color rgb="FF1FA7A8"/>
      </top>
      <bottom/>
      <diagonal/>
    </border>
    <border>
      <left/>
      <right/>
      <top style="thick">
        <color rgb="FFF28C28"/>
      </top>
      <bottom/>
      <diagonal/>
    </border>
    <border>
      <left/>
      <right/>
      <top style="thick">
        <color rgb="FFD64545"/>
      </top>
      <bottom/>
      <diagonal/>
    </border>
    <border>
      <left/>
      <right/>
      <top/>
      <bottom style="thin">
        <color rgb="FFD5DDE8"/>
      </bottom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  <border>
      <left style="thin">
        <color rgb="FFF28C28"/>
      </left>
      <right style="thin">
        <color rgb="FFF28C28"/>
      </right>
      <top style="thin">
        <color rgb="FFF28C28"/>
      </top>
      <bottom style="thin">
        <color rgb="FFF28C2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8" fillId="2" borderId="0" xfId="0" applyFont="1" applyFill="1" applyAlignment="1">
      <alignment horizontal="left" vertical="center" indent="1"/>
    </xf>
    <xf numFmtId="0" fontId="9" fillId="4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165" fontId="14" fillId="7" borderId="9" xfId="0" applyNumberFormat="1" applyFont="1" applyFill="1" applyBorder="1" applyAlignment="1">
      <alignment horizontal="center" vertical="center"/>
    </xf>
    <xf numFmtId="165" fontId="15" fillId="7" borderId="9" xfId="0" applyNumberFormat="1" applyFont="1" applyFill="1" applyBorder="1" applyAlignment="1">
      <alignment horizontal="center" vertical="center"/>
    </xf>
    <xf numFmtId="166" fontId="16" fillId="7" borderId="9" xfId="0" applyNumberFormat="1" applyFont="1" applyFill="1" applyBorder="1" applyAlignment="1">
      <alignment horizontal="center" vertical="center"/>
    </xf>
    <xf numFmtId="167" fontId="17" fillId="7" borderId="9" xfId="0" applyNumberFormat="1" applyFont="1" applyFill="1" applyBorder="1" applyAlignment="1">
      <alignment horizontal="center" vertical="center"/>
    </xf>
    <xf numFmtId="168" fontId="18" fillId="7" borderId="9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 indent="1"/>
    </xf>
    <xf numFmtId="0" fontId="20" fillId="9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69" fontId="22" fillId="0" borderId="2" xfId="0" applyNumberFormat="1" applyFont="1" applyBorder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5" fillId="12" borderId="0" xfId="0" applyFont="1" applyFill="1" applyAlignment="1">
      <alignment vertical="center"/>
    </xf>
    <xf numFmtId="0" fontId="5" fillId="13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170" fontId="26" fillId="0" borderId="0" xfId="0" applyNumberFormat="1" applyFont="1" applyAlignment="1">
      <alignment horizontal="left" vertical="center"/>
    </xf>
    <xf numFmtId="165" fontId="27" fillId="0" borderId="2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3" fillId="7" borderId="11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165" fontId="28" fillId="7" borderId="15" xfId="0" applyNumberFormat="1" applyFont="1" applyFill="1" applyBorder="1" applyAlignment="1">
      <alignment horizontal="center" vertical="center"/>
    </xf>
    <xf numFmtId="165" fontId="29" fillId="7" borderId="15" xfId="0" applyNumberFormat="1" applyFont="1" applyFill="1" applyBorder="1" applyAlignment="1">
      <alignment horizontal="center" vertical="center"/>
    </xf>
    <xf numFmtId="165" fontId="30" fillId="7" borderId="15" xfId="0" applyNumberFormat="1" applyFont="1" applyFill="1" applyBorder="1" applyAlignment="1">
      <alignment horizontal="center" vertical="center"/>
    </xf>
    <xf numFmtId="167" fontId="31" fillId="7" borderId="15" xfId="0" applyNumberFormat="1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/>
    </xf>
    <xf numFmtId="164" fontId="33" fillId="0" borderId="16" xfId="0" applyNumberFormat="1" applyFont="1" applyBorder="1" applyAlignment="1">
      <alignment horizontal="center" vertical="center"/>
    </xf>
    <xf numFmtId="165" fontId="33" fillId="0" borderId="16" xfId="0" applyNumberFormat="1" applyFont="1" applyBorder="1" applyAlignment="1">
      <alignment vertical="center"/>
    </xf>
    <xf numFmtId="167" fontId="33" fillId="0" borderId="16" xfId="0" applyNumberFormat="1" applyFont="1" applyBorder="1" applyAlignment="1">
      <alignment vertical="center"/>
    </xf>
    <xf numFmtId="0" fontId="27" fillId="3" borderId="17" xfId="0" applyFont="1" applyFill="1" applyBorder="1" applyAlignment="1">
      <alignment horizontal="center" vertical="center"/>
    </xf>
    <xf numFmtId="164" fontId="33" fillId="3" borderId="17" xfId="0" applyNumberFormat="1" applyFont="1" applyFill="1" applyBorder="1" applyAlignment="1">
      <alignment horizontal="center" vertical="center"/>
    </xf>
    <xf numFmtId="0" fontId="33" fillId="0" borderId="16" xfId="0" applyFont="1" applyBorder="1" applyAlignment="1">
      <alignment vertical="center"/>
    </xf>
    <xf numFmtId="168" fontId="33" fillId="0" borderId="16" xfId="0" applyNumberFormat="1" applyFont="1" applyBorder="1" applyAlignment="1">
      <alignment vertical="center"/>
    </xf>
    <xf numFmtId="171" fontId="33" fillId="0" borderId="16" xfId="0" applyNumberFormat="1" applyFont="1" applyBorder="1" applyAlignment="1">
      <alignment horizontal="center" vertical="center"/>
    </xf>
    <xf numFmtId="0" fontId="13" fillId="0" borderId="0" xfId="0" applyFont="1" applyAlignment="1">
      <alignment vertical="top" wrapText="1"/>
    </xf>
    <xf numFmtId="172" fontId="33" fillId="0" borderId="16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</cellXfs>
  <cellStyles count="1">
    <cellStyle name="Normal" xfId="0" builtinId="0"/>
  </cellStyles>
  <dxfs count="3">
    <dxf>
      <font>
        <color rgb="FFFFFFFF"/>
      </font>
    </dxf>
    <dxf>
      <font>
        <color rgb="FF1B7F3A"/>
      </font>
      <fill>
        <patternFill>
          <bgColor rgb="FFE8F5E9"/>
        </patternFill>
      </fill>
    </dxf>
    <dxf>
      <font>
        <b/>
        <color rgb="FF8A5A00"/>
      </font>
      <fill>
        <patternFill>
          <bgColor rgb="FFFFF3C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A5F"/>
                </a:solidFill>
                <a:latin typeface="Meiryo UI"/>
              </a:defRPr>
            </a:pPr>
            <a:r>
              <a:rPr lang="en-US" sz="1300" b="1" baseline="0">
                <a:solidFill>
                  <a:srgbClr val="1F3A5F"/>
                </a:solidFill>
                <a:latin typeface="Meiryo UI"/>
              </a:rPr>
              <a:t>何時ごろ来る人が多い？（15分ごとの来庁者数）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開庁時間内</c:v>
          </c:tx>
          <c:spPr>
            <a:solidFill>
              <a:srgbClr val="1FA7A8"/>
            </a:solidFill>
          </c:spPr>
          <c:cat>
            <c:strRef>
              <c:f>計算!$B$3:$BE$3</c:f>
              <c:strCache>
                <c:ptCount val="56"/>
                <c:pt idx="0">
                  <c:v>7:00</c:v>
                </c:pt>
                <c:pt idx="1">
                  <c:v>7:15</c:v>
                </c:pt>
                <c:pt idx="2">
                  <c:v>7:30</c:v>
                </c:pt>
                <c:pt idx="3">
                  <c:v>7:45</c:v>
                </c:pt>
                <c:pt idx="4">
                  <c:v>8:00</c:v>
                </c:pt>
                <c:pt idx="5">
                  <c:v>8:15</c:v>
                </c:pt>
                <c:pt idx="6">
                  <c:v>8:30</c:v>
                </c:pt>
                <c:pt idx="7">
                  <c:v>8:45</c:v>
                </c:pt>
                <c:pt idx="8">
                  <c:v>9:00</c:v>
                </c:pt>
                <c:pt idx="9">
                  <c:v>9:15</c:v>
                </c:pt>
                <c:pt idx="10">
                  <c:v>9:30</c:v>
                </c:pt>
                <c:pt idx="11">
                  <c:v>9:45</c:v>
                </c:pt>
                <c:pt idx="12">
                  <c:v>10:00</c:v>
                </c:pt>
                <c:pt idx="13">
                  <c:v>10:15</c:v>
                </c:pt>
                <c:pt idx="14">
                  <c:v>10:30</c:v>
                </c:pt>
                <c:pt idx="15">
                  <c:v>10:45</c:v>
                </c:pt>
                <c:pt idx="16">
                  <c:v>11:00</c:v>
                </c:pt>
                <c:pt idx="17">
                  <c:v>11:15</c:v>
                </c:pt>
                <c:pt idx="18">
                  <c:v>11:30</c:v>
                </c:pt>
                <c:pt idx="19">
                  <c:v>11:45</c:v>
                </c:pt>
                <c:pt idx="20">
                  <c:v>12:00</c:v>
                </c:pt>
                <c:pt idx="21">
                  <c:v>12:15</c:v>
                </c:pt>
                <c:pt idx="22">
                  <c:v>12:30</c:v>
                </c:pt>
                <c:pt idx="23">
                  <c:v>12:45</c:v>
                </c:pt>
                <c:pt idx="24">
                  <c:v>13:00</c:v>
                </c:pt>
                <c:pt idx="25">
                  <c:v>13:15</c:v>
                </c:pt>
                <c:pt idx="26">
                  <c:v>13:30</c:v>
                </c:pt>
                <c:pt idx="27">
                  <c:v>13:45</c:v>
                </c:pt>
                <c:pt idx="28">
                  <c:v>14:00</c:v>
                </c:pt>
                <c:pt idx="29">
                  <c:v>14:15</c:v>
                </c:pt>
                <c:pt idx="30">
                  <c:v>14:30</c:v>
                </c:pt>
                <c:pt idx="31">
                  <c:v>14:45</c:v>
                </c:pt>
                <c:pt idx="32">
                  <c:v>15:00</c:v>
                </c:pt>
                <c:pt idx="33">
                  <c:v>15:15</c:v>
                </c:pt>
                <c:pt idx="34">
                  <c:v>15:30</c:v>
                </c:pt>
                <c:pt idx="35">
                  <c:v>15:45</c:v>
                </c:pt>
                <c:pt idx="36">
                  <c:v>16:00</c:v>
                </c:pt>
                <c:pt idx="37">
                  <c:v>16:15</c:v>
                </c:pt>
                <c:pt idx="38">
                  <c:v>16:30</c:v>
                </c:pt>
                <c:pt idx="39">
                  <c:v>16:45</c:v>
                </c:pt>
                <c:pt idx="40">
                  <c:v>17:00</c:v>
                </c:pt>
                <c:pt idx="41">
                  <c:v>17:15</c:v>
                </c:pt>
                <c:pt idx="42">
                  <c:v>17:30</c:v>
                </c:pt>
                <c:pt idx="43">
                  <c:v>17:45</c:v>
                </c:pt>
                <c:pt idx="44">
                  <c:v>18:00</c:v>
                </c:pt>
                <c:pt idx="45">
                  <c:v>18:15</c:v>
                </c:pt>
                <c:pt idx="46">
                  <c:v>18:30</c:v>
                </c:pt>
                <c:pt idx="47">
                  <c:v>18:45</c:v>
                </c:pt>
                <c:pt idx="48">
                  <c:v>19:00</c:v>
                </c:pt>
                <c:pt idx="49">
                  <c:v>19:15</c:v>
                </c:pt>
                <c:pt idx="50">
                  <c:v>19:30</c:v>
                </c:pt>
                <c:pt idx="51">
                  <c:v>19:45</c:v>
                </c:pt>
                <c:pt idx="52">
                  <c:v>20:00</c:v>
                </c:pt>
                <c:pt idx="53">
                  <c:v>20:15</c:v>
                </c:pt>
                <c:pt idx="54">
                  <c:v>20:30</c:v>
                </c:pt>
                <c:pt idx="55">
                  <c:v>20:45</c:v>
                </c:pt>
              </c:strCache>
            </c:strRef>
          </c:cat>
          <c:val>
            <c:numRef>
              <c:f>計算!$B$6:$BE$6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18795</c:v>
                </c:pt>
                <c:pt idx="9">
                  <c:v>21042</c:v>
                </c:pt>
                <c:pt idx="10">
                  <c:v>22530</c:v>
                </c:pt>
                <c:pt idx="11">
                  <c:v>23911</c:v>
                </c:pt>
                <c:pt idx="12">
                  <c:v>25200</c:v>
                </c:pt>
                <c:pt idx="13">
                  <c:v>26206</c:v>
                </c:pt>
                <c:pt idx="14">
                  <c:v>26217</c:v>
                </c:pt>
                <c:pt idx="15">
                  <c:v>26186</c:v>
                </c:pt>
                <c:pt idx="16">
                  <c:v>25985</c:v>
                </c:pt>
                <c:pt idx="17">
                  <c:v>24776</c:v>
                </c:pt>
                <c:pt idx="18">
                  <c:v>23366</c:v>
                </c:pt>
                <c:pt idx="19">
                  <c:v>21302</c:v>
                </c:pt>
                <c:pt idx="20">
                  <c:v>20028</c:v>
                </c:pt>
                <c:pt idx="21">
                  <c:v>19497</c:v>
                </c:pt>
                <c:pt idx="22">
                  <c:v>19397</c:v>
                </c:pt>
                <c:pt idx="23">
                  <c:v>19438</c:v>
                </c:pt>
                <c:pt idx="24">
                  <c:v>20947</c:v>
                </c:pt>
                <c:pt idx="25">
                  <c:v>22841</c:v>
                </c:pt>
                <c:pt idx="26">
                  <c:v>23475</c:v>
                </c:pt>
                <c:pt idx="27">
                  <c:v>24330</c:v>
                </c:pt>
                <c:pt idx="28">
                  <c:v>24146</c:v>
                </c:pt>
                <c:pt idx="29">
                  <c:v>24119</c:v>
                </c:pt>
                <c:pt idx="30">
                  <c:v>23771</c:v>
                </c:pt>
                <c:pt idx="31">
                  <c:v>22927</c:v>
                </c:pt>
                <c:pt idx="32">
                  <c:v>22391</c:v>
                </c:pt>
                <c:pt idx="33">
                  <c:v>21913</c:v>
                </c:pt>
                <c:pt idx="34">
                  <c:v>21830</c:v>
                </c:pt>
                <c:pt idx="35">
                  <c:v>20933</c:v>
                </c:pt>
                <c:pt idx="36">
                  <c:v>20714</c:v>
                </c:pt>
                <c:pt idx="37">
                  <c:v>20176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ser>
          <c:idx val="1"/>
          <c:order val="1"/>
          <c:tx>
            <c:v>開庁時間外</c:v>
          </c:tx>
          <c:spPr>
            <a:solidFill>
              <a:srgbClr val="F28C28"/>
            </a:solidFill>
          </c:spPr>
          <c:cat>
            <c:strRef>
              <c:f>計算!$B$3:$BE$3</c:f>
              <c:strCache>
                <c:ptCount val="56"/>
                <c:pt idx="0">
                  <c:v>7:00</c:v>
                </c:pt>
                <c:pt idx="1">
                  <c:v>7:15</c:v>
                </c:pt>
                <c:pt idx="2">
                  <c:v>7:30</c:v>
                </c:pt>
                <c:pt idx="3">
                  <c:v>7:45</c:v>
                </c:pt>
                <c:pt idx="4">
                  <c:v>8:00</c:v>
                </c:pt>
                <c:pt idx="5">
                  <c:v>8:15</c:v>
                </c:pt>
                <c:pt idx="6">
                  <c:v>8:30</c:v>
                </c:pt>
                <c:pt idx="7">
                  <c:v>8:45</c:v>
                </c:pt>
                <c:pt idx="8">
                  <c:v>9:00</c:v>
                </c:pt>
                <c:pt idx="9">
                  <c:v>9:15</c:v>
                </c:pt>
                <c:pt idx="10">
                  <c:v>9:30</c:v>
                </c:pt>
                <c:pt idx="11">
                  <c:v>9:45</c:v>
                </c:pt>
                <c:pt idx="12">
                  <c:v>10:00</c:v>
                </c:pt>
                <c:pt idx="13">
                  <c:v>10:15</c:v>
                </c:pt>
                <c:pt idx="14">
                  <c:v>10:30</c:v>
                </c:pt>
                <c:pt idx="15">
                  <c:v>10:45</c:v>
                </c:pt>
                <c:pt idx="16">
                  <c:v>11:00</c:v>
                </c:pt>
                <c:pt idx="17">
                  <c:v>11:15</c:v>
                </c:pt>
                <c:pt idx="18">
                  <c:v>11:30</c:v>
                </c:pt>
                <c:pt idx="19">
                  <c:v>11:45</c:v>
                </c:pt>
                <c:pt idx="20">
                  <c:v>12:00</c:v>
                </c:pt>
                <c:pt idx="21">
                  <c:v>12:15</c:v>
                </c:pt>
                <c:pt idx="22">
                  <c:v>12:30</c:v>
                </c:pt>
                <c:pt idx="23">
                  <c:v>12:45</c:v>
                </c:pt>
                <c:pt idx="24">
                  <c:v>13:00</c:v>
                </c:pt>
                <c:pt idx="25">
                  <c:v>13:15</c:v>
                </c:pt>
                <c:pt idx="26">
                  <c:v>13:30</c:v>
                </c:pt>
                <c:pt idx="27">
                  <c:v>13:45</c:v>
                </c:pt>
                <c:pt idx="28">
                  <c:v>14:00</c:v>
                </c:pt>
                <c:pt idx="29">
                  <c:v>14:15</c:v>
                </c:pt>
                <c:pt idx="30">
                  <c:v>14:30</c:v>
                </c:pt>
                <c:pt idx="31">
                  <c:v>14:45</c:v>
                </c:pt>
                <c:pt idx="32">
                  <c:v>15:00</c:v>
                </c:pt>
                <c:pt idx="33">
                  <c:v>15:15</c:v>
                </c:pt>
                <c:pt idx="34">
                  <c:v>15:30</c:v>
                </c:pt>
                <c:pt idx="35">
                  <c:v>15:45</c:v>
                </c:pt>
                <c:pt idx="36">
                  <c:v>16:00</c:v>
                </c:pt>
                <c:pt idx="37">
                  <c:v>16:15</c:v>
                </c:pt>
                <c:pt idx="38">
                  <c:v>16:30</c:v>
                </c:pt>
                <c:pt idx="39">
                  <c:v>16:45</c:v>
                </c:pt>
                <c:pt idx="40">
                  <c:v>17:00</c:v>
                </c:pt>
                <c:pt idx="41">
                  <c:v>17:15</c:v>
                </c:pt>
                <c:pt idx="42">
                  <c:v>17:30</c:v>
                </c:pt>
                <c:pt idx="43">
                  <c:v>17:45</c:v>
                </c:pt>
                <c:pt idx="44">
                  <c:v>18:00</c:v>
                </c:pt>
                <c:pt idx="45">
                  <c:v>18:15</c:v>
                </c:pt>
                <c:pt idx="46">
                  <c:v>18:30</c:v>
                </c:pt>
                <c:pt idx="47">
                  <c:v>18:45</c:v>
                </c:pt>
                <c:pt idx="48">
                  <c:v>19:00</c:v>
                </c:pt>
                <c:pt idx="49">
                  <c:v>19:15</c:v>
                </c:pt>
                <c:pt idx="50">
                  <c:v>19:30</c:v>
                </c:pt>
                <c:pt idx="51">
                  <c:v>19:45</c:v>
                </c:pt>
                <c:pt idx="52">
                  <c:v>20:00</c:v>
                </c:pt>
                <c:pt idx="53">
                  <c:v>20:15</c:v>
                </c:pt>
                <c:pt idx="54">
                  <c:v>20:30</c:v>
                </c:pt>
                <c:pt idx="55">
                  <c:v>20:45</c:v>
                </c:pt>
              </c:strCache>
            </c:strRef>
          </c:cat>
          <c:val>
            <c:numRef>
              <c:f>計算!$B$7:$BE$7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183</c:v>
                </c:pt>
                <c:pt idx="4">
                  <c:v>1610</c:v>
                </c:pt>
                <c:pt idx="5">
                  <c:v>6985</c:v>
                </c:pt>
                <c:pt idx="6">
                  <c:v>15366</c:v>
                </c:pt>
                <c:pt idx="7">
                  <c:v>16427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18403</c:v>
                </c:pt>
                <c:pt idx="39">
                  <c:v>14050</c:v>
                </c:pt>
                <c:pt idx="40">
                  <c:v>7535</c:v>
                </c:pt>
                <c:pt idx="41">
                  <c:v>1794</c:v>
                </c:pt>
                <c:pt idx="42">
                  <c:v>432</c:v>
                </c:pt>
                <c:pt idx="43">
                  <c:v>209</c:v>
                </c:pt>
                <c:pt idx="44">
                  <c:v>135</c:v>
                </c:pt>
                <c:pt idx="45">
                  <c:v>139</c:v>
                </c:pt>
                <c:pt idx="46">
                  <c:v>124</c:v>
                </c:pt>
                <c:pt idx="47">
                  <c:v>79</c:v>
                </c:pt>
                <c:pt idx="48">
                  <c:v>77</c:v>
                </c:pt>
                <c:pt idx="49">
                  <c:v>40</c:v>
                </c:pt>
                <c:pt idx="50">
                  <c:v>14</c:v>
                </c:pt>
                <c:pt idx="51">
                  <c:v>5</c:v>
                </c:pt>
                <c:pt idx="52">
                  <c:v>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gapWidth val="2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6B7A90"/>
                </a:solidFill>
                <a:latin typeface="Meiryo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4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E6EBF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6B7A90"/>
                    </a:solidFill>
                    <a:latin typeface="Meiryo UI"/>
                  </a:defRPr>
                </a:pPr>
                <a:r>
                  <a:rPr lang="en-US" sz="900" b="0" baseline="0">
                    <a:solidFill>
                      <a:srgbClr val="6B7A90"/>
                    </a:solidFill>
                    <a:latin typeface="Meiryo UI"/>
                  </a:rPr>
                  <a:t>人数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A90"/>
                </a:solidFill>
                <a:latin typeface="Meiryo U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6B7A90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A5F"/>
                </a:solidFill>
                <a:latin typeface="Meiryo UI"/>
              </a:defRPr>
            </a:pPr>
            <a:r>
              <a:rPr lang="en-US" sz="1300" b="1" baseline="0">
                <a:solidFill>
                  <a:srgbClr val="1F3A5F"/>
                </a:solidFill>
                <a:latin typeface="Meiryo UI"/>
              </a:rPr>
              <a:t>開庁時間の内と外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時間内外</c:v>
          </c:tx>
          <c:dPt>
            <c:idx val="0"/>
            <c:spPr>
              <a:solidFill>
                <a:srgbClr val="1FA7A8"/>
              </a:solidFill>
            </c:spPr>
          </c:dPt>
          <c:dPt>
            <c:idx val="1"/>
            <c:spPr>
              <a:solidFill>
                <a:srgbClr val="F28C28"/>
              </a:solidFill>
            </c:spPr>
          </c:dPt>
          <c:dLbls>
            <c:txPr>
              <a:bodyPr/>
              <a:lstStyle/>
              <a:p>
                <a:pPr>
                  <a:defRPr sz="1100" b="1" baseline="0">
                    <a:solidFill>
                      <a:srgbClr val="FFFFFF"/>
                    </a:solidFill>
                    <a:latin typeface="Meiryo UI"/>
                  </a:defRPr>
                </a:pPr>
                <a:endParaRPr lang="en-US"/>
              </a:p>
            </c:txPr>
            <c:showPercent val="1"/>
          </c:dLbls>
          <c:cat>
            <c:strRef>
              <c:f>計算!$A$13:$A$14</c:f>
              <c:strCache>
                <c:ptCount val="2"/>
                <c:pt idx="0">
                  <c:v>時間内</c:v>
                </c:pt>
                <c:pt idx="1">
                  <c:v>時間外</c:v>
                </c:pt>
              </c:strCache>
            </c:strRef>
          </c:cat>
          <c:val>
            <c:numRef>
              <c:f>計算!$B$13:$B$14</c:f>
              <c:numCache>
                <c:formatCode>General</c:formatCode>
                <c:ptCount val="2"/>
                <c:pt idx="0">
                  <c:v>678389</c:v>
                </c:pt>
                <c:pt idx="1">
                  <c:v>83613</c:v>
                </c:pt>
              </c:numCache>
            </c:numRef>
          </c:val>
        </c:ser>
        <c:firstSliceAng val="0"/>
        <c:holeSize val="55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6B7A90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8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A5F"/>
                </a:solidFill>
                <a:latin typeface="Meiryo UI"/>
              </a:defRPr>
            </a:pPr>
            <a:r>
              <a:rPr lang="en-US" sz="1300" b="1" baseline="0">
                <a:solidFill>
                  <a:srgbClr val="1F3A5F"/>
                </a:solidFill>
                <a:latin typeface="Meiryo UI"/>
              </a:rPr>
              <a:t>区ごとの来庁者数ランキング（選んだ月）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選択中の区</c:v>
          </c:tx>
          <c:spPr>
            <a:solidFill>
              <a:srgbClr val="F28C28"/>
            </a:solidFill>
          </c:spPr>
          <c:cat>
            <c:strRef>
              <c:f>計算!$F$40:$F$47</c:f>
              <c:strCache>
                <c:ptCount val="8"/>
                <c:pt idx="0">
                  <c:v>中区</c:v>
                </c:pt>
                <c:pt idx="1">
                  <c:v>西区</c:v>
                </c:pt>
                <c:pt idx="2">
                  <c:v>南区</c:v>
                </c:pt>
                <c:pt idx="3">
                  <c:v>佐伯区</c:v>
                </c:pt>
                <c:pt idx="4">
                  <c:v>安佐南区</c:v>
                </c:pt>
                <c:pt idx="5">
                  <c:v>東区</c:v>
                </c:pt>
                <c:pt idx="6">
                  <c:v>安佐北区</c:v>
                </c:pt>
                <c:pt idx="7">
                  <c:v>安芸区</c:v>
                </c:pt>
              </c:strCache>
            </c:strRef>
          </c:cat>
          <c:val>
            <c:numRef>
              <c:f>計算!$H$40:$H$47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ほかの区</c:v>
          </c:tx>
          <c:spPr>
            <a:solidFill>
              <a:srgbClr val="1F3A5F"/>
            </a:solidFill>
          </c:spPr>
          <c:cat>
            <c:strRef>
              <c:f>計算!$F$40:$F$47</c:f>
              <c:strCache>
                <c:ptCount val="8"/>
                <c:pt idx="0">
                  <c:v>中区</c:v>
                </c:pt>
                <c:pt idx="1">
                  <c:v>西区</c:v>
                </c:pt>
                <c:pt idx="2">
                  <c:v>南区</c:v>
                </c:pt>
                <c:pt idx="3">
                  <c:v>佐伯区</c:v>
                </c:pt>
                <c:pt idx="4">
                  <c:v>安佐南区</c:v>
                </c:pt>
                <c:pt idx="5">
                  <c:v>東区</c:v>
                </c:pt>
                <c:pt idx="6">
                  <c:v>安佐北区</c:v>
                </c:pt>
                <c:pt idx="7">
                  <c:v>安芸区</c:v>
                </c:pt>
              </c:strCache>
            </c:strRef>
          </c:cat>
          <c:val>
            <c:numRef>
              <c:f>計算!$I$40:$I$47</c:f>
              <c:numCache>
                <c:formatCode>General</c:formatCode>
                <c:ptCount val="8"/>
                <c:pt idx="0">
                  <c:v>143974</c:v>
                </c:pt>
                <c:pt idx="1">
                  <c:v>141243</c:v>
                </c:pt>
                <c:pt idx="2">
                  <c:v>115887</c:v>
                </c:pt>
                <c:pt idx="3">
                  <c:v>104764</c:v>
                </c:pt>
                <c:pt idx="4">
                  <c:v>88181</c:v>
                </c:pt>
                <c:pt idx="5">
                  <c:v>81818</c:v>
                </c:pt>
                <c:pt idx="6">
                  <c:v>48568</c:v>
                </c:pt>
                <c:pt idx="7">
                  <c:v>37567</c:v>
                </c:pt>
              </c:numCache>
            </c:numRef>
          </c:val>
        </c:ser>
        <c:gapWidth val="40"/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1000" b="1" baseline="0">
                <a:solidFill>
                  <a:srgbClr val="1F3A5F"/>
                </a:solidFill>
                <a:latin typeface="Meiryo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>
          <c:spPr>
            <a:ln>
              <a:solidFill>
                <a:srgbClr val="E6EBF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800" baseline="0">
                <a:solidFill>
                  <a:srgbClr val="6B7A90"/>
                </a:solidFill>
                <a:latin typeface="Meiryo U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6B7A90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8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A5F"/>
                </a:solidFill>
                <a:latin typeface="Meiryo UI"/>
              </a:defRPr>
            </a:pPr>
            <a:r>
              <a:rPr lang="en-US" sz="1300" b="1" baseline="0">
                <a:solidFill>
                  <a:srgbClr val="1F3A5F"/>
                </a:solidFill>
                <a:latin typeface="Meiryo UI"/>
              </a:rPr>
              <a:t>月ごとの推移（選んだ区）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月ごとの来庁者数</c:v>
          </c:tx>
          <c:spPr>
            <a:ln w="31750">
              <a:solidFill>
                <a:srgbClr val="1F3A5F"/>
              </a:solidFill>
            </a:ln>
          </c:spPr>
          <c:marker>
            <c:symbol val="circle"/>
            <c:size val="6"/>
            <c:spPr>
              <a:solidFill>
                <a:srgbClr val="1F3A5F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計算!$A$50:$A$61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計算!$B$50:$B$61</c:f>
              <c:numCache>
                <c:formatCode>General</c:formatCode>
                <c:ptCount val="12"/>
                <c:pt idx="0">
                  <c:v>69708</c:v>
                </c:pt>
                <c:pt idx="1">
                  <c:v>63291</c:v>
                </c:pt>
                <c:pt idx="2">
                  <c:v>65022</c:v>
                </c:pt>
                <c:pt idx="3">
                  <c:v>68469</c:v>
                </c:pt>
                <c:pt idx="4">
                  <c:v>60107</c:v>
                </c:pt>
                <c:pt idx="5">
                  <c:v>59672</c:v>
                </c:pt>
                <c:pt idx="6">
                  <c:v>66477</c:v>
                </c:pt>
                <c:pt idx="7">
                  <c:v>49498</c:v>
                </c:pt>
                <c:pt idx="8">
                  <c:v>54884</c:v>
                </c:pt>
                <c:pt idx="9">
                  <c:v>48430</c:v>
                </c:pt>
                <c:pt idx="10">
                  <c:v>68773</c:v>
                </c:pt>
                <c:pt idx="11">
                  <c:v>87671</c:v>
                </c:pt>
              </c:numCache>
            </c:numRef>
          </c:val>
          <c:smooth val="1"/>
        </c:ser>
        <c:ser>
          <c:idx val="1"/>
          <c:order val="1"/>
          <c:tx>
            <c:v>選んだ月</c:v>
          </c:tx>
          <c:spPr>
            <a:ln>
              <a:noFill/>
            </a:ln>
          </c:spPr>
          <c:marker>
            <c:symbol val="circle"/>
            <c:size val="13"/>
            <c:spPr>
              <a:solidFill>
                <a:srgbClr val="F28C28"/>
              </a:solidFill>
              <a:ln w="25400">
                <a:solidFill>
                  <a:srgbClr val="FFFFFF"/>
                </a:solidFill>
              </a:ln>
            </c:spPr>
          </c:marker>
          <c:cat>
            <c:strRef>
              <c:f>計算!$A$50:$A$61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計算!$C$50:$C$61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A90"/>
                </a:solidFill>
                <a:latin typeface="Meiryo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6EBF1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A90"/>
                </a:solidFill>
                <a:latin typeface="Meiryo UI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6B7A90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8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A5F"/>
                </a:solidFill>
                <a:latin typeface="Meiryo UI"/>
              </a:defRPr>
            </a:pPr>
            <a:r>
              <a:rPr lang="en-US" sz="1300" b="1" baseline="0">
                <a:solidFill>
                  <a:srgbClr val="1F3A5F"/>
                </a:solidFill>
                <a:latin typeface="Meiryo UI"/>
              </a:rPr>
              <a:t>区ごとの「開庁時間の外」の割合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時間外の割合</c:v>
          </c:tx>
          <c:spPr>
            <a:solidFill>
              <a:srgbClr val="F28C28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F3A5F"/>
                    </a:solidFill>
                    <a:latin typeface="Meiryo UI"/>
                  </a:defRPr>
                </a:pPr>
                <a:endParaRPr lang="en-US"/>
              </a:p>
            </c:txPr>
            <c:showVal val="1"/>
          </c:dLbls>
          <c:cat>
            <c:strRef>
              <c:f>シミュレーター!$B$25:$B$33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シミュレーター!$F$25:$F$33</c:f>
              <c:numCache>
                <c:formatCode>General</c:formatCode>
                <c:ptCount val="9"/>
                <c:pt idx="0">
                  <c:v>0.10972805845653949</c:v>
                </c:pt>
                <c:pt idx="1">
                  <c:v>0.11106866517565672</c:v>
                </c:pt>
                <c:pt idx="2">
                  <c:v>0.09974577721283825</c:v>
                </c:pt>
                <c:pt idx="3">
                  <c:v>0.11733844175791935</c:v>
                </c:pt>
                <c:pt idx="4">
                  <c:v>0.1167066686490658</c:v>
                </c:pt>
                <c:pt idx="5">
                  <c:v>0.11424229709347819</c:v>
                </c:pt>
                <c:pt idx="6">
                  <c:v>0.10560451325975952</c:v>
                </c:pt>
                <c:pt idx="7">
                  <c:v>0.09428487768520244</c:v>
                </c:pt>
                <c:pt idx="8">
                  <c:v>0.10150433354969264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A90"/>
                </a:solidFill>
                <a:latin typeface="Meiryo U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6EBF1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A90"/>
                </a:solidFill>
                <a:latin typeface="Meiryo UI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D5DDE8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1F3A5F"/>
                </a:solidFill>
                <a:latin typeface="Meiryo UI"/>
              </a:defRPr>
            </a:pPr>
            <a:r>
              <a:rPr lang="en-US" sz="1300" b="1" baseline="0">
                <a:solidFill>
                  <a:srgbClr val="1F3A5F"/>
                </a:solidFill>
                <a:latin typeface="Meiryo UI"/>
              </a:rPr>
              <a:t>全区で多い手続きTOP15（選んだ区の人数）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来庁者数</c:v>
          </c:tx>
          <c:spPr>
            <a:solidFill>
              <a:srgbClr val="1FA7A8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1F3A5F"/>
                    </a:solidFill>
                    <a:latin typeface="Meiryo UI"/>
                  </a:defRPr>
                </a:pPr>
                <a:endParaRPr lang="en-US"/>
              </a:p>
            </c:txPr>
            <c:showVal val="1"/>
          </c:dLbls>
          <c:cat>
            <c:strRef>
              <c:f>業務ランキング!$C$6:$C$20</c:f>
              <c:strCache>
                <c:ptCount val="15"/>
                <c:pt idx="0">
                  <c:v>証明書の受付</c:v>
                </c:pt>
                <c:pt idx="1">
                  <c:v>マイナンバーカード</c:v>
                </c:pt>
                <c:pt idx="2">
                  <c:v>国民健康保険</c:v>
                </c:pt>
                <c:pt idx="3">
                  <c:v>住所の変更・印鑑登録</c:v>
                </c:pt>
                <c:pt idx="4">
                  <c:v>マイナンバー</c:v>
                </c:pt>
                <c:pt idx="5">
                  <c:v>証明書の交付</c:v>
                </c:pt>
                <c:pt idx="6">
                  <c:v>カード受取・記載変更等</c:v>
                </c:pt>
                <c:pt idx="7">
                  <c:v>住民異動届・印鑑登録</c:v>
                </c:pt>
                <c:pt idx="8">
                  <c:v>ご本人のカードの</c:v>
                </c:pt>
                <c:pt idx="9">
                  <c:v>証明書交付</c:v>
                </c:pt>
                <c:pt idx="10">
                  <c:v>住所の変更</c:v>
                </c:pt>
                <c:pt idx="11">
                  <c:v>国民年金</c:v>
                </c:pt>
                <c:pt idx="12">
                  <c:v>証明申請等</c:v>
                </c:pt>
                <c:pt idx="13">
                  <c:v>個人番号カード（ﾏｲﾅﾝﾊﾞｰ)</c:v>
                </c:pt>
                <c:pt idx="14">
                  <c:v>マイナンバーカード手続</c:v>
                </c:pt>
              </c:strCache>
            </c:strRef>
          </c:cat>
          <c:val>
            <c:numRef>
              <c:f>業務ランキング!$D$6:$D$20</c:f>
              <c:numCache>
                <c:formatCode>General</c:formatCode>
                <c:ptCount val="15"/>
                <c:pt idx="0">
                  <c:v>157636</c:v>
                </c:pt>
                <c:pt idx="1">
                  <c:v>88260</c:v>
                </c:pt>
                <c:pt idx="2">
                  <c:v>75448</c:v>
                </c:pt>
                <c:pt idx="3">
                  <c:v>68732</c:v>
                </c:pt>
                <c:pt idx="4">
                  <c:v>59330</c:v>
                </c:pt>
                <c:pt idx="5">
                  <c:v>27691</c:v>
                </c:pt>
                <c:pt idx="6">
                  <c:v>26186</c:v>
                </c:pt>
                <c:pt idx="7">
                  <c:v>23108</c:v>
                </c:pt>
                <c:pt idx="8">
                  <c:v>20955</c:v>
                </c:pt>
                <c:pt idx="9">
                  <c:v>20814</c:v>
                </c:pt>
                <c:pt idx="10">
                  <c:v>20355</c:v>
                </c:pt>
                <c:pt idx="11">
                  <c:v>15620</c:v>
                </c:pt>
                <c:pt idx="12">
                  <c:v>15081</c:v>
                </c:pt>
                <c:pt idx="13">
                  <c:v>14250</c:v>
                </c:pt>
                <c:pt idx="14">
                  <c:v>13842</c:v>
                </c:pt>
              </c:numCache>
            </c:numRef>
          </c:val>
        </c:ser>
        <c:gapWidth val="35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1F3A5F"/>
                </a:solidFill>
                <a:latin typeface="Meiryo U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t"/>
        <c:majorGridlines>
          <c:spPr>
            <a:ln>
              <a:solidFill>
                <a:srgbClr val="E6EBF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800" baseline="0">
                <a:solidFill>
                  <a:srgbClr val="6B7A90"/>
                </a:solidFill>
                <a:latin typeface="Meiryo UI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D5DD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14</xdr:col>
      <xdr:colOff>276225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13</xdr:row>
      <xdr:rowOff>0</xdr:rowOff>
    </xdr:from>
    <xdr:to>
      <xdr:col>25</xdr:col>
      <xdr:colOff>285750</xdr:colOff>
      <xdr:row>29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12</xdr:col>
      <xdr:colOff>171450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30</xdr:row>
      <xdr:rowOff>0</xdr:rowOff>
    </xdr:from>
    <xdr:to>
      <xdr:col>27</xdr:col>
      <xdr:colOff>47625</xdr:colOff>
      <xdr:row>46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14</xdr:row>
      <xdr:rowOff>0</xdr:rowOff>
    </xdr:from>
    <xdr:to>
      <xdr:col>14</xdr:col>
      <xdr:colOff>438150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A7A8"/>
    <pageSetUpPr fitToPage="1"/>
  </sheetPr>
  <dimension ref="A1:F33"/>
  <sheetViews>
    <sheetView showGridLines="0" tabSelected="1" workbookViewId="0"/>
  </sheetViews>
  <sheetFormatPr defaultRowHeight="15"/>
  <cols>
    <col min="1" max="1" width="2.7109375" customWidth="1"/>
    <col min="2" max="2" width="4.7109375" customWidth="1"/>
    <col min="3" max="3" width="28.7109375" customWidth="1"/>
    <col min="4" max="4" width="70.7109375" customWidth="1"/>
    <col min="5" max="5" width="3.7109375" customWidth="1"/>
  </cols>
  <sheetData>
    <row r="1" spans="2:6" ht="46" customHeight="1">
      <c r="B1" s="1" t="s">
        <v>557</v>
      </c>
      <c r="C1" s="1"/>
      <c r="D1" s="1"/>
      <c r="E1" s="1"/>
      <c r="F1" s="1"/>
    </row>
    <row r="2" spans="2:6">
      <c r="B2" s="2" t="s">
        <v>558</v>
      </c>
      <c r="C2" s="2"/>
      <c r="D2" s="2"/>
      <c r="E2" s="2"/>
      <c r="F2" s="2"/>
    </row>
    <row r="4" spans="2:6">
      <c r="B4" s="3" t="s">
        <v>559</v>
      </c>
      <c r="C4" s="3"/>
      <c r="D4" s="3"/>
    </row>
    <row r="5" spans="2:6" ht="36" customHeight="1">
      <c r="C5" s="4" t="s">
        <v>560</v>
      </c>
      <c r="D5" s="5" t="s">
        <v>561</v>
      </c>
    </row>
    <row r="6" spans="2:6" ht="36" customHeight="1">
      <c r="C6" s="4" t="s">
        <v>562</v>
      </c>
      <c r="D6" s="5" t="s">
        <v>563</v>
      </c>
    </row>
    <row r="7" spans="2:6" ht="36" customHeight="1">
      <c r="C7" s="4" t="s">
        <v>564</v>
      </c>
      <c r="D7" s="5" t="s">
        <v>565</v>
      </c>
    </row>
    <row r="9" spans="2:6">
      <c r="B9" s="3" t="s">
        <v>566</v>
      </c>
      <c r="C9" s="3"/>
      <c r="D9" s="3"/>
    </row>
    <row r="10" spans="2:6" ht="26" customHeight="1">
      <c r="C10" s="6" t="s">
        <v>567</v>
      </c>
      <c r="D10" s="7" t="s">
        <v>568</v>
      </c>
    </row>
    <row r="11" spans="2:6" ht="26" customHeight="1">
      <c r="C11" s="6" t="s">
        <v>569</v>
      </c>
      <c r="D11" s="7" t="s">
        <v>570</v>
      </c>
    </row>
    <row r="12" spans="2:6" ht="26" customHeight="1">
      <c r="C12" s="6" t="s">
        <v>571</v>
      </c>
      <c r="D12" s="7" t="s">
        <v>572</v>
      </c>
    </row>
    <row r="13" spans="2:6" ht="26" customHeight="1">
      <c r="C13" s="6" t="s">
        <v>573</v>
      </c>
      <c r="D13" s="7" t="s">
        <v>574</v>
      </c>
    </row>
    <row r="14" spans="2:6" ht="26" customHeight="1">
      <c r="C14" s="6" t="s">
        <v>575</v>
      </c>
      <c r="D14" s="7" t="s">
        <v>576</v>
      </c>
    </row>
    <row r="15" spans="2:6" ht="26" customHeight="1">
      <c r="C15" s="6" t="s">
        <v>577</v>
      </c>
      <c r="D15" s="7" t="s">
        <v>578</v>
      </c>
    </row>
    <row r="16" spans="2:6" ht="26" customHeight="1">
      <c r="C16" s="6" t="s">
        <v>579</v>
      </c>
      <c r="D16" s="7" t="s">
        <v>580</v>
      </c>
    </row>
    <row r="18" spans="2:4">
      <c r="B18" s="3" t="s">
        <v>581</v>
      </c>
      <c r="C18" s="3"/>
      <c r="D18" s="3"/>
    </row>
    <row r="19" spans="2:4">
      <c r="C19" s="8"/>
      <c r="D19" s="7" t="s">
        <v>582</v>
      </c>
    </row>
    <row r="20" spans="2:4">
      <c r="C20" s="9"/>
      <c r="D20" s="7" t="s">
        <v>583</v>
      </c>
    </row>
    <row r="21" spans="2:4">
      <c r="C21" s="10"/>
      <c r="D21" s="7" t="s">
        <v>584</v>
      </c>
    </row>
    <row r="22" spans="2:4">
      <c r="C22" s="11"/>
      <c r="D22" s="7" t="s">
        <v>585</v>
      </c>
    </row>
    <row r="24" spans="2:4">
      <c r="B24" s="3" t="s">
        <v>586</v>
      </c>
      <c r="C24" s="3"/>
      <c r="D24" s="3"/>
    </row>
    <row r="25" spans="2:4" ht="34" customHeight="1">
      <c r="C25" s="12" t="s">
        <v>587</v>
      </c>
      <c r="D25" s="5" t="s">
        <v>588</v>
      </c>
    </row>
    <row r="26" spans="2:4" ht="34" customHeight="1">
      <c r="C26" s="12" t="s">
        <v>589</v>
      </c>
      <c r="D26" s="5" t="s">
        <v>590</v>
      </c>
    </row>
    <row r="27" spans="2:4" ht="34" customHeight="1">
      <c r="C27" s="12" t="s">
        <v>337</v>
      </c>
      <c r="D27" s="5" t="s">
        <v>591</v>
      </c>
    </row>
    <row r="28" spans="2:4" ht="34" customHeight="1">
      <c r="C28" s="12" t="s">
        <v>592</v>
      </c>
      <c r="D28" s="5" t="s">
        <v>593</v>
      </c>
    </row>
    <row r="30" spans="2:4">
      <c r="B30" s="3" t="s">
        <v>594</v>
      </c>
      <c r="C30" s="3"/>
      <c r="D30" s="3"/>
    </row>
    <row r="31" spans="2:4">
      <c r="C31" s="13" t="s">
        <v>595</v>
      </c>
      <c r="D31" s="13"/>
    </row>
    <row r="32" spans="2:4">
      <c r="C32" s="13"/>
      <c r="D32" s="13"/>
    </row>
    <row r="33" spans="3:4">
      <c r="C33" s="13"/>
      <c r="D33" s="13"/>
    </row>
  </sheetData>
  <mergeCells count="3">
    <mergeCell ref="B1:F1"/>
    <mergeCell ref="B2:F2"/>
    <mergeCell ref="C31:D33"/>
  </mergeCells>
  <hyperlinks>
    <hyperlink ref="C10" location="'ダッシュボード'!A1" display="ダッシュボード"/>
    <hyperlink ref="C11" location="'ヒートマップ'!A1" display="ヒートマップ"/>
    <hyperlink ref="C12" location="'カレンダー'!A1" display="カレンダー"/>
    <hyperlink ref="C13" location="'シミュレーター'!A1" display="シミュレーター"/>
    <hyperlink ref="C14" location="'業務ランキング'!A1" display="業務ランキング"/>
    <hyperlink ref="C15" location="'PDF突合'!A1" display="PDF突合"/>
    <hyperlink ref="C16" location="'データ'!A1" display="データ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28C28"/>
    <pageSetUpPr fitToPage="1"/>
  </sheetPr>
  <dimension ref="A1:Z48"/>
  <sheetViews>
    <sheetView showGridLines="0" workbookViewId="0"/>
  </sheetViews>
  <sheetFormatPr defaultRowHeight="15"/>
  <cols>
    <col min="1" max="1" width="2.7109375" customWidth="1"/>
    <col min="2" max="26" width="5.28515625" customWidth="1"/>
    <col min="27" max="27" width="2.7109375" customWidth="1"/>
  </cols>
  <sheetData>
    <row r="1" spans="2:26" ht="38" customHeight="1">
      <c r="B1" s="14" t="s">
        <v>356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2:26" ht="22" customHeight="1">
      <c r="B2" s="2" t="s">
        <v>357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 ht="8" customHeight="1"/>
    <row r="4" spans="2:26" ht="30" customHeight="1">
      <c r="B4" s="15" t="s">
        <v>358</v>
      </c>
      <c r="C4" s="15"/>
      <c r="D4" s="16" t="s">
        <v>64</v>
      </c>
      <c r="E4" s="16"/>
      <c r="F4" s="16"/>
      <c r="H4" s="15" t="s">
        <v>359</v>
      </c>
      <c r="I4" s="15"/>
      <c r="J4" s="16" t="s">
        <v>65</v>
      </c>
      <c r="K4" s="16"/>
      <c r="L4" s="16"/>
      <c r="N4" s="15" t="s">
        <v>360</v>
      </c>
      <c r="O4" s="15"/>
      <c r="P4" s="17">
        <v>0.375</v>
      </c>
      <c r="Q4" s="17"/>
      <c r="R4" s="17"/>
      <c r="T4" s="15" t="s">
        <v>361</v>
      </c>
      <c r="U4" s="15"/>
      <c r="V4" s="17">
        <v>0.6875</v>
      </c>
      <c r="W4" s="17"/>
      <c r="X4" s="17"/>
      <c r="Y4" s="18" t="s">
        <v>362</v>
      </c>
    </row>
    <row r="5" spans="2:26" ht="30" customHeight="1">
      <c r="B5" s="19" t="s">
        <v>369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7" spans="2:26" ht="20" customHeight="1">
      <c r="B7" s="20" t="s">
        <v>363</v>
      </c>
      <c r="C7" s="20"/>
      <c r="D7" s="20"/>
      <c r="E7" s="20"/>
      <c r="F7" s="20"/>
      <c r="G7" s="21" t="s">
        <v>364</v>
      </c>
      <c r="H7" s="21"/>
      <c r="I7" s="21"/>
      <c r="J7" s="21"/>
      <c r="K7" s="21"/>
      <c r="L7" s="22" t="s">
        <v>365</v>
      </c>
      <c r="M7" s="22"/>
      <c r="N7" s="22"/>
      <c r="O7" s="22"/>
      <c r="P7" s="22"/>
      <c r="Q7" s="23" t="s">
        <v>366</v>
      </c>
      <c r="R7" s="23"/>
      <c r="S7" s="23"/>
      <c r="T7" s="23"/>
      <c r="U7" s="23"/>
      <c r="V7" s="24" t="s">
        <v>367</v>
      </c>
      <c r="W7" s="24"/>
      <c r="X7" s="24"/>
      <c r="Y7" s="24"/>
      <c r="Z7" s="24"/>
    </row>
    <row r="8" spans="2:26" ht="24" customHeight="1">
      <c r="B8" s="25">
        <f>'計算'!B12</f>
        <v>762002</v>
      </c>
      <c r="C8" s="25"/>
      <c r="D8" s="25"/>
      <c r="E8" s="25"/>
      <c r="F8" s="25"/>
      <c r="G8" s="26">
        <f>'計算'!B23</f>
        <v>2953.4961240310076</v>
      </c>
      <c r="H8" s="26"/>
      <c r="I8" s="26"/>
      <c r="J8" s="26"/>
      <c r="K8" s="26"/>
      <c r="L8" s="27" t="str">
        <f>'計算'!B17</f>
        <v>10:30〜10:45</v>
      </c>
      <c r="M8" s="27"/>
      <c r="N8" s="27"/>
      <c r="O8" s="27"/>
      <c r="P8" s="27"/>
      <c r="Q8" s="28">
        <f>'計算'!B15</f>
        <v>0.10972805845653949</v>
      </c>
      <c r="R8" s="28"/>
      <c r="S8" s="28"/>
      <c r="T8" s="28"/>
      <c r="U8" s="28"/>
      <c r="V8" s="29">
        <f>'計算'!B24</f>
        <v>7.83873782856882</v>
      </c>
      <c r="W8" s="29"/>
      <c r="X8" s="29"/>
      <c r="Y8" s="29"/>
      <c r="Z8" s="29"/>
    </row>
    <row r="9" spans="2:26" ht="24" customHeight="1">
      <c r="B9" s="25"/>
      <c r="C9" s="25"/>
      <c r="D9" s="25"/>
      <c r="E9" s="25"/>
      <c r="F9" s="25"/>
      <c r="G9" s="26"/>
      <c r="H9" s="26"/>
      <c r="I9" s="26"/>
      <c r="J9" s="26"/>
      <c r="K9" s="26"/>
      <c r="L9" s="27"/>
      <c r="M9" s="27"/>
      <c r="N9" s="27"/>
      <c r="O9" s="27"/>
      <c r="P9" s="27"/>
      <c r="Q9" s="28"/>
      <c r="R9" s="28"/>
      <c r="S9" s="28"/>
      <c r="T9" s="28"/>
      <c r="U9" s="28"/>
      <c r="V9" s="29"/>
      <c r="W9" s="29"/>
      <c r="X9" s="29"/>
      <c r="Y9" s="29"/>
      <c r="Z9" s="29"/>
    </row>
    <row r="10" spans="2:26" ht="20" customHeight="1">
      <c r="B10" s="30" t="str">
        <f>'ダッシュボード'!$D$4&amp;" ／ "&amp;'ダッシュボード'!$J$4</f>
        <v>全区 ／ 全期間</v>
      </c>
      <c r="C10" s="30"/>
      <c r="D10" s="30"/>
      <c r="E10" s="30"/>
      <c r="F10" s="30"/>
      <c r="G10" s="30" t="str">
        <f>"営業日 "&amp;'計算'!B22&amp;" 日"</f>
        <v>営業日 258 日</v>
      </c>
      <c r="H10" s="30"/>
      <c r="I10" s="30"/>
      <c r="J10" s="30"/>
      <c r="K10" s="30"/>
      <c r="L10" s="30" t="str">
        <f>"最大 "&amp;TEXT('計算'!B18,"#,##0")&amp;" 人"</f>
        <v>最大 26,217 人</v>
      </c>
      <c r="M10" s="30"/>
      <c r="N10" s="30"/>
      <c r="O10" s="30"/>
      <c r="P10" s="30"/>
      <c r="Q10" s="30" t="str">
        <f>TEXT('計算'!B14,"#,##0")&amp;" 人が時間外"</f>
        <v>83,613 人が時間外</v>
      </c>
      <c r="R10" s="30"/>
      <c r="S10" s="30"/>
      <c r="T10" s="30"/>
      <c r="U10" s="30"/>
      <c r="V10" s="30" t="str">
        <f>"3時間超の外れ値を除く"</f>
        <v>3時間超の外れ値を除く</v>
      </c>
      <c r="W10" s="30"/>
      <c r="X10" s="30"/>
      <c r="Y10" s="30"/>
      <c r="Z10" s="30"/>
    </row>
    <row r="11" spans="2:26" ht="8" customHeight="1"/>
    <row r="12" spans="2:26" ht="30" customHeight="1">
      <c r="B12" s="31" t="str">
        <f>"💡 "&amp;'ダッシュボード'!$D$4&amp;"の"&amp;'ダッシュボード'!$J$4&amp;"は、"&amp;'計算'!B17&amp;"が一番混みます。開庁時間("&amp;TEXT('ダッシュボード'!$P$4,"h:mm")&amp;"〜"&amp;TEXT('ダッシュボード'!$V$4,"h:mm")&amp;")の外で、"&amp;TEXT('計算'!B14,"#,##0")&amp;"人（"&amp;TEXT('計算'!B15,"0.0%")&amp;"）が来庁しています。"</f>
        <v>💡 全区の全期間は、10:30〜10:45が一番混みます。開庁時間(9:00〜16:30)の外で、83,613人（11.0%）が来庁しています。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48" spans="2:2">
      <c r="B48" s="19" t="s">
        <v>368</v>
      </c>
    </row>
  </sheetData>
  <mergeCells count="27">
    <mergeCell ref="B1:Z1"/>
    <mergeCell ref="B2:Z2"/>
    <mergeCell ref="B4:C4"/>
    <mergeCell ref="D4:F4"/>
    <mergeCell ref="H4:I4"/>
    <mergeCell ref="J4:L4"/>
    <mergeCell ref="N4:O4"/>
    <mergeCell ref="P4:R4"/>
    <mergeCell ref="T4:U4"/>
    <mergeCell ref="V4:X4"/>
    <mergeCell ref="B7:F7"/>
    <mergeCell ref="B8:F9"/>
    <mergeCell ref="B10:F10"/>
    <mergeCell ref="G7:K7"/>
    <mergeCell ref="G8:K9"/>
    <mergeCell ref="G10:K10"/>
    <mergeCell ref="L7:P7"/>
    <mergeCell ref="L8:P9"/>
    <mergeCell ref="L10:P10"/>
    <mergeCell ref="Q7:U7"/>
    <mergeCell ref="Q8:U9"/>
    <mergeCell ref="Q10:U10"/>
    <mergeCell ref="V7:Z7"/>
    <mergeCell ref="V8:Z9"/>
    <mergeCell ref="V10:Z10"/>
    <mergeCell ref="B12:Z12"/>
    <mergeCell ref="B5:Z5"/>
  </mergeCells>
  <dataValidations count="4">
    <dataValidation type="list" allowBlank="1" showInputMessage="1" showErrorMessage="1" errorTitle="選べません" error="▼から選んでください。" promptTitle="区を選ぶ" prompt="▼から区を選んでください（全区＝8区の合計）" sqref="D4">
      <formula1>'計算'!$A$130:$A$138</formula1>
    </dataValidation>
    <dataValidation type="list" allowBlank="1" showInputMessage="1" showErrorMessage="1" errorTitle="選べません" error="▼から選んでください。" promptTitle="月を選ぶ" prompt="全期間 または 4月〜3月" sqref="J4">
      <formula1>'計算'!$A$25:$A$37</formula1>
    </dataValidation>
    <dataValidation type="list" allowBlank="1" showInputMessage="1" showErrorMessage="1" errorTitle="選べません" error="▼から選んでください。" promptTitle="開庁時間の開始" prompt="窓口を開ける時刻（案）を選びます" sqref="P4">
      <formula1>'計算'!$A$70:$A$126</formula1>
    </dataValidation>
    <dataValidation type="list" allowBlank="1" showInputMessage="1" showErrorMessage="1" errorTitle="選べません" error="▼から選んでください。" promptTitle="開庁時間の終了" prompt="窓口を閉める時刻（案）を選びます。この時刻より後に発券された人が「時間外」です" sqref="V4">
      <formula1>'計算'!$A$70:$A$126</formula1>
    </dataValidation>
  </dataValidation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41"/>
  <sheetViews>
    <sheetView showGridLines="0" workbookViewId="0">
      <pane xSplit="3" topLeftCell="D1" activePane="topRight" state="frozen"/>
      <selection pane="topRight"/>
    </sheetView>
  </sheetViews>
  <sheetFormatPr defaultRowHeight="15"/>
  <cols>
    <col min="1" max="1" width="2.7109375" customWidth="1"/>
    <col min="2" max="2" width="11.7109375" customWidth="1"/>
    <col min="3" max="3" width="13.7109375" customWidth="1"/>
    <col min="4" max="59" width="3" customWidth="1"/>
    <col min="60" max="60" width="2.7109375" customWidth="1"/>
  </cols>
  <sheetData>
    <row r="1" spans="2:59" ht="34" customHeight="1">
      <c r="B1" s="14" t="s">
        <v>370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3" spans="2:59">
      <c r="B3" s="12" t="s">
        <v>371</v>
      </c>
      <c r="C3" s="16" t="s">
        <v>64</v>
      </c>
      <c r="E3" s="19" t="s">
        <v>372</v>
      </c>
    </row>
    <row r="5" spans="2:59">
      <c r="B5" s="3" t="s">
        <v>373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2:59">
      <c r="B6" s="32" t="s">
        <v>203</v>
      </c>
      <c r="C6" s="32"/>
      <c r="D6" s="32" t="s">
        <v>374</v>
      </c>
      <c r="E6" s="32"/>
      <c r="F6" s="32"/>
      <c r="G6" s="32"/>
      <c r="H6" s="32" t="s">
        <v>375</v>
      </c>
      <c r="I6" s="32"/>
      <c r="J6" s="32"/>
      <c r="K6" s="32"/>
      <c r="L6" s="32" t="s">
        <v>376</v>
      </c>
      <c r="M6" s="32"/>
      <c r="N6" s="32"/>
      <c r="O6" s="32"/>
      <c r="P6" s="32" t="s">
        <v>377</v>
      </c>
      <c r="Q6" s="32"/>
      <c r="R6" s="32"/>
      <c r="S6" s="32"/>
      <c r="T6" s="32" t="s">
        <v>378</v>
      </c>
      <c r="U6" s="32"/>
      <c r="V6" s="32"/>
      <c r="W6" s="32"/>
      <c r="X6" s="32" t="s">
        <v>379</v>
      </c>
      <c r="Y6" s="32"/>
      <c r="Z6" s="32"/>
      <c r="AA6" s="32"/>
      <c r="AB6" s="32" t="s">
        <v>380</v>
      </c>
      <c r="AC6" s="32"/>
      <c r="AD6" s="32"/>
      <c r="AE6" s="32"/>
      <c r="AF6" s="32" t="s">
        <v>381</v>
      </c>
      <c r="AG6" s="32"/>
      <c r="AH6" s="32"/>
      <c r="AI6" s="32"/>
      <c r="AJ6" s="32" t="s">
        <v>382</v>
      </c>
      <c r="AK6" s="32"/>
      <c r="AL6" s="32"/>
      <c r="AM6" s="32"/>
      <c r="AN6" s="32" t="s">
        <v>383</v>
      </c>
      <c r="AO6" s="32"/>
      <c r="AP6" s="32"/>
      <c r="AQ6" s="32"/>
      <c r="AR6" s="32" t="s">
        <v>384</v>
      </c>
      <c r="AS6" s="32"/>
      <c r="AT6" s="32"/>
      <c r="AU6" s="32"/>
      <c r="AV6" s="32" t="s">
        <v>385</v>
      </c>
      <c r="AW6" s="32"/>
      <c r="AX6" s="32"/>
      <c r="AY6" s="32"/>
      <c r="AZ6" s="32" t="s">
        <v>386</v>
      </c>
      <c r="BA6" s="32"/>
      <c r="BB6" s="32"/>
      <c r="BC6" s="32"/>
      <c r="BD6" s="32" t="s">
        <v>387</v>
      </c>
      <c r="BE6" s="32"/>
      <c r="BF6" s="32"/>
      <c r="BG6" s="32"/>
    </row>
    <row r="7" spans="2:59" ht="22" customHeight="1">
      <c r="B7" s="33" t="s">
        <v>5</v>
      </c>
      <c r="C7" s="33"/>
      <c r="D7" s="34">
        <f>IFERROR(INDEX('データ'!D$127:D$189,MATCH($C$3&amp;"|"&amp;$B7,'データ'!$A$127:$A$189,0)),0)</f>
        <v>0</v>
      </c>
      <c r="E7" s="34">
        <f>IFERROR(INDEX('データ'!E$127:E$189,MATCH($C$3&amp;"|"&amp;$B7,'データ'!$A$127:$A$189,0)),0)</f>
        <v>0</v>
      </c>
      <c r="F7" s="34">
        <f>IFERROR(INDEX('データ'!F$127:F$189,MATCH($C$3&amp;"|"&amp;$B7,'データ'!$A$127:$A$189,0)),0)</f>
        <v>0</v>
      </c>
      <c r="G7" s="34">
        <f>IFERROR(INDEX('データ'!G$127:G$189,MATCH($C$3&amp;"|"&amp;$B7,'データ'!$A$127:$A$189,0)),0)</f>
        <v>43</v>
      </c>
      <c r="H7" s="34">
        <f>IFERROR(INDEX('データ'!H$127:H$189,MATCH($C$3&amp;"|"&amp;$B7,'データ'!$A$127:$A$189,0)),0)</f>
        <v>314</v>
      </c>
      <c r="I7" s="34">
        <f>IFERROR(INDEX('データ'!I$127:I$189,MATCH($C$3&amp;"|"&amp;$B7,'データ'!$A$127:$A$189,0)),0)</f>
        <v>1645</v>
      </c>
      <c r="J7" s="34">
        <f>IFERROR(INDEX('データ'!J$127:J$189,MATCH($C$3&amp;"|"&amp;$B7,'データ'!$A$127:$A$189,0)),0)</f>
        <v>3375</v>
      </c>
      <c r="K7" s="34">
        <f>IFERROR(INDEX('データ'!K$127:K$189,MATCH($C$3&amp;"|"&amp;$B7,'データ'!$A$127:$A$189,0)),0)</f>
        <v>3651</v>
      </c>
      <c r="L7" s="34">
        <f>IFERROR(INDEX('データ'!L$127:L$189,MATCH($C$3&amp;"|"&amp;$B7,'データ'!$A$127:$A$189,0)),0)</f>
        <v>4070</v>
      </c>
      <c r="M7" s="34">
        <f>IFERROR(INDEX('データ'!M$127:M$189,MATCH($C$3&amp;"|"&amp;$B7,'データ'!$A$127:$A$189,0)),0)</f>
        <v>4388</v>
      </c>
      <c r="N7" s="34">
        <f>IFERROR(INDEX('データ'!N$127:N$189,MATCH($C$3&amp;"|"&amp;$B7,'データ'!$A$127:$A$189,0)),0)</f>
        <v>4651</v>
      </c>
      <c r="O7" s="34">
        <f>IFERROR(INDEX('データ'!O$127:O$189,MATCH($C$3&amp;"|"&amp;$B7,'データ'!$A$127:$A$189,0)),0)</f>
        <v>5014</v>
      </c>
      <c r="P7" s="34">
        <f>IFERROR(INDEX('データ'!P$127:P$189,MATCH($C$3&amp;"|"&amp;$B7,'データ'!$A$127:$A$189,0)),0)</f>
        <v>5180</v>
      </c>
      <c r="Q7" s="34">
        <f>IFERROR(INDEX('データ'!Q$127:Q$189,MATCH($C$3&amp;"|"&amp;$B7,'データ'!$A$127:$A$189,0)),0)</f>
        <v>5358</v>
      </c>
      <c r="R7" s="34">
        <f>IFERROR(INDEX('データ'!R$127:R$189,MATCH($C$3&amp;"|"&amp;$B7,'データ'!$A$127:$A$189,0)),0)</f>
        <v>5364</v>
      </c>
      <c r="S7" s="34">
        <f>IFERROR(INDEX('データ'!S$127:S$189,MATCH($C$3&amp;"|"&amp;$B7,'データ'!$A$127:$A$189,0)),0)</f>
        <v>5315</v>
      </c>
      <c r="T7" s="34">
        <f>IFERROR(INDEX('データ'!T$127:T$189,MATCH($C$3&amp;"|"&amp;$B7,'データ'!$A$127:$A$189,0)),0)</f>
        <v>5315</v>
      </c>
      <c r="U7" s="34">
        <f>IFERROR(INDEX('データ'!U$127:U$189,MATCH($C$3&amp;"|"&amp;$B7,'データ'!$A$127:$A$189,0)),0)</f>
        <v>5151</v>
      </c>
      <c r="V7" s="34">
        <f>IFERROR(INDEX('データ'!V$127:V$189,MATCH($C$3&amp;"|"&amp;$B7,'データ'!$A$127:$A$189,0)),0)</f>
        <v>4651</v>
      </c>
      <c r="W7" s="34">
        <f>IFERROR(INDEX('データ'!W$127:W$189,MATCH($C$3&amp;"|"&amp;$B7,'データ'!$A$127:$A$189,0)),0)</f>
        <v>4340</v>
      </c>
      <c r="X7" s="34">
        <f>IFERROR(INDEX('データ'!X$127:X$189,MATCH($C$3&amp;"|"&amp;$B7,'データ'!$A$127:$A$189,0)),0)</f>
        <v>4053</v>
      </c>
      <c r="Y7" s="34">
        <f>IFERROR(INDEX('データ'!Y$127:Y$189,MATCH($C$3&amp;"|"&amp;$B7,'データ'!$A$127:$A$189,0)),0)</f>
        <v>3956</v>
      </c>
      <c r="Z7" s="34">
        <f>IFERROR(INDEX('データ'!Z$127:Z$189,MATCH($C$3&amp;"|"&amp;$B7,'データ'!$A$127:$A$189,0)),0)</f>
        <v>3912</v>
      </c>
      <c r="AA7" s="34">
        <f>IFERROR(INDEX('データ'!AA$127:AA$189,MATCH($C$3&amp;"|"&amp;$B7,'データ'!$A$127:$A$189,0)),0)</f>
        <v>3861</v>
      </c>
      <c r="AB7" s="34">
        <f>IFERROR(INDEX('データ'!AB$127:AB$189,MATCH($C$3&amp;"|"&amp;$B7,'データ'!$A$127:$A$189,0)),0)</f>
        <v>4098</v>
      </c>
      <c r="AC7" s="34">
        <f>IFERROR(INDEX('データ'!AC$127:AC$189,MATCH($C$3&amp;"|"&amp;$B7,'データ'!$A$127:$A$189,0)),0)</f>
        <v>4396</v>
      </c>
      <c r="AD7" s="34">
        <f>IFERROR(INDEX('データ'!AD$127:AD$189,MATCH($C$3&amp;"|"&amp;$B7,'データ'!$A$127:$A$189,0)),0)</f>
        <v>4585</v>
      </c>
      <c r="AE7" s="34">
        <f>IFERROR(INDEX('データ'!AE$127:AE$189,MATCH($C$3&amp;"|"&amp;$B7,'データ'!$A$127:$A$189,0)),0)</f>
        <v>4738</v>
      </c>
      <c r="AF7" s="34">
        <f>IFERROR(INDEX('データ'!AF$127:AF$189,MATCH($C$3&amp;"|"&amp;$B7,'データ'!$A$127:$A$189,0)),0)</f>
        <v>4644</v>
      </c>
      <c r="AG7" s="34">
        <f>IFERROR(INDEX('データ'!AG$127:AG$189,MATCH($C$3&amp;"|"&amp;$B7,'データ'!$A$127:$A$189,0)),0)</f>
        <v>4648</v>
      </c>
      <c r="AH7" s="34">
        <f>IFERROR(INDEX('データ'!AH$127:AH$189,MATCH($C$3&amp;"|"&amp;$B7,'データ'!$A$127:$A$189,0)),0)</f>
        <v>4449</v>
      </c>
      <c r="AI7" s="34">
        <f>IFERROR(INDEX('データ'!AI$127:AI$189,MATCH($C$3&amp;"|"&amp;$B7,'データ'!$A$127:$A$189,0)),0)</f>
        <v>4363</v>
      </c>
      <c r="AJ7" s="34">
        <f>IFERROR(INDEX('データ'!AJ$127:AJ$189,MATCH($C$3&amp;"|"&amp;$B7,'データ'!$A$127:$A$189,0)),0)</f>
        <v>4279</v>
      </c>
      <c r="AK7" s="34">
        <f>IFERROR(INDEX('データ'!AK$127:AK$189,MATCH($C$3&amp;"|"&amp;$B7,'データ'!$A$127:$A$189,0)),0)</f>
        <v>4086</v>
      </c>
      <c r="AL7" s="34">
        <f>IFERROR(INDEX('データ'!AL$127:AL$189,MATCH($C$3&amp;"|"&amp;$B7,'データ'!$A$127:$A$189,0)),0)</f>
        <v>4051</v>
      </c>
      <c r="AM7" s="34">
        <f>IFERROR(INDEX('データ'!AM$127:AM$189,MATCH($C$3&amp;"|"&amp;$B7,'データ'!$A$127:$A$189,0)),0)</f>
        <v>3915</v>
      </c>
      <c r="AN7" s="34">
        <f>IFERROR(INDEX('データ'!AN$127:AN$189,MATCH($C$3&amp;"|"&amp;$B7,'データ'!$A$127:$A$189,0)),0)</f>
        <v>3831</v>
      </c>
      <c r="AO7" s="34">
        <f>IFERROR(INDEX('データ'!AO$127:AO$189,MATCH($C$3&amp;"|"&amp;$B7,'データ'!$A$127:$A$189,0)),0)</f>
        <v>3812</v>
      </c>
      <c r="AP7" s="34">
        <f>IFERROR(INDEX('データ'!AP$127:AP$189,MATCH($C$3&amp;"|"&amp;$B7,'データ'!$A$127:$A$189,0)),0)</f>
        <v>3524</v>
      </c>
      <c r="AQ7" s="34">
        <f>IFERROR(INDEX('データ'!AQ$127:AQ$189,MATCH($C$3&amp;"|"&amp;$B7,'データ'!$A$127:$A$189,0)),0)</f>
        <v>2601</v>
      </c>
      <c r="AR7" s="34">
        <f>IFERROR(INDEX('データ'!AR$127:AR$189,MATCH($C$3&amp;"|"&amp;$B7,'データ'!$A$127:$A$189,0)),0)</f>
        <v>1421</v>
      </c>
      <c r="AS7" s="34">
        <f>IFERROR(INDEX('データ'!AS$127:AS$189,MATCH($C$3&amp;"|"&amp;$B7,'データ'!$A$127:$A$189,0)),0)</f>
        <v>314</v>
      </c>
      <c r="AT7" s="34">
        <f>IFERROR(INDEX('データ'!AT$127:AT$189,MATCH($C$3&amp;"|"&amp;$B7,'データ'!$A$127:$A$189,0)),0)</f>
        <v>75</v>
      </c>
      <c r="AU7" s="34">
        <f>IFERROR(INDEX('データ'!AU$127:AU$189,MATCH($C$3&amp;"|"&amp;$B7,'データ'!$A$127:$A$189,0)),0)</f>
        <v>20</v>
      </c>
      <c r="AV7" s="34">
        <f>IFERROR(INDEX('データ'!AV$127:AV$189,MATCH($C$3&amp;"|"&amp;$B7,'データ'!$A$127:$A$189,0)),0)</f>
        <v>6</v>
      </c>
      <c r="AW7" s="34">
        <f>IFERROR(INDEX('データ'!AW$127:AW$189,MATCH($C$3&amp;"|"&amp;$B7,'データ'!$A$127:$A$189,0)),0)</f>
        <v>14</v>
      </c>
      <c r="AX7" s="34">
        <f>IFERROR(INDEX('データ'!AX$127:AX$189,MATCH($C$3&amp;"|"&amp;$B7,'データ'!$A$127:$A$189,0)),0)</f>
        <v>17</v>
      </c>
      <c r="AY7" s="34">
        <f>IFERROR(INDEX('データ'!AY$127:AY$189,MATCH($C$3&amp;"|"&amp;$B7,'データ'!$A$127:$A$189,0)),0)</f>
        <v>5</v>
      </c>
      <c r="AZ7" s="34">
        <f>IFERROR(INDEX('データ'!AZ$127:AZ$189,MATCH($C$3&amp;"|"&amp;$B7,'データ'!$A$127:$A$189,0)),0)</f>
        <v>3</v>
      </c>
      <c r="BA7" s="34">
        <f>IFERROR(INDEX('データ'!BA$127:BA$189,MATCH($C$3&amp;"|"&amp;$B7,'データ'!$A$127:$A$189,0)),0)</f>
        <v>3</v>
      </c>
      <c r="BB7" s="34">
        <f>IFERROR(INDEX('データ'!BB$127:BB$189,MATCH($C$3&amp;"|"&amp;$B7,'データ'!$A$127:$A$189,0)),0)</f>
        <v>0</v>
      </c>
      <c r="BC7" s="34">
        <f>IFERROR(INDEX('データ'!BC$127:BC$189,MATCH($C$3&amp;"|"&amp;$B7,'データ'!$A$127:$A$189,0)),0)</f>
        <v>0</v>
      </c>
      <c r="BD7" s="34">
        <f>IFERROR(INDEX('データ'!BD$127:BD$189,MATCH($C$3&amp;"|"&amp;$B7,'データ'!$A$127:$A$189,0)),0)</f>
        <v>0</v>
      </c>
      <c r="BE7" s="34">
        <f>IFERROR(INDEX('データ'!BE$127:BE$189,MATCH($C$3&amp;"|"&amp;$B7,'データ'!$A$127:$A$189,0)),0)</f>
        <v>0</v>
      </c>
      <c r="BF7" s="34">
        <f>IFERROR(INDEX('データ'!BF$127:BF$189,MATCH($C$3&amp;"|"&amp;$B7,'データ'!$A$127:$A$189,0)),0)</f>
        <v>0</v>
      </c>
      <c r="BG7" s="34">
        <f>IFERROR(INDEX('データ'!BG$127:BG$189,MATCH($C$3&amp;"|"&amp;$B7,'データ'!$A$127:$A$189,0)),0)</f>
        <v>0</v>
      </c>
    </row>
    <row r="8" spans="2:59" ht="22" customHeight="1">
      <c r="B8" s="33" t="s">
        <v>206</v>
      </c>
      <c r="C8" s="33"/>
      <c r="D8" s="34">
        <f>IFERROR(INDEX('データ'!D$127:D$189,MATCH($C$3&amp;"|"&amp;$B8,'データ'!$A$127:$A$189,0)),0)</f>
        <v>0</v>
      </c>
      <c r="E8" s="34">
        <f>IFERROR(INDEX('データ'!E$127:E$189,MATCH($C$3&amp;"|"&amp;$B8,'データ'!$A$127:$A$189,0)),0)</f>
        <v>0</v>
      </c>
      <c r="F8" s="34">
        <f>IFERROR(INDEX('データ'!F$127:F$189,MATCH($C$3&amp;"|"&amp;$B8,'データ'!$A$127:$A$189,0)),0)</f>
        <v>2</v>
      </c>
      <c r="G8" s="34">
        <f>IFERROR(INDEX('データ'!G$127:G$189,MATCH($C$3&amp;"|"&amp;$B8,'データ'!$A$127:$A$189,0)),0)</f>
        <v>33</v>
      </c>
      <c r="H8" s="34">
        <f>IFERROR(INDEX('データ'!H$127:H$189,MATCH($C$3&amp;"|"&amp;$B8,'データ'!$A$127:$A$189,0)),0)</f>
        <v>344</v>
      </c>
      <c r="I8" s="34">
        <f>IFERROR(INDEX('データ'!I$127:I$189,MATCH($C$3&amp;"|"&amp;$B8,'データ'!$A$127:$A$189,0)),0)</f>
        <v>1404</v>
      </c>
      <c r="J8" s="34">
        <f>IFERROR(INDEX('データ'!J$127:J$189,MATCH($C$3&amp;"|"&amp;$B8,'データ'!$A$127:$A$189,0)),0)</f>
        <v>3116</v>
      </c>
      <c r="K8" s="34">
        <f>IFERROR(INDEX('データ'!K$127:K$189,MATCH($C$3&amp;"|"&amp;$B8,'データ'!$A$127:$A$189,0)),0)</f>
        <v>3250</v>
      </c>
      <c r="L8" s="34">
        <f>IFERROR(INDEX('データ'!L$127:L$189,MATCH($C$3&amp;"|"&amp;$B8,'データ'!$A$127:$A$189,0)),0)</f>
        <v>3918</v>
      </c>
      <c r="M8" s="34">
        <f>IFERROR(INDEX('データ'!M$127:M$189,MATCH($C$3&amp;"|"&amp;$B8,'データ'!$A$127:$A$189,0)),0)</f>
        <v>4194</v>
      </c>
      <c r="N8" s="34">
        <f>IFERROR(INDEX('データ'!N$127:N$189,MATCH($C$3&amp;"|"&amp;$B8,'データ'!$A$127:$A$189,0)),0)</f>
        <v>4543</v>
      </c>
      <c r="O8" s="34">
        <f>IFERROR(INDEX('データ'!O$127:O$189,MATCH($C$3&amp;"|"&amp;$B8,'データ'!$A$127:$A$189,0)),0)</f>
        <v>4846</v>
      </c>
      <c r="P8" s="34">
        <f>IFERROR(INDEX('データ'!P$127:P$189,MATCH($C$3&amp;"|"&amp;$B8,'データ'!$A$127:$A$189,0)),0)</f>
        <v>5149</v>
      </c>
      <c r="Q8" s="34">
        <f>IFERROR(INDEX('データ'!Q$127:Q$189,MATCH($C$3&amp;"|"&amp;$B8,'データ'!$A$127:$A$189,0)),0)</f>
        <v>5340</v>
      </c>
      <c r="R8" s="34">
        <f>IFERROR(INDEX('データ'!R$127:R$189,MATCH($C$3&amp;"|"&amp;$B8,'データ'!$A$127:$A$189,0)),0)</f>
        <v>5499</v>
      </c>
      <c r="S8" s="34">
        <f>IFERROR(INDEX('データ'!S$127:S$189,MATCH($C$3&amp;"|"&amp;$B8,'データ'!$A$127:$A$189,0)),0)</f>
        <v>5280</v>
      </c>
      <c r="T8" s="34">
        <f>IFERROR(INDEX('データ'!T$127:T$189,MATCH($C$3&amp;"|"&amp;$B8,'データ'!$A$127:$A$189,0)),0)</f>
        <v>5310</v>
      </c>
      <c r="U8" s="34">
        <f>IFERROR(INDEX('データ'!U$127:U$189,MATCH($C$3&amp;"|"&amp;$B8,'データ'!$A$127:$A$189,0)),0)</f>
        <v>4975</v>
      </c>
      <c r="V8" s="34">
        <f>IFERROR(INDEX('データ'!V$127:V$189,MATCH($C$3&amp;"|"&amp;$B8,'データ'!$A$127:$A$189,0)),0)</f>
        <v>4825</v>
      </c>
      <c r="W8" s="34">
        <f>IFERROR(INDEX('データ'!W$127:W$189,MATCH($C$3&amp;"|"&amp;$B8,'データ'!$A$127:$A$189,0)),0)</f>
        <v>4335</v>
      </c>
      <c r="X8" s="34">
        <f>IFERROR(INDEX('データ'!X$127:X$189,MATCH($C$3&amp;"|"&amp;$B8,'データ'!$A$127:$A$189,0)),0)</f>
        <v>4075</v>
      </c>
      <c r="Y8" s="34">
        <f>IFERROR(INDEX('データ'!Y$127:Y$189,MATCH($C$3&amp;"|"&amp;$B8,'データ'!$A$127:$A$189,0)),0)</f>
        <v>3978</v>
      </c>
      <c r="Z8" s="34">
        <f>IFERROR(INDEX('データ'!Z$127:Z$189,MATCH($C$3&amp;"|"&amp;$B8,'データ'!$A$127:$A$189,0)),0)</f>
        <v>3974</v>
      </c>
      <c r="AA8" s="34">
        <f>IFERROR(INDEX('データ'!AA$127:AA$189,MATCH($C$3&amp;"|"&amp;$B8,'データ'!$A$127:$A$189,0)),0)</f>
        <v>3916</v>
      </c>
      <c r="AB8" s="34">
        <f>IFERROR(INDEX('データ'!AB$127:AB$189,MATCH($C$3&amp;"|"&amp;$B8,'データ'!$A$127:$A$189,0)),0)</f>
        <v>4201</v>
      </c>
      <c r="AC8" s="34">
        <f>IFERROR(INDEX('データ'!AC$127:AC$189,MATCH($C$3&amp;"|"&amp;$B8,'データ'!$A$127:$A$189,0)),0)</f>
        <v>4699</v>
      </c>
      <c r="AD8" s="34">
        <f>IFERROR(INDEX('データ'!AD$127:AD$189,MATCH($C$3&amp;"|"&amp;$B8,'データ'!$A$127:$A$189,0)),0)</f>
        <v>4745</v>
      </c>
      <c r="AE8" s="34">
        <f>IFERROR(INDEX('データ'!AE$127:AE$189,MATCH($C$3&amp;"|"&amp;$B8,'データ'!$A$127:$A$189,0)),0)</f>
        <v>4901</v>
      </c>
      <c r="AF8" s="34">
        <f>IFERROR(INDEX('データ'!AF$127:AF$189,MATCH($C$3&amp;"|"&amp;$B8,'データ'!$A$127:$A$189,0)),0)</f>
        <v>4930</v>
      </c>
      <c r="AG8" s="34">
        <f>IFERROR(INDEX('データ'!AG$127:AG$189,MATCH($C$3&amp;"|"&amp;$B8,'データ'!$A$127:$A$189,0)),0)</f>
        <v>4789</v>
      </c>
      <c r="AH8" s="34">
        <f>IFERROR(INDEX('データ'!AH$127:AH$189,MATCH($C$3&amp;"|"&amp;$B8,'データ'!$A$127:$A$189,0)),0)</f>
        <v>4858</v>
      </c>
      <c r="AI8" s="34">
        <f>IFERROR(INDEX('データ'!AI$127:AI$189,MATCH($C$3&amp;"|"&amp;$B8,'データ'!$A$127:$A$189,0)),0)</f>
        <v>4526</v>
      </c>
      <c r="AJ8" s="34">
        <f>IFERROR(INDEX('データ'!AJ$127:AJ$189,MATCH($C$3&amp;"|"&amp;$B8,'データ'!$A$127:$A$189,0)),0)</f>
        <v>4440</v>
      </c>
      <c r="AK8" s="34">
        <f>IFERROR(INDEX('データ'!AK$127:AK$189,MATCH($C$3&amp;"|"&amp;$B8,'データ'!$A$127:$A$189,0)),0)</f>
        <v>4365</v>
      </c>
      <c r="AL8" s="34">
        <f>IFERROR(INDEX('データ'!AL$127:AL$189,MATCH($C$3&amp;"|"&amp;$B8,'データ'!$A$127:$A$189,0)),0)</f>
        <v>4284</v>
      </c>
      <c r="AM8" s="34">
        <f>IFERROR(INDEX('データ'!AM$127:AM$189,MATCH($C$3&amp;"|"&amp;$B8,'データ'!$A$127:$A$189,0)),0)</f>
        <v>4295</v>
      </c>
      <c r="AN8" s="34">
        <f>IFERROR(INDEX('データ'!AN$127:AN$189,MATCH($C$3&amp;"|"&amp;$B8,'データ'!$A$127:$A$189,0)),0)</f>
        <v>4218</v>
      </c>
      <c r="AO8" s="34">
        <f>IFERROR(INDEX('データ'!AO$127:AO$189,MATCH($C$3&amp;"|"&amp;$B8,'データ'!$A$127:$A$189,0)),0)</f>
        <v>3982</v>
      </c>
      <c r="AP8" s="34">
        <f>IFERROR(INDEX('データ'!AP$127:AP$189,MATCH($C$3&amp;"|"&amp;$B8,'データ'!$A$127:$A$189,0)),0)</f>
        <v>3540</v>
      </c>
      <c r="AQ8" s="34">
        <f>IFERROR(INDEX('データ'!AQ$127:AQ$189,MATCH($C$3&amp;"|"&amp;$B8,'データ'!$A$127:$A$189,0)),0)</f>
        <v>2872</v>
      </c>
      <c r="AR8" s="34">
        <f>IFERROR(INDEX('データ'!AR$127:AR$189,MATCH($C$3&amp;"|"&amp;$B8,'データ'!$A$127:$A$189,0)),0)</f>
        <v>1482</v>
      </c>
      <c r="AS8" s="34">
        <f>IFERROR(INDEX('データ'!AS$127:AS$189,MATCH($C$3&amp;"|"&amp;$B8,'データ'!$A$127:$A$189,0)),0)</f>
        <v>334</v>
      </c>
      <c r="AT8" s="34">
        <f>IFERROR(INDEX('データ'!AT$127:AT$189,MATCH($C$3&amp;"|"&amp;$B8,'データ'!$A$127:$A$189,0)),0)</f>
        <v>88</v>
      </c>
      <c r="AU8" s="34">
        <f>IFERROR(INDEX('データ'!AU$127:AU$189,MATCH($C$3&amp;"|"&amp;$B8,'データ'!$A$127:$A$189,0)),0)</f>
        <v>43</v>
      </c>
      <c r="AV8" s="34">
        <f>IFERROR(INDEX('データ'!AV$127:AV$189,MATCH($C$3&amp;"|"&amp;$B8,'データ'!$A$127:$A$189,0)),0)</f>
        <v>26</v>
      </c>
      <c r="AW8" s="34">
        <f>IFERROR(INDEX('データ'!AW$127:AW$189,MATCH($C$3&amp;"|"&amp;$B8,'データ'!$A$127:$A$189,0)),0)</f>
        <v>33</v>
      </c>
      <c r="AX8" s="34">
        <f>IFERROR(INDEX('データ'!AX$127:AX$189,MATCH($C$3&amp;"|"&amp;$B8,'データ'!$A$127:$A$189,0)),0)</f>
        <v>19</v>
      </c>
      <c r="AY8" s="34">
        <f>IFERROR(INDEX('データ'!AY$127:AY$189,MATCH($C$3&amp;"|"&amp;$B8,'データ'!$A$127:$A$189,0)),0)</f>
        <v>8</v>
      </c>
      <c r="AZ8" s="34">
        <f>IFERROR(INDEX('データ'!AZ$127:AZ$189,MATCH($C$3&amp;"|"&amp;$B8,'データ'!$A$127:$A$189,0)),0)</f>
        <v>11</v>
      </c>
      <c r="BA8" s="34">
        <f>IFERROR(INDEX('データ'!BA$127:BA$189,MATCH($C$3&amp;"|"&amp;$B8,'データ'!$A$127:$A$189,0)),0)</f>
        <v>0</v>
      </c>
      <c r="BB8" s="34">
        <f>IFERROR(INDEX('データ'!BB$127:BB$189,MATCH($C$3&amp;"|"&amp;$B8,'データ'!$A$127:$A$189,0)),0)</f>
        <v>0</v>
      </c>
      <c r="BC8" s="34">
        <f>IFERROR(INDEX('データ'!BC$127:BC$189,MATCH($C$3&amp;"|"&amp;$B8,'データ'!$A$127:$A$189,0)),0)</f>
        <v>1</v>
      </c>
      <c r="BD8" s="34">
        <f>IFERROR(INDEX('データ'!BD$127:BD$189,MATCH($C$3&amp;"|"&amp;$B8,'データ'!$A$127:$A$189,0)),0)</f>
        <v>2</v>
      </c>
      <c r="BE8" s="34">
        <f>IFERROR(INDEX('データ'!BE$127:BE$189,MATCH($C$3&amp;"|"&amp;$B8,'データ'!$A$127:$A$189,0)),0)</f>
        <v>0</v>
      </c>
      <c r="BF8" s="34">
        <f>IFERROR(INDEX('データ'!BF$127:BF$189,MATCH($C$3&amp;"|"&amp;$B8,'データ'!$A$127:$A$189,0)),0)</f>
        <v>0</v>
      </c>
      <c r="BG8" s="34">
        <f>IFERROR(INDEX('データ'!BG$127:BG$189,MATCH($C$3&amp;"|"&amp;$B8,'データ'!$A$127:$A$189,0)),0)</f>
        <v>0</v>
      </c>
    </row>
    <row r="9" spans="2:59" ht="22" customHeight="1">
      <c r="B9" s="33" t="s">
        <v>208</v>
      </c>
      <c r="C9" s="33"/>
      <c r="D9" s="34">
        <f>IFERROR(INDEX('データ'!D$127:D$189,MATCH($C$3&amp;"|"&amp;$B9,'データ'!$A$127:$A$189,0)),0)</f>
        <v>0</v>
      </c>
      <c r="E9" s="34">
        <f>IFERROR(INDEX('データ'!E$127:E$189,MATCH($C$3&amp;"|"&amp;$B9,'データ'!$A$127:$A$189,0)),0)</f>
        <v>0</v>
      </c>
      <c r="F9" s="34">
        <f>IFERROR(INDEX('データ'!F$127:F$189,MATCH($C$3&amp;"|"&amp;$B9,'データ'!$A$127:$A$189,0)),0)</f>
        <v>0</v>
      </c>
      <c r="G9" s="34">
        <f>IFERROR(INDEX('データ'!G$127:G$189,MATCH($C$3&amp;"|"&amp;$B9,'データ'!$A$127:$A$189,0)),0)</f>
        <v>24</v>
      </c>
      <c r="H9" s="34">
        <f>IFERROR(INDEX('データ'!H$127:H$189,MATCH($C$3&amp;"|"&amp;$B9,'データ'!$A$127:$A$189,0)),0)</f>
        <v>287</v>
      </c>
      <c r="I9" s="34">
        <f>IFERROR(INDEX('データ'!I$127:I$189,MATCH($C$3&amp;"|"&amp;$B9,'データ'!$A$127:$A$189,0)),0)</f>
        <v>1258</v>
      </c>
      <c r="J9" s="34">
        <f>IFERROR(INDEX('データ'!J$127:J$189,MATCH($C$3&amp;"|"&amp;$B9,'データ'!$A$127:$A$189,0)),0)</f>
        <v>2958</v>
      </c>
      <c r="K9" s="34">
        <f>IFERROR(INDEX('データ'!K$127:K$189,MATCH($C$3&amp;"|"&amp;$B9,'データ'!$A$127:$A$189,0)),0)</f>
        <v>2987</v>
      </c>
      <c r="L9" s="34">
        <f>IFERROR(INDEX('データ'!L$127:L$189,MATCH($C$3&amp;"|"&amp;$B9,'データ'!$A$127:$A$189,0)),0)</f>
        <v>3620</v>
      </c>
      <c r="M9" s="34">
        <f>IFERROR(INDEX('データ'!M$127:M$189,MATCH($C$3&amp;"|"&amp;$B9,'データ'!$A$127:$A$189,0)),0)</f>
        <v>4089</v>
      </c>
      <c r="N9" s="34">
        <f>IFERROR(INDEX('データ'!N$127:N$189,MATCH($C$3&amp;"|"&amp;$B9,'データ'!$A$127:$A$189,0)),0)</f>
        <v>4421</v>
      </c>
      <c r="O9" s="34">
        <f>IFERROR(INDEX('データ'!O$127:O$189,MATCH($C$3&amp;"|"&amp;$B9,'データ'!$A$127:$A$189,0)),0)</f>
        <v>4691</v>
      </c>
      <c r="P9" s="34">
        <f>IFERROR(INDEX('データ'!P$127:P$189,MATCH($C$3&amp;"|"&amp;$B9,'データ'!$A$127:$A$189,0)),0)</f>
        <v>5003</v>
      </c>
      <c r="Q9" s="34">
        <f>IFERROR(INDEX('データ'!Q$127:Q$189,MATCH($C$3&amp;"|"&amp;$B9,'データ'!$A$127:$A$189,0)),0)</f>
        <v>5211</v>
      </c>
      <c r="R9" s="34">
        <f>IFERROR(INDEX('データ'!R$127:R$189,MATCH($C$3&amp;"|"&amp;$B9,'データ'!$A$127:$A$189,0)),0)</f>
        <v>5084</v>
      </c>
      <c r="S9" s="34">
        <f>IFERROR(INDEX('データ'!S$127:S$189,MATCH($C$3&amp;"|"&amp;$B9,'データ'!$A$127:$A$189,0)),0)</f>
        <v>5154</v>
      </c>
      <c r="T9" s="34">
        <f>IFERROR(INDEX('データ'!T$127:T$189,MATCH($C$3&amp;"|"&amp;$B9,'データ'!$A$127:$A$189,0)),0)</f>
        <v>5161</v>
      </c>
      <c r="U9" s="34">
        <f>IFERROR(INDEX('データ'!U$127:U$189,MATCH($C$3&amp;"|"&amp;$B9,'データ'!$A$127:$A$189,0)),0)</f>
        <v>4803</v>
      </c>
      <c r="V9" s="34">
        <f>IFERROR(INDEX('データ'!V$127:V$189,MATCH($C$3&amp;"|"&amp;$B9,'データ'!$A$127:$A$189,0)),0)</f>
        <v>4633</v>
      </c>
      <c r="W9" s="34">
        <f>IFERROR(INDEX('データ'!W$127:W$189,MATCH($C$3&amp;"|"&amp;$B9,'データ'!$A$127:$A$189,0)),0)</f>
        <v>4194</v>
      </c>
      <c r="X9" s="34">
        <f>IFERROR(INDEX('データ'!X$127:X$189,MATCH($C$3&amp;"|"&amp;$B9,'データ'!$A$127:$A$189,0)),0)</f>
        <v>4017</v>
      </c>
      <c r="Y9" s="34">
        <f>IFERROR(INDEX('データ'!Y$127:Y$189,MATCH($C$3&amp;"|"&amp;$B9,'データ'!$A$127:$A$189,0)),0)</f>
        <v>3842</v>
      </c>
      <c r="Z9" s="34">
        <f>IFERROR(INDEX('データ'!Z$127:Z$189,MATCH($C$3&amp;"|"&amp;$B9,'データ'!$A$127:$A$189,0)),0)</f>
        <v>3892</v>
      </c>
      <c r="AA9" s="34">
        <f>IFERROR(INDEX('データ'!AA$127:AA$189,MATCH($C$3&amp;"|"&amp;$B9,'データ'!$A$127:$A$189,0)),0)</f>
        <v>3838</v>
      </c>
      <c r="AB9" s="34">
        <f>IFERROR(INDEX('データ'!AB$127:AB$189,MATCH($C$3&amp;"|"&amp;$B9,'データ'!$A$127:$A$189,0)),0)</f>
        <v>4145</v>
      </c>
      <c r="AC9" s="34">
        <f>IFERROR(INDEX('データ'!AC$127:AC$189,MATCH($C$3&amp;"|"&amp;$B9,'データ'!$A$127:$A$189,0)),0)</f>
        <v>4477</v>
      </c>
      <c r="AD9" s="34">
        <f>IFERROR(INDEX('データ'!AD$127:AD$189,MATCH($C$3&amp;"|"&amp;$B9,'データ'!$A$127:$A$189,0)),0)</f>
        <v>4628</v>
      </c>
      <c r="AE9" s="34">
        <f>IFERROR(INDEX('データ'!AE$127:AE$189,MATCH($C$3&amp;"|"&amp;$B9,'データ'!$A$127:$A$189,0)),0)</f>
        <v>4931</v>
      </c>
      <c r="AF9" s="34">
        <f>IFERROR(INDEX('データ'!AF$127:AF$189,MATCH($C$3&amp;"|"&amp;$B9,'データ'!$A$127:$A$189,0)),0)</f>
        <v>4800</v>
      </c>
      <c r="AG9" s="34">
        <f>IFERROR(INDEX('データ'!AG$127:AG$189,MATCH($C$3&amp;"|"&amp;$B9,'データ'!$A$127:$A$189,0)),0)</f>
        <v>4737</v>
      </c>
      <c r="AH9" s="34">
        <f>IFERROR(INDEX('データ'!AH$127:AH$189,MATCH($C$3&amp;"|"&amp;$B9,'データ'!$A$127:$A$189,0)),0)</f>
        <v>4808</v>
      </c>
      <c r="AI9" s="34">
        <f>IFERROR(INDEX('データ'!AI$127:AI$189,MATCH($C$3&amp;"|"&amp;$B9,'データ'!$A$127:$A$189,0)),0)</f>
        <v>4575</v>
      </c>
      <c r="AJ9" s="34">
        <f>IFERROR(INDEX('データ'!AJ$127:AJ$189,MATCH($C$3&amp;"|"&amp;$B9,'データ'!$A$127:$A$189,0)),0)</f>
        <v>4404</v>
      </c>
      <c r="AK9" s="34">
        <f>IFERROR(INDEX('データ'!AK$127:AK$189,MATCH($C$3&amp;"|"&amp;$B9,'データ'!$A$127:$A$189,0)),0)</f>
        <v>4410</v>
      </c>
      <c r="AL9" s="34">
        <f>IFERROR(INDEX('データ'!AL$127:AL$189,MATCH($C$3&amp;"|"&amp;$B9,'データ'!$A$127:$A$189,0)),0)</f>
        <v>4405</v>
      </c>
      <c r="AM9" s="34">
        <f>IFERROR(INDEX('データ'!AM$127:AM$189,MATCH($C$3&amp;"|"&amp;$B9,'データ'!$A$127:$A$189,0)),0)</f>
        <v>4012</v>
      </c>
      <c r="AN9" s="34">
        <f>IFERROR(INDEX('データ'!AN$127:AN$189,MATCH($C$3&amp;"|"&amp;$B9,'データ'!$A$127:$A$189,0)),0)</f>
        <v>4079</v>
      </c>
      <c r="AO9" s="34">
        <f>IFERROR(INDEX('データ'!AO$127:AO$189,MATCH($C$3&amp;"|"&amp;$B9,'データ'!$A$127:$A$189,0)),0)</f>
        <v>3928</v>
      </c>
      <c r="AP9" s="34">
        <f>IFERROR(INDEX('データ'!AP$127:AP$189,MATCH($C$3&amp;"|"&amp;$B9,'データ'!$A$127:$A$189,0)),0)</f>
        <v>3550</v>
      </c>
      <c r="AQ9" s="34">
        <f>IFERROR(INDEX('データ'!AQ$127:AQ$189,MATCH($C$3&amp;"|"&amp;$B9,'データ'!$A$127:$A$189,0)),0)</f>
        <v>2689</v>
      </c>
      <c r="AR9" s="34">
        <f>IFERROR(INDEX('データ'!AR$127:AR$189,MATCH($C$3&amp;"|"&amp;$B9,'データ'!$A$127:$A$189,0)),0)</f>
        <v>1448</v>
      </c>
      <c r="AS9" s="34">
        <f>IFERROR(INDEX('データ'!AS$127:AS$189,MATCH($C$3&amp;"|"&amp;$B9,'データ'!$A$127:$A$189,0)),0)</f>
        <v>309</v>
      </c>
      <c r="AT9" s="34">
        <f>IFERROR(INDEX('データ'!AT$127:AT$189,MATCH($C$3&amp;"|"&amp;$B9,'データ'!$A$127:$A$189,0)),0)</f>
        <v>60</v>
      </c>
      <c r="AU9" s="34">
        <f>IFERROR(INDEX('データ'!AU$127:AU$189,MATCH($C$3&amp;"|"&amp;$B9,'データ'!$A$127:$A$189,0)),0)</f>
        <v>16</v>
      </c>
      <c r="AV9" s="34">
        <f>IFERROR(INDEX('データ'!AV$127:AV$189,MATCH($C$3&amp;"|"&amp;$B9,'データ'!$A$127:$A$189,0)),0)</f>
        <v>7</v>
      </c>
      <c r="AW9" s="34">
        <f>IFERROR(INDEX('データ'!AW$127:AW$189,MATCH($C$3&amp;"|"&amp;$B9,'データ'!$A$127:$A$189,0)),0)</f>
        <v>6</v>
      </c>
      <c r="AX9" s="34">
        <f>IFERROR(INDEX('データ'!AX$127:AX$189,MATCH($C$3&amp;"|"&amp;$B9,'データ'!$A$127:$A$189,0)),0)</f>
        <v>8</v>
      </c>
      <c r="AY9" s="34">
        <f>IFERROR(INDEX('データ'!AY$127:AY$189,MATCH($C$3&amp;"|"&amp;$B9,'データ'!$A$127:$A$189,0)),0)</f>
        <v>3</v>
      </c>
      <c r="AZ9" s="34">
        <f>IFERROR(INDEX('データ'!AZ$127:AZ$189,MATCH($C$3&amp;"|"&amp;$B9,'データ'!$A$127:$A$189,0)),0)</f>
        <v>0</v>
      </c>
      <c r="BA9" s="34">
        <f>IFERROR(INDEX('データ'!BA$127:BA$189,MATCH($C$3&amp;"|"&amp;$B9,'データ'!$A$127:$A$189,0)),0)</f>
        <v>0</v>
      </c>
      <c r="BB9" s="34">
        <f>IFERROR(INDEX('データ'!BB$127:BB$189,MATCH($C$3&amp;"|"&amp;$B9,'データ'!$A$127:$A$189,0)),0)</f>
        <v>0</v>
      </c>
      <c r="BC9" s="34">
        <f>IFERROR(INDEX('データ'!BC$127:BC$189,MATCH($C$3&amp;"|"&amp;$B9,'データ'!$A$127:$A$189,0)),0)</f>
        <v>0</v>
      </c>
      <c r="BD9" s="34">
        <f>IFERROR(INDEX('データ'!BD$127:BD$189,MATCH($C$3&amp;"|"&amp;$B9,'データ'!$A$127:$A$189,0)),0)</f>
        <v>0</v>
      </c>
      <c r="BE9" s="34">
        <f>IFERROR(INDEX('データ'!BE$127:BE$189,MATCH($C$3&amp;"|"&amp;$B9,'データ'!$A$127:$A$189,0)),0)</f>
        <v>0</v>
      </c>
      <c r="BF9" s="34">
        <f>IFERROR(INDEX('データ'!BF$127:BF$189,MATCH($C$3&amp;"|"&amp;$B9,'データ'!$A$127:$A$189,0)),0)</f>
        <v>0</v>
      </c>
      <c r="BG9" s="34">
        <f>IFERROR(INDEX('データ'!BG$127:BG$189,MATCH($C$3&amp;"|"&amp;$B9,'データ'!$A$127:$A$189,0)),0)</f>
        <v>0</v>
      </c>
    </row>
    <row r="10" spans="2:59" ht="22" customHeight="1">
      <c r="B10" s="33" t="s">
        <v>210</v>
      </c>
      <c r="C10" s="33"/>
      <c r="D10" s="34">
        <f>IFERROR(INDEX('データ'!D$127:D$189,MATCH($C$3&amp;"|"&amp;$B10,'データ'!$A$127:$A$189,0)),0)</f>
        <v>0</v>
      </c>
      <c r="E10" s="34">
        <f>IFERROR(INDEX('データ'!E$127:E$189,MATCH($C$3&amp;"|"&amp;$B10,'データ'!$A$127:$A$189,0)),0)</f>
        <v>0</v>
      </c>
      <c r="F10" s="34">
        <f>IFERROR(INDEX('データ'!F$127:F$189,MATCH($C$3&amp;"|"&amp;$B10,'データ'!$A$127:$A$189,0)),0)</f>
        <v>0</v>
      </c>
      <c r="G10" s="34">
        <f>IFERROR(INDEX('データ'!G$127:G$189,MATCH($C$3&amp;"|"&amp;$B10,'データ'!$A$127:$A$189,0)),0)</f>
        <v>36</v>
      </c>
      <c r="H10" s="34">
        <f>IFERROR(INDEX('データ'!H$127:H$189,MATCH($C$3&amp;"|"&amp;$B10,'データ'!$A$127:$A$189,0)),0)</f>
        <v>266</v>
      </c>
      <c r="I10" s="34">
        <f>IFERROR(INDEX('データ'!I$127:I$189,MATCH($C$3&amp;"|"&amp;$B10,'データ'!$A$127:$A$189,0)),0)</f>
        <v>1215</v>
      </c>
      <c r="J10" s="34">
        <f>IFERROR(INDEX('データ'!J$127:J$189,MATCH($C$3&amp;"|"&amp;$B10,'データ'!$A$127:$A$189,0)),0)</f>
        <v>2748</v>
      </c>
      <c r="K10" s="34">
        <f>IFERROR(INDEX('データ'!K$127:K$189,MATCH($C$3&amp;"|"&amp;$B10,'データ'!$A$127:$A$189,0)),0)</f>
        <v>3056</v>
      </c>
      <c r="L10" s="34">
        <f>IFERROR(INDEX('データ'!L$127:L$189,MATCH($C$3&amp;"|"&amp;$B10,'データ'!$A$127:$A$189,0)),0)</f>
        <v>3414</v>
      </c>
      <c r="M10" s="34">
        <f>IFERROR(INDEX('データ'!M$127:M$189,MATCH($C$3&amp;"|"&amp;$B10,'データ'!$A$127:$A$189,0)),0)</f>
        <v>4033</v>
      </c>
      <c r="N10" s="34">
        <f>IFERROR(INDEX('データ'!N$127:N$189,MATCH($C$3&amp;"|"&amp;$B10,'データ'!$A$127:$A$189,0)),0)</f>
        <v>4356</v>
      </c>
      <c r="O10" s="34">
        <f>IFERROR(INDEX('データ'!O$127:O$189,MATCH($C$3&amp;"|"&amp;$B10,'データ'!$A$127:$A$189,0)),0)</f>
        <v>4671</v>
      </c>
      <c r="P10" s="34">
        <f>IFERROR(INDEX('データ'!P$127:P$189,MATCH($C$3&amp;"|"&amp;$B10,'データ'!$A$127:$A$189,0)),0)</f>
        <v>4894</v>
      </c>
      <c r="Q10" s="34">
        <f>IFERROR(INDEX('データ'!Q$127:Q$189,MATCH($C$3&amp;"|"&amp;$B10,'データ'!$A$127:$A$189,0)),0)</f>
        <v>5092</v>
      </c>
      <c r="R10" s="34">
        <f>IFERROR(INDEX('データ'!R$127:R$189,MATCH($C$3&amp;"|"&amp;$B10,'データ'!$A$127:$A$189,0)),0)</f>
        <v>4995</v>
      </c>
      <c r="S10" s="34">
        <f>IFERROR(INDEX('データ'!S$127:S$189,MATCH($C$3&amp;"|"&amp;$B10,'データ'!$A$127:$A$189,0)),0)</f>
        <v>5089</v>
      </c>
      <c r="T10" s="34">
        <f>IFERROR(INDEX('データ'!T$127:T$189,MATCH($C$3&amp;"|"&amp;$B10,'データ'!$A$127:$A$189,0)),0)</f>
        <v>5119</v>
      </c>
      <c r="U10" s="34">
        <f>IFERROR(INDEX('データ'!U$127:U$189,MATCH($C$3&amp;"|"&amp;$B10,'データ'!$A$127:$A$189,0)),0)</f>
        <v>4853</v>
      </c>
      <c r="V10" s="34">
        <f>IFERROR(INDEX('データ'!V$127:V$189,MATCH($C$3&amp;"|"&amp;$B10,'データ'!$A$127:$A$189,0)),0)</f>
        <v>4557</v>
      </c>
      <c r="W10" s="34">
        <f>IFERROR(INDEX('データ'!W$127:W$189,MATCH($C$3&amp;"|"&amp;$B10,'データ'!$A$127:$A$189,0)),0)</f>
        <v>4132</v>
      </c>
      <c r="X10" s="34">
        <f>IFERROR(INDEX('データ'!X$127:X$189,MATCH($C$3&amp;"|"&amp;$B10,'データ'!$A$127:$A$189,0)),0)</f>
        <v>3916</v>
      </c>
      <c r="Y10" s="34">
        <f>IFERROR(INDEX('データ'!Y$127:Y$189,MATCH($C$3&amp;"|"&amp;$B10,'データ'!$A$127:$A$189,0)),0)</f>
        <v>3829</v>
      </c>
      <c r="Z10" s="34">
        <f>IFERROR(INDEX('データ'!Z$127:Z$189,MATCH($C$3&amp;"|"&amp;$B10,'データ'!$A$127:$A$189,0)),0)</f>
        <v>3775</v>
      </c>
      <c r="AA10" s="34">
        <f>IFERROR(INDEX('データ'!AA$127:AA$189,MATCH($C$3&amp;"|"&amp;$B10,'データ'!$A$127:$A$189,0)),0)</f>
        <v>3886</v>
      </c>
      <c r="AB10" s="34">
        <f>IFERROR(INDEX('データ'!AB$127:AB$189,MATCH($C$3&amp;"|"&amp;$B10,'データ'!$A$127:$A$189,0)),0)</f>
        <v>4207</v>
      </c>
      <c r="AC10" s="34">
        <f>IFERROR(INDEX('データ'!AC$127:AC$189,MATCH($C$3&amp;"|"&amp;$B10,'データ'!$A$127:$A$189,0)),0)</f>
        <v>4642</v>
      </c>
      <c r="AD10" s="34">
        <f>IFERROR(INDEX('データ'!AD$127:AD$189,MATCH($C$3&amp;"|"&amp;$B10,'データ'!$A$127:$A$189,0)),0)</f>
        <v>4672</v>
      </c>
      <c r="AE10" s="34">
        <f>IFERROR(INDEX('データ'!AE$127:AE$189,MATCH($C$3&amp;"|"&amp;$B10,'データ'!$A$127:$A$189,0)),0)</f>
        <v>4834</v>
      </c>
      <c r="AF10" s="34">
        <f>IFERROR(INDEX('データ'!AF$127:AF$189,MATCH($C$3&amp;"|"&amp;$B10,'データ'!$A$127:$A$189,0)),0)</f>
        <v>4917</v>
      </c>
      <c r="AG10" s="34">
        <f>IFERROR(INDEX('データ'!AG$127:AG$189,MATCH($C$3&amp;"|"&amp;$B10,'データ'!$A$127:$A$189,0)),0)</f>
        <v>4893</v>
      </c>
      <c r="AH10" s="34">
        <f>IFERROR(INDEX('データ'!AH$127:AH$189,MATCH($C$3&amp;"|"&amp;$B10,'データ'!$A$127:$A$189,0)),0)</f>
        <v>4921</v>
      </c>
      <c r="AI10" s="34">
        <f>IFERROR(INDEX('データ'!AI$127:AI$189,MATCH($C$3&amp;"|"&amp;$B10,'データ'!$A$127:$A$189,0)),0)</f>
        <v>4766</v>
      </c>
      <c r="AJ10" s="34">
        <f>IFERROR(INDEX('データ'!AJ$127:AJ$189,MATCH($C$3&amp;"|"&amp;$B10,'データ'!$A$127:$A$189,0)),0)</f>
        <v>4698</v>
      </c>
      <c r="AK10" s="34">
        <f>IFERROR(INDEX('データ'!AK$127:AK$189,MATCH($C$3&amp;"|"&amp;$B10,'データ'!$A$127:$A$189,0)),0)</f>
        <v>4598</v>
      </c>
      <c r="AL10" s="34">
        <f>IFERROR(INDEX('データ'!AL$127:AL$189,MATCH($C$3&amp;"|"&amp;$B10,'データ'!$A$127:$A$189,0)),0)</f>
        <v>4462</v>
      </c>
      <c r="AM10" s="34">
        <f>IFERROR(INDEX('データ'!AM$127:AM$189,MATCH($C$3&amp;"|"&amp;$B10,'データ'!$A$127:$A$189,0)),0)</f>
        <v>4305</v>
      </c>
      <c r="AN10" s="34">
        <f>IFERROR(INDEX('データ'!AN$127:AN$189,MATCH($C$3&amp;"|"&amp;$B10,'データ'!$A$127:$A$189,0)),0)</f>
        <v>4079</v>
      </c>
      <c r="AO10" s="34">
        <f>IFERROR(INDEX('データ'!AO$127:AO$189,MATCH($C$3&amp;"|"&amp;$B10,'データ'!$A$127:$A$189,0)),0)</f>
        <v>4044</v>
      </c>
      <c r="AP10" s="34">
        <f>IFERROR(INDEX('データ'!AP$127:AP$189,MATCH($C$3&amp;"|"&amp;$B10,'データ'!$A$127:$A$189,0)),0)</f>
        <v>3685</v>
      </c>
      <c r="AQ10" s="34">
        <f>IFERROR(INDEX('データ'!AQ$127:AQ$189,MATCH($C$3&amp;"|"&amp;$B10,'データ'!$A$127:$A$189,0)),0)</f>
        <v>2755</v>
      </c>
      <c r="AR10" s="34">
        <f>IFERROR(INDEX('データ'!AR$127:AR$189,MATCH($C$3&amp;"|"&amp;$B10,'データ'!$A$127:$A$189,0)),0)</f>
        <v>1481</v>
      </c>
      <c r="AS10" s="34">
        <f>IFERROR(INDEX('データ'!AS$127:AS$189,MATCH($C$3&amp;"|"&amp;$B10,'データ'!$A$127:$A$189,0)),0)</f>
        <v>364</v>
      </c>
      <c r="AT10" s="34">
        <f>IFERROR(INDEX('データ'!AT$127:AT$189,MATCH($C$3&amp;"|"&amp;$B10,'データ'!$A$127:$A$189,0)),0)</f>
        <v>92</v>
      </c>
      <c r="AU10" s="34">
        <f>IFERROR(INDEX('データ'!AU$127:AU$189,MATCH($C$3&amp;"|"&amp;$B10,'データ'!$A$127:$A$189,0)),0)</f>
        <v>66</v>
      </c>
      <c r="AV10" s="34">
        <f>IFERROR(INDEX('データ'!AV$127:AV$189,MATCH($C$3&amp;"|"&amp;$B10,'データ'!$A$127:$A$189,0)),0)</f>
        <v>71</v>
      </c>
      <c r="AW10" s="34">
        <f>IFERROR(INDEX('データ'!AW$127:AW$189,MATCH($C$3&amp;"|"&amp;$B10,'データ'!$A$127:$A$189,0)),0)</f>
        <v>74</v>
      </c>
      <c r="AX10" s="34">
        <f>IFERROR(INDEX('データ'!AX$127:AX$189,MATCH($C$3&amp;"|"&amp;$B10,'データ'!$A$127:$A$189,0)),0)</f>
        <v>72</v>
      </c>
      <c r="AY10" s="34">
        <f>IFERROR(INDEX('データ'!AY$127:AY$189,MATCH($C$3&amp;"|"&amp;$B10,'データ'!$A$127:$A$189,0)),0)</f>
        <v>57</v>
      </c>
      <c r="AZ10" s="34">
        <f>IFERROR(INDEX('データ'!AZ$127:AZ$189,MATCH($C$3&amp;"|"&amp;$B10,'データ'!$A$127:$A$189,0)),0)</f>
        <v>63</v>
      </c>
      <c r="BA10" s="34">
        <f>IFERROR(INDEX('データ'!BA$127:BA$189,MATCH($C$3&amp;"|"&amp;$B10,'データ'!$A$127:$A$189,0)),0)</f>
        <v>37</v>
      </c>
      <c r="BB10" s="34">
        <f>IFERROR(INDEX('データ'!BB$127:BB$189,MATCH($C$3&amp;"|"&amp;$B10,'データ'!$A$127:$A$189,0)),0)</f>
        <v>14</v>
      </c>
      <c r="BC10" s="34">
        <f>IFERROR(INDEX('データ'!BC$127:BC$189,MATCH($C$3&amp;"|"&amp;$B10,'データ'!$A$127:$A$189,0)),0)</f>
        <v>4</v>
      </c>
      <c r="BD10" s="34">
        <f>IFERROR(INDEX('データ'!BD$127:BD$189,MATCH($C$3&amp;"|"&amp;$B10,'データ'!$A$127:$A$189,0)),0)</f>
        <v>1</v>
      </c>
      <c r="BE10" s="34">
        <f>IFERROR(INDEX('データ'!BE$127:BE$189,MATCH($C$3&amp;"|"&amp;$B10,'データ'!$A$127:$A$189,0)),0)</f>
        <v>0</v>
      </c>
      <c r="BF10" s="34">
        <f>IFERROR(INDEX('データ'!BF$127:BF$189,MATCH($C$3&amp;"|"&amp;$B10,'データ'!$A$127:$A$189,0)),0)</f>
        <v>0</v>
      </c>
      <c r="BG10" s="34">
        <f>IFERROR(INDEX('データ'!BG$127:BG$189,MATCH($C$3&amp;"|"&amp;$B10,'データ'!$A$127:$A$189,0)),0)</f>
        <v>0</v>
      </c>
    </row>
    <row r="11" spans="2:59" ht="22" customHeight="1">
      <c r="B11" s="33" t="s">
        <v>212</v>
      </c>
      <c r="C11" s="33"/>
      <c r="D11" s="34">
        <f>IFERROR(INDEX('データ'!D$127:D$189,MATCH($C$3&amp;"|"&amp;$B11,'データ'!$A$127:$A$189,0)),0)</f>
        <v>0</v>
      </c>
      <c r="E11" s="34">
        <f>IFERROR(INDEX('データ'!E$127:E$189,MATCH($C$3&amp;"|"&amp;$B11,'データ'!$A$127:$A$189,0)),0)</f>
        <v>0</v>
      </c>
      <c r="F11" s="34">
        <f>IFERROR(INDEX('データ'!F$127:F$189,MATCH($C$3&amp;"|"&amp;$B11,'データ'!$A$127:$A$189,0)),0)</f>
        <v>1</v>
      </c>
      <c r="G11" s="34">
        <f>IFERROR(INDEX('データ'!G$127:G$189,MATCH($C$3&amp;"|"&amp;$B11,'データ'!$A$127:$A$189,0)),0)</f>
        <v>37</v>
      </c>
      <c r="H11" s="34">
        <f>IFERROR(INDEX('データ'!H$127:H$189,MATCH($C$3&amp;"|"&amp;$B11,'データ'!$A$127:$A$189,0)),0)</f>
        <v>315</v>
      </c>
      <c r="I11" s="34">
        <f>IFERROR(INDEX('データ'!I$127:I$189,MATCH($C$3&amp;"|"&amp;$B11,'データ'!$A$127:$A$189,0)),0)</f>
        <v>1264</v>
      </c>
      <c r="J11" s="34">
        <f>IFERROR(INDEX('データ'!J$127:J$189,MATCH($C$3&amp;"|"&amp;$B11,'データ'!$A$127:$A$189,0)),0)</f>
        <v>2932</v>
      </c>
      <c r="K11" s="34">
        <f>IFERROR(INDEX('データ'!K$127:K$189,MATCH($C$3&amp;"|"&amp;$B11,'データ'!$A$127:$A$189,0)),0)</f>
        <v>3282</v>
      </c>
      <c r="L11" s="34">
        <f>IFERROR(INDEX('データ'!L$127:L$189,MATCH($C$3&amp;"|"&amp;$B11,'データ'!$A$127:$A$189,0)),0)</f>
        <v>3617</v>
      </c>
      <c r="M11" s="34">
        <f>IFERROR(INDEX('データ'!M$127:M$189,MATCH($C$3&amp;"|"&amp;$B11,'データ'!$A$127:$A$189,0)),0)</f>
        <v>4162</v>
      </c>
      <c r="N11" s="34">
        <f>IFERROR(INDEX('データ'!N$127:N$189,MATCH($C$3&amp;"|"&amp;$B11,'データ'!$A$127:$A$189,0)),0)</f>
        <v>4403</v>
      </c>
      <c r="O11" s="34">
        <f>IFERROR(INDEX('データ'!O$127:O$189,MATCH($C$3&amp;"|"&amp;$B11,'データ'!$A$127:$A$189,0)),0)</f>
        <v>4515</v>
      </c>
      <c r="P11" s="34">
        <f>IFERROR(INDEX('データ'!P$127:P$189,MATCH($C$3&amp;"|"&amp;$B11,'データ'!$A$127:$A$189,0)),0)</f>
        <v>4835</v>
      </c>
      <c r="Q11" s="34">
        <f>IFERROR(INDEX('データ'!Q$127:Q$189,MATCH($C$3&amp;"|"&amp;$B11,'データ'!$A$127:$A$189,0)),0)</f>
        <v>5048</v>
      </c>
      <c r="R11" s="34">
        <f>IFERROR(INDEX('データ'!R$127:R$189,MATCH($C$3&amp;"|"&amp;$B11,'データ'!$A$127:$A$189,0)),0)</f>
        <v>5137</v>
      </c>
      <c r="S11" s="34">
        <f>IFERROR(INDEX('データ'!S$127:S$189,MATCH($C$3&amp;"|"&amp;$B11,'データ'!$A$127:$A$189,0)),0)</f>
        <v>5207</v>
      </c>
      <c r="T11" s="34">
        <f>IFERROR(INDEX('データ'!T$127:T$189,MATCH($C$3&amp;"|"&amp;$B11,'データ'!$A$127:$A$189,0)),0)</f>
        <v>4933</v>
      </c>
      <c r="U11" s="34">
        <f>IFERROR(INDEX('データ'!U$127:U$189,MATCH($C$3&amp;"|"&amp;$B11,'データ'!$A$127:$A$189,0)),0)</f>
        <v>4811</v>
      </c>
      <c r="V11" s="34">
        <f>IFERROR(INDEX('データ'!V$127:V$189,MATCH($C$3&amp;"|"&amp;$B11,'データ'!$A$127:$A$189,0)),0)</f>
        <v>4546</v>
      </c>
      <c r="W11" s="34">
        <f>IFERROR(INDEX('データ'!W$127:W$189,MATCH($C$3&amp;"|"&amp;$B11,'データ'!$A$127:$A$189,0)),0)</f>
        <v>4233</v>
      </c>
      <c r="X11" s="34">
        <f>IFERROR(INDEX('データ'!X$127:X$189,MATCH($C$3&amp;"|"&amp;$B11,'データ'!$A$127:$A$189,0)),0)</f>
        <v>3944</v>
      </c>
      <c r="Y11" s="34">
        <f>IFERROR(INDEX('データ'!Y$127:Y$189,MATCH($C$3&amp;"|"&amp;$B11,'データ'!$A$127:$A$189,0)),0)</f>
        <v>3891</v>
      </c>
      <c r="Z11" s="34">
        <f>IFERROR(INDEX('データ'!Z$127:Z$189,MATCH($C$3&amp;"|"&amp;$B11,'データ'!$A$127:$A$189,0)),0)</f>
        <v>3844</v>
      </c>
      <c r="AA11" s="34">
        <f>IFERROR(INDEX('データ'!AA$127:AA$189,MATCH($C$3&amp;"|"&amp;$B11,'データ'!$A$127:$A$189,0)),0)</f>
        <v>3937</v>
      </c>
      <c r="AB11" s="34">
        <f>IFERROR(INDEX('データ'!AB$127:AB$189,MATCH($C$3&amp;"|"&amp;$B11,'データ'!$A$127:$A$189,0)),0)</f>
        <v>4286</v>
      </c>
      <c r="AC11" s="34">
        <f>IFERROR(INDEX('データ'!AC$127:AC$189,MATCH($C$3&amp;"|"&amp;$B11,'データ'!$A$127:$A$189,0)),0)</f>
        <v>4619</v>
      </c>
      <c r="AD11" s="34">
        <f>IFERROR(INDEX('データ'!AD$127:AD$189,MATCH($C$3&amp;"|"&amp;$B11,'データ'!$A$127:$A$189,0)),0)</f>
        <v>4832</v>
      </c>
      <c r="AE11" s="34">
        <f>IFERROR(INDEX('データ'!AE$127:AE$189,MATCH($C$3&amp;"|"&amp;$B11,'データ'!$A$127:$A$189,0)),0)</f>
        <v>4901</v>
      </c>
      <c r="AF11" s="34">
        <f>IFERROR(INDEX('データ'!AF$127:AF$189,MATCH($C$3&amp;"|"&amp;$B11,'データ'!$A$127:$A$189,0)),0)</f>
        <v>4850</v>
      </c>
      <c r="AG11" s="34">
        <f>IFERROR(INDEX('データ'!AG$127:AG$189,MATCH($C$3&amp;"|"&amp;$B11,'データ'!$A$127:$A$189,0)),0)</f>
        <v>5012</v>
      </c>
      <c r="AH11" s="34">
        <f>IFERROR(INDEX('データ'!AH$127:AH$189,MATCH($C$3&amp;"|"&amp;$B11,'データ'!$A$127:$A$189,0)),0)</f>
        <v>4697</v>
      </c>
      <c r="AI11" s="34">
        <f>IFERROR(INDEX('データ'!AI$127:AI$189,MATCH($C$3&amp;"|"&amp;$B11,'データ'!$A$127:$A$189,0)),0)</f>
        <v>4696</v>
      </c>
      <c r="AJ11" s="34">
        <f>IFERROR(INDEX('データ'!AJ$127:AJ$189,MATCH($C$3&amp;"|"&amp;$B11,'データ'!$A$127:$A$189,0)),0)</f>
        <v>4567</v>
      </c>
      <c r="AK11" s="34">
        <f>IFERROR(INDEX('データ'!AK$127:AK$189,MATCH($C$3&amp;"|"&amp;$B11,'データ'!$A$127:$A$189,0)),0)</f>
        <v>4410</v>
      </c>
      <c r="AL11" s="34">
        <f>IFERROR(INDEX('データ'!AL$127:AL$189,MATCH($C$3&amp;"|"&amp;$B11,'データ'!$A$127:$A$189,0)),0)</f>
        <v>4580</v>
      </c>
      <c r="AM11" s="34">
        <f>IFERROR(INDEX('データ'!AM$127:AM$189,MATCH($C$3&amp;"|"&amp;$B11,'データ'!$A$127:$A$189,0)),0)</f>
        <v>4379</v>
      </c>
      <c r="AN11" s="34">
        <f>IFERROR(INDEX('データ'!AN$127:AN$189,MATCH($C$3&amp;"|"&amp;$B11,'データ'!$A$127:$A$189,0)),0)</f>
        <v>4453</v>
      </c>
      <c r="AO11" s="34">
        <f>IFERROR(INDEX('データ'!AO$127:AO$189,MATCH($C$3&amp;"|"&amp;$B11,'データ'!$A$127:$A$189,0)),0)</f>
        <v>4384</v>
      </c>
      <c r="AP11" s="34">
        <f>IFERROR(INDEX('データ'!AP$127:AP$189,MATCH($C$3&amp;"|"&amp;$B11,'データ'!$A$127:$A$189,0)),0)</f>
        <v>4053</v>
      </c>
      <c r="AQ11" s="34">
        <f>IFERROR(INDEX('データ'!AQ$127:AQ$189,MATCH($C$3&amp;"|"&amp;$B11,'データ'!$A$127:$A$189,0)),0)</f>
        <v>3100</v>
      </c>
      <c r="AR11" s="34">
        <f>IFERROR(INDEX('データ'!AR$127:AR$189,MATCH($C$3&amp;"|"&amp;$B11,'データ'!$A$127:$A$189,0)),0)</f>
        <v>1624</v>
      </c>
      <c r="AS11" s="34">
        <f>IFERROR(INDEX('データ'!AS$127:AS$189,MATCH($C$3&amp;"|"&amp;$B11,'データ'!$A$127:$A$189,0)),0)</f>
        <v>439</v>
      </c>
      <c r="AT11" s="34">
        <f>IFERROR(INDEX('データ'!AT$127:AT$189,MATCH($C$3&amp;"|"&amp;$B11,'データ'!$A$127:$A$189,0)),0)</f>
        <v>101</v>
      </c>
      <c r="AU11" s="34">
        <f>IFERROR(INDEX('データ'!AU$127:AU$189,MATCH($C$3&amp;"|"&amp;$B11,'データ'!$A$127:$A$189,0)),0)</f>
        <v>30</v>
      </c>
      <c r="AV11" s="34">
        <f>IFERROR(INDEX('データ'!AV$127:AV$189,MATCH($C$3&amp;"|"&amp;$B11,'データ'!$A$127:$A$189,0)),0)</f>
        <v>13</v>
      </c>
      <c r="AW11" s="34">
        <f>IFERROR(INDEX('データ'!AW$127:AW$189,MATCH($C$3&amp;"|"&amp;$B11,'データ'!$A$127:$A$189,0)),0)</f>
        <v>12</v>
      </c>
      <c r="AX11" s="34">
        <f>IFERROR(INDEX('データ'!AX$127:AX$189,MATCH($C$3&amp;"|"&amp;$B11,'データ'!$A$127:$A$189,0)),0)</f>
        <v>8</v>
      </c>
      <c r="AY11" s="34">
        <f>IFERROR(INDEX('データ'!AY$127:AY$189,MATCH($C$3&amp;"|"&amp;$B11,'データ'!$A$127:$A$189,0)),0)</f>
        <v>6</v>
      </c>
      <c r="AZ11" s="34">
        <f>IFERROR(INDEX('データ'!AZ$127:AZ$189,MATCH($C$3&amp;"|"&amp;$B11,'データ'!$A$127:$A$189,0)),0)</f>
        <v>0</v>
      </c>
      <c r="BA11" s="34">
        <f>IFERROR(INDEX('データ'!BA$127:BA$189,MATCH($C$3&amp;"|"&amp;$B11,'データ'!$A$127:$A$189,0)),0)</f>
        <v>0</v>
      </c>
      <c r="BB11" s="34">
        <f>IFERROR(INDEX('データ'!BB$127:BB$189,MATCH($C$3&amp;"|"&amp;$B11,'データ'!$A$127:$A$189,0)),0)</f>
        <v>0</v>
      </c>
      <c r="BC11" s="34">
        <f>IFERROR(INDEX('データ'!BC$127:BC$189,MATCH($C$3&amp;"|"&amp;$B11,'データ'!$A$127:$A$189,0)),0)</f>
        <v>0</v>
      </c>
      <c r="BD11" s="34">
        <f>IFERROR(INDEX('データ'!BD$127:BD$189,MATCH($C$3&amp;"|"&amp;$B11,'データ'!$A$127:$A$189,0)),0)</f>
        <v>0</v>
      </c>
      <c r="BE11" s="34">
        <f>IFERROR(INDEX('データ'!BE$127:BE$189,MATCH($C$3&amp;"|"&amp;$B11,'データ'!$A$127:$A$189,0)),0)</f>
        <v>0</v>
      </c>
      <c r="BF11" s="34">
        <f>IFERROR(INDEX('データ'!BF$127:BF$189,MATCH($C$3&amp;"|"&amp;$B11,'データ'!$A$127:$A$189,0)),0)</f>
        <v>0</v>
      </c>
      <c r="BG11" s="34">
        <f>IFERROR(INDEX('データ'!BG$127:BG$189,MATCH($C$3&amp;"|"&amp;$B11,'データ'!$A$127:$A$189,0)),0)</f>
        <v>0</v>
      </c>
    </row>
    <row r="12" spans="2:59" ht="22" customHeight="1">
      <c r="B12" s="33" t="s">
        <v>214</v>
      </c>
      <c r="C12" s="33"/>
      <c r="D12" s="34">
        <f>IFERROR(INDEX('データ'!D$127:D$189,MATCH($C$3&amp;"|"&amp;$B12,'データ'!$A$127:$A$189,0)),0)</f>
        <v>0</v>
      </c>
      <c r="E12" s="34">
        <f>IFERROR(INDEX('データ'!E$127:E$189,MATCH($C$3&amp;"|"&amp;$B12,'データ'!$A$127:$A$189,0)),0)</f>
        <v>0</v>
      </c>
      <c r="F12" s="34">
        <f>IFERROR(INDEX('データ'!F$127:F$189,MATCH($C$3&amp;"|"&amp;$B12,'データ'!$A$127:$A$189,0)),0)</f>
        <v>0</v>
      </c>
      <c r="G12" s="34">
        <f>IFERROR(INDEX('データ'!G$127:G$189,MATCH($C$3&amp;"|"&amp;$B12,'データ'!$A$127:$A$189,0)),0)</f>
        <v>0</v>
      </c>
      <c r="H12" s="34">
        <f>IFERROR(INDEX('データ'!H$127:H$189,MATCH($C$3&amp;"|"&amp;$B12,'データ'!$A$127:$A$189,0)),0)</f>
        <v>1</v>
      </c>
      <c r="I12" s="34">
        <f>IFERROR(INDEX('データ'!I$127:I$189,MATCH($C$3&amp;"|"&amp;$B12,'データ'!$A$127:$A$189,0)),0)</f>
        <v>10</v>
      </c>
      <c r="J12" s="34">
        <f>IFERROR(INDEX('データ'!J$127:J$189,MATCH($C$3&amp;"|"&amp;$B12,'データ'!$A$127:$A$189,0)),0)</f>
        <v>19</v>
      </c>
      <c r="K12" s="34">
        <f>IFERROR(INDEX('データ'!K$127:K$189,MATCH($C$3&amp;"|"&amp;$B12,'データ'!$A$127:$A$189,0)),0)</f>
        <v>11</v>
      </c>
      <c r="L12" s="34">
        <f>IFERROR(INDEX('データ'!L$127:L$189,MATCH($C$3&amp;"|"&amp;$B12,'データ'!$A$127:$A$189,0)),0)</f>
        <v>10</v>
      </c>
      <c r="M12" s="34">
        <f>IFERROR(INDEX('データ'!M$127:M$189,MATCH($C$3&amp;"|"&amp;$B12,'データ'!$A$127:$A$189,0)),0)</f>
        <v>12</v>
      </c>
      <c r="N12" s="34">
        <f>IFERROR(INDEX('データ'!N$127:N$189,MATCH($C$3&amp;"|"&amp;$B12,'データ'!$A$127:$A$189,0)),0)</f>
        <v>14</v>
      </c>
      <c r="O12" s="34">
        <f>IFERROR(INDEX('データ'!O$127:O$189,MATCH($C$3&amp;"|"&amp;$B12,'データ'!$A$127:$A$189,0)),0)</f>
        <v>10</v>
      </c>
      <c r="P12" s="34">
        <f>IFERROR(INDEX('データ'!P$127:P$189,MATCH($C$3&amp;"|"&amp;$B12,'データ'!$A$127:$A$189,0)),0)</f>
        <v>9</v>
      </c>
      <c r="Q12" s="34">
        <f>IFERROR(INDEX('データ'!Q$127:Q$189,MATCH($C$3&amp;"|"&amp;$B12,'データ'!$A$127:$A$189,0)),0)</f>
        <v>8</v>
      </c>
      <c r="R12" s="34">
        <f>IFERROR(INDEX('データ'!R$127:R$189,MATCH($C$3&amp;"|"&amp;$B12,'データ'!$A$127:$A$189,0)),0)</f>
        <v>6</v>
      </c>
      <c r="S12" s="34">
        <f>IFERROR(INDEX('データ'!S$127:S$189,MATCH($C$3&amp;"|"&amp;$B12,'データ'!$A$127:$A$189,0)),0)</f>
        <v>11</v>
      </c>
      <c r="T12" s="34">
        <f>IFERROR(INDEX('データ'!T$127:T$189,MATCH($C$3&amp;"|"&amp;$B12,'データ'!$A$127:$A$189,0)),0)</f>
        <v>8</v>
      </c>
      <c r="U12" s="34">
        <f>IFERROR(INDEX('データ'!U$127:U$189,MATCH($C$3&amp;"|"&amp;$B12,'データ'!$A$127:$A$189,0)),0)</f>
        <v>12</v>
      </c>
      <c r="V12" s="34">
        <f>IFERROR(INDEX('データ'!V$127:V$189,MATCH($C$3&amp;"|"&amp;$B12,'データ'!$A$127:$A$189,0)),0)</f>
        <v>6</v>
      </c>
      <c r="W12" s="34">
        <f>IFERROR(INDEX('データ'!W$127:W$189,MATCH($C$3&amp;"|"&amp;$B12,'データ'!$A$127:$A$189,0)),0)</f>
        <v>13</v>
      </c>
      <c r="X12" s="34">
        <f>IFERROR(INDEX('データ'!X$127:X$189,MATCH($C$3&amp;"|"&amp;$B12,'データ'!$A$127:$A$189,0)),0)</f>
        <v>1</v>
      </c>
      <c r="Y12" s="34">
        <f>IFERROR(INDEX('データ'!Y$127:Y$189,MATCH($C$3&amp;"|"&amp;$B12,'データ'!$A$127:$A$189,0)),0)</f>
        <v>0</v>
      </c>
      <c r="Z12" s="34">
        <f>IFERROR(INDEX('データ'!Z$127:Z$189,MATCH($C$3&amp;"|"&amp;$B12,'データ'!$A$127:$A$189,0)),0)</f>
        <v>0</v>
      </c>
      <c r="AA12" s="34">
        <f>IFERROR(INDEX('データ'!AA$127:AA$189,MATCH($C$3&amp;"|"&amp;$B12,'データ'!$A$127:$A$189,0)),0)</f>
        <v>0</v>
      </c>
      <c r="AB12" s="34">
        <f>IFERROR(INDEX('データ'!AB$127:AB$189,MATCH($C$3&amp;"|"&amp;$B12,'データ'!$A$127:$A$189,0)),0)</f>
        <v>0</v>
      </c>
      <c r="AC12" s="34">
        <f>IFERROR(INDEX('データ'!AC$127:AC$189,MATCH($C$3&amp;"|"&amp;$B12,'データ'!$A$127:$A$189,0)),0)</f>
        <v>0</v>
      </c>
      <c r="AD12" s="34">
        <f>IFERROR(INDEX('データ'!AD$127:AD$189,MATCH($C$3&amp;"|"&amp;$B12,'データ'!$A$127:$A$189,0)),0)</f>
        <v>0</v>
      </c>
      <c r="AE12" s="34">
        <f>IFERROR(INDEX('データ'!AE$127:AE$189,MATCH($C$3&amp;"|"&amp;$B12,'データ'!$A$127:$A$189,0)),0)</f>
        <v>0</v>
      </c>
      <c r="AF12" s="34">
        <f>IFERROR(INDEX('データ'!AF$127:AF$189,MATCH($C$3&amp;"|"&amp;$B12,'データ'!$A$127:$A$189,0)),0)</f>
        <v>0</v>
      </c>
      <c r="AG12" s="34">
        <f>IFERROR(INDEX('データ'!AG$127:AG$189,MATCH($C$3&amp;"|"&amp;$B12,'データ'!$A$127:$A$189,0)),0)</f>
        <v>0</v>
      </c>
      <c r="AH12" s="34">
        <f>IFERROR(INDEX('データ'!AH$127:AH$189,MATCH($C$3&amp;"|"&amp;$B12,'データ'!$A$127:$A$189,0)),0)</f>
        <v>0</v>
      </c>
      <c r="AI12" s="34">
        <f>IFERROR(INDEX('データ'!AI$127:AI$189,MATCH($C$3&amp;"|"&amp;$B12,'データ'!$A$127:$A$189,0)),0)</f>
        <v>0</v>
      </c>
      <c r="AJ12" s="34">
        <f>IFERROR(INDEX('データ'!AJ$127:AJ$189,MATCH($C$3&amp;"|"&amp;$B12,'データ'!$A$127:$A$189,0)),0)</f>
        <v>0</v>
      </c>
      <c r="AK12" s="34">
        <f>IFERROR(INDEX('データ'!AK$127:AK$189,MATCH($C$3&amp;"|"&amp;$B12,'データ'!$A$127:$A$189,0)),0)</f>
        <v>0</v>
      </c>
      <c r="AL12" s="34">
        <f>IFERROR(INDEX('データ'!AL$127:AL$189,MATCH($C$3&amp;"|"&amp;$B12,'データ'!$A$127:$A$189,0)),0)</f>
        <v>3</v>
      </c>
      <c r="AM12" s="34">
        <f>IFERROR(INDEX('データ'!AM$127:AM$189,MATCH($C$3&amp;"|"&amp;$B12,'データ'!$A$127:$A$189,0)),0)</f>
        <v>3</v>
      </c>
      <c r="AN12" s="34">
        <f>IFERROR(INDEX('データ'!AN$127:AN$189,MATCH($C$3&amp;"|"&amp;$B12,'データ'!$A$127:$A$189,0)),0)</f>
        <v>31</v>
      </c>
      <c r="AO12" s="34">
        <f>IFERROR(INDEX('データ'!AO$127:AO$189,MATCH($C$3&amp;"|"&amp;$B12,'データ'!$A$127:$A$189,0)),0)</f>
        <v>8</v>
      </c>
      <c r="AP12" s="34">
        <f>IFERROR(INDEX('データ'!AP$127:AP$189,MATCH($C$3&amp;"|"&amp;$B12,'データ'!$A$127:$A$189,0)),0)</f>
        <v>10</v>
      </c>
      <c r="AQ12" s="34">
        <f>IFERROR(INDEX('データ'!AQ$127:AQ$189,MATCH($C$3&amp;"|"&amp;$B12,'データ'!$A$127:$A$189,0)),0)</f>
        <v>19</v>
      </c>
      <c r="AR12" s="34">
        <f>IFERROR(INDEX('データ'!AR$127:AR$189,MATCH($C$3&amp;"|"&amp;$B12,'データ'!$A$127:$A$189,0)),0)</f>
        <v>40</v>
      </c>
      <c r="AS12" s="34">
        <f>IFERROR(INDEX('データ'!AS$127:AS$189,MATCH($C$3&amp;"|"&amp;$B12,'データ'!$A$127:$A$189,0)),0)</f>
        <v>10</v>
      </c>
      <c r="AT12" s="34">
        <f>IFERROR(INDEX('データ'!AT$127:AT$189,MATCH($C$3&amp;"|"&amp;$B12,'データ'!$A$127:$A$189,0)),0)</f>
        <v>4</v>
      </c>
      <c r="AU12" s="34">
        <f>IFERROR(INDEX('データ'!AU$127:AU$189,MATCH($C$3&amp;"|"&amp;$B12,'データ'!$A$127:$A$189,0)),0)</f>
        <v>18</v>
      </c>
      <c r="AV12" s="34">
        <f>IFERROR(INDEX('データ'!AV$127:AV$189,MATCH($C$3&amp;"|"&amp;$B12,'データ'!$A$127:$A$189,0)),0)</f>
        <v>10</v>
      </c>
      <c r="AW12" s="34">
        <f>IFERROR(INDEX('データ'!AW$127:AW$189,MATCH($C$3&amp;"|"&amp;$B12,'データ'!$A$127:$A$189,0)),0)</f>
        <v>0</v>
      </c>
      <c r="AX12" s="34">
        <f>IFERROR(INDEX('データ'!AX$127:AX$189,MATCH($C$3&amp;"|"&amp;$B12,'データ'!$A$127:$A$189,0)),0)</f>
        <v>0</v>
      </c>
      <c r="AY12" s="34">
        <f>IFERROR(INDEX('データ'!AY$127:AY$189,MATCH($C$3&amp;"|"&amp;$B12,'データ'!$A$127:$A$189,0)),0)</f>
        <v>0</v>
      </c>
      <c r="AZ12" s="34">
        <f>IFERROR(INDEX('データ'!AZ$127:AZ$189,MATCH($C$3&amp;"|"&amp;$B12,'データ'!$A$127:$A$189,0)),0)</f>
        <v>0</v>
      </c>
      <c r="BA12" s="34">
        <f>IFERROR(INDEX('データ'!BA$127:BA$189,MATCH($C$3&amp;"|"&amp;$B12,'データ'!$A$127:$A$189,0)),0)</f>
        <v>0</v>
      </c>
      <c r="BB12" s="34">
        <f>IFERROR(INDEX('データ'!BB$127:BB$189,MATCH($C$3&amp;"|"&amp;$B12,'データ'!$A$127:$A$189,0)),0)</f>
        <v>0</v>
      </c>
      <c r="BC12" s="34">
        <f>IFERROR(INDEX('データ'!BC$127:BC$189,MATCH($C$3&amp;"|"&amp;$B12,'データ'!$A$127:$A$189,0)),0)</f>
        <v>0</v>
      </c>
      <c r="BD12" s="34">
        <f>IFERROR(INDEX('データ'!BD$127:BD$189,MATCH($C$3&amp;"|"&amp;$B12,'データ'!$A$127:$A$189,0)),0)</f>
        <v>0</v>
      </c>
      <c r="BE12" s="34">
        <f>IFERROR(INDEX('データ'!BE$127:BE$189,MATCH($C$3&amp;"|"&amp;$B12,'データ'!$A$127:$A$189,0)),0)</f>
        <v>0</v>
      </c>
      <c r="BF12" s="34">
        <f>IFERROR(INDEX('データ'!BF$127:BF$189,MATCH($C$3&amp;"|"&amp;$B12,'データ'!$A$127:$A$189,0)),0)</f>
        <v>0</v>
      </c>
      <c r="BG12" s="34">
        <f>IFERROR(INDEX('データ'!BG$127:BG$189,MATCH($C$3&amp;"|"&amp;$B12,'データ'!$A$127:$A$189,0)),0)</f>
        <v>0</v>
      </c>
    </row>
    <row r="13" spans="2:59" ht="22" customHeight="1">
      <c r="B13" s="33" t="s">
        <v>216</v>
      </c>
      <c r="C13" s="33"/>
      <c r="D13" s="34">
        <f>IFERROR(INDEX('データ'!D$127:D$189,MATCH($C$3&amp;"|"&amp;$B13,'データ'!$A$127:$A$189,0)),0)</f>
        <v>0</v>
      </c>
      <c r="E13" s="34">
        <f>IFERROR(INDEX('データ'!E$127:E$189,MATCH($C$3&amp;"|"&amp;$B13,'データ'!$A$127:$A$189,0)),0)</f>
        <v>0</v>
      </c>
      <c r="F13" s="34">
        <f>IFERROR(INDEX('データ'!F$127:F$189,MATCH($C$3&amp;"|"&amp;$B13,'データ'!$A$127:$A$189,0)),0)</f>
        <v>0</v>
      </c>
      <c r="G13" s="34">
        <f>IFERROR(INDEX('データ'!G$127:G$189,MATCH($C$3&amp;"|"&amp;$B13,'データ'!$A$127:$A$189,0)),0)</f>
        <v>10</v>
      </c>
      <c r="H13" s="34">
        <f>IFERROR(INDEX('データ'!H$127:H$189,MATCH($C$3&amp;"|"&amp;$B13,'データ'!$A$127:$A$189,0)),0)</f>
        <v>83</v>
      </c>
      <c r="I13" s="34">
        <f>IFERROR(INDEX('データ'!I$127:I$189,MATCH($C$3&amp;"|"&amp;$B13,'データ'!$A$127:$A$189,0)),0)</f>
        <v>189</v>
      </c>
      <c r="J13" s="34">
        <f>IFERROR(INDEX('データ'!J$127:J$189,MATCH($C$3&amp;"|"&amp;$B13,'データ'!$A$127:$A$189,0)),0)</f>
        <v>218</v>
      </c>
      <c r="K13" s="34">
        <f>IFERROR(INDEX('データ'!K$127:K$189,MATCH($C$3&amp;"|"&amp;$B13,'データ'!$A$127:$A$189,0)),0)</f>
        <v>190</v>
      </c>
      <c r="L13" s="34">
        <f>IFERROR(INDEX('データ'!L$127:L$189,MATCH($C$3&amp;"|"&amp;$B13,'データ'!$A$127:$A$189,0)),0)</f>
        <v>146</v>
      </c>
      <c r="M13" s="34">
        <f>IFERROR(INDEX('データ'!M$127:M$189,MATCH($C$3&amp;"|"&amp;$B13,'データ'!$A$127:$A$189,0)),0)</f>
        <v>164</v>
      </c>
      <c r="N13" s="34">
        <f>IFERROR(INDEX('データ'!N$127:N$189,MATCH($C$3&amp;"|"&amp;$B13,'データ'!$A$127:$A$189,0)),0)</f>
        <v>142</v>
      </c>
      <c r="O13" s="34">
        <f>IFERROR(INDEX('データ'!O$127:O$189,MATCH($C$3&amp;"|"&amp;$B13,'データ'!$A$127:$A$189,0)),0)</f>
        <v>164</v>
      </c>
      <c r="P13" s="34">
        <f>IFERROR(INDEX('データ'!P$127:P$189,MATCH($C$3&amp;"|"&amp;$B13,'データ'!$A$127:$A$189,0)),0)</f>
        <v>130</v>
      </c>
      <c r="Q13" s="34">
        <f>IFERROR(INDEX('データ'!Q$127:Q$189,MATCH($C$3&amp;"|"&amp;$B13,'データ'!$A$127:$A$189,0)),0)</f>
        <v>149</v>
      </c>
      <c r="R13" s="34">
        <f>IFERROR(INDEX('データ'!R$127:R$189,MATCH($C$3&amp;"|"&amp;$B13,'データ'!$A$127:$A$189,0)),0)</f>
        <v>132</v>
      </c>
      <c r="S13" s="34">
        <f>IFERROR(INDEX('データ'!S$127:S$189,MATCH($C$3&amp;"|"&amp;$B13,'データ'!$A$127:$A$189,0)),0)</f>
        <v>130</v>
      </c>
      <c r="T13" s="34">
        <f>IFERROR(INDEX('データ'!T$127:T$189,MATCH($C$3&amp;"|"&amp;$B13,'データ'!$A$127:$A$189,0)),0)</f>
        <v>139</v>
      </c>
      <c r="U13" s="34">
        <f>IFERROR(INDEX('データ'!U$127:U$189,MATCH($C$3&amp;"|"&amp;$B13,'データ'!$A$127:$A$189,0)),0)</f>
        <v>171</v>
      </c>
      <c r="V13" s="34">
        <f>IFERROR(INDEX('データ'!V$127:V$189,MATCH($C$3&amp;"|"&amp;$B13,'データ'!$A$127:$A$189,0)),0)</f>
        <v>148</v>
      </c>
      <c r="W13" s="34">
        <f>IFERROR(INDEX('データ'!W$127:W$189,MATCH($C$3&amp;"|"&amp;$B13,'データ'!$A$127:$A$189,0)),0)</f>
        <v>55</v>
      </c>
      <c r="X13" s="34">
        <f>IFERROR(INDEX('データ'!X$127:X$189,MATCH($C$3&amp;"|"&amp;$B13,'データ'!$A$127:$A$189,0)),0)</f>
        <v>22</v>
      </c>
      <c r="Y13" s="34">
        <f>IFERROR(INDEX('データ'!Y$127:Y$189,MATCH($C$3&amp;"|"&amp;$B13,'データ'!$A$127:$A$189,0)),0)</f>
        <v>1</v>
      </c>
      <c r="Z13" s="34">
        <f>IFERROR(INDEX('データ'!Z$127:Z$189,MATCH($C$3&amp;"|"&amp;$B13,'データ'!$A$127:$A$189,0)),0)</f>
        <v>0</v>
      </c>
      <c r="AA13" s="34">
        <f>IFERROR(INDEX('データ'!AA$127:AA$189,MATCH($C$3&amp;"|"&amp;$B13,'データ'!$A$127:$A$189,0)),0)</f>
        <v>0</v>
      </c>
      <c r="AB13" s="34">
        <f>IFERROR(INDEX('データ'!AB$127:AB$189,MATCH($C$3&amp;"|"&amp;$B13,'データ'!$A$127:$A$189,0)),0)</f>
        <v>10</v>
      </c>
      <c r="AC13" s="34">
        <f>IFERROR(INDEX('データ'!AC$127:AC$189,MATCH($C$3&amp;"|"&amp;$B13,'データ'!$A$127:$A$189,0)),0)</f>
        <v>8</v>
      </c>
      <c r="AD13" s="34">
        <f>IFERROR(INDEX('データ'!AD$127:AD$189,MATCH($C$3&amp;"|"&amp;$B13,'データ'!$A$127:$A$189,0)),0)</f>
        <v>13</v>
      </c>
      <c r="AE13" s="34">
        <f>IFERROR(INDEX('データ'!AE$127:AE$189,MATCH($C$3&amp;"|"&amp;$B13,'データ'!$A$127:$A$189,0)),0)</f>
        <v>25</v>
      </c>
      <c r="AF13" s="34">
        <f>IFERROR(INDEX('データ'!AF$127:AF$189,MATCH($C$3&amp;"|"&amp;$B13,'データ'!$A$127:$A$189,0)),0)</f>
        <v>5</v>
      </c>
      <c r="AG13" s="34">
        <f>IFERROR(INDEX('データ'!AG$127:AG$189,MATCH($C$3&amp;"|"&amp;$B13,'データ'!$A$127:$A$189,0)),0)</f>
        <v>40</v>
      </c>
      <c r="AH13" s="34">
        <f>IFERROR(INDEX('データ'!AH$127:AH$189,MATCH($C$3&amp;"|"&amp;$B13,'データ'!$A$127:$A$189,0)),0)</f>
        <v>38</v>
      </c>
      <c r="AI13" s="34">
        <f>IFERROR(INDEX('データ'!AI$127:AI$189,MATCH($C$3&amp;"|"&amp;$B13,'データ'!$A$127:$A$189,0)),0)</f>
        <v>1</v>
      </c>
      <c r="AJ13" s="34">
        <f>IFERROR(INDEX('データ'!AJ$127:AJ$189,MATCH($C$3&amp;"|"&amp;$B13,'データ'!$A$127:$A$189,0)),0)</f>
        <v>3</v>
      </c>
      <c r="AK13" s="34">
        <f>IFERROR(INDEX('データ'!AK$127:AK$189,MATCH($C$3&amp;"|"&amp;$B13,'データ'!$A$127:$A$189,0)),0)</f>
        <v>44</v>
      </c>
      <c r="AL13" s="34">
        <f>IFERROR(INDEX('データ'!AL$127:AL$189,MATCH($C$3&amp;"|"&amp;$B13,'データ'!$A$127:$A$189,0)),0)</f>
        <v>45</v>
      </c>
      <c r="AM13" s="34">
        <f>IFERROR(INDEX('データ'!AM$127:AM$189,MATCH($C$3&amp;"|"&amp;$B13,'データ'!$A$127:$A$189,0)),0)</f>
        <v>24</v>
      </c>
      <c r="AN13" s="34">
        <f>IFERROR(INDEX('データ'!AN$127:AN$189,MATCH($C$3&amp;"|"&amp;$B13,'データ'!$A$127:$A$189,0)),0)</f>
        <v>23</v>
      </c>
      <c r="AO13" s="34">
        <f>IFERROR(INDEX('データ'!AO$127:AO$189,MATCH($C$3&amp;"|"&amp;$B13,'データ'!$A$127:$A$189,0)),0)</f>
        <v>18</v>
      </c>
      <c r="AP13" s="34">
        <f>IFERROR(INDEX('データ'!AP$127:AP$189,MATCH($C$3&amp;"|"&amp;$B13,'データ'!$A$127:$A$189,0)),0)</f>
        <v>41</v>
      </c>
      <c r="AQ13" s="34">
        <f>IFERROR(INDEX('データ'!AQ$127:AQ$189,MATCH($C$3&amp;"|"&amp;$B13,'データ'!$A$127:$A$189,0)),0)</f>
        <v>14</v>
      </c>
      <c r="AR13" s="34">
        <f>IFERROR(INDEX('データ'!AR$127:AR$189,MATCH($C$3&amp;"|"&amp;$B13,'データ'!$A$127:$A$189,0)),0)</f>
        <v>39</v>
      </c>
      <c r="AS13" s="34">
        <f>IFERROR(INDEX('データ'!AS$127:AS$189,MATCH($C$3&amp;"|"&amp;$B13,'データ'!$A$127:$A$189,0)),0)</f>
        <v>24</v>
      </c>
      <c r="AT13" s="34">
        <f>IFERROR(INDEX('データ'!AT$127:AT$189,MATCH($C$3&amp;"|"&amp;$B13,'データ'!$A$127:$A$189,0)),0)</f>
        <v>12</v>
      </c>
      <c r="AU13" s="34">
        <f>IFERROR(INDEX('データ'!AU$127:AU$189,MATCH($C$3&amp;"|"&amp;$B13,'データ'!$A$127:$A$189,0)),0)</f>
        <v>16</v>
      </c>
      <c r="AV13" s="34">
        <f>IFERROR(INDEX('データ'!AV$127:AV$189,MATCH($C$3&amp;"|"&amp;$B13,'データ'!$A$127:$A$189,0)),0)</f>
        <v>2</v>
      </c>
      <c r="AW13" s="34">
        <f>IFERROR(INDEX('データ'!AW$127:AW$189,MATCH($C$3&amp;"|"&amp;$B13,'データ'!$A$127:$A$189,0)),0)</f>
        <v>0</v>
      </c>
      <c r="AX13" s="34">
        <f>IFERROR(INDEX('データ'!AX$127:AX$189,MATCH($C$3&amp;"|"&amp;$B13,'データ'!$A$127:$A$189,0)),0)</f>
        <v>0</v>
      </c>
      <c r="AY13" s="34">
        <f>IFERROR(INDEX('データ'!AY$127:AY$189,MATCH($C$3&amp;"|"&amp;$B13,'データ'!$A$127:$A$189,0)),0)</f>
        <v>0</v>
      </c>
      <c r="AZ13" s="34">
        <f>IFERROR(INDEX('データ'!AZ$127:AZ$189,MATCH($C$3&amp;"|"&amp;$B13,'データ'!$A$127:$A$189,0)),0)</f>
        <v>0</v>
      </c>
      <c r="BA13" s="34">
        <f>IFERROR(INDEX('データ'!BA$127:BA$189,MATCH($C$3&amp;"|"&amp;$B13,'データ'!$A$127:$A$189,0)),0)</f>
        <v>0</v>
      </c>
      <c r="BB13" s="34">
        <f>IFERROR(INDEX('データ'!BB$127:BB$189,MATCH($C$3&amp;"|"&amp;$B13,'データ'!$A$127:$A$189,0)),0)</f>
        <v>0</v>
      </c>
      <c r="BC13" s="34">
        <f>IFERROR(INDEX('データ'!BC$127:BC$189,MATCH($C$3&amp;"|"&amp;$B13,'データ'!$A$127:$A$189,0)),0)</f>
        <v>0</v>
      </c>
      <c r="BD13" s="34">
        <f>IFERROR(INDEX('データ'!BD$127:BD$189,MATCH($C$3&amp;"|"&amp;$B13,'データ'!$A$127:$A$189,0)),0)</f>
        <v>0</v>
      </c>
      <c r="BE13" s="34">
        <f>IFERROR(INDEX('データ'!BE$127:BE$189,MATCH($C$3&amp;"|"&amp;$B13,'データ'!$A$127:$A$189,0)),0)</f>
        <v>0</v>
      </c>
      <c r="BF13" s="34">
        <f>IFERROR(INDEX('データ'!BF$127:BF$189,MATCH($C$3&amp;"|"&amp;$B13,'データ'!$A$127:$A$189,0)),0)</f>
        <v>0</v>
      </c>
      <c r="BG13" s="34">
        <f>IFERROR(INDEX('データ'!BG$127:BG$189,MATCH($C$3&amp;"|"&amp;$B13,'データ'!$A$127:$A$189,0)),0)</f>
        <v>0</v>
      </c>
    </row>
    <row r="15" spans="2:59">
      <c r="B15" s="3" t="s">
        <v>388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2:59">
      <c r="D16" s="32" t="s">
        <v>374</v>
      </c>
      <c r="E16" s="32"/>
      <c r="F16" s="32"/>
      <c r="G16" s="32"/>
      <c r="H16" s="32" t="s">
        <v>375</v>
      </c>
      <c r="I16" s="32"/>
      <c r="J16" s="32"/>
      <c r="K16" s="32"/>
      <c r="L16" s="32" t="s">
        <v>376</v>
      </c>
      <c r="M16" s="32"/>
      <c r="N16" s="32"/>
      <c r="O16" s="32"/>
      <c r="P16" s="32" t="s">
        <v>377</v>
      </c>
      <c r="Q16" s="32"/>
      <c r="R16" s="32"/>
      <c r="S16" s="32"/>
      <c r="T16" s="32" t="s">
        <v>378</v>
      </c>
      <c r="U16" s="32"/>
      <c r="V16" s="32"/>
      <c r="W16" s="32"/>
      <c r="X16" s="32" t="s">
        <v>379</v>
      </c>
      <c r="Y16" s="32"/>
      <c r="Z16" s="32"/>
      <c r="AA16" s="32"/>
      <c r="AB16" s="32" t="s">
        <v>380</v>
      </c>
      <c r="AC16" s="32"/>
      <c r="AD16" s="32"/>
      <c r="AE16" s="32"/>
      <c r="AF16" s="32" t="s">
        <v>381</v>
      </c>
      <c r="AG16" s="32"/>
      <c r="AH16" s="32"/>
      <c r="AI16" s="32"/>
      <c r="AJ16" s="32" t="s">
        <v>382</v>
      </c>
      <c r="AK16" s="32"/>
      <c r="AL16" s="32"/>
      <c r="AM16" s="32"/>
      <c r="AN16" s="32" t="s">
        <v>383</v>
      </c>
      <c r="AO16" s="32"/>
      <c r="AP16" s="32"/>
      <c r="AQ16" s="32"/>
      <c r="AR16" s="32" t="s">
        <v>384</v>
      </c>
      <c r="AS16" s="32"/>
      <c r="AT16" s="32"/>
      <c r="AU16" s="32"/>
      <c r="AV16" s="32" t="s">
        <v>385</v>
      </c>
      <c r="AW16" s="32"/>
      <c r="AX16" s="32"/>
      <c r="AY16" s="32"/>
      <c r="AZ16" s="32" t="s">
        <v>386</v>
      </c>
      <c r="BA16" s="32"/>
      <c r="BB16" s="32"/>
      <c r="BC16" s="32"/>
      <c r="BD16" s="32" t="s">
        <v>387</v>
      </c>
      <c r="BE16" s="32"/>
      <c r="BF16" s="32"/>
      <c r="BG16" s="32"/>
    </row>
    <row r="17" spans="2:59" ht="20" customHeight="1">
      <c r="B17" s="33" t="s">
        <v>67</v>
      </c>
      <c r="C17" s="33"/>
      <c r="D17" s="34">
        <f>IFERROR(INDEX('データ'!D$7:D$123,MATCH($C$3&amp;"|"&amp;$B17,'データ'!$A$7:$A$123,0)),0)</f>
        <v>0</v>
      </c>
      <c r="E17" s="34">
        <f>IFERROR(INDEX('データ'!E$7:E$123,MATCH($C$3&amp;"|"&amp;$B17,'データ'!$A$7:$A$123,0)),0)</f>
        <v>0</v>
      </c>
      <c r="F17" s="34">
        <f>IFERROR(INDEX('データ'!F$7:F$123,MATCH($C$3&amp;"|"&amp;$B17,'データ'!$A$7:$A$123,0)),0)</f>
        <v>0</v>
      </c>
      <c r="G17" s="34">
        <f>IFERROR(INDEX('データ'!G$7:G$123,MATCH($C$3&amp;"|"&amp;$B17,'データ'!$A$7:$A$123,0)),0)</f>
        <v>23</v>
      </c>
      <c r="H17" s="34">
        <f>IFERROR(INDEX('データ'!H$7:H$123,MATCH($C$3&amp;"|"&amp;$B17,'データ'!$A$7:$A$123,0)),0)</f>
        <v>186</v>
      </c>
      <c r="I17" s="34">
        <f>IFERROR(INDEX('データ'!I$7:I$123,MATCH($C$3&amp;"|"&amp;$B17,'データ'!$A$7:$A$123,0)),0)</f>
        <v>801</v>
      </c>
      <c r="J17" s="34">
        <f>IFERROR(INDEX('データ'!J$7:J$123,MATCH($C$3&amp;"|"&amp;$B17,'データ'!$A$7:$A$123,0)),0)</f>
        <v>1479</v>
      </c>
      <c r="K17" s="34">
        <f>IFERROR(INDEX('データ'!K$7:K$123,MATCH($C$3&amp;"|"&amp;$B17,'データ'!$A$7:$A$123,0)),0)</f>
        <v>1695</v>
      </c>
      <c r="L17" s="34">
        <f>IFERROR(INDEX('データ'!L$7:L$123,MATCH($C$3&amp;"|"&amp;$B17,'データ'!$A$7:$A$123,0)),0)</f>
        <v>1817</v>
      </c>
      <c r="M17" s="34">
        <f>IFERROR(INDEX('データ'!M$7:M$123,MATCH($C$3&amp;"|"&amp;$B17,'データ'!$A$7:$A$123,0)),0)</f>
        <v>2028</v>
      </c>
      <c r="N17" s="34">
        <f>IFERROR(INDEX('データ'!N$7:N$123,MATCH($C$3&amp;"|"&amp;$B17,'データ'!$A$7:$A$123,0)),0)</f>
        <v>2138</v>
      </c>
      <c r="O17" s="34">
        <f>IFERROR(INDEX('データ'!O$7:O$123,MATCH($C$3&amp;"|"&amp;$B17,'データ'!$A$7:$A$123,0)),0)</f>
        <v>2188</v>
      </c>
      <c r="P17" s="34">
        <f>IFERROR(INDEX('データ'!P$7:P$123,MATCH($C$3&amp;"|"&amp;$B17,'データ'!$A$7:$A$123,0)),0)</f>
        <v>2244</v>
      </c>
      <c r="Q17" s="34">
        <f>IFERROR(INDEX('データ'!Q$7:Q$123,MATCH($C$3&amp;"|"&amp;$B17,'データ'!$A$7:$A$123,0)),0)</f>
        <v>2363</v>
      </c>
      <c r="R17" s="34">
        <f>IFERROR(INDEX('データ'!R$7:R$123,MATCH($C$3&amp;"|"&amp;$B17,'データ'!$A$7:$A$123,0)),0)</f>
        <v>2401</v>
      </c>
      <c r="S17" s="34">
        <f>IFERROR(INDEX('データ'!S$7:S$123,MATCH($C$3&amp;"|"&amp;$B17,'データ'!$A$7:$A$123,0)),0)</f>
        <v>2377</v>
      </c>
      <c r="T17" s="34">
        <f>IFERROR(INDEX('データ'!T$7:T$123,MATCH($C$3&amp;"|"&amp;$B17,'データ'!$A$7:$A$123,0)),0)</f>
        <v>2358</v>
      </c>
      <c r="U17" s="34">
        <f>IFERROR(INDEX('データ'!U$7:U$123,MATCH($C$3&amp;"|"&amp;$B17,'データ'!$A$7:$A$123,0)),0)</f>
        <v>2198</v>
      </c>
      <c r="V17" s="34">
        <f>IFERROR(INDEX('データ'!V$7:V$123,MATCH($C$3&amp;"|"&amp;$B17,'データ'!$A$7:$A$123,0)),0)</f>
        <v>1991</v>
      </c>
      <c r="W17" s="34">
        <f>IFERROR(INDEX('データ'!W$7:W$123,MATCH($C$3&amp;"|"&amp;$B17,'データ'!$A$7:$A$123,0)),0)</f>
        <v>1931</v>
      </c>
      <c r="X17" s="34">
        <f>IFERROR(INDEX('データ'!X$7:X$123,MATCH($C$3&amp;"|"&amp;$B17,'データ'!$A$7:$A$123,0)),0)</f>
        <v>1777</v>
      </c>
      <c r="Y17" s="34">
        <f>IFERROR(INDEX('データ'!Y$7:Y$123,MATCH($C$3&amp;"|"&amp;$B17,'データ'!$A$7:$A$123,0)),0)</f>
        <v>1745</v>
      </c>
      <c r="Z17" s="34">
        <f>IFERROR(INDEX('データ'!Z$7:Z$123,MATCH($C$3&amp;"|"&amp;$B17,'データ'!$A$7:$A$123,0)),0)</f>
        <v>1789</v>
      </c>
      <c r="AA17" s="34">
        <f>IFERROR(INDEX('データ'!AA$7:AA$123,MATCH($C$3&amp;"|"&amp;$B17,'データ'!$A$7:$A$123,0)),0)</f>
        <v>1769</v>
      </c>
      <c r="AB17" s="34">
        <f>IFERROR(INDEX('データ'!AB$7:AB$123,MATCH($C$3&amp;"|"&amp;$B17,'データ'!$A$7:$A$123,0)),0)</f>
        <v>1891</v>
      </c>
      <c r="AC17" s="34">
        <f>IFERROR(INDEX('データ'!AC$7:AC$123,MATCH($C$3&amp;"|"&amp;$B17,'データ'!$A$7:$A$123,0)),0)</f>
        <v>2090</v>
      </c>
      <c r="AD17" s="34">
        <f>IFERROR(INDEX('データ'!AD$7:AD$123,MATCH($C$3&amp;"|"&amp;$B17,'データ'!$A$7:$A$123,0)),0)</f>
        <v>2166</v>
      </c>
      <c r="AE17" s="34">
        <f>IFERROR(INDEX('データ'!AE$7:AE$123,MATCH($C$3&amp;"|"&amp;$B17,'データ'!$A$7:$A$123,0)),0)</f>
        <v>2188</v>
      </c>
      <c r="AF17" s="34">
        <f>IFERROR(INDEX('データ'!AF$7:AF$123,MATCH($C$3&amp;"|"&amp;$B17,'データ'!$A$7:$A$123,0)),0)</f>
        <v>2210</v>
      </c>
      <c r="AG17" s="34">
        <f>IFERROR(INDEX('データ'!AG$7:AG$123,MATCH($C$3&amp;"|"&amp;$B17,'データ'!$A$7:$A$123,0)),0)</f>
        <v>2238</v>
      </c>
      <c r="AH17" s="34">
        <f>IFERROR(INDEX('データ'!AH$7:AH$123,MATCH($C$3&amp;"|"&amp;$B17,'データ'!$A$7:$A$123,0)),0)</f>
        <v>2162</v>
      </c>
      <c r="AI17" s="34">
        <f>IFERROR(INDEX('データ'!AI$7:AI$123,MATCH($C$3&amp;"|"&amp;$B17,'データ'!$A$7:$A$123,0)),0)</f>
        <v>2093</v>
      </c>
      <c r="AJ17" s="34">
        <f>IFERROR(INDEX('データ'!AJ$7:AJ$123,MATCH($C$3&amp;"|"&amp;$B17,'データ'!$A$7:$A$123,0)),0)</f>
        <v>1960</v>
      </c>
      <c r="AK17" s="34">
        <f>IFERROR(INDEX('データ'!AK$7:AK$123,MATCH($C$3&amp;"|"&amp;$B17,'データ'!$A$7:$A$123,0)),0)</f>
        <v>1981</v>
      </c>
      <c r="AL17" s="34">
        <f>IFERROR(INDEX('データ'!AL$7:AL$123,MATCH($C$3&amp;"|"&amp;$B17,'データ'!$A$7:$A$123,0)),0)</f>
        <v>1930</v>
      </c>
      <c r="AM17" s="34">
        <f>IFERROR(INDEX('データ'!AM$7:AM$123,MATCH($C$3&amp;"|"&amp;$B17,'データ'!$A$7:$A$123,0)),0)</f>
        <v>1809</v>
      </c>
      <c r="AN17" s="34">
        <f>IFERROR(INDEX('データ'!AN$7:AN$123,MATCH($C$3&amp;"|"&amp;$B17,'データ'!$A$7:$A$123,0)),0)</f>
        <v>1815</v>
      </c>
      <c r="AO17" s="34">
        <f>IFERROR(INDEX('データ'!AO$7:AO$123,MATCH($C$3&amp;"|"&amp;$B17,'データ'!$A$7:$A$123,0)),0)</f>
        <v>1782</v>
      </c>
      <c r="AP17" s="34">
        <f>IFERROR(INDEX('データ'!AP$7:AP$123,MATCH($C$3&amp;"|"&amp;$B17,'データ'!$A$7:$A$123,0)),0)</f>
        <v>1622</v>
      </c>
      <c r="AQ17" s="34">
        <f>IFERROR(INDEX('データ'!AQ$7:AQ$123,MATCH($C$3&amp;"|"&amp;$B17,'データ'!$A$7:$A$123,0)),0)</f>
        <v>1310</v>
      </c>
      <c r="AR17" s="34">
        <f>IFERROR(INDEX('データ'!AR$7:AR$123,MATCH($C$3&amp;"|"&amp;$B17,'データ'!$A$7:$A$123,0)),0)</f>
        <v>755</v>
      </c>
      <c r="AS17" s="34">
        <f>IFERROR(INDEX('データ'!AS$7:AS$123,MATCH($C$3&amp;"|"&amp;$B17,'データ'!$A$7:$A$123,0)),0)</f>
        <v>257</v>
      </c>
      <c r="AT17" s="34">
        <f>IFERROR(INDEX('データ'!AT$7:AT$123,MATCH($C$3&amp;"|"&amp;$B17,'データ'!$A$7:$A$123,0)),0)</f>
        <v>52</v>
      </c>
      <c r="AU17" s="34">
        <f>IFERROR(INDEX('データ'!AU$7:AU$123,MATCH($C$3&amp;"|"&amp;$B17,'データ'!$A$7:$A$123,0)),0)</f>
        <v>35</v>
      </c>
      <c r="AV17" s="34">
        <f>IFERROR(INDEX('データ'!AV$7:AV$123,MATCH($C$3&amp;"|"&amp;$B17,'データ'!$A$7:$A$123,0)),0)</f>
        <v>22</v>
      </c>
      <c r="AW17" s="34">
        <f>IFERROR(INDEX('データ'!AW$7:AW$123,MATCH($C$3&amp;"|"&amp;$B17,'データ'!$A$7:$A$123,0)),0)</f>
        <v>23</v>
      </c>
      <c r="AX17" s="34">
        <f>IFERROR(INDEX('データ'!AX$7:AX$123,MATCH($C$3&amp;"|"&amp;$B17,'データ'!$A$7:$A$123,0)),0)</f>
        <v>11</v>
      </c>
      <c r="AY17" s="34">
        <f>IFERROR(INDEX('データ'!AY$7:AY$123,MATCH($C$3&amp;"|"&amp;$B17,'データ'!$A$7:$A$123,0)),0)</f>
        <v>7</v>
      </c>
      <c r="AZ17" s="34">
        <f>IFERROR(INDEX('データ'!AZ$7:AZ$123,MATCH($C$3&amp;"|"&amp;$B17,'データ'!$A$7:$A$123,0)),0)</f>
        <v>1</v>
      </c>
      <c r="BA17" s="34">
        <f>IFERROR(INDEX('データ'!BA$7:BA$123,MATCH($C$3&amp;"|"&amp;$B17,'データ'!$A$7:$A$123,0)),0)</f>
        <v>0</v>
      </c>
      <c r="BB17" s="34">
        <f>IFERROR(INDEX('データ'!BB$7:BB$123,MATCH($C$3&amp;"|"&amp;$B17,'データ'!$A$7:$A$123,0)),0)</f>
        <v>0</v>
      </c>
      <c r="BC17" s="34">
        <f>IFERROR(INDEX('データ'!BC$7:BC$123,MATCH($C$3&amp;"|"&amp;$B17,'データ'!$A$7:$A$123,0)),0)</f>
        <v>0</v>
      </c>
      <c r="BD17" s="34">
        <f>IFERROR(INDEX('データ'!BD$7:BD$123,MATCH($C$3&amp;"|"&amp;$B17,'データ'!$A$7:$A$123,0)),0)</f>
        <v>0</v>
      </c>
      <c r="BE17" s="34">
        <f>IFERROR(INDEX('データ'!BE$7:BE$123,MATCH($C$3&amp;"|"&amp;$B17,'データ'!$A$7:$A$123,0)),0)</f>
        <v>0</v>
      </c>
      <c r="BF17" s="34">
        <f>IFERROR(INDEX('データ'!BF$7:BF$123,MATCH($C$3&amp;"|"&amp;$B17,'データ'!$A$7:$A$123,0)),0)</f>
        <v>0</v>
      </c>
      <c r="BG17" s="34">
        <f>IFERROR(INDEX('データ'!BG$7:BG$123,MATCH($C$3&amp;"|"&amp;$B17,'データ'!$A$7:$A$123,0)),0)</f>
        <v>0</v>
      </c>
    </row>
    <row r="18" spans="2:59" ht="20" customHeight="1">
      <c r="B18" s="33" t="s">
        <v>69</v>
      </c>
      <c r="C18" s="33"/>
      <c r="D18" s="34">
        <f>IFERROR(INDEX('データ'!D$7:D$123,MATCH($C$3&amp;"|"&amp;$B18,'データ'!$A$7:$A$123,0)),0)</f>
        <v>0</v>
      </c>
      <c r="E18" s="34">
        <f>IFERROR(INDEX('データ'!E$7:E$123,MATCH($C$3&amp;"|"&amp;$B18,'データ'!$A$7:$A$123,0)),0)</f>
        <v>0</v>
      </c>
      <c r="F18" s="34">
        <f>IFERROR(INDEX('データ'!F$7:F$123,MATCH($C$3&amp;"|"&amp;$B18,'データ'!$A$7:$A$123,0)),0)</f>
        <v>2</v>
      </c>
      <c r="G18" s="34">
        <f>IFERROR(INDEX('データ'!G$7:G$123,MATCH($C$3&amp;"|"&amp;$B18,'データ'!$A$7:$A$123,0)),0)</f>
        <v>18</v>
      </c>
      <c r="H18" s="34">
        <f>IFERROR(INDEX('データ'!H$7:H$123,MATCH($C$3&amp;"|"&amp;$B18,'データ'!$A$7:$A$123,0)),0)</f>
        <v>169</v>
      </c>
      <c r="I18" s="34">
        <f>IFERROR(INDEX('データ'!I$7:I$123,MATCH($C$3&amp;"|"&amp;$B18,'データ'!$A$7:$A$123,0)),0)</f>
        <v>645</v>
      </c>
      <c r="J18" s="34">
        <f>IFERROR(INDEX('データ'!J$7:J$123,MATCH($C$3&amp;"|"&amp;$B18,'データ'!$A$7:$A$123,0)),0)</f>
        <v>1373</v>
      </c>
      <c r="K18" s="34">
        <f>IFERROR(INDEX('データ'!K$7:K$123,MATCH($C$3&amp;"|"&amp;$B18,'データ'!$A$7:$A$123,0)),0)</f>
        <v>1502</v>
      </c>
      <c r="L18" s="34">
        <f>IFERROR(INDEX('データ'!L$7:L$123,MATCH($C$3&amp;"|"&amp;$B18,'データ'!$A$7:$A$123,0)),0)</f>
        <v>1729</v>
      </c>
      <c r="M18" s="34">
        <f>IFERROR(INDEX('データ'!M$7:M$123,MATCH($C$3&amp;"|"&amp;$B18,'データ'!$A$7:$A$123,0)),0)</f>
        <v>1902</v>
      </c>
      <c r="N18" s="34">
        <f>IFERROR(INDEX('データ'!N$7:N$123,MATCH($C$3&amp;"|"&amp;$B18,'データ'!$A$7:$A$123,0)),0)</f>
        <v>2014</v>
      </c>
      <c r="O18" s="34">
        <f>IFERROR(INDEX('データ'!O$7:O$123,MATCH($C$3&amp;"|"&amp;$B18,'データ'!$A$7:$A$123,0)),0)</f>
        <v>2057</v>
      </c>
      <c r="P18" s="34">
        <f>IFERROR(INDEX('データ'!P$7:P$123,MATCH($C$3&amp;"|"&amp;$B18,'データ'!$A$7:$A$123,0)),0)</f>
        <v>2164</v>
      </c>
      <c r="Q18" s="34">
        <f>IFERROR(INDEX('データ'!Q$7:Q$123,MATCH($C$3&amp;"|"&amp;$B18,'データ'!$A$7:$A$123,0)),0)</f>
        <v>2245</v>
      </c>
      <c r="R18" s="34">
        <f>IFERROR(INDEX('データ'!R$7:R$123,MATCH($C$3&amp;"|"&amp;$B18,'データ'!$A$7:$A$123,0)),0)</f>
        <v>2279</v>
      </c>
      <c r="S18" s="34">
        <f>IFERROR(INDEX('データ'!S$7:S$123,MATCH($C$3&amp;"|"&amp;$B18,'データ'!$A$7:$A$123,0)),0)</f>
        <v>2224</v>
      </c>
      <c r="T18" s="34">
        <f>IFERROR(INDEX('データ'!T$7:T$123,MATCH($C$3&amp;"|"&amp;$B18,'データ'!$A$7:$A$123,0)),0)</f>
        <v>2126</v>
      </c>
      <c r="U18" s="34">
        <f>IFERROR(INDEX('データ'!U$7:U$123,MATCH($C$3&amp;"|"&amp;$B18,'データ'!$A$7:$A$123,0)),0)</f>
        <v>2017</v>
      </c>
      <c r="V18" s="34">
        <f>IFERROR(INDEX('データ'!V$7:V$123,MATCH($C$3&amp;"|"&amp;$B18,'データ'!$A$7:$A$123,0)),0)</f>
        <v>1928</v>
      </c>
      <c r="W18" s="34">
        <f>IFERROR(INDEX('データ'!W$7:W$123,MATCH($C$3&amp;"|"&amp;$B18,'データ'!$A$7:$A$123,0)),0)</f>
        <v>1810</v>
      </c>
      <c r="X18" s="34">
        <f>IFERROR(INDEX('データ'!X$7:X$123,MATCH($C$3&amp;"|"&amp;$B18,'データ'!$A$7:$A$123,0)),0)</f>
        <v>1650</v>
      </c>
      <c r="Y18" s="34">
        <f>IFERROR(INDEX('データ'!Y$7:Y$123,MATCH($C$3&amp;"|"&amp;$B18,'データ'!$A$7:$A$123,0)),0)</f>
        <v>1625</v>
      </c>
      <c r="Z18" s="34">
        <f>IFERROR(INDEX('データ'!Z$7:Z$123,MATCH($C$3&amp;"|"&amp;$B18,'データ'!$A$7:$A$123,0)),0)</f>
        <v>1546</v>
      </c>
      <c r="AA18" s="34">
        <f>IFERROR(INDEX('データ'!AA$7:AA$123,MATCH($C$3&amp;"|"&amp;$B18,'データ'!$A$7:$A$123,0)),0)</f>
        <v>1569</v>
      </c>
      <c r="AB18" s="34">
        <f>IFERROR(INDEX('データ'!AB$7:AB$123,MATCH($C$3&amp;"|"&amp;$B18,'データ'!$A$7:$A$123,0)),0)</f>
        <v>1698</v>
      </c>
      <c r="AC18" s="34">
        <f>IFERROR(INDEX('データ'!AC$7:AC$123,MATCH($C$3&amp;"|"&amp;$B18,'データ'!$A$7:$A$123,0)),0)</f>
        <v>1773</v>
      </c>
      <c r="AD18" s="34">
        <f>IFERROR(INDEX('データ'!AD$7:AD$123,MATCH($C$3&amp;"|"&amp;$B18,'データ'!$A$7:$A$123,0)),0)</f>
        <v>1892</v>
      </c>
      <c r="AE18" s="34">
        <f>IFERROR(INDEX('データ'!AE$7:AE$123,MATCH($C$3&amp;"|"&amp;$B18,'データ'!$A$7:$A$123,0)),0)</f>
        <v>1993</v>
      </c>
      <c r="AF18" s="34">
        <f>IFERROR(INDEX('データ'!AF$7:AF$123,MATCH($C$3&amp;"|"&amp;$B18,'データ'!$A$7:$A$123,0)),0)</f>
        <v>2015</v>
      </c>
      <c r="AG18" s="34">
        <f>IFERROR(INDEX('データ'!AG$7:AG$123,MATCH($C$3&amp;"|"&amp;$B18,'データ'!$A$7:$A$123,0)),0)</f>
        <v>1970</v>
      </c>
      <c r="AH18" s="34">
        <f>IFERROR(INDEX('データ'!AH$7:AH$123,MATCH($C$3&amp;"|"&amp;$B18,'データ'!$A$7:$A$123,0)),0)</f>
        <v>1879</v>
      </c>
      <c r="AI18" s="34">
        <f>IFERROR(INDEX('データ'!AI$7:AI$123,MATCH($C$3&amp;"|"&amp;$B18,'データ'!$A$7:$A$123,0)),0)</f>
        <v>1862</v>
      </c>
      <c r="AJ18" s="34">
        <f>IFERROR(INDEX('データ'!AJ$7:AJ$123,MATCH($C$3&amp;"|"&amp;$B18,'データ'!$A$7:$A$123,0)),0)</f>
        <v>1732</v>
      </c>
      <c r="AK18" s="34">
        <f>IFERROR(INDEX('データ'!AK$7:AK$123,MATCH($C$3&amp;"|"&amp;$B18,'データ'!$A$7:$A$123,0)),0)</f>
        <v>1743</v>
      </c>
      <c r="AL18" s="34">
        <f>IFERROR(INDEX('データ'!AL$7:AL$123,MATCH($C$3&amp;"|"&amp;$B18,'データ'!$A$7:$A$123,0)),0)</f>
        <v>1665</v>
      </c>
      <c r="AM18" s="34">
        <f>IFERROR(INDEX('データ'!AM$7:AM$123,MATCH($C$3&amp;"|"&amp;$B18,'データ'!$A$7:$A$123,0)),0)</f>
        <v>1648</v>
      </c>
      <c r="AN18" s="34">
        <f>IFERROR(INDEX('データ'!AN$7:AN$123,MATCH($C$3&amp;"|"&amp;$B18,'データ'!$A$7:$A$123,0)),0)</f>
        <v>1644</v>
      </c>
      <c r="AO18" s="34">
        <f>IFERROR(INDEX('データ'!AO$7:AO$123,MATCH($C$3&amp;"|"&amp;$B18,'データ'!$A$7:$A$123,0)),0)</f>
        <v>1709</v>
      </c>
      <c r="AP18" s="34">
        <f>IFERROR(INDEX('データ'!AP$7:AP$123,MATCH($C$3&amp;"|"&amp;$B18,'データ'!$A$7:$A$123,0)),0)</f>
        <v>1414</v>
      </c>
      <c r="AQ18" s="34">
        <f>IFERROR(INDEX('データ'!AQ$7:AQ$123,MATCH($C$3&amp;"|"&amp;$B18,'データ'!$A$7:$A$123,0)),0)</f>
        <v>1160</v>
      </c>
      <c r="AR18" s="34">
        <f>IFERROR(INDEX('データ'!AR$7:AR$123,MATCH($C$3&amp;"|"&amp;$B18,'データ'!$A$7:$A$123,0)),0)</f>
        <v>647</v>
      </c>
      <c r="AS18" s="34">
        <f>IFERROR(INDEX('データ'!AS$7:AS$123,MATCH($C$3&amp;"|"&amp;$B18,'データ'!$A$7:$A$123,0)),0)</f>
        <v>200</v>
      </c>
      <c r="AT18" s="34">
        <f>IFERROR(INDEX('データ'!AT$7:AT$123,MATCH($C$3&amp;"|"&amp;$B18,'データ'!$A$7:$A$123,0)),0)</f>
        <v>36</v>
      </c>
      <c r="AU18" s="34">
        <f>IFERROR(INDEX('データ'!AU$7:AU$123,MATCH($C$3&amp;"|"&amp;$B18,'データ'!$A$7:$A$123,0)),0)</f>
        <v>7</v>
      </c>
      <c r="AV18" s="34">
        <f>IFERROR(INDEX('データ'!AV$7:AV$123,MATCH($C$3&amp;"|"&amp;$B18,'データ'!$A$7:$A$123,0)),0)</f>
        <v>3</v>
      </c>
      <c r="AW18" s="34">
        <f>IFERROR(INDEX('データ'!AW$7:AW$123,MATCH($C$3&amp;"|"&amp;$B18,'データ'!$A$7:$A$123,0)),0)</f>
        <v>3</v>
      </c>
      <c r="AX18" s="34">
        <f>IFERROR(INDEX('データ'!AX$7:AX$123,MATCH($C$3&amp;"|"&amp;$B18,'データ'!$A$7:$A$123,0)),0)</f>
        <v>0</v>
      </c>
      <c r="AY18" s="34">
        <f>IFERROR(INDEX('データ'!AY$7:AY$123,MATCH($C$3&amp;"|"&amp;$B18,'データ'!$A$7:$A$123,0)),0)</f>
        <v>4</v>
      </c>
      <c r="AZ18" s="34">
        <f>IFERROR(INDEX('データ'!AZ$7:AZ$123,MATCH($C$3&amp;"|"&amp;$B18,'データ'!$A$7:$A$123,0)),0)</f>
        <v>0</v>
      </c>
      <c r="BA18" s="34">
        <f>IFERROR(INDEX('データ'!BA$7:BA$123,MATCH($C$3&amp;"|"&amp;$B18,'データ'!$A$7:$A$123,0)),0)</f>
        <v>0</v>
      </c>
      <c r="BB18" s="34">
        <f>IFERROR(INDEX('データ'!BB$7:BB$123,MATCH($C$3&amp;"|"&amp;$B18,'データ'!$A$7:$A$123,0)),0)</f>
        <v>0</v>
      </c>
      <c r="BC18" s="34">
        <f>IFERROR(INDEX('データ'!BC$7:BC$123,MATCH($C$3&amp;"|"&amp;$B18,'データ'!$A$7:$A$123,0)),0)</f>
        <v>0</v>
      </c>
      <c r="BD18" s="34">
        <f>IFERROR(INDEX('データ'!BD$7:BD$123,MATCH($C$3&amp;"|"&amp;$B18,'データ'!$A$7:$A$123,0)),0)</f>
        <v>0</v>
      </c>
      <c r="BE18" s="34">
        <f>IFERROR(INDEX('データ'!BE$7:BE$123,MATCH($C$3&amp;"|"&amp;$B18,'データ'!$A$7:$A$123,0)),0)</f>
        <v>0</v>
      </c>
      <c r="BF18" s="34">
        <f>IFERROR(INDEX('データ'!BF$7:BF$123,MATCH($C$3&amp;"|"&amp;$B18,'データ'!$A$7:$A$123,0)),0)</f>
        <v>0</v>
      </c>
      <c r="BG18" s="34">
        <f>IFERROR(INDEX('データ'!BG$7:BG$123,MATCH($C$3&amp;"|"&amp;$B18,'データ'!$A$7:$A$123,0)),0)</f>
        <v>0</v>
      </c>
    </row>
    <row r="19" spans="2:59" ht="20" customHeight="1">
      <c r="B19" s="33" t="s">
        <v>71</v>
      </c>
      <c r="C19" s="33"/>
      <c r="D19" s="34">
        <f>IFERROR(INDEX('データ'!D$7:D$123,MATCH($C$3&amp;"|"&amp;$B19,'データ'!$A$7:$A$123,0)),0)</f>
        <v>0</v>
      </c>
      <c r="E19" s="34">
        <f>IFERROR(INDEX('データ'!E$7:E$123,MATCH($C$3&amp;"|"&amp;$B19,'データ'!$A$7:$A$123,0)),0)</f>
        <v>0</v>
      </c>
      <c r="F19" s="34">
        <f>IFERROR(INDEX('データ'!F$7:F$123,MATCH($C$3&amp;"|"&amp;$B19,'データ'!$A$7:$A$123,0)),0)</f>
        <v>1</v>
      </c>
      <c r="G19" s="34">
        <f>IFERROR(INDEX('データ'!G$7:G$123,MATCH($C$3&amp;"|"&amp;$B19,'データ'!$A$7:$A$123,0)),0)</f>
        <v>14</v>
      </c>
      <c r="H19" s="34">
        <f>IFERROR(INDEX('データ'!H$7:H$123,MATCH($C$3&amp;"|"&amp;$B19,'データ'!$A$7:$A$123,0)),0)</f>
        <v>150</v>
      </c>
      <c r="I19" s="34">
        <f>IFERROR(INDEX('データ'!I$7:I$123,MATCH($C$3&amp;"|"&amp;$B19,'データ'!$A$7:$A$123,0)),0)</f>
        <v>591</v>
      </c>
      <c r="J19" s="34">
        <f>IFERROR(INDEX('データ'!J$7:J$123,MATCH($C$3&amp;"|"&amp;$B19,'データ'!$A$7:$A$123,0)),0)</f>
        <v>1256</v>
      </c>
      <c r="K19" s="34">
        <f>IFERROR(INDEX('データ'!K$7:K$123,MATCH($C$3&amp;"|"&amp;$B19,'データ'!$A$7:$A$123,0)),0)</f>
        <v>1482</v>
      </c>
      <c r="L19" s="34">
        <f>IFERROR(INDEX('データ'!L$7:L$123,MATCH($C$3&amp;"|"&amp;$B19,'データ'!$A$7:$A$123,0)),0)</f>
        <v>1665</v>
      </c>
      <c r="M19" s="34">
        <f>IFERROR(INDEX('データ'!M$7:M$123,MATCH($C$3&amp;"|"&amp;$B19,'データ'!$A$7:$A$123,0)),0)</f>
        <v>1836</v>
      </c>
      <c r="N19" s="34">
        <f>IFERROR(INDEX('データ'!N$7:N$123,MATCH($C$3&amp;"|"&amp;$B19,'データ'!$A$7:$A$123,0)),0)</f>
        <v>1926</v>
      </c>
      <c r="O19" s="34">
        <f>IFERROR(INDEX('データ'!O$7:O$123,MATCH($C$3&amp;"|"&amp;$B19,'データ'!$A$7:$A$123,0)),0)</f>
        <v>2166</v>
      </c>
      <c r="P19" s="34">
        <f>IFERROR(INDEX('データ'!P$7:P$123,MATCH($C$3&amp;"|"&amp;$B19,'データ'!$A$7:$A$123,0)),0)</f>
        <v>2198</v>
      </c>
      <c r="Q19" s="34">
        <f>IFERROR(INDEX('データ'!Q$7:Q$123,MATCH($C$3&amp;"|"&amp;$B19,'データ'!$A$7:$A$123,0)),0)</f>
        <v>2244</v>
      </c>
      <c r="R19" s="34">
        <f>IFERROR(INDEX('データ'!R$7:R$123,MATCH($C$3&amp;"|"&amp;$B19,'データ'!$A$7:$A$123,0)),0)</f>
        <v>2247</v>
      </c>
      <c r="S19" s="34">
        <f>IFERROR(INDEX('データ'!S$7:S$123,MATCH($C$3&amp;"|"&amp;$B19,'データ'!$A$7:$A$123,0)),0)</f>
        <v>2193</v>
      </c>
      <c r="T19" s="34">
        <f>IFERROR(INDEX('データ'!T$7:T$123,MATCH($C$3&amp;"|"&amp;$B19,'データ'!$A$7:$A$123,0)),0)</f>
        <v>2225</v>
      </c>
      <c r="U19" s="34">
        <f>IFERROR(INDEX('データ'!U$7:U$123,MATCH($C$3&amp;"|"&amp;$B19,'データ'!$A$7:$A$123,0)),0)</f>
        <v>2175</v>
      </c>
      <c r="V19" s="34">
        <f>IFERROR(INDEX('データ'!V$7:V$123,MATCH($C$3&amp;"|"&amp;$B19,'データ'!$A$7:$A$123,0)),0)</f>
        <v>1961</v>
      </c>
      <c r="W19" s="34">
        <f>IFERROR(INDEX('データ'!W$7:W$123,MATCH($C$3&amp;"|"&amp;$B19,'データ'!$A$7:$A$123,0)),0)</f>
        <v>1819</v>
      </c>
      <c r="X19" s="34">
        <f>IFERROR(INDEX('データ'!X$7:X$123,MATCH($C$3&amp;"|"&amp;$B19,'データ'!$A$7:$A$123,0)),0)</f>
        <v>1679</v>
      </c>
      <c r="Y19" s="34">
        <f>IFERROR(INDEX('データ'!Y$7:Y$123,MATCH($C$3&amp;"|"&amp;$B19,'データ'!$A$7:$A$123,0)),0)</f>
        <v>1609</v>
      </c>
      <c r="Z19" s="34">
        <f>IFERROR(INDEX('データ'!Z$7:Z$123,MATCH($C$3&amp;"|"&amp;$B19,'データ'!$A$7:$A$123,0)),0)</f>
        <v>1707</v>
      </c>
      <c r="AA19" s="34">
        <f>IFERROR(INDEX('データ'!AA$7:AA$123,MATCH($C$3&amp;"|"&amp;$B19,'データ'!$A$7:$A$123,0)),0)</f>
        <v>1683</v>
      </c>
      <c r="AB19" s="34">
        <f>IFERROR(INDEX('データ'!AB$7:AB$123,MATCH($C$3&amp;"|"&amp;$B19,'データ'!$A$7:$A$123,0)),0)</f>
        <v>1816</v>
      </c>
      <c r="AC19" s="34">
        <f>IFERROR(INDEX('データ'!AC$7:AC$123,MATCH($C$3&amp;"|"&amp;$B19,'データ'!$A$7:$A$123,0)),0)</f>
        <v>1944</v>
      </c>
      <c r="AD19" s="34">
        <f>IFERROR(INDEX('データ'!AD$7:AD$123,MATCH($C$3&amp;"|"&amp;$B19,'データ'!$A$7:$A$123,0)),0)</f>
        <v>2031</v>
      </c>
      <c r="AE19" s="34">
        <f>IFERROR(INDEX('データ'!AE$7:AE$123,MATCH($C$3&amp;"|"&amp;$B19,'データ'!$A$7:$A$123,0)),0)</f>
        <v>2073</v>
      </c>
      <c r="AF19" s="34">
        <f>IFERROR(INDEX('データ'!AF$7:AF$123,MATCH($C$3&amp;"|"&amp;$B19,'データ'!$A$7:$A$123,0)),0)</f>
        <v>2034</v>
      </c>
      <c r="AG19" s="34">
        <f>IFERROR(INDEX('データ'!AG$7:AG$123,MATCH($C$3&amp;"|"&amp;$B19,'データ'!$A$7:$A$123,0)),0)</f>
        <v>1977</v>
      </c>
      <c r="AH19" s="34">
        <f>IFERROR(INDEX('データ'!AH$7:AH$123,MATCH($C$3&amp;"|"&amp;$B19,'データ'!$A$7:$A$123,0)),0)</f>
        <v>1979</v>
      </c>
      <c r="AI19" s="34">
        <f>IFERROR(INDEX('データ'!AI$7:AI$123,MATCH($C$3&amp;"|"&amp;$B19,'データ'!$A$7:$A$123,0)),0)</f>
        <v>1960</v>
      </c>
      <c r="AJ19" s="34">
        <f>IFERROR(INDEX('データ'!AJ$7:AJ$123,MATCH($C$3&amp;"|"&amp;$B19,'データ'!$A$7:$A$123,0)),0)</f>
        <v>1818</v>
      </c>
      <c r="AK19" s="34">
        <f>IFERROR(INDEX('データ'!AK$7:AK$123,MATCH($C$3&amp;"|"&amp;$B19,'データ'!$A$7:$A$123,0)),0)</f>
        <v>1766</v>
      </c>
      <c r="AL19" s="34">
        <f>IFERROR(INDEX('データ'!AL$7:AL$123,MATCH($C$3&amp;"|"&amp;$B19,'データ'!$A$7:$A$123,0)),0)</f>
        <v>1888</v>
      </c>
      <c r="AM19" s="34">
        <f>IFERROR(INDEX('データ'!AM$7:AM$123,MATCH($C$3&amp;"|"&amp;$B19,'データ'!$A$7:$A$123,0)),0)</f>
        <v>1677</v>
      </c>
      <c r="AN19" s="34">
        <f>IFERROR(INDEX('データ'!AN$7:AN$123,MATCH($C$3&amp;"|"&amp;$B19,'データ'!$A$7:$A$123,0)),0)</f>
        <v>1832</v>
      </c>
      <c r="AO19" s="34">
        <f>IFERROR(INDEX('データ'!AO$7:AO$123,MATCH($C$3&amp;"|"&amp;$B19,'データ'!$A$7:$A$123,0)),0)</f>
        <v>1711</v>
      </c>
      <c r="AP19" s="34">
        <f>IFERROR(INDEX('データ'!AP$7:AP$123,MATCH($C$3&amp;"|"&amp;$B19,'データ'!$A$7:$A$123,0)),0)</f>
        <v>1558</v>
      </c>
      <c r="AQ19" s="34">
        <f>IFERROR(INDEX('データ'!AQ$7:AQ$123,MATCH($C$3&amp;"|"&amp;$B19,'データ'!$A$7:$A$123,0)),0)</f>
        <v>1229</v>
      </c>
      <c r="AR19" s="34">
        <f>IFERROR(INDEX('データ'!AR$7:AR$123,MATCH($C$3&amp;"|"&amp;$B19,'データ'!$A$7:$A$123,0)),0)</f>
        <v>660</v>
      </c>
      <c r="AS19" s="34">
        <f>IFERROR(INDEX('データ'!AS$7:AS$123,MATCH($C$3&amp;"|"&amp;$B19,'データ'!$A$7:$A$123,0)),0)</f>
        <v>198</v>
      </c>
      <c r="AT19" s="34">
        <f>IFERROR(INDEX('データ'!AT$7:AT$123,MATCH($C$3&amp;"|"&amp;$B19,'データ'!$A$7:$A$123,0)),0)</f>
        <v>32</v>
      </c>
      <c r="AU19" s="34">
        <f>IFERROR(INDEX('データ'!AU$7:AU$123,MATCH($C$3&amp;"|"&amp;$B19,'データ'!$A$7:$A$123,0)),0)</f>
        <v>8</v>
      </c>
      <c r="AV19" s="34">
        <f>IFERROR(INDEX('データ'!AV$7:AV$123,MATCH($C$3&amp;"|"&amp;$B19,'データ'!$A$7:$A$123,0)),0)</f>
        <v>4</v>
      </c>
      <c r="AW19" s="34">
        <f>IFERROR(INDEX('データ'!AW$7:AW$123,MATCH($C$3&amp;"|"&amp;$B19,'データ'!$A$7:$A$123,0)),0)</f>
        <v>0</v>
      </c>
      <c r="AX19" s="34">
        <f>IFERROR(INDEX('データ'!AX$7:AX$123,MATCH($C$3&amp;"|"&amp;$B19,'データ'!$A$7:$A$123,0)),0)</f>
        <v>0</v>
      </c>
      <c r="AY19" s="34">
        <f>IFERROR(INDEX('データ'!AY$7:AY$123,MATCH($C$3&amp;"|"&amp;$B19,'データ'!$A$7:$A$123,0)),0)</f>
        <v>0</v>
      </c>
      <c r="AZ19" s="34">
        <f>IFERROR(INDEX('データ'!AZ$7:AZ$123,MATCH($C$3&amp;"|"&amp;$B19,'データ'!$A$7:$A$123,0)),0)</f>
        <v>0</v>
      </c>
      <c r="BA19" s="34">
        <f>IFERROR(INDEX('データ'!BA$7:BA$123,MATCH($C$3&amp;"|"&amp;$B19,'データ'!$A$7:$A$123,0)),0)</f>
        <v>0</v>
      </c>
      <c r="BB19" s="34">
        <f>IFERROR(INDEX('データ'!BB$7:BB$123,MATCH($C$3&amp;"|"&amp;$B19,'データ'!$A$7:$A$123,0)),0)</f>
        <v>0</v>
      </c>
      <c r="BC19" s="34">
        <f>IFERROR(INDEX('データ'!BC$7:BC$123,MATCH($C$3&amp;"|"&amp;$B19,'データ'!$A$7:$A$123,0)),0)</f>
        <v>0</v>
      </c>
      <c r="BD19" s="34">
        <f>IFERROR(INDEX('データ'!BD$7:BD$123,MATCH($C$3&amp;"|"&amp;$B19,'データ'!$A$7:$A$123,0)),0)</f>
        <v>0</v>
      </c>
      <c r="BE19" s="34">
        <f>IFERROR(INDEX('データ'!BE$7:BE$123,MATCH($C$3&amp;"|"&amp;$B19,'データ'!$A$7:$A$123,0)),0)</f>
        <v>0</v>
      </c>
      <c r="BF19" s="34">
        <f>IFERROR(INDEX('データ'!BF$7:BF$123,MATCH($C$3&amp;"|"&amp;$B19,'データ'!$A$7:$A$123,0)),0)</f>
        <v>0</v>
      </c>
      <c r="BG19" s="34">
        <f>IFERROR(INDEX('データ'!BG$7:BG$123,MATCH($C$3&amp;"|"&amp;$B19,'データ'!$A$7:$A$123,0)),0)</f>
        <v>0</v>
      </c>
    </row>
    <row r="20" spans="2:59" ht="20" customHeight="1">
      <c r="B20" s="33" t="s">
        <v>73</v>
      </c>
      <c r="C20" s="33"/>
      <c r="D20" s="34">
        <f>IFERROR(INDEX('データ'!D$7:D$123,MATCH($C$3&amp;"|"&amp;$B20,'データ'!$A$7:$A$123,0)),0)</f>
        <v>0</v>
      </c>
      <c r="E20" s="34">
        <f>IFERROR(INDEX('データ'!E$7:E$123,MATCH($C$3&amp;"|"&amp;$B20,'データ'!$A$7:$A$123,0)),0)</f>
        <v>0</v>
      </c>
      <c r="F20" s="34">
        <f>IFERROR(INDEX('データ'!F$7:F$123,MATCH($C$3&amp;"|"&amp;$B20,'データ'!$A$7:$A$123,0)),0)</f>
        <v>0</v>
      </c>
      <c r="G20" s="34">
        <f>IFERROR(INDEX('データ'!G$7:G$123,MATCH($C$3&amp;"|"&amp;$B20,'データ'!$A$7:$A$123,0)),0)</f>
        <v>38</v>
      </c>
      <c r="H20" s="34">
        <f>IFERROR(INDEX('データ'!H$7:H$123,MATCH($C$3&amp;"|"&amp;$B20,'データ'!$A$7:$A$123,0)),0)</f>
        <v>217</v>
      </c>
      <c r="I20" s="34">
        <f>IFERROR(INDEX('データ'!I$7:I$123,MATCH($C$3&amp;"|"&amp;$B20,'データ'!$A$7:$A$123,0)),0)</f>
        <v>766</v>
      </c>
      <c r="J20" s="34">
        <f>IFERROR(INDEX('データ'!J$7:J$123,MATCH($C$3&amp;"|"&amp;$B20,'データ'!$A$7:$A$123,0)),0)</f>
        <v>1541</v>
      </c>
      <c r="K20" s="34">
        <f>IFERROR(INDEX('データ'!K$7:K$123,MATCH($C$3&amp;"|"&amp;$B20,'データ'!$A$7:$A$123,0)),0)</f>
        <v>1666</v>
      </c>
      <c r="L20" s="34">
        <f>IFERROR(INDEX('データ'!L$7:L$123,MATCH($C$3&amp;"|"&amp;$B20,'データ'!$A$7:$A$123,0)),0)</f>
        <v>1845</v>
      </c>
      <c r="M20" s="34">
        <f>IFERROR(INDEX('データ'!M$7:M$123,MATCH($C$3&amp;"|"&amp;$B20,'データ'!$A$7:$A$123,0)),0)</f>
        <v>2093</v>
      </c>
      <c r="N20" s="34">
        <f>IFERROR(INDEX('データ'!N$7:N$123,MATCH($C$3&amp;"|"&amp;$B20,'データ'!$A$7:$A$123,0)),0)</f>
        <v>2284</v>
      </c>
      <c r="O20" s="34">
        <f>IFERROR(INDEX('データ'!O$7:O$123,MATCH($C$3&amp;"|"&amp;$B20,'データ'!$A$7:$A$123,0)),0)</f>
        <v>2265</v>
      </c>
      <c r="P20" s="34">
        <f>IFERROR(INDEX('データ'!P$7:P$123,MATCH($C$3&amp;"|"&amp;$B20,'データ'!$A$7:$A$123,0)),0)</f>
        <v>2378</v>
      </c>
      <c r="Q20" s="34">
        <f>IFERROR(INDEX('データ'!Q$7:Q$123,MATCH($C$3&amp;"|"&amp;$B20,'データ'!$A$7:$A$123,0)),0)</f>
        <v>2518</v>
      </c>
      <c r="R20" s="34">
        <f>IFERROR(INDEX('データ'!R$7:R$123,MATCH($C$3&amp;"|"&amp;$B20,'データ'!$A$7:$A$123,0)),0)</f>
        <v>2338</v>
      </c>
      <c r="S20" s="34">
        <f>IFERROR(INDEX('データ'!S$7:S$123,MATCH($C$3&amp;"|"&amp;$B20,'データ'!$A$7:$A$123,0)),0)</f>
        <v>2433</v>
      </c>
      <c r="T20" s="34">
        <f>IFERROR(INDEX('データ'!T$7:T$123,MATCH($C$3&amp;"|"&amp;$B20,'データ'!$A$7:$A$123,0)),0)</f>
        <v>2295</v>
      </c>
      <c r="U20" s="34">
        <f>IFERROR(INDEX('データ'!U$7:U$123,MATCH($C$3&amp;"|"&amp;$B20,'データ'!$A$7:$A$123,0)),0)</f>
        <v>2264</v>
      </c>
      <c r="V20" s="34">
        <f>IFERROR(INDEX('データ'!V$7:V$123,MATCH($C$3&amp;"|"&amp;$B20,'データ'!$A$7:$A$123,0)),0)</f>
        <v>2088</v>
      </c>
      <c r="W20" s="34">
        <f>IFERROR(INDEX('データ'!W$7:W$123,MATCH($C$3&amp;"|"&amp;$B20,'データ'!$A$7:$A$123,0)),0)</f>
        <v>1857</v>
      </c>
      <c r="X20" s="34">
        <f>IFERROR(INDEX('データ'!X$7:X$123,MATCH($C$3&amp;"|"&amp;$B20,'データ'!$A$7:$A$123,0)),0)</f>
        <v>1725</v>
      </c>
      <c r="Y20" s="34">
        <f>IFERROR(INDEX('データ'!Y$7:Y$123,MATCH($C$3&amp;"|"&amp;$B20,'データ'!$A$7:$A$123,0)),0)</f>
        <v>1697</v>
      </c>
      <c r="Z20" s="34">
        <f>IFERROR(INDEX('データ'!Z$7:Z$123,MATCH($C$3&amp;"|"&amp;$B20,'データ'!$A$7:$A$123,0)),0)</f>
        <v>1655</v>
      </c>
      <c r="AA20" s="34">
        <f>IFERROR(INDEX('データ'!AA$7:AA$123,MATCH($C$3&amp;"|"&amp;$B20,'データ'!$A$7:$A$123,0)),0)</f>
        <v>1687</v>
      </c>
      <c r="AB20" s="34">
        <f>IFERROR(INDEX('データ'!AB$7:AB$123,MATCH($C$3&amp;"|"&amp;$B20,'データ'!$A$7:$A$123,0)),0)</f>
        <v>1712</v>
      </c>
      <c r="AC20" s="34">
        <f>IFERROR(INDEX('データ'!AC$7:AC$123,MATCH($C$3&amp;"|"&amp;$B20,'データ'!$A$7:$A$123,0)),0)</f>
        <v>1960</v>
      </c>
      <c r="AD20" s="34">
        <f>IFERROR(INDEX('データ'!AD$7:AD$123,MATCH($C$3&amp;"|"&amp;$B20,'データ'!$A$7:$A$123,0)),0)</f>
        <v>1982</v>
      </c>
      <c r="AE20" s="34">
        <f>IFERROR(INDEX('データ'!AE$7:AE$123,MATCH($C$3&amp;"|"&amp;$B20,'データ'!$A$7:$A$123,0)),0)</f>
        <v>2137</v>
      </c>
      <c r="AF20" s="34">
        <f>IFERROR(INDEX('データ'!AF$7:AF$123,MATCH($C$3&amp;"|"&amp;$B20,'データ'!$A$7:$A$123,0)),0)</f>
        <v>2098</v>
      </c>
      <c r="AG20" s="34">
        <f>IFERROR(INDEX('データ'!AG$7:AG$123,MATCH($C$3&amp;"|"&amp;$B20,'データ'!$A$7:$A$123,0)),0)</f>
        <v>2145</v>
      </c>
      <c r="AH20" s="34">
        <f>IFERROR(INDEX('データ'!AH$7:AH$123,MATCH($C$3&amp;"|"&amp;$B20,'データ'!$A$7:$A$123,0)),0)</f>
        <v>1992</v>
      </c>
      <c r="AI20" s="34">
        <f>IFERROR(INDEX('データ'!AI$7:AI$123,MATCH($C$3&amp;"|"&amp;$B20,'データ'!$A$7:$A$123,0)),0)</f>
        <v>1968</v>
      </c>
      <c r="AJ20" s="34">
        <f>IFERROR(INDEX('データ'!AJ$7:AJ$123,MATCH($C$3&amp;"|"&amp;$B20,'データ'!$A$7:$A$123,0)),0)</f>
        <v>1859</v>
      </c>
      <c r="AK20" s="34">
        <f>IFERROR(INDEX('データ'!AK$7:AK$123,MATCH($C$3&amp;"|"&amp;$B20,'データ'!$A$7:$A$123,0)),0)</f>
        <v>1856</v>
      </c>
      <c r="AL20" s="34">
        <f>IFERROR(INDEX('データ'!AL$7:AL$123,MATCH($C$3&amp;"|"&amp;$B20,'データ'!$A$7:$A$123,0)),0)</f>
        <v>1842</v>
      </c>
      <c r="AM20" s="34">
        <f>IFERROR(INDEX('データ'!AM$7:AM$123,MATCH($C$3&amp;"|"&amp;$B20,'データ'!$A$7:$A$123,0)),0)</f>
        <v>1824</v>
      </c>
      <c r="AN20" s="34">
        <f>IFERROR(INDEX('データ'!AN$7:AN$123,MATCH($C$3&amp;"|"&amp;$B20,'データ'!$A$7:$A$123,0)),0)</f>
        <v>1743</v>
      </c>
      <c r="AO20" s="34">
        <f>IFERROR(INDEX('データ'!AO$7:AO$123,MATCH($C$3&amp;"|"&amp;$B20,'データ'!$A$7:$A$123,0)),0)</f>
        <v>1775</v>
      </c>
      <c r="AP20" s="34">
        <f>IFERROR(INDEX('データ'!AP$7:AP$123,MATCH($C$3&amp;"|"&amp;$B20,'データ'!$A$7:$A$123,0)),0)</f>
        <v>1573</v>
      </c>
      <c r="AQ20" s="34">
        <f>IFERROR(INDEX('データ'!AQ$7:AQ$123,MATCH($C$3&amp;"|"&amp;$B20,'データ'!$A$7:$A$123,0)),0)</f>
        <v>1361</v>
      </c>
      <c r="AR20" s="34">
        <f>IFERROR(INDEX('データ'!AR$7:AR$123,MATCH($C$3&amp;"|"&amp;$B20,'データ'!$A$7:$A$123,0)),0)</f>
        <v>719</v>
      </c>
      <c r="AS20" s="34">
        <f>IFERROR(INDEX('データ'!AS$7:AS$123,MATCH($C$3&amp;"|"&amp;$B20,'データ'!$A$7:$A$123,0)),0)</f>
        <v>217</v>
      </c>
      <c r="AT20" s="34">
        <f>IFERROR(INDEX('データ'!AT$7:AT$123,MATCH($C$3&amp;"|"&amp;$B20,'データ'!$A$7:$A$123,0)),0)</f>
        <v>44</v>
      </c>
      <c r="AU20" s="34">
        <f>IFERROR(INDEX('データ'!AU$7:AU$123,MATCH($C$3&amp;"|"&amp;$B20,'データ'!$A$7:$A$123,0)),0)</f>
        <v>9</v>
      </c>
      <c r="AV20" s="34">
        <f>IFERROR(INDEX('データ'!AV$7:AV$123,MATCH($C$3&amp;"|"&amp;$B20,'データ'!$A$7:$A$123,0)),0)</f>
        <v>3</v>
      </c>
      <c r="AW20" s="34">
        <f>IFERROR(INDEX('データ'!AW$7:AW$123,MATCH($C$3&amp;"|"&amp;$B20,'データ'!$A$7:$A$123,0)),0)</f>
        <v>0</v>
      </c>
      <c r="AX20" s="34">
        <f>IFERROR(INDEX('データ'!AX$7:AX$123,MATCH($C$3&amp;"|"&amp;$B20,'データ'!$A$7:$A$123,0)),0)</f>
        <v>0</v>
      </c>
      <c r="AY20" s="34">
        <f>IFERROR(INDEX('データ'!AY$7:AY$123,MATCH($C$3&amp;"|"&amp;$B20,'データ'!$A$7:$A$123,0)),0)</f>
        <v>0</v>
      </c>
      <c r="AZ20" s="34">
        <f>IFERROR(INDEX('データ'!AZ$7:AZ$123,MATCH($C$3&amp;"|"&amp;$B20,'データ'!$A$7:$A$123,0)),0)</f>
        <v>0</v>
      </c>
      <c r="BA20" s="34">
        <f>IFERROR(INDEX('データ'!BA$7:BA$123,MATCH($C$3&amp;"|"&amp;$B20,'データ'!$A$7:$A$123,0)),0)</f>
        <v>0</v>
      </c>
      <c r="BB20" s="34">
        <f>IFERROR(INDEX('データ'!BB$7:BB$123,MATCH($C$3&amp;"|"&amp;$B20,'データ'!$A$7:$A$123,0)),0)</f>
        <v>0</v>
      </c>
      <c r="BC20" s="34">
        <f>IFERROR(INDEX('データ'!BC$7:BC$123,MATCH($C$3&amp;"|"&amp;$B20,'データ'!$A$7:$A$123,0)),0)</f>
        <v>0</v>
      </c>
      <c r="BD20" s="34">
        <f>IFERROR(INDEX('データ'!BD$7:BD$123,MATCH($C$3&amp;"|"&amp;$B20,'データ'!$A$7:$A$123,0)),0)</f>
        <v>0</v>
      </c>
      <c r="BE20" s="34">
        <f>IFERROR(INDEX('データ'!BE$7:BE$123,MATCH($C$3&amp;"|"&amp;$B20,'データ'!$A$7:$A$123,0)),0)</f>
        <v>0</v>
      </c>
      <c r="BF20" s="34">
        <f>IFERROR(INDEX('データ'!BF$7:BF$123,MATCH($C$3&amp;"|"&amp;$B20,'データ'!$A$7:$A$123,0)),0)</f>
        <v>0</v>
      </c>
      <c r="BG20" s="34">
        <f>IFERROR(INDEX('データ'!BG$7:BG$123,MATCH($C$3&amp;"|"&amp;$B20,'データ'!$A$7:$A$123,0)),0)</f>
        <v>0</v>
      </c>
    </row>
    <row r="21" spans="2:59" ht="20" customHeight="1">
      <c r="B21" s="33" t="s">
        <v>75</v>
      </c>
      <c r="C21" s="33"/>
      <c r="D21" s="34">
        <f>IFERROR(INDEX('データ'!D$7:D$123,MATCH($C$3&amp;"|"&amp;$B21,'データ'!$A$7:$A$123,0)),0)</f>
        <v>0</v>
      </c>
      <c r="E21" s="34">
        <f>IFERROR(INDEX('データ'!E$7:E$123,MATCH($C$3&amp;"|"&amp;$B21,'データ'!$A$7:$A$123,0)),0)</f>
        <v>0</v>
      </c>
      <c r="F21" s="34">
        <f>IFERROR(INDEX('データ'!F$7:F$123,MATCH($C$3&amp;"|"&amp;$B21,'データ'!$A$7:$A$123,0)),0)</f>
        <v>0</v>
      </c>
      <c r="G21" s="34">
        <f>IFERROR(INDEX('データ'!G$7:G$123,MATCH($C$3&amp;"|"&amp;$B21,'データ'!$A$7:$A$123,0)),0)</f>
        <v>25</v>
      </c>
      <c r="H21" s="34">
        <f>IFERROR(INDEX('データ'!H$7:H$123,MATCH($C$3&amp;"|"&amp;$B21,'データ'!$A$7:$A$123,0)),0)</f>
        <v>187</v>
      </c>
      <c r="I21" s="34">
        <f>IFERROR(INDEX('データ'!I$7:I$123,MATCH($C$3&amp;"|"&amp;$B21,'データ'!$A$7:$A$123,0)),0)</f>
        <v>610</v>
      </c>
      <c r="J21" s="34">
        <f>IFERROR(INDEX('データ'!J$7:J$123,MATCH($C$3&amp;"|"&amp;$B21,'データ'!$A$7:$A$123,0)),0)</f>
        <v>1303</v>
      </c>
      <c r="K21" s="34">
        <f>IFERROR(INDEX('データ'!K$7:K$123,MATCH($C$3&amp;"|"&amp;$B21,'データ'!$A$7:$A$123,0)),0)</f>
        <v>1462</v>
      </c>
      <c r="L21" s="34">
        <f>IFERROR(INDEX('データ'!L$7:L$123,MATCH($C$3&amp;"|"&amp;$B21,'データ'!$A$7:$A$123,0)),0)</f>
        <v>1613</v>
      </c>
      <c r="M21" s="34">
        <f>IFERROR(INDEX('データ'!M$7:M$123,MATCH($C$3&amp;"|"&amp;$B21,'データ'!$A$7:$A$123,0)),0)</f>
        <v>1698</v>
      </c>
      <c r="N21" s="34">
        <f>IFERROR(INDEX('データ'!N$7:N$123,MATCH($C$3&amp;"|"&amp;$B21,'データ'!$A$7:$A$123,0)),0)</f>
        <v>1802</v>
      </c>
      <c r="O21" s="34">
        <f>IFERROR(INDEX('データ'!O$7:O$123,MATCH($C$3&amp;"|"&amp;$B21,'データ'!$A$7:$A$123,0)),0)</f>
        <v>1984</v>
      </c>
      <c r="P21" s="34">
        <f>IFERROR(INDEX('データ'!P$7:P$123,MATCH($C$3&amp;"|"&amp;$B21,'データ'!$A$7:$A$123,0)),0)</f>
        <v>2021</v>
      </c>
      <c r="Q21" s="34">
        <f>IFERROR(INDEX('データ'!Q$7:Q$123,MATCH($C$3&amp;"|"&amp;$B21,'データ'!$A$7:$A$123,0)),0)</f>
        <v>2104</v>
      </c>
      <c r="R21" s="34">
        <f>IFERROR(INDEX('データ'!R$7:R$123,MATCH($C$3&amp;"|"&amp;$B21,'データ'!$A$7:$A$123,0)),0)</f>
        <v>2081</v>
      </c>
      <c r="S21" s="34">
        <f>IFERROR(INDEX('データ'!S$7:S$123,MATCH($C$3&amp;"|"&amp;$B21,'データ'!$A$7:$A$123,0)),0)</f>
        <v>2141</v>
      </c>
      <c r="T21" s="34">
        <f>IFERROR(INDEX('データ'!T$7:T$123,MATCH($C$3&amp;"|"&amp;$B21,'データ'!$A$7:$A$123,0)),0)</f>
        <v>1982</v>
      </c>
      <c r="U21" s="34">
        <f>IFERROR(INDEX('データ'!U$7:U$123,MATCH($C$3&amp;"|"&amp;$B21,'データ'!$A$7:$A$123,0)),0)</f>
        <v>1911</v>
      </c>
      <c r="V21" s="34">
        <f>IFERROR(INDEX('データ'!V$7:V$123,MATCH($C$3&amp;"|"&amp;$B21,'データ'!$A$7:$A$123,0)),0)</f>
        <v>1947</v>
      </c>
      <c r="W21" s="34">
        <f>IFERROR(INDEX('データ'!W$7:W$123,MATCH($C$3&amp;"|"&amp;$B21,'データ'!$A$7:$A$123,0)),0)</f>
        <v>1643</v>
      </c>
      <c r="X21" s="34">
        <f>IFERROR(INDEX('データ'!X$7:X$123,MATCH($C$3&amp;"|"&amp;$B21,'データ'!$A$7:$A$123,0)),0)</f>
        <v>1570</v>
      </c>
      <c r="Y21" s="34">
        <f>IFERROR(INDEX('データ'!Y$7:Y$123,MATCH($C$3&amp;"|"&amp;$B21,'データ'!$A$7:$A$123,0)),0)</f>
        <v>1499</v>
      </c>
      <c r="Z21" s="34">
        <f>IFERROR(INDEX('データ'!Z$7:Z$123,MATCH($C$3&amp;"|"&amp;$B21,'データ'!$A$7:$A$123,0)),0)</f>
        <v>1465</v>
      </c>
      <c r="AA21" s="34">
        <f>IFERROR(INDEX('データ'!AA$7:AA$123,MATCH($C$3&amp;"|"&amp;$B21,'データ'!$A$7:$A$123,0)),0)</f>
        <v>1496</v>
      </c>
      <c r="AB21" s="34">
        <f>IFERROR(INDEX('データ'!AB$7:AB$123,MATCH($C$3&amp;"|"&amp;$B21,'データ'!$A$7:$A$123,0)),0)</f>
        <v>1598</v>
      </c>
      <c r="AC21" s="34">
        <f>IFERROR(INDEX('データ'!AC$7:AC$123,MATCH($C$3&amp;"|"&amp;$B21,'データ'!$A$7:$A$123,0)),0)</f>
        <v>1730</v>
      </c>
      <c r="AD21" s="34">
        <f>IFERROR(INDEX('データ'!AD$7:AD$123,MATCH($C$3&amp;"|"&amp;$B21,'データ'!$A$7:$A$123,0)),0)</f>
        <v>1836</v>
      </c>
      <c r="AE21" s="34">
        <f>IFERROR(INDEX('データ'!AE$7:AE$123,MATCH($C$3&amp;"|"&amp;$B21,'データ'!$A$7:$A$123,0)),0)</f>
        <v>1847</v>
      </c>
      <c r="AF21" s="34">
        <f>IFERROR(INDEX('データ'!AF$7:AF$123,MATCH($C$3&amp;"|"&amp;$B21,'データ'!$A$7:$A$123,0)),0)</f>
        <v>1845</v>
      </c>
      <c r="AG21" s="34">
        <f>IFERROR(INDEX('データ'!AG$7:AG$123,MATCH($C$3&amp;"|"&amp;$B21,'データ'!$A$7:$A$123,0)),0)</f>
        <v>1842</v>
      </c>
      <c r="AH21" s="34">
        <f>IFERROR(INDEX('データ'!AH$7:AH$123,MATCH($C$3&amp;"|"&amp;$B21,'データ'!$A$7:$A$123,0)),0)</f>
        <v>1908</v>
      </c>
      <c r="AI21" s="34">
        <f>IFERROR(INDEX('データ'!AI$7:AI$123,MATCH($C$3&amp;"|"&amp;$B21,'データ'!$A$7:$A$123,0)),0)</f>
        <v>1793</v>
      </c>
      <c r="AJ21" s="34">
        <f>IFERROR(INDEX('データ'!AJ$7:AJ$123,MATCH($C$3&amp;"|"&amp;$B21,'データ'!$A$7:$A$123,0)),0)</f>
        <v>1748</v>
      </c>
      <c r="AK21" s="34">
        <f>IFERROR(INDEX('データ'!AK$7:AK$123,MATCH($C$3&amp;"|"&amp;$B21,'データ'!$A$7:$A$123,0)),0)</f>
        <v>1680</v>
      </c>
      <c r="AL21" s="34">
        <f>IFERROR(INDEX('データ'!AL$7:AL$123,MATCH($C$3&amp;"|"&amp;$B21,'データ'!$A$7:$A$123,0)),0)</f>
        <v>1715</v>
      </c>
      <c r="AM21" s="34">
        <f>IFERROR(INDEX('データ'!AM$7:AM$123,MATCH($C$3&amp;"|"&amp;$B21,'データ'!$A$7:$A$123,0)),0)</f>
        <v>1666</v>
      </c>
      <c r="AN21" s="34">
        <f>IFERROR(INDEX('データ'!AN$7:AN$123,MATCH($C$3&amp;"|"&amp;$B21,'データ'!$A$7:$A$123,0)),0)</f>
        <v>1605</v>
      </c>
      <c r="AO21" s="34">
        <f>IFERROR(INDEX('データ'!AO$7:AO$123,MATCH($C$3&amp;"|"&amp;$B21,'データ'!$A$7:$A$123,0)),0)</f>
        <v>1532</v>
      </c>
      <c r="AP21" s="34">
        <f>IFERROR(INDEX('データ'!AP$7:AP$123,MATCH($C$3&amp;"|"&amp;$B21,'データ'!$A$7:$A$123,0)),0)</f>
        <v>1341</v>
      </c>
      <c r="AQ21" s="34">
        <f>IFERROR(INDEX('データ'!AQ$7:AQ$123,MATCH($C$3&amp;"|"&amp;$B21,'データ'!$A$7:$A$123,0)),0)</f>
        <v>1048</v>
      </c>
      <c r="AR21" s="34">
        <f>IFERROR(INDEX('データ'!AR$7:AR$123,MATCH($C$3&amp;"|"&amp;$B21,'データ'!$A$7:$A$123,0)),0)</f>
        <v>608</v>
      </c>
      <c r="AS21" s="34">
        <f>IFERROR(INDEX('データ'!AS$7:AS$123,MATCH($C$3&amp;"|"&amp;$B21,'データ'!$A$7:$A$123,0)),0)</f>
        <v>168</v>
      </c>
      <c r="AT21" s="34">
        <f>IFERROR(INDEX('データ'!AT$7:AT$123,MATCH($C$3&amp;"|"&amp;$B21,'データ'!$A$7:$A$123,0)),0)</f>
        <v>39</v>
      </c>
      <c r="AU21" s="34">
        <f>IFERROR(INDEX('データ'!AU$7:AU$123,MATCH($C$3&amp;"|"&amp;$B21,'データ'!$A$7:$A$123,0)),0)</f>
        <v>10</v>
      </c>
      <c r="AV21" s="34">
        <f>IFERROR(INDEX('データ'!AV$7:AV$123,MATCH($C$3&amp;"|"&amp;$B21,'データ'!$A$7:$A$123,0)),0)</f>
        <v>3</v>
      </c>
      <c r="AW21" s="34">
        <f>IFERROR(INDEX('データ'!AW$7:AW$123,MATCH($C$3&amp;"|"&amp;$B21,'データ'!$A$7:$A$123,0)),0)</f>
        <v>0</v>
      </c>
      <c r="AX21" s="34">
        <f>IFERROR(INDEX('データ'!AX$7:AX$123,MATCH($C$3&amp;"|"&amp;$B21,'データ'!$A$7:$A$123,0)),0)</f>
        <v>1</v>
      </c>
      <c r="AY21" s="34">
        <f>IFERROR(INDEX('データ'!AY$7:AY$123,MATCH($C$3&amp;"|"&amp;$B21,'データ'!$A$7:$A$123,0)),0)</f>
        <v>0</v>
      </c>
      <c r="AZ21" s="34">
        <f>IFERROR(INDEX('データ'!AZ$7:AZ$123,MATCH($C$3&amp;"|"&amp;$B21,'データ'!$A$7:$A$123,0)),0)</f>
        <v>0</v>
      </c>
      <c r="BA21" s="34">
        <f>IFERROR(INDEX('データ'!BA$7:BA$123,MATCH($C$3&amp;"|"&amp;$B21,'データ'!$A$7:$A$123,0)),0)</f>
        <v>0</v>
      </c>
      <c r="BB21" s="34">
        <f>IFERROR(INDEX('データ'!BB$7:BB$123,MATCH($C$3&amp;"|"&amp;$B21,'データ'!$A$7:$A$123,0)),0)</f>
        <v>0</v>
      </c>
      <c r="BC21" s="34">
        <f>IFERROR(INDEX('データ'!BC$7:BC$123,MATCH($C$3&amp;"|"&amp;$B21,'データ'!$A$7:$A$123,0)),0)</f>
        <v>0</v>
      </c>
      <c r="BD21" s="34">
        <f>IFERROR(INDEX('データ'!BD$7:BD$123,MATCH($C$3&amp;"|"&amp;$B21,'データ'!$A$7:$A$123,0)),0)</f>
        <v>0</v>
      </c>
      <c r="BE21" s="34">
        <f>IFERROR(INDEX('データ'!BE$7:BE$123,MATCH($C$3&amp;"|"&amp;$B21,'データ'!$A$7:$A$123,0)),0)</f>
        <v>0</v>
      </c>
      <c r="BF21" s="34">
        <f>IFERROR(INDEX('データ'!BF$7:BF$123,MATCH($C$3&amp;"|"&amp;$B21,'データ'!$A$7:$A$123,0)),0)</f>
        <v>0</v>
      </c>
      <c r="BG21" s="34">
        <f>IFERROR(INDEX('データ'!BG$7:BG$123,MATCH($C$3&amp;"|"&amp;$B21,'データ'!$A$7:$A$123,0)),0)</f>
        <v>0</v>
      </c>
    </row>
    <row r="22" spans="2:59" ht="20" customHeight="1">
      <c r="B22" s="33" t="s">
        <v>77</v>
      </c>
      <c r="C22" s="33"/>
      <c r="D22" s="34">
        <f>IFERROR(INDEX('データ'!D$7:D$123,MATCH($C$3&amp;"|"&amp;$B22,'データ'!$A$7:$A$123,0)),0)</f>
        <v>0</v>
      </c>
      <c r="E22" s="34">
        <f>IFERROR(INDEX('データ'!E$7:E$123,MATCH($C$3&amp;"|"&amp;$B22,'データ'!$A$7:$A$123,0)),0)</f>
        <v>0</v>
      </c>
      <c r="F22" s="34">
        <f>IFERROR(INDEX('データ'!F$7:F$123,MATCH($C$3&amp;"|"&amp;$B22,'データ'!$A$7:$A$123,0)),0)</f>
        <v>0</v>
      </c>
      <c r="G22" s="34">
        <f>IFERROR(INDEX('データ'!G$7:G$123,MATCH($C$3&amp;"|"&amp;$B22,'データ'!$A$7:$A$123,0)),0)</f>
        <v>16</v>
      </c>
      <c r="H22" s="34">
        <f>IFERROR(INDEX('データ'!H$7:H$123,MATCH($C$3&amp;"|"&amp;$B22,'データ'!$A$7:$A$123,0)),0)</f>
        <v>152</v>
      </c>
      <c r="I22" s="34">
        <f>IFERROR(INDEX('データ'!I$7:I$123,MATCH($C$3&amp;"|"&amp;$B22,'データ'!$A$7:$A$123,0)),0)</f>
        <v>492</v>
      </c>
      <c r="J22" s="34">
        <f>IFERROR(INDEX('データ'!J$7:J$123,MATCH($C$3&amp;"|"&amp;$B22,'データ'!$A$7:$A$123,0)),0)</f>
        <v>1121</v>
      </c>
      <c r="K22" s="34">
        <f>IFERROR(INDEX('データ'!K$7:K$123,MATCH($C$3&amp;"|"&amp;$B22,'データ'!$A$7:$A$123,0)),0)</f>
        <v>1291</v>
      </c>
      <c r="L22" s="34">
        <f>IFERROR(INDEX('データ'!L$7:L$123,MATCH($C$3&amp;"|"&amp;$B22,'データ'!$A$7:$A$123,0)),0)</f>
        <v>1569</v>
      </c>
      <c r="M22" s="34">
        <f>IFERROR(INDEX('データ'!M$7:M$123,MATCH($C$3&amp;"|"&amp;$B22,'データ'!$A$7:$A$123,0)),0)</f>
        <v>1718</v>
      </c>
      <c r="N22" s="34">
        <f>IFERROR(INDEX('データ'!N$7:N$123,MATCH($C$3&amp;"|"&amp;$B22,'データ'!$A$7:$A$123,0)),0)</f>
        <v>1864</v>
      </c>
      <c r="O22" s="34">
        <f>IFERROR(INDEX('データ'!O$7:O$123,MATCH($C$3&amp;"|"&amp;$B22,'データ'!$A$7:$A$123,0)),0)</f>
        <v>1933</v>
      </c>
      <c r="P22" s="34">
        <f>IFERROR(INDEX('データ'!P$7:P$123,MATCH($C$3&amp;"|"&amp;$B22,'データ'!$A$7:$A$123,0)),0)</f>
        <v>2040</v>
      </c>
      <c r="Q22" s="34">
        <f>IFERROR(INDEX('データ'!Q$7:Q$123,MATCH($C$3&amp;"|"&amp;$B22,'データ'!$A$7:$A$123,0)),0)</f>
        <v>2129</v>
      </c>
      <c r="R22" s="34">
        <f>IFERROR(INDEX('データ'!R$7:R$123,MATCH($C$3&amp;"|"&amp;$B22,'データ'!$A$7:$A$123,0)),0)</f>
        <v>2174</v>
      </c>
      <c r="S22" s="34">
        <f>IFERROR(INDEX('データ'!S$7:S$123,MATCH($C$3&amp;"|"&amp;$B22,'データ'!$A$7:$A$123,0)),0)</f>
        <v>2007</v>
      </c>
      <c r="T22" s="34">
        <f>IFERROR(INDEX('データ'!T$7:T$123,MATCH($C$3&amp;"|"&amp;$B22,'データ'!$A$7:$A$123,0)),0)</f>
        <v>2088</v>
      </c>
      <c r="U22" s="34">
        <f>IFERROR(INDEX('データ'!U$7:U$123,MATCH($C$3&amp;"|"&amp;$B22,'データ'!$A$7:$A$123,0)),0)</f>
        <v>1965</v>
      </c>
      <c r="V22" s="34">
        <f>IFERROR(INDEX('データ'!V$7:V$123,MATCH($C$3&amp;"|"&amp;$B22,'データ'!$A$7:$A$123,0)),0)</f>
        <v>1780</v>
      </c>
      <c r="W22" s="34">
        <f>IFERROR(INDEX('データ'!W$7:W$123,MATCH($C$3&amp;"|"&amp;$B22,'データ'!$A$7:$A$123,0)),0)</f>
        <v>1655</v>
      </c>
      <c r="X22" s="34">
        <f>IFERROR(INDEX('データ'!X$7:X$123,MATCH($C$3&amp;"|"&amp;$B22,'データ'!$A$7:$A$123,0)),0)</f>
        <v>1536</v>
      </c>
      <c r="Y22" s="34">
        <f>IFERROR(INDEX('データ'!Y$7:Y$123,MATCH($C$3&amp;"|"&amp;$B22,'データ'!$A$7:$A$123,0)),0)</f>
        <v>1511</v>
      </c>
      <c r="Z22" s="34">
        <f>IFERROR(INDEX('データ'!Z$7:Z$123,MATCH($C$3&amp;"|"&amp;$B22,'データ'!$A$7:$A$123,0)),0)</f>
        <v>1574</v>
      </c>
      <c r="AA22" s="34">
        <f>IFERROR(INDEX('データ'!AA$7:AA$123,MATCH($C$3&amp;"|"&amp;$B22,'データ'!$A$7:$A$123,0)),0)</f>
        <v>1537</v>
      </c>
      <c r="AB22" s="34">
        <f>IFERROR(INDEX('データ'!AB$7:AB$123,MATCH($C$3&amp;"|"&amp;$B22,'データ'!$A$7:$A$123,0)),0)</f>
        <v>1545</v>
      </c>
      <c r="AC22" s="34">
        <f>IFERROR(INDEX('データ'!AC$7:AC$123,MATCH($C$3&amp;"|"&amp;$B22,'データ'!$A$7:$A$123,0)),0)</f>
        <v>1708</v>
      </c>
      <c r="AD22" s="34">
        <f>IFERROR(INDEX('データ'!AD$7:AD$123,MATCH($C$3&amp;"|"&amp;$B22,'データ'!$A$7:$A$123,0)),0)</f>
        <v>1777</v>
      </c>
      <c r="AE22" s="34">
        <f>IFERROR(INDEX('データ'!AE$7:AE$123,MATCH($C$3&amp;"|"&amp;$B22,'データ'!$A$7:$A$123,0)),0)</f>
        <v>1910</v>
      </c>
      <c r="AF22" s="34">
        <f>IFERROR(INDEX('データ'!AF$7:AF$123,MATCH($C$3&amp;"|"&amp;$B22,'データ'!$A$7:$A$123,0)),0)</f>
        <v>1784</v>
      </c>
      <c r="AG22" s="34">
        <f>IFERROR(INDEX('データ'!AG$7:AG$123,MATCH($C$3&amp;"|"&amp;$B22,'データ'!$A$7:$A$123,0)),0)</f>
        <v>1862</v>
      </c>
      <c r="AH22" s="34">
        <f>IFERROR(INDEX('データ'!AH$7:AH$123,MATCH($C$3&amp;"|"&amp;$B22,'データ'!$A$7:$A$123,0)),0)</f>
        <v>1838</v>
      </c>
      <c r="AI22" s="34">
        <f>IFERROR(INDEX('データ'!AI$7:AI$123,MATCH($C$3&amp;"|"&amp;$B22,'データ'!$A$7:$A$123,0)),0)</f>
        <v>1712</v>
      </c>
      <c r="AJ22" s="34">
        <f>IFERROR(INDEX('データ'!AJ$7:AJ$123,MATCH($C$3&amp;"|"&amp;$B22,'データ'!$A$7:$A$123,0)),0)</f>
        <v>1767</v>
      </c>
      <c r="AK22" s="34">
        <f>IFERROR(INDEX('データ'!AK$7:AK$123,MATCH($C$3&amp;"|"&amp;$B22,'データ'!$A$7:$A$123,0)),0)</f>
        <v>1687</v>
      </c>
      <c r="AL22" s="34">
        <f>IFERROR(INDEX('データ'!AL$7:AL$123,MATCH($C$3&amp;"|"&amp;$B22,'データ'!$A$7:$A$123,0)),0)</f>
        <v>1648</v>
      </c>
      <c r="AM22" s="34">
        <f>IFERROR(INDEX('データ'!AM$7:AM$123,MATCH($C$3&amp;"|"&amp;$B22,'データ'!$A$7:$A$123,0)),0)</f>
        <v>1635</v>
      </c>
      <c r="AN22" s="34">
        <f>IFERROR(INDEX('データ'!AN$7:AN$123,MATCH($C$3&amp;"|"&amp;$B22,'データ'!$A$7:$A$123,0)),0)</f>
        <v>1669</v>
      </c>
      <c r="AO22" s="34">
        <f>IFERROR(INDEX('データ'!AO$7:AO$123,MATCH($C$3&amp;"|"&amp;$B22,'データ'!$A$7:$A$123,0)),0)</f>
        <v>1558</v>
      </c>
      <c r="AP22" s="34">
        <f>IFERROR(INDEX('データ'!AP$7:AP$123,MATCH($C$3&amp;"|"&amp;$B22,'データ'!$A$7:$A$123,0)),0)</f>
        <v>1431</v>
      </c>
      <c r="AQ22" s="34">
        <f>IFERROR(INDEX('データ'!AQ$7:AQ$123,MATCH($C$3&amp;"|"&amp;$B22,'データ'!$A$7:$A$123,0)),0)</f>
        <v>1102</v>
      </c>
      <c r="AR22" s="34">
        <f>IFERROR(INDEX('データ'!AR$7:AR$123,MATCH($C$3&amp;"|"&amp;$B22,'データ'!$A$7:$A$123,0)),0)</f>
        <v>663</v>
      </c>
      <c r="AS22" s="34">
        <f>IFERROR(INDEX('データ'!AS$7:AS$123,MATCH($C$3&amp;"|"&amp;$B22,'データ'!$A$7:$A$123,0)),0)</f>
        <v>176</v>
      </c>
      <c r="AT22" s="34">
        <f>IFERROR(INDEX('データ'!AT$7:AT$123,MATCH($C$3&amp;"|"&amp;$B22,'データ'!$A$7:$A$123,0)),0)</f>
        <v>44</v>
      </c>
      <c r="AU22" s="34">
        <f>IFERROR(INDEX('データ'!AU$7:AU$123,MATCH($C$3&amp;"|"&amp;$B22,'データ'!$A$7:$A$123,0)),0)</f>
        <v>4</v>
      </c>
      <c r="AV22" s="34">
        <f>IFERROR(INDEX('データ'!AV$7:AV$123,MATCH($C$3&amp;"|"&amp;$B22,'データ'!$A$7:$A$123,0)),0)</f>
        <v>0</v>
      </c>
      <c r="AW22" s="34">
        <f>IFERROR(INDEX('データ'!AW$7:AW$123,MATCH($C$3&amp;"|"&amp;$B22,'データ'!$A$7:$A$123,0)),0)</f>
        <v>0</v>
      </c>
      <c r="AX22" s="34">
        <f>IFERROR(INDEX('データ'!AX$7:AX$123,MATCH($C$3&amp;"|"&amp;$B22,'データ'!$A$7:$A$123,0)),0)</f>
        <v>0</v>
      </c>
      <c r="AY22" s="34">
        <f>IFERROR(INDEX('データ'!AY$7:AY$123,MATCH($C$3&amp;"|"&amp;$B22,'データ'!$A$7:$A$123,0)),0)</f>
        <v>0</v>
      </c>
      <c r="AZ22" s="34">
        <f>IFERROR(INDEX('データ'!AZ$7:AZ$123,MATCH($C$3&amp;"|"&amp;$B22,'データ'!$A$7:$A$123,0)),0)</f>
        <v>0</v>
      </c>
      <c r="BA22" s="34">
        <f>IFERROR(INDEX('データ'!BA$7:BA$123,MATCH($C$3&amp;"|"&amp;$B22,'データ'!$A$7:$A$123,0)),0)</f>
        <v>0</v>
      </c>
      <c r="BB22" s="34">
        <f>IFERROR(INDEX('データ'!BB$7:BB$123,MATCH($C$3&amp;"|"&amp;$B22,'データ'!$A$7:$A$123,0)),0)</f>
        <v>0</v>
      </c>
      <c r="BC22" s="34">
        <f>IFERROR(INDEX('データ'!BC$7:BC$123,MATCH($C$3&amp;"|"&amp;$B22,'データ'!$A$7:$A$123,0)),0)</f>
        <v>0</v>
      </c>
      <c r="BD22" s="34">
        <f>IFERROR(INDEX('データ'!BD$7:BD$123,MATCH($C$3&amp;"|"&amp;$B22,'データ'!$A$7:$A$123,0)),0)</f>
        <v>0</v>
      </c>
      <c r="BE22" s="34">
        <f>IFERROR(INDEX('データ'!BE$7:BE$123,MATCH($C$3&amp;"|"&amp;$B22,'データ'!$A$7:$A$123,0)),0)</f>
        <v>0</v>
      </c>
      <c r="BF22" s="34">
        <f>IFERROR(INDEX('データ'!BF$7:BF$123,MATCH($C$3&amp;"|"&amp;$B22,'データ'!$A$7:$A$123,0)),0)</f>
        <v>0</v>
      </c>
      <c r="BG22" s="34">
        <f>IFERROR(INDEX('データ'!BG$7:BG$123,MATCH($C$3&amp;"|"&amp;$B22,'データ'!$A$7:$A$123,0)),0)</f>
        <v>0</v>
      </c>
    </row>
    <row r="23" spans="2:59" ht="20" customHeight="1">
      <c r="B23" s="33" t="s">
        <v>79</v>
      </c>
      <c r="C23" s="33"/>
      <c r="D23" s="34">
        <f>IFERROR(INDEX('データ'!D$7:D$123,MATCH($C$3&amp;"|"&amp;$B23,'データ'!$A$7:$A$123,0)),0)</f>
        <v>0</v>
      </c>
      <c r="E23" s="34">
        <f>IFERROR(INDEX('データ'!E$7:E$123,MATCH($C$3&amp;"|"&amp;$B23,'データ'!$A$7:$A$123,0)),0)</f>
        <v>0</v>
      </c>
      <c r="F23" s="34">
        <f>IFERROR(INDEX('データ'!F$7:F$123,MATCH($C$3&amp;"|"&amp;$B23,'データ'!$A$7:$A$123,0)),0)</f>
        <v>0</v>
      </c>
      <c r="G23" s="34">
        <f>IFERROR(INDEX('データ'!G$7:G$123,MATCH($C$3&amp;"|"&amp;$B23,'データ'!$A$7:$A$123,0)),0)</f>
        <v>18</v>
      </c>
      <c r="H23" s="34">
        <f>IFERROR(INDEX('データ'!H$7:H$123,MATCH($C$3&amp;"|"&amp;$B23,'データ'!$A$7:$A$123,0)),0)</f>
        <v>161</v>
      </c>
      <c r="I23" s="34">
        <f>IFERROR(INDEX('データ'!I$7:I$123,MATCH($C$3&amp;"|"&amp;$B23,'データ'!$A$7:$A$123,0)),0)</f>
        <v>476</v>
      </c>
      <c r="J23" s="34">
        <f>IFERROR(INDEX('データ'!J$7:J$123,MATCH($C$3&amp;"|"&amp;$B23,'データ'!$A$7:$A$123,0)),0)</f>
        <v>1189</v>
      </c>
      <c r="K23" s="34">
        <f>IFERROR(INDEX('データ'!K$7:K$123,MATCH($C$3&amp;"|"&amp;$B23,'データ'!$A$7:$A$123,0)),0)</f>
        <v>1400</v>
      </c>
      <c r="L23" s="34">
        <f>IFERROR(INDEX('データ'!L$7:L$123,MATCH($C$3&amp;"|"&amp;$B23,'データ'!$A$7:$A$123,0)),0)</f>
        <v>1587</v>
      </c>
      <c r="M23" s="34">
        <f>IFERROR(INDEX('データ'!M$7:M$123,MATCH($C$3&amp;"|"&amp;$B23,'データ'!$A$7:$A$123,0)),0)</f>
        <v>1878</v>
      </c>
      <c r="N23" s="34">
        <f>IFERROR(INDEX('データ'!N$7:N$123,MATCH($C$3&amp;"|"&amp;$B23,'データ'!$A$7:$A$123,0)),0)</f>
        <v>1876</v>
      </c>
      <c r="O23" s="34">
        <f>IFERROR(INDEX('データ'!O$7:O$123,MATCH($C$3&amp;"|"&amp;$B23,'データ'!$A$7:$A$123,0)),0)</f>
        <v>2002</v>
      </c>
      <c r="P23" s="34">
        <f>IFERROR(INDEX('データ'!P$7:P$123,MATCH($C$3&amp;"|"&amp;$B23,'データ'!$A$7:$A$123,0)),0)</f>
        <v>2214</v>
      </c>
      <c r="Q23" s="34">
        <f>IFERROR(INDEX('データ'!Q$7:Q$123,MATCH($C$3&amp;"|"&amp;$B23,'データ'!$A$7:$A$123,0)),0)</f>
        <v>2403</v>
      </c>
      <c r="R23" s="34">
        <f>IFERROR(INDEX('データ'!R$7:R$123,MATCH($C$3&amp;"|"&amp;$B23,'データ'!$A$7:$A$123,0)),0)</f>
        <v>2328</v>
      </c>
      <c r="S23" s="34">
        <f>IFERROR(INDEX('データ'!S$7:S$123,MATCH($C$3&amp;"|"&amp;$B23,'データ'!$A$7:$A$123,0)),0)</f>
        <v>2287</v>
      </c>
      <c r="T23" s="34">
        <f>IFERROR(INDEX('データ'!T$7:T$123,MATCH($C$3&amp;"|"&amp;$B23,'データ'!$A$7:$A$123,0)),0)</f>
        <v>2247</v>
      </c>
      <c r="U23" s="34">
        <f>IFERROR(INDEX('データ'!U$7:U$123,MATCH($C$3&amp;"|"&amp;$B23,'データ'!$A$7:$A$123,0)),0)</f>
        <v>2165</v>
      </c>
      <c r="V23" s="34">
        <f>IFERROR(INDEX('データ'!V$7:V$123,MATCH($C$3&amp;"|"&amp;$B23,'データ'!$A$7:$A$123,0)),0)</f>
        <v>2103</v>
      </c>
      <c r="W23" s="34">
        <f>IFERROR(INDEX('データ'!W$7:W$123,MATCH($C$3&amp;"|"&amp;$B23,'データ'!$A$7:$A$123,0)),0)</f>
        <v>1847</v>
      </c>
      <c r="X23" s="34">
        <f>IFERROR(INDEX('データ'!X$7:X$123,MATCH($C$3&amp;"|"&amp;$B23,'データ'!$A$7:$A$123,0)),0)</f>
        <v>1758</v>
      </c>
      <c r="Y23" s="34">
        <f>IFERROR(INDEX('データ'!Y$7:Y$123,MATCH($C$3&amp;"|"&amp;$B23,'データ'!$A$7:$A$123,0)),0)</f>
        <v>1702</v>
      </c>
      <c r="Z23" s="34">
        <f>IFERROR(INDEX('データ'!Z$7:Z$123,MATCH($C$3&amp;"|"&amp;$B23,'データ'!$A$7:$A$123,0)),0)</f>
        <v>1599</v>
      </c>
      <c r="AA23" s="34">
        <f>IFERROR(INDEX('データ'!AA$7:AA$123,MATCH($C$3&amp;"|"&amp;$B23,'データ'!$A$7:$A$123,0)),0)</f>
        <v>1734</v>
      </c>
      <c r="AB23" s="34">
        <f>IFERROR(INDEX('データ'!AB$7:AB$123,MATCH($C$3&amp;"|"&amp;$B23,'データ'!$A$7:$A$123,0)),0)</f>
        <v>1855</v>
      </c>
      <c r="AC23" s="34">
        <f>IFERROR(INDEX('データ'!AC$7:AC$123,MATCH($C$3&amp;"|"&amp;$B23,'データ'!$A$7:$A$123,0)),0)</f>
        <v>2026</v>
      </c>
      <c r="AD23" s="34">
        <f>IFERROR(INDEX('データ'!AD$7:AD$123,MATCH($C$3&amp;"|"&amp;$B23,'データ'!$A$7:$A$123,0)),0)</f>
        <v>2012</v>
      </c>
      <c r="AE23" s="34">
        <f>IFERROR(INDEX('データ'!AE$7:AE$123,MATCH($C$3&amp;"|"&amp;$B23,'データ'!$A$7:$A$123,0)),0)</f>
        <v>2138</v>
      </c>
      <c r="AF23" s="34">
        <f>IFERROR(INDEX('データ'!AF$7:AF$123,MATCH($C$3&amp;"|"&amp;$B23,'データ'!$A$7:$A$123,0)),0)</f>
        <v>2101</v>
      </c>
      <c r="AG23" s="34">
        <f>IFERROR(INDEX('データ'!AG$7:AG$123,MATCH($C$3&amp;"|"&amp;$B23,'データ'!$A$7:$A$123,0)),0)</f>
        <v>1958</v>
      </c>
      <c r="AH23" s="34">
        <f>IFERROR(INDEX('データ'!AH$7:AH$123,MATCH($C$3&amp;"|"&amp;$B23,'データ'!$A$7:$A$123,0)),0)</f>
        <v>2034</v>
      </c>
      <c r="AI23" s="34">
        <f>IFERROR(INDEX('データ'!AI$7:AI$123,MATCH($C$3&amp;"|"&amp;$B23,'データ'!$A$7:$A$123,0)),0)</f>
        <v>1974</v>
      </c>
      <c r="AJ23" s="34">
        <f>IFERROR(INDEX('データ'!AJ$7:AJ$123,MATCH($C$3&amp;"|"&amp;$B23,'データ'!$A$7:$A$123,0)),0)</f>
        <v>2016</v>
      </c>
      <c r="AK23" s="34">
        <f>IFERROR(INDEX('データ'!AK$7:AK$123,MATCH($C$3&amp;"|"&amp;$B23,'データ'!$A$7:$A$123,0)),0)</f>
        <v>1929</v>
      </c>
      <c r="AL23" s="34">
        <f>IFERROR(INDEX('データ'!AL$7:AL$123,MATCH($C$3&amp;"|"&amp;$B23,'データ'!$A$7:$A$123,0)),0)</f>
        <v>1962</v>
      </c>
      <c r="AM23" s="34">
        <f>IFERROR(INDEX('データ'!AM$7:AM$123,MATCH($C$3&amp;"|"&amp;$B23,'データ'!$A$7:$A$123,0)),0)</f>
        <v>1905</v>
      </c>
      <c r="AN23" s="34">
        <f>IFERROR(INDEX('データ'!AN$7:AN$123,MATCH($C$3&amp;"|"&amp;$B23,'データ'!$A$7:$A$123,0)),0)</f>
        <v>1874</v>
      </c>
      <c r="AO23" s="34">
        <f>IFERROR(INDEX('データ'!AO$7:AO$123,MATCH($C$3&amp;"|"&amp;$B23,'データ'!$A$7:$A$123,0)),0)</f>
        <v>1820</v>
      </c>
      <c r="AP23" s="34">
        <f>IFERROR(INDEX('データ'!AP$7:AP$123,MATCH($C$3&amp;"|"&amp;$B23,'データ'!$A$7:$A$123,0)),0)</f>
        <v>1612</v>
      </c>
      <c r="AQ23" s="34">
        <f>IFERROR(INDEX('データ'!AQ$7:AQ$123,MATCH($C$3&amp;"|"&amp;$B23,'データ'!$A$7:$A$123,0)),0)</f>
        <v>1228</v>
      </c>
      <c r="AR23" s="34">
        <f>IFERROR(INDEX('データ'!AR$7:AR$123,MATCH($C$3&amp;"|"&amp;$B23,'データ'!$A$7:$A$123,0)),0)</f>
        <v>691</v>
      </c>
      <c r="AS23" s="34">
        <f>IFERROR(INDEX('データ'!AS$7:AS$123,MATCH($C$3&amp;"|"&amp;$B23,'データ'!$A$7:$A$123,0)),0)</f>
        <v>202</v>
      </c>
      <c r="AT23" s="34">
        <f>IFERROR(INDEX('データ'!AT$7:AT$123,MATCH($C$3&amp;"|"&amp;$B23,'データ'!$A$7:$A$123,0)),0)</f>
        <v>58</v>
      </c>
      <c r="AU23" s="34">
        <f>IFERROR(INDEX('データ'!AU$7:AU$123,MATCH($C$3&amp;"|"&amp;$B23,'データ'!$A$7:$A$123,0)),0)</f>
        <v>13</v>
      </c>
      <c r="AV23" s="34">
        <f>IFERROR(INDEX('データ'!AV$7:AV$123,MATCH($C$3&amp;"|"&amp;$B23,'データ'!$A$7:$A$123,0)),0)</f>
        <v>21</v>
      </c>
      <c r="AW23" s="34">
        <f>IFERROR(INDEX('データ'!AW$7:AW$123,MATCH($C$3&amp;"|"&amp;$B23,'データ'!$A$7:$A$123,0)),0)</f>
        <v>11</v>
      </c>
      <c r="AX23" s="34">
        <f>IFERROR(INDEX('データ'!AX$7:AX$123,MATCH($C$3&amp;"|"&amp;$B23,'データ'!$A$7:$A$123,0)),0)</f>
        <v>10</v>
      </c>
      <c r="AY23" s="34">
        <f>IFERROR(INDEX('データ'!AY$7:AY$123,MATCH($C$3&amp;"|"&amp;$B23,'データ'!$A$7:$A$123,0)),0)</f>
        <v>15</v>
      </c>
      <c r="AZ23" s="34">
        <f>IFERROR(INDEX('データ'!AZ$7:AZ$123,MATCH($C$3&amp;"|"&amp;$B23,'データ'!$A$7:$A$123,0)),0)</f>
        <v>12</v>
      </c>
      <c r="BA23" s="34">
        <f>IFERROR(INDEX('データ'!BA$7:BA$123,MATCH($C$3&amp;"|"&amp;$B23,'データ'!$A$7:$A$123,0)),0)</f>
        <v>16</v>
      </c>
      <c r="BB23" s="34">
        <f>IFERROR(INDEX('データ'!BB$7:BB$123,MATCH($C$3&amp;"|"&amp;$B23,'データ'!$A$7:$A$123,0)),0)</f>
        <v>9</v>
      </c>
      <c r="BC23" s="34">
        <f>IFERROR(INDEX('データ'!BC$7:BC$123,MATCH($C$3&amp;"|"&amp;$B23,'データ'!$A$7:$A$123,0)),0)</f>
        <v>0</v>
      </c>
      <c r="BD23" s="34">
        <f>IFERROR(INDEX('データ'!BD$7:BD$123,MATCH($C$3&amp;"|"&amp;$B23,'データ'!$A$7:$A$123,0)),0)</f>
        <v>1</v>
      </c>
      <c r="BE23" s="34">
        <f>IFERROR(INDEX('データ'!BE$7:BE$123,MATCH($C$3&amp;"|"&amp;$B23,'データ'!$A$7:$A$123,0)),0)</f>
        <v>0</v>
      </c>
      <c r="BF23" s="34">
        <f>IFERROR(INDEX('データ'!BF$7:BF$123,MATCH($C$3&amp;"|"&amp;$B23,'データ'!$A$7:$A$123,0)),0)</f>
        <v>0</v>
      </c>
      <c r="BG23" s="34">
        <f>IFERROR(INDEX('データ'!BG$7:BG$123,MATCH($C$3&amp;"|"&amp;$B23,'データ'!$A$7:$A$123,0)),0)</f>
        <v>0</v>
      </c>
    </row>
    <row r="24" spans="2:59" ht="20" customHeight="1">
      <c r="B24" s="33" t="s">
        <v>81</v>
      </c>
      <c r="C24" s="33"/>
      <c r="D24" s="34">
        <f>IFERROR(INDEX('データ'!D$7:D$123,MATCH($C$3&amp;"|"&amp;$B24,'データ'!$A$7:$A$123,0)),0)</f>
        <v>0</v>
      </c>
      <c r="E24" s="34">
        <f>IFERROR(INDEX('データ'!E$7:E$123,MATCH($C$3&amp;"|"&amp;$B24,'データ'!$A$7:$A$123,0)),0)</f>
        <v>0</v>
      </c>
      <c r="F24" s="34">
        <f>IFERROR(INDEX('データ'!F$7:F$123,MATCH($C$3&amp;"|"&amp;$B24,'データ'!$A$7:$A$123,0)),0)</f>
        <v>0</v>
      </c>
      <c r="G24" s="34">
        <f>IFERROR(INDEX('データ'!G$7:G$123,MATCH($C$3&amp;"|"&amp;$B24,'データ'!$A$7:$A$123,0)),0)</f>
        <v>22</v>
      </c>
      <c r="H24" s="34">
        <f>IFERROR(INDEX('データ'!H$7:H$123,MATCH($C$3&amp;"|"&amp;$B24,'データ'!$A$7:$A$123,0)),0)</f>
        <v>115</v>
      </c>
      <c r="I24" s="34">
        <f>IFERROR(INDEX('データ'!I$7:I$123,MATCH($C$3&amp;"|"&amp;$B24,'データ'!$A$7:$A$123,0)),0)</f>
        <v>341</v>
      </c>
      <c r="J24" s="34">
        <f>IFERROR(INDEX('データ'!J$7:J$123,MATCH($C$3&amp;"|"&amp;$B24,'データ'!$A$7:$A$123,0)),0)</f>
        <v>793</v>
      </c>
      <c r="K24" s="34">
        <f>IFERROR(INDEX('データ'!K$7:K$123,MATCH($C$3&amp;"|"&amp;$B24,'データ'!$A$7:$A$123,0)),0)</f>
        <v>934</v>
      </c>
      <c r="L24" s="34">
        <f>IFERROR(INDEX('データ'!L$7:L$123,MATCH($C$3&amp;"|"&amp;$B24,'データ'!$A$7:$A$123,0)),0)</f>
        <v>1104</v>
      </c>
      <c r="M24" s="34">
        <f>IFERROR(INDEX('データ'!M$7:M$123,MATCH($C$3&amp;"|"&amp;$B24,'データ'!$A$7:$A$123,0)),0)</f>
        <v>1348</v>
      </c>
      <c r="N24" s="34">
        <f>IFERROR(INDEX('データ'!N$7:N$123,MATCH($C$3&amp;"|"&amp;$B24,'データ'!$A$7:$A$123,0)),0)</f>
        <v>1395</v>
      </c>
      <c r="O24" s="34">
        <f>IFERROR(INDEX('データ'!O$7:O$123,MATCH($C$3&amp;"|"&amp;$B24,'データ'!$A$7:$A$123,0)),0)</f>
        <v>1470</v>
      </c>
      <c r="P24" s="34">
        <f>IFERROR(INDEX('データ'!P$7:P$123,MATCH($C$3&amp;"|"&amp;$B24,'データ'!$A$7:$A$123,0)),0)</f>
        <v>1619</v>
      </c>
      <c r="Q24" s="34">
        <f>IFERROR(INDEX('データ'!Q$7:Q$123,MATCH($C$3&amp;"|"&amp;$B24,'データ'!$A$7:$A$123,0)),0)</f>
        <v>1759</v>
      </c>
      <c r="R24" s="34">
        <f>IFERROR(INDEX('データ'!R$7:R$123,MATCH($C$3&amp;"|"&amp;$B24,'データ'!$A$7:$A$123,0)),0)</f>
        <v>1692</v>
      </c>
      <c r="S24" s="34">
        <f>IFERROR(INDEX('データ'!S$7:S$123,MATCH($C$3&amp;"|"&amp;$B24,'データ'!$A$7:$A$123,0)),0)</f>
        <v>1782</v>
      </c>
      <c r="T24" s="34">
        <f>IFERROR(INDEX('データ'!T$7:T$123,MATCH($C$3&amp;"|"&amp;$B24,'データ'!$A$7:$A$123,0)),0)</f>
        <v>1760</v>
      </c>
      <c r="U24" s="34">
        <f>IFERROR(INDEX('データ'!U$7:U$123,MATCH($C$3&amp;"|"&amp;$B24,'データ'!$A$7:$A$123,0)),0)</f>
        <v>1627</v>
      </c>
      <c r="V24" s="34">
        <f>IFERROR(INDEX('データ'!V$7:V$123,MATCH($C$3&amp;"|"&amp;$B24,'データ'!$A$7:$A$123,0)),0)</f>
        <v>1559</v>
      </c>
      <c r="W24" s="34">
        <f>IFERROR(INDEX('データ'!W$7:W$123,MATCH($C$3&amp;"|"&amp;$B24,'データ'!$A$7:$A$123,0)),0)</f>
        <v>1430</v>
      </c>
      <c r="X24" s="34">
        <f>IFERROR(INDEX('データ'!X$7:X$123,MATCH($C$3&amp;"|"&amp;$B24,'データ'!$A$7:$A$123,0)),0)</f>
        <v>1354</v>
      </c>
      <c r="Y24" s="34">
        <f>IFERROR(INDEX('データ'!Y$7:Y$123,MATCH($C$3&amp;"|"&amp;$B24,'データ'!$A$7:$A$123,0)),0)</f>
        <v>1295</v>
      </c>
      <c r="Z24" s="34">
        <f>IFERROR(INDEX('データ'!Z$7:Z$123,MATCH($C$3&amp;"|"&amp;$B24,'データ'!$A$7:$A$123,0)),0)</f>
        <v>1338</v>
      </c>
      <c r="AA24" s="34">
        <f>IFERROR(INDEX('データ'!AA$7:AA$123,MATCH($C$3&amp;"|"&amp;$B24,'データ'!$A$7:$A$123,0)),0)</f>
        <v>1267</v>
      </c>
      <c r="AB24" s="34">
        <f>IFERROR(INDEX('データ'!AB$7:AB$123,MATCH($C$3&amp;"|"&amp;$B24,'データ'!$A$7:$A$123,0)),0)</f>
        <v>1359</v>
      </c>
      <c r="AC24" s="34">
        <f>IFERROR(INDEX('データ'!AC$7:AC$123,MATCH($C$3&amp;"|"&amp;$B24,'データ'!$A$7:$A$123,0)),0)</f>
        <v>1432</v>
      </c>
      <c r="AD24" s="34">
        <f>IFERROR(INDEX('データ'!AD$7:AD$123,MATCH($C$3&amp;"|"&amp;$B24,'データ'!$A$7:$A$123,0)),0)</f>
        <v>1497</v>
      </c>
      <c r="AE24" s="34">
        <f>IFERROR(INDEX('データ'!AE$7:AE$123,MATCH($C$3&amp;"|"&amp;$B24,'データ'!$A$7:$A$123,0)),0)</f>
        <v>1604</v>
      </c>
      <c r="AF24" s="34">
        <f>IFERROR(INDEX('データ'!AF$7:AF$123,MATCH($C$3&amp;"|"&amp;$B24,'データ'!$A$7:$A$123,0)),0)</f>
        <v>1582</v>
      </c>
      <c r="AG24" s="34">
        <f>IFERROR(INDEX('データ'!AG$7:AG$123,MATCH($C$3&amp;"|"&amp;$B24,'データ'!$A$7:$A$123,0)),0)</f>
        <v>1627</v>
      </c>
      <c r="AH24" s="34">
        <f>IFERROR(INDEX('データ'!AH$7:AH$123,MATCH($C$3&amp;"|"&amp;$B24,'データ'!$A$7:$A$123,0)),0)</f>
        <v>1624</v>
      </c>
      <c r="AI24" s="34">
        <f>IFERROR(INDEX('データ'!AI$7:AI$123,MATCH($C$3&amp;"|"&amp;$B24,'データ'!$A$7:$A$123,0)),0)</f>
        <v>1466</v>
      </c>
      <c r="AJ24" s="34">
        <f>IFERROR(INDEX('データ'!AJ$7:AJ$123,MATCH($C$3&amp;"|"&amp;$B24,'データ'!$A$7:$A$123,0)),0)</f>
        <v>1499</v>
      </c>
      <c r="AK24" s="34">
        <f>IFERROR(INDEX('データ'!AK$7:AK$123,MATCH($C$3&amp;"|"&amp;$B24,'データ'!$A$7:$A$123,0)),0)</f>
        <v>1465</v>
      </c>
      <c r="AL24" s="34">
        <f>IFERROR(INDEX('データ'!AL$7:AL$123,MATCH($C$3&amp;"|"&amp;$B24,'データ'!$A$7:$A$123,0)),0)</f>
        <v>1446</v>
      </c>
      <c r="AM24" s="34">
        <f>IFERROR(INDEX('データ'!AM$7:AM$123,MATCH($C$3&amp;"|"&amp;$B24,'データ'!$A$7:$A$123,0)),0)</f>
        <v>1401</v>
      </c>
      <c r="AN24" s="34">
        <f>IFERROR(INDEX('データ'!AN$7:AN$123,MATCH($C$3&amp;"|"&amp;$B24,'データ'!$A$7:$A$123,0)),0)</f>
        <v>1386</v>
      </c>
      <c r="AO24" s="34">
        <f>IFERROR(INDEX('データ'!AO$7:AO$123,MATCH($C$3&amp;"|"&amp;$B24,'データ'!$A$7:$A$123,0)),0)</f>
        <v>1237</v>
      </c>
      <c r="AP24" s="34">
        <f>IFERROR(INDEX('データ'!AP$7:AP$123,MATCH($C$3&amp;"|"&amp;$B24,'データ'!$A$7:$A$123,0)),0)</f>
        <v>1206</v>
      </c>
      <c r="AQ24" s="34">
        <f>IFERROR(INDEX('データ'!AQ$7:AQ$123,MATCH($C$3&amp;"|"&amp;$B24,'データ'!$A$7:$A$123,0)),0)</f>
        <v>877</v>
      </c>
      <c r="AR24" s="34">
        <f>IFERROR(INDEX('データ'!AR$7:AR$123,MATCH($C$3&amp;"|"&amp;$B24,'データ'!$A$7:$A$123,0)),0)</f>
        <v>578</v>
      </c>
      <c r="AS24" s="34">
        <f>IFERROR(INDEX('データ'!AS$7:AS$123,MATCH($C$3&amp;"|"&amp;$B24,'データ'!$A$7:$A$123,0)),0)</f>
        <v>166</v>
      </c>
      <c r="AT24" s="34">
        <f>IFERROR(INDEX('データ'!AT$7:AT$123,MATCH($C$3&amp;"|"&amp;$B24,'データ'!$A$7:$A$123,0)),0)</f>
        <v>35</v>
      </c>
      <c r="AU24" s="34">
        <f>IFERROR(INDEX('データ'!AU$7:AU$123,MATCH($C$3&amp;"|"&amp;$B24,'データ'!$A$7:$A$123,0)),0)</f>
        <v>7</v>
      </c>
      <c r="AV24" s="34">
        <f>IFERROR(INDEX('データ'!AV$7:AV$123,MATCH($C$3&amp;"|"&amp;$B24,'データ'!$A$7:$A$123,0)),0)</f>
        <v>0</v>
      </c>
      <c r="AW24" s="34">
        <f>IFERROR(INDEX('データ'!AW$7:AW$123,MATCH($C$3&amp;"|"&amp;$B24,'データ'!$A$7:$A$123,0)),0)</f>
        <v>0</v>
      </c>
      <c r="AX24" s="34">
        <f>IFERROR(INDEX('データ'!AX$7:AX$123,MATCH($C$3&amp;"|"&amp;$B24,'データ'!$A$7:$A$123,0)),0)</f>
        <v>0</v>
      </c>
      <c r="AY24" s="34">
        <f>IFERROR(INDEX('データ'!AY$7:AY$123,MATCH($C$3&amp;"|"&amp;$B24,'データ'!$A$7:$A$123,0)),0)</f>
        <v>0</v>
      </c>
      <c r="AZ24" s="34">
        <f>IFERROR(INDEX('データ'!AZ$7:AZ$123,MATCH($C$3&amp;"|"&amp;$B24,'データ'!$A$7:$A$123,0)),0)</f>
        <v>0</v>
      </c>
      <c r="BA24" s="34">
        <f>IFERROR(INDEX('データ'!BA$7:BA$123,MATCH($C$3&amp;"|"&amp;$B24,'データ'!$A$7:$A$123,0)),0)</f>
        <v>0</v>
      </c>
      <c r="BB24" s="34">
        <f>IFERROR(INDEX('データ'!BB$7:BB$123,MATCH($C$3&amp;"|"&amp;$B24,'データ'!$A$7:$A$123,0)),0)</f>
        <v>0</v>
      </c>
      <c r="BC24" s="34">
        <f>IFERROR(INDEX('データ'!BC$7:BC$123,MATCH($C$3&amp;"|"&amp;$B24,'データ'!$A$7:$A$123,0)),0)</f>
        <v>0</v>
      </c>
      <c r="BD24" s="34">
        <f>IFERROR(INDEX('データ'!BD$7:BD$123,MATCH($C$3&amp;"|"&amp;$B24,'データ'!$A$7:$A$123,0)),0)</f>
        <v>0</v>
      </c>
      <c r="BE24" s="34">
        <f>IFERROR(INDEX('データ'!BE$7:BE$123,MATCH($C$3&amp;"|"&amp;$B24,'データ'!$A$7:$A$123,0)),0)</f>
        <v>0</v>
      </c>
      <c r="BF24" s="34">
        <f>IFERROR(INDEX('データ'!BF$7:BF$123,MATCH($C$3&amp;"|"&amp;$B24,'データ'!$A$7:$A$123,0)),0)</f>
        <v>0</v>
      </c>
      <c r="BG24" s="34">
        <f>IFERROR(INDEX('データ'!BG$7:BG$123,MATCH($C$3&amp;"|"&amp;$B24,'データ'!$A$7:$A$123,0)),0)</f>
        <v>0</v>
      </c>
    </row>
    <row r="25" spans="2:59" ht="20" customHeight="1">
      <c r="B25" s="33" t="s">
        <v>83</v>
      </c>
      <c r="C25" s="33"/>
      <c r="D25" s="34">
        <f>IFERROR(INDEX('データ'!D$7:D$123,MATCH($C$3&amp;"|"&amp;$B25,'データ'!$A$7:$A$123,0)),0)</f>
        <v>0</v>
      </c>
      <c r="E25" s="34">
        <f>IFERROR(INDEX('データ'!E$7:E$123,MATCH($C$3&amp;"|"&amp;$B25,'データ'!$A$7:$A$123,0)),0)</f>
        <v>0</v>
      </c>
      <c r="F25" s="34">
        <f>IFERROR(INDEX('データ'!F$7:F$123,MATCH($C$3&amp;"|"&amp;$B25,'データ'!$A$7:$A$123,0)),0)</f>
        <v>0</v>
      </c>
      <c r="G25" s="34">
        <f>IFERROR(INDEX('データ'!G$7:G$123,MATCH($C$3&amp;"|"&amp;$B25,'データ'!$A$7:$A$123,0)),0)</f>
        <v>2</v>
      </c>
      <c r="H25" s="34">
        <f>IFERROR(INDEX('データ'!H$7:H$123,MATCH($C$3&amp;"|"&amp;$B25,'データ'!$A$7:$A$123,0)),0)</f>
        <v>43</v>
      </c>
      <c r="I25" s="34">
        <f>IFERROR(INDEX('データ'!I$7:I$123,MATCH($C$3&amp;"|"&amp;$B25,'データ'!$A$7:$A$123,0)),0)</f>
        <v>366</v>
      </c>
      <c r="J25" s="34">
        <f>IFERROR(INDEX('データ'!J$7:J$123,MATCH($C$3&amp;"|"&amp;$B25,'データ'!$A$7:$A$123,0)),0)</f>
        <v>1021</v>
      </c>
      <c r="K25" s="34">
        <f>IFERROR(INDEX('データ'!K$7:K$123,MATCH($C$3&amp;"|"&amp;$B25,'データ'!$A$7:$A$123,0)),0)</f>
        <v>1014</v>
      </c>
      <c r="L25" s="34">
        <f>IFERROR(INDEX('データ'!L$7:L$123,MATCH($C$3&amp;"|"&amp;$B25,'データ'!$A$7:$A$123,0)),0)</f>
        <v>1213</v>
      </c>
      <c r="M25" s="34">
        <f>IFERROR(INDEX('データ'!M$7:M$123,MATCH($C$3&amp;"|"&amp;$B25,'データ'!$A$7:$A$123,0)),0)</f>
        <v>1331</v>
      </c>
      <c r="N25" s="34">
        <f>IFERROR(INDEX('データ'!N$7:N$123,MATCH($C$3&amp;"|"&amp;$B25,'データ'!$A$7:$A$123,0)),0)</f>
        <v>1473</v>
      </c>
      <c r="O25" s="34">
        <f>IFERROR(INDEX('データ'!O$7:O$123,MATCH($C$3&amp;"|"&amp;$B25,'データ'!$A$7:$A$123,0)),0)</f>
        <v>1633</v>
      </c>
      <c r="P25" s="34">
        <f>IFERROR(INDEX('データ'!P$7:P$123,MATCH($C$3&amp;"|"&amp;$B25,'データ'!$A$7:$A$123,0)),0)</f>
        <v>1801</v>
      </c>
      <c r="Q25" s="34">
        <f>IFERROR(INDEX('データ'!Q$7:Q$123,MATCH($C$3&amp;"|"&amp;$B25,'データ'!$A$7:$A$123,0)),0)</f>
        <v>1805</v>
      </c>
      <c r="R25" s="34">
        <f>IFERROR(INDEX('データ'!R$7:R$123,MATCH($C$3&amp;"|"&amp;$B25,'データ'!$A$7:$A$123,0)),0)</f>
        <v>1840</v>
      </c>
      <c r="S25" s="34">
        <f>IFERROR(INDEX('データ'!S$7:S$123,MATCH($C$3&amp;"|"&amp;$B25,'データ'!$A$7:$A$123,0)),0)</f>
        <v>1799</v>
      </c>
      <c r="T25" s="34">
        <f>IFERROR(INDEX('データ'!T$7:T$123,MATCH($C$3&amp;"|"&amp;$B25,'データ'!$A$7:$A$123,0)),0)</f>
        <v>1924</v>
      </c>
      <c r="U25" s="34">
        <f>IFERROR(INDEX('データ'!U$7:U$123,MATCH($C$3&amp;"|"&amp;$B25,'データ'!$A$7:$A$123,0)),0)</f>
        <v>1816</v>
      </c>
      <c r="V25" s="34">
        <f>IFERROR(INDEX('データ'!V$7:V$123,MATCH($C$3&amp;"|"&amp;$B25,'データ'!$A$7:$A$123,0)),0)</f>
        <v>1739</v>
      </c>
      <c r="W25" s="34">
        <f>IFERROR(INDEX('データ'!W$7:W$123,MATCH($C$3&amp;"|"&amp;$B25,'データ'!$A$7:$A$123,0)),0)</f>
        <v>1620</v>
      </c>
      <c r="X25" s="34">
        <f>IFERROR(INDEX('データ'!X$7:X$123,MATCH($C$3&amp;"|"&amp;$B25,'データ'!$A$7:$A$123,0)),0)</f>
        <v>1458</v>
      </c>
      <c r="Y25" s="34">
        <f>IFERROR(INDEX('データ'!Y$7:Y$123,MATCH($C$3&amp;"|"&amp;$B25,'データ'!$A$7:$A$123,0)),0)</f>
        <v>1445</v>
      </c>
      <c r="Z25" s="34">
        <f>IFERROR(INDEX('データ'!Z$7:Z$123,MATCH($C$3&amp;"|"&amp;$B25,'データ'!$A$7:$A$123,0)),0)</f>
        <v>1456</v>
      </c>
      <c r="AA25" s="34">
        <f>IFERROR(INDEX('データ'!AA$7:AA$123,MATCH($C$3&amp;"|"&amp;$B25,'データ'!$A$7:$A$123,0)),0)</f>
        <v>1443</v>
      </c>
      <c r="AB25" s="34">
        <f>IFERROR(INDEX('データ'!AB$7:AB$123,MATCH($C$3&amp;"|"&amp;$B25,'データ'!$A$7:$A$123,0)),0)</f>
        <v>1590</v>
      </c>
      <c r="AC25" s="34">
        <f>IFERROR(INDEX('データ'!AC$7:AC$123,MATCH($C$3&amp;"|"&amp;$B25,'データ'!$A$7:$A$123,0)),0)</f>
        <v>1739</v>
      </c>
      <c r="AD25" s="34">
        <f>IFERROR(INDEX('データ'!AD$7:AD$123,MATCH($C$3&amp;"|"&amp;$B25,'データ'!$A$7:$A$123,0)),0)</f>
        <v>1723</v>
      </c>
      <c r="AE25" s="34">
        <f>IFERROR(INDEX('データ'!AE$7:AE$123,MATCH($C$3&amp;"|"&amp;$B25,'データ'!$A$7:$A$123,0)),0)</f>
        <v>1806</v>
      </c>
      <c r="AF25" s="34">
        <f>IFERROR(INDEX('データ'!AF$7:AF$123,MATCH($C$3&amp;"|"&amp;$B25,'データ'!$A$7:$A$123,0)),0)</f>
        <v>1844</v>
      </c>
      <c r="AG25" s="34">
        <f>IFERROR(INDEX('データ'!AG$7:AG$123,MATCH($C$3&amp;"|"&amp;$B25,'データ'!$A$7:$A$123,0)),0)</f>
        <v>1864</v>
      </c>
      <c r="AH25" s="34">
        <f>IFERROR(INDEX('データ'!AH$7:AH$123,MATCH($C$3&amp;"|"&amp;$B25,'データ'!$A$7:$A$123,0)),0)</f>
        <v>1770</v>
      </c>
      <c r="AI25" s="34">
        <f>IFERROR(INDEX('データ'!AI$7:AI$123,MATCH($C$3&amp;"|"&amp;$B25,'データ'!$A$7:$A$123,0)),0)</f>
        <v>1724</v>
      </c>
      <c r="AJ25" s="34">
        <f>IFERROR(INDEX('データ'!AJ$7:AJ$123,MATCH($C$3&amp;"|"&amp;$B25,'データ'!$A$7:$A$123,0)),0)</f>
        <v>1674</v>
      </c>
      <c r="AK25" s="34">
        <f>IFERROR(INDEX('データ'!AK$7:AK$123,MATCH($C$3&amp;"|"&amp;$B25,'データ'!$A$7:$A$123,0)),0)</f>
        <v>1591</v>
      </c>
      <c r="AL25" s="34">
        <f>IFERROR(INDEX('データ'!AL$7:AL$123,MATCH($C$3&amp;"|"&amp;$B25,'データ'!$A$7:$A$123,0)),0)</f>
        <v>1676</v>
      </c>
      <c r="AM25" s="34">
        <f>IFERROR(INDEX('データ'!AM$7:AM$123,MATCH($C$3&amp;"|"&amp;$B25,'データ'!$A$7:$A$123,0)),0)</f>
        <v>1512</v>
      </c>
      <c r="AN25" s="34">
        <f>IFERROR(INDEX('データ'!AN$7:AN$123,MATCH($C$3&amp;"|"&amp;$B25,'データ'!$A$7:$A$123,0)),0)</f>
        <v>1513</v>
      </c>
      <c r="AO25" s="34">
        <f>IFERROR(INDEX('データ'!AO$7:AO$123,MATCH($C$3&amp;"|"&amp;$B25,'データ'!$A$7:$A$123,0)),0)</f>
        <v>1491</v>
      </c>
      <c r="AP25" s="34">
        <f>IFERROR(INDEX('データ'!AP$7:AP$123,MATCH($C$3&amp;"|"&amp;$B25,'データ'!$A$7:$A$123,0)),0)</f>
        <v>1427</v>
      </c>
      <c r="AQ25" s="34">
        <f>IFERROR(INDEX('データ'!AQ$7:AQ$123,MATCH($C$3&amp;"|"&amp;$B25,'データ'!$A$7:$A$123,0)),0)</f>
        <v>984</v>
      </c>
      <c r="AR25" s="34">
        <f>IFERROR(INDEX('データ'!AR$7:AR$123,MATCH($C$3&amp;"|"&amp;$B25,'データ'!$A$7:$A$123,0)),0)</f>
        <v>481</v>
      </c>
      <c r="AS25" s="34">
        <f>IFERROR(INDEX('データ'!AS$7:AS$123,MATCH($C$3&amp;"|"&amp;$B25,'データ'!$A$7:$A$123,0)),0)</f>
        <v>59</v>
      </c>
      <c r="AT25" s="34">
        <f>IFERROR(INDEX('データ'!AT$7:AT$123,MATCH($C$3&amp;"|"&amp;$B25,'データ'!$A$7:$A$123,0)),0)</f>
        <v>15</v>
      </c>
      <c r="AU25" s="34">
        <f>IFERROR(INDEX('データ'!AU$7:AU$123,MATCH($C$3&amp;"|"&amp;$B25,'データ'!$A$7:$A$123,0)),0)</f>
        <v>25</v>
      </c>
      <c r="AV25" s="34">
        <f>IFERROR(INDEX('データ'!AV$7:AV$123,MATCH($C$3&amp;"|"&amp;$B25,'データ'!$A$7:$A$123,0)),0)</f>
        <v>21</v>
      </c>
      <c r="AW25" s="34">
        <f>IFERROR(INDEX('データ'!AW$7:AW$123,MATCH($C$3&amp;"|"&amp;$B25,'データ'!$A$7:$A$123,0)),0)</f>
        <v>30</v>
      </c>
      <c r="AX25" s="34">
        <f>IFERROR(INDEX('データ'!AX$7:AX$123,MATCH($C$3&amp;"|"&amp;$B25,'データ'!$A$7:$A$123,0)),0)</f>
        <v>24</v>
      </c>
      <c r="AY25" s="34">
        <f>IFERROR(INDEX('データ'!AY$7:AY$123,MATCH($C$3&amp;"|"&amp;$B25,'データ'!$A$7:$A$123,0)),0)</f>
        <v>20</v>
      </c>
      <c r="AZ25" s="34">
        <f>IFERROR(INDEX('データ'!AZ$7:AZ$123,MATCH($C$3&amp;"|"&amp;$B25,'データ'!$A$7:$A$123,0)),0)</f>
        <v>23</v>
      </c>
      <c r="BA25" s="34">
        <f>IFERROR(INDEX('データ'!BA$7:BA$123,MATCH($C$3&amp;"|"&amp;$B25,'データ'!$A$7:$A$123,0)),0)</f>
        <v>11</v>
      </c>
      <c r="BB25" s="34">
        <f>IFERROR(INDEX('データ'!BB$7:BB$123,MATCH($C$3&amp;"|"&amp;$B25,'データ'!$A$7:$A$123,0)),0)</f>
        <v>3</v>
      </c>
      <c r="BC25" s="34">
        <f>IFERROR(INDEX('データ'!BC$7:BC$123,MATCH($C$3&amp;"|"&amp;$B25,'データ'!$A$7:$A$123,0)),0)</f>
        <v>2</v>
      </c>
      <c r="BD25" s="34">
        <f>IFERROR(INDEX('データ'!BD$7:BD$123,MATCH($C$3&amp;"|"&amp;$B25,'データ'!$A$7:$A$123,0)),0)</f>
        <v>0</v>
      </c>
      <c r="BE25" s="34">
        <f>IFERROR(INDEX('データ'!BE$7:BE$123,MATCH($C$3&amp;"|"&amp;$B25,'データ'!$A$7:$A$123,0)),0)</f>
        <v>0</v>
      </c>
      <c r="BF25" s="34">
        <f>IFERROR(INDEX('データ'!BF$7:BF$123,MATCH($C$3&amp;"|"&amp;$B25,'データ'!$A$7:$A$123,0)),0)</f>
        <v>0</v>
      </c>
      <c r="BG25" s="34">
        <f>IFERROR(INDEX('データ'!BG$7:BG$123,MATCH($C$3&amp;"|"&amp;$B25,'データ'!$A$7:$A$123,0)),0)</f>
        <v>0</v>
      </c>
    </row>
    <row r="26" spans="2:59" ht="20" customHeight="1">
      <c r="B26" s="33" t="s">
        <v>85</v>
      </c>
      <c r="C26" s="33"/>
      <c r="D26" s="34">
        <f>IFERROR(INDEX('データ'!D$7:D$123,MATCH($C$3&amp;"|"&amp;$B26,'データ'!$A$7:$A$123,0)),0)</f>
        <v>0</v>
      </c>
      <c r="E26" s="34">
        <f>IFERROR(INDEX('データ'!E$7:E$123,MATCH($C$3&amp;"|"&amp;$B26,'データ'!$A$7:$A$123,0)),0)</f>
        <v>0</v>
      </c>
      <c r="F26" s="34">
        <f>IFERROR(INDEX('データ'!F$7:F$123,MATCH($C$3&amp;"|"&amp;$B26,'データ'!$A$7:$A$123,0)),0)</f>
        <v>0</v>
      </c>
      <c r="G26" s="34">
        <f>IFERROR(INDEX('データ'!G$7:G$123,MATCH($C$3&amp;"|"&amp;$B26,'データ'!$A$7:$A$123,0)),0)</f>
        <v>3</v>
      </c>
      <c r="H26" s="34">
        <f>IFERROR(INDEX('データ'!H$7:H$123,MATCH($C$3&amp;"|"&amp;$B26,'データ'!$A$7:$A$123,0)),0)</f>
        <v>46</v>
      </c>
      <c r="I26" s="34">
        <f>IFERROR(INDEX('データ'!I$7:I$123,MATCH($C$3&amp;"|"&amp;$B26,'データ'!$A$7:$A$123,0)),0)</f>
        <v>406</v>
      </c>
      <c r="J26" s="34">
        <f>IFERROR(INDEX('データ'!J$7:J$123,MATCH($C$3&amp;"|"&amp;$B26,'データ'!$A$7:$A$123,0)),0)</f>
        <v>930</v>
      </c>
      <c r="K26" s="34">
        <f>IFERROR(INDEX('データ'!K$7:K$123,MATCH($C$3&amp;"|"&amp;$B26,'データ'!$A$7:$A$123,0)),0)</f>
        <v>878</v>
      </c>
      <c r="L26" s="34">
        <f>IFERROR(INDEX('データ'!L$7:L$123,MATCH($C$3&amp;"|"&amp;$B26,'データ'!$A$7:$A$123,0)),0)</f>
        <v>1058</v>
      </c>
      <c r="M26" s="34">
        <f>IFERROR(INDEX('データ'!M$7:M$123,MATCH($C$3&amp;"|"&amp;$B26,'データ'!$A$7:$A$123,0)),0)</f>
        <v>1171</v>
      </c>
      <c r="N26" s="34">
        <f>IFERROR(INDEX('データ'!N$7:N$123,MATCH($C$3&amp;"|"&amp;$B26,'データ'!$A$7:$A$123,0)),0)</f>
        <v>1428</v>
      </c>
      <c r="O26" s="34">
        <f>IFERROR(INDEX('データ'!O$7:O$123,MATCH($C$3&amp;"|"&amp;$B26,'データ'!$A$7:$A$123,0)),0)</f>
        <v>1442</v>
      </c>
      <c r="P26" s="34">
        <f>IFERROR(INDEX('データ'!P$7:P$123,MATCH($C$3&amp;"|"&amp;$B26,'データ'!$A$7:$A$123,0)),0)</f>
        <v>1589</v>
      </c>
      <c r="Q26" s="34">
        <f>IFERROR(INDEX('データ'!Q$7:Q$123,MATCH($C$3&amp;"|"&amp;$B26,'データ'!$A$7:$A$123,0)),0)</f>
        <v>1568</v>
      </c>
      <c r="R26" s="34">
        <f>IFERROR(INDEX('データ'!R$7:R$123,MATCH($C$3&amp;"|"&amp;$B26,'データ'!$A$7:$A$123,0)),0)</f>
        <v>1669</v>
      </c>
      <c r="S26" s="34">
        <f>IFERROR(INDEX('データ'!S$7:S$123,MATCH($C$3&amp;"|"&amp;$B26,'データ'!$A$7:$A$123,0)),0)</f>
        <v>1693</v>
      </c>
      <c r="T26" s="34">
        <f>IFERROR(INDEX('データ'!T$7:T$123,MATCH($C$3&amp;"|"&amp;$B26,'データ'!$A$7:$A$123,0)),0)</f>
        <v>1625</v>
      </c>
      <c r="U26" s="34">
        <f>IFERROR(INDEX('データ'!U$7:U$123,MATCH($C$3&amp;"|"&amp;$B26,'データ'!$A$7:$A$123,0)),0)</f>
        <v>1545</v>
      </c>
      <c r="V26" s="34">
        <f>IFERROR(INDEX('データ'!V$7:V$123,MATCH($C$3&amp;"|"&amp;$B26,'データ'!$A$7:$A$123,0)),0)</f>
        <v>1481</v>
      </c>
      <c r="W26" s="34">
        <f>IFERROR(INDEX('データ'!W$7:W$123,MATCH($C$3&amp;"|"&amp;$B26,'データ'!$A$7:$A$123,0)),0)</f>
        <v>1353</v>
      </c>
      <c r="X26" s="34">
        <f>IFERROR(INDEX('データ'!X$7:X$123,MATCH($C$3&amp;"|"&amp;$B26,'データ'!$A$7:$A$123,0)),0)</f>
        <v>1267</v>
      </c>
      <c r="Y26" s="34">
        <f>IFERROR(INDEX('データ'!Y$7:Y$123,MATCH($C$3&amp;"|"&amp;$B26,'データ'!$A$7:$A$123,0)),0)</f>
        <v>1194</v>
      </c>
      <c r="Z26" s="34">
        <f>IFERROR(INDEX('データ'!Z$7:Z$123,MATCH($C$3&amp;"|"&amp;$B26,'データ'!$A$7:$A$123,0)),0)</f>
        <v>1174</v>
      </c>
      <c r="AA26" s="34">
        <f>IFERROR(INDEX('データ'!AA$7:AA$123,MATCH($C$3&amp;"|"&amp;$B26,'データ'!$A$7:$A$123,0)),0)</f>
        <v>1215</v>
      </c>
      <c r="AB26" s="34">
        <f>IFERROR(INDEX('データ'!AB$7:AB$123,MATCH($C$3&amp;"|"&amp;$B26,'データ'!$A$7:$A$123,0)),0)</f>
        <v>1328</v>
      </c>
      <c r="AC26" s="34">
        <f>IFERROR(INDEX('データ'!AC$7:AC$123,MATCH($C$3&amp;"|"&amp;$B26,'データ'!$A$7:$A$123,0)),0)</f>
        <v>1581</v>
      </c>
      <c r="AD26" s="34">
        <f>IFERROR(INDEX('データ'!AD$7:AD$123,MATCH($C$3&amp;"|"&amp;$B26,'データ'!$A$7:$A$123,0)),0)</f>
        <v>1589</v>
      </c>
      <c r="AE26" s="34">
        <f>IFERROR(INDEX('データ'!AE$7:AE$123,MATCH($C$3&amp;"|"&amp;$B26,'データ'!$A$7:$A$123,0)),0)</f>
        <v>1564</v>
      </c>
      <c r="AF26" s="34">
        <f>IFERROR(INDEX('データ'!AF$7:AF$123,MATCH($C$3&amp;"|"&amp;$B26,'データ'!$A$7:$A$123,0)),0)</f>
        <v>1617</v>
      </c>
      <c r="AG26" s="34">
        <f>IFERROR(INDEX('データ'!AG$7:AG$123,MATCH($C$3&amp;"|"&amp;$B26,'データ'!$A$7:$A$123,0)),0)</f>
        <v>1607</v>
      </c>
      <c r="AH26" s="34">
        <f>IFERROR(INDEX('データ'!AH$7:AH$123,MATCH($C$3&amp;"|"&amp;$B26,'データ'!$A$7:$A$123,0)),0)</f>
        <v>1567</v>
      </c>
      <c r="AI26" s="34">
        <f>IFERROR(INDEX('データ'!AI$7:AI$123,MATCH($C$3&amp;"|"&amp;$B26,'データ'!$A$7:$A$123,0)),0)</f>
        <v>1521</v>
      </c>
      <c r="AJ26" s="34">
        <f>IFERROR(INDEX('データ'!AJ$7:AJ$123,MATCH($C$3&amp;"|"&amp;$B26,'データ'!$A$7:$A$123,0)),0)</f>
        <v>1524</v>
      </c>
      <c r="AK26" s="34">
        <f>IFERROR(INDEX('データ'!AK$7:AK$123,MATCH($C$3&amp;"|"&amp;$B26,'データ'!$A$7:$A$123,0)),0)</f>
        <v>1458</v>
      </c>
      <c r="AL26" s="34">
        <f>IFERROR(INDEX('データ'!AL$7:AL$123,MATCH($C$3&amp;"|"&amp;$B26,'データ'!$A$7:$A$123,0)),0)</f>
        <v>1510</v>
      </c>
      <c r="AM26" s="34">
        <f>IFERROR(INDEX('データ'!AM$7:AM$123,MATCH($C$3&amp;"|"&amp;$B26,'データ'!$A$7:$A$123,0)),0)</f>
        <v>1421</v>
      </c>
      <c r="AN26" s="34">
        <f>IFERROR(INDEX('データ'!AN$7:AN$123,MATCH($C$3&amp;"|"&amp;$B26,'データ'!$A$7:$A$123,0)),0)</f>
        <v>1356</v>
      </c>
      <c r="AO26" s="34">
        <f>IFERROR(INDEX('データ'!AO$7:AO$123,MATCH($C$3&amp;"|"&amp;$B26,'データ'!$A$7:$A$123,0)),0)</f>
        <v>1383</v>
      </c>
      <c r="AP26" s="34">
        <f>IFERROR(INDEX('データ'!AP$7:AP$123,MATCH($C$3&amp;"|"&amp;$B26,'データ'!$A$7:$A$123,0)),0)</f>
        <v>1233</v>
      </c>
      <c r="AQ26" s="34">
        <f>IFERROR(INDEX('データ'!AQ$7:AQ$123,MATCH($C$3&amp;"|"&amp;$B26,'データ'!$A$7:$A$123,0)),0)</f>
        <v>876</v>
      </c>
      <c r="AR26" s="34">
        <f>IFERROR(INDEX('データ'!AR$7:AR$123,MATCH($C$3&amp;"|"&amp;$B26,'データ'!$A$7:$A$123,0)),0)</f>
        <v>437</v>
      </c>
      <c r="AS26" s="34">
        <f>IFERROR(INDEX('データ'!AS$7:AS$123,MATCH($C$3&amp;"|"&amp;$B26,'データ'!$A$7:$A$123,0)),0)</f>
        <v>50</v>
      </c>
      <c r="AT26" s="34">
        <f>IFERROR(INDEX('データ'!AT$7:AT$123,MATCH($C$3&amp;"|"&amp;$B26,'データ'!$A$7:$A$123,0)),0)</f>
        <v>20</v>
      </c>
      <c r="AU26" s="34">
        <f>IFERROR(INDEX('データ'!AU$7:AU$123,MATCH($C$3&amp;"|"&amp;$B26,'データ'!$A$7:$A$123,0)),0)</f>
        <v>33</v>
      </c>
      <c r="AV26" s="34">
        <f>IFERROR(INDEX('データ'!AV$7:AV$123,MATCH($C$3&amp;"|"&amp;$B26,'データ'!$A$7:$A$123,0)),0)</f>
        <v>12</v>
      </c>
      <c r="AW26" s="34">
        <f>IFERROR(INDEX('データ'!AW$7:AW$123,MATCH($C$3&amp;"|"&amp;$B26,'データ'!$A$7:$A$123,0)),0)</f>
        <v>0</v>
      </c>
      <c r="AX26" s="34">
        <f>IFERROR(INDEX('データ'!AX$7:AX$123,MATCH($C$3&amp;"|"&amp;$B26,'データ'!$A$7:$A$123,0)),0)</f>
        <v>0</v>
      </c>
      <c r="AY26" s="34">
        <f>IFERROR(INDEX('データ'!AY$7:AY$123,MATCH($C$3&amp;"|"&amp;$B26,'データ'!$A$7:$A$123,0)),0)</f>
        <v>0</v>
      </c>
      <c r="AZ26" s="34">
        <f>IFERROR(INDEX('データ'!AZ$7:AZ$123,MATCH($C$3&amp;"|"&amp;$B26,'データ'!$A$7:$A$123,0)),0)</f>
        <v>5</v>
      </c>
      <c r="BA26" s="34">
        <f>IFERROR(INDEX('データ'!BA$7:BA$123,MATCH($C$3&amp;"|"&amp;$B26,'データ'!$A$7:$A$123,0)),0)</f>
        <v>0</v>
      </c>
      <c r="BB26" s="34">
        <f>IFERROR(INDEX('データ'!BB$7:BB$123,MATCH($C$3&amp;"|"&amp;$B26,'データ'!$A$7:$A$123,0)),0)</f>
        <v>0</v>
      </c>
      <c r="BC26" s="34">
        <f>IFERROR(INDEX('データ'!BC$7:BC$123,MATCH($C$3&amp;"|"&amp;$B26,'データ'!$A$7:$A$123,0)),0)</f>
        <v>1</v>
      </c>
      <c r="BD26" s="34">
        <f>IFERROR(INDEX('データ'!BD$7:BD$123,MATCH($C$3&amp;"|"&amp;$B26,'データ'!$A$7:$A$123,0)),0)</f>
        <v>2</v>
      </c>
      <c r="BE26" s="34">
        <f>IFERROR(INDEX('データ'!BE$7:BE$123,MATCH($C$3&amp;"|"&amp;$B26,'データ'!$A$7:$A$123,0)),0)</f>
        <v>0</v>
      </c>
      <c r="BF26" s="34">
        <f>IFERROR(INDEX('データ'!BF$7:BF$123,MATCH($C$3&amp;"|"&amp;$B26,'データ'!$A$7:$A$123,0)),0)</f>
        <v>0</v>
      </c>
      <c r="BG26" s="34">
        <f>IFERROR(INDEX('データ'!BG$7:BG$123,MATCH($C$3&amp;"|"&amp;$B26,'データ'!$A$7:$A$123,0)),0)</f>
        <v>0</v>
      </c>
    </row>
    <row r="27" spans="2:59" ht="20" customHeight="1">
      <c r="B27" s="33" t="s">
        <v>87</v>
      </c>
      <c r="C27" s="33"/>
      <c r="D27" s="34">
        <f>IFERROR(INDEX('データ'!D$7:D$123,MATCH($C$3&amp;"|"&amp;$B27,'データ'!$A$7:$A$123,0)),0)</f>
        <v>0</v>
      </c>
      <c r="E27" s="34">
        <f>IFERROR(INDEX('データ'!E$7:E$123,MATCH($C$3&amp;"|"&amp;$B27,'データ'!$A$7:$A$123,0)),0)</f>
        <v>0</v>
      </c>
      <c r="F27" s="34">
        <f>IFERROR(INDEX('データ'!F$7:F$123,MATCH($C$3&amp;"|"&amp;$B27,'データ'!$A$7:$A$123,0)),0)</f>
        <v>0</v>
      </c>
      <c r="G27" s="34">
        <f>IFERROR(INDEX('データ'!G$7:G$123,MATCH($C$3&amp;"|"&amp;$B27,'データ'!$A$7:$A$123,0)),0)</f>
        <v>1</v>
      </c>
      <c r="H27" s="34">
        <f>IFERROR(INDEX('データ'!H$7:H$123,MATCH($C$3&amp;"|"&amp;$B27,'データ'!$A$7:$A$123,0)),0)</f>
        <v>52</v>
      </c>
      <c r="I27" s="34">
        <f>IFERROR(INDEX('データ'!I$7:I$123,MATCH($C$3&amp;"|"&amp;$B27,'データ'!$A$7:$A$123,0)),0)</f>
        <v>510</v>
      </c>
      <c r="J27" s="34">
        <f>IFERROR(INDEX('データ'!J$7:J$123,MATCH($C$3&amp;"|"&amp;$B27,'データ'!$A$7:$A$123,0)),0)</f>
        <v>1301</v>
      </c>
      <c r="K27" s="34">
        <f>IFERROR(INDEX('データ'!K$7:K$123,MATCH($C$3&amp;"|"&amp;$B27,'データ'!$A$7:$A$123,0)),0)</f>
        <v>1250</v>
      </c>
      <c r="L27" s="34">
        <f>IFERROR(INDEX('データ'!L$7:L$123,MATCH($C$3&amp;"|"&amp;$B27,'データ'!$A$7:$A$123,0)),0)</f>
        <v>1522</v>
      </c>
      <c r="M27" s="34">
        <f>IFERROR(INDEX('データ'!M$7:M$123,MATCH($C$3&amp;"|"&amp;$B27,'データ'!$A$7:$A$123,0)),0)</f>
        <v>1733</v>
      </c>
      <c r="N27" s="34">
        <f>IFERROR(INDEX('データ'!N$7:N$123,MATCH($C$3&amp;"|"&amp;$B27,'データ'!$A$7:$A$123,0)),0)</f>
        <v>1857</v>
      </c>
      <c r="O27" s="34">
        <f>IFERROR(INDEX('データ'!O$7:O$123,MATCH($C$3&amp;"|"&amp;$B27,'データ'!$A$7:$A$123,0)),0)</f>
        <v>2035</v>
      </c>
      <c r="P27" s="34">
        <f>IFERROR(INDEX('データ'!P$7:P$123,MATCH($C$3&amp;"|"&amp;$B27,'データ'!$A$7:$A$123,0)),0)</f>
        <v>2088</v>
      </c>
      <c r="Q27" s="34">
        <f>IFERROR(INDEX('データ'!Q$7:Q$123,MATCH($C$3&amp;"|"&amp;$B27,'データ'!$A$7:$A$123,0)),0)</f>
        <v>2293</v>
      </c>
      <c r="R27" s="34">
        <f>IFERROR(INDEX('データ'!R$7:R$123,MATCH($C$3&amp;"|"&amp;$B27,'データ'!$A$7:$A$123,0)),0)</f>
        <v>2333</v>
      </c>
      <c r="S27" s="34">
        <f>IFERROR(INDEX('データ'!S$7:S$123,MATCH($C$3&amp;"|"&amp;$B27,'データ'!$A$7:$A$123,0)),0)</f>
        <v>2348</v>
      </c>
      <c r="T27" s="34">
        <f>IFERROR(INDEX('データ'!T$7:T$123,MATCH($C$3&amp;"|"&amp;$B27,'データ'!$A$7:$A$123,0)),0)</f>
        <v>2365</v>
      </c>
      <c r="U27" s="34">
        <f>IFERROR(INDEX('データ'!U$7:U$123,MATCH($C$3&amp;"|"&amp;$B27,'データ'!$A$7:$A$123,0)),0)</f>
        <v>2217</v>
      </c>
      <c r="V27" s="34">
        <f>IFERROR(INDEX('データ'!V$7:V$123,MATCH($C$3&amp;"|"&amp;$B27,'データ'!$A$7:$A$123,0)),0)</f>
        <v>2126</v>
      </c>
      <c r="W27" s="34">
        <f>IFERROR(INDEX('データ'!W$7:W$123,MATCH($C$3&amp;"|"&amp;$B27,'データ'!$A$7:$A$123,0)),0)</f>
        <v>1956</v>
      </c>
      <c r="X27" s="34">
        <f>IFERROR(INDEX('データ'!X$7:X$123,MATCH($C$3&amp;"|"&amp;$B27,'データ'!$A$7:$A$123,0)),0)</f>
        <v>1931</v>
      </c>
      <c r="Y27" s="34">
        <f>IFERROR(INDEX('データ'!Y$7:Y$123,MATCH($C$3&amp;"|"&amp;$B27,'データ'!$A$7:$A$123,0)),0)</f>
        <v>1815</v>
      </c>
      <c r="Z27" s="34">
        <f>IFERROR(INDEX('データ'!Z$7:Z$123,MATCH($C$3&amp;"|"&amp;$B27,'データ'!$A$7:$A$123,0)),0)</f>
        <v>1802</v>
      </c>
      <c r="AA27" s="34">
        <f>IFERROR(INDEX('データ'!AA$7:AA$123,MATCH($C$3&amp;"|"&amp;$B27,'データ'!$A$7:$A$123,0)),0)</f>
        <v>1746</v>
      </c>
      <c r="AB27" s="34">
        <f>IFERROR(INDEX('データ'!AB$7:AB$123,MATCH($C$3&amp;"|"&amp;$B27,'データ'!$A$7:$A$123,0)),0)</f>
        <v>2035</v>
      </c>
      <c r="AC27" s="34">
        <f>IFERROR(INDEX('データ'!AC$7:AC$123,MATCH($C$3&amp;"|"&amp;$B27,'データ'!$A$7:$A$123,0)),0)</f>
        <v>2236</v>
      </c>
      <c r="AD27" s="34">
        <f>IFERROR(INDEX('データ'!AD$7:AD$123,MATCH($C$3&amp;"|"&amp;$B27,'データ'!$A$7:$A$123,0)),0)</f>
        <v>2314</v>
      </c>
      <c r="AE27" s="34">
        <f>IFERROR(INDEX('データ'!AE$7:AE$123,MATCH($C$3&amp;"|"&amp;$B27,'データ'!$A$7:$A$123,0)),0)</f>
        <v>2274</v>
      </c>
      <c r="AF27" s="34">
        <f>IFERROR(INDEX('データ'!AF$7:AF$123,MATCH($C$3&amp;"|"&amp;$B27,'データ'!$A$7:$A$123,0)),0)</f>
        <v>2250</v>
      </c>
      <c r="AG27" s="34">
        <f>IFERROR(INDEX('データ'!AG$7:AG$123,MATCH($C$3&amp;"|"&amp;$B27,'データ'!$A$7:$A$123,0)),0)</f>
        <v>2225</v>
      </c>
      <c r="AH27" s="34">
        <f>IFERROR(INDEX('データ'!AH$7:AH$123,MATCH($C$3&amp;"|"&amp;$B27,'データ'!$A$7:$A$123,0)),0)</f>
        <v>2213</v>
      </c>
      <c r="AI27" s="34">
        <f>IFERROR(INDEX('データ'!AI$7:AI$123,MATCH($C$3&amp;"|"&amp;$B27,'データ'!$A$7:$A$123,0)),0)</f>
        <v>2107</v>
      </c>
      <c r="AJ27" s="34">
        <f>IFERROR(INDEX('データ'!AJ$7:AJ$123,MATCH($C$3&amp;"|"&amp;$B27,'データ'!$A$7:$A$123,0)),0)</f>
        <v>2115</v>
      </c>
      <c r="AK27" s="34">
        <f>IFERROR(INDEX('データ'!AK$7:AK$123,MATCH($C$3&amp;"|"&amp;$B27,'データ'!$A$7:$A$123,0)),0)</f>
        <v>2093</v>
      </c>
      <c r="AL27" s="34">
        <f>IFERROR(INDEX('データ'!AL$7:AL$123,MATCH($C$3&amp;"|"&amp;$B27,'データ'!$A$7:$A$123,0)),0)</f>
        <v>2003</v>
      </c>
      <c r="AM27" s="34">
        <f>IFERROR(INDEX('データ'!AM$7:AM$123,MATCH($C$3&amp;"|"&amp;$B27,'データ'!$A$7:$A$123,0)),0)</f>
        <v>1995</v>
      </c>
      <c r="AN27" s="34">
        <f>IFERROR(INDEX('データ'!AN$7:AN$123,MATCH($C$3&amp;"|"&amp;$B27,'データ'!$A$7:$A$123,0)),0)</f>
        <v>1919</v>
      </c>
      <c r="AO27" s="34">
        <f>IFERROR(INDEX('データ'!AO$7:AO$123,MATCH($C$3&amp;"|"&amp;$B27,'データ'!$A$7:$A$123,0)),0)</f>
        <v>1878</v>
      </c>
      <c r="AP27" s="34">
        <f>IFERROR(INDEX('データ'!AP$7:AP$123,MATCH($C$3&amp;"|"&amp;$B27,'データ'!$A$7:$A$123,0)),0)</f>
        <v>1771</v>
      </c>
      <c r="AQ27" s="34">
        <f>IFERROR(INDEX('データ'!AQ$7:AQ$123,MATCH($C$3&amp;"|"&amp;$B27,'データ'!$A$7:$A$123,0)),0)</f>
        <v>1251</v>
      </c>
      <c r="AR27" s="34">
        <f>IFERROR(INDEX('データ'!AR$7:AR$123,MATCH($C$3&amp;"|"&amp;$B27,'データ'!$A$7:$A$123,0)),0)</f>
        <v>598</v>
      </c>
      <c r="AS27" s="34">
        <f>IFERROR(INDEX('データ'!AS$7:AS$123,MATCH($C$3&amp;"|"&amp;$B27,'データ'!$A$7:$A$123,0)),0)</f>
        <v>35</v>
      </c>
      <c r="AT27" s="34">
        <f>IFERROR(INDEX('データ'!AT$7:AT$123,MATCH($C$3&amp;"|"&amp;$B27,'データ'!$A$7:$A$123,0)),0)</f>
        <v>15</v>
      </c>
      <c r="AU27" s="34">
        <f>IFERROR(INDEX('データ'!AU$7:AU$123,MATCH($C$3&amp;"|"&amp;$B27,'データ'!$A$7:$A$123,0)),0)</f>
        <v>17</v>
      </c>
      <c r="AV27" s="34">
        <f>IFERROR(INDEX('データ'!AV$7:AV$123,MATCH($C$3&amp;"|"&amp;$B27,'データ'!$A$7:$A$123,0)),0)</f>
        <v>20</v>
      </c>
      <c r="AW27" s="34">
        <f>IFERROR(INDEX('データ'!AW$7:AW$123,MATCH($C$3&amp;"|"&amp;$B27,'データ'!$A$7:$A$123,0)),0)</f>
        <v>24</v>
      </c>
      <c r="AX27" s="34">
        <f>IFERROR(INDEX('データ'!AX$7:AX$123,MATCH($C$3&amp;"|"&amp;$B27,'データ'!$A$7:$A$123,0)),0)</f>
        <v>43</v>
      </c>
      <c r="AY27" s="34">
        <f>IFERROR(INDEX('データ'!AY$7:AY$123,MATCH($C$3&amp;"|"&amp;$B27,'データ'!$A$7:$A$123,0)),0)</f>
        <v>20</v>
      </c>
      <c r="AZ27" s="34">
        <f>IFERROR(INDEX('データ'!AZ$7:AZ$123,MATCH($C$3&amp;"|"&amp;$B27,'データ'!$A$7:$A$123,0)),0)</f>
        <v>27</v>
      </c>
      <c r="BA27" s="34">
        <f>IFERROR(INDEX('データ'!BA$7:BA$123,MATCH($C$3&amp;"|"&amp;$B27,'データ'!$A$7:$A$123,0)),0)</f>
        <v>10</v>
      </c>
      <c r="BB27" s="34">
        <f>IFERROR(INDEX('データ'!BB$7:BB$123,MATCH($C$3&amp;"|"&amp;$B27,'データ'!$A$7:$A$123,0)),0)</f>
        <v>2</v>
      </c>
      <c r="BC27" s="34">
        <f>IFERROR(INDEX('データ'!BC$7:BC$123,MATCH($C$3&amp;"|"&amp;$B27,'データ'!$A$7:$A$123,0)),0)</f>
        <v>2</v>
      </c>
      <c r="BD27" s="34">
        <f>IFERROR(INDEX('データ'!BD$7:BD$123,MATCH($C$3&amp;"|"&amp;$B27,'データ'!$A$7:$A$123,0)),0)</f>
        <v>0</v>
      </c>
      <c r="BE27" s="34">
        <f>IFERROR(INDEX('データ'!BE$7:BE$123,MATCH($C$3&amp;"|"&amp;$B27,'データ'!$A$7:$A$123,0)),0)</f>
        <v>0</v>
      </c>
      <c r="BF27" s="34">
        <f>IFERROR(INDEX('データ'!BF$7:BF$123,MATCH($C$3&amp;"|"&amp;$B27,'データ'!$A$7:$A$123,0)),0)</f>
        <v>0</v>
      </c>
      <c r="BG27" s="34">
        <f>IFERROR(INDEX('データ'!BG$7:BG$123,MATCH($C$3&amp;"|"&amp;$B27,'データ'!$A$7:$A$123,0)),0)</f>
        <v>0</v>
      </c>
    </row>
    <row r="28" spans="2:59" ht="20" customHeight="1">
      <c r="B28" s="33" t="s">
        <v>89</v>
      </c>
      <c r="C28" s="33"/>
      <c r="D28" s="34">
        <f>IFERROR(INDEX('データ'!D$7:D$123,MATCH($C$3&amp;"|"&amp;$B28,'データ'!$A$7:$A$123,0)),0)</f>
        <v>0</v>
      </c>
      <c r="E28" s="34">
        <f>IFERROR(INDEX('データ'!E$7:E$123,MATCH($C$3&amp;"|"&amp;$B28,'データ'!$A$7:$A$123,0)),0)</f>
        <v>0</v>
      </c>
      <c r="F28" s="34">
        <f>IFERROR(INDEX('データ'!F$7:F$123,MATCH($C$3&amp;"|"&amp;$B28,'データ'!$A$7:$A$123,0)),0)</f>
        <v>0</v>
      </c>
      <c r="G28" s="34">
        <f>IFERROR(INDEX('データ'!G$7:G$123,MATCH($C$3&amp;"|"&amp;$B28,'データ'!$A$7:$A$123,0)),0)</f>
        <v>3</v>
      </c>
      <c r="H28" s="34">
        <f>IFERROR(INDEX('データ'!H$7:H$123,MATCH($C$3&amp;"|"&amp;$B28,'データ'!$A$7:$A$123,0)),0)</f>
        <v>132</v>
      </c>
      <c r="I28" s="34">
        <f>IFERROR(INDEX('データ'!I$7:I$123,MATCH($C$3&amp;"|"&amp;$B28,'データ'!$A$7:$A$123,0)),0)</f>
        <v>981</v>
      </c>
      <c r="J28" s="34">
        <f>IFERROR(INDEX('データ'!J$7:J$123,MATCH($C$3&amp;"|"&amp;$B28,'データ'!$A$7:$A$123,0)),0)</f>
        <v>2059</v>
      </c>
      <c r="K28" s="34">
        <f>IFERROR(INDEX('データ'!K$7:K$123,MATCH($C$3&amp;"|"&amp;$B28,'データ'!$A$7:$A$123,0)),0)</f>
        <v>1853</v>
      </c>
      <c r="L28" s="34">
        <f>IFERROR(INDEX('データ'!L$7:L$123,MATCH($C$3&amp;"|"&amp;$B28,'データ'!$A$7:$A$123,0)),0)</f>
        <v>2073</v>
      </c>
      <c r="M28" s="34">
        <f>IFERROR(INDEX('データ'!M$7:M$123,MATCH($C$3&amp;"|"&amp;$B28,'データ'!$A$7:$A$123,0)),0)</f>
        <v>2306</v>
      </c>
      <c r="N28" s="34">
        <f>IFERROR(INDEX('データ'!N$7:N$123,MATCH($C$3&amp;"|"&amp;$B28,'データ'!$A$7:$A$123,0)),0)</f>
        <v>2473</v>
      </c>
      <c r="O28" s="34">
        <f>IFERROR(INDEX('データ'!O$7:O$123,MATCH($C$3&amp;"|"&amp;$B28,'データ'!$A$7:$A$123,0)),0)</f>
        <v>2736</v>
      </c>
      <c r="P28" s="34">
        <f>IFERROR(INDEX('データ'!P$7:P$123,MATCH($C$3&amp;"|"&amp;$B28,'データ'!$A$7:$A$123,0)),0)</f>
        <v>2844</v>
      </c>
      <c r="Q28" s="34">
        <f>IFERROR(INDEX('データ'!Q$7:Q$123,MATCH($C$3&amp;"|"&amp;$B28,'データ'!$A$7:$A$123,0)),0)</f>
        <v>2775</v>
      </c>
      <c r="R28" s="34">
        <f>IFERROR(INDEX('データ'!R$7:R$123,MATCH($C$3&amp;"|"&amp;$B28,'データ'!$A$7:$A$123,0)),0)</f>
        <v>2835</v>
      </c>
      <c r="S28" s="34">
        <f>IFERROR(INDEX('データ'!S$7:S$123,MATCH($C$3&amp;"|"&amp;$B28,'データ'!$A$7:$A$123,0)),0)</f>
        <v>2902</v>
      </c>
      <c r="T28" s="34">
        <f>IFERROR(INDEX('データ'!T$7:T$123,MATCH($C$3&amp;"|"&amp;$B28,'データ'!$A$7:$A$123,0)),0)</f>
        <v>2990</v>
      </c>
      <c r="U28" s="34">
        <f>IFERROR(INDEX('データ'!U$7:U$123,MATCH($C$3&amp;"|"&amp;$B28,'データ'!$A$7:$A$123,0)),0)</f>
        <v>2876</v>
      </c>
      <c r="V28" s="34">
        <f>IFERROR(INDEX('データ'!V$7:V$123,MATCH($C$3&amp;"|"&amp;$B28,'データ'!$A$7:$A$123,0)),0)</f>
        <v>2663</v>
      </c>
      <c r="W28" s="34">
        <f>IFERROR(INDEX('データ'!W$7:W$123,MATCH($C$3&amp;"|"&amp;$B28,'データ'!$A$7:$A$123,0)),0)</f>
        <v>2381</v>
      </c>
      <c r="X28" s="34">
        <f>IFERROR(INDEX('データ'!X$7:X$123,MATCH($C$3&amp;"|"&amp;$B28,'データ'!$A$7:$A$123,0)),0)</f>
        <v>2323</v>
      </c>
      <c r="Y28" s="34">
        <f>IFERROR(INDEX('データ'!Y$7:Y$123,MATCH($C$3&amp;"|"&amp;$B28,'データ'!$A$7:$A$123,0)),0)</f>
        <v>2360</v>
      </c>
      <c r="Z28" s="34">
        <f>IFERROR(INDEX('データ'!Z$7:Z$123,MATCH($C$3&amp;"|"&amp;$B28,'データ'!$A$7:$A$123,0)),0)</f>
        <v>2292</v>
      </c>
      <c r="AA28" s="34">
        <f>IFERROR(INDEX('データ'!AA$7:AA$123,MATCH($C$3&amp;"|"&amp;$B28,'データ'!$A$7:$A$123,0)),0)</f>
        <v>2292</v>
      </c>
      <c r="AB28" s="34">
        <f>IFERROR(INDEX('データ'!AB$7:AB$123,MATCH($C$3&amp;"|"&amp;$B28,'データ'!$A$7:$A$123,0)),0)</f>
        <v>2520</v>
      </c>
      <c r="AC28" s="34">
        <f>IFERROR(INDEX('データ'!AC$7:AC$123,MATCH($C$3&amp;"|"&amp;$B28,'データ'!$A$7:$A$123,0)),0)</f>
        <v>2622</v>
      </c>
      <c r="AD28" s="34">
        <f>IFERROR(INDEX('データ'!AD$7:AD$123,MATCH($C$3&amp;"|"&amp;$B28,'データ'!$A$7:$A$123,0)),0)</f>
        <v>2656</v>
      </c>
      <c r="AE28" s="34">
        <f>IFERROR(INDEX('データ'!AE$7:AE$123,MATCH($C$3&amp;"|"&amp;$B28,'データ'!$A$7:$A$123,0)),0)</f>
        <v>2796</v>
      </c>
      <c r="AF28" s="34">
        <f>IFERROR(INDEX('データ'!AF$7:AF$123,MATCH($C$3&amp;"|"&amp;$B28,'データ'!$A$7:$A$123,0)),0)</f>
        <v>2766</v>
      </c>
      <c r="AG28" s="34">
        <f>IFERROR(INDEX('データ'!AG$7:AG$123,MATCH($C$3&amp;"|"&amp;$B28,'データ'!$A$7:$A$123,0)),0)</f>
        <v>2804</v>
      </c>
      <c r="AH28" s="34">
        <f>IFERROR(INDEX('データ'!AH$7:AH$123,MATCH($C$3&amp;"|"&amp;$B28,'データ'!$A$7:$A$123,0)),0)</f>
        <v>2805</v>
      </c>
      <c r="AI28" s="34">
        <f>IFERROR(INDEX('データ'!AI$7:AI$123,MATCH($C$3&amp;"|"&amp;$B28,'データ'!$A$7:$A$123,0)),0)</f>
        <v>2747</v>
      </c>
      <c r="AJ28" s="34">
        <f>IFERROR(INDEX('データ'!AJ$7:AJ$123,MATCH($C$3&amp;"|"&amp;$B28,'データ'!$A$7:$A$123,0)),0)</f>
        <v>2679</v>
      </c>
      <c r="AK28" s="34">
        <f>IFERROR(INDEX('データ'!AK$7:AK$123,MATCH($C$3&amp;"|"&amp;$B28,'データ'!$A$7:$A$123,0)),0)</f>
        <v>2664</v>
      </c>
      <c r="AL28" s="34">
        <f>IFERROR(INDEX('データ'!AL$7:AL$123,MATCH($C$3&amp;"|"&amp;$B28,'データ'!$A$7:$A$123,0)),0)</f>
        <v>2545</v>
      </c>
      <c r="AM28" s="34">
        <f>IFERROR(INDEX('データ'!AM$7:AM$123,MATCH($C$3&amp;"|"&amp;$B28,'データ'!$A$7:$A$123,0)),0)</f>
        <v>2440</v>
      </c>
      <c r="AN28" s="34">
        <f>IFERROR(INDEX('データ'!AN$7:AN$123,MATCH($C$3&amp;"|"&amp;$B28,'データ'!$A$7:$A$123,0)),0)</f>
        <v>2358</v>
      </c>
      <c r="AO28" s="34">
        <f>IFERROR(INDEX('データ'!AO$7:AO$123,MATCH($C$3&amp;"|"&amp;$B28,'データ'!$A$7:$A$123,0)),0)</f>
        <v>2300</v>
      </c>
      <c r="AP28" s="34">
        <f>IFERROR(INDEX('データ'!AP$7:AP$123,MATCH($C$3&amp;"|"&amp;$B28,'データ'!$A$7:$A$123,0)),0)</f>
        <v>2215</v>
      </c>
      <c r="AQ28" s="34">
        <f>IFERROR(INDEX('データ'!AQ$7:AQ$123,MATCH($C$3&amp;"|"&amp;$B28,'データ'!$A$7:$A$123,0)),0)</f>
        <v>1624</v>
      </c>
      <c r="AR28" s="34">
        <f>IFERROR(INDEX('データ'!AR$7:AR$123,MATCH($C$3&amp;"|"&amp;$B28,'データ'!$A$7:$A$123,0)),0)</f>
        <v>698</v>
      </c>
      <c r="AS28" s="34">
        <f>IFERROR(INDEX('データ'!AS$7:AS$123,MATCH($C$3&amp;"|"&amp;$B28,'データ'!$A$7:$A$123,0)),0)</f>
        <v>66</v>
      </c>
      <c r="AT28" s="34">
        <f>IFERROR(INDEX('データ'!AT$7:AT$123,MATCH($C$3&amp;"|"&amp;$B28,'データ'!$A$7:$A$123,0)),0)</f>
        <v>42</v>
      </c>
      <c r="AU28" s="34">
        <f>IFERROR(INDEX('データ'!AU$7:AU$123,MATCH($C$3&amp;"|"&amp;$B28,'データ'!$A$7:$A$123,0)),0)</f>
        <v>41</v>
      </c>
      <c r="AV28" s="34">
        <f>IFERROR(INDEX('データ'!AV$7:AV$123,MATCH($C$3&amp;"|"&amp;$B28,'データ'!$A$7:$A$123,0)),0)</f>
        <v>26</v>
      </c>
      <c r="AW28" s="34">
        <f>IFERROR(INDEX('データ'!AW$7:AW$123,MATCH($C$3&amp;"|"&amp;$B28,'データ'!$A$7:$A$123,0)),0)</f>
        <v>48</v>
      </c>
      <c r="AX28" s="34">
        <f>IFERROR(INDEX('データ'!AX$7:AX$123,MATCH($C$3&amp;"|"&amp;$B28,'データ'!$A$7:$A$123,0)),0)</f>
        <v>35</v>
      </c>
      <c r="AY28" s="34">
        <f>IFERROR(INDEX('データ'!AY$7:AY$123,MATCH($C$3&amp;"|"&amp;$B28,'データ'!$A$7:$A$123,0)),0)</f>
        <v>13</v>
      </c>
      <c r="AZ28" s="34">
        <f>IFERROR(INDEX('データ'!AZ$7:AZ$123,MATCH($C$3&amp;"|"&amp;$B28,'データ'!$A$7:$A$123,0)),0)</f>
        <v>9</v>
      </c>
      <c r="BA28" s="34">
        <f>IFERROR(INDEX('データ'!BA$7:BA$123,MATCH($C$3&amp;"|"&amp;$B28,'データ'!$A$7:$A$123,0)),0)</f>
        <v>3</v>
      </c>
      <c r="BB28" s="34">
        <f>IFERROR(INDEX('データ'!BB$7:BB$123,MATCH($C$3&amp;"|"&amp;$B28,'データ'!$A$7:$A$123,0)),0)</f>
        <v>0</v>
      </c>
      <c r="BC28" s="34">
        <f>IFERROR(INDEX('データ'!BC$7:BC$123,MATCH($C$3&amp;"|"&amp;$B28,'データ'!$A$7:$A$123,0)),0)</f>
        <v>0</v>
      </c>
      <c r="BD28" s="34">
        <f>IFERROR(INDEX('データ'!BD$7:BD$123,MATCH($C$3&amp;"|"&amp;$B28,'データ'!$A$7:$A$123,0)),0)</f>
        <v>0</v>
      </c>
      <c r="BE28" s="34">
        <f>IFERROR(INDEX('データ'!BE$7:BE$123,MATCH($C$3&amp;"|"&amp;$B28,'データ'!$A$7:$A$123,0)),0)</f>
        <v>0</v>
      </c>
      <c r="BF28" s="34">
        <f>IFERROR(INDEX('データ'!BF$7:BF$123,MATCH($C$3&amp;"|"&amp;$B28,'データ'!$A$7:$A$123,0)),0)</f>
        <v>0</v>
      </c>
      <c r="BG28" s="34">
        <f>IFERROR(INDEX('データ'!BG$7:BG$123,MATCH($C$3&amp;"|"&amp;$B28,'データ'!$A$7:$A$123,0)),0)</f>
        <v>0</v>
      </c>
    </row>
    <row r="30" spans="2:59">
      <c r="B30" s="3" t="s">
        <v>389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2:59">
      <c r="B31" s="32" t="s">
        <v>4</v>
      </c>
      <c r="C31" s="32" t="s">
        <v>390</v>
      </c>
      <c r="D31" s="32" t="s">
        <v>374</v>
      </c>
      <c r="E31" s="32"/>
      <c r="F31" s="32"/>
      <c r="G31" s="32"/>
      <c r="H31" s="32" t="s">
        <v>375</v>
      </c>
      <c r="I31" s="32"/>
      <c r="J31" s="32"/>
      <c r="K31" s="32"/>
      <c r="L31" s="32" t="s">
        <v>376</v>
      </c>
      <c r="M31" s="32"/>
      <c r="N31" s="32"/>
      <c r="O31" s="32"/>
      <c r="P31" s="32" t="s">
        <v>377</v>
      </c>
      <c r="Q31" s="32"/>
      <c r="R31" s="32"/>
      <c r="S31" s="32"/>
      <c r="T31" s="32" t="s">
        <v>378</v>
      </c>
      <c r="U31" s="32"/>
      <c r="V31" s="32"/>
      <c r="W31" s="32"/>
      <c r="X31" s="32" t="s">
        <v>379</v>
      </c>
      <c r="Y31" s="32"/>
      <c r="Z31" s="32"/>
      <c r="AA31" s="32"/>
      <c r="AB31" s="32" t="s">
        <v>380</v>
      </c>
      <c r="AC31" s="32"/>
      <c r="AD31" s="32"/>
      <c r="AE31" s="32"/>
      <c r="AF31" s="32" t="s">
        <v>381</v>
      </c>
      <c r="AG31" s="32"/>
      <c r="AH31" s="32"/>
      <c r="AI31" s="32"/>
      <c r="AJ31" s="32" t="s">
        <v>382</v>
      </c>
      <c r="AK31" s="32"/>
      <c r="AL31" s="32"/>
      <c r="AM31" s="32"/>
      <c r="AN31" s="32" t="s">
        <v>383</v>
      </c>
      <c r="AO31" s="32"/>
      <c r="AP31" s="32"/>
      <c r="AQ31" s="32"/>
      <c r="AR31" s="32" t="s">
        <v>384</v>
      </c>
      <c r="AS31" s="32"/>
      <c r="AT31" s="32"/>
      <c r="AU31" s="32"/>
      <c r="AV31" s="32" t="s">
        <v>385</v>
      </c>
      <c r="AW31" s="32"/>
      <c r="AX31" s="32"/>
      <c r="AY31" s="32"/>
      <c r="AZ31" s="32" t="s">
        <v>386</v>
      </c>
      <c r="BA31" s="32"/>
      <c r="BB31" s="32"/>
      <c r="BC31" s="32"/>
      <c r="BD31" s="32" t="s">
        <v>387</v>
      </c>
      <c r="BE31" s="32"/>
      <c r="BF31" s="32"/>
      <c r="BG31" s="32"/>
    </row>
    <row r="32" spans="2:59" ht="24" customHeight="1">
      <c r="B32" s="33" t="s">
        <v>91</v>
      </c>
      <c r="D32" s="34">
        <f>INDEX('データ'!D$7:D$123,MATCH($B32&amp;"|全期間",'データ'!$A$7:$A$123,0))</f>
        <v>0</v>
      </c>
      <c r="E32" s="34">
        <f>INDEX('データ'!E$7:E$123,MATCH($B32&amp;"|全期間",'データ'!$A$7:$A$123,0))</f>
        <v>0</v>
      </c>
      <c r="F32" s="34">
        <f>INDEX('データ'!F$7:F$123,MATCH($B32&amp;"|全期間",'データ'!$A$7:$A$123,0))</f>
        <v>1</v>
      </c>
      <c r="G32" s="34">
        <f>INDEX('データ'!G$7:G$123,MATCH($B32&amp;"|全期間",'データ'!$A$7:$A$123,0))</f>
        <v>0</v>
      </c>
      <c r="H32" s="34">
        <f>INDEX('データ'!H$7:H$123,MATCH($B32&amp;"|全期間",'データ'!$A$7:$A$123,0))</f>
        <v>46</v>
      </c>
      <c r="I32" s="34">
        <f>INDEX('データ'!I$7:I$123,MATCH($B32&amp;"|全期間",'データ'!$A$7:$A$123,0))</f>
        <v>345</v>
      </c>
      <c r="J32" s="34">
        <f>INDEX('データ'!J$7:J$123,MATCH($B32&amp;"|全期間",'データ'!$A$7:$A$123,0))</f>
        <v>1064</v>
      </c>
      <c r="K32" s="34">
        <f>INDEX('データ'!K$7:K$123,MATCH($B32&amp;"|全期間",'データ'!$A$7:$A$123,0))</f>
        <v>2310</v>
      </c>
      <c r="L32" s="34">
        <f>INDEX('データ'!L$7:L$123,MATCH($B32&amp;"|全期間",'データ'!$A$7:$A$123,0))</f>
        <v>2609</v>
      </c>
      <c r="M32" s="34">
        <f>INDEX('データ'!M$7:M$123,MATCH($B32&amp;"|全期間",'データ'!$A$7:$A$123,0))</f>
        <v>3035</v>
      </c>
      <c r="N32" s="34">
        <f>INDEX('データ'!N$7:N$123,MATCH($B32&amp;"|全期間",'データ'!$A$7:$A$123,0))</f>
        <v>3452</v>
      </c>
      <c r="O32" s="34">
        <f>INDEX('データ'!O$7:O$123,MATCH($B32&amp;"|全期間",'データ'!$A$7:$A$123,0))</f>
        <v>3850</v>
      </c>
      <c r="P32" s="34">
        <f>INDEX('データ'!P$7:P$123,MATCH($B32&amp;"|全期間",'データ'!$A$7:$A$123,0))</f>
        <v>3978</v>
      </c>
      <c r="Q32" s="34">
        <f>INDEX('データ'!Q$7:Q$123,MATCH($B32&amp;"|全期間",'データ'!$A$7:$A$123,0))</f>
        <v>4456</v>
      </c>
      <c r="R32" s="34">
        <f>INDEX('データ'!R$7:R$123,MATCH($B32&amp;"|全期間",'データ'!$A$7:$A$123,0))</f>
        <v>4587</v>
      </c>
      <c r="S32" s="34">
        <f>INDEX('データ'!S$7:S$123,MATCH($B32&amp;"|全期間",'データ'!$A$7:$A$123,0))</f>
        <v>4726</v>
      </c>
      <c r="T32" s="34">
        <f>INDEX('データ'!T$7:T$123,MATCH($B32&amp;"|全期間",'データ'!$A$7:$A$123,0))</f>
        <v>4724</v>
      </c>
      <c r="U32" s="34">
        <f>INDEX('データ'!U$7:U$123,MATCH($B32&amp;"|全期間",'データ'!$A$7:$A$123,0))</f>
        <v>4843</v>
      </c>
      <c r="V32" s="34">
        <f>INDEX('データ'!V$7:V$123,MATCH($B32&amp;"|全期間",'データ'!$A$7:$A$123,0))</f>
        <v>4642</v>
      </c>
      <c r="W32" s="34">
        <f>INDEX('データ'!W$7:W$123,MATCH($B32&amp;"|全期間",'データ'!$A$7:$A$123,0))</f>
        <v>4400</v>
      </c>
      <c r="X32" s="34">
        <f>INDEX('データ'!X$7:X$123,MATCH($B32&amp;"|全期間",'データ'!$A$7:$A$123,0))</f>
        <v>4381</v>
      </c>
      <c r="Y32" s="34">
        <f>INDEX('データ'!Y$7:Y$123,MATCH($B32&amp;"|全期間",'データ'!$A$7:$A$123,0))</f>
        <v>4189</v>
      </c>
      <c r="Z32" s="34">
        <f>INDEX('データ'!Z$7:Z$123,MATCH($B32&amp;"|全期間",'データ'!$A$7:$A$123,0))</f>
        <v>4279</v>
      </c>
      <c r="AA32" s="34">
        <f>INDEX('データ'!AA$7:AA$123,MATCH($B32&amp;"|全期間",'データ'!$A$7:$A$123,0))</f>
        <v>3929</v>
      </c>
      <c r="AB32" s="34">
        <f>INDEX('データ'!AB$7:AB$123,MATCH($B32&amp;"|全期間",'データ'!$A$7:$A$123,0))</f>
        <v>3821</v>
      </c>
      <c r="AC32" s="34">
        <f>INDEX('データ'!AC$7:AC$123,MATCH($B32&amp;"|全期間",'データ'!$A$7:$A$123,0))</f>
        <v>4019</v>
      </c>
      <c r="AD32" s="34">
        <f>INDEX('データ'!AD$7:AD$123,MATCH($B32&amp;"|全期間",'データ'!$A$7:$A$123,0))</f>
        <v>4435</v>
      </c>
      <c r="AE32" s="34">
        <f>INDEX('データ'!AE$7:AE$123,MATCH($B32&amp;"|全期間",'データ'!$A$7:$A$123,0))</f>
        <v>4639</v>
      </c>
      <c r="AF32" s="34">
        <f>INDEX('データ'!AF$7:AF$123,MATCH($B32&amp;"|全期間",'データ'!$A$7:$A$123,0))</f>
        <v>4578</v>
      </c>
      <c r="AG32" s="34">
        <f>INDEX('データ'!AG$7:AG$123,MATCH($B32&amp;"|全期間",'データ'!$A$7:$A$123,0))</f>
        <v>4760</v>
      </c>
      <c r="AH32" s="34">
        <f>INDEX('データ'!AH$7:AH$123,MATCH($B32&amp;"|全期間",'データ'!$A$7:$A$123,0))</f>
        <v>4685</v>
      </c>
      <c r="AI32" s="34">
        <f>INDEX('データ'!AI$7:AI$123,MATCH($B32&amp;"|全期間",'データ'!$A$7:$A$123,0))</f>
        <v>4576</v>
      </c>
      <c r="AJ32" s="34">
        <f>INDEX('データ'!AJ$7:AJ$123,MATCH($B32&amp;"|全期間",'データ'!$A$7:$A$123,0))</f>
        <v>4444</v>
      </c>
      <c r="AK32" s="34">
        <f>INDEX('データ'!AK$7:AK$123,MATCH($B32&amp;"|全期間",'データ'!$A$7:$A$123,0))</f>
        <v>4451</v>
      </c>
      <c r="AL32" s="34">
        <f>INDEX('データ'!AL$7:AL$123,MATCH($B32&amp;"|全期間",'データ'!$A$7:$A$123,0))</f>
        <v>4512</v>
      </c>
      <c r="AM32" s="34">
        <f>INDEX('データ'!AM$7:AM$123,MATCH($B32&amp;"|全期間",'データ'!$A$7:$A$123,0))</f>
        <v>4556</v>
      </c>
      <c r="AN32" s="34">
        <f>INDEX('データ'!AN$7:AN$123,MATCH($B32&amp;"|全期間",'データ'!$A$7:$A$123,0))</f>
        <v>4295</v>
      </c>
      <c r="AO32" s="34">
        <f>INDEX('データ'!AO$7:AO$123,MATCH($B32&amp;"|全期間",'データ'!$A$7:$A$123,0))</f>
        <v>4132</v>
      </c>
      <c r="AP32" s="34">
        <f>INDEX('データ'!AP$7:AP$123,MATCH($B32&amp;"|全期間",'データ'!$A$7:$A$123,0))</f>
        <v>3999</v>
      </c>
      <c r="AQ32" s="34">
        <f>INDEX('データ'!AQ$7:AQ$123,MATCH($B32&amp;"|全期間",'データ'!$A$7:$A$123,0))</f>
        <v>3661</v>
      </c>
      <c r="AR32" s="34">
        <f>INDEX('データ'!AR$7:AR$123,MATCH($B32&amp;"|全期間",'データ'!$A$7:$A$123,0))</f>
        <v>2708</v>
      </c>
      <c r="AS32" s="34">
        <f>INDEX('データ'!AS$7:AS$123,MATCH($B32&amp;"|全期間",'データ'!$A$7:$A$123,0))</f>
        <v>1303</v>
      </c>
      <c r="AT32" s="34">
        <f>INDEX('データ'!AT$7:AT$123,MATCH($B32&amp;"|全期間",'データ'!$A$7:$A$123,0))</f>
        <v>329</v>
      </c>
      <c r="AU32" s="34">
        <f>INDEX('データ'!AU$7:AU$123,MATCH($B32&amp;"|全期間",'データ'!$A$7:$A$123,0))</f>
        <v>77</v>
      </c>
      <c r="AV32" s="34">
        <f>INDEX('データ'!AV$7:AV$123,MATCH($B32&amp;"|全期間",'データ'!$A$7:$A$123,0))</f>
        <v>37</v>
      </c>
      <c r="AW32" s="34">
        <f>INDEX('データ'!AW$7:AW$123,MATCH($B32&amp;"|全期間",'データ'!$A$7:$A$123,0))</f>
        <v>32</v>
      </c>
      <c r="AX32" s="34">
        <f>INDEX('データ'!AX$7:AX$123,MATCH($B32&amp;"|全期間",'データ'!$A$7:$A$123,0))</f>
        <v>24</v>
      </c>
      <c r="AY32" s="34">
        <f>INDEX('データ'!AY$7:AY$123,MATCH($B32&amp;"|全期間",'データ'!$A$7:$A$123,0))</f>
        <v>19</v>
      </c>
      <c r="AZ32" s="34">
        <f>INDEX('データ'!AZ$7:AZ$123,MATCH($B32&amp;"|全期間",'データ'!$A$7:$A$123,0))</f>
        <v>15</v>
      </c>
      <c r="BA32" s="34">
        <f>INDEX('データ'!BA$7:BA$123,MATCH($B32&amp;"|全期間",'データ'!$A$7:$A$123,0))</f>
        <v>10</v>
      </c>
      <c r="BB32" s="34">
        <f>INDEX('データ'!BB$7:BB$123,MATCH($B32&amp;"|全期間",'データ'!$A$7:$A$123,0))</f>
        <v>8</v>
      </c>
      <c r="BC32" s="34">
        <f>INDEX('データ'!BC$7:BC$123,MATCH($B32&amp;"|全期間",'データ'!$A$7:$A$123,0))</f>
        <v>2</v>
      </c>
      <c r="BD32" s="34">
        <f>INDEX('データ'!BD$7:BD$123,MATCH($B32&amp;"|全期間",'データ'!$A$7:$A$123,0))</f>
        <v>1</v>
      </c>
      <c r="BE32" s="34">
        <f>INDEX('データ'!BE$7:BE$123,MATCH($B32&amp;"|全期間",'データ'!$A$7:$A$123,0))</f>
        <v>0</v>
      </c>
      <c r="BF32" s="34">
        <f>INDEX('データ'!BF$7:BF$123,MATCH($B32&amp;"|全期間",'データ'!$A$7:$A$123,0))</f>
        <v>0</v>
      </c>
      <c r="BG32" s="34">
        <f>INDEX('データ'!BG$7:BG$123,MATCH($B32&amp;"|全期間",'データ'!$A$7:$A$123,0))</f>
        <v>0</v>
      </c>
    </row>
    <row r="33" spans="2:59" ht="24" customHeight="1">
      <c r="B33" s="33" t="s">
        <v>105</v>
      </c>
      <c r="D33" s="34">
        <f>INDEX('データ'!D$7:D$123,MATCH($B33&amp;"|全期間",'データ'!$A$7:$A$123,0))</f>
        <v>0</v>
      </c>
      <c r="E33" s="34">
        <f>INDEX('データ'!E$7:E$123,MATCH($B33&amp;"|全期間",'データ'!$A$7:$A$123,0))</f>
        <v>0</v>
      </c>
      <c r="F33" s="34">
        <f>INDEX('データ'!F$7:F$123,MATCH($B33&amp;"|全期間",'データ'!$A$7:$A$123,0))</f>
        <v>0</v>
      </c>
      <c r="G33" s="34">
        <f>INDEX('データ'!G$7:G$123,MATCH($B33&amp;"|全期間",'データ'!$A$7:$A$123,0))</f>
        <v>9</v>
      </c>
      <c r="H33" s="34">
        <f>INDEX('データ'!H$7:H$123,MATCH($B33&amp;"|全期間",'データ'!$A$7:$A$123,0))</f>
        <v>137</v>
      </c>
      <c r="I33" s="34">
        <f>INDEX('データ'!I$7:I$123,MATCH($B33&amp;"|全期間",'データ'!$A$7:$A$123,0))</f>
        <v>1027</v>
      </c>
      <c r="J33" s="34">
        <f>INDEX('データ'!J$7:J$123,MATCH($B33&amp;"|全期間",'データ'!$A$7:$A$123,0))</f>
        <v>1681</v>
      </c>
      <c r="K33" s="34">
        <f>INDEX('データ'!K$7:K$123,MATCH($B33&amp;"|全期間",'データ'!$A$7:$A$123,0))</f>
        <v>1814</v>
      </c>
      <c r="L33" s="34">
        <f>INDEX('データ'!L$7:L$123,MATCH($B33&amp;"|全期間",'データ'!$A$7:$A$123,0))</f>
        <v>2096</v>
      </c>
      <c r="M33" s="34">
        <f>INDEX('データ'!M$7:M$123,MATCH($B33&amp;"|全期間",'データ'!$A$7:$A$123,0))</f>
        <v>2300</v>
      </c>
      <c r="N33" s="34">
        <f>INDEX('データ'!N$7:N$123,MATCH($B33&amp;"|全期間",'データ'!$A$7:$A$123,0))</f>
        <v>2473</v>
      </c>
      <c r="O33" s="34">
        <f>INDEX('データ'!O$7:O$123,MATCH($B33&amp;"|全期間",'データ'!$A$7:$A$123,0))</f>
        <v>2674</v>
      </c>
      <c r="P33" s="34">
        <f>INDEX('データ'!P$7:P$123,MATCH($B33&amp;"|全期間",'データ'!$A$7:$A$123,0))</f>
        <v>2916</v>
      </c>
      <c r="Q33" s="34">
        <f>INDEX('データ'!Q$7:Q$123,MATCH($B33&amp;"|全期間",'データ'!$A$7:$A$123,0))</f>
        <v>2914</v>
      </c>
      <c r="R33" s="34">
        <f>INDEX('データ'!R$7:R$123,MATCH($B33&amp;"|全期間",'データ'!$A$7:$A$123,0))</f>
        <v>2871</v>
      </c>
      <c r="S33" s="34">
        <f>INDEX('データ'!S$7:S$123,MATCH($B33&amp;"|全期間",'データ'!$A$7:$A$123,0))</f>
        <v>2845</v>
      </c>
      <c r="T33" s="34">
        <f>INDEX('データ'!T$7:T$123,MATCH($B33&amp;"|全期間",'データ'!$A$7:$A$123,0))</f>
        <v>2890</v>
      </c>
      <c r="U33" s="34">
        <f>INDEX('データ'!U$7:U$123,MATCH($B33&amp;"|全期間",'データ'!$A$7:$A$123,0))</f>
        <v>2684</v>
      </c>
      <c r="V33" s="34">
        <f>INDEX('データ'!V$7:V$123,MATCH($B33&amp;"|全期間",'データ'!$A$7:$A$123,0))</f>
        <v>2491</v>
      </c>
      <c r="W33" s="34">
        <f>INDEX('データ'!W$7:W$123,MATCH($B33&amp;"|全期間",'データ'!$A$7:$A$123,0))</f>
        <v>2253</v>
      </c>
      <c r="X33" s="34">
        <f>INDEX('データ'!X$7:X$123,MATCH($B33&amp;"|全期間",'データ'!$A$7:$A$123,0))</f>
        <v>2163</v>
      </c>
      <c r="Y33" s="34">
        <f>INDEX('データ'!Y$7:Y$123,MATCH($B33&amp;"|全期間",'データ'!$A$7:$A$123,0))</f>
        <v>2070</v>
      </c>
      <c r="Z33" s="34">
        <f>INDEX('データ'!Z$7:Z$123,MATCH($B33&amp;"|全期間",'データ'!$A$7:$A$123,0))</f>
        <v>2047</v>
      </c>
      <c r="AA33" s="34">
        <f>INDEX('データ'!AA$7:AA$123,MATCH($B33&amp;"|全期間",'データ'!$A$7:$A$123,0))</f>
        <v>2142</v>
      </c>
      <c r="AB33" s="34">
        <f>INDEX('データ'!AB$7:AB$123,MATCH($B33&amp;"|全期間",'データ'!$A$7:$A$123,0))</f>
        <v>2430</v>
      </c>
      <c r="AC33" s="34">
        <f>INDEX('データ'!AC$7:AC$123,MATCH($B33&amp;"|全期間",'データ'!$A$7:$A$123,0))</f>
        <v>2517</v>
      </c>
      <c r="AD33" s="34">
        <f>INDEX('データ'!AD$7:AD$123,MATCH($B33&amp;"|全期間",'データ'!$A$7:$A$123,0))</f>
        <v>2600</v>
      </c>
      <c r="AE33" s="34">
        <f>INDEX('データ'!AE$7:AE$123,MATCH($B33&amp;"|全期間",'データ'!$A$7:$A$123,0))</f>
        <v>2755</v>
      </c>
      <c r="AF33" s="34">
        <f>INDEX('データ'!AF$7:AF$123,MATCH($B33&amp;"|全期間",'データ'!$A$7:$A$123,0))</f>
        <v>2632</v>
      </c>
      <c r="AG33" s="34">
        <f>INDEX('データ'!AG$7:AG$123,MATCH($B33&amp;"|全期間",'データ'!$A$7:$A$123,0))</f>
        <v>2464</v>
      </c>
      <c r="AH33" s="34">
        <f>INDEX('データ'!AH$7:AH$123,MATCH($B33&amp;"|全期間",'データ'!$A$7:$A$123,0))</f>
        <v>2504</v>
      </c>
      <c r="AI33" s="34">
        <f>INDEX('データ'!AI$7:AI$123,MATCH($B33&amp;"|全期間",'データ'!$A$7:$A$123,0))</f>
        <v>2397</v>
      </c>
      <c r="AJ33" s="34">
        <f>INDEX('データ'!AJ$7:AJ$123,MATCH($B33&amp;"|全期間",'データ'!$A$7:$A$123,0))</f>
        <v>2384</v>
      </c>
      <c r="AK33" s="34">
        <f>INDEX('データ'!AK$7:AK$123,MATCH($B33&amp;"|全期間",'データ'!$A$7:$A$123,0))</f>
        <v>2366</v>
      </c>
      <c r="AL33" s="34">
        <f>INDEX('データ'!AL$7:AL$123,MATCH($B33&amp;"|全期間",'データ'!$A$7:$A$123,0))</f>
        <v>2326</v>
      </c>
      <c r="AM33" s="34">
        <f>INDEX('データ'!AM$7:AM$123,MATCH($B33&amp;"|全期間",'データ'!$A$7:$A$123,0))</f>
        <v>2221</v>
      </c>
      <c r="AN33" s="34">
        <f>INDEX('データ'!AN$7:AN$123,MATCH($B33&amp;"|全期間",'データ'!$A$7:$A$123,0))</f>
        <v>2151</v>
      </c>
      <c r="AO33" s="34">
        <f>INDEX('データ'!AO$7:AO$123,MATCH($B33&amp;"|全期間",'データ'!$A$7:$A$123,0))</f>
        <v>2081</v>
      </c>
      <c r="AP33" s="34">
        <f>INDEX('データ'!AP$7:AP$123,MATCH($B33&amp;"|全期間",'データ'!$A$7:$A$123,0))</f>
        <v>1690</v>
      </c>
      <c r="AQ33" s="34">
        <f>INDEX('データ'!AQ$7:AQ$123,MATCH($B33&amp;"|全期間",'データ'!$A$7:$A$123,0))</f>
        <v>1165</v>
      </c>
      <c r="AR33" s="34">
        <f>INDEX('データ'!AR$7:AR$123,MATCH($B33&amp;"|全期間",'データ'!$A$7:$A$123,0))</f>
        <v>501</v>
      </c>
      <c r="AS33" s="34">
        <f>INDEX('データ'!AS$7:AS$123,MATCH($B33&amp;"|全期間",'データ'!$A$7:$A$123,0))</f>
        <v>52</v>
      </c>
      <c r="AT33" s="34">
        <f>INDEX('データ'!AT$7:AT$123,MATCH($B33&amp;"|全期間",'データ'!$A$7:$A$123,0))</f>
        <v>11</v>
      </c>
      <c r="AU33" s="34">
        <f>INDEX('データ'!AU$7:AU$123,MATCH($B33&amp;"|全期間",'データ'!$A$7:$A$123,0))</f>
        <v>10</v>
      </c>
      <c r="AV33" s="34">
        <f>INDEX('データ'!AV$7:AV$123,MATCH($B33&amp;"|全期間",'データ'!$A$7:$A$123,0))</f>
        <v>9</v>
      </c>
      <c r="AW33" s="34">
        <f>INDEX('データ'!AW$7:AW$123,MATCH($B33&amp;"|全期間",'データ'!$A$7:$A$123,0))</f>
        <v>16</v>
      </c>
      <c r="AX33" s="34">
        <f>INDEX('データ'!AX$7:AX$123,MATCH($B33&amp;"|全期間",'データ'!$A$7:$A$123,0))</f>
        <v>13</v>
      </c>
      <c r="AY33" s="34">
        <f>INDEX('データ'!AY$7:AY$123,MATCH($B33&amp;"|全期間",'データ'!$A$7:$A$123,0))</f>
        <v>16</v>
      </c>
      <c r="AZ33" s="34">
        <f>INDEX('データ'!AZ$7:AZ$123,MATCH($B33&amp;"|全期間",'データ'!$A$7:$A$123,0))</f>
        <v>7</v>
      </c>
      <c r="BA33" s="34">
        <f>INDEX('データ'!BA$7:BA$123,MATCH($B33&amp;"|全期間",'データ'!$A$7:$A$123,0))</f>
        <v>3</v>
      </c>
      <c r="BB33" s="34">
        <f>INDEX('データ'!BB$7:BB$123,MATCH($B33&amp;"|全期間",'データ'!$A$7:$A$123,0))</f>
        <v>0</v>
      </c>
      <c r="BC33" s="34">
        <f>INDEX('データ'!BC$7:BC$123,MATCH($B33&amp;"|全期間",'データ'!$A$7:$A$123,0))</f>
        <v>0</v>
      </c>
      <c r="BD33" s="34">
        <f>INDEX('データ'!BD$7:BD$123,MATCH($B33&amp;"|全期間",'データ'!$A$7:$A$123,0))</f>
        <v>0</v>
      </c>
      <c r="BE33" s="34">
        <f>INDEX('データ'!BE$7:BE$123,MATCH($B33&amp;"|全期間",'データ'!$A$7:$A$123,0))</f>
        <v>0</v>
      </c>
      <c r="BF33" s="34">
        <f>INDEX('データ'!BF$7:BF$123,MATCH($B33&amp;"|全期間",'データ'!$A$7:$A$123,0))</f>
        <v>0</v>
      </c>
      <c r="BG33" s="34">
        <f>INDEX('データ'!BG$7:BG$123,MATCH($B33&amp;"|全期間",'データ'!$A$7:$A$123,0))</f>
        <v>0</v>
      </c>
    </row>
    <row r="34" spans="2:59" ht="24" customHeight="1">
      <c r="B34" s="33" t="s">
        <v>119</v>
      </c>
      <c r="D34" s="34">
        <f>INDEX('データ'!D$7:D$123,MATCH($B34&amp;"|全期間",'データ'!$A$7:$A$123,0))</f>
        <v>0</v>
      </c>
      <c r="E34" s="34">
        <f>INDEX('データ'!E$7:E$123,MATCH($B34&amp;"|全期間",'データ'!$A$7:$A$123,0))</f>
        <v>0</v>
      </c>
      <c r="F34" s="34">
        <f>INDEX('データ'!F$7:F$123,MATCH($B34&amp;"|全期間",'データ'!$A$7:$A$123,0))</f>
        <v>1</v>
      </c>
      <c r="G34" s="34">
        <f>INDEX('データ'!G$7:G$123,MATCH($B34&amp;"|全期間",'データ'!$A$7:$A$123,0))</f>
        <v>24</v>
      </c>
      <c r="H34" s="34">
        <f>INDEX('データ'!H$7:H$123,MATCH($B34&amp;"|全期間",'データ'!$A$7:$A$123,0))</f>
        <v>152</v>
      </c>
      <c r="I34" s="34">
        <f>INDEX('データ'!I$7:I$123,MATCH($B34&amp;"|全期間",'データ'!$A$7:$A$123,0))</f>
        <v>1466</v>
      </c>
      <c r="J34" s="34">
        <f>INDEX('データ'!J$7:J$123,MATCH($B34&amp;"|全期間",'データ'!$A$7:$A$123,0))</f>
        <v>3002</v>
      </c>
      <c r="K34" s="34">
        <f>INDEX('データ'!K$7:K$123,MATCH($B34&amp;"|全期間",'データ'!$A$7:$A$123,0))</f>
        <v>2851</v>
      </c>
      <c r="L34" s="34">
        <f>INDEX('データ'!L$7:L$123,MATCH($B34&amp;"|全期間",'データ'!$A$7:$A$123,0))</f>
        <v>3133</v>
      </c>
      <c r="M34" s="34">
        <f>INDEX('データ'!M$7:M$123,MATCH($B34&amp;"|全期間",'データ'!$A$7:$A$123,0))</f>
        <v>3321</v>
      </c>
      <c r="N34" s="34">
        <f>INDEX('データ'!N$7:N$123,MATCH($B34&amp;"|全期間",'データ'!$A$7:$A$123,0))</f>
        <v>3556</v>
      </c>
      <c r="O34" s="34">
        <f>INDEX('データ'!O$7:O$123,MATCH($B34&amp;"|全期間",'データ'!$A$7:$A$123,0))</f>
        <v>3596</v>
      </c>
      <c r="P34" s="34">
        <f>INDEX('データ'!P$7:P$123,MATCH($B34&amp;"|全期間",'データ'!$A$7:$A$123,0))</f>
        <v>3857</v>
      </c>
      <c r="Q34" s="34">
        <f>INDEX('データ'!Q$7:Q$123,MATCH($B34&amp;"|全期間",'データ'!$A$7:$A$123,0))</f>
        <v>3912</v>
      </c>
      <c r="R34" s="34">
        <f>INDEX('データ'!R$7:R$123,MATCH($B34&amp;"|全期間",'データ'!$A$7:$A$123,0))</f>
        <v>3954</v>
      </c>
      <c r="S34" s="34">
        <f>INDEX('データ'!S$7:S$123,MATCH($B34&amp;"|全期間",'データ'!$A$7:$A$123,0))</f>
        <v>3979</v>
      </c>
      <c r="T34" s="34">
        <f>INDEX('データ'!T$7:T$123,MATCH($B34&amp;"|全期間",'データ'!$A$7:$A$123,0))</f>
        <v>3828</v>
      </c>
      <c r="U34" s="34">
        <f>INDEX('データ'!U$7:U$123,MATCH($B34&amp;"|全期間",'データ'!$A$7:$A$123,0))</f>
        <v>3666</v>
      </c>
      <c r="V34" s="34">
        <f>INDEX('データ'!V$7:V$123,MATCH($B34&amp;"|全期間",'データ'!$A$7:$A$123,0))</f>
        <v>3349</v>
      </c>
      <c r="W34" s="34">
        <f>INDEX('データ'!W$7:W$123,MATCH($B34&amp;"|全期間",'データ'!$A$7:$A$123,0))</f>
        <v>3041</v>
      </c>
      <c r="X34" s="34">
        <f>INDEX('データ'!X$7:X$123,MATCH($B34&amp;"|全期間",'データ'!$A$7:$A$123,0))</f>
        <v>2866</v>
      </c>
      <c r="Y34" s="34">
        <f>INDEX('データ'!Y$7:Y$123,MATCH($B34&amp;"|全期間",'データ'!$A$7:$A$123,0))</f>
        <v>2878</v>
      </c>
      <c r="Z34" s="34">
        <f>INDEX('データ'!Z$7:Z$123,MATCH($B34&amp;"|全期間",'データ'!$A$7:$A$123,0))</f>
        <v>2816</v>
      </c>
      <c r="AA34" s="34">
        <f>INDEX('データ'!AA$7:AA$123,MATCH($B34&amp;"|全期間",'データ'!$A$7:$A$123,0))</f>
        <v>2849</v>
      </c>
      <c r="AB34" s="34">
        <f>INDEX('データ'!AB$7:AB$123,MATCH($B34&amp;"|全期間",'データ'!$A$7:$A$123,0))</f>
        <v>3081</v>
      </c>
      <c r="AC34" s="34">
        <f>INDEX('データ'!AC$7:AC$123,MATCH($B34&amp;"|全期間",'データ'!$A$7:$A$123,0))</f>
        <v>3523</v>
      </c>
      <c r="AD34" s="34">
        <f>INDEX('データ'!AD$7:AD$123,MATCH($B34&amp;"|全期間",'データ'!$A$7:$A$123,0))</f>
        <v>3532</v>
      </c>
      <c r="AE34" s="34">
        <f>INDEX('データ'!AE$7:AE$123,MATCH($B34&amp;"|全期間",'データ'!$A$7:$A$123,0))</f>
        <v>3623</v>
      </c>
      <c r="AF34" s="34">
        <f>INDEX('データ'!AF$7:AF$123,MATCH($B34&amp;"|全期間",'データ'!$A$7:$A$123,0))</f>
        <v>3646</v>
      </c>
      <c r="AG34" s="34">
        <f>INDEX('データ'!AG$7:AG$123,MATCH($B34&amp;"|全期間",'データ'!$A$7:$A$123,0))</f>
        <v>3648</v>
      </c>
      <c r="AH34" s="34">
        <f>INDEX('データ'!AH$7:AH$123,MATCH($B34&amp;"|全期間",'データ'!$A$7:$A$123,0))</f>
        <v>3684</v>
      </c>
      <c r="AI34" s="34">
        <f>INDEX('データ'!AI$7:AI$123,MATCH($B34&amp;"|全期間",'データ'!$A$7:$A$123,0))</f>
        <v>3430</v>
      </c>
      <c r="AJ34" s="34">
        <f>INDEX('データ'!AJ$7:AJ$123,MATCH($B34&amp;"|全期間",'データ'!$A$7:$A$123,0))</f>
        <v>3427</v>
      </c>
      <c r="AK34" s="34">
        <f>INDEX('データ'!AK$7:AK$123,MATCH($B34&amp;"|全期間",'データ'!$A$7:$A$123,0))</f>
        <v>3289</v>
      </c>
      <c r="AL34" s="34">
        <f>INDEX('データ'!AL$7:AL$123,MATCH($B34&amp;"|全期間",'データ'!$A$7:$A$123,0))</f>
        <v>3359</v>
      </c>
      <c r="AM34" s="34">
        <f>INDEX('データ'!AM$7:AM$123,MATCH($B34&amp;"|全期間",'データ'!$A$7:$A$123,0))</f>
        <v>3086</v>
      </c>
      <c r="AN34" s="34">
        <f>INDEX('データ'!AN$7:AN$123,MATCH($B34&amp;"|全期間",'データ'!$A$7:$A$123,0))</f>
        <v>3186</v>
      </c>
      <c r="AO34" s="34">
        <f>INDEX('データ'!AO$7:AO$123,MATCH($B34&amp;"|全期間",'データ'!$A$7:$A$123,0))</f>
        <v>3174</v>
      </c>
      <c r="AP34" s="34">
        <f>INDEX('データ'!AP$7:AP$123,MATCH($B34&amp;"|全期間",'データ'!$A$7:$A$123,0))</f>
        <v>2833</v>
      </c>
      <c r="AQ34" s="34">
        <f>INDEX('データ'!AQ$7:AQ$123,MATCH($B34&amp;"|全期間",'データ'!$A$7:$A$123,0))</f>
        <v>2068</v>
      </c>
      <c r="AR34" s="34">
        <f>INDEX('データ'!AR$7:AR$123,MATCH($B34&amp;"|全期間",'データ'!$A$7:$A$123,0))</f>
        <v>989</v>
      </c>
      <c r="AS34" s="34">
        <f>INDEX('データ'!AS$7:AS$123,MATCH($B34&amp;"|全期間",'データ'!$A$7:$A$123,0))</f>
        <v>60</v>
      </c>
      <c r="AT34" s="34">
        <f>INDEX('データ'!AT$7:AT$123,MATCH($B34&amp;"|全期間",'データ'!$A$7:$A$123,0))</f>
        <v>21</v>
      </c>
      <c r="AU34" s="34">
        <f>INDEX('データ'!AU$7:AU$123,MATCH($B34&amp;"|全期間",'データ'!$A$7:$A$123,0))</f>
        <v>27</v>
      </c>
      <c r="AV34" s="34">
        <f>INDEX('データ'!AV$7:AV$123,MATCH($B34&amp;"|全期間",'データ'!$A$7:$A$123,0))</f>
        <v>17</v>
      </c>
      <c r="AW34" s="34">
        <f>INDEX('データ'!AW$7:AW$123,MATCH($B34&amp;"|全期間",'データ'!$A$7:$A$123,0))</f>
        <v>26</v>
      </c>
      <c r="AX34" s="34">
        <f>INDEX('データ'!AX$7:AX$123,MATCH($B34&amp;"|全期間",'データ'!$A$7:$A$123,0))</f>
        <v>21</v>
      </c>
      <c r="AY34" s="34">
        <f>INDEX('データ'!AY$7:AY$123,MATCH($B34&amp;"|全期間",'データ'!$A$7:$A$123,0))</f>
        <v>11</v>
      </c>
      <c r="AZ34" s="34">
        <f>INDEX('データ'!AZ$7:AZ$123,MATCH($B34&amp;"|全期間",'データ'!$A$7:$A$123,0))</f>
        <v>15</v>
      </c>
      <c r="BA34" s="34">
        <f>INDEX('データ'!BA$7:BA$123,MATCH($B34&amp;"|全期間",'データ'!$A$7:$A$123,0))</f>
        <v>14</v>
      </c>
      <c r="BB34" s="34">
        <f>INDEX('データ'!BB$7:BB$123,MATCH($B34&amp;"|全期間",'データ'!$A$7:$A$123,0))</f>
        <v>0</v>
      </c>
      <c r="BC34" s="34">
        <f>INDEX('データ'!BC$7:BC$123,MATCH($B34&amp;"|全期間",'データ'!$A$7:$A$123,0))</f>
        <v>0</v>
      </c>
      <c r="BD34" s="34">
        <f>INDEX('データ'!BD$7:BD$123,MATCH($B34&amp;"|全期間",'データ'!$A$7:$A$123,0))</f>
        <v>0</v>
      </c>
      <c r="BE34" s="34">
        <f>INDEX('データ'!BE$7:BE$123,MATCH($B34&amp;"|全期間",'データ'!$A$7:$A$123,0))</f>
        <v>0</v>
      </c>
      <c r="BF34" s="34">
        <f>INDEX('データ'!BF$7:BF$123,MATCH($B34&amp;"|全期間",'データ'!$A$7:$A$123,0))</f>
        <v>0</v>
      </c>
      <c r="BG34" s="34">
        <f>INDEX('データ'!BG$7:BG$123,MATCH($B34&amp;"|全期間",'データ'!$A$7:$A$123,0))</f>
        <v>0</v>
      </c>
    </row>
    <row r="35" spans="2:59" ht="24" customHeight="1">
      <c r="B35" s="33" t="s">
        <v>133</v>
      </c>
      <c r="D35" s="34">
        <f>INDEX('データ'!D$7:D$123,MATCH($B35&amp;"|全期間",'データ'!$A$7:$A$123,0))</f>
        <v>0</v>
      </c>
      <c r="E35" s="34">
        <f>INDEX('データ'!E$7:E$123,MATCH($B35&amp;"|全期間",'データ'!$A$7:$A$123,0))</f>
        <v>0</v>
      </c>
      <c r="F35" s="34">
        <f>INDEX('データ'!F$7:F$123,MATCH($B35&amp;"|全期間",'データ'!$A$7:$A$123,0))</f>
        <v>0</v>
      </c>
      <c r="G35" s="34">
        <f>INDEX('データ'!G$7:G$123,MATCH($B35&amp;"|全期間",'データ'!$A$7:$A$123,0))</f>
        <v>3</v>
      </c>
      <c r="H35" s="34">
        <f>INDEX('データ'!H$7:H$123,MATCH($B35&amp;"|全期間",'データ'!$A$7:$A$123,0))</f>
        <v>48</v>
      </c>
      <c r="I35" s="34">
        <f>INDEX('データ'!I$7:I$123,MATCH($B35&amp;"|全期間",'データ'!$A$7:$A$123,0))</f>
        <v>1360</v>
      </c>
      <c r="J35" s="34">
        <f>INDEX('データ'!J$7:J$123,MATCH($B35&amp;"|全期間",'データ'!$A$7:$A$123,0))</f>
        <v>3832</v>
      </c>
      <c r="K35" s="34">
        <f>INDEX('データ'!K$7:K$123,MATCH($B35&amp;"|全期間",'データ'!$A$7:$A$123,0))</f>
        <v>3275</v>
      </c>
      <c r="L35" s="34">
        <f>INDEX('データ'!L$7:L$123,MATCH($B35&amp;"|全期間",'データ'!$A$7:$A$123,0))</f>
        <v>3699</v>
      </c>
      <c r="M35" s="34">
        <f>INDEX('データ'!M$7:M$123,MATCH($B35&amp;"|全期間",'データ'!$A$7:$A$123,0))</f>
        <v>4159</v>
      </c>
      <c r="N35" s="34">
        <f>INDEX('データ'!N$7:N$123,MATCH($B35&amp;"|全期間",'データ'!$A$7:$A$123,0))</f>
        <v>4094</v>
      </c>
      <c r="O35" s="34">
        <f>INDEX('データ'!O$7:O$123,MATCH($B35&amp;"|全期間",'データ'!$A$7:$A$123,0))</f>
        <v>4501</v>
      </c>
      <c r="P35" s="34">
        <f>INDEX('データ'!P$7:P$123,MATCH($B35&amp;"|全期間",'データ'!$A$7:$A$123,0))</f>
        <v>4752</v>
      </c>
      <c r="Q35" s="34">
        <f>INDEX('データ'!Q$7:Q$123,MATCH($B35&amp;"|全期間",'データ'!$A$7:$A$123,0))</f>
        <v>4788</v>
      </c>
      <c r="R35" s="34">
        <f>INDEX('データ'!R$7:R$123,MATCH($B35&amp;"|全期間",'データ'!$A$7:$A$123,0))</f>
        <v>4694</v>
      </c>
      <c r="S35" s="34">
        <f>INDEX('データ'!S$7:S$123,MATCH($B35&amp;"|全期間",'データ'!$A$7:$A$123,0))</f>
        <v>4687</v>
      </c>
      <c r="T35" s="34">
        <f>INDEX('データ'!T$7:T$123,MATCH($B35&amp;"|全期間",'データ'!$A$7:$A$123,0))</f>
        <v>4659</v>
      </c>
      <c r="U35" s="34">
        <f>INDEX('データ'!U$7:U$123,MATCH($B35&amp;"|全期間",'データ'!$A$7:$A$123,0))</f>
        <v>4449</v>
      </c>
      <c r="V35" s="34">
        <f>INDEX('データ'!V$7:V$123,MATCH($B35&amp;"|全期間",'データ'!$A$7:$A$123,0))</f>
        <v>4203</v>
      </c>
      <c r="W35" s="34">
        <f>INDEX('データ'!W$7:W$123,MATCH($B35&amp;"|全期間",'データ'!$A$7:$A$123,0))</f>
        <v>3872</v>
      </c>
      <c r="X35" s="34">
        <f>INDEX('データ'!X$7:X$123,MATCH($B35&amp;"|全期間",'データ'!$A$7:$A$123,0))</f>
        <v>3623</v>
      </c>
      <c r="Y35" s="34">
        <f>INDEX('データ'!Y$7:Y$123,MATCH($B35&amp;"|全期間",'データ'!$A$7:$A$123,0))</f>
        <v>3539</v>
      </c>
      <c r="Z35" s="34">
        <f>INDEX('データ'!Z$7:Z$123,MATCH($B35&amp;"|全期間",'データ'!$A$7:$A$123,0))</f>
        <v>3379</v>
      </c>
      <c r="AA35" s="34">
        <f>INDEX('データ'!AA$7:AA$123,MATCH($B35&amp;"|全期間",'データ'!$A$7:$A$123,0))</f>
        <v>3504</v>
      </c>
      <c r="AB35" s="34">
        <f>INDEX('データ'!AB$7:AB$123,MATCH($B35&amp;"|全期間",'データ'!$A$7:$A$123,0))</f>
        <v>3777</v>
      </c>
      <c r="AC35" s="34">
        <f>INDEX('データ'!AC$7:AC$123,MATCH($B35&amp;"|全期間",'データ'!$A$7:$A$123,0))</f>
        <v>4239</v>
      </c>
      <c r="AD35" s="34">
        <f>INDEX('データ'!AD$7:AD$123,MATCH($B35&amp;"|全期間",'データ'!$A$7:$A$123,0))</f>
        <v>4277</v>
      </c>
      <c r="AE35" s="34">
        <f>INDEX('データ'!AE$7:AE$123,MATCH($B35&amp;"|全期間",'データ'!$A$7:$A$123,0))</f>
        <v>4613</v>
      </c>
      <c r="AF35" s="34">
        <f>INDEX('データ'!AF$7:AF$123,MATCH($B35&amp;"|全期間",'データ'!$A$7:$A$123,0))</f>
        <v>4458</v>
      </c>
      <c r="AG35" s="34">
        <f>INDEX('データ'!AG$7:AG$123,MATCH($B35&amp;"|全期間",'データ'!$A$7:$A$123,0))</f>
        <v>4574</v>
      </c>
      <c r="AH35" s="34">
        <f>INDEX('データ'!AH$7:AH$123,MATCH($B35&amp;"|全期間",'データ'!$A$7:$A$123,0))</f>
        <v>4321</v>
      </c>
      <c r="AI35" s="34">
        <f>INDEX('データ'!AI$7:AI$123,MATCH($B35&amp;"|全期間",'データ'!$A$7:$A$123,0))</f>
        <v>4343</v>
      </c>
      <c r="AJ35" s="34">
        <f>INDEX('データ'!AJ$7:AJ$123,MATCH($B35&amp;"|全期間",'データ'!$A$7:$A$123,0))</f>
        <v>4160</v>
      </c>
      <c r="AK35" s="34">
        <f>INDEX('データ'!AK$7:AK$123,MATCH($B35&amp;"|全期間",'データ'!$A$7:$A$123,0))</f>
        <v>4114</v>
      </c>
      <c r="AL35" s="34">
        <f>INDEX('データ'!AL$7:AL$123,MATCH($B35&amp;"|全期間",'データ'!$A$7:$A$123,0))</f>
        <v>4009</v>
      </c>
      <c r="AM35" s="34">
        <f>INDEX('データ'!AM$7:AM$123,MATCH($B35&amp;"|全期間",'データ'!$A$7:$A$123,0))</f>
        <v>3709</v>
      </c>
      <c r="AN35" s="34">
        <f>INDEX('データ'!AN$7:AN$123,MATCH($B35&amp;"|全期間",'データ'!$A$7:$A$123,0))</f>
        <v>3813</v>
      </c>
      <c r="AO35" s="34">
        <f>INDEX('データ'!AO$7:AO$123,MATCH($B35&amp;"|全期間",'データ'!$A$7:$A$123,0))</f>
        <v>3750</v>
      </c>
      <c r="AP35" s="34">
        <f>INDEX('データ'!AP$7:AP$123,MATCH($B35&amp;"|全期間",'データ'!$A$7:$A$123,0))</f>
        <v>3541</v>
      </c>
      <c r="AQ35" s="34">
        <f>INDEX('データ'!AQ$7:AQ$123,MATCH($B35&amp;"|全期間",'データ'!$A$7:$A$123,0))</f>
        <v>2780</v>
      </c>
      <c r="AR35" s="34">
        <f>INDEX('データ'!AR$7:AR$123,MATCH($B35&amp;"|全期間",'データ'!$A$7:$A$123,0))</f>
        <v>1284</v>
      </c>
      <c r="AS35" s="34">
        <f>INDEX('データ'!AS$7:AS$123,MATCH($B35&amp;"|全期間",'データ'!$A$7:$A$123,0))</f>
        <v>164</v>
      </c>
      <c r="AT35" s="34">
        <f>INDEX('データ'!AT$7:AT$123,MATCH($B35&amp;"|全期間",'データ'!$A$7:$A$123,0))</f>
        <v>19</v>
      </c>
      <c r="AU35" s="34">
        <f>INDEX('データ'!AU$7:AU$123,MATCH($B35&amp;"|全期間",'データ'!$A$7:$A$123,0))</f>
        <v>36</v>
      </c>
      <c r="AV35" s="34">
        <f>INDEX('データ'!AV$7:AV$123,MATCH($B35&amp;"|全期間",'データ'!$A$7:$A$123,0))</f>
        <v>30</v>
      </c>
      <c r="AW35" s="34">
        <f>INDEX('データ'!AW$7:AW$123,MATCH($B35&amp;"|全期間",'データ'!$A$7:$A$123,0))</f>
        <v>31</v>
      </c>
      <c r="AX35" s="34">
        <f>INDEX('データ'!AX$7:AX$123,MATCH($B35&amp;"|全期間",'データ'!$A$7:$A$123,0))</f>
        <v>28</v>
      </c>
      <c r="AY35" s="34">
        <f>INDEX('データ'!AY$7:AY$123,MATCH($B35&amp;"|全期間",'データ'!$A$7:$A$123,0))</f>
        <v>15</v>
      </c>
      <c r="AZ35" s="34">
        <f>INDEX('データ'!AZ$7:AZ$123,MATCH($B35&amp;"|全期間",'データ'!$A$7:$A$123,0))</f>
        <v>25</v>
      </c>
      <c r="BA35" s="34">
        <f>INDEX('データ'!BA$7:BA$123,MATCH($B35&amp;"|全期間",'データ'!$A$7:$A$123,0))</f>
        <v>7</v>
      </c>
      <c r="BB35" s="34">
        <f>INDEX('データ'!BB$7:BB$123,MATCH($B35&amp;"|全期間",'データ'!$A$7:$A$123,0))</f>
        <v>3</v>
      </c>
      <c r="BC35" s="34">
        <f>INDEX('データ'!BC$7:BC$123,MATCH($B35&amp;"|全期間",'データ'!$A$7:$A$123,0))</f>
        <v>1</v>
      </c>
      <c r="BD35" s="34">
        <f>INDEX('データ'!BD$7:BD$123,MATCH($B35&amp;"|全期間",'データ'!$A$7:$A$123,0))</f>
        <v>2</v>
      </c>
      <c r="BE35" s="34">
        <f>INDEX('データ'!BE$7:BE$123,MATCH($B35&amp;"|全期間",'データ'!$A$7:$A$123,0))</f>
        <v>0</v>
      </c>
      <c r="BF35" s="34">
        <f>INDEX('データ'!BF$7:BF$123,MATCH($B35&amp;"|全期間",'データ'!$A$7:$A$123,0))</f>
        <v>0</v>
      </c>
      <c r="BG35" s="34">
        <f>INDEX('データ'!BG$7:BG$123,MATCH($B35&amp;"|全期間",'データ'!$A$7:$A$123,0))</f>
        <v>0</v>
      </c>
    </row>
    <row r="36" spans="2:59" ht="24" customHeight="1">
      <c r="B36" s="33" t="s">
        <v>147</v>
      </c>
      <c r="D36" s="34">
        <f>INDEX('データ'!D$7:D$123,MATCH($B36&amp;"|全期間",'データ'!$A$7:$A$123,0))</f>
        <v>0</v>
      </c>
      <c r="E36" s="34">
        <f>INDEX('データ'!E$7:E$123,MATCH($B36&amp;"|全期間",'データ'!$A$7:$A$123,0))</f>
        <v>0</v>
      </c>
      <c r="F36" s="34">
        <f>INDEX('データ'!F$7:F$123,MATCH($B36&amp;"|全期間",'データ'!$A$7:$A$123,0))</f>
        <v>1</v>
      </c>
      <c r="G36" s="34">
        <f>INDEX('データ'!G$7:G$123,MATCH($B36&amp;"|全期間",'データ'!$A$7:$A$123,0))</f>
        <v>144</v>
      </c>
      <c r="H36" s="34">
        <f>INDEX('データ'!H$7:H$123,MATCH($B36&amp;"|全期間",'データ'!$A$7:$A$123,0))</f>
        <v>1081</v>
      </c>
      <c r="I36" s="34">
        <f>INDEX('データ'!I$7:I$123,MATCH($B36&amp;"|全期間",'データ'!$A$7:$A$123,0))</f>
        <v>1719</v>
      </c>
      <c r="J36" s="34">
        <f>INDEX('データ'!J$7:J$123,MATCH($B36&amp;"|全期間",'データ'!$A$7:$A$123,0))</f>
        <v>2053</v>
      </c>
      <c r="K36" s="34">
        <f>INDEX('データ'!K$7:K$123,MATCH($B36&amp;"|全期間",'データ'!$A$7:$A$123,0))</f>
        <v>2257</v>
      </c>
      <c r="L36" s="34">
        <f>INDEX('データ'!L$7:L$123,MATCH($B36&amp;"|全期間",'データ'!$A$7:$A$123,0))</f>
        <v>2530</v>
      </c>
      <c r="M36" s="34">
        <f>INDEX('データ'!M$7:M$123,MATCH($B36&amp;"|全期間",'データ'!$A$7:$A$123,0))</f>
        <v>2616</v>
      </c>
      <c r="N36" s="34">
        <f>INDEX('データ'!N$7:N$123,MATCH($B36&amp;"|全期間",'データ'!$A$7:$A$123,0))</f>
        <v>2910</v>
      </c>
      <c r="O36" s="34">
        <f>INDEX('データ'!O$7:O$123,MATCH($B36&amp;"|全期間",'データ'!$A$7:$A$123,0))</f>
        <v>3049</v>
      </c>
      <c r="P36" s="34">
        <f>INDEX('データ'!P$7:P$123,MATCH($B36&amp;"|全期間",'データ'!$A$7:$A$123,0))</f>
        <v>3161</v>
      </c>
      <c r="Q36" s="34">
        <f>INDEX('データ'!Q$7:Q$123,MATCH($B36&amp;"|全期間",'データ'!$A$7:$A$123,0))</f>
        <v>3133</v>
      </c>
      <c r="R36" s="34">
        <f>INDEX('データ'!R$7:R$123,MATCH($B36&amp;"|全期間",'データ'!$A$7:$A$123,0))</f>
        <v>3152</v>
      </c>
      <c r="S36" s="34">
        <f>INDEX('データ'!S$7:S$123,MATCH($B36&amp;"|全期間",'データ'!$A$7:$A$123,0))</f>
        <v>3031</v>
      </c>
      <c r="T36" s="34">
        <f>INDEX('データ'!T$7:T$123,MATCH($B36&amp;"|全期間",'データ'!$A$7:$A$123,0))</f>
        <v>3069</v>
      </c>
      <c r="U36" s="34">
        <f>INDEX('データ'!U$7:U$123,MATCH($B36&amp;"|全期間",'データ'!$A$7:$A$123,0))</f>
        <v>2637</v>
      </c>
      <c r="V36" s="34">
        <f>INDEX('データ'!V$7:V$123,MATCH($B36&amp;"|全期間",'データ'!$A$7:$A$123,0))</f>
        <v>2500</v>
      </c>
      <c r="W36" s="34">
        <f>INDEX('データ'!W$7:W$123,MATCH($B36&amp;"|全期間",'データ'!$A$7:$A$123,0))</f>
        <v>2171</v>
      </c>
      <c r="X36" s="34">
        <f>INDEX('データ'!X$7:X$123,MATCH($B36&amp;"|全期間",'データ'!$A$7:$A$123,0))</f>
        <v>2056</v>
      </c>
      <c r="Y36" s="34">
        <f>INDEX('データ'!Y$7:Y$123,MATCH($B36&amp;"|全期間",'データ'!$A$7:$A$123,0))</f>
        <v>2048</v>
      </c>
      <c r="Z36" s="34">
        <f>INDEX('データ'!Z$7:Z$123,MATCH($B36&amp;"|全期間",'データ'!$A$7:$A$123,0))</f>
        <v>2234</v>
      </c>
      <c r="AA36" s="34">
        <f>INDEX('データ'!AA$7:AA$123,MATCH($B36&amp;"|全期間",'データ'!$A$7:$A$123,0))</f>
        <v>2403</v>
      </c>
      <c r="AB36" s="34">
        <f>INDEX('データ'!AB$7:AB$123,MATCH($B36&amp;"|全期間",'データ'!$A$7:$A$123,0))</f>
        <v>2629</v>
      </c>
      <c r="AC36" s="34">
        <f>INDEX('データ'!AC$7:AC$123,MATCH($B36&amp;"|全期間",'データ'!$A$7:$A$123,0))</f>
        <v>2694</v>
      </c>
      <c r="AD36" s="34">
        <f>INDEX('データ'!AD$7:AD$123,MATCH($B36&amp;"|全期間",'データ'!$A$7:$A$123,0))</f>
        <v>2838</v>
      </c>
      <c r="AE36" s="34">
        <f>INDEX('データ'!AE$7:AE$123,MATCH($B36&amp;"|全期間",'データ'!$A$7:$A$123,0))</f>
        <v>2748</v>
      </c>
      <c r="AF36" s="34">
        <f>INDEX('データ'!AF$7:AF$123,MATCH($B36&amp;"|全期間",'データ'!$A$7:$A$123,0))</f>
        <v>2753</v>
      </c>
      <c r="AG36" s="34">
        <f>INDEX('データ'!AG$7:AG$123,MATCH($B36&amp;"|全期間",'データ'!$A$7:$A$123,0))</f>
        <v>2731</v>
      </c>
      <c r="AH36" s="34">
        <f>INDEX('データ'!AH$7:AH$123,MATCH($B36&amp;"|全期間",'データ'!$A$7:$A$123,0))</f>
        <v>2626</v>
      </c>
      <c r="AI36" s="34">
        <f>INDEX('データ'!AI$7:AI$123,MATCH($B36&amp;"|全期間",'データ'!$A$7:$A$123,0))</f>
        <v>2587</v>
      </c>
      <c r="AJ36" s="34">
        <f>INDEX('データ'!AJ$7:AJ$123,MATCH($B36&amp;"|全期間",'データ'!$A$7:$A$123,0))</f>
        <v>2378</v>
      </c>
      <c r="AK36" s="34">
        <f>INDEX('データ'!AK$7:AK$123,MATCH($B36&amp;"|全期間",'データ'!$A$7:$A$123,0))</f>
        <v>2351</v>
      </c>
      <c r="AL36" s="34">
        <f>INDEX('データ'!AL$7:AL$123,MATCH($B36&amp;"|全期間",'データ'!$A$7:$A$123,0))</f>
        <v>2373</v>
      </c>
      <c r="AM36" s="34">
        <f>INDEX('データ'!AM$7:AM$123,MATCH($B36&amp;"|全期間",'データ'!$A$7:$A$123,0))</f>
        <v>2341</v>
      </c>
      <c r="AN36" s="34">
        <f>INDEX('データ'!AN$7:AN$123,MATCH($B36&amp;"|全期間",'データ'!$A$7:$A$123,0))</f>
        <v>2256</v>
      </c>
      <c r="AO36" s="34">
        <f>INDEX('データ'!AO$7:AO$123,MATCH($B36&amp;"|全期間",'データ'!$A$7:$A$123,0))</f>
        <v>2102</v>
      </c>
      <c r="AP36" s="34">
        <f>INDEX('データ'!AP$7:AP$123,MATCH($B36&amp;"|全期間",'データ'!$A$7:$A$123,0))</f>
        <v>1600</v>
      </c>
      <c r="AQ36" s="34">
        <f>INDEX('データ'!AQ$7:AQ$123,MATCH($B36&amp;"|全期間",'データ'!$A$7:$A$123,0))</f>
        <v>799</v>
      </c>
      <c r="AR36" s="34">
        <f>INDEX('データ'!AR$7:AR$123,MATCH($B36&amp;"|全期間",'データ'!$A$7:$A$123,0))</f>
        <v>269</v>
      </c>
      <c r="AS36" s="34">
        <f>INDEX('データ'!AS$7:AS$123,MATCH($B36&amp;"|全期間",'データ'!$A$7:$A$123,0))</f>
        <v>30</v>
      </c>
      <c r="AT36" s="34">
        <f>INDEX('データ'!AT$7:AT$123,MATCH($B36&amp;"|全期間",'データ'!$A$7:$A$123,0))</f>
        <v>12</v>
      </c>
      <c r="AU36" s="34">
        <f>INDEX('データ'!AU$7:AU$123,MATCH($B36&amp;"|全期間",'データ'!$A$7:$A$123,0))</f>
        <v>17</v>
      </c>
      <c r="AV36" s="34">
        <f>INDEX('データ'!AV$7:AV$123,MATCH($B36&amp;"|全期間",'データ'!$A$7:$A$123,0))</f>
        <v>20</v>
      </c>
      <c r="AW36" s="34">
        <f>INDEX('データ'!AW$7:AW$123,MATCH($B36&amp;"|全期間",'データ'!$A$7:$A$123,0))</f>
        <v>22</v>
      </c>
      <c r="AX36" s="34">
        <f>INDEX('データ'!AX$7:AX$123,MATCH($B36&amp;"|全期間",'データ'!$A$7:$A$123,0))</f>
        <v>28</v>
      </c>
      <c r="AY36" s="34">
        <f>INDEX('データ'!AY$7:AY$123,MATCH($B36&amp;"|全期間",'データ'!$A$7:$A$123,0))</f>
        <v>9</v>
      </c>
      <c r="AZ36" s="34">
        <f>INDEX('データ'!AZ$7:AZ$123,MATCH($B36&amp;"|全期間",'データ'!$A$7:$A$123,0))</f>
        <v>13</v>
      </c>
      <c r="BA36" s="34">
        <f>INDEX('データ'!BA$7:BA$123,MATCH($B36&amp;"|全期間",'データ'!$A$7:$A$123,0))</f>
        <v>0</v>
      </c>
      <c r="BB36" s="34">
        <f>INDEX('データ'!BB$7:BB$123,MATCH($B36&amp;"|全期間",'データ'!$A$7:$A$123,0))</f>
        <v>0</v>
      </c>
      <c r="BC36" s="34">
        <f>INDEX('データ'!BC$7:BC$123,MATCH($B36&amp;"|全期間",'データ'!$A$7:$A$123,0))</f>
        <v>0</v>
      </c>
      <c r="BD36" s="34">
        <f>INDEX('データ'!BD$7:BD$123,MATCH($B36&amp;"|全期間",'データ'!$A$7:$A$123,0))</f>
        <v>0</v>
      </c>
      <c r="BE36" s="34">
        <f>INDEX('データ'!BE$7:BE$123,MATCH($B36&amp;"|全期間",'データ'!$A$7:$A$123,0))</f>
        <v>0</v>
      </c>
      <c r="BF36" s="34">
        <f>INDEX('データ'!BF$7:BF$123,MATCH($B36&amp;"|全期間",'データ'!$A$7:$A$123,0))</f>
        <v>0</v>
      </c>
      <c r="BG36" s="34">
        <f>INDEX('データ'!BG$7:BG$123,MATCH($B36&amp;"|全期間",'データ'!$A$7:$A$123,0))</f>
        <v>0</v>
      </c>
    </row>
    <row r="37" spans="2:59" ht="24" customHeight="1">
      <c r="B37" s="33" t="s">
        <v>161</v>
      </c>
      <c r="D37" s="34">
        <f>INDEX('データ'!D$7:D$123,MATCH($B37&amp;"|全期間",'データ'!$A$7:$A$123,0))</f>
        <v>0</v>
      </c>
      <c r="E37" s="34">
        <f>INDEX('データ'!E$7:E$123,MATCH($B37&amp;"|全期間",'データ'!$A$7:$A$123,0))</f>
        <v>0</v>
      </c>
      <c r="F37" s="34">
        <f>INDEX('データ'!F$7:F$123,MATCH($B37&amp;"|全期間",'データ'!$A$7:$A$123,0))</f>
        <v>0</v>
      </c>
      <c r="G37" s="34">
        <f>INDEX('データ'!G$7:G$123,MATCH($B37&amp;"|全期間",'データ'!$A$7:$A$123,0))</f>
        <v>1</v>
      </c>
      <c r="H37" s="34">
        <f>INDEX('データ'!H$7:H$123,MATCH($B37&amp;"|全期間",'データ'!$A$7:$A$123,0))</f>
        <v>12</v>
      </c>
      <c r="I37" s="34">
        <f>INDEX('データ'!I$7:I$123,MATCH($B37&amp;"|全期間",'データ'!$A$7:$A$123,0))</f>
        <v>133</v>
      </c>
      <c r="J37" s="34">
        <f>INDEX('データ'!J$7:J$123,MATCH($B37&amp;"|全期間",'データ'!$A$7:$A$123,0))</f>
        <v>810</v>
      </c>
      <c r="K37" s="34">
        <f>INDEX('データ'!K$7:K$123,MATCH($B37&amp;"|全期間",'データ'!$A$7:$A$123,0))</f>
        <v>1025</v>
      </c>
      <c r="L37" s="34">
        <f>INDEX('データ'!L$7:L$123,MATCH($B37&amp;"|全期間",'データ'!$A$7:$A$123,0))</f>
        <v>1158</v>
      </c>
      <c r="M37" s="34">
        <f>INDEX('データ'!M$7:M$123,MATCH($B37&amp;"|全期間",'データ'!$A$7:$A$123,0))</f>
        <v>1395</v>
      </c>
      <c r="N37" s="34">
        <f>INDEX('データ'!N$7:N$123,MATCH($B37&amp;"|全期間",'データ'!$A$7:$A$123,0))</f>
        <v>1530</v>
      </c>
      <c r="O37" s="34">
        <f>INDEX('データ'!O$7:O$123,MATCH($B37&amp;"|全期間",'データ'!$A$7:$A$123,0))</f>
        <v>1603</v>
      </c>
      <c r="P37" s="34">
        <f>INDEX('データ'!P$7:P$123,MATCH($B37&amp;"|全期間",'データ'!$A$7:$A$123,0))</f>
        <v>1649</v>
      </c>
      <c r="Q37" s="34">
        <f>INDEX('データ'!Q$7:Q$123,MATCH($B37&amp;"|全期間",'データ'!$A$7:$A$123,0))</f>
        <v>1798</v>
      </c>
      <c r="R37" s="34">
        <f>INDEX('データ'!R$7:R$123,MATCH($B37&amp;"|全期間",'データ'!$A$7:$A$123,0))</f>
        <v>1763</v>
      </c>
      <c r="S37" s="34">
        <f>INDEX('データ'!S$7:S$123,MATCH($B37&amp;"|全期間",'データ'!$A$7:$A$123,0))</f>
        <v>1797</v>
      </c>
      <c r="T37" s="34">
        <f>INDEX('データ'!T$7:T$123,MATCH($B37&amp;"|全期間",'データ'!$A$7:$A$123,0))</f>
        <v>1808</v>
      </c>
      <c r="U37" s="34">
        <f>INDEX('データ'!U$7:U$123,MATCH($B37&amp;"|全期間",'データ'!$A$7:$A$123,0))</f>
        <v>1684</v>
      </c>
      <c r="V37" s="34">
        <f>INDEX('データ'!V$7:V$123,MATCH($B37&amp;"|全期間",'データ'!$A$7:$A$123,0))</f>
        <v>1534</v>
      </c>
      <c r="W37" s="34">
        <f>INDEX('データ'!W$7:W$123,MATCH($B37&amp;"|全期間",'データ'!$A$7:$A$123,0))</f>
        <v>1445</v>
      </c>
      <c r="X37" s="34">
        <f>INDEX('データ'!X$7:X$123,MATCH($B37&amp;"|全期間",'データ'!$A$7:$A$123,0))</f>
        <v>1219</v>
      </c>
      <c r="Y37" s="34">
        <f>INDEX('データ'!Y$7:Y$123,MATCH($B37&amp;"|全期間",'データ'!$A$7:$A$123,0))</f>
        <v>1188</v>
      </c>
      <c r="Z37" s="34">
        <f>INDEX('データ'!Z$7:Z$123,MATCH($B37&amp;"|全期間",'データ'!$A$7:$A$123,0))</f>
        <v>1180</v>
      </c>
      <c r="AA37" s="34">
        <f>INDEX('データ'!AA$7:AA$123,MATCH($B37&amp;"|全期間",'データ'!$A$7:$A$123,0))</f>
        <v>1209</v>
      </c>
      <c r="AB37" s="34">
        <f>INDEX('データ'!AB$7:AB$123,MATCH($B37&amp;"|全期間",'データ'!$A$7:$A$123,0))</f>
        <v>1285</v>
      </c>
      <c r="AC37" s="34">
        <f>INDEX('データ'!AC$7:AC$123,MATCH($B37&amp;"|全期間",'データ'!$A$7:$A$123,0))</f>
        <v>1423</v>
      </c>
      <c r="AD37" s="34">
        <f>INDEX('データ'!AD$7:AD$123,MATCH($B37&amp;"|全期間",'データ'!$A$7:$A$123,0))</f>
        <v>1468</v>
      </c>
      <c r="AE37" s="34">
        <f>INDEX('データ'!AE$7:AE$123,MATCH($B37&amp;"|全期間",'データ'!$A$7:$A$123,0))</f>
        <v>1430</v>
      </c>
      <c r="AF37" s="34">
        <f>INDEX('データ'!AF$7:AF$123,MATCH($B37&amp;"|全期間",'データ'!$A$7:$A$123,0))</f>
        <v>1555</v>
      </c>
      <c r="AG37" s="34">
        <f>INDEX('データ'!AG$7:AG$123,MATCH($B37&amp;"|全期間",'データ'!$A$7:$A$123,0))</f>
        <v>1520</v>
      </c>
      <c r="AH37" s="34">
        <f>INDEX('データ'!AH$7:AH$123,MATCH($B37&amp;"|全期間",'データ'!$A$7:$A$123,0))</f>
        <v>1515</v>
      </c>
      <c r="AI37" s="34">
        <f>INDEX('データ'!AI$7:AI$123,MATCH($B37&amp;"|全期間",'データ'!$A$7:$A$123,0))</f>
        <v>1450</v>
      </c>
      <c r="AJ37" s="34">
        <f>INDEX('データ'!AJ$7:AJ$123,MATCH($B37&amp;"|全期間",'データ'!$A$7:$A$123,0))</f>
        <v>1349</v>
      </c>
      <c r="AK37" s="34">
        <f>INDEX('データ'!AK$7:AK$123,MATCH($B37&amp;"|全期間",'データ'!$A$7:$A$123,0))</f>
        <v>1324</v>
      </c>
      <c r="AL37" s="34">
        <f>INDEX('データ'!AL$7:AL$123,MATCH($B37&amp;"|全期間",'データ'!$A$7:$A$123,0))</f>
        <v>1316</v>
      </c>
      <c r="AM37" s="34">
        <f>INDEX('データ'!AM$7:AM$123,MATCH($B37&amp;"|全期間",'データ'!$A$7:$A$123,0))</f>
        <v>1300</v>
      </c>
      <c r="AN37" s="34">
        <f>INDEX('データ'!AN$7:AN$123,MATCH($B37&amp;"|全期間",'データ'!$A$7:$A$123,0))</f>
        <v>1308</v>
      </c>
      <c r="AO37" s="34">
        <f>INDEX('データ'!AO$7:AO$123,MATCH($B37&amp;"|全期間",'データ'!$A$7:$A$123,0))</f>
        <v>1236</v>
      </c>
      <c r="AP37" s="34">
        <f>INDEX('データ'!AP$7:AP$123,MATCH($B37&amp;"|全期間",'データ'!$A$7:$A$123,0))</f>
        <v>1303</v>
      </c>
      <c r="AQ37" s="34">
        <f>INDEX('データ'!AQ$7:AQ$123,MATCH($B37&amp;"|全期間",'データ'!$A$7:$A$123,0))</f>
        <v>1067</v>
      </c>
      <c r="AR37" s="34">
        <f>INDEX('データ'!AR$7:AR$123,MATCH($B37&amp;"|全期間",'データ'!$A$7:$A$123,0))</f>
        <v>589</v>
      </c>
      <c r="AS37" s="34">
        <f>INDEX('データ'!AS$7:AS$123,MATCH($B37&amp;"|全期間",'データ'!$A$7:$A$123,0))</f>
        <v>135</v>
      </c>
      <c r="AT37" s="34">
        <f>INDEX('データ'!AT$7:AT$123,MATCH($B37&amp;"|全期間",'データ'!$A$7:$A$123,0))</f>
        <v>14</v>
      </c>
      <c r="AU37" s="34">
        <f>INDEX('データ'!AU$7:AU$123,MATCH($B37&amp;"|全期間",'データ'!$A$7:$A$123,0))</f>
        <v>8</v>
      </c>
      <c r="AV37" s="34">
        <f>INDEX('データ'!AV$7:AV$123,MATCH($B37&amp;"|全期間",'データ'!$A$7:$A$123,0))</f>
        <v>6</v>
      </c>
      <c r="AW37" s="34">
        <f>INDEX('データ'!AW$7:AW$123,MATCH($B37&amp;"|全期間",'データ'!$A$7:$A$123,0))</f>
        <v>6</v>
      </c>
      <c r="AX37" s="34">
        <f>INDEX('データ'!AX$7:AX$123,MATCH($B37&amp;"|全期間",'データ'!$A$7:$A$123,0))</f>
        <v>5</v>
      </c>
      <c r="AY37" s="34">
        <f>INDEX('データ'!AY$7:AY$123,MATCH($B37&amp;"|全期間",'データ'!$A$7:$A$123,0))</f>
        <v>5</v>
      </c>
      <c r="AZ37" s="34">
        <f>INDEX('データ'!AZ$7:AZ$123,MATCH($B37&amp;"|全期間",'データ'!$A$7:$A$123,0))</f>
        <v>2</v>
      </c>
      <c r="BA37" s="34">
        <f>INDEX('データ'!BA$7:BA$123,MATCH($B37&amp;"|全期間",'データ'!$A$7:$A$123,0))</f>
        <v>4</v>
      </c>
      <c r="BB37" s="34">
        <f>INDEX('データ'!BB$7:BB$123,MATCH($B37&amp;"|全期間",'データ'!$A$7:$A$123,0))</f>
        <v>3</v>
      </c>
      <c r="BC37" s="34">
        <f>INDEX('データ'!BC$7:BC$123,MATCH($B37&amp;"|全期間",'データ'!$A$7:$A$123,0))</f>
        <v>1</v>
      </c>
      <c r="BD37" s="34">
        <f>INDEX('データ'!BD$7:BD$123,MATCH($B37&amp;"|全期間",'データ'!$A$7:$A$123,0))</f>
        <v>0</v>
      </c>
      <c r="BE37" s="34">
        <f>INDEX('データ'!BE$7:BE$123,MATCH($B37&amp;"|全期間",'データ'!$A$7:$A$123,0))</f>
        <v>0</v>
      </c>
      <c r="BF37" s="34">
        <f>INDEX('データ'!BF$7:BF$123,MATCH($B37&amp;"|全期間",'データ'!$A$7:$A$123,0))</f>
        <v>0</v>
      </c>
      <c r="BG37" s="34">
        <f>INDEX('データ'!BG$7:BG$123,MATCH($B37&amp;"|全期間",'データ'!$A$7:$A$123,0))</f>
        <v>0</v>
      </c>
    </row>
    <row r="38" spans="2:59" ht="24" customHeight="1">
      <c r="B38" s="33" t="s">
        <v>175</v>
      </c>
      <c r="D38" s="34">
        <f>INDEX('データ'!D$7:D$123,MATCH($B38&amp;"|全期間",'データ'!$A$7:$A$123,0))</f>
        <v>0</v>
      </c>
      <c r="E38" s="34">
        <f>INDEX('データ'!E$7:E$123,MATCH($B38&amp;"|全期間",'データ'!$A$7:$A$123,0))</f>
        <v>0</v>
      </c>
      <c r="F38" s="34">
        <f>INDEX('データ'!F$7:F$123,MATCH($B38&amp;"|全期間",'データ'!$A$7:$A$123,0))</f>
        <v>0</v>
      </c>
      <c r="G38" s="34">
        <f>INDEX('データ'!G$7:G$123,MATCH($B38&amp;"|全期間",'データ'!$A$7:$A$123,0))</f>
        <v>0</v>
      </c>
      <c r="H38" s="34">
        <f>INDEX('データ'!H$7:H$123,MATCH($B38&amp;"|全期間",'データ'!$A$7:$A$123,0))</f>
        <v>3</v>
      </c>
      <c r="I38" s="34">
        <f>INDEX('データ'!I$7:I$123,MATCH($B38&amp;"|全期間",'データ'!$A$7:$A$123,0))</f>
        <v>190</v>
      </c>
      <c r="J38" s="34">
        <f>INDEX('データ'!J$7:J$123,MATCH($B38&amp;"|全期間",'データ'!$A$7:$A$123,0))</f>
        <v>676</v>
      </c>
      <c r="K38" s="34">
        <f>INDEX('データ'!K$7:K$123,MATCH($B38&amp;"|全期間",'データ'!$A$7:$A$123,0))</f>
        <v>746</v>
      </c>
      <c r="L38" s="34">
        <f>INDEX('データ'!L$7:L$123,MATCH($B38&amp;"|全期間",'データ'!$A$7:$A$123,0))</f>
        <v>934</v>
      </c>
      <c r="M38" s="34">
        <f>INDEX('データ'!M$7:M$123,MATCH($B38&amp;"|全期間",'データ'!$A$7:$A$123,0))</f>
        <v>1130</v>
      </c>
      <c r="N38" s="34">
        <f>INDEX('データ'!N$7:N$123,MATCH($B38&amp;"|全期間",'データ'!$A$7:$A$123,0))</f>
        <v>1245</v>
      </c>
      <c r="O38" s="34">
        <f>INDEX('データ'!O$7:O$123,MATCH($B38&amp;"|全期間",'データ'!$A$7:$A$123,0))</f>
        <v>1220</v>
      </c>
      <c r="P38" s="34">
        <f>INDEX('データ'!P$7:P$123,MATCH($B38&amp;"|全期間",'データ'!$A$7:$A$123,0))</f>
        <v>1318</v>
      </c>
      <c r="Q38" s="34">
        <f>INDEX('データ'!Q$7:Q$123,MATCH($B38&amp;"|全期間",'データ'!$A$7:$A$123,0))</f>
        <v>1365</v>
      </c>
      <c r="R38" s="34">
        <f>INDEX('データ'!R$7:R$123,MATCH($B38&amp;"|全期間",'データ'!$A$7:$A$123,0))</f>
        <v>1440</v>
      </c>
      <c r="S38" s="34">
        <f>INDEX('データ'!S$7:S$123,MATCH($B38&amp;"|全期間",'データ'!$A$7:$A$123,0))</f>
        <v>1413</v>
      </c>
      <c r="T38" s="34">
        <f>INDEX('データ'!T$7:T$123,MATCH($B38&amp;"|全期間",'データ'!$A$7:$A$123,0))</f>
        <v>1356</v>
      </c>
      <c r="U38" s="34">
        <f>INDEX('データ'!U$7:U$123,MATCH($B38&amp;"|全期間",'データ'!$A$7:$A$123,0))</f>
        <v>1295</v>
      </c>
      <c r="V38" s="34">
        <f>INDEX('データ'!V$7:V$123,MATCH($B38&amp;"|全期間",'データ'!$A$7:$A$123,0))</f>
        <v>1313</v>
      </c>
      <c r="W38" s="34">
        <f>INDEX('データ'!W$7:W$123,MATCH($B38&amp;"|全期間",'データ'!$A$7:$A$123,0))</f>
        <v>1051</v>
      </c>
      <c r="X38" s="34">
        <f>INDEX('データ'!X$7:X$123,MATCH($B38&amp;"|全期間",'データ'!$A$7:$A$123,0))</f>
        <v>996</v>
      </c>
      <c r="Y38" s="34">
        <f>INDEX('データ'!Y$7:Y$123,MATCH($B38&amp;"|全期間",'データ'!$A$7:$A$123,0))</f>
        <v>968</v>
      </c>
      <c r="Z38" s="34">
        <f>INDEX('データ'!Z$7:Z$123,MATCH($B38&amp;"|全期間",'データ'!$A$7:$A$123,0))</f>
        <v>895</v>
      </c>
      <c r="AA38" s="34">
        <f>INDEX('データ'!AA$7:AA$123,MATCH($B38&amp;"|全期間",'データ'!$A$7:$A$123,0))</f>
        <v>888</v>
      </c>
      <c r="AB38" s="34">
        <f>INDEX('データ'!AB$7:AB$123,MATCH($B38&amp;"|全期間",'データ'!$A$7:$A$123,0))</f>
        <v>1037</v>
      </c>
      <c r="AC38" s="34">
        <f>INDEX('データ'!AC$7:AC$123,MATCH($B38&amp;"|全期間",'データ'!$A$7:$A$123,0))</f>
        <v>1240</v>
      </c>
      <c r="AD38" s="34">
        <f>INDEX('データ'!AD$7:AD$123,MATCH($B38&amp;"|全期間",'データ'!$A$7:$A$123,0))</f>
        <v>1166</v>
      </c>
      <c r="AE38" s="34">
        <f>INDEX('データ'!AE$7:AE$123,MATCH($B38&amp;"|全期間",'データ'!$A$7:$A$123,0))</f>
        <v>1165</v>
      </c>
      <c r="AF38" s="34">
        <f>INDEX('データ'!AF$7:AF$123,MATCH($B38&amp;"|全期間",'データ'!$A$7:$A$123,0))</f>
        <v>1237</v>
      </c>
      <c r="AG38" s="34">
        <f>INDEX('データ'!AG$7:AG$123,MATCH($B38&amp;"|全期間",'データ'!$A$7:$A$123,0))</f>
        <v>1166</v>
      </c>
      <c r="AH38" s="34">
        <f>INDEX('データ'!AH$7:AH$123,MATCH($B38&amp;"|全期間",'データ'!$A$7:$A$123,0))</f>
        <v>1177</v>
      </c>
      <c r="AI38" s="34">
        <f>INDEX('データ'!AI$7:AI$123,MATCH($B38&amp;"|全期間",'データ'!$A$7:$A$123,0))</f>
        <v>1048</v>
      </c>
      <c r="AJ38" s="34">
        <f>INDEX('データ'!AJ$7:AJ$123,MATCH($B38&amp;"|全期間",'データ'!$A$7:$A$123,0))</f>
        <v>1064</v>
      </c>
      <c r="AK38" s="34">
        <f>INDEX('データ'!AK$7:AK$123,MATCH($B38&amp;"|全期間",'データ'!$A$7:$A$123,0))</f>
        <v>1002</v>
      </c>
      <c r="AL38" s="34">
        <f>INDEX('データ'!AL$7:AL$123,MATCH($B38&amp;"|全期間",'データ'!$A$7:$A$123,0))</f>
        <v>1023</v>
      </c>
      <c r="AM38" s="34">
        <f>INDEX('データ'!AM$7:AM$123,MATCH($B38&amp;"|全期間",'データ'!$A$7:$A$123,0))</f>
        <v>948</v>
      </c>
      <c r="AN38" s="34">
        <f>INDEX('データ'!AN$7:AN$123,MATCH($B38&amp;"|全期間",'データ'!$A$7:$A$123,0))</f>
        <v>972</v>
      </c>
      <c r="AO38" s="34">
        <f>INDEX('データ'!AO$7:AO$123,MATCH($B38&amp;"|全期間",'データ'!$A$7:$A$123,0))</f>
        <v>953</v>
      </c>
      <c r="AP38" s="34">
        <f>INDEX('データ'!AP$7:AP$123,MATCH($B38&amp;"|全期間",'データ'!$A$7:$A$123,0))</f>
        <v>869</v>
      </c>
      <c r="AQ38" s="34">
        <f>INDEX('データ'!AQ$7:AQ$123,MATCH($B38&amp;"|全期間",'データ'!$A$7:$A$123,0))</f>
        <v>595</v>
      </c>
      <c r="AR38" s="34">
        <f>INDEX('データ'!AR$7:AR$123,MATCH($B38&amp;"|全期間",'データ'!$A$7:$A$123,0))</f>
        <v>406</v>
      </c>
      <c r="AS38" s="34">
        <f>INDEX('データ'!AS$7:AS$123,MATCH($B38&amp;"|全期間",'データ'!$A$7:$A$123,0))</f>
        <v>22</v>
      </c>
      <c r="AT38" s="34">
        <f>INDEX('データ'!AT$7:AT$123,MATCH($B38&amp;"|全期間",'データ'!$A$7:$A$123,0))</f>
        <v>3</v>
      </c>
      <c r="AU38" s="34">
        <f>INDEX('データ'!AU$7:AU$123,MATCH($B38&amp;"|全期間",'データ'!$A$7:$A$123,0))</f>
        <v>12</v>
      </c>
      <c r="AV38" s="34">
        <f>INDEX('データ'!AV$7:AV$123,MATCH($B38&amp;"|全期間",'データ'!$A$7:$A$123,0))</f>
        <v>7</v>
      </c>
      <c r="AW38" s="34">
        <f>INDEX('データ'!AW$7:AW$123,MATCH($B38&amp;"|全期間",'データ'!$A$7:$A$123,0))</f>
        <v>4</v>
      </c>
      <c r="AX38" s="34">
        <f>INDEX('データ'!AX$7:AX$123,MATCH($B38&amp;"|全期間",'データ'!$A$7:$A$123,0))</f>
        <v>4</v>
      </c>
      <c r="AY38" s="34">
        <f>INDEX('データ'!AY$7:AY$123,MATCH($B38&amp;"|全期間",'データ'!$A$7:$A$123,0))</f>
        <v>2</v>
      </c>
      <c r="AZ38" s="34">
        <f>INDEX('データ'!AZ$7:AZ$123,MATCH($B38&amp;"|全期間",'データ'!$A$7:$A$123,0))</f>
        <v>0</v>
      </c>
      <c r="BA38" s="34">
        <f>INDEX('データ'!BA$7:BA$123,MATCH($B38&amp;"|全期間",'データ'!$A$7:$A$123,0))</f>
        <v>2</v>
      </c>
      <c r="BB38" s="34">
        <f>INDEX('データ'!BB$7:BB$123,MATCH($B38&amp;"|全期間",'データ'!$A$7:$A$123,0))</f>
        <v>0</v>
      </c>
      <c r="BC38" s="34">
        <f>INDEX('データ'!BC$7:BC$123,MATCH($B38&amp;"|全期間",'データ'!$A$7:$A$123,0))</f>
        <v>1</v>
      </c>
      <c r="BD38" s="34">
        <f>INDEX('データ'!BD$7:BD$123,MATCH($B38&amp;"|全期間",'データ'!$A$7:$A$123,0))</f>
        <v>0</v>
      </c>
      <c r="BE38" s="34">
        <f>INDEX('データ'!BE$7:BE$123,MATCH($B38&amp;"|全期間",'データ'!$A$7:$A$123,0))</f>
        <v>0</v>
      </c>
      <c r="BF38" s="34">
        <f>INDEX('データ'!BF$7:BF$123,MATCH($B38&amp;"|全期間",'データ'!$A$7:$A$123,0))</f>
        <v>0</v>
      </c>
      <c r="BG38" s="34">
        <f>INDEX('データ'!BG$7:BG$123,MATCH($B38&amp;"|全期間",'データ'!$A$7:$A$123,0))</f>
        <v>0</v>
      </c>
    </row>
    <row r="39" spans="2:59" ht="24" customHeight="1">
      <c r="B39" s="33" t="s">
        <v>189</v>
      </c>
      <c r="D39" s="34">
        <f>INDEX('データ'!D$7:D$123,MATCH($B39&amp;"|全期間",'データ'!$A$7:$A$123,0))</f>
        <v>0</v>
      </c>
      <c r="E39" s="34">
        <f>INDEX('データ'!E$7:E$123,MATCH($B39&amp;"|全期間",'データ'!$A$7:$A$123,0))</f>
        <v>0</v>
      </c>
      <c r="F39" s="34">
        <f>INDEX('データ'!F$7:F$123,MATCH($B39&amp;"|全期間",'データ'!$A$7:$A$123,0))</f>
        <v>0</v>
      </c>
      <c r="G39" s="34">
        <f>INDEX('データ'!G$7:G$123,MATCH($B39&amp;"|全期間",'データ'!$A$7:$A$123,0))</f>
        <v>2</v>
      </c>
      <c r="H39" s="34">
        <f>INDEX('データ'!H$7:H$123,MATCH($B39&amp;"|全期間",'データ'!$A$7:$A$123,0))</f>
        <v>131</v>
      </c>
      <c r="I39" s="34">
        <f>INDEX('データ'!I$7:I$123,MATCH($B39&amp;"|全期間",'データ'!$A$7:$A$123,0))</f>
        <v>745</v>
      </c>
      <c r="J39" s="34">
        <f>INDEX('データ'!J$7:J$123,MATCH($B39&amp;"|全期間",'データ'!$A$7:$A$123,0))</f>
        <v>2248</v>
      </c>
      <c r="K39" s="34">
        <f>INDEX('データ'!K$7:K$123,MATCH($B39&amp;"|全期間",'データ'!$A$7:$A$123,0))</f>
        <v>2149</v>
      </c>
      <c r="L39" s="34">
        <f>INDEX('データ'!L$7:L$123,MATCH($B39&amp;"|全期間",'データ'!$A$7:$A$123,0))</f>
        <v>2636</v>
      </c>
      <c r="M39" s="34">
        <f>INDEX('データ'!M$7:M$123,MATCH($B39&amp;"|全期間",'データ'!$A$7:$A$123,0))</f>
        <v>3086</v>
      </c>
      <c r="N39" s="34">
        <f>INDEX('データ'!N$7:N$123,MATCH($B39&amp;"|全期間",'データ'!$A$7:$A$123,0))</f>
        <v>3270</v>
      </c>
      <c r="O39" s="34">
        <f>INDEX('データ'!O$7:O$123,MATCH($B39&amp;"|全期間",'データ'!$A$7:$A$123,0))</f>
        <v>3418</v>
      </c>
      <c r="P39" s="34">
        <f>INDEX('データ'!P$7:P$123,MATCH($B39&amp;"|全期間",'データ'!$A$7:$A$123,0))</f>
        <v>3569</v>
      </c>
      <c r="Q39" s="34">
        <f>INDEX('データ'!Q$7:Q$123,MATCH($B39&amp;"|全期間",'データ'!$A$7:$A$123,0))</f>
        <v>3840</v>
      </c>
      <c r="R39" s="34">
        <f>INDEX('データ'!R$7:R$123,MATCH($B39&amp;"|全期間",'データ'!$A$7:$A$123,0))</f>
        <v>3756</v>
      </c>
      <c r="S39" s="34">
        <f>INDEX('データ'!S$7:S$123,MATCH($B39&amp;"|全期間",'データ'!$A$7:$A$123,0))</f>
        <v>3708</v>
      </c>
      <c r="T39" s="34">
        <f>INDEX('データ'!T$7:T$123,MATCH($B39&amp;"|全期間",'データ'!$A$7:$A$123,0))</f>
        <v>3651</v>
      </c>
      <c r="U39" s="34">
        <f>INDEX('データ'!U$7:U$123,MATCH($B39&amp;"|全期間",'データ'!$A$7:$A$123,0))</f>
        <v>3518</v>
      </c>
      <c r="V39" s="34">
        <f>INDEX('データ'!V$7:V$123,MATCH($B39&amp;"|全期間",'データ'!$A$7:$A$123,0))</f>
        <v>3334</v>
      </c>
      <c r="W39" s="34">
        <f>INDEX('データ'!W$7:W$123,MATCH($B39&amp;"|全期間",'データ'!$A$7:$A$123,0))</f>
        <v>3069</v>
      </c>
      <c r="X39" s="34">
        <f>INDEX('データ'!X$7:X$123,MATCH($B39&amp;"|全期間",'データ'!$A$7:$A$123,0))</f>
        <v>2724</v>
      </c>
      <c r="Y39" s="34">
        <f>INDEX('データ'!Y$7:Y$123,MATCH($B39&amp;"|全期間",'データ'!$A$7:$A$123,0))</f>
        <v>2617</v>
      </c>
      <c r="Z39" s="34">
        <f>INDEX('データ'!Z$7:Z$123,MATCH($B39&amp;"|全期間",'データ'!$A$7:$A$123,0))</f>
        <v>2567</v>
      </c>
      <c r="AA39" s="34">
        <f>INDEX('データ'!AA$7:AA$123,MATCH($B39&amp;"|全期間",'データ'!$A$7:$A$123,0))</f>
        <v>2514</v>
      </c>
      <c r="AB39" s="34">
        <f>INDEX('データ'!AB$7:AB$123,MATCH($B39&amp;"|全期間",'データ'!$A$7:$A$123,0))</f>
        <v>2887</v>
      </c>
      <c r="AC39" s="34">
        <f>INDEX('データ'!AC$7:AC$123,MATCH($B39&amp;"|全期間",'データ'!$A$7:$A$123,0))</f>
        <v>3186</v>
      </c>
      <c r="AD39" s="34">
        <f>INDEX('データ'!AD$7:AD$123,MATCH($B39&amp;"|全期間",'データ'!$A$7:$A$123,0))</f>
        <v>3159</v>
      </c>
      <c r="AE39" s="34">
        <f>INDEX('データ'!AE$7:AE$123,MATCH($B39&amp;"|全期間",'データ'!$A$7:$A$123,0))</f>
        <v>3357</v>
      </c>
      <c r="AF39" s="34">
        <f>INDEX('データ'!AF$7:AF$123,MATCH($B39&amp;"|全期間",'データ'!$A$7:$A$123,0))</f>
        <v>3287</v>
      </c>
      <c r="AG39" s="34">
        <f>INDEX('データ'!AG$7:AG$123,MATCH($B39&amp;"|全期間",'データ'!$A$7:$A$123,0))</f>
        <v>3256</v>
      </c>
      <c r="AH39" s="34">
        <f>INDEX('データ'!AH$7:AH$123,MATCH($B39&amp;"|全期間",'データ'!$A$7:$A$123,0))</f>
        <v>3259</v>
      </c>
      <c r="AI39" s="34">
        <f>INDEX('データ'!AI$7:AI$123,MATCH($B39&amp;"|全期間",'データ'!$A$7:$A$123,0))</f>
        <v>3096</v>
      </c>
      <c r="AJ39" s="34">
        <f>INDEX('データ'!AJ$7:AJ$123,MATCH($B39&amp;"|全期間",'データ'!$A$7:$A$123,0))</f>
        <v>3185</v>
      </c>
      <c r="AK39" s="34">
        <f>INDEX('データ'!AK$7:AK$123,MATCH($B39&amp;"|全期間",'データ'!$A$7:$A$123,0))</f>
        <v>3016</v>
      </c>
      <c r="AL39" s="34">
        <f>INDEX('データ'!AL$7:AL$123,MATCH($B39&amp;"|全期間",'データ'!$A$7:$A$123,0))</f>
        <v>2912</v>
      </c>
      <c r="AM39" s="34">
        <f>INDEX('データ'!AM$7:AM$123,MATCH($B39&amp;"|全期間",'データ'!$A$7:$A$123,0))</f>
        <v>2772</v>
      </c>
      <c r="AN39" s="34">
        <f>INDEX('データ'!AN$7:AN$123,MATCH($B39&amp;"|全期間",'データ'!$A$7:$A$123,0))</f>
        <v>2733</v>
      </c>
      <c r="AO39" s="34">
        <f>INDEX('データ'!AO$7:AO$123,MATCH($B39&amp;"|全期間",'データ'!$A$7:$A$123,0))</f>
        <v>2748</v>
      </c>
      <c r="AP39" s="34">
        <f>INDEX('データ'!AP$7:AP$123,MATCH($B39&amp;"|全期間",'データ'!$A$7:$A$123,0))</f>
        <v>2568</v>
      </c>
      <c r="AQ39" s="34">
        <f>INDEX('データ'!AQ$7:AQ$123,MATCH($B39&amp;"|全期間",'データ'!$A$7:$A$123,0))</f>
        <v>1915</v>
      </c>
      <c r="AR39" s="34">
        <f>INDEX('データ'!AR$7:AR$123,MATCH($B39&amp;"|全期間",'データ'!$A$7:$A$123,0))</f>
        <v>789</v>
      </c>
      <c r="AS39" s="34">
        <f>INDEX('データ'!AS$7:AS$123,MATCH($B39&amp;"|全期間",'データ'!$A$7:$A$123,0))</f>
        <v>28</v>
      </c>
      <c r="AT39" s="34">
        <f>INDEX('データ'!AT$7:AT$123,MATCH($B39&amp;"|全期間",'データ'!$A$7:$A$123,0))</f>
        <v>23</v>
      </c>
      <c r="AU39" s="34">
        <f>INDEX('データ'!AU$7:AU$123,MATCH($B39&amp;"|全期間",'データ'!$A$7:$A$123,0))</f>
        <v>22</v>
      </c>
      <c r="AV39" s="34">
        <f>INDEX('データ'!AV$7:AV$123,MATCH($B39&amp;"|全期間",'データ'!$A$7:$A$123,0))</f>
        <v>9</v>
      </c>
      <c r="AW39" s="34">
        <f>INDEX('データ'!AW$7:AW$123,MATCH($B39&amp;"|全期間",'データ'!$A$7:$A$123,0))</f>
        <v>2</v>
      </c>
      <c r="AX39" s="34">
        <f>INDEX('データ'!AX$7:AX$123,MATCH($B39&amp;"|全期間",'データ'!$A$7:$A$123,0))</f>
        <v>1</v>
      </c>
      <c r="AY39" s="34">
        <f>INDEX('データ'!AY$7:AY$123,MATCH($B39&amp;"|全期間",'データ'!$A$7:$A$123,0))</f>
        <v>2</v>
      </c>
      <c r="AZ39" s="34">
        <f>INDEX('データ'!AZ$7:AZ$123,MATCH($B39&amp;"|全期間",'データ'!$A$7:$A$123,0))</f>
        <v>0</v>
      </c>
      <c r="BA39" s="34">
        <f>INDEX('データ'!BA$7:BA$123,MATCH($B39&amp;"|全期間",'データ'!$A$7:$A$123,0))</f>
        <v>0</v>
      </c>
      <c r="BB39" s="34">
        <f>INDEX('データ'!BB$7:BB$123,MATCH($B39&amp;"|全期間",'データ'!$A$7:$A$123,0))</f>
        <v>0</v>
      </c>
      <c r="BC39" s="34">
        <f>INDEX('データ'!BC$7:BC$123,MATCH($B39&amp;"|全期間",'データ'!$A$7:$A$123,0))</f>
        <v>0</v>
      </c>
      <c r="BD39" s="34">
        <f>INDEX('データ'!BD$7:BD$123,MATCH($B39&amp;"|全期間",'データ'!$A$7:$A$123,0))</f>
        <v>0</v>
      </c>
      <c r="BE39" s="34">
        <f>INDEX('データ'!BE$7:BE$123,MATCH($B39&amp;"|全期間",'データ'!$A$7:$A$123,0))</f>
        <v>0</v>
      </c>
      <c r="BF39" s="34">
        <f>INDEX('データ'!BF$7:BF$123,MATCH($B39&amp;"|全期間",'データ'!$A$7:$A$123,0))</f>
        <v>0</v>
      </c>
      <c r="BG39" s="34">
        <f>INDEX('データ'!BG$7:BG$123,MATCH($B39&amp;"|全期間",'データ'!$A$7:$A$123,0))</f>
        <v>0</v>
      </c>
    </row>
    <row r="41" spans="2:59">
      <c r="B41" s="12" t="s">
        <v>391</v>
      </c>
      <c r="D41" s="35"/>
      <c r="E41" s="35"/>
      <c r="F41" s="36"/>
      <c r="G41" s="36"/>
      <c r="H41" s="37"/>
      <c r="I41" s="37"/>
      <c r="J41" s="38"/>
      <c r="K41" s="38"/>
      <c r="L41" s="11"/>
      <c r="M41" s="11"/>
      <c r="O41" s="19" t="s">
        <v>392</v>
      </c>
    </row>
  </sheetData>
  <mergeCells count="46">
    <mergeCell ref="B1:BG1"/>
    <mergeCell ref="B5:AZ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B15:AZ15"/>
    <mergeCell ref="D16:G16"/>
    <mergeCell ref="H16:K16"/>
    <mergeCell ref="L16:O16"/>
    <mergeCell ref="P16:S16"/>
    <mergeCell ref="T16:W16"/>
    <mergeCell ref="X16:AA16"/>
    <mergeCell ref="AB16:AE16"/>
    <mergeCell ref="AF16:AI16"/>
    <mergeCell ref="AJ16:AM16"/>
    <mergeCell ref="AN16:AQ16"/>
    <mergeCell ref="AR16:AU16"/>
    <mergeCell ref="AV16:AY16"/>
    <mergeCell ref="AZ16:BC16"/>
    <mergeCell ref="BD16:BG16"/>
    <mergeCell ref="B30:AZ30"/>
    <mergeCell ref="D31:G31"/>
    <mergeCell ref="H31:K31"/>
    <mergeCell ref="L31:O31"/>
    <mergeCell ref="P31:S31"/>
    <mergeCell ref="T31:W31"/>
    <mergeCell ref="X31:AA31"/>
    <mergeCell ref="AB31:AE31"/>
    <mergeCell ref="AF31:AI31"/>
    <mergeCell ref="AJ31:AM31"/>
    <mergeCell ref="AN31:AQ31"/>
    <mergeCell ref="AR31:AU31"/>
    <mergeCell ref="AV31:AY31"/>
    <mergeCell ref="AZ31:BC31"/>
    <mergeCell ref="BD31:BG31"/>
  </mergeCells>
  <conditionalFormatting sqref="D17:BG28">
    <cfRule type="colorScale" priority="2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32:BG32">
    <cfRule type="colorScale" priority="3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33:BG33">
    <cfRule type="colorScale" priority="4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34:BG34">
    <cfRule type="colorScale" priority="5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35:BG35">
    <cfRule type="colorScale" priority="6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36:BG36">
    <cfRule type="colorScale" priority="7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37:BG37">
    <cfRule type="colorScale" priority="8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38:BG38">
    <cfRule type="colorScale" priority="9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39:BG39">
    <cfRule type="colorScale" priority="10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D7:BG13">
    <cfRule type="colorScale" priority="1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dataValidations count="1">
    <dataValidation type="list" allowBlank="1" showInputMessage="1" showErrorMessage="1" errorTitle="選べません" error="▼から選んでください。" promptTitle="区を選ぶ" prompt="▼から区を選んでください" sqref="C3">
      <formula1>'計算'!$A$130:$A$138</formula1>
    </dataValidation>
  </dataValidations>
  <pageMargins left="0.7" right="0.7" top="0.75" bottom="0.75" header="0.3" footer="0.3"/>
  <pageSetup paperSize="9"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>
          <x14:colorSeries rgb="FF1FA7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ヒートマップ!D39:BG39</xm:f>
              <xm:sqref>C39</xm:sqref>
            </x14:sparkline>
          </x14:sparklines>
        </x14:sparklineGroup>
        <x14:sparklineGroup lineWeight="1.5" displayEmptyCellsAs="gap">
          <x14:colorSeries rgb="FF1FA7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ヒートマップ!D38:BG38</xm:f>
              <xm:sqref>C38</xm:sqref>
            </x14:sparkline>
          </x14:sparklines>
        </x14:sparklineGroup>
        <x14:sparklineGroup lineWeight="1.5" displayEmptyCellsAs="gap">
          <x14:colorSeries rgb="FF1FA7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ヒートマップ!D37:BG37</xm:f>
              <xm:sqref>C37</xm:sqref>
            </x14:sparkline>
          </x14:sparklines>
        </x14:sparklineGroup>
        <x14:sparklineGroup lineWeight="1.5" displayEmptyCellsAs="gap">
          <x14:colorSeries rgb="FF1FA7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ヒートマップ!D36:BG36</xm:f>
              <xm:sqref>C36</xm:sqref>
            </x14:sparkline>
          </x14:sparklines>
        </x14:sparklineGroup>
        <x14:sparklineGroup lineWeight="1.5" displayEmptyCellsAs="gap">
          <x14:colorSeries rgb="FF1FA7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ヒートマップ!D35:BG35</xm:f>
              <xm:sqref>C35</xm:sqref>
            </x14:sparkline>
          </x14:sparklines>
        </x14:sparklineGroup>
        <x14:sparklineGroup lineWeight="1.5" displayEmptyCellsAs="gap">
          <x14:colorSeries rgb="FF1FA7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ヒートマップ!D34:BG34</xm:f>
              <xm:sqref>C34</xm:sqref>
            </x14:sparkline>
          </x14:sparklines>
        </x14:sparklineGroup>
        <x14:sparklineGroup lineWeight="1.5" displayEmptyCellsAs="gap">
          <x14:colorSeries rgb="FF1FA7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ヒートマップ!D33:BG33</xm:f>
              <xm:sqref>C33</xm:sqref>
            </x14:sparkline>
          </x14:sparklines>
        </x14:sparklineGroup>
        <x14:sparklineGroup lineWeight="1.5" displayEmptyCellsAs="gap">
          <x14:colorSeries rgb="FF1FA7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ヒートマップ!D32:BG32</xm:f>
              <xm:sqref>C32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51"/>
  <sheetViews>
    <sheetView showGridLines="0" workbookViewId="0"/>
  </sheetViews>
  <sheetFormatPr defaultRowHeight="15"/>
  <cols>
    <col min="1" max="1" width="2.7109375" hidden="1" customWidth="1"/>
    <col min="2" max="33" width="7.85546875" customWidth="1"/>
  </cols>
  <sheetData>
    <row r="1" spans="1:33" ht="34" customHeight="1">
      <c r="B1" s="14" t="s">
        <v>393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>
      <c r="A2">
        <f>MATCH($C$3,'データ'!$B$312:$J$312,0)</f>
        <v>1</v>
      </c>
    </row>
    <row r="3" spans="1:33">
      <c r="B3" s="12" t="s">
        <v>371</v>
      </c>
      <c r="C3" s="16" t="s">
        <v>64</v>
      </c>
      <c r="E3" s="19" t="s">
        <v>394</v>
      </c>
    </row>
    <row r="5" spans="1:33">
      <c r="B5" s="39" t="s">
        <v>395</v>
      </c>
      <c r="C5" s="39"/>
      <c r="D5" s="39"/>
      <c r="E5" s="39"/>
      <c r="F5" s="39"/>
      <c r="G5" s="39"/>
      <c r="H5" s="39"/>
      <c r="J5" s="39" t="s">
        <v>396</v>
      </c>
      <c r="K5" s="39"/>
      <c r="L5" s="39"/>
      <c r="M5" s="39"/>
      <c r="N5" s="39"/>
      <c r="O5" s="39"/>
      <c r="P5" s="39"/>
      <c r="R5" s="39" t="s">
        <v>397</v>
      </c>
      <c r="S5" s="39"/>
      <c r="T5" s="39"/>
      <c r="U5" s="39"/>
      <c r="V5" s="39"/>
      <c r="W5" s="39"/>
      <c r="X5" s="39"/>
      <c r="Z5" s="39" t="s">
        <v>398</v>
      </c>
      <c r="AA5" s="39"/>
      <c r="AB5" s="39"/>
      <c r="AC5" s="39"/>
      <c r="AD5" s="39"/>
      <c r="AE5" s="39"/>
      <c r="AF5" s="39"/>
    </row>
    <row r="6" spans="1:33">
      <c r="B6" s="40" t="s">
        <v>5</v>
      </c>
      <c r="C6" s="40" t="s">
        <v>206</v>
      </c>
      <c r="D6" s="40" t="s">
        <v>208</v>
      </c>
      <c r="E6" s="40" t="s">
        <v>210</v>
      </c>
      <c r="F6" s="40" t="s">
        <v>212</v>
      </c>
      <c r="G6" s="41" t="s">
        <v>214</v>
      </c>
      <c r="H6" s="42" t="s">
        <v>216</v>
      </c>
      <c r="J6" s="40" t="s">
        <v>5</v>
      </c>
      <c r="K6" s="40" t="s">
        <v>206</v>
      </c>
      <c r="L6" s="40" t="s">
        <v>208</v>
      </c>
      <c r="M6" s="40" t="s">
        <v>210</v>
      </c>
      <c r="N6" s="40" t="s">
        <v>212</v>
      </c>
      <c r="O6" s="41" t="s">
        <v>214</v>
      </c>
      <c r="P6" s="42" t="s">
        <v>216</v>
      </c>
      <c r="R6" s="40" t="s">
        <v>5</v>
      </c>
      <c r="S6" s="40" t="s">
        <v>206</v>
      </c>
      <c r="T6" s="40" t="s">
        <v>208</v>
      </c>
      <c r="U6" s="40" t="s">
        <v>210</v>
      </c>
      <c r="V6" s="40" t="s">
        <v>212</v>
      </c>
      <c r="W6" s="41" t="s">
        <v>214</v>
      </c>
      <c r="X6" s="42" t="s">
        <v>216</v>
      </c>
      <c r="Z6" s="40" t="s">
        <v>5</v>
      </c>
      <c r="AA6" s="40" t="s">
        <v>206</v>
      </c>
      <c r="AB6" s="40" t="s">
        <v>208</v>
      </c>
      <c r="AC6" s="40" t="s">
        <v>210</v>
      </c>
      <c r="AD6" s="40" t="s">
        <v>212</v>
      </c>
      <c r="AE6" s="41" t="s">
        <v>214</v>
      </c>
      <c r="AF6" s="42" t="s">
        <v>216</v>
      </c>
    </row>
    <row r="7" spans="1:33" ht="13" customHeight="1">
      <c r="B7" s="43">
        <f>DATE(2025,4,1)-WEEKDAY(DATE(2025,4,1),2)+1</f>
        <v>45747</v>
      </c>
      <c r="C7" s="43">
        <f>DATE(2025,4,1)-WEEKDAY(DATE(2025,4,1),2)+2</f>
        <v>45748</v>
      </c>
      <c r="D7" s="43">
        <f>DATE(2025,4,1)-WEEKDAY(DATE(2025,4,1),2)+3</f>
        <v>45749</v>
      </c>
      <c r="E7" s="43">
        <f>DATE(2025,4,1)-WEEKDAY(DATE(2025,4,1),2)+4</f>
        <v>45750</v>
      </c>
      <c r="F7" s="43">
        <f>DATE(2025,4,1)-WEEKDAY(DATE(2025,4,1),2)+5</f>
        <v>45751</v>
      </c>
      <c r="G7" s="43">
        <f>DATE(2025,4,1)-WEEKDAY(DATE(2025,4,1),2)+6</f>
        <v>45752</v>
      </c>
      <c r="H7" s="43">
        <f>DATE(2025,4,1)-WEEKDAY(DATE(2025,4,1),2)+7</f>
        <v>45753</v>
      </c>
      <c r="J7" s="43">
        <f>DATE(2025,5,1)-WEEKDAY(DATE(2025,5,1),2)+1</f>
        <v>45775</v>
      </c>
      <c r="K7" s="43">
        <f>DATE(2025,5,1)-WEEKDAY(DATE(2025,5,1),2)+2</f>
        <v>45776</v>
      </c>
      <c r="L7" s="43">
        <f>DATE(2025,5,1)-WEEKDAY(DATE(2025,5,1),2)+3</f>
        <v>45777</v>
      </c>
      <c r="M7" s="43">
        <f>DATE(2025,5,1)-WEEKDAY(DATE(2025,5,1),2)+4</f>
        <v>45778</v>
      </c>
      <c r="N7" s="43">
        <f>DATE(2025,5,1)-WEEKDAY(DATE(2025,5,1),2)+5</f>
        <v>45779</v>
      </c>
      <c r="O7" s="43">
        <f>DATE(2025,5,1)-WEEKDAY(DATE(2025,5,1),2)+6</f>
        <v>45780</v>
      </c>
      <c r="P7" s="43">
        <f>DATE(2025,5,1)-WEEKDAY(DATE(2025,5,1),2)+7</f>
        <v>45781</v>
      </c>
      <c r="R7" s="43">
        <f>DATE(2025,6,1)-WEEKDAY(DATE(2025,6,1),2)+1</f>
        <v>45803</v>
      </c>
      <c r="S7" s="43">
        <f>DATE(2025,6,1)-WEEKDAY(DATE(2025,6,1),2)+2</f>
        <v>45804</v>
      </c>
      <c r="T7" s="43">
        <f>DATE(2025,6,1)-WEEKDAY(DATE(2025,6,1),2)+3</f>
        <v>45805</v>
      </c>
      <c r="U7" s="43">
        <f>DATE(2025,6,1)-WEEKDAY(DATE(2025,6,1),2)+4</f>
        <v>45806</v>
      </c>
      <c r="V7" s="43">
        <f>DATE(2025,6,1)-WEEKDAY(DATE(2025,6,1),2)+5</f>
        <v>45807</v>
      </c>
      <c r="W7" s="43">
        <f>DATE(2025,6,1)-WEEKDAY(DATE(2025,6,1),2)+6</f>
        <v>45808</v>
      </c>
      <c r="X7" s="43">
        <f>DATE(2025,6,1)-WEEKDAY(DATE(2025,6,1),2)+7</f>
        <v>45809</v>
      </c>
      <c r="Z7" s="43">
        <f>DATE(2025,7,1)-WEEKDAY(DATE(2025,7,1),2)+1</f>
        <v>45838</v>
      </c>
      <c r="AA7" s="43">
        <f>DATE(2025,7,1)-WEEKDAY(DATE(2025,7,1),2)+2</f>
        <v>45839</v>
      </c>
      <c r="AB7" s="43">
        <f>DATE(2025,7,1)-WEEKDAY(DATE(2025,7,1),2)+3</f>
        <v>45840</v>
      </c>
      <c r="AC7" s="43">
        <f>DATE(2025,7,1)-WEEKDAY(DATE(2025,7,1),2)+4</f>
        <v>45841</v>
      </c>
      <c r="AD7" s="43">
        <f>DATE(2025,7,1)-WEEKDAY(DATE(2025,7,1),2)+5</f>
        <v>45842</v>
      </c>
      <c r="AE7" s="43">
        <f>DATE(2025,7,1)-WEEKDAY(DATE(2025,7,1),2)+6</f>
        <v>45843</v>
      </c>
      <c r="AF7" s="43">
        <f>DATE(2025,7,1)-WEEKDAY(DATE(2025,7,1),2)+7</f>
        <v>45844</v>
      </c>
    </row>
    <row r="8" spans="1:33" ht="21" customHeight="1">
      <c r="B8" s="44">
        <f>IF(MONTH(B7)=4,IF(IFERROR(INDEX('データ'!$B$313:$J$677,MATCH(B7,'データ'!$A$313:$A$677,0),$A$2),0)=0,"",INDEX('データ'!$B$313:$J$677,MATCH(B7,'データ'!$A$313:$A$677,0),$A$2)),"")</f>
        <v/>
      </c>
      <c r="C8" s="44">
        <f>IF(MONTH(C7)=4,IF(IFERROR(INDEX('データ'!$B$313:$J$677,MATCH(C7,'データ'!$A$313:$A$677,0),$A$2),0)=0,"",INDEX('データ'!$B$313:$J$677,MATCH(C7,'データ'!$A$313:$A$677,0),$A$2)),"")</f>
        <v>4032</v>
      </c>
      <c r="D8" s="44">
        <f>IF(MONTH(D7)=4,IF(IFERROR(INDEX('データ'!$B$313:$J$677,MATCH(D7,'データ'!$A$313:$A$677,0),$A$2),0)=0,"",INDEX('データ'!$B$313:$J$677,MATCH(D7,'データ'!$A$313:$A$677,0),$A$2)),"")</f>
        <v>3588</v>
      </c>
      <c r="E8" s="44">
        <f>IF(MONTH(E7)=4,IF(IFERROR(INDEX('データ'!$B$313:$J$677,MATCH(E7,'データ'!$A$313:$A$677,0),$A$2),0)=0,"",INDEX('データ'!$B$313:$J$677,MATCH(E7,'データ'!$A$313:$A$677,0),$A$2)),"")</f>
        <v>3560</v>
      </c>
      <c r="F8" s="44">
        <f>IF(MONTH(F7)=4,IF(IFERROR(INDEX('データ'!$B$313:$J$677,MATCH(F7,'データ'!$A$313:$A$677,0),$A$2),0)=0,"",INDEX('データ'!$B$313:$J$677,MATCH(F7,'データ'!$A$313:$A$677,0),$A$2)),"")</f>
        <v>3487</v>
      </c>
      <c r="G8" s="44">
        <f>IF(MONTH(G7)=4,IF(IFERROR(INDEX('データ'!$B$313:$J$677,MATCH(G7,'データ'!$A$313:$A$677,0),$A$2),0)=0,"",INDEX('データ'!$B$313:$J$677,MATCH(G7,'データ'!$A$313:$A$677,0),$A$2)),"")</f>
        <v/>
      </c>
      <c r="H8" s="44">
        <f>IF(MONTH(H7)=4,IF(IFERROR(INDEX('データ'!$B$313:$J$677,MATCH(H7,'データ'!$A$313:$A$677,0),$A$2),0)=0,"",INDEX('データ'!$B$313:$J$677,MATCH(H7,'データ'!$A$313:$A$677,0),$A$2)),"")</f>
        <v/>
      </c>
      <c r="J8" s="44">
        <f>IF(MONTH(J7)=5,IF(IFERROR(INDEX('データ'!$B$313:$J$677,MATCH(J7,'データ'!$A$313:$A$677,0),$A$2),0)=0,"",INDEX('データ'!$B$313:$J$677,MATCH(J7,'データ'!$A$313:$A$677,0),$A$2)),"")</f>
        <v/>
      </c>
      <c r="K8" s="44">
        <f>IF(MONTH(K7)=5,IF(IFERROR(INDEX('データ'!$B$313:$J$677,MATCH(K7,'データ'!$A$313:$A$677,0),$A$2),0)=0,"",INDEX('データ'!$B$313:$J$677,MATCH(K7,'データ'!$A$313:$A$677,0),$A$2)),"")</f>
        <v/>
      </c>
      <c r="L8" s="44">
        <f>IF(MONTH(L7)=5,IF(IFERROR(INDEX('データ'!$B$313:$J$677,MATCH(L7,'データ'!$A$313:$A$677,0),$A$2),0)=0,"",INDEX('データ'!$B$313:$J$677,MATCH(L7,'データ'!$A$313:$A$677,0),$A$2)),"")</f>
        <v/>
      </c>
      <c r="M8" s="44">
        <f>IF(MONTH(M7)=5,IF(IFERROR(INDEX('データ'!$B$313:$J$677,MATCH(M7,'データ'!$A$313:$A$677,0),$A$2),0)=0,"",INDEX('データ'!$B$313:$J$677,MATCH(M7,'データ'!$A$313:$A$677,0),$A$2)),"")</f>
        <v>3842</v>
      </c>
      <c r="N8" s="44">
        <f>IF(MONTH(N7)=5,IF(IFERROR(INDEX('データ'!$B$313:$J$677,MATCH(N7,'データ'!$A$313:$A$677,0),$A$2),0)=0,"",INDEX('データ'!$B$313:$J$677,MATCH(N7,'データ'!$A$313:$A$677,0),$A$2)),"")</f>
        <v>3546</v>
      </c>
      <c r="O8" s="44">
        <f>IF(MONTH(O7)=5,IF(IFERROR(INDEX('データ'!$B$313:$J$677,MATCH(O7,'データ'!$A$313:$A$677,0),$A$2),0)=0,"",INDEX('データ'!$B$313:$J$677,MATCH(O7,'データ'!$A$313:$A$677,0),$A$2)),"")</f>
        <v/>
      </c>
      <c r="P8" s="44">
        <f>IF(MONTH(P7)=5,IF(IFERROR(INDEX('データ'!$B$313:$J$677,MATCH(P7,'データ'!$A$313:$A$677,0),$A$2),0)=0,"",INDEX('データ'!$B$313:$J$677,MATCH(P7,'データ'!$A$313:$A$677,0),$A$2)),"")</f>
        <v/>
      </c>
      <c r="R8" s="44">
        <f>IF(MONTH(R7)=6,IF(IFERROR(INDEX('データ'!$B$313:$J$677,MATCH(R7,'データ'!$A$313:$A$677,0),$A$2),0)=0,"",INDEX('データ'!$B$313:$J$677,MATCH(R7,'データ'!$A$313:$A$677,0),$A$2)),"")</f>
        <v/>
      </c>
      <c r="S8" s="44">
        <f>IF(MONTH(S7)=6,IF(IFERROR(INDEX('データ'!$B$313:$J$677,MATCH(S7,'データ'!$A$313:$A$677,0),$A$2),0)=0,"",INDEX('データ'!$B$313:$J$677,MATCH(S7,'データ'!$A$313:$A$677,0),$A$2)),"")</f>
        <v/>
      </c>
      <c r="T8" s="44">
        <f>IF(MONTH(T7)=6,IF(IFERROR(INDEX('データ'!$B$313:$J$677,MATCH(T7,'データ'!$A$313:$A$677,0),$A$2),0)=0,"",INDEX('データ'!$B$313:$J$677,MATCH(T7,'データ'!$A$313:$A$677,0),$A$2)),"")</f>
        <v/>
      </c>
      <c r="U8" s="44">
        <f>IF(MONTH(U7)=6,IF(IFERROR(INDEX('データ'!$B$313:$J$677,MATCH(U7,'データ'!$A$313:$A$677,0),$A$2),0)=0,"",INDEX('データ'!$B$313:$J$677,MATCH(U7,'データ'!$A$313:$A$677,0),$A$2)),"")</f>
        <v/>
      </c>
      <c r="V8" s="44">
        <f>IF(MONTH(V7)=6,IF(IFERROR(INDEX('データ'!$B$313:$J$677,MATCH(V7,'データ'!$A$313:$A$677,0),$A$2),0)=0,"",INDEX('データ'!$B$313:$J$677,MATCH(V7,'データ'!$A$313:$A$677,0),$A$2)),"")</f>
        <v/>
      </c>
      <c r="W8" s="44">
        <f>IF(MONTH(W7)=6,IF(IFERROR(INDEX('データ'!$B$313:$J$677,MATCH(W7,'データ'!$A$313:$A$677,0),$A$2),0)=0,"",INDEX('データ'!$B$313:$J$677,MATCH(W7,'データ'!$A$313:$A$677,0),$A$2)),"")</f>
        <v/>
      </c>
      <c r="X8" s="44">
        <f>IF(MONTH(X7)=6,IF(IFERROR(INDEX('データ'!$B$313:$J$677,MATCH(X7,'データ'!$A$313:$A$677,0),$A$2),0)=0,"",INDEX('データ'!$B$313:$J$677,MATCH(X7,'データ'!$A$313:$A$677,0),$A$2)),"")</f>
        <v/>
      </c>
      <c r="Z8" s="44">
        <f>IF(MONTH(Z7)=7,IF(IFERROR(INDEX('データ'!$B$313:$J$677,MATCH(Z7,'データ'!$A$313:$A$677,0),$A$2),0)=0,"",INDEX('データ'!$B$313:$J$677,MATCH(Z7,'データ'!$A$313:$A$677,0),$A$2)),"")</f>
        <v/>
      </c>
      <c r="AA8" s="44">
        <f>IF(MONTH(AA7)=7,IF(IFERROR(INDEX('データ'!$B$313:$J$677,MATCH(AA7,'データ'!$A$313:$A$677,0),$A$2),0)=0,"",INDEX('データ'!$B$313:$J$677,MATCH(AA7,'データ'!$A$313:$A$677,0),$A$2)),"")</f>
        <v>3024</v>
      </c>
      <c r="AB8" s="44">
        <f>IF(MONTH(AB7)=7,IF(IFERROR(INDEX('データ'!$B$313:$J$677,MATCH(AB7,'データ'!$A$313:$A$677,0),$A$2),0)=0,"",INDEX('データ'!$B$313:$J$677,MATCH(AB7,'データ'!$A$313:$A$677,0),$A$2)),"")</f>
        <v>2912</v>
      </c>
      <c r="AC8" s="44">
        <f>IF(MONTH(AC7)=7,IF(IFERROR(INDEX('データ'!$B$313:$J$677,MATCH(AC7,'データ'!$A$313:$A$677,0),$A$2),0)=0,"",INDEX('データ'!$B$313:$J$677,MATCH(AC7,'データ'!$A$313:$A$677,0),$A$2)),"")</f>
        <v>2856</v>
      </c>
      <c r="AD8" s="44">
        <f>IF(MONTH(AD7)=7,IF(IFERROR(INDEX('データ'!$B$313:$J$677,MATCH(AD7,'データ'!$A$313:$A$677,0),$A$2),0)=0,"",INDEX('データ'!$B$313:$J$677,MATCH(AD7,'データ'!$A$313:$A$677,0),$A$2)),"")</f>
        <v>3048</v>
      </c>
      <c r="AE8" s="44">
        <f>IF(MONTH(AE7)=7,IF(IFERROR(INDEX('データ'!$B$313:$J$677,MATCH(AE7,'データ'!$A$313:$A$677,0),$A$2),0)=0,"",INDEX('データ'!$B$313:$J$677,MATCH(AE7,'データ'!$A$313:$A$677,0),$A$2)),"")</f>
        <v/>
      </c>
      <c r="AF8" s="44">
        <f>IF(MONTH(AF7)=7,IF(IFERROR(INDEX('データ'!$B$313:$J$677,MATCH(AF7,'データ'!$A$313:$A$677,0),$A$2),0)=0,"",INDEX('データ'!$B$313:$J$677,MATCH(AF7,'データ'!$A$313:$A$677,0),$A$2)),"")</f>
        <v/>
      </c>
    </row>
    <row r="9" spans="1:33" ht="13" customHeight="1">
      <c r="B9" s="43">
        <f>DATE(2025,4,1)-WEEKDAY(DATE(2025,4,1),2)+8</f>
        <v>45754</v>
      </c>
      <c r="C9" s="43">
        <f>DATE(2025,4,1)-WEEKDAY(DATE(2025,4,1),2)+9</f>
        <v>45755</v>
      </c>
      <c r="D9" s="43">
        <f>DATE(2025,4,1)-WEEKDAY(DATE(2025,4,1),2)+10</f>
        <v>45756</v>
      </c>
      <c r="E9" s="43">
        <f>DATE(2025,4,1)-WEEKDAY(DATE(2025,4,1),2)+11</f>
        <v>45757</v>
      </c>
      <c r="F9" s="43">
        <f>DATE(2025,4,1)-WEEKDAY(DATE(2025,4,1),2)+12</f>
        <v>45758</v>
      </c>
      <c r="G9" s="43">
        <f>DATE(2025,4,1)-WEEKDAY(DATE(2025,4,1),2)+13</f>
        <v>45759</v>
      </c>
      <c r="H9" s="43">
        <f>DATE(2025,4,1)-WEEKDAY(DATE(2025,4,1),2)+14</f>
        <v>45760</v>
      </c>
      <c r="J9" s="43">
        <f>DATE(2025,5,1)-WEEKDAY(DATE(2025,5,1),2)+8</f>
        <v>45782</v>
      </c>
      <c r="K9" s="43">
        <f>DATE(2025,5,1)-WEEKDAY(DATE(2025,5,1),2)+9</f>
        <v>45783</v>
      </c>
      <c r="L9" s="43">
        <f>DATE(2025,5,1)-WEEKDAY(DATE(2025,5,1),2)+10</f>
        <v>45784</v>
      </c>
      <c r="M9" s="43">
        <f>DATE(2025,5,1)-WEEKDAY(DATE(2025,5,1),2)+11</f>
        <v>45785</v>
      </c>
      <c r="N9" s="43">
        <f>DATE(2025,5,1)-WEEKDAY(DATE(2025,5,1),2)+12</f>
        <v>45786</v>
      </c>
      <c r="O9" s="43">
        <f>DATE(2025,5,1)-WEEKDAY(DATE(2025,5,1),2)+13</f>
        <v>45787</v>
      </c>
      <c r="P9" s="43">
        <f>DATE(2025,5,1)-WEEKDAY(DATE(2025,5,1),2)+14</f>
        <v>45788</v>
      </c>
      <c r="R9" s="43">
        <f>DATE(2025,6,1)-WEEKDAY(DATE(2025,6,1),2)+8</f>
        <v>45810</v>
      </c>
      <c r="S9" s="43">
        <f>DATE(2025,6,1)-WEEKDAY(DATE(2025,6,1),2)+9</f>
        <v>45811</v>
      </c>
      <c r="T9" s="43">
        <f>DATE(2025,6,1)-WEEKDAY(DATE(2025,6,1),2)+10</f>
        <v>45812</v>
      </c>
      <c r="U9" s="43">
        <f>DATE(2025,6,1)-WEEKDAY(DATE(2025,6,1),2)+11</f>
        <v>45813</v>
      </c>
      <c r="V9" s="43">
        <f>DATE(2025,6,1)-WEEKDAY(DATE(2025,6,1),2)+12</f>
        <v>45814</v>
      </c>
      <c r="W9" s="43">
        <f>DATE(2025,6,1)-WEEKDAY(DATE(2025,6,1),2)+13</f>
        <v>45815</v>
      </c>
      <c r="X9" s="43">
        <f>DATE(2025,6,1)-WEEKDAY(DATE(2025,6,1),2)+14</f>
        <v>45816</v>
      </c>
      <c r="Z9" s="43">
        <f>DATE(2025,7,1)-WEEKDAY(DATE(2025,7,1),2)+8</f>
        <v>45845</v>
      </c>
      <c r="AA9" s="43">
        <f>DATE(2025,7,1)-WEEKDAY(DATE(2025,7,1),2)+9</f>
        <v>45846</v>
      </c>
      <c r="AB9" s="43">
        <f>DATE(2025,7,1)-WEEKDAY(DATE(2025,7,1),2)+10</f>
        <v>45847</v>
      </c>
      <c r="AC9" s="43">
        <f>DATE(2025,7,1)-WEEKDAY(DATE(2025,7,1),2)+11</f>
        <v>45848</v>
      </c>
      <c r="AD9" s="43">
        <f>DATE(2025,7,1)-WEEKDAY(DATE(2025,7,1),2)+12</f>
        <v>45849</v>
      </c>
      <c r="AE9" s="43">
        <f>DATE(2025,7,1)-WEEKDAY(DATE(2025,7,1),2)+13</f>
        <v>45850</v>
      </c>
      <c r="AF9" s="43">
        <f>DATE(2025,7,1)-WEEKDAY(DATE(2025,7,1),2)+14</f>
        <v>45851</v>
      </c>
    </row>
    <row r="10" spans="1:33" ht="21" customHeight="1">
      <c r="B10" s="44">
        <f>IF(MONTH(B9)=4,IF(IFERROR(INDEX('データ'!$B$313:$J$677,MATCH(B9,'データ'!$A$313:$A$677,0),$A$2),0)=0,"",INDEX('データ'!$B$313:$J$677,MATCH(B9,'データ'!$A$313:$A$677,0),$A$2)),"")</f>
        <v>3875</v>
      </c>
      <c r="C10" s="44">
        <f>IF(MONTH(C9)=4,IF(IFERROR(INDEX('データ'!$B$313:$J$677,MATCH(C9,'データ'!$A$313:$A$677,0),$A$2),0)=0,"",INDEX('データ'!$B$313:$J$677,MATCH(C9,'データ'!$A$313:$A$677,0),$A$2)),"")</f>
        <v>3288</v>
      </c>
      <c r="D10" s="44">
        <f>IF(MONTH(D9)=4,IF(IFERROR(INDEX('データ'!$B$313:$J$677,MATCH(D9,'データ'!$A$313:$A$677,0),$A$2),0)=0,"",INDEX('データ'!$B$313:$J$677,MATCH(D9,'データ'!$A$313:$A$677,0),$A$2)),"")</f>
        <v>3225</v>
      </c>
      <c r="E10" s="44">
        <f>IF(MONTH(E9)=4,IF(IFERROR(INDEX('データ'!$B$313:$J$677,MATCH(E9,'データ'!$A$313:$A$677,0),$A$2),0)=0,"",INDEX('データ'!$B$313:$J$677,MATCH(E9,'データ'!$A$313:$A$677,0),$A$2)),"")</f>
        <v>2651</v>
      </c>
      <c r="F10" s="44">
        <f>IF(MONTH(F9)=4,IF(IFERROR(INDEX('データ'!$B$313:$J$677,MATCH(F9,'データ'!$A$313:$A$677,0),$A$2),0)=0,"",INDEX('データ'!$B$313:$J$677,MATCH(F9,'データ'!$A$313:$A$677,0),$A$2)),"")</f>
        <v>3091</v>
      </c>
      <c r="G10" s="44">
        <f>IF(MONTH(G9)=4,IF(IFERROR(INDEX('データ'!$B$313:$J$677,MATCH(G9,'データ'!$A$313:$A$677,0),$A$2),0)=0,"",INDEX('データ'!$B$313:$J$677,MATCH(G9,'データ'!$A$313:$A$677,0),$A$2)),"")</f>
        <v/>
      </c>
      <c r="H10" s="44">
        <f>IF(MONTH(H9)=4,IF(IFERROR(INDEX('データ'!$B$313:$J$677,MATCH(H9,'データ'!$A$313:$A$677,0),$A$2),0)=0,"",INDEX('データ'!$B$313:$J$677,MATCH(H9,'データ'!$A$313:$A$677,0),$A$2)),"")</f>
        <v>85</v>
      </c>
      <c r="J10" s="44">
        <f>IF(MONTH(J9)=5,IF(IFERROR(INDEX('データ'!$B$313:$J$677,MATCH(J9,'データ'!$A$313:$A$677,0),$A$2),0)=0,"",INDEX('データ'!$B$313:$J$677,MATCH(J9,'データ'!$A$313:$A$677,0),$A$2)),"")</f>
        <v/>
      </c>
      <c r="K10" s="44">
        <f>IF(MONTH(K9)=5,IF(IFERROR(INDEX('データ'!$B$313:$J$677,MATCH(K9,'データ'!$A$313:$A$677,0),$A$2),0)=0,"",INDEX('データ'!$B$313:$J$677,MATCH(K9,'データ'!$A$313:$A$677,0),$A$2)),"")</f>
        <v/>
      </c>
      <c r="L10" s="44">
        <f>IF(MONTH(L9)=5,IF(IFERROR(INDEX('データ'!$B$313:$J$677,MATCH(L9,'データ'!$A$313:$A$677,0),$A$2),0)=0,"",INDEX('データ'!$B$313:$J$677,MATCH(L9,'データ'!$A$313:$A$677,0),$A$2)),"")</f>
        <v>3462</v>
      </c>
      <c r="M10" s="44">
        <f>IF(MONTH(M9)=5,IF(IFERROR(INDEX('データ'!$B$313:$J$677,MATCH(M9,'データ'!$A$313:$A$677,0),$A$2),0)=0,"",INDEX('データ'!$B$313:$J$677,MATCH(M9,'データ'!$A$313:$A$677,0),$A$2)),"")</f>
        <v>3133</v>
      </c>
      <c r="N10" s="44">
        <f>IF(MONTH(N9)=5,IF(IFERROR(INDEX('データ'!$B$313:$J$677,MATCH(N9,'データ'!$A$313:$A$677,0),$A$2),0)=0,"",INDEX('データ'!$B$313:$J$677,MATCH(N9,'データ'!$A$313:$A$677,0),$A$2)),"")</f>
        <v>2556</v>
      </c>
      <c r="O10" s="44">
        <f>IF(MONTH(O9)=5,IF(IFERROR(INDEX('データ'!$B$313:$J$677,MATCH(O9,'データ'!$A$313:$A$677,0),$A$2),0)=0,"",INDEX('データ'!$B$313:$J$677,MATCH(O9,'データ'!$A$313:$A$677,0),$A$2)),"")</f>
        <v/>
      </c>
      <c r="P10" s="44">
        <f>IF(MONTH(P9)=5,IF(IFERROR(INDEX('データ'!$B$313:$J$677,MATCH(P9,'データ'!$A$313:$A$677,0),$A$2),0)=0,"",INDEX('データ'!$B$313:$J$677,MATCH(P9,'データ'!$A$313:$A$677,0),$A$2)),"")</f>
        <v>383</v>
      </c>
      <c r="R10" s="44">
        <f>IF(MONTH(R9)=6,IF(IFERROR(INDEX('データ'!$B$313:$J$677,MATCH(R9,'データ'!$A$313:$A$677,0),$A$2),0)=0,"",INDEX('データ'!$B$313:$J$677,MATCH(R9,'データ'!$A$313:$A$677,0),$A$2)),"")</f>
        <v>3649</v>
      </c>
      <c r="S10" s="44">
        <f>IF(MONTH(S9)=6,IF(IFERROR(INDEX('データ'!$B$313:$J$677,MATCH(S9,'データ'!$A$313:$A$677,0),$A$2),0)=0,"",INDEX('データ'!$B$313:$J$677,MATCH(S9,'データ'!$A$313:$A$677,0),$A$2)),"")</f>
        <v>2848</v>
      </c>
      <c r="T10" s="44">
        <f>IF(MONTH(T9)=6,IF(IFERROR(INDEX('データ'!$B$313:$J$677,MATCH(T9,'データ'!$A$313:$A$677,0),$A$2),0)=0,"",INDEX('データ'!$B$313:$J$677,MATCH(T9,'データ'!$A$313:$A$677,0),$A$2)),"")</f>
        <v>3364</v>
      </c>
      <c r="U10" s="44">
        <f>IF(MONTH(U9)=6,IF(IFERROR(INDEX('データ'!$B$313:$J$677,MATCH(U9,'データ'!$A$313:$A$677,0),$A$2),0)=0,"",INDEX('データ'!$B$313:$J$677,MATCH(U9,'データ'!$A$313:$A$677,0),$A$2)),"")</f>
        <v>3025</v>
      </c>
      <c r="V10" s="44">
        <f>IF(MONTH(V9)=6,IF(IFERROR(INDEX('データ'!$B$313:$J$677,MATCH(V9,'データ'!$A$313:$A$677,0),$A$2),0)=0,"",INDEX('データ'!$B$313:$J$677,MATCH(V9,'データ'!$A$313:$A$677,0),$A$2)),"")</f>
        <v>3254</v>
      </c>
      <c r="W10" s="44">
        <f>IF(MONTH(W9)=6,IF(IFERROR(INDEX('データ'!$B$313:$J$677,MATCH(W9,'データ'!$A$313:$A$677,0),$A$2),0)=0,"",INDEX('データ'!$B$313:$J$677,MATCH(W9,'データ'!$A$313:$A$677,0),$A$2)),"")</f>
        <v/>
      </c>
      <c r="X10" s="44">
        <f>IF(MONTH(X9)=6,IF(IFERROR(INDEX('データ'!$B$313:$J$677,MATCH(X9,'データ'!$A$313:$A$677,0),$A$2),0)=0,"",INDEX('データ'!$B$313:$J$677,MATCH(X9,'データ'!$A$313:$A$677,0),$A$2)),"")</f>
        <v/>
      </c>
      <c r="Z10" s="44">
        <f>IF(MONTH(Z9)=7,IF(IFERROR(INDEX('データ'!$B$313:$J$677,MATCH(Z9,'データ'!$A$313:$A$677,0),$A$2),0)=0,"",INDEX('データ'!$B$313:$J$677,MATCH(Z9,'データ'!$A$313:$A$677,0),$A$2)),"")</f>
        <v>3688</v>
      </c>
      <c r="AA10" s="44">
        <f>IF(MONTH(AA9)=7,IF(IFERROR(INDEX('データ'!$B$313:$J$677,MATCH(AA9,'データ'!$A$313:$A$677,0),$A$2),0)=0,"",INDEX('データ'!$B$313:$J$677,MATCH(AA9,'データ'!$A$313:$A$677,0),$A$2)),"")</f>
        <v>3069</v>
      </c>
      <c r="AB10" s="44">
        <f>IF(MONTH(AB9)=7,IF(IFERROR(INDEX('データ'!$B$313:$J$677,MATCH(AB9,'データ'!$A$313:$A$677,0),$A$2),0)=0,"",INDEX('データ'!$B$313:$J$677,MATCH(AB9,'データ'!$A$313:$A$677,0),$A$2)),"")</f>
        <v>2924</v>
      </c>
      <c r="AC10" s="44">
        <f>IF(MONTH(AC9)=7,IF(IFERROR(INDEX('データ'!$B$313:$J$677,MATCH(AC9,'データ'!$A$313:$A$677,0),$A$2),0)=0,"",INDEX('データ'!$B$313:$J$677,MATCH(AC9,'データ'!$A$313:$A$677,0),$A$2)),"")</f>
        <v>2859</v>
      </c>
      <c r="AD10" s="44">
        <f>IF(MONTH(AD9)=7,IF(IFERROR(INDEX('データ'!$B$313:$J$677,MATCH(AD9,'データ'!$A$313:$A$677,0),$A$2),0)=0,"",INDEX('データ'!$B$313:$J$677,MATCH(AD9,'データ'!$A$313:$A$677,0),$A$2)),"")</f>
        <v>2973</v>
      </c>
      <c r="AE10" s="44">
        <f>IF(MONTH(AE9)=7,IF(IFERROR(INDEX('データ'!$B$313:$J$677,MATCH(AE9,'データ'!$A$313:$A$677,0),$A$2),0)=0,"",INDEX('データ'!$B$313:$J$677,MATCH(AE9,'データ'!$A$313:$A$677,0),$A$2)),"")</f>
        <v/>
      </c>
      <c r="AF10" s="44">
        <f>IF(MONTH(AF9)=7,IF(IFERROR(INDEX('データ'!$B$313:$J$677,MATCH(AF9,'データ'!$A$313:$A$677,0),$A$2),0)=0,"",INDEX('データ'!$B$313:$J$677,MATCH(AF9,'データ'!$A$313:$A$677,0),$A$2)),"")</f>
        <v>675</v>
      </c>
    </row>
    <row r="11" spans="1:33" ht="13" customHeight="1">
      <c r="B11" s="43">
        <f>DATE(2025,4,1)-WEEKDAY(DATE(2025,4,1),2)+15</f>
        <v>45761</v>
      </c>
      <c r="C11" s="43">
        <f>DATE(2025,4,1)-WEEKDAY(DATE(2025,4,1),2)+16</f>
        <v>45762</v>
      </c>
      <c r="D11" s="43">
        <f>DATE(2025,4,1)-WEEKDAY(DATE(2025,4,1),2)+17</f>
        <v>45763</v>
      </c>
      <c r="E11" s="43">
        <f>DATE(2025,4,1)-WEEKDAY(DATE(2025,4,1),2)+18</f>
        <v>45764</v>
      </c>
      <c r="F11" s="43">
        <f>DATE(2025,4,1)-WEEKDAY(DATE(2025,4,1),2)+19</f>
        <v>45765</v>
      </c>
      <c r="G11" s="43">
        <f>DATE(2025,4,1)-WEEKDAY(DATE(2025,4,1),2)+20</f>
        <v>45766</v>
      </c>
      <c r="H11" s="43">
        <f>DATE(2025,4,1)-WEEKDAY(DATE(2025,4,1),2)+21</f>
        <v>45767</v>
      </c>
      <c r="J11" s="43">
        <f>DATE(2025,5,1)-WEEKDAY(DATE(2025,5,1),2)+15</f>
        <v>45789</v>
      </c>
      <c r="K11" s="43">
        <f>DATE(2025,5,1)-WEEKDAY(DATE(2025,5,1),2)+16</f>
        <v>45790</v>
      </c>
      <c r="L11" s="43">
        <f>DATE(2025,5,1)-WEEKDAY(DATE(2025,5,1),2)+17</f>
        <v>45791</v>
      </c>
      <c r="M11" s="43">
        <f>DATE(2025,5,1)-WEEKDAY(DATE(2025,5,1),2)+18</f>
        <v>45792</v>
      </c>
      <c r="N11" s="43">
        <f>DATE(2025,5,1)-WEEKDAY(DATE(2025,5,1),2)+19</f>
        <v>45793</v>
      </c>
      <c r="O11" s="43">
        <f>DATE(2025,5,1)-WEEKDAY(DATE(2025,5,1),2)+20</f>
        <v>45794</v>
      </c>
      <c r="P11" s="43">
        <f>DATE(2025,5,1)-WEEKDAY(DATE(2025,5,1),2)+21</f>
        <v>45795</v>
      </c>
      <c r="R11" s="43">
        <f>DATE(2025,6,1)-WEEKDAY(DATE(2025,6,1),2)+15</f>
        <v>45817</v>
      </c>
      <c r="S11" s="43">
        <f>DATE(2025,6,1)-WEEKDAY(DATE(2025,6,1),2)+16</f>
        <v>45818</v>
      </c>
      <c r="T11" s="43">
        <f>DATE(2025,6,1)-WEEKDAY(DATE(2025,6,1),2)+17</f>
        <v>45819</v>
      </c>
      <c r="U11" s="43">
        <f>DATE(2025,6,1)-WEEKDAY(DATE(2025,6,1),2)+18</f>
        <v>45820</v>
      </c>
      <c r="V11" s="43">
        <f>DATE(2025,6,1)-WEEKDAY(DATE(2025,6,1),2)+19</f>
        <v>45821</v>
      </c>
      <c r="W11" s="43">
        <f>DATE(2025,6,1)-WEEKDAY(DATE(2025,6,1),2)+20</f>
        <v>45822</v>
      </c>
      <c r="X11" s="43">
        <f>DATE(2025,6,1)-WEEKDAY(DATE(2025,6,1),2)+21</f>
        <v>45823</v>
      </c>
      <c r="Z11" s="43">
        <f>DATE(2025,7,1)-WEEKDAY(DATE(2025,7,1),2)+15</f>
        <v>45852</v>
      </c>
      <c r="AA11" s="43">
        <f>DATE(2025,7,1)-WEEKDAY(DATE(2025,7,1),2)+16</f>
        <v>45853</v>
      </c>
      <c r="AB11" s="43">
        <f>DATE(2025,7,1)-WEEKDAY(DATE(2025,7,1),2)+17</f>
        <v>45854</v>
      </c>
      <c r="AC11" s="43">
        <f>DATE(2025,7,1)-WEEKDAY(DATE(2025,7,1),2)+18</f>
        <v>45855</v>
      </c>
      <c r="AD11" s="43">
        <f>DATE(2025,7,1)-WEEKDAY(DATE(2025,7,1),2)+19</f>
        <v>45856</v>
      </c>
      <c r="AE11" s="43">
        <f>DATE(2025,7,1)-WEEKDAY(DATE(2025,7,1),2)+20</f>
        <v>45857</v>
      </c>
      <c r="AF11" s="43">
        <f>DATE(2025,7,1)-WEEKDAY(DATE(2025,7,1),2)+21</f>
        <v>45858</v>
      </c>
    </row>
    <row r="12" spans="1:33" ht="21" customHeight="1">
      <c r="B12" s="44">
        <f>IF(MONTH(B11)=4,IF(IFERROR(INDEX('データ'!$B$313:$J$677,MATCH(B11,'データ'!$A$313:$A$677,0),$A$2),0)=0,"",INDEX('データ'!$B$313:$J$677,MATCH(B11,'データ'!$A$313:$A$677,0),$A$2)),"")</f>
        <v>3075</v>
      </c>
      <c r="C12" s="44">
        <f>IF(MONTH(C11)=4,IF(IFERROR(INDEX('データ'!$B$313:$J$677,MATCH(C11,'データ'!$A$313:$A$677,0),$A$2),0)=0,"",INDEX('データ'!$B$313:$J$677,MATCH(C11,'データ'!$A$313:$A$677,0),$A$2)),"")</f>
        <v>2890</v>
      </c>
      <c r="D12" s="44">
        <f>IF(MONTH(D11)=4,IF(IFERROR(INDEX('データ'!$B$313:$J$677,MATCH(D11,'データ'!$A$313:$A$677,0),$A$2),0)=0,"",INDEX('データ'!$B$313:$J$677,MATCH(D11,'データ'!$A$313:$A$677,0),$A$2)),"")</f>
        <v>3025</v>
      </c>
      <c r="E12" s="44">
        <f>IF(MONTH(E11)=4,IF(IFERROR(INDEX('データ'!$B$313:$J$677,MATCH(E11,'データ'!$A$313:$A$677,0),$A$2),0)=0,"",INDEX('データ'!$B$313:$J$677,MATCH(E11,'データ'!$A$313:$A$677,0),$A$2)),"")</f>
        <v>2844</v>
      </c>
      <c r="F12" s="44">
        <f>IF(MONTH(F11)=4,IF(IFERROR(INDEX('データ'!$B$313:$J$677,MATCH(F11,'データ'!$A$313:$A$677,0),$A$2),0)=0,"",INDEX('データ'!$B$313:$J$677,MATCH(F11,'データ'!$A$313:$A$677,0),$A$2)),"")</f>
        <v>3361</v>
      </c>
      <c r="G12" s="44">
        <f>IF(MONTH(G11)=4,IF(IFERROR(INDEX('データ'!$B$313:$J$677,MATCH(G11,'データ'!$A$313:$A$677,0),$A$2),0)=0,"",INDEX('データ'!$B$313:$J$677,MATCH(G11,'データ'!$A$313:$A$677,0),$A$2)),"")</f>
        <v/>
      </c>
      <c r="H12" s="44">
        <f>IF(MONTH(H11)=4,IF(IFERROR(INDEX('データ'!$B$313:$J$677,MATCH(H11,'データ'!$A$313:$A$677,0),$A$2),0)=0,"",INDEX('データ'!$B$313:$J$677,MATCH(H11,'データ'!$A$313:$A$677,0),$A$2)),"")</f>
        <v/>
      </c>
      <c r="J12" s="44">
        <f>IF(MONTH(J11)=5,IF(IFERROR(INDEX('データ'!$B$313:$J$677,MATCH(J11,'データ'!$A$313:$A$677,0),$A$2),0)=0,"",INDEX('データ'!$B$313:$J$677,MATCH(J11,'データ'!$A$313:$A$677,0),$A$2)),"")</f>
        <v>3720</v>
      </c>
      <c r="K12" s="44">
        <f>IF(MONTH(K11)=5,IF(IFERROR(INDEX('データ'!$B$313:$J$677,MATCH(K11,'データ'!$A$313:$A$677,0),$A$2),0)=0,"",INDEX('データ'!$B$313:$J$677,MATCH(K11,'データ'!$A$313:$A$677,0),$A$2)),"")</f>
        <v>3190</v>
      </c>
      <c r="L12" s="44">
        <f>IF(MONTH(L11)=5,IF(IFERROR(INDEX('データ'!$B$313:$J$677,MATCH(L11,'データ'!$A$313:$A$677,0),$A$2),0)=0,"",INDEX('データ'!$B$313:$J$677,MATCH(L11,'データ'!$A$313:$A$677,0),$A$2)),"")</f>
        <v>3160</v>
      </c>
      <c r="M12" s="44">
        <f>IF(MONTH(M11)=5,IF(IFERROR(INDEX('データ'!$B$313:$J$677,MATCH(M11,'データ'!$A$313:$A$677,0),$A$2),0)=0,"",INDEX('データ'!$B$313:$J$677,MATCH(M11,'データ'!$A$313:$A$677,0),$A$2)),"")</f>
        <v>3085</v>
      </c>
      <c r="N12" s="44">
        <f>IF(MONTH(N11)=5,IF(IFERROR(INDEX('データ'!$B$313:$J$677,MATCH(N11,'データ'!$A$313:$A$677,0),$A$2),0)=0,"",INDEX('データ'!$B$313:$J$677,MATCH(N11,'データ'!$A$313:$A$677,0),$A$2)),"")</f>
        <v>3009</v>
      </c>
      <c r="O12" s="44">
        <f>IF(MONTH(O11)=5,IF(IFERROR(INDEX('データ'!$B$313:$J$677,MATCH(O11,'データ'!$A$313:$A$677,0),$A$2),0)=0,"",INDEX('データ'!$B$313:$J$677,MATCH(O11,'データ'!$A$313:$A$677,0),$A$2)),"")</f>
        <v/>
      </c>
      <c r="P12" s="44">
        <f>IF(MONTH(P11)=5,IF(IFERROR(INDEX('データ'!$B$313:$J$677,MATCH(P11,'データ'!$A$313:$A$677,0),$A$2),0)=0,"",INDEX('データ'!$B$313:$J$677,MATCH(P11,'データ'!$A$313:$A$677,0),$A$2)),"")</f>
        <v/>
      </c>
      <c r="R12" s="44">
        <f>IF(MONTH(R11)=6,IF(IFERROR(INDEX('データ'!$B$313:$J$677,MATCH(R11,'データ'!$A$313:$A$677,0),$A$2),0)=0,"",INDEX('データ'!$B$313:$J$677,MATCH(R11,'データ'!$A$313:$A$677,0),$A$2)),"")</f>
        <v>3245</v>
      </c>
      <c r="S12" s="44">
        <f>IF(MONTH(S11)=6,IF(IFERROR(INDEX('データ'!$B$313:$J$677,MATCH(S11,'データ'!$A$313:$A$677,0),$A$2),0)=0,"",INDEX('データ'!$B$313:$J$677,MATCH(S11,'データ'!$A$313:$A$677,0),$A$2)),"")</f>
        <v>2521</v>
      </c>
      <c r="T12" s="44">
        <f>IF(MONTH(T11)=6,IF(IFERROR(INDEX('データ'!$B$313:$J$677,MATCH(T11,'データ'!$A$313:$A$677,0),$A$2),0)=0,"",INDEX('データ'!$B$313:$J$677,MATCH(T11,'データ'!$A$313:$A$677,0),$A$2)),"")</f>
        <v>3151</v>
      </c>
      <c r="U12" s="44">
        <f>IF(MONTH(U11)=6,IF(IFERROR(INDEX('データ'!$B$313:$J$677,MATCH(U11,'データ'!$A$313:$A$677,0),$A$2),0)=0,"",INDEX('データ'!$B$313:$J$677,MATCH(U11,'データ'!$A$313:$A$677,0),$A$2)),"")</f>
        <v>2934</v>
      </c>
      <c r="V12" s="44">
        <f>IF(MONTH(V11)=6,IF(IFERROR(INDEX('データ'!$B$313:$J$677,MATCH(V11,'データ'!$A$313:$A$677,0),$A$2),0)=0,"",INDEX('データ'!$B$313:$J$677,MATCH(V11,'データ'!$A$313:$A$677,0),$A$2)),"")</f>
        <v>3398</v>
      </c>
      <c r="W12" s="44">
        <f>IF(MONTH(W11)=6,IF(IFERROR(INDEX('データ'!$B$313:$J$677,MATCH(W11,'データ'!$A$313:$A$677,0),$A$2),0)=0,"",INDEX('データ'!$B$313:$J$677,MATCH(W11,'データ'!$A$313:$A$677,0),$A$2)),"")</f>
        <v/>
      </c>
      <c r="X12" s="44">
        <f>IF(MONTH(X11)=6,IF(IFERROR(INDEX('データ'!$B$313:$J$677,MATCH(X11,'データ'!$A$313:$A$677,0),$A$2),0)=0,"",INDEX('データ'!$B$313:$J$677,MATCH(X11,'データ'!$A$313:$A$677,0),$A$2)),"")</f>
        <v/>
      </c>
      <c r="Z12" s="44">
        <f>IF(MONTH(Z11)=7,IF(IFERROR(INDEX('データ'!$B$313:$J$677,MATCH(Z11,'データ'!$A$313:$A$677,0),$A$2),0)=0,"",INDEX('データ'!$B$313:$J$677,MATCH(Z11,'データ'!$A$313:$A$677,0),$A$2)),"")</f>
        <v>2973</v>
      </c>
      <c r="AA12" s="44">
        <f>IF(MONTH(AA11)=7,IF(IFERROR(INDEX('データ'!$B$313:$J$677,MATCH(AA11,'データ'!$A$313:$A$677,0),$A$2),0)=0,"",INDEX('データ'!$B$313:$J$677,MATCH(AA11,'データ'!$A$313:$A$677,0),$A$2)),"")</f>
        <v>3229</v>
      </c>
      <c r="AB12" s="44">
        <f>IF(MONTH(AB11)=7,IF(IFERROR(INDEX('データ'!$B$313:$J$677,MATCH(AB11,'データ'!$A$313:$A$677,0),$A$2),0)=0,"",INDEX('データ'!$B$313:$J$677,MATCH(AB11,'データ'!$A$313:$A$677,0),$A$2)),"")</f>
        <v>2989</v>
      </c>
      <c r="AC12" s="44">
        <f>IF(MONTH(AC11)=7,IF(IFERROR(INDEX('データ'!$B$313:$J$677,MATCH(AC11,'データ'!$A$313:$A$677,0),$A$2),0)=0,"",INDEX('データ'!$B$313:$J$677,MATCH(AC11,'データ'!$A$313:$A$677,0),$A$2)),"")</f>
        <v>2622</v>
      </c>
      <c r="AD12" s="44">
        <f>IF(MONTH(AD11)=7,IF(IFERROR(INDEX('データ'!$B$313:$J$677,MATCH(AD11,'データ'!$A$313:$A$677,0),$A$2),0)=0,"",INDEX('データ'!$B$313:$J$677,MATCH(AD11,'データ'!$A$313:$A$677,0),$A$2)),"")</f>
        <v>2841</v>
      </c>
      <c r="AE12" s="44">
        <f>IF(MONTH(AE11)=7,IF(IFERROR(INDEX('データ'!$B$313:$J$677,MATCH(AE11,'データ'!$A$313:$A$677,0),$A$2),0)=0,"",INDEX('データ'!$B$313:$J$677,MATCH(AE11,'データ'!$A$313:$A$677,0),$A$2)),"")</f>
        <v/>
      </c>
      <c r="AF12" s="44">
        <f>IF(MONTH(AF11)=7,IF(IFERROR(INDEX('データ'!$B$313:$J$677,MATCH(AF11,'データ'!$A$313:$A$677,0),$A$2),0)=0,"",INDEX('データ'!$B$313:$J$677,MATCH(AF11,'データ'!$A$313:$A$677,0),$A$2)),"")</f>
        <v/>
      </c>
    </row>
    <row r="13" spans="1:33" ht="13" customHeight="1">
      <c r="B13" s="43">
        <f>DATE(2025,4,1)-WEEKDAY(DATE(2025,4,1),2)+22</f>
        <v>45768</v>
      </c>
      <c r="C13" s="43">
        <f>DATE(2025,4,1)-WEEKDAY(DATE(2025,4,1),2)+23</f>
        <v>45769</v>
      </c>
      <c r="D13" s="43">
        <f>DATE(2025,4,1)-WEEKDAY(DATE(2025,4,1),2)+24</f>
        <v>45770</v>
      </c>
      <c r="E13" s="43">
        <f>DATE(2025,4,1)-WEEKDAY(DATE(2025,4,1),2)+25</f>
        <v>45771</v>
      </c>
      <c r="F13" s="43">
        <f>DATE(2025,4,1)-WEEKDAY(DATE(2025,4,1),2)+26</f>
        <v>45772</v>
      </c>
      <c r="G13" s="43">
        <f>DATE(2025,4,1)-WEEKDAY(DATE(2025,4,1),2)+27</f>
        <v>45773</v>
      </c>
      <c r="H13" s="43">
        <f>DATE(2025,4,1)-WEEKDAY(DATE(2025,4,1),2)+28</f>
        <v>45774</v>
      </c>
      <c r="J13" s="43">
        <f>DATE(2025,5,1)-WEEKDAY(DATE(2025,5,1),2)+22</f>
        <v>45796</v>
      </c>
      <c r="K13" s="43">
        <f>DATE(2025,5,1)-WEEKDAY(DATE(2025,5,1),2)+23</f>
        <v>45797</v>
      </c>
      <c r="L13" s="43">
        <f>DATE(2025,5,1)-WEEKDAY(DATE(2025,5,1),2)+24</f>
        <v>45798</v>
      </c>
      <c r="M13" s="43">
        <f>DATE(2025,5,1)-WEEKDAY(DATE(2025,5,1),2)+25</f>
        <v>45799</v>
      </c>
      <c r="N13" s="43">
        <f>DATE(2025,5,1)-WEEKDAY(DATE(2025,5,1),2)+26</f>
        <v>45800</v>
      </c>
      <c r="O13" s="43">
        <f>DATE(2025,5,1)-WEEKDAY(DATE(2025,5,1),2)+27</f>
        <v>45801</v>
      </c>
      <c r="P13" s="43">
        <f>DATE(2025,5,1)-WEEKDAY(DATE(2025,5,1),2)+28</f>
        <v>45802</v>
      </c>
      <c r="R13" s="43">
        <f>DATE(2025,6,1)-WEEKDAY(DATE(2025,6,1),2)+22</f>
        <v>45824</v>
      </c>
      <c r="S13" s="43">
        <f>DATE(2025,6,1)-WEEKDAY(DATE(2025,6,1),2)+23</f>
        <v>45825</v>
      </c>
      <c r="T13" s="43">
        <f>DATE(2025,6,1)-WEEKDAY(DATE(2025,6,1),2)+24</f>
        <v>45826</v>
      </c>
      <c r="U13" s="43">
        <f>DATE(2025,6,1)-WEEKDAY(DATE(2025,6,1),2)+25</f>
        <v>45827</v>
      </c>
      <c r="V13" s="43">
        <f>DATE(2025,6,1)-WEEKDAY(DATE(2025,6,1),2)+26</f>
        <v>45828</v>
      </c>
      <c r="W13" s="43">
        <f>DATE(2025,6,1)-WEEKDAY(DATE(2025,6,1),2)+27</f>
        <v>45829</v>
      </c>
      <c r="X13" s="43">
        <f>DATE(2025,6,1)-WEEKDAY(DATE(2025,6,1),2)+28</f>
        <v>45830</v>
      </c>
      <c r="Z13" s="43">
        <f>DATE(2025,7,1)-WEEKDAY(DATE(2025,7,1),2)+22</f>
        <v>45859</v>
      </c>
      <c r="AA13" s="43">
        <f>DATE(2025,7,1)-WEEKDAY(DATE(2025,7,1),2)+23</f>
        <v>45860</v>
      </c>
      <c r="AB13" s="43">
        <f>DATE(2025,7,1)-WEEKDAY(DATE(2025,7,1),2)+24</f>
        <v>45861</v>
      </c>
      <c r="AC13" s="43">
        <f>DATE(2025,7,1)-WEEKDAY(DATE(2025,7,1),2)+25</f>
        <v>45862</v>
      </c>
      <c r="AD13" s="43">
        <f>DATE(2025,7,1)-WEEKDAY(DATE(2025,7,1),2)+26</f>
        <v>45863</v>
      </c>
      <c r="AE13" s="43">
        <f>DATE(2025,7,1)-WEEKDAY(DATE(2025,7,1),2)+27</f>
        <v>45864</v>
      </c>
      <c r="AF13" s="43">
        <f>DATE(2025,7,1)-WEEKDAY(DATE(2025,7,1),2)+28</f>
        <v>45865</v>
      </c>
    </row>
    <row r="14" spans="1:33" ht="21" customHeight="1">
      <c r="B14" s="44">
        <f>IF(MONTH(B13)=4,IF(IFERROR(INDEX('データ'!$B$313:$J$677,MATCH(B13,'データ'!$A$313:$A$677,0),$A$2),0)=0,"",INDEX('データ'!$B$313:$J$677,MATCH(B13,'データ'!$A$313:$A$677,0),$A$2)),"")</f>
        <v>3588</v>
      </c>
      <c r="C14" s="44">
        <f>IF(MONTH(C13)=4,IF(IFERROR(INDEX('データ'!$B$313:$J$677,MATCH(C13,'データ'!$A$313:$A$677,0),$A$2),0)=0,"",INDEX('データ'!$B$313:$J$677,MATCH(C13,'データ'!$A$313:$A$677,0),$A$2)),"")</f>
        <v>2834</v>
      </c>
      <c r="D14" s="44">
        <f>IF(MONTH(D13)=4,IF(IFERROR(INDEX('データ'!$B$313:$J$677,MATCH(D13,'データ'!$A$313:$A$677,0),$A$2),0)=0,"",INDEX('データ'!$B$313:$J$677,MATCH(D13,'データ'!$A$313:$A$677,0),$A$2)),"")</f>
        <v>2840</v>
      </c>
      <c r="E14" s="44">
        <f>IF(MONTH(E13)=4,IF(IFERROR(INDEX('データ'!$B$313:$J$677,MATCH(E13,'データ'!$A$313:$A$677,0),$A$2),0)=0,"",INDEX('データ'!$B$313:$J$677,MATCH(E13,'データ'!$A$313:$A$677,0),$A$2)),"")</f>
        <v>2701</v>
      </c>
      <c r="F14" s="44">
        <f>IF(MONTH(F13)=4,IF(IFERROR(INDEX('データ'!$B$313:$J$677,MATCH(F13,'データ'!$A$313:$A$677,0),$A$2),0)=0,"",INDEX('データ'!$B$313:$J$677,MATCH(F13,'データ'!$A$313:$A$677,0),$A$2)),"")</f>
        <v>2974</v>
      </c>
      <c r="G14" s="44">
        <f>IF(MONTH(G13)=4,IF(IFERROR(INDEX('データ'!$B$313:$J$677,MATCH(G13,'データ'!$A$313:$A$677,0),$A$2),0)=0,"",INDEX('データ'!$B$313:$J$677,MATCH(G13,'データ'!$A$313:$A$677,0),$A$2)),"")</f>
        <v/>
      </c>
      <c r="H14" s="44">
        <f>IF(MONTH(H13)=4,IF(IFERROR(INDEX('データ'!$B$313:$J$677,MATCH(H13,'データ'!$A$313:$A$677,0),$A$2),0)=0,"",INDEX('データ'!$B$313:$J$677,MATCH(H13,'データ'!$A$313:$A$677,0),$A$2)),"")</f>
        <v/>
      </c>
      <c r="J14" s="44">
        <f>IF(MONTH(J13)=5,IF(IFERROR(INDEX('データ'!$B$313:$J$677,MATCH(J13,'データ'!$A$313:$A$677,0),$A$2),0)=0,"",INDEX('データ'!$B$313:$J$677,MATCH(J13,'データ'!$A$313:$A$677,0),$A$2)),"")</f>
        <v>3432</v>
      </c>
      <c r="K14" s="44">
        <f>IF(MONTH(K13)=5,IF(IFERROR(INDEX('データ'!$B$313:$J$677,MATCH(K13,'データ'!$A$313:$A$677,0),$A$2),0)=0,"",INDEX('データ'!$B$313:$J$677,MATCH(K13,'データ'!$A$313:$A$677,0),$A$2)),"")</f>
        <v>3096</v>
      </c>
      <c r="L14" s="44">
        <f>IF(MONTH(L13)=5,IF(IFERROR(INDEX('データ'!$B$313:$J$677,MATCH(L13,'データ'!$A$313:$A$677,0),$A$2),0)=0,"",INDEX('データ'!$B$313:$J$677,MATCH(L13,'データ'!$A$313:$A$677,0),$A$2)),"")</f>
        <v>2730</v>
      </c>
      <c r="M14" s="44">
        <f>IF(MONTH(M13)=5,IF(IFERROR(INDEX('データ'!$B$313:$J$677,MATCH(M13,'データ'!$A$313:$A$677,0),$A$2),0)=0,"",INDEX('データ'!$B$313:$J$677,MATCH(M13,'データ'!$A$313:$A$677,0),$A$2)),"")</f>
        <v>2747</v>
      </c>
      <c r="N14" s="44">
        <f>IF(MONTH(N13)=5,IF(IFERROR(INDEX('データ'!$B$313:$J$677,MATCH(N13,'データ'!$A$313:$A$677,0),$A$2),0)=0,"",INDEX('データ'!$B$313:$J$677,MATCH(N13,'データ'!$A$313:$A$677,0),$A$2)),"")</f>
        <v>3130</v>
      </c>
      <c r="O14" s="44">
        <f>IF(MONTH(O13)=5,IF(IFERROR(INDEX('データ'!$B$313:$J$677,MATCH(O13,'データ'!$A$313:$A$677,0),$A$2),0)=0,"",INDEX('データ'!$B$313:$J$677,MATCH(O13,'データ'!$A$313:$A$677,0),$A$2)),"")</f>
        <v/>
      </c>
      <c r="P14" s="44">
        <f>IF(MONTH(P13)=5,IF(IFERROR(INDEX('データ'!$B$313:$J$677,MATCH(P13,'データ'!$A$313:$A$677,0),$A$2),0)=0,"",INDEX('データ'!$B$313:$J$677,MATCH(P13,'データ'!$A$313:$A$677,0),$A$2)),"")</f>
        <v/>
      </c>
      <c r="R14" s="44">
        <f>IF(MONTH(R13)=6,IF(IFERROR(INDEX('データ'!$B$313:$J$677,MATCH(R13,'データ'!$A$313:$A$677,0),$A$2),0)=0,"",INDEX('データ'!$B$313:$J$677,MATCH(R13,'データ'!$A$313:$A$677,0),$A$2)),"")</f>
        <v>3641</v>
      </c>
      <c r="S14" s="44">
        <f>IF(MONTH(S13)=6,IF(IFERROR(INDEX('データ'!$B$313:$J$677,MATCH(S13,'データ'!$A$313:$A$677,0),$A$2),0)=0,"",INDEX('データ'!$B$313:$J$677,MATCH(S13,'データ'!$A$313:$A$677,0),$A$2)),"")</f>
        <v>3126</v>
      </c>
      <c r="T14" s="44">
        <f>IF(MONTH(T13)=6,IF(IFERROR(INDEX('データ'!$B$313:$J$677,MATCH(T13,'データ'!$A$313:$A$677,0),$A$2),0)=0,"",INDEX('データ'!$B$313:$J$677,MATCH(T13,'データ'!$A$313:$A$677,0),$A$2)),"")</f>
        <v>3011</v>
      </c>
      <c r="U14" s="44">
        <f>IF(MONTH(U13)=6,IF(IFERROR(INDEX('データ'!$B$313:$J$677,MATCH(U13,'データ'!$A$313:$A$677,0),$A$2),0)=0,"",INDEX('データ'!$B$313:$J$677,MATCH(U13,'データ'!$A$313:$A$677,0),$A$2)),"")</f>
        <v>2705</v>
      </c>
      <c r="V14" s="44">
        <f>IF(MONTH(V13)=6,IF(IFERROR(INDEX('データ'!$B$313:$J$677,MATCH(V13,'データ'!$A$313:$A$677,0),$A$2),0)=0,"",INDEX('データ'!$B$313:$J$677,MATCH(V13,'データ'!$A$313:$A$677,0),$A$2)),"")</f>
        <v>3011</v>
      </c>
      <c r="W14" s="44">
        <f>IF(MONTH(W13)=6,IF(IFERROR(INDEX('データ'!$B$313:$J$677,MATCH(W13,'データ'!$A$313:$A$677,0),$A$2),0)=0,"",INDEX('データ'!$B$313:$J$677,MATCH(W13,'データ'!$A$313:$A$677,0),$A$2)),"")</f>
        <v/>
      </c>
      <c r="X14" s="44">
        <f>IF(MONTH(X13)=6,IF(IFERROR(INDEX('データ'!$B$313:$J$677,MATCH(X13,'データ'!$A$313:$A$677,0),$A$2),0)=0,"",INDEX('データ'!$B$313:$J$677,MATCH(X13,'データ'!$A$313:$A$677,0),$A$2)),"")</f>
        <v/>
      </c>
      <c r="Z14" s="44">
        <f>IF(MONTH(Z13)=7,IF(IFERROR(INDEX('データ'!$B$313:$J$677,MATCH(Z13,'データ'!$A$313:$A$677,0),$A$2),0)=0,"",INDEX('データ'!$B$313:$J$677,MATCH(Z13,'データ'!$A$313:$A$677,0),$A$2)),"")</f>
        <v/>
      </c>
      <c r="AA14" s="44">
        <f>IF(MONTH(AA13)=7,IF(IFERROR(INDEX('データ'!$B$313:$J$677,MATCH(AA13,'データ'!$A$313:$A$677,0),$A$2),0)=0,"",INDEX('データ'!$B$313:$J$677,MATCH(AA13,'データ'!$A$313:$A$677,0),$A$2)),"")</f>
        <v>3363</v>
      </c>
      <c r="AB14" s="44">
        <f>IF(MONTH(AB13)=7,IF(IFERROR(INDEX('データ'!$B$313:$J$677,MATCH(AB13,'データ'!$A$313:$A$677,0),$A$2),0)=0,"",INDEX('データ'!$B$313:$J$677,MATCH(AB13,'データ'!$A$313:$A$677,0),$A$2)),"")</f>
        <v>3228</v>
      </c>
      <c r="AC14" s="44">
        <f>IF(MONTH(AC13)=7,IF(IFERROR(INDEX('データ'!$B$313:$J$677,MATCH(AC13,'データ'!$A$313:$A$677,0),$A$2),0)=0,"",INDEX('データ'!$B$313:$J$677,MATCH(AC13,'データ'!$A$313:$A$677,0),$A$2)),"")</f>
        <v>3353</v>
      </c>
      <c r="AD14" s="44">
        <f>IF(MONTH(AD13)=7,IF(IFERROR(INDEX('データ'!$B$313:$J$677,MATCH(AD13,'データ'!$A$313:$A$677,0),$A$2),0)=0,"",INDEX('データ'!$B$313:$J$677,MATCH(AD13,'データ'!$A$313:$A$677,0),$A$2)),"")</f>
        <v>3222</v>
      </c>
      <c r="AE14" s="44">
        <f>IF(MONTH(AE13)=7,IF(IFERROR(INDEX('データ'!$B$313:$J$677,MATCH(AE13,'データ'!$A$313:$A$677,0),$A$2),0)=0,"",INDEX('データ'!$B$313:$J$677,MATCH(AE13,'データ'!$A$313:$A$677,0),$A$2)),"")</f>
        <v/>
      </c>
      <c r="AF14" s="44">
        <f>IF(MONTH(AF13)=7,IF(IFERROR(INDEX('データ'!$B$313:$J$677,MATCH(AF13,'データ'!$A$313:$A$677,0),$A$2),0)=0,"",INDEX('データ'!$B$313:$J$677,MATCH(AF13,'データ'!$A$313:$A$677,0),$A$2)),"")</f>
        <v/>
      </c>
    </row>
    <row r="15" spans="1:33" ht="13" customHeight="1">
      <c r="B15" s="43">
        <f>DATE(2025,4,1)-WEEKDAY(DATE(2025,4,1),2)+29</f>
        <v>45775</v>
      </c>
      <c r="C15" s="43">
        <f>DATE(2025,4,1)-WEEKDAY(DATE(2025,4,1),2)+30</f>
        <v>45776</v>
      </c>
      <c r="D15" s="43">
        <f>DATE(2025,4,1)-WEEKDAY(DATE(2025,4,1),2)+31</f>
        <v>45777</v>
      </c>
      <c r="E15" s="43">
        <f>DATE(2025,4,1)-WEEKDAY(DATE(2025,4,1),2)+32</f>
        <v>45778</v>
      </c>
      <c r="F15" s="43">
        <f>DATE(2025,4,1)-WEEKDAY(DATE(2025,4,1),2)+33</f>
        <v>45779</v>
      </c>
      <c r="G15" s="43">
        <f>DATE(2025,4,1)-WEEKDAY(DATE(2025,4,1),2)+34</f>
        <v>45780</v>
      </c>
      <c r="H15" s="43">
        <f>DATE(2025,4,1)-WEEKDAY(DATE(2025,4,1),2)+35</f>
        <v>45781</v>
      </c>
      <c r="J15" s="43">
        <f>DATE(2025,5,1)-WEEKDAY(DATE(2025,5,1),2)+29</f>
        <v>45803</v>
      </c>
      <c r="K15" s="43">
        <f>DATE(2025,5,1)-WEEKDAY(DATE(2025,5,1),2)+30</f>
        <v>45804</v>
      </c>
      <c r="L15" s="43">
        <f>DATE(2025,5,1)-WEEKDAY(DATE(2025,5,1),2)+31</f>
        <v>45805</v>
      </c>
      <c r="M15" s="43">
        <f>DATE(2025,5,1)-WEEKDAY(DATE(2025,5,1),2)+32</f>
        <v>45806</v>
      </c>
      <c r="N15" s="43">
        <f>DATE(2025,5,1)-WEEKDAY(DATE(2025,5,1),2)+33</f>
        <v>45807</v>
      </c>
      <c r="O15" s="43">
        <f>DATE(2025,5,1)-WEEKDAY(DATE(2025,5,1),2)+34</f>
        <v>45808</v>
      </c>
      <c r="P15" s="43">
        <f>DATE(2025,5,1)-WEEKDAY(DATE(2025,5,1),2)+35</f>
        <v>45809</v>
      </c>
      <c r="R15" s="43">
        <f>DATE(2025,6,1)-WEEKDAY(DATE(2025,6,1),2)+29</f>
        <v>45831</v>
      </c>
      <c r="S15" s="43">
        <f>DATE(2025,6,1)-WEEKDAY(DATE(2025,6,1),2)+30</f>
        <v>45832</v>
      </c>
      <c r="T15" s="43">
        <f>DATE(2025,6,1)-WEEKDAY(DATE(2025,6,1),2)+31</f>
        <v>45833</v>
      </c>
      <c r="U15" s="43">
        <f>DATE(2025,6,1)-WEEKDAY(DATE(2025,6,1),2)+32</f>
        <v>45834</v>
      </c>
      <c r="V15" s="43">
        <f>DATE(2025,6,1)-WEEKDAY(DATE(2025,6,1),2)+33</f>
        <v>45835</v>
      </c>
      <c r="W15" s="43">
        <f>DATE(2025,6,1)-WEEKDAY(DATE(2025,6,1),2)+34</f>
        <v>45836</v>
      </c>
      <c r="X15" s="43">
        <f>DATE(2025,6,1)-WEEKDAY(DATE(2025,6,1),2)+35</f>
        <v>45837</v>
      </c>
      <c r="Z15" s="43">
        <f>DATE(2025,7,1)-WEEKDAY(DATE(2025,7,1),2)+29</f>
        <v>45866</v>
      </c>
      <c r="AA15" s="43">
        <f>DATE(2025,7,1)-WEEKDAY(DATE(2025,7,1),2)+30</f>
        <v>45867</v>
      </c>
      <c r="AB15" s="43">
        <f>DATE(2025,7,1)-WEEKDAY(DATE(2025,7,1),2)+31</f>
        <v>45868</v>
      </c>
      <c r="AC15" s="43">
        <f>DATE(2025,7,1)-WEEKDAY(DATE(2025,7,1),2)+32</f>
        <v>45869</v>
      </c>
      <c r="AD15" s="43">
        <f>DATE(2025,7,1)-WEEKDAY(DATE(2025,7,1),2)+33</f>
        <v>45870</v>
      </c>
      <c r="AE15" s="43">
        <f>DATE(2025,7,1)-WEEKDAY(DATE(2025,7,1),2)+34</f>
        <v>45871</v>
      </c>
      <c r="AF15" s="43">
        <f>DATE(2025,7,1)-WEEKDAY(DATE(2025,7,1),2)+35</f>
        <v>45872</v>
      </c>
    </row>
    <row r="16" spans="1:33" ht="21" customHeight="1">
      <c r="B16" s="44">
        <f>IF(MONTH(B15)=4,IF(IFERROR(INDEX('データ'!$B$313:$J$677,MATCH(B15,'データ'!$A$313:$A$677,0),$A$2),0)=0,"",INDEX('データ'!$B$313:$J$677,MATCH(B15,'データ'!$A$313:$A$677,0),$A$2)),"")</f>
        <v>4494</v>
      </c>
      <c r="C16" s="44">
        <f>IF(MONTH(C15)=4,IF(IFERROR(INDEX('データ'!$B$313:$J$677,MATCH(C15,'データ'!$A$313:$A$677,0),$A$2),0)=0,"",INDEX('データ'!$B$313:$J$677,MATCH(C15,'データ'!$A$313:$A$677,0),$A$2)),"")</f>
        <v/>
      </c>
      <c r="D16" s="44">
        <f>IF(MONTH(D15)=4,IF(IFERROR(INDEX('データ'!$B$313:$J$677,MATCH(D15,'データ'!$A$313:$A$677,0),$A$2),0)=0,"",INDEX('データ'!$B$313:$J$677,MATCH(D15,'データ'!$A$313:$A$677,0),$A$2)),"")</f>
        <v>4200</v>
      </c>
      <c r="E16" s="44">
        <f>IF(MONTH(E15)=4,IF(IFERROR(INDEX('データ'!$B$313:$J$677,MATCH(E15,'データ'!$A$313:$A$677,0),$A$2),0)=0,"",INDEX('データ'!$B$313:$J$677,MATCH(E15,'データ'!$A$313:$A$677,0),$A$2)),"")</f>
        <v/>
      </c>
      <c r="F16" s="44">
        <f>IF(MONTH(F15)=4,IF(IFERROR(INDEX('データ'!$B$313:$J$677,MATCH(F15,'データ'!$A$313:$A$677,0),$A$2),0)=0,"",INDEX('データ'!$B$313:$J$677,MATCH(F15,'データ'!$A$313:$A$677,0),$A$2)),"")</f>
        <v/>
      </c>
      <c r="G16" s="44">
        <f>IF(MONTH(G15)=4,IF(IFERROR(INDEX('データ'!$B$313:$J$677,MATCH(G15,'データ'!$A$313:$A$677,0),$A$2),0)=0,"",INDEX('データ'!$B$313:$J$677,MATCH(G15,'データ'!$A$313:$A$677,0),$A$2)),"")</f>
        <v/>
      </c>
      <c r="H16" s="44">
        <f>IF(MONTH(H15)=4,IF(IFERROR(INDEX('データ'!$B$313:$J$677,MATCH(H15,'データ'!$A$313:$A$677,0),$A$2),0)=0,"",INDEX('データ'!$B$313:$J$677,MATCH(H15,'データ'!$A$313:$A$677,0),$A$2)),"")</f>
        <v/>
      </c>
      <c r="J16" s="44">
        <f>IF(MONTH(J15)=5,IF(IFERROR(INDEX('データ'!$B$313:$J$677,MATCH(J15,'データ'!$A$313:$A$677,0),$A$2),0)=0,"",INDEX('データ'!$B$313:$J$677,MATCH(J15,'データ'!$A$313:$A$677,0),$A$2)),"")</f>
        <v>3543</v>
      </c>
      <c r="K16" s="44">
        <f>IF(MONTH(K15)=5,IF(IFERROR(INDEX('データ'!$B$313:$J$677,MATCH(K15,'データ'!$A$313:$A$677,0),$A$2),0)=0,"",INDEX('データ'!$B$313:$J$677,MATCH(K15,'データ'!$A$313:$A$677,0),$A$2)),"")</f>
        <v>3016</v>
      </c>
      <c r="L16" s="44">
        <f>IF(MONTH(L15)=5,IF(IFERROR(INDEX('データ'!$B$313:$J$677,MATCH(L15,'データ'!$A$313:$A$677,0),$A$2),0)=0,"",INDEX('データ'!$B$313:$J$677,MATCH(L15,'データ'!$A$313:$A$677,0),$A$2)),"")</f>
        <v>2859</v>
      </c>
      <c r="M16" s="44">
        <f>IF(MONTH(M15)=5,IF(IFERROR(INDEX('データ'!$B$313:$J$677,MATCH(M15,'データ'!$A$313:$A$677,0),$A$2),0)=0,"",INDEX('データ'!$B$313:$J$677,MATCH(M15,'データ'!$A$313:$A$677,0),$A$2)),"")</f>
        <v>2828</v>
      </c>
      <c r="N16" s="44">
        <f>IF(MONTH(N15)=5,IF(IFERROR(INDEX('データ'!$B$313:$J$677,MATCH(N15,'データ'!$A$313:$A$677,0),$A$2),0)=0,"",INDEX('データ'!$B$313:$J$677,MATCH(N15,'データ'!$A$313:$A$677,0),$A$2)),"")</f>
        <v>2824</v>
      </c>
      <c r="O16" s="44">
        <f>IF(MONTH(O15)=5,IF(IFERROR(INDEX('データ'!$B$313:$J$677,MATCH(O15,'データ'!$A$313:$A$677,0),$A$2),0)=0,"",INDEX('データ'!$B$313:$J$677,MATCH(O15,'データ'!$A$313:$A$677,0),$A$2)),"")</f>
        <v/>
      </c>
      <c r="P16" s="44">
        <f>IF(MONTH(P15)=5,IF(IFERROR(INDEX('データ'!$B$313:$J$677,MATCH(P15,'データ'!$A$313:$A$677,0),$A$2),0)=0,"",INDEX('データ'!$B$313:$J$677,MATCH(P15,'データ'!$A$313:$A$677,0),$A$2)),"")</f>
        <v/>
      </c>
      <c r="R16" s="44">
        <f>IF(MONTH(R15)=6,IF(IFERROR(INDEX('データ'!$B$313:$J$677,MATCH(R15,'データ'!$A$313:$A$677,0),$A$2),0)=0,"",INDEX('データ'!$B$313:$J$677,MATCH(R15,'データ'!$A$313:$A$677,0),$A$2)),"")</f>
        <v>3103</v>
      </c>
      <c r="S16" s="44">
        <f>IF(MONTH(S15)=6,IF(IFERROR(INDEX('データ'!$B$313:$J$677,MATCH(S15,'データ'!$A$313:$A$677,0),$A$2),0)=0,"",INDEX('データ'!$B$313:$J$677,MATCH(S15,'データ'!$A$313:$A$677,0),$A$2)),"")</f>
        <v>2485</v>
      </c>
      <c r="T16" s="44">
        <f>IF(MONTH(T15)=6,IF(IFERROR(INDEX('データ'!$B$313:$J$677,MATCH(T15,'データ'!$A$313:$A$677,0),$A$2),0)=0,"",INDEX('データ'!$B$313:$J$677,MATCH(T15,'データ'!$A$313:$A$677,0),$A$2)),"")</f>
        <v>2831</v>
      </c>
      <c r="U16" s="44">
        <f>IF(MONTH(U15)=6,IF(IFERROR(INDEX('データ'!$B$313:$J$677,MATCH(U15,'データ'!$A$313:$A$677,0),$A$2),0)=0,"",INDEX('データ'!$B$313:$J$677,MATCH(U15,'データ'!$A$313:$A$677,0),$A$2)),"")</f>
        <v>2855</v>
      </c>
      <c r="V16" s="44">
        <f>IF(MONTH(V15)=6,IF(IFERROR(INDEX('データ'!$B$313:$J$677,MATCH(V15,'データ'!$A$313:$A$677,0),$A$2),0)=0,"",INDEX('データ'!$B$313:$J$677,MATCH(V15,'データ'!$A$313:$A$677,0),$A$2)),"")</f>
        <v>3235</v>
      </c>
      <c r="W16" s="44">
        <f>IF(MONTH(W15)=6,IF(IFERROR(INDEX('データ'!$B$313:$J$677,MATCH(W15,'データ'!$A$313:$A$677,0),$A$2),0)=0,"",INDEX('データ'!$B$313:$J$677,MATCH(W15,'データ'!$A$313:$A$677,0),$A$2)),"")</f>
        <v/>
      </c>
      <c r="X16" s="44">
        <f>IF(MONTH(X15)=6,IF(IFERROR(INDEX('データ'!$B$313:$J$677,MATCH(X15,'データ'!$A$313:$A$677,0),$A$2),0)=0,"",INDEX('データ'!$B$313:$J$677,MATCH(X15,'データ'!$A$313:$A$677,0),$A$2)),"")</f>
        <v/>
      </c>
      <c r="Z16" s="44">
        <f>IF(MONTH(Z15)=7,IF(IFERROR(INDEX('データ'!$B$313:$J$677,MATCH(Z15,'データ'!$A$313:$A$677,0),$A$2),0)=0,"",INDEX('データ'!$B$313:$J$677,MATCH(Z15,'データ'!$A$313:$A$677,0),$A$2)),"")</f>
        <v>3634</v>
      </c>
      <c r="AA16" s="44">
        <f>IF(MONTH(AA15)=7,IF(IFERROR(INDEX('データ'!$B$313:$J$677,MATCH(AA15,'データ'!$A$313:$A$677,0),$A$2),0)=0,"",INDEX('データ'!$B$313:$J$677,MATCH(AA15,'データ'!$A$313:$A$677,0),$A$2)),"")</f>
        <v>3178</v>
      </c>
      <c r="AB16" s="44">
        <f>IF(MONTH(AB15)=7,IF(IFERROR(INDEX('データ'!$B$313:$J$677,MATCH(AB15,'データ'!$A$313:$A$677,0),$A$2),0)=0,"",INDEX('データ'!$B$313:$J$677,MATCH(AB15,'データ'!$A$313:$A$677,0),$A$2)),"")</f>
        <v>3046</v>
      </c>
      <c r="AC16" s="44">
        <f>IF(MONTH(AC15)=7,IF(IFERROR(INDEX('データ'!$B$313:$J$677,MATCH(AC15,'データ'!$A$313:$A$677,0),$A$2),0)=0,"",INDEX('データ'!$B$313:$J$677,MATCH(AC15,'データ'!$A$313:$A$677,0),$A$2)),"")</f>
        <v>2763</v>
      </c>
      <c r="AD16" s="44">
        <f>IF(MONTH(AD15)=7,IF(IFERROR(INDEX('データ'!$B$313:$J$677,MATCH(AD15,'データ'!$A$313:$A$677,0),$A$2),0)=0,"",INDEX('データ'!$B$313:$J$677,MATCH(AD15,'データ'!$A$313:$A$677,0),$A$2)),"")</f>
        <v/>
      </c>
      <c r="AE16" s="44">
        <f>IF(MONTH(AE15)=7,IF(IFERROR(INDEX('データ'!$B$313:$J$677,MATCH(AE15,'データ'!$A$313:$A$677,0),$A$2),0)=0,"",INDEX('データ'!$B$313:$J$677,MATCH(AE15,'データ'!$A$313:$A$677,0),$A$2)),"")</f>
        <v/>
      </c>
      <c r="AF16" s="44">
        <f>IF(MONTH(AF15)=7,IF(IFERROR(INDEX('データ'!$B$313:$J$677,MATCH(AF15,'データ'!$A$313:$A$677,0),$A$2),0)=0,"",INDEX('データ'!$B$313:$J$677,MATCH(AF15,'データ'!$A$313:$A$677,0),$A$2)),"")</f>
        <v/>
      </c>
    </row>
    <row r="17" spans="2:32" ht="13" customHeight="1">
      <c r="B17" s="43">
        <f>DATE(2025,4,1)-WEEKDAY(DATE(2025,4,1),2)+36</f>
        <v>45782</v>
      </c>
      <c r="C17" s="43">
        <f>DATE(2025,4,1)-WEEKDAY(DATE(2025,4,1),2)+37</f>
        <v>45783</v>
      </c>
      <c r="D17" s="43">
        <f>DATE(2025,4,1)-WEEKDAY(DATE(2025,4,1),2)+38</f>
        <v>45784</v>
      </c>
      <c r="E17" s="43">
        <f>DATE(2025,4,1)-WEEKDAY(DATE(2025,4,1),2)+39</f>
        <v>45785</v>
      </c>
      <c r="F17" s="43">
        <f>DATE(2025,4,1)-WEEKDAY(DATE(2025,4,1),2)+40</f>
        <v>45786</v>
      </c>
      <c r="G17" s="43">
        <f>DATE(2025,4,1)-WEEKDAY(DATE(2025,4,1),2)+41</f>
        <v>45787</v>
      </c>
      <c r="H17" s="43">
        <f>DATE(2025,4,1)-WEEKDAY(DATE(2025,4,1),2)+42</f>
        <v>45788</v>
      </c>
      <c r="J17" s="43">
        <f>DATE(2025,5,1)-WEEKDAY(DATE(2025,5,1),2)+36</f>
        <v>45810</v>
      </c>
      <c r="K17" s="43">
        <f>DATE(2025,5,1)-WEEKDAY(DATE(2025,5,1),2)+37</f>
        <v>45811</v>
      </c>
      <c r="L17" s="43">
        <f>DATE(2025,5,1)-WEEKDAY(DATE(2025,5,1),2)+38</f>
        <v>45812</v>
      </c>
      <c r="M17" s="43">
        <f>DATE(2025,5,1)-WEEKDAY(DATE(2025,5,1),2)+39</f>
        <v>45813</v>
      </c>
      <c r="N17" s="43">
        <f>DATE(2025,5,1)-WEEKDAY(DATE(2025,5,1),2)+40</f>
        <v>45814</v>
      </c>
      <c r="O17" s="43">
        <f>DATE(2025,5,1)-WEEKDAY(DATE(2025,5,1),2)+41</f>
        <v>45815</v>
      </c>
      <c r="P17" s="43">
        <f>DATE(2025,5,1)-WEEKDAY(DATE(2025,5,1),2)+42</f>
        <v>45816</v>
      </c>
      <c r="R17" s="43">
        <f>DATE(2025,6,1)-WEEKDAY(DATE(2025,6,1),2)+36</f>
        <v>45838</v>
      </c>
      <c r="S17" s="43">
        <f>DATE(2025,6,1)-WEEKDAY(DATE(2025,6,1),2)+37</f>
        <v>45839</v>
      </c>
      <c r="T17" s="43">
        <f>DATE(2025,6,1)-WEEKDAY(DATE(2025,6,1),2)+38</f>
        <v>45840</v>
      </c>
      <c r="U17" s="43">
        <f>DATE(2025,6,1)-WEEKDAY(DATE(2025,6,1),2)+39</f>
        <v>45841</v>
      </c>
      <c r="V17" s="43">
        <f>DATE(2025,6,1)-WEEKDAY(DATE(2025,6,1),2)+40</f>
        <v>45842</v>
      </c>
      <c r="W17" s="43">
        <f>DATE(2025,6,1)-WEEKDAY(DATE(2025,6,1),2)+41</f>
        <v>45843</v>
      </c>
      <c r="X17" s="43">
        <f>DATE(2025,6,1)-WEEKDAY(DATE(2025,6,1),2)+42</f>
        <v>45844</v>
      </c>
      <c r="Z17" s="43">
        <f>DATE(2025,7,1)-WEEKDAY(DATE(2025,7,1),2)+36</f>
        <v>45873</v>
      </c>
      <c r="AA17" s="43">
        <f>DATE(2025,7,1)-WEEKDAY(DATE(2025,7,1),2)+37</f>
        <v>45874</v>
      </c>
      <c r="AB17" s="43">
        <f>DATE(2025,7,1)-WEEKDAY(DATE(2025,7,1),2)+38</f>
        <v>45875</v>
      </c>
      <c r="AC17" s="43">
        <f>DATE(2025,7,1)-WEEKDAY(DATE(2025,7,1),2)+39</f>
        <v>45876</v>
      </c>
      <c r="AD17" s="43">
        <f>DATE(2025,7,1)-WEEKDAY(DATE(2025,7,1),2)+40</f>
        <v>45877</v>
      </c>
      <c r="AE17" s="43">
        <f>DATE(2025,7,1)-WEEKDAY(DATE(2025,7,1),2)+41</f>
        <v>45878</v>
      </c>
      <c r="AF17" s="43">
        <f>DATE(2025,7,1)-WEEKDAY(DATE(2025,7,1),2)+42</f>
        <v>45879</v>
      </c>
    </row>
    <row r="18" spans="2:32" ht="21" customHeight="1">
      <c r="B18" s="44">
        <f>IF(MONTH(B17)=4,IF(IFERROR(INDEX('データ'!$B$313:$J$677,MATCH(B17,'データ'!$A$313:$A$677,0),$A$2),0)=0,"",INDEX('データ'!$B$313:$J$677,MATCH(B17,'データ'!$A$313:$A$677,0),$A$2)),"")</f>
        <v/>
      </c>
      <c r="C18" s="44">
        <f>IF(MONTH(C17)=4,IF(IFERROR(INDEX('データ'!$B$313:$J$677,MATCH(C17,'データ'!$A$313:$A$677,0),$A$2),0)=0,"",INDEX('データ'!$B$313:$J$677,MATCH(C17,'データ'!$A$313:$A$677,0),$A$2)),"")</f>
        <v/>
      </c>
      <c r="D18" s="44">
        <f>IF(MONTH(D17)=4,IF(IFERROR(INDEX('データ'!$B$313:$J$677,MATCH(D17,'データ'!$A$313:$A$677,0),$A$2),0)=0,"",INDEX('データ'!$B$313:$J$677,MATCH(D17,'データ'!$A$313:$A$677,0),$A$2)),"")</f>
        <v/>
      </c>
      <c r="E18" s="44">
        <f>IF(MONTH(E17)=4,IF(IFERROR(INDEX('データ'!$B$313:$J$677,MATCH(E17,'データ'!$A$313:$A$677,0),$A$2),0)=0,"",INDEX('データ'!$B$313:$J$677,MATCH(E17,'データ'!$A$313:$A$677,0),$A$2)),"")</f>
        <v/>
      </c>
      <c r="F18" s="44">
        <f>IF(MONTH(F17)=4,IF(IFERROR(INDEX('データ'!$B$313:$J$677,MATCH(F17,'データ'!$A$313:$A$677,0),$A$2),0)=0,"",INDEX('データ'!$B$313:$J$677,MATCH(F17,'データ'!$A$313:$A$677,0),$A$2)),"")</f>
        <v/>
      </c>
      <c r="G18" s="44">
        <f>IF(MONTH(G17)=4,IF(IFERROR(INDEX('データ'!$B$313:$J$677,MATCH(G17,'データ'!$A$313:$A$677,0),$A$2),0)=0,"",INDEX('データ'!$B$313:$J$677,MATCH(G17,'データ'!$A$313:$A$677,0),$A$2)),"")</f>
        <v/>
      </c>
      <c r="H18" s="44">
        <f>IF(MONTH(H17)=4,IF(IFERROR(INDEX('データ'!$B$313:$J$677,MATCH(H17,'データ'!$A$313:$A$677,0),$A$2),0)=0,"",INDEX('データ'!$B$313:$J$677,MATCH(H17,'データ'!$A$313:$A$677,0),$A$2)),"")</f>
        <v/>
      </c>
      <c r="J18" s="44">
        <f>IF(MONTH(J17)=5,IF(IFERROR(INDEX('データ'!$B$313:$J$677,MATCH(J17,'データ'!$A$313:$A$677,0),$A$2),0)=0,"",INDEX('データ'!$B$313:$J$677,MATCH(J17,'データ'!$A$313:$A$677,0),$A$2)),"")</f>
        <v/>
      </c>
      <c r="K18" s="44">
        <f>IF(MONTH(K17)=5,IF(IFERROR(INDEX('データ'!$B$313:$J$677,MATCH(K17,'データ'!$A$313:$A$677,0),$A$2),0)=0,"",INDEX('データ'!$B$313:$J$677,MATCH(K17,'データ'!$A$313:$A$677,0),$A$2)),"")</f>
        <v/>
      </c>
      <c r="L18" s="44">
        <f>IF(MONTH(L17)=5,IF(IFERROR(INDEX('データ'!$B$313:$J$677,MATCH(L17,'データ'!$A$313:$A$677,0),$A$2),0)=0,"",INDEX('データ'!$B$313:$J$677,MATCH(L17,'データ'!$A$313:$A$677,0),$A$2)),"")</f>
        <v/>
      </c>
      <c r="M18" s="44">
        <f>IF(MONTH(M17)=5,IF(IFERROR(INDEX('データ'!$B$313:$J$677,MATCH(M17,'データ'!$A$313:$A$677,0),$A$2),0)=0,"",INDEX('データ'!$B$313:$J$677,MATCH(M17,'データ'!$A$313:$A$677,0),$A$2)),"")</f>
        <v/>
      </c>
      <c r="N18" s="44">
        <f>IF(MONTH(N17)=5,IF(IFERROR(INDEX('データ'!$B$313:$J$677,MATCH(N17,'データ'!$A$313:$A$677,0),$A$2),0)=0,"",INDEX('データ'!$B$313:$J$677,MATCH(N17,'データ'!$A$313:$A$677,0),$A$2)),"")</f>
        <v/>
      </c>
      <c r="O18" s="44">
        <f>IF(MONTH(O17)=5,IF(IFERROR(INDEX('データ'!$B$313:$J$677,MATCH(O17,'データ'!$A$313:$A$677,0),$A$2),0)=0,"",INDEX('データ'!$B$313:$J$677,MATCH(O17,'データ'!$A$313:$A$677,0),$A$2)),"")</f>
        <v/>
      </c>
      <c r="P18" s="44">
        <f>IF(MONTH(P17)=5,IF(IFERROR(INDEX('データ'!$B$313:$J$677,MATCH(P17,'データ'!$A$313:$A$677,0),$A$2),0)=0,"",INDEX('データ'!$B$313:$J$677,MATCH(P17,'データ'!$A$313:$A$677,0),$A$2)),"")</f>
        <v/>
      </c>
      <c r="R18" s="44">
        <f>IF(MONTH(R17)=6,IF(IFERROR(INDEX('データ'!$B$313:$J$677,MATCH(R17,'データ'!$A$313:$A$677,0),$A$2),0)=0,"",INDEX('データ'!$B$313:$J$677,MATCH(R17,'データ'!$A$313:$A$677,0),$A$2)),"")</f>
        <v>3630</v>
      </c>
      <c r="S18" s="44">
        <f>IF(MONTH(S17)=6,IF(IFERROR(INDEX('データ'!$B$313:$J$677,MATCH(S17,'データ'!$A$313:$A$677,0),$A$2),0)=0,"",INDEX('データ'!$B$313:$J$677,MATCH(S17,'データ'!$A$313:$A$677,0),$A$2)),"")</f>
        <v/>
      </c>
      <c r="T18" s="44">
        <f>IF(MONTH(T17)=6,IF(IFERROR(INDEX('データ'!$B$313:$J$677,MATCH(T17,'データ'!$A$313:$A$677,0),$A$2),0)=0,"",INDEX('データ'!$B$313:$J$677,MATCH(T17,'データ'!$A$313:$A$677,0),$A$2)),"")</f>
        <v/>
      </c>
      <c r="U18" s="44">
        <f>IF(MONTH(U17)=6,IF(IFERROR(INDEX('データ'!$B$313:$J$677,MATCH(U17,'データ'!$A$313:$A$677,0),$A$2),0)=0,"",INDEX('データ'!$B$313:$J$677,MATCH(U17,'データ'!$A$313:$A$677,0),$A$2)),"")</f>
        <v/>
      </c>
      <c r="V18" s="44">
        <f>IF(MONTH(V17)=6,IF(IFERROR(INDEX('データ'!$B$313:$J$677,MATCH(V17,'データ'!$A$313:$A$677,0),$A$2),0)=0,"",INDEX('データ'!$B$313:$J$677,MATCH(V17,'データ'!$A$313:$A$677,0),$A$2)),"")</f>
        <v/>
      </c>
      <c r="W18" s="44">
        <f>IF(MONTH(W17)=6,IF(IFERROR(INDEX('データ'!$B$313:$J$677,MATCH(W17,'データ'!$A$313:$A$677,0),$A$2),0)=0,"",INDEX('データ'!$B$313:$J$677,MATCH(W17,'データ'!$A$313:$A$677,0),$A$2)),"")</f>
        <v/>
      </c>
      <c r="X18" s="44">
        <f>IF(MONTH(X17)=6,IF(IFERROR(INDEX('データ'!$B$313:$J$677,MATCH(X17,'データ'!$A$313:$A$677,0),$A$2),0)=0,"",INDEX('データ'!$B$313:$J$677,MATCH(X17,'データ'!$A$313:$A$677,0),$A$2)),"")</f>
        <v/>
      </c>
      <c r="Z18" s="44">
        <f>IF(MONTH(Z17)=7,IF(IFERROR(INDEX('データ'!$B$313:$J$677,MATCH(Z17,'データ'!$A$313:$A$677,0),$A$2),0)=0,"",INDEX('データ'!$B$313:$J$677,MATCH(Z17,'データ'!$A$313:$A$677,0),$A$2)),"")</f>
        <v/>
      </c>
      <c r="AA18" s="44">
        <f>IF(MONTH(AA17)=7,IF(IFERROR(INDEX('データ'!$B$313:$J$677,MATCH(AA17,'データ'!$A$313:$A$677,0),$A$2),0)=0,"",INDEX('データ'!$B$313:$J$677,MATCH(AA17,'データ'!$A$313:$A$677,0),$A$2)),"")</f>
        <v/>
      </c>
      <c r="AB18" s="44">
        <f>IF(MONTH(AB17)=7,IF(IFERROR(INDEX('データ'!$B$313:$J$677,MATCH(AB17,'データ'!$A$313:$A$677,0),$A$2),0)=0,"",INDEX('データ'!$B$313:$J$677,MATCH(AB17,'データ'!$A$313:$A$677,0),$A$2)),"")</f>
        <v/>
      </c>
      <c r="AC18" s="44">
        <f>IF(MONTH(AC17)=7,IF(IFERROR(INDEX('データ'!$B$313:$J$677,MATCH(AC17,'データ'!$A$313:$A$677,0),$A$2),0)=0,"",INDEX('データ'!$B$313:$J$677,MATCH(AC17,'データ'!$A$313:$A$677,0),$A$2)),"")</f>
        <v/>
      </c>
      <c r="AD18" s="44">
        <f>IF(MONTH(AD17)=7,IF(IFERROR(INDEX('データ'!$B$313:$J$677,MATCH(AD17,'データ'!$A$313:$A$677,0),$A$2),0)=0,"",INDEX('データ'!$B$313:$J$677,MATCH(AD17,'データ'!$A$313:$A$677,0),$A$2)),"")</f>
        <v/>
      </c>
      <c r="AE18" s="44">
        <f>IF(MONTH(AE17)=7,IF(IFERROR(INDEX('データ'!$B$313:$J$677,MATCH(AE17,'データ'!$A$313:$A$677,0),$A$2),0)=0,"",INDEX('データ'!$B$313:$J$677,MATCH(AE17,'データ'!$A$313:$A$677,0),$A$2)),"")</f>
        <v/>
      </c>
      <c r="AF18" s="44">
        <f>IF(MONTH(AF17)=7,IF(IFERROR(INDEX('データ'!$B$313:$J$677,MATCH(AF17,'データ'!$A$313:$A$677,0),$A$2),0)=0,"",INDEX('データ'!$B$313:$J$677,MATCH(AF17,'データ'!$A$313:$A$677,0),$A$2)),"")</f>
        <v/>
      </c>
    </row>
    <row r="20" spans="2:32">
      <c r="B20" s="39" t="s">
        <v>399</v>
      </c>
      <c r="C20" s="39"/>
      <c r="D20" s="39"/>
      <c r="E20" s="39"/>
      <c r="F20" s="39"/>
      <c r="G20" s="39"/>
      <c r="H20" s="39"/>
      <c r="J20" s="39" t="s">
        <v>400</v>
      </c>
      <c r="K20" s="39"/>
      <c r="L20" s="39"/>
      <c r="M20" s="39"/>
      <c r="N20" s="39"/>
      <c r="O20" s="39"/>
      <c r="P20" s="39"/>
      <c r="R20" s="39" t="s">
        <v>401</v>
      </c>
      <c r="S20" s="39"/>
      <c r="T20" s="39"/>
      <c r="U20" s="39"/>
      <c r="V20" s="39"/>
      <c r="W20" s="39"/>
      <c r="X20" s="39"/>
      <c r="Z20" s="39" t="s">
        <v>402</v>
      </c>
      <c r="AA20" s="39"/>
      <c r="AB20" s="39"/>
      <c r="AC20" s="39"/>
      <c r="AD20" s="39"/>
      <c r="AE20" s="39"/>
      <c r="AF20" s="39"/>
    </row>
    <row r="21" spans="2:32">
      <c r="B21" s="40" t="s">
        <v>5</v>
      </c>
      <c r="C21" s="40" t="s">
        <v>206</v>
      </c>
      <c r="D21" s="40" t="s">
        <v>208</v>
      </c>
      <c r="E21" s="40" t="s">
        <v>210</v>
      </c>
      <c r="F21" s="40" t="s">
        <v>212</v>
      </c>
      <c r="G21" s="41" t="s">
        <v>214</v>
      </c>
      <c r="H21" s="42" t="s">
        <v>216</v>
      </c>
      <c r="J21" s="40" t="s">
        <v>5</v>
      </c>
      <c r="K21" s="40" t="s">
        <v>206</v>
      </c>
      <c r="L21" s="40" t="s">
        <v>208</v>
      </c>
      <c r="M21" s="40" t="s">
        <v>210</v>
      </c>
      <c r="N21" s="40" t="s">
        <v>212</v>
      </c>
      <c r="O21" s="41" t="s">
        <v>214</v>
      </c>
      <c r="P21" s="42" t="s">
        <v>216</v>
      </c>
      <c r="R21" s="40" t="s">
        <v>5</v>
      </c>
      <c r="S21" s="40" t="s">
        <v>206</v>
      </c>
      <c r="T21" s="40" t="s">
        <v>208</v>
      </c>
      <c r="U21" s="40" t="s">
        <v>210</v>
      </c>
      <c r="V21" s="40" t="s">
        <v>212</v>
      </c>
      <c r="W21" s="41" t="s">
        <v>214</v>
      </c>
      <c r="X21" s="42" t="s">
        <v>216</v>
      </c>
      <c r="Z21" s="40" t="s">
        <v>5</v>
      </c>
      <c r="AA21" s="40" t="s">
        <v>206</v>
      </c>
      <c r="AB21" s="40" t="s">
        <v>208</v>
      </c>
      <c r="AC21" s="40" t="s">
        <v>210</v>
      </c>
      <c r="AD21" s="40" t="s">
        <v>212</v>
      </c>
      <c r="AE21" s="41" t="s">
        <v>214</v>
      </c>
      <c r="AF21" s="42" t="s">
        <v>216</v>
      </c>
    </row>
    <row r="22" spans="2:32" ht="13" customHeight="1">
      <c r="B22" s="43">
        <f>DATE(2025,8,1)-WEEKDAY(DATE(2025,8,1),2)+1</f>
        <v>45866</v>
      </c>
      <c r="C22" s="43">
        <f>DATE(2025,8,1)-WEEKDAY(DATE(2025,8,1),2)+2</f>
        <v>45867</v>
      </c>
      <c r="D22" s="43">
        <f>DATE(2025,8,1)-WEEKDAY(DATE(2025,8,1),2)+3</f>
        <v>45868</v>
      </c>
      <c r="E22" s="43">
        <f>DATE(2025,8,1)-WEEKDAY(DATE(2025,8,1),2)+4</f>
        <v>45869</v>
      </c>
      <c r="F22" s="43">
        <f>DATE(2025,8,1)-WEEKDAY(DATE(2025,8,1),2)+5</f>
        <v>45870</v>
      </c>
      <c r="G22" s="43">
        <f>DATE(2025,8,1)-WEEKDAY(DATE(2025,8,1),2)+6</f>
        <v>45871</v>
      </c>
      <c r="H22" s="43">
        <f>DATE(2025,8,1)-WEEKDAY(DATE(2025,8,1),2)+7</f>
        <v>45872</v>
      </c>
      <c r="J22" s="43">
        <f>DATE(2025,9,1)-WEEKDAY(DATE(2025,9,1),2)+1</f>
        <v>45901</v>
      </c>
      <c r="K22" s="43">
        <f>DATE(2025,9,1)-WEEKDAY(DATE(2025,9,1),2)+2</f>
        <v>45902</v>
      </c>
      <c r="L22" s="43">
        <f>DATE(2025,9,1)-WEEKDAY(DATE(2025,9,1),2)+3</f>
        <v>45903</v>
      </c>
      <c r="M22" s="43">
        <f>DATE(2025,9,1)-WEEKDAY(DATE(2025,9,1),2)+4</f>
        <v>45904</v>
      </c>
      <c r="N22" s="43">
        <f>DATE(2025,9,1)-WEEKDAY(DATE(2025,9,1),2)+5</f>
        <v>45905</v>
      </c>
      <c r="O22" s="43">
        <f>DATE(2025,9,1)-WEEKDAY(DATE(2025,9,1),2)+6</f>
        <v>45906</v>
      </c>
      <c r="P22" s="43">
        <f>DATE(2025,9,1)-WEEKDAY(DATE(2025,9,1),2)+7</f>
        <v>45907</v>
      </c>
      <c r="R22" s="43">
        <f>DATE(2025,10,1)-WEEKDAY(DATE(2025,10,1),2)+1</f>
        <v>45929</v>
      </c>
      <c r="S22" s="43">
        <f>DATE(2025,10,1)-WEEKDAY(DATE(2025,10,1),2)+2</f>
        <v>45930</v>
      </c>
      <c r="T22" s="43">
        <f>DATE(2025,10,1)-WEEKDAY(DATE(2025,10,1),2)+3</f>
        <v>45931</v>
      </c>
      <c r="U22" s="43">
        <f>DATE(2025,10,1)-WEEKDAY(DATE(2025,10,1),2)+4</f>
        <v>45932</v>
      </c>
      <c r="V22" s="43">
        <f>DATE(2025,10,1)-WEEKDAY(DATE(2025,10,1),2)+5</f>
        <v>45933</v>
      </c>
      <c r="W22" s="43">
        <f>DATE(2025,10,1)-WEEKDAY(DATE(2025,10,1),2)+6</f>
        <v>45934</v>
      </c>
      <c r="X22" s="43">
        <f>DATE(2025,10,1)-WEEKDAY(DATE(2025,10,1),2)+7</f>
        <v>45935</v>
      </c>
      <c r="Z22" s="43">
        <f>DATE(2025,11,1)-WEEKDAY(DATE(2025,11,1),2)+1</f>
        <v>45957</v>
      </c>
      <c r="AA22" s="43">
        <f>DATE(2025,11,1)-WEEKDAY(DATE(2025,11,1),2)+2</f>
        <v>45958</v>
      </c>
      <c r="AB22" s="43">
        <f>DATE(2025,11,1)-WEEKDAY(DATE(2025,11,1),2)+3</f>
        <v>45959</v>
      </c>
      <c r="AC22" s="43">
        <f>DATE(2025,11,1)-WEEKDAY(DATE(2025,11,1),2)+4</f>
        <v>45960</v>
      </c>
      <c r="AD22" s="43">
        <f>DATE(2025,11,1)-WEEKDAY(DATE(2025,11,1),2)+5</f>
        <v>45961</v>
      </c>
      <c r="AE22" s="43">
        <f>DATE(2025,11,1)-WEEKDAY(DATE(2025,11,1),2)+6</f>
        <v>45962</v>
      </c>
      <c r="AF22" s="43">
        <f>DATE(2025,11,1)-WEEKDAY(DATE(2025,11,1),2)+7</f>
        <v>45963</v>
      </c>
    </row>
    <row r="23" spans="2:32" ht="21" customHeight="1">
      <c r="B23" s="44">
        <f>IF(MONTH(B22)=8,IF(IFERROR(INDEX('データ'!$B$313:$J$677,MATCH(B22,'データ'!$A$313:$A$677,0),$A$2),0)=0,"",INDEX('データ'!$B$313:$J$677,MATCH(B22,'データ'!$A$313:$A$677,0),$A$2)),"")</f>
        <v/>
      </c>
      <c r="C23" s="44">
        <f>IF(MONTH(C22)=8,IF(IFERROR(INDEX('データ'!$B$313:$J$677,MATCH(C22,'データ'!$A$313:$A$677,0),$A$2),0)=0,"",INDEX('データ'!$B$313:$J$677,MATCH(C22,'データ'!$A$313:$A$677,0),$A$2)),"")</f>
        <v/>
      </c>
      <c r="D23" s="44">
        <f>IF(MONTH(D22)=8,IF(IFERROR(INDEX('データ'!$B$313:$J$677,MATCH(D22,'データ'!$A$313:$A$677,0),$A$2),0)=0,"",INDEX('データ'!$B$313:$J$677,MATCH(D22,'データ'!$A$313:$A$677,0),$A$2)),"")</f>
        <v/>
      </c>
      <c r="E23" s="44">
        <f>IF(MONTH(E22)=8,IF(IFERROR(INDEX('データ'!$B$313:$J$677,MATCH(E22,'データ'!$A$313:$A$677,0),$A$2),0)=0,"",INDEX('データ'!$B$313:$J$677,MATCH(E22,'データ'!$A$313:$A$677,0),$A$2)),"")</f>
        <v/>
      </c>
      <c r="F23" s="44">
        <f>IF(MONTH(F22)=8,IF(IFERROR(INDEX('データ'!$B$313:$J$677,MATCH(F22,'データ'!$A$313:$A$677,0),$A$2),0)=0,"",INDEX('データ'!$B$313:$J$677,MATCH(F22,'データ'!$A$313:$A$677,0),$A$2)),"")</f>
        <v>3293</v>
      </c>
      <c r="G23" s="44">
        <f>IF(MONTH(G22)=8,IF(IFERROR(INDEX('データ'!$B$313:$J$677,MATCH(G22,'データ'!$A$313:$A$677,0),$A$2),0)=0,"",INDEX('データ'!$B$313:$J$677,MATCH(G22,'データ'!$A$313:$A$677,0),$A$2)),"")</f>
        <v/>
      </c>
      <c r="H23" s="44">
        <f>IF(MONTH(H22)=8,IF(IFERROR(INDEX('データ'!$B$313:$J$677,MATCH(H22,'データ'!$A$313:$A$677,0),$A$2),0)=0,"",INDEX('データ'!$B$313:$J$677,MATCH(H22,'データ'!$A$313:$A$677,0),$A$2)),"")</f>
        <v/>
      </c>
      <c r="J23" s="44">
        <f>IF(MONTH(J22)=9,IF(IFERROR(INDEX('データ'!$B$313:$J$677,MATCH(J22,'データ'!$A$313:$A$677,0),$A$2),0)=0,"",INDEX('データ'!$B$313:$J$677,MATCH(J22,'データ'!$A$313:$A$677,0),$A$2)),"")</f>
        <v>2953</v>
      </c>
      <c r="K23" s="44">
        <f>IF(MONTH(K22)=9,IF(IFERROR(INDEX('データ'!$B$313:$J$677,MATCH(K22,'データ'!$A$313:$A$677,0),$A$2),0)=0,"",INDEX('データ'!$B$313:$J$677,MATCH(K22,'データ'!$A$313:$A$677,0),$A$2)),"")</f>
        <v>2737</v>
      </c>
      <c r="L23" s="44">
        <f>IF(MONTH(L22)=9,IF(IFERROR(INDEX('データ'!$B$313:$J$677,MATCH(L22,'データ'!$A$313:$A$677,0),$A$2),0)=0,"",INDEX('データ'!$B$313:$J$677,MATCH(L22,'データ'!$A$313:$A$677,0),$A$2)),"")</f>
        <v>2926</v>
      </c>
      <c r="M23" s="44">
        <f>IF(MONTH(M22)=9,IF(IFERROR(INDEX('データ'!$B$313:$J$677,MATCH(M22,'データ'!$A$313:$A$677,0),$A$2),0)=0,"",INDEX('データ'!$B$313:$J$677,MATCH(M22,'データ'!$A$313:$A$677,0),$A$2)),"")</f>
        <v>2421</v>
      </c>
      <c r="N23" s="44">
        <f>IF(MONTH(N22)=9,IF(IFERROR(INDEX('データ'!$B$313:$J$677,MATCH(N22,'データ'!$A$313:$A$677,0),$A$2),0)=0,"",INDEX('データ'!$B$313:$J$677,MATCH(N22,'データ'!$A$313:$A$677,0),$A$2)),"")</f>
        <v>2801</v>
      </c>
      <c r="O23" s="44">
        <f>IF(MONTH(O22)=9,IF(IFERROR(INDEX('データ'!$B$313:$J$677,MATCH(O22,'データ'!$A$313:$A$677,0),$A$2),0)=0,"",INDEX('データ'!$B$313:$J$677,MATCH(O22,'データ'!$A$313:$A$677,0),$A$2)),"")</f>
        <v/>
      </c>
      <c r="P23" s="44">
        <f>IF(MONTH(P22)=9,IF(IFERROR(INDEX('データ'!$B$313:$J$677,MATCH(P22,'データ'!$A$313:$A$677,0),$A$2),0)=0,"",INDEX('データ'!$B$313:$J$677,MATCH(P22,'データ'!$A$313:$A$677,0),$A$2)),"")</f>
        <v/>
      </c>
      <c r="R23" s="44">
        <f>IF(MONTH(R22)=10,IF(IFERROR(INDEX('データ'!$B$313:$J$677,MATCH(R22,'データ'!$A$313:$A$677,0),$A$2),0)=0,"",INDEX('データ'!$B$313:$J$677,MATCH(R22,'データ'!$A$313:$A$677,0),$A$2)),"")</f>
        <v/>
      </c>
      <c r="S23" s="44">
        <f>IF(MONTH(S22)=10,IF(IFERROR(INDEX('データ'!$B$313:$J$677,MATCH(S22,'データ'!$A$313:$A$677,0),$A$2),0)=0,"",INDEX('データ'!$B$313:$J$677,MATCH(S22,'データ'!$A$313:$A$677,0),$A$2)),"")</f>
        <v/>
      </c>
      <c r="T23" s="44">
        <f>IF(MONTH(T22)=10,IF(IFERROR(INDEX('データ'!$B$313:$J$677,MATCH(T22,'データ'!$A$313:$A$677,0),$A$2),0)=0,"",INDEX('データ'!$B$313:$J$677,MATCH(T22,'データ'!$A$313:$A$677,0),$A$2)),"")</f>
        <v>3254</v>
      </c>
      <c r="U23" s="44">
        <f>IF(MONTH(U22)=10,IF(IFERROR(INDEX('データ'!$B$313:$J$677,MATCH(U22,'データ'!$A$313:$A$677,0),$A$2),0)=0,"",INDEX('データ'!$B$313:$J$677,MATCH(U22,'データ'!$A$313:$A$677,0),$A$2)),"")</f>
        <v>2900</v>
      </c>
      <c r="V23" s="44">
        <f>IF(MONTH(V22)=10,IF(IFERROR(INDEX('データ'!$B$313:$J$677,MATCH(V22,'データ'!$A$313:$A$677,0),$A$2),0)=0,"",INDEX('データ'!$B$313:$J$677,MATCH(V22,'データ'!$A$313:$A$677,0),$A$2)),"")</f>
        <v>2797</v>
      </c>
      <c r="W23" s="44">
        <f>IF(MONTH(W22)=10,IF(IFERROR(INDEX('データ'!$B$313:$J$677,MATCH(W22,'データ'!$A$313:$A$677,0),$A$2),0)=0,"",INDEX('データ'!$B$313:$J$677,MATCH(W22,'データ'!$A$313:$A$677,0),$A$2)),"")</f>
        <v/>
      </c>
      <c r="X23" s="44">
        <f>IF(MONTH(X22)=10,IF(IFERROR(INDEX('データ'!$B$313:$J$677,MATCH(X22,'データ'!$A$313:$A$677,0),$A$2),0)=0,"",INDEX('データ'!$B$313:$J$677,MATCH(X22,'データ'!$A$313:$A$677,0),$A$2)),"")</f>
        <v/>
      </c>
      <c r="Z23" s="44">
        <f>IF(MONTH(Z22)=11,IF(IFERROR(INDEX('データ'!$B$313:$J$677,MATCH(Z22,'データ'!$A$313:$A$677,0),$A$2),0)=0,"",INDEX('データ'!$B$313:$J$677,MATCH(Z22,'データ'!$A$313:$A$677,0),$A$2)),"")</f>
        <v/>
      </c>
      <c r="AA23" s="44">
        <f>IF(MONTH(AA22)=11,IF(IFERROR(INDEX('データ'!$B$313:$J$677,MATCH(AA22,'データ'!$A$313:$A$677,0),$A$2),0)=0,"",INDEX('データ'!$B$313:$J$677,MATCH(AA22,'データ'!$A$313:$A$677,0),$A$2)),"")</f>
        <v/>
      </c>
      <c r="AB23" s="44">
        <f>IF(MONTH(AB22)=11,IF(IFERROR(INDEX('データ'!$B$313:$J$677,MATCH(AB22,'データ'!$A$313:$A$677,0),$A$2),0)=0,"",INDEX('データ'!$B$313:$J$677,MATCH(AB22,'データ'!$A$313:$A$677,0),$A$2)),"")</f>
        <v/>
      </c>
      <c r="AC23" s="44">
        <f>IF(MONTH(AC22)=11,IF(IFERROR(INDEX('データ'!$B$313:$J$677,MATCH(AC22,'データ'!$A$313:$A$677,0),$A$2),0)=0,"",INDEX('データ'!$B$313:$J$677,MATCH(AC22,'データ'!$A$313:$A$677,0),$A$2)),"")</f>
        <v/>
      </c>
      <c r="AD23" s="44">
        <f>IF(MONTH(AD22)=11,IF(IFERROR(INDEX('データ'!$B$313:$J$677,MATCH(AD22,'データ'!$A$313:$A$677,0),$A$2),0)=0,"",INDEX('データ'!$B$313:$J$677,MATCH(AD22,'データ'!$A$313:$A$677,0),$A$2)),"")</f>
        <v/>
      </c>
      <c r="AE23" s="44">
        <f>IF(MONTH(AE22)=11,IF(IFERROR(INDEX('データ'!$B$313:$J$677,MATCH(AE22,'データ'!$A$313:$A$677,0),$A$2),0)=0,"",INDEX('データ'!$B$313:$J$677,MATCH(AE22,'データ'!$A$313:$A$677,0),$A$2)),"")</f>
        <v/>
      </c>
      <c r="AF23" s="44">
        <f>IF(MONTH(AF22)=11,IF(IFERROR(INDEX('データ'!$B$313:$J$677,MATCH(AF22,'データ'!$A$313:$A$677,0),$A$2),0)=0,"",INDEX('データ'!$B$313:$J$677,MATCH(AF22,'データ'!$A$313:$A$677,0),$A$2)),"")</f>
        <v/>
      </c>
    </row>
    <row r="24" spans="2:32" ht="13" customHeight="1">
      <c r="B24" s="43">
        <f>DATE(2025,8,1)-WEEKDAY(DATE(2025,8,1),2)+8</f>
        <v>45873</v>
      </c>
      <c r="C24" s="43">
        <f>DATE(2025,8,1)-WEEKDAY(DATE(2025,8,1),2)+9</f>
        <v>45874</v>
      </c>
      <c r="D24" s="43">
        <f>DATE(2025,8,1)-WEEKDAY(DATE(2025,8,1),2)+10</f>
        <v>45875</v>
      </c>
      <c r="E24" s="43">
        <f>DATE(2025,8,1)-WEEKDAY(DATE(2025,8,1),2)+11</f>
        <v>45876</v>
      </c>
      <c r="F24" s="43">
        <f>DATE(2025,8,1)-WEEKDAY(DATE(2025,8,1),2)+12</f>
        <v>45877</v>
      </c>
      <c r="G24" s="43">
        <f>DATE(2025,8,1)-WEEKDAY(DATE(2025,8,1),2)+13</f>
        <v>45878</v>
      </c>
      <c r="H24" s="43">
        <f>DATE(2025,8,1)-WEEKDAY(DATE(2025,8,1),2)+14</f>
        <v>45879</v>
      </c>
      <c r="J24" s="43">
        <f>DATE(2025,9,1)-WEEKDAY(DATE(2025,9,1),2)+8</f>
        <v>45908</v>
      </c>
      <c r="K24" s="43">
        <f>DATE(2025,9,1)-WEEKDAY(DATE(2025,9,1),2)+9</f>
        <v>45909</v>
      </c>
      <c r="L24" s="43">
        <f>DATE(2025,9,1)-WEEKDAY(DATE(2025,9,1),2)+10</f>
        <v>45910</v>
      </c>
      <c r="M24" s="43">
        <f>DATE(2025,9,1)-WEEKDAY(DATE(2025,9,1),2)+11</f>
        <v>45911</v>
      </c>
      <c r="N24" s="43">
        <f>DATE(2025,9,1)-WEEKDAY(DATE(2025,9,1),2)+12</f>
        <v>45912</v>
      </c>
      <c r="O24" s="43">
        <f>DATE(2025,9,1)-WEEKDAY(DATE(2025,9,1),2)+13</f>
        <v>45913</v>
      </c>
      <c r="P24" s="43">
        <f>DATE(2025,9,1)-WEEKDAY(DATE(2025,9,1),2)+14</f>
        <v>45914</v>
      </c>
      <c r="R24" s="43">
        <f>DATE(2025,10,1)-WEEKDAY(DATE(2025,10,1),2)+8</f>
        <v>45936</v>
      </c>
      <c r="S24" s="43">
        <f>DATE(2025,10,1)-WEEKDAY(DATE(2025,10,1),2)+9</f>
        <v>45937</v>
      </c>
      <c r="T24" s="43">
        <f>DATE(2025,10,1)-WEEKDAY(DATE(2025,10,1),2)+10</f>
        <v>45938</v>
      </c>
      <c r="U24" s="43">
        <f>DATE(2025,10,1)-WEEKDAY(DATE(2025,10,1),2)+11</f>
        <v>45939</v>
      </c>
      <c r="V24" s="43">
        <f>DATE(2025,10,1)-WEEKDAY(DATE(2025,10,1),2)+12</f>
        <v>45940</v>
      </c>
      <c r="W24" s="43">
        <f>DATE(2025,10,1)-WEEKDAY(DATE(2025,10,1),2)+13</f>
        <v>45941</v>
      </c>
      <c r="X24" s="43">
        <f>DATE(2025,10,1)-WEEKDAY(DATE(2025,10,1),2)+14</f>
        <v>45942</v>
      </c>
      <c r="Z24" s="43">
        <f>DATE(2025,11,1)-WEEKDAY(DATE(2025,11,1),2)+8</f>
        <v>45964</v>
      </c>
      <c r="AA24" s="43">
        <f>DATE(2025,11,1)-WEEKDAY(DATE(2025,11,1),2)+9</f>
        <v>45965</v>
      </c>
      <c r="AB24" s="43">
        <f>DATE(2025,11,1)-WEEKDAY(DATE(2025,11,1),2)+10</f>
        <v>45966</v>
      </c>
      <c r="AC24" s="43">
        <f>DATE(2025,11,1)-WEEKDAY(DATE(2025,11,1),2)+11</f>
        <v>45967</v>
      </c>
      <c r="AD24" s="43">
        <f>DATE(2025,11,1)-WEEKDAY(DATE(2025,11,1),2)+12</f>
        <v>45968</v>
      </c>
      <c r="AE24" s="43">
        <f>DATE(2025,11,1)-WEEKDAY(DATE(2025,11,1),2)+13</f>
        <v>45969</v>
      </c>
      <c r="AF24" s="43">
        <f>DATE(2025,11,1)-WEEKDAY(DATE(2025,11,1),2)+14</f>
        <v>45970</v>
      </c>
    </row>
    <row r="25" spans="2:32" ht="21" customHeight="1">
      <c r="B25" s="44">
        <f>IF(MONTH(B24)=8,IF(IFERROR(INDEX('データ'!$B$313:$J$677,MATCH(B24,'データ'!$A$313:$A$677,0),$A$2),0)=0,"",INDEX('データ'!$B$313:$J$677,MATCH(B24,'データ'!$A$313:$A$677,0),$A$2)),"")</f>
        <v>3262</v>
      </c>
      <c r="C25" s="44">
        <f>IF(MONTH(C24)=8,IF(IFERROR(INDEX('データ'!$B$313:$J$677,MATCH(C24,'データ'!$A$313:$A$677,0),$A$2),0)=0,"",INDEX('データ'!$B$313:$J$677,MATCH(C24,'データ'!$A$313:$A$677,0),$A$2)),"")</f>
        <v>2902</v>
      </c>
      <c r="D25" s="44">
        <f>IF(MONTH(D24)=8,IF(IFERROR(INDEX('データ'!$B$313:$J$677,MATCH(D24,'データ'!$A$313:$A$677,0),$A$2),0)=0,"",INDEX('データ'!$B$313:$J$677,MATCH(D24,'データ'!$A$313:$A$677,0),$A$2)),"")</f>
        <v/>
      </c>
      <c r="E25" s="44">
        <f>IF(MONTH(E24)=8,IF(IFERROR(INDEX('データ'!$B$313:$J$677,MATCH(E24,'データ'!$A$313:$A$677,0),$A$2),0)=0,"",INDEX('データ'!$B$313:$J$677,MATCH(E24,'データ'!$A$313:$A$677,0),$A$2)),"")</f>
        <v>3722</v>
      </c>
      <c r="F25" s="44">
        <f>IF(MONTH(F24)=8,IF(IFERROR(INDEX('データ'!$B$313:$J$677,MATCH(F24,'データ'!$A$313:$A$677,0),$A$2),0)=0,"",INDEX('データ'!$B$313:$J$677,MATCH(F24,'データ'!$A$313:$A$677,0),$A$2)),"")</f>
        <v>3400</v>
      </c>
      <c r="G25" s="44">
        <f>IF(MONTH(G24)=8,IF(IFERROR(INDEX('データ'!$B$313:$J$677,MATCH(G24,'データ'!$A$313:$A$677,0),$A$2),0)=0,"",INDEX('データ'!$B$313:$J$677,MATCH(G24,'データ'!$A$313:$A$677,0),$A$2)),"")</f>
        <v/>
      </c>
      <c r="H25" s="44">
        <f>IF(MONTH(H24)=8,IF(IFERROR(INDEX('データ'!$B$313:$J$677,MATCH(H24,'データ'!$A$313:$A$677,0),$A$2),0)=0,"",INDEX('データ'!$B$313:$J$677,MATCH(H24,'データ'!$A$313:$A$677,0),$A$2)),"")</f>
        <v/>
      </c>
      <c r="J25" s="44">
        <f>IF(MONTH(J24)=9,IF(IFERROR(INDEX('データ'!$B$313:$J$677,MATCH(J24,'データ'!$A$313:$A$677,0),$A$2),0)=0,"",INDEX('データ'!$B$313:$J$677,MATCH(J24,'データ'!$A$313:$A$677,0),$A$2)),"")</f>
        <v>3051</v>
      </c>
      <c r="K25" s="44">
        <f>IF(MONTH(K24)=9,IF(IFERROR(INDEX('データ'!$B$313:$J$677,MATCH(K24,'データ'!$A$313:$A$677,0),$A$2),0)=0,"",INDEX('データ'!$B$313:$J$677,MATCH(K24,'データ'!$A$313:$A$677,0),$A$2)),"")</f>
        <v>2772</v>
      </c>
      <c r="L25" s="44">
        <f>IF(MONTH(L24)=9,IF(IFERROR(INDEX('データ'!$B$313:$J$677,MATCH(L24,'データ'!$A$313:$A$677,0),$A$2),0)=0,"",INDEX('データ'!$B$313:$J$677,MATCH(L24,'データ'!$A$313:$A$677,0),$A$2)),"")</f>
        <v>2348</v>
      </c>
      <c r="M25" s="44">
        <f>IF(MONTH(M24)=9,IF(IFERROR(INDEX('データ'!$B$313:$J$677,MATCH(M24,'データ'!$A$313:$A$677,0),$A$2),0)=0,"",INDEX('データ'!$B$313:$J$677,MATCH(M24,'データ'!$A$313:$A$677,0),$A$2)),"")</f>
        <v>2644</v>
      </c>
      <c r="N25" s="44">
        <f>IF(MONTH(N24)=9,IF(IFERROR(INDEX('データ'!$B$313:$J$677,MATCH(N24,'データ'!$A$313:$A$677,0),$A$2),0)=0,"",INDEX('データ'!$B$313:$J$677,MATCH(N24,'データ'!$A$313:$A$677,0),$A$2)),"")</f>
        <v>2877</v>
      </c>
      <c r="O25" s="44">
        <f>IF(MONTH(O24)=9,IF(IFERROR(INDEX('データ'!$B$313:$J$677,MATCH(O24,'データ'!$A$313:$A$677,0),$A$2),0)=0,"",INDEX('データ'!$B$313:$J$677,MATCH(O24,'データ'!$A$313:$A$677,0),$A$2)),"")</f>
        <v/>
      </c>
      <c r="P25" s="44">
        <f>IF(MONTH(P24)=9,IF(IFERROR(INDEX('データ'!$B$313:$J$677,MATCH(P24,'データ'!$A$313:$A$677,0),$A$2),0)=0,"",INDEX('データ'!$B$313:$J$677,MATCH(P24,'データ'!$A$313:$A$677,0),$A$2)),"")</f>
        <v>449</v>
      </c>
      <c r="R25" s="44">
        <f>IF(MONTH(R24)=10,IF(IFERROR(INDEX('データ'!$B$313:$J$677,MATCH(R24,'データ'!$A$313:$A$677,0),$A$2),0)=0,"",INDEX('データ'!$B$313:$J$677,MATCH(R24,'データ'!$A$313:$A$677,0),$A$2)),"")</f>
        <v>3685</v>
      </c>
      <c r="S25" s="44">
        <f>IF(MONTH(S24)=10,IF(IFERROR(INDEX('データ'!$B$313:$J$677,MATCH(S24,'データ'!$A$313:$A$677,0),$A$2),0)=0,"",INDEX('データ'!$B$313:$J$677,MATCH(S24,'データ'!$A$313:$A$677,0),$A$2)),"")</f>
        <v>2962</v>
      </c>
      <c r="T25" s="44">
        <f>IF(MONTH(T24)=10,IF(IFERROR(INDEX('データ'!$B$313:$J$677,MATCH(T24,'データ'!$A$313:$A$677,0),$A$2),0)=0,"",INDEX('データ'!$B$313:$J$677,MATCH(T24,'データ'!$A$313:$A$677,0),$A$2)),"")</f>
        <v>3082</v>
      </c>
      <c r="U25" s="44">
        <f>IF(MONTH(U24)=10,IF(IFERROR(INDEX('データ'!$B$313:$J$677,MATCH(U24,'データ'!$A$313:$A$677,0),$A$2),0)=0,"",INDEX('データ'!$B$313:$J$677,MATCH(U24,'データ'!$A$313:$A$677,0),$A$2)),"")</f>
        <v>2702</v>
      </c>
      <c r="V25" s="44">
        <f>IF(MONTH(V24)=10,IF(IFERROR(INDEX('データ'!$B$313:$J$677,MATCH(V24,'データ'!$A$313:$A$677,0),$A$2),0)=0,"",INDEX('データ'!$B$313:$J$677,MATCH(V24,'データ'!$A$313:$A$677,0),$A$2)),"")</f>
        <v>3095</v>
      </c>
      <c r="W25" s="44">
        <f>IF(MONTH(W24)=10,IF(IFERROR(INDEX('データ'!$B$313:$J$677,MATCH(W24,'データ'!$A$313:$A$677,0),$A$2),0)=0,"",INDEX('データ'!$B$313:$J$677,MATCH(W24,'データ'!$A$313:$A$677,0),$A$2)),"")</f>
        <v/>
      </c>
      <c r="X25" s="44">
        <f>IF(MONTH(X24)=10,IF(IFERROR(INDEX('データ'!$B$313:$J$677,MATCH(X24,'データ'!$A$313:$A$677,0),$A$2),0)=0,"",INDEX('データ'!$B$313:$J$677,MATCH(X24,'データ'!$A$313:$A$677,0),$A$2)),"")</f>
        <v/>
      </c>
      <c r="Z25" s="44">
        <f>IF(MONTH(Z24)=11,IF(IFERROR(INDEX('データ'!$B$313:$J$677,MATCH(Z24,'データ'!$A$313:$A$677,0),$A$2),0)=0,"",INDEX('データ'!$B$313:$J$677,MATCH(Z24,'データ'!$A$313:$A$677,0),$A$2)),"")</f>
        <v/>
      </c>
      <c r="AA25" s="44">
        <f>IF(MONTH(AA24)=11,IF(IFERROR(INDEX('データ'!$B$313:$J$677,MATCH(AA24,'データ'!$A$313:$A$677,0),$A$2),0)=0,"",INDEX('データ'!$B$313:$J$677,MATCH(AA24,'データ'!$A$313:$A$677,0),$A$2)),"")</f>
        <v>3114</v>
      </c>
      <c r="AB25" s="44">
        <f>IF(MONTH(AB24)=11,IF(IFERROR(INDEX('データ'!$B$313:$J$677,MATCH(AB24,'データ'!$A$313:$A$677,0),$A$2),0)=0,"",INDEX('データ'!$B$313:$J$677,MATCH(AB24,'データ'!$A$313:$A$677,0),$A$2)),"")</f>
        <v>2925</v>
      </c>
      <c r="AC25" s="44">
        <f>IF(MONTH(AC24)=11,IF(IFERROR(INDEX('データ'!$B$313:$J$677,MATCH(AC24,'データ'!$A$313:$A$677,0),$A$2),0)=0,"",INDEX('データ'!$B$313:$J$677,MATCH(AC24,'データ'!$A$313:$A$677,0),$A$2)),"")</f>
        <v>2669</v>
      </c>
      <c r="AD25" s="44">
        <f>IF(MONTH(AD24)=11,IF(IFERROR(INDEX('データ'!$B$313:$J$677,MATCH(AD24,'データ'!$A$313:$A$677,0),$A$2),0)=0,"",INDEX('データ'!$B$313:$J$677,MATCH(AD24,'データ'!$A$313:$A$677,0),$A$2)),"")</f>
        <v>2659</v>
      </c>
      <c r="AE25" s="44">
        <f>IF(MONTH(AE24)=11,IF(IFERROR(INDEX('データ'!$B$313:$J$677,MATCH(AE24,'データ'!$A$313:$A$677,0),$A$2),0)=0,"",INDEX('データ'!$B$313:$J$677,MATCH(AE24,'データ'!$A$313:$A$677,0),$A$2)),"")</f>
        <v/>
      </c>
      <c r="AF25" s="44">
        <f>IF(MONTH(AF24)=11,IF(IFERROR(INDEX('データ'!$B$313:$J$677,MATCH(AF24,'データ'!$A$313:$A$677,0),$A$2),0)=0,"",INDEX('データ'!$B$313:$J$677,MATCH(AF24,'データ'!$A$313:$A$677,0),$A$2)),"")</f>
        <v>133</v>
      </c>
    </row>
    <row r="26" spans="2:32" ht="13" customHeight="1">
      <c r="B26" s="43">
        <f>DATE(2025,8,1)-WEEKDAY(DATE(2025,8,1),2)+15</f>
        <v>45880</v>
      </c>
      <c r="C26" s="43">
        <f>DATE(2025,8,1)-WEEKDAY(DATE(2025,8,1),2)+16</f>
        <v>45881</v>
      </c>
      <c r="D26" s="43">
        <f>DATE(2025,8,1)-WEEKDAY(DATE(2025,8,1),2)+17</f>
        <v>45882</v>
      </c>
      <c r="E26" s="43">
        <f>DATE(2025,8,1)-WEEKDAY(DATE(2025,8,1),2)+18</f>
        <v>45883</v>
      </c>
      <c r="F26" s="43">
        <f>DATE(2025,8,1)-WEEKDAY(DATE(2025,8,1),2)+19</f>
        <v>45884</v>
      </c>
      <c r="G26" s="43">
        <f>DATE(2025,8,1)-WEEKDAY(DATE(2025,8,1),2)+20</f>
        <v>45885</v>
      </c>
      <c r="H26" s="43">
        <f>DATE(2025,8,1)-WEEKDAY(DATE(2025,8,1),2)+21</f>
        <v>45886</v>
      </c>
      <c r="J26" s="43">
        <f>DATE(2025,9,1)-WEEKDAY(DATE(2025,9,1),2)+15</f>
        <v>45915</v>
      </c>
      <c r="K26" s="43">
        <f>DATE(2025,9,1)-WEEKDAY(DATE(2025,9,1),2)+16</f>
        <v>45916</v>
      </c>
      <c r="L26" s="43">
        <f>DATE(2025,9,1)-WEEKDAY(DATE(2025,9,1),2)+17</f>
        <v>45917</v>
      </c>
      <c r="M26" s="43">
        <f>DATE(2025,9,1)-WEEKDAY(DATE(2025,9,1),2)+18</f>
        <v>45918</v>
      </c>
      <c r="N26" s="43">
        <f>DATE(2025,9,1)-WEEKDAY(DATE(2025,9,1),2)+19</f>
        <v>45919</v>
      </c>
      <c r="O26" s="43">
        <f>DATE(2025,9,1)-WEEKDAY(DATE(2025,9,1),2)+20</f>
        <v>45920</v>
      </c>
      <c r="P26" s="43">
        <f>DATE(2025,9,1)-WEEKDAY(DATE(2025,9,1),2)+21</f>
        <v>45921</v>
      </c>
      <c r="R26" s="43">
        <f>DATE(2025,10,1)-WEEKDAY(DATE(2025,10,1),2)+15</f>
        <v>45943</v>
      </c>
      <c r="S26" s="43">
        <f>DATE(2025,10,1)-WEEKDAY(DATE(2025,10,1),2)+16</f>
        <v>45944</v>
      </c>
      <c r="T26" s="43">
        <f>DATE(2025,10,1)-WEEKDAY(DATE(2025,10,1),2)+17</f>
        <v>45945</v>
      </c>
      <c r="U26" s="43">
        <f>DATE(2025,10,1)-WEEKDAY(DATE(2025,10,1),2)+18</f>
        <v>45946</v>
      </c>
      <c r="V26" s="43">
        <f>DATE(2025,10,1)-WEEKDAY(DATE(2025,10,1),2)+19</f>
        <v>45947</v>
      </c>
      <c r="W26" s="43">
        <f>DATE(2025,10,1)-WEEKDAY(DATE(2025,10,1),2)+20</f>
        <v>45948</v>
      </c>
      <c r="X26" s="43">
        <f>DATE(2025,10,1)-WEEKDAY(DATE(2025,10,1),2)+21</f>
        <v>45949</v>
      </c>
      <c r="Z26" s="43">
        <f>DATE(2025,11,1)-WEEKDAY(DATE(2025,11,1),2)+15</f>
        <v>45971</v>
      </c>
      <c r="AA26" s="43">
        <f>DATE(2025,11,1)-WEEKDAY(DATE(2025,11,1),2)+16</f>
        <v>45972</v>
      </c>
      <c r="AB26" s="43">
        <f>DATE(2025,11,1)-WEEKDAY(DATE(2025,11,1),2)+17</f>
        <v>45973</v>
      </c>
      <c r="AC26" s="43">
        <f>DATE(2025,11,1)-WEEKDAY(DATE(2025,11,1),2)+18</f>
        <v>45974</v>
      </c>
      <c r="AD26" s="43">
        <f>DATE(2025,11,1)-WEEKDAY(DATE(2025,11,1),2)+19</f>
        <v>45975</v>
      </c>
      <c r="AE26" s="43">
        <f>DATE(2025,11,1)-WEEKDAY(DATE(2025,11,1),2)+20</f>
        <v>45976</v>
      </c>
      <c r="AF26" s="43">
        <f>DATE(2025,11,1)-WEEKDAY(DATE(2025,11,1),2)+21</f>
        <v>45977</v>
      </c>
    </row>
    <row r="27" spans="2:32" ht="21" customHeight="1">
      <c r="B27" s="44">
        <f>IF(MONTH(B26)=8,IF(IFERROR(INDEX('データ'!$B$313:$J$677,MATCH(B26,'データ'!$A$313:$A$677,0),$A$2),0)=0,"",INDEX('データ'!$B$313:$J$677,MATCH(B26,'データ'!$A$313:$A$677,0),$A$2)),"")</f>
        <v/>
      </c>
      <c r="C27" s="44">
        <f>IF(MONTH(C26)=8,IF(IFERROR(INDEX('データ'!$B$313:$J$677,MATCH(C26,'データ'!$A$313:$A$677,0),$A$2),0)=0,"",INDEX('データ'!$B$313:$J$677,MATCH(C26,'データ'!$A$313:$A$677,0),$A$2)),"")</f>
        <v>4680</v>
      </c>
      <c r="D27" s="44">
        <f>IF(MONTH(D26)=8,IF(IFERROR(INDEX('データ'!$B$313:$J$677,MATCH(D26,'データ'!$A$313:$A$677,0),$A$2),0)=0,"",INDEX('データ'!$B$313:$J$677,MATCH(D26,'データ'!$A$313:$A$677,0),$A$2)),"")</f>
        <v>3501</v>
      </c>
      <c r="E27" s="44">
        <f>IF(MONTH(E26)=8,IF(IFERROR(INDEX('データ'!$B$313:$J$677,MATCH(E26,'データ'!$A$313:$A$677,0),$A$2),0)=0,"",INDEX('データ'!$B$313:$J$677,MATCH(E26,'データ'!$A$313:$A$677,0),$A$2)),"")</f>
        <v>2970</v>
      </c>
      <c r="F27" s="44">
        <f>IF(MONTH(F26)=8,IF(IFERROR(INDEX('データ'!$B$313:$J$677,MATCH(F26,'データ'!$A$313:$A$677,0),$A$2),0)=0,"",INDEX('データ'!$B$313:$J$677,MATCH(F26,'データ'!$A$313:$A$677,0),$A$2)),"")</f>
        <v>3005</v>
      </c>
      <c r="G27" s="44">
        <f>IF(MONTH(G26)=8,IF(IFERROR(INDEX('データ'!$B$313:$J$677,MATCH(G26,'データ'!$A$313:$A$677,0),$A$2),0)=0,"",INDEX('データ'!$B$313:$J$677,MATCH(G26,'データ'!$A$313:$A$677,0),$A$2)),"")</f>
        <v/>
      </c>
      <c r="H27" s="44">
        <f>IF(MONTH(H26)=8,IF(IFERROR(INDEX('データ'!$B$313:$J$677,MATCH(H26,'データ'!$A$313:$A$677,0),$A$2),0)=0,"",INDEX('データ'!$B$313:$J$677,MATCH(H26,'データ'!$A$313:$A$677,0),$A$2)),"")</f>
        <v/>
      </c>
      <c r="J27" s="44">
        <f>IF(MONTH(J26)=9,IF(IFERROR(INDEX('データ'!$B$313:$J$677,MATCH(J26,'データ'!$A$313:$A$677,0),$A$2),0)=0,"",INDEX('データ'!$B$313:$J$677,MATCH(J26,'データ'!$A$313:$A$677,0),$A$2)),"")</f>
        <v/>
      </c>
      <c r="K27" s="44">
        <f>IF(MONTH(K26)=9,IF(IFERROR(INDEX('データ'!$B$313:$J$677,MATCH(K26,'データ'!$A$313:$A$677,0),$A$2),0)=0,"",INDEX('データ'!$B$313:$J$677,MATCH(K26,'データ'!$A$313:$A$677,0),$A$2)),"")</f>
        <v>3200</v>
      </c>
      <c r="L27" s="44">
        <f>IF(MONTH(L26)=9,IF(IFERROR(INDEX('データ'!$B$313:$J$677,MATCH(L26,'データ'!$A$313:$A$677,0),$A$2),0)=0,"",INDEX('データ'!$B$313:$J$677,MATCH(L26,'データ'!$A$313:$A$677,0),$A$2)),"")</f>
        <v>2959</v>
      </c>
      <c r="M27" s="44">
        <f>IF(MONTH(M26)=9,IF(IFERROR(INDEX('データ'!$B$313:$J$677,MATCH(M26,'データ'!$A$313:$A$677,0),$A$2),0)=0,"",INDEX('データ'!$B$313:$J$677,MATCH(M26,'データ'!$A$313:$A$677,0),$A$2)),"")</f>
        <v>2462</v>
      </c>
      <c r="N27" s="44">
        <f>IF(MONTH(N26)=9,IF(IFERROR(INDEX('データ'!$B$313:$J$677,MATCH(N26,'データ'!$A$313:$A$677,0),$A$2),0)=0,"",INDEX('データ'!$B$313:$J$677,MATCH(N26,'データ'!$A$313:$A$677,0),$A$2)),"")</f>
        <v>2853</v>
      </c>
      <c r="O27" s="44">
        <f>IF(MONTH(O26)=9,IF(IFERROR(INDEX('データ'!$B$313:$J$677,MATCH(O26,'データ'!$A$313:$A$677,0),$A$2),0)=0,"",INDEX('データ'!$B$313:$J$677,MATCH(O26,'データ'!$A$313:$A$677,0),$A$2)),"")</f>
        <v/>
      </c>
      <c r="P27" s="44">
        <f>IF(MONTH(P26)=9,IF(IFERROR(INDEX('データ'!$B$313:$J$677,MATCH(P26,'データ'!$A$313:$A$677,0),$A$2),0)=0,"",INDEX('データ'!$B$313:$J$677,MATCH(P26,'データ'!$A$313:$A$677,0),$A$2)),"")</f>
        <v/>
      </c>
      <c r="R27" s="44">
        <f>IF(MONTH(R26)=10,IF(IFERROR(INDEX('データ'!$B$313:$J$677,MATCH(R26,'データ'!$A$313:$A$677,0),$A$2),0)=0,"",INDEX('データ'!$B$313:$J$677,MATCH(R26,'データ'!$A$313:$A$677,0),$A$2)),"")</f>
        <v/>
      </c>
      <c r="S27" s="44">
        <f>IF(MONTH(S26)=10,IF(IFERROR(INDEX('データ'!$B$313:$J$677,MATCH(S26,'データ'!$A$313:$A$677,0),$A$2),0)=0,"",INDEX('データ'!$B$313:$J$677,MATCH(S26,'データ'!$A$313:$A$677,0),$A$2)),"")</f>
        <v>3242</v>
      </c>
      <c r="T27" s="44">
        <f>IF(MONTH(T26)=10,IF(IFERROR(INDEX('データ'!$B$313:$J$677,MATCH(T26,'データ'!$A$313:$A$677,0),$A$2),0)=0,"",INDEX('データ'!$B$313:$J$677,MATCH(T26,'データ'!$A$313:$A$677,0),$A$2)),"")</f>
        <v>3159</v>
      </c>
      <c r="U27" s="44">
        <f>IF(MONTH(U26)=10,IF(IFERROR(INDEX('データ'!$B$313:$J$677,MATCH(U26,'データ'!$A$313:$A$677,0),$A$2),0)=0,"",INDEX('データ'!$B$313:$J$677,MATCH(U26,'データ'!$A$313:$A$677,0),$A$2)),"")</f>
        <v>2797</v>
      </c>
      <c r="V27" s="44">
        <f>IF(MONTH(V26)=10,IF(IFERROR(INDEX('データ'!$B$313:$J$677,MATCH(V26,'データ'!$A$313:$A$677,0),$A$2),0)=0,"",INDEX('データ'!$B$313:$J$677,MATCH(V26,'データ'!$A$313:$A$677,0),$A$2)),"")</f>
        <v>2916</v>
      </c>
      <c r="W27" s="44">
        <f>IF(MONTH(W26)=10,IF(IFERROR(INDEX('データ'!$B$313:$J$677,MATCH(W26,'データ'!$A$313:$A$677,0),$A$2),0)=0,"",INDEX('データ'!$B$313:$J$677,MATCH(W26,'データ'!$A$313:$A$677,0),$A$2)),"")</f>
        <v/>
      </c>
      <c r="X27" s="44">
        <f>IF(MONTH(X26)=10,IF(IFERROR(INDEX('データ'!$B$313:$J$677,MATCH(X26,'データ'!$A$313:$A$677,0),$A$2),0)=0,"",INDEX('データ'!$B$313:$J$677,MATCH(X26,'データ'!$A$313:$A$677,0),$A$2)),"")</f>
        <v/>
      </c>
      <c r="Z27" s="44">
        <f>IF(MONTH(Z26)=11,IF(IFERROR(INDEX('データ'!$B$313:$J$677,MATCH(Z26,'データ'!$A$313:$A$677,0),$A$2),0)=0,"",INDEX('データ'!$B$313:$J$677,MATCH(Z26,'データ'!$A$313:$A$677,0),$A$2)),"")</f>
        <v>2945</v>
      </c>
      <c r="AA27" s="44">
        <f>IF(MONTH(AA26)=11,IF(IFERROR(INDEX('データ'!$B$313:$J$677,MATCH(AA26,'データ'!$A$313:$A$677,0),$A$2),0)=0,"",INDEX('データ'!$B$313:$J$677,MATCH(AA26,'データ'!$A$313:$A$677,0),$A$2)),"")</f>
        <v>2566</v>
      </c>
      <c r="AB27" s="44">
        <f>IF(MONTH(AB26)=11,IF(IFERROR(INDEX('データ'!$B$313:$J$677,MATCH(AB26,'データ'!$A$313:$A$677,0),$A$2),0)=0,"",INDEX('データ'!$B$313:$J$677,MATCH(AB26,'データ'!$A$313:$A$677,0),$A$2)),"")</f>
        <v>2398</v>
      </c>
      <c r="AC27" s="44">
        <f>IF(MONTH(AC26)=11,IF(IFERROR(INDEX('データ'!$B$313:$J$677,MATCH(AC26,'データ'!$A$313:$A$677,0),$A$2),0)=0,"",INDEX('データ'!$B$313:$J$677,MATCH(AC26,'データ'!$A$313:$A$677,0),$A$2)),"")</f>
        <v>2297</v>
      </c>
      <c r="AD27" s="44">
        <f>IF(MONTH(AD26)=11,IF(IFERROR(INDEX('データ'!$B$313:$J$677,MATCH(AD26,'データ'!$A$313:$A$677,0),$A$2),0)=0,"",INDEX('データ'!$B$313:$J$677,MATCH(AD26,'データ'!$A$313:$A$677,0),$A$2)),"")</f>
        <v>2569</v>
      </c>
      <c r="AE27" s="44">
        <f>IF(MONTH(AE26)=11,IF(IFERROR(INDEX('データ'!$B$313:$J$677,MATCH(AE26,'データ'!$A$313:$A$677,0),$A$2),0)=0,"",INDEX('データ'!$B$313:$J$677,MATCH(AE26,'データ'!$A$313:$A$677,0),$A$2)),"")</f>
        <v/>
      </c>
      <c r="AF27" s="44">
        <f>IF(MONTH(AF26)=11,IF(IFERROR(INDEX('データ'!$B$313:$J$677,MATCH(AF26,'データ'!$A$313:$A$677,0),$A$2),0)=0,"",INDEX('データ'!$B$313:$J$677,MATCH(AF26,'データ'!$A$313:$A$677,0),$A$2)),"")</f>
        <v/>
      </c>
    </row>
    <row r="28" spans="2:32" ht="13" customHeight="1">
      <c r="B28" s="43">
        <f>DATE(2025,8,1)-WEEKDAY(DATE(2025,8,1),2)+22</f>
        <v>45887</v>
      </c>
      <c r="C28" s="43">
        <f>DATE(2025,8,1)-WEEKDAY(DATE(2025,8,1),2)+23</f>
        <v>45888</v>
      </c>
      <c r="D28" s="43">
        <f>DATE(2025,8,1)-WEEKDAY(DATE(2025,8,1),2)+24</f>
        <v>45889</v>
      </c>
      <c r="E28" s="43">
        <f>DATE(2025,8,1)-WEEKDAY(DATE(2025,8,1),2)+25</f>
        <v>45890</v>
      </c>
      <c r="F28" s="43">
        <f>DATE(2025,8,1)-WEEKDAY(DATE(2025,8,1),2)+26</f>
        <v>45891</v>
      </c>
      <c r="G28" s="43">
        <f>DATE(2025,8,1)-WEEKDAY(DATE(2025,8,1),2)+27</f>
        <v>45892</v>
      </c>
      <c r="H28" s="43">
        <f>DATE(2025,8,1)-WEEKDAY(DATE(2025,8,1),2)+28</f>
        <v>45893</v>
      </c>
      <c r="J28" s="43">
        <f>DATE(2025,9,1)-WEEKDAY(DATE(2025,9,1),2)+22</f>
        <v>45922</v>
      </c>
      <c r="K28" s="43">
        <f>DATE(2025,9,1)-WEEKDAY(DATE(2025,9,1),2)+23</f>
        <v>45923</v>
      </c>
      <c r="L28" s="43">
        <f>DATE(2025,9,1)-WEEKDAY(DATE(2025,9,1),2)+24</f>
        <v>45924</v>
      </c>
      <c r="M28" s="43">
        <f>DATE(2025,9,1)-WEEKDAY(DATE(2025,9,1),2)+25</f>
        <v>45925</v>
      </c>
      <c r="N28" s="43">
        <f>DATE(2025,9,1)-WEEKDAY(DATE(2025,9,1),2)+26</f>
        <v>45926</v>
      </c>
      <c r="O28" s="43">
        <f>DATE(2025,9,1)-WEEKDAY(DATE(2025,9,1),2)+27</f>
        <v>45927</v>
      </c>
      <c r="P28" s="43">
        <f>DATE(2025,9,1)-WEEKDAY(DATE(2025,9,1),2)+28</f>
        <v>45928</v>
      </c>
      <c r="R28" s="43">
        <f>DATE(2025,10,1)-WEEKDAY(DATE(2025,10,1),2)+22</f>
        <v>45950</v>
      </c>
      <c r="S28" s="43">
        <f>DATE(2025,10,1)-WEEKDAY(DATE(2025,10,1),2)+23</f>
        <v>45951</v>
      </c>
      <c r="T28" s="43">
        <f>DATE(2025,10,1)-WEEKDAY(DATE(2025,10,1),2)+24</f>
        <v>45952</v>
      </c>
      <c r="U28" s="43">
        <f>DATE(2025,10,1)-WEEKDAY(DATE(2025,10,1),2)+25</f>
        <v>45953</v>
      </c>
      <c r="V28" s="43">
        <f>DATE(2025,10,1)-WEEKDAY(DATE(2025,10,1),2)+26</f>
        <v>45954</v>
      </c>
      <c r="W28" s="43">
        <f>DATE(2025,10,1)-WEEKDAY(DATE(2025,10,1),2)+27</f>
        <v>45955</v>
      </c>
      <c r="X28" s="43">
        <f>DATE(2025,10,1)-WEEKDAY(DATE(2025,10,1),2)+28</f>
        <v>45956</v>
      </c>
      <c r="Z28" s="43">
        <f>DATE(2025,11,1)-WEEKDAY(DATE(2025,11,1),2)+22</f>
        <v>45978</v>
      </c>
      <c r="AA28" s="43">
        <f>DATE(2025,11,1)-WEEKDAY(DATE(2025,11,1),2)+23</f>
        <v>45979</v>
      </c>
      <c r="AB28" s="43">
        <f>DATE(2025,11,1)-WEEKDAY(DATE(2025,11,1),2)+24</f>
        <v>45980</v>
      </c>
      <c r="AC28" s="43">
        <f>DATE(2025,11,1)-WEEKDAY(DATE(2025,11,1),2)+25</f>
        <v>45981</v>
      </c>
      <c r="AD28" s="43">
        <f>DATE(2025,11,1)-WEEKDAY(DATE(2025,11,1),2)+26</f>
        <v>45982</v>
      </c>
      <c r="AE28" s="43">
        <f>DATE(2025,11,1)-WEEKDAY(DATE(2025,11,1),2)+27</f>
        <v>45983</v>
      </c>
      <c r="AF28" s="43">
        <f>DATE(2025,11,1)-WEEKDAY(DATE(2025,11,1),2)+28</f>
        <v>45984</v>
      </c>
    </row>
    <row r="29" spans="2:32" ht="21" customHeight="1">
      <c r="B29" s="44">
        <f>IF(MONTH(B28)=8,IF(IFERROR(INDEX('データ'!$B$313:$J$677,MATCH(B28,'データ'!$A$313:$A$677,0),$A$2),0)=0,"",INDEX('データ'!$B$313:$J$677,MATCH(B28,'データ'!$A$313:$A$677,0),$A$2)),"")</f>
        <v>3321</v>
      </c>
      <c r="C29" s="44">
        <f>IF(MONTH(C28)=8,IF(IFERROR(INDEX('データ'!$B$313:$J$677,MATCH(C28,'データ'!$A$313:$A$677,0),$A$2),0)=0,"",INDEX('データ'!$B$313:$J$677,MATCH(C28,'データ'!$A$313:$A$677,0),$A$2)),"")</f>
        <v>2868</v>
      </c>
      <c r="D29" s="44">
        <f>IF(MONTH(D28)=8,IF(IFERROR(INDEX('データ'!$B$313:$J$677,MATCH(D28,'データ'!$A$313:$A$677,0),$A$2),0)=0,"",INDEX('データ'!$B$313:$J$677,MATCH(D28,'データ'!$A$313:$A$677,0),$A$2)),"")</f>
        <v>2885</v>
      </c>
      <c r="E29" s="44">
        <f>IF(MONTH(E28)=8,IF(IFERROR(INDEX('データ'!$B$313:$J$677,MATCH(E28,'データ'!$A$313:$A$677,0),$A$2),0)=0,"",INDEX('データ'!$B$313:$J$677,MATCH(E28,'データ'!$A$313:$A$677,0),$A$2)),"")</f>
        <v>2632</v>
      </c>
      <c r="F29" s="44">
        <f>IF(MONTH(F28)=8,IF(IFERROR(INDEX('データ'!$B$313:$J$677,MATCH(F28,'データ'!$A$313:$A$677,0),$A$2),0)=0,"",INDEX('データ'!$B$313:$J$677,MATCH(F28,'データ'!$A$313:$A$677,0),$A$2)),"")</f>
        <v>2923</v>
      </c>
      <c r="G29" s="44">
        <f>IF(MONTH(G28)=8,IF(IFERROR(INDEX('データ'!$B$313:$J$677,MATCH(G28,'データ'!$A$313:$A$677,0),$A$2),0)=0,"",INDEX('データ'!$B$313:$J$677,MATCH(G28,'データ'!$A$313:$A$677,0),$A$2)),"")</f>
        <v/>
      </c>
      <c r="H29" s="44">
        <f>IF(MONTH(H28)=8,IF(IFERROR(INDEX('データ'!$B$313:$J$677,MATCH(H28,'データ'!$A$313:$A$677,0),$A$2),0)=0,"",INDEX('データ'!$B$313:$J$677,MATCH(H28,'データ'!$A$313:$A$677,0),$A$2)),"")</f>
        <v/>
      </c>
      <c r="J29" s="44">
        <f>IF(MONTH(J28)=9,IF(IFERROR(INDEX('データ'!$B$313:$J$677,MATCH(J28,'データ'!$A$313:$A$677,0),$A$2),0)=0,"",INDEX('データ'!$B$313:$J$677,MATCH(J28,'データ'!$A$313:$A$677,0),$A$2)),"")</f>
        <v>4105</v>
      </c>
      <c r="K29" s="44">
        <f>IF(MONTH(K28)=9,IF(IFERROR(INDEX('データ'!$B$313:$J$677,MATCH(K28,'データ'!$A$313:$A$677,0),$A$2),0)=0,"",INDEX('データ'!$B$313:$J$677,MATCH(K28,'データ'!$A$313:$A$677,0),$A$2)),"")</f>
        <v/>
      </c>
      <c r="L29" s="44">
        <f>IF(MONTH(L28)=9,IF(IFERROR(INDEX('データ'!$B$313:$J$677,MATCH(L28,'データ'!$A$313:$A$677,0),$A$2),0)=0,"",INDEX('データ'!$B$313:$J$677,MATCH(L28,'データ'!$A$313:$A$677,0),$A$2)),"")</f>
        <v>3406</v>
      </c>
      <c r="M29" s="44">
        <f>IF(MONTH(M28)=9,IF(IFERROR(INDEX('データ'!$B$313:$J$677,MATCH(M28,'データ'!$A$313:$A$677,0),$A$2),0)=0,"",INDEX('データ'!$B$313:$J$677,MATCH(M28,'データ'!$A$313:$A$677,0),$A$2)),"")</f>
        <v>2826</v>
      </c>
      <c r="N29" s="44">
        <f>IF(MONTH(N28)=9,IF(IFERROR(INDEX('データ'!$B$313:$J$677,MATCH(N28,'データ'!$A$313:$A$677,0),$A$2),0)=0,"",INDEX('データ'!$B$313:$J$677,MATCH(N28,'データ'!$A$313:$A$677,0),$A$2)),"")</f>
        <v>3079</v>
      </c>
      <c r="O29" s="44">
        <f>IF(MONTH(O28)=9,IF(IFERROR(INDEX('データ'!$B$313:$J$677,MATCH(O28,'データ'!$A$313:$A$677,0),$A$2),0)=0,"",INDEX('データ'!$B$313:$J$677,MATCH(O28,'データ'!$A$313:$A$677,0),$A$2)),"")</f>
        <v/>
      </c>
      <c r="P29" s="44">
        <f>IF(MONTH(P28)=9,IF(IFERROR(INDEX('データ'!$B$313:$J$677,MATCH(P28,'データ'!$A$313:$A$677,0),$A$2),0)=0,"",INDEX('データ'!$B$313:$J$677,MATCH(P28,'データ'!$A$313:$A$677,0),$A$2)),"")</f>
        <v/>
      </c>
      <c r="R29" s="44">
        <f>IF(MONTH(R28)=10,IF(IFERROR(INDEX('データ'!$B$313:$J$677,MATCH(R28,'データ'!$A$313:$A$677,0),$A$2),0)=0,"",INDEX('データ'!$B$313:$J$677,MATCH(R28,'データ'!$A$313:$A$677,0),$A$2)),"")</f>
        <v>3349</v>
      </c>
      <c r="S29" s="44">
        <f>IF(MONTH(S28)=10,IF(IFERROR(INDEX('データ'!$B$313:$J$677,MATCH(S28,'データ'!$A$313:$A$677,0),$A$2),0)=0,"",INDEX('データ'!$B$313:$J$677,MATCH(S28,'データ'!$A$313:$A$677,0),$A$2)),"")</f>
        <v>2981</v>
      </c>
      <c r="T29" s="44">
        <f>IF(MONTH(T28)=10,IF(IFERROR(INDEX('データ'!$B$313:$J$677,MATCH(T28,'データ'!$A$313:$A$677,0),$A$2),0)=0,"",INDEX('データ'!$B$313:$J$677,MATCH(T28,'データ'!$A$313:$A$677,0),$A$2)),"")</f>
        <v>2738</v>
      </c>
      <c r="U29" s="44">
        <f>IF(MONTH(U28)=10,IF(IFERROR(INDEX('データ'!$B$313:$J$677,MATCH(U28,'データ'!$A$313:$A$677,0),$A$2),0)=0,"",INDEX('データ'!$B$313:$J$677,MATCH(U28,'データ'!$A$313:$A$677,0),$A$2)),"")</f>
        <v>2890</v>
      </c>
      <c r="V29" s="44">
        <f>IF(MONTH(V28)=10,IF(IFERROR(INDEX('データ'!$B$313:$J$677,MATCH(V28,'データ'!$A$313:$A$677,0),$A$2),0)=0,"",INDEX('データ'!$B$313:$J$677,MATCH(V28,'データ'!$A$313:$A$677,0),$A$2)),"")</f>
        <v>3111</v>
      </c>
      <c r="W29" s="44">
        <f>IF(MONTH(W28)=10,IF(IFERROR(INDEX('データ'!$B$313:$J$677,MATCH(W28,'データ'!$A$313:$A$677,0),$A$2),0)=0,"",INDEX('データ'!$B$313:$J$677,MATCH(W28,'データ'!$A$313:$A$677,0),$A$2)),"")</f>
        <v/>
      </c>
      <c r="X29" s="44">
        <f>IF(MONTH(X28)=10,IF(IFERROR(INDEX('データ'!$B$313:$J$677,MATCH(X28,'データ'!$A$313:$A$677,0),$A$2),0)=0,"",INDEX('データ'!$B$313:$J$677,MATCH(X28,'データ'!$A$313:$A$677,0),$A$2)),"")</f>
        <v/>
      </c>
      <c r="Z29" s="44">
        <f>IF(MONTH(Z28)=11,IF(IFERROR(INDEX('データ'!$B$313:$J$677,MATCH(Z28,'データ'!$A$313:$A$677,0),$A$2),0)=0,"",INDEX('データ'!$B$313:$J$677,MATCH(Z28,'データ'!$A$313:$A$677,0),$A$2)),"")</f>
        <v>3031</v>
      </c>
      <c r="AA29" s="44">
        <f>IF(MONTH(AA28)=11,IF(IFERROR(INDEX('データ'!$B$313:$J$677,MATCH(AA28,'データ'!$A$313:$A$677,0),$A$2),0)=0,"",INDEX('データ'!$B$313:$J$677,MATCH(AA28,'データ'!$A$313:$A$677,0),$A$2)),"")</f>
        <v>2683</v>
      </c>
      <c r="AB29" s="44">
        <f>IF(MONTH(AB28)=11,IF(IFERROR(INDEX('データ'!$B$313:$J$677,MATCH(AB28,'データ'!$A$313:$A$677,0),$A$2),0)=0,"",INDEX('データ'!$B$313:$J$677,MATCH(AB28,'データ'!$A$313:$A$677,0),$A$2)),"")</f>
        <v>2536</v>
      </c>
      <c r="AC29" s="44">
        <f>IF(MONTH(AC28)=11,IF(IFERROR(INDEX('データ'!$B$313:$J$677,MATCH(AC28,'データ'!$A$313:$A$677,0),$A$2),0)=0,"",INDEX('データ'!$B$313:$J$677,MATCH(AC28,'データ'!$A$313:$A$677,0),$A$2)),"")</f>
        <v>2587</v>
      </c>
      <c r="AD29" s="44">
        <f>IF(MONTH(AD28)=11,IF(IFERROR(INDEX('データ'!$B$313:$J$677,MATCH(AD28,'データ'!$A$313:$A$677,0),$A$2),0)=0,"",INDEX('データ'!$B$313:$J$677,MATCH(AD28,'データ'!$A$313:$A$677,0),$A$2)),"")</f>
        <v>2701</v>
      </c>
      <c r="AE29" s="44">
        <f>IF(MONTH(AE28)=11,IF(IFERROR(INDEX('データ'!$B$313:$J$677,MATCH(AE28,'データ'!$A$313:$A$677,0),$A$2),0)=0,"",INDEX('データ'!$B$313:$J$677,MATCH(AE28,'データ'!$A$313:$A$677,0),$A$2)),"")</f>
        <v/>
      </c>
      <c r="AF29" s="44">
        <f>IF(MONTH(AF28)=11,IF(IFERROR(INDEX('データ'!$B$313:$J$677,MATCH(AF28,'データ'!$A$313:$A$677,0),$A$2),0)=0,"",INDEX('データ'!$B$313:$J$677,MATCH(AF28,'データ'!$A$313:$A$677,0),$A$2)),"")</f>
        <v/>
      </c>
    </row>
    <row r="30" spans="2:32" ht="13" customHeight="1">
      <c r="B30" s="43">
        <f>DATE(2025,8,1)-WEEKDAY(DATE(2025,8,1),2)+29</f>
        <v>45894</v>
      </c>
      <c r="C30" s="43">
        <f>DATE(2025,8,1)-WEEKDAY(DATE(2025,8,1),2)+30</f>
        <v>45895</v>
      </c>
      <c r="D30" s="43">
        <f>DATE(2025,8,1)-WEEKDAY(DATE(2025,8,1),2)+31</f>
        <v>45896</v>
      </c>
      <c r="E30" s="43">
        <f>DATE(2025,8,1)-WEEKDAY(DATE(2025,8,1),2)+32</f>
        <v>45897</v>
      </c>
      <c r="F30" s="43">
        <f>DATE(2025,8,1)-WEEKDAY(DATE(2025,8,1),2)+33</f>
        <v>45898</v>
      </c>
      <c r="G30" s="43">
        <f>DATE(2025,8,1)-WEEKDAY(DATE(2025,8,1),2)+34</f>
        <v>45899</v>
      </c>
      <c r="H30" s="43">
        <f>DATE(2025,8,1)-WEEKDAY(DATE(2025,8,1),2)+35</f>
        <v>45900</v>
      </c>
      <c r="J30" s="43">
        <f>DATE(2025,9,1)-WEEKDAY(DATE(2025,9,1),2)+29</f>
        <v>45929</v>
      </c>
      <c r="K30" s="43">
        <f>DATE(2025,9,1)-WEEKDAY(DATE(2025,9,1),2)+30</f>
        <v>45930</v>
      </c>
      <c r="L30" s="43">
        <f>DATE(2025,9,1)-WEEKDAY(DATE(2025,9,1),2)+31</f>
        <v>45931</v>
      </c>
      <c r="M30" s="43">
        <f>DATE(2025,9,1)-WEEKDAY(DATE(2025,9,1),2)+32</f>
        <v>45932</v>
      </c>
      <c r="N30" s="43">
        <f>DATE(2025,9,1)-WEEKDAY(DATE(2025,9,1),2)+33</f>
        <v>45933</v>
      </c>
      <c r="O30" s="43">
        <f>DATE(2025,9,1)-WEEKDAY(DATE(2025,9,1),2)+34</f>
        <v>45934</v>
      </c>
      <c r="P30" s="43">
        <f>DATE(2025,9,1)-WEEKDAY(DATE(2025,9,1),2)+35</f>
        <v>45935</v>
      </c>
      <c r="R30" s="43">
        <f>DATE(2025,10,1)-WEEKDAY(DATE(2025,10,1),2)+29</f>
        <v>45957</v>
      </c>
      <c r="S30" s="43">
        <f>DATE(2025,10,1)-WEEKDAY(DATE(2025,10,1),2)+30</f>
        <v>45958</v>
      </c>
      <c r="T30" s="43">
        <f>DATE(2025,10,1)-WEEKDAY(DATE(2025,10,1),2)+31</f>
        <v>45959</v>
      </c>
      <c r="U30" s="43">
        <f>DATE(2025,10,1)-WEEKDAY(DATE(2025,10,1),2)+32</f>
        <v>45960</v>
      </c>
      <c r="V30" s="43">
        <f>DATE(2025,10,1)-WEEKDAY(DATE(2025,10,1),2)+33</f>
        <v>45961</v>
      </c>
      <c r="W30" s="43">
        <f>DATE(2025,10,1)-WEEKDAY(DATE(2025,10,1),2)+34</f>
        <v>45962</v>
      </c>
      <c r="X30" s="43">
        <f>DATE(2025,10,1)-WEEKDAY(DATE(2025,10,1),2)+35</f>
        <v>45963</v>
      </c>
      <c r="Z30" s="43">
        <f>DATE(2025,11,1)-WEEKDAY(DATE(2025,11,1),2)+29</f>
        <v>45985</v>
      </c>
      <c r="AA30" s="43">
        <f>DATE(2025,11,1)-WEEKDAY(DATE(2025,11,1),2)+30</f>
        <v>45986</v>
      </c>
      <c r="AB30" s="43">
        <f>DATE(2025,11,1)-WEEKDAY(DATE(2025,11,1),2)+31</f>
        <v>45987</v>
      </c>
      <c r="AC30" s="43">
        <f>DATE(2025,11,1)-WEEKDAY(DATE(2025,11,1),2)+32</f>
        <v>45988</v>
      </c>
      <c r="AD30" s="43">
        <f>DATE(2025,11,1)-WEEKDAY(DATE(2025,11,1),2)+33</f>
        <v>45989</v>
      </c>
      <c r="AE30" s="43">
        <f>DATE(2025,11,1)-WEEKDAY(DATE(2025,11,1),2)+34</f>
        <v>45990</v>
      </c>
      <c r="AF30" s="43">
        <f>DATE(2025,11,1)-WEEKDAY(DATE(2025,11,1),2)+35</f>
        <v>45991</v>
      </c>
    </row>
    <row r="31" spans="2:32" ht="21" customHeight="1">
      <c r="B31" s="44">
        <f>IF(MONTH(B30)=8,IF(IFERROR(INDEX('データ'!$B$313:$J$677,MATCH(B30,'データ'!$A$313:$A$677,0),$A$2),0)=0,"",INDEX('データ'!$B$313:$J$677,MATCH(B30,'データ'!$A$313:$A$677,0),$A$2)),"")</f>
        <v>3401</v>
      </c>
      <c r="C31" s="44">
        <f>IF(MONTH(C30)=8,IF(IFERROR(INDEX('データ'!$B$313:$J$677,MATCH(C30,'データ'!$A$313:$A$677,0),$A$2),0)=0,"",INDEX('データ'!$B$313:$J$677,MATCH(C30,'データ'!$A$313:$A$677,0),$A$2)),"")</f>
        <v>2830</v>
      </c>
      <c r="D31" s="44">
        <f>IF(MONTH(D30)=8,IF(IFERROR(INDEX('データ'!$B$313:$J$677,MATCH(D30,'データ'!$A$313:$A$677,0),$A$2),0)=0,"",INDEX('データ'!$B$313:$J$677,MATCH(D30,'データ'!$A$313:$A$677,0),$A$2)),"")</f>
        <v>2902</v>
      </c>
      <c r="E31" s="44">
        <f>IF(MONTH(E30)=8,IF(IFERROR(INDEX('データ'!$B$313:$J$677,MATCH(E30,'データ'!$A$313:$A$677,0),$A$2),0)=0,"",INDEX('データ'!$B$313:$J$677,MATCH(E30,'データ'!$A$313:$A$677,0),$A$2)),"")</f>
        <v>2733</v>
      </c>
      <c r="F31" s="44">
        <f>IF(MONTH(F30)=8,IF(IFERROR(INDEX('データ'!$B$313:$J$677,MATCH(F30,'データ'!$A$313:$A$677,0),$A$2),0)=0,"",INDEX('データ'!$B$313:$J$677,MATCH(F30,'データ'!$A$313:$A$677,0),$A$2)),"")</f>
        <v>2877</v>
      </c>
      <c r="G31" s="44">
        <f>IF(MONTH(G30)=8,IF(IFERROR(INDEX('データ'!$B$313:$J$677,MATCH(G30,'データ'!$A$313:$A$677,0),$A$2),0)=0,"",INDEX('データ'!$B$313:$J$677,MATCH(G30,'データ'!$A$313:$A$677,0),$A$2)),"")</f>
        <v/>
      </c>
      <c r="H31" s="44">
        <f>IF(MONTH(H30)=8,IF(IFERROR(INDEX('データ'!$B$313:$J$677,MATCH(H30,'データ'!$A$313:$A$677,0),$A$2),0)=0,"",INDEX('データ'!$B$313:$J$677,MATCH(H30,'データ'!$A$313:$A$677,0),$A$2)),"")</f>
        <v/>
      </c>
      <c r="J31" s="44">
        <f>IF(MONTH(J30)=9,IF(IFERROR(INDEX('データ'!$B$313:$J$677,MATCH(J30,'データ'!$A$313:$A$677,0),$A$2),0)=0,"",INDEX('データ'!$B$313:$J$677,MATCH(J30,'データ'!$A$313:$A$677,0),$A$2)),"")</f>
        <v>3686</v>
      </c>
      <c r="K31" s="44">
        <f>IF(MONTH(K30)=9,IF(IFERROR(INDEX('データ'!$B$313:$J$677,MATCH(K30,'データ'!$A$313:$A$677,0),$A$2),0)=0,"",INDEX('データ'!$B$313:$J$677,MATCH(K30,'データ'!$A$313:$A$677,0),$A$2)),"")</f>
        <v>3117</v>
      </c>
      <c r="L31" s="44">
        <f>IF(MONTH(L30)=9,IF(IFERROR(INDEX('データ'!$B$313:$J$677,MATCH(L30,'データ'!$A$313:$A$677,0),$A$2),0)=0,"",INDEX('データ'!$B$313:$J$677,MATCH(L30,'データ'!$A$313:$A$677,0),$A$2)),"")</f>
        <v/>
      </c>
      <c r="M31" s="44">
        <f>IF(MONTH(M30)=9,IF(IFERROR(INDEX('データ'!$B$313:$J$677,MATCH(M30,'データ'!$A$313:$A$677,0),$A$2),0)=0,"",INDEX('データ'!$B$313:$J$677,MATCH(M30,'データ'!$A$313:$A$677,0),$A$2)),"")</f>
        <v/>
      </c>
      <c r="N31" s="44">
        <f>IF(MONTH(N30)=9,IF(IFERROR(INDEX('データ'!$B$313:$J$677,MATCH(N30,'データ'!$A$313:$A$677,0),$A$2),0)=0,"",INDEX('データ'!$B$313:$J$677,MATCH(N30,'データ'!$A$313:$A$677,0),$A$2)),"")</f>
        <v/>
      </c>
      <c r="O31" s="44">
        <f>IF(MONTH(O30)=9,IF(IFERROR(INDEX('データ'!$B$313:$J$677,MATCH(O30,'データ'!$A$313:$A$677,0),$A$2),0)=0,"",INDEX('データ'!$B$313:$J$677,MATCH(O30,'データ'!$A$313:$A$677,0),$A$2)),"")</f>
        <v/>
      </c>
      <c r="P31" s="44">
        <f>IF(MONTH(P30)=9,IF(IFERROR(INDEX('データ'!$B$313:$J$677,MATCH(P30,'データ'!$A$313:$A$677,0),$A$2),0)=0,"",INDEX('データ'!$B$313:$J$677,MATCH(P30,'データ'!$A$313:$A$677,0),$A$2)),"")</f>
        <v/>
      </c>
      <c r="R31" s="44">
        <f>IF(MONTH(R30)=10,IF(IFERROR(INDEX('データ'!$B$313:$J$677,MATCH(R30,'データ'!$A$313:$A$677,0),$A$2),0)=0,"",INDEX('データ'!$B$313:$J$677,MATCH(R30,'データ'!$A$313:$A$677,0),$A$2)),"")</f>
        <v>3571</v>
      </c>
      <c r="S31" s="44">
        <f>IF(MONTH(S30)=10,IF(IFERROR(INDEX('データ'!$B$313:$J$677,MATCH(S30,'データ'!$A$313:$A$677,0),$A$2),0)=0,"",INDEX('データ'!$B$313:$J$677,MATCH(S30,'データ'!$A$313:$A$677,0),$A$2)),"")</f>
        <v>2816</v>
      </c>
      <c r="T31" s="44">
        <f>IF(MONTH(T30)=10,IF(IFERROR(INDEX('データ'!$B$313:$J$677,MATCH(T30,'データ'!$A$313:$A$677,0),$A$2),0)=0,"",INDEX('データ'!$B$313:$J$677,MATCH(T30,'データ'!$A$313:$A$677,0),$A$2)),"")</f>
        <v>3008</v>
      </c>
      <c r="U31" s="44">
        <f>IF(MONTH(U30)=10,IF(IFERROR(INDEX('データ'!$B$313:$J$677,MATCH(U30,'データ'!$A$313:$A$677,0),$A$2),0)=0,"",INDEX('データ'!$B$313:$J$677,MATCH(U30,'データ'!$A$313:$A$677,0),$A$2)),"")</f>
        <v>2761</v>
      </c>
      <c r="V31" s="44">
        <f>IF(MONTH(V30)=10,IF(IFERROR(INDEX('データ'!$B$313:$J$677,MATCH(V30,'データ'!$A$313:$A$677,0),$A$2),0)=0,"",INDEX('データ'!$B$313:$J$677,MATCH(V30,'データ'!$A$313:$A$677,0),$A$2)),"")</f>
        <v>2661</v>
      </c>
      <c r="W31" s="44">
        <f>IF(MONTH(W30)=10,IF(IFERROR(INDEX('データ'!$B$313:$J$677,MATCH(W30,'データ'!$A$313:$A$677,0),$A$2),0)=0,"",INDEX('データ'!$B$313:$J$677,MATCH(W30,'データ'!$A$313:$A$677,0),$A$2)),"")</f>
        <v/>
      </c>
      <c r="X31" s="44">
        <f>IF(MONTH(X30)=10,IF(IFERROR(INDEX('データ'!$B$313:$J$677,MATCH(X30,'データ'!$A$313:$A$677,0),$A$2),0)=0,"",INDEX('データ'!$B$313:$J$677,MATCH(X30,'データ'!$A$313:$A$677,0),$A$2)),"")</f>
        <v/>
      </c>
      <c r="Z31" s="44">
        <f>IF(MONTH(Z30)=11,IF(IFERROR(INDEX('データ'!$B$313:$J$677,MATCH(Z30,'データ'!$A$313:$A$677,0),$A$2),0)=0,"",INDEX('データ'!$B$313:$J$677,MATCH(Z30,'データ'!$A$313:$A$677,0),$A$2)),"")</f>
        <v/>
      </c>
      <c r="AA31" s="44">
        <f>IF(MONTH(AA30)=11,IF(IFERROR(INDEX('データ'!$B$313:$J$677,MATCH(AA30,'データ'!$A$313:$A$677,0),$A$2),0)=0,"",INDEX('データ'!$B$313:$J$677,MATCH(AA30,'データ'!$A$313:$A$677,0),$A$2)),"")</f>
        <v>2933</v>
      </c>
      <c r="AB31" s="44">
        <f>IF(MONTH(AB30)=11,IF(IFERROR(INDEX('データ'!$B$313:$J$677,MATCH(AB30,'データ'!$A$313:$A$677,0),$A$2),0)=0,"",INDEX('データ'!$B$313:$J$677,MATCH(AB30,'データ'!$A$313:$A$677,0),$A$2)),"")</f>
        <v>3140</v>
      </c>
      <c r="AC31" s="44">
        <f>IF(MONTH(AC30)=11,IF(IFERROR(INDEX('データ'!$B$313:$J$677,MATCH(AC30,'データ'!$A$313:$A$677,0),$A$2),0)=0,"",INDEX('データ'!$B$313:$J$677,MATCH(AC30,'データ'!$A$313:$A$677,0),$A$2)),"")</f>
        <v>2820</v>
      </c>
      <c r="AD31" s="44">
        <f>IF(MONTH(AD30)=11,IF(IFERROR(INDEX('データ'!$B$313:$J$677,MATCH(AD30,'データ'!$A$313:$A$677,0),$A$2),0)=0,"",INDEX('データ'!$B$313:$J$677,MATCH(AD30,'データ'!$A$313:$A$677,0),$A$2)),"")</f>
        <v>2792</v>
      </c>
      <c r="AE31" s="44">
        <f>IF(MONTH(AE30)=11,IF(IFERROR(INDEX('データ'!$B$313:$J$677,MATCH(AE30,'データ'!$A$313:$A$677,0),$A$2),0)=0,"",INDEX('データ'!$B$313:$J$677,MATCH(AE30,'データ'!$A$313:$A$677,0),$A$2)),"")</f>
        <v/>
      </c>
      <c r="AF31" s="44">
        <f>IF(MONTH(AF30)=11,IF(IFERROR(INDEX('データ'!$B$313:$J$677,MATCH(AF30,'データ'!$A$313:$A$677,0),$A$2),0)=0,"",INDEX('データ'!$B$313:$J$677,MATCH(AF30,'データ'!$A$313:$A$677,0),$A$2)),"")</f>
        <v/>
      </c>
    </row>
    <row r="32" spans="2:32" ht="13" customHeight="1">
      <c r="B32" s="43">
        <f>DATE(2025,8,1)-WEEKDAY(DATE(2025,8,1),2)+36</f>
        <v>45901</v>
      </c>
      <c r="C32" s="43">
        <f>DATE(2025,8,1)-WEEKDAY(DATE(2025,8,1),2)+37</f>
        <v>45902</v>
      </c>
      <c r="D32" s="43">
        <f>DATE(2025,8,1)-WEEKDAY(DATE(2025,8,1),2)+38</f>
        <v>45903</v>
      </c>
      <c r="E32" s="43">
        <f>DATE(2025,8,1)-WEEKDAY(DATE(2025,8,1),2)+39</f>
        <v>45904</v>
      </c>
      <c r="F32" s="43">
        <f>DATE(2025,8,1)-WEEKDAY(DATE(2025,8,1),2)+40</f>
        <v>45905</v>
      </c>
      <c r="G32" s="43">
        <f>DATE(2025,8,1)-WEEKDAY(DATE(2025,8,1),2)+41</f>
        <v>45906</v>
      </c>
      <c r="H32" s="43">
        <f>DATE(2025,8,1)-WEEKDAY(DATE(2025,8,1),2)+42</f>
        <v>45907</v>
      </c>
      <c r="J32" s="43">
        <f>DATE(2025,9,1)-WEEKDAY(DATE(2025,9,1),2)+36</f>
        <v>45936</v>
      </c>
      <c r="K32" s="43">
        <f>DATE(2025,9,1)-WEEKDAY(DATE(2025,9,1),2)+37</f>
        <v>45937</v>
      </c>
      <c r="L32" s="43">
        <f>DATE(2025,9,1)-WEEKDAY(DATE(2025,9,1),2)+38</f>
        <v>45938</v>
      </c>
      <c r="M32" s="43">
        <f>DATE(2025,9,1)-WEEKDAY(DATE(2025,9,1),2)+39</f>
        <v>45939</v>
      </c>
      <c r="N32" s="43">
        <f>DATE(2025,9,1)-WEEKDAY(DATE(2025,9,1),2)+40</f>
        <v>45940</v>
      </c>
      <c r="O32" s="43">
        <f>DATE(2025,9,1)-WEEKDAY(DATE(2025,9,1),2)+41</f>
        <v>45941</v>
      </c>
      <c r="P32" s="43">
        <f>DATE(2025,9,1)-WEEKDAY(DATE(2025,9,1),2)+42</f>
        <v>45942</v>
      </c>
      <c r="R32" s="43">
        <f>DATE(2025,10,1)-WEEKDAY(DATE(2025,10,1),2)+36</f>
        <v>45964</v>
      </c>
      <c r="S32" s="43">
        <f>DATE(2025,10,1)-WEEKDAY(DATE(2025,10,1),2)+37</f>
        <v>45965</v>
      </c>
      <c r="T32" s="43">
        <f>DATE(2025,10,1)-WEEKDAY(DATE(2025,10,1),2)+38</f>
        <v>45966</v>
      </c>
      <c r="U32" s="43">
        <f>DATE(2025,10,1)-WEEKDAY(DATE(2025,10,1),2)+39</f>
        <v>45967</v>
      </c>
      <c r="V32" s="43">
        <f>DATE(2025,10,1)-WEEKDAY(DATE(2025,10,1),2)+40</f>
        <v>45968</v>
      </c>
      <c r="W32" s="43">
        <f>DATE(2025,10,1)-WEEKDAY(DATE(2025,10,1),2)+41</f>
        <v>45969</v>
      </c>
      <c r="X32" s="43">
        <f>DATE(2025,10,1)-WEEKDAY(DATE(2025,10,1),2)+42</f>
        <v>45970</v>
      </c>
      <c r="Z32" s="43">
        <f>DATE(2025,11,1)-WEEKDAY(DATE(2025,11,1),2)+36</f>
        <v>45992</v>
      </c>
      <c r="AA32" s="43">
        <f>DATE(2025,11,1)-WEEKDAY(DATE(2025,11,1),2)+37</f>
        <v>45993</v>
      </c>
      <c r="AB32" s="43">
        <f>DATE(2025,11,1)-WEEKDAY(DATE(2025,11,1),2)+38</f>
        <v>45994</v>
      </c>
      <c r="AC32" s="43">
        <f>DATE(2025,11,1)-WEEKDAY(DATE(2025,11,1),2)+39</f>
        <v>45995</v>
      </c>
      <c r="AD32" s="43">
        <f>DATE(2025,11,1)-WEEKDAY(DATE(2025,11,1),2)+40</f>
        <v>45996</v>
      </c>
      <c r="AE32" s="43">
        <f>DATE(2025,11,1)-WEEKDAY(DATE(2025,11,1),2)+41</f>
        <v>45997</v>
      </c>
      <c r="AF32" s="43">
        <f>DATE(2025,11,1)-WEEKDAY(DATE(2025,11,1),2)+42</f>
        <v>45998</v>
      </c>
    </row>
    <row r="33" spans="2:32" ht="21" customHeight="1">
      <c r="B33" s="44">
        <f>IF(MONTH(B32)=8,IF(IFERROR(INDEX('データ'!$B$313:$J$677,MATCH(B32,'データ'!$A$313:$A$677,0),$A$2),0)=0,"",INDEX('データ'!$B$313:$J$677,MATCH(B32,'データ'!$A$313:$A$677,0),$A$2)),"")</f>
        <v/>
      </c>
      <c r="C33" s="44">
        <f>IF(MONTH(C32)=8,IF(IFERROR(INDEX('データ'!$B$313:$J$677,MATCH(C32,'データ'!$A$313:$A$677,0),$A$2),0)=0,"",INDEX('データ'!$B$313:$J$677,MATCH(C32,'データ'!$A$313:$A$677,0),$A$2)),"")</f>
        <v/>
      </c>
      <c r="D33" s="44">
        <f>IF(MONTH(D32)=8,IF(IFERROR(INDEX('データ'!$B$313:$J$677,MATCH(D32,'データ'!$A$313:$A$677,0),$A$2),0)=0,"",INDEX('データ'!$B$313:$J$677,MATCH(D32,'データ'!$A$313:$A$677,0),$A$2)),"")</f>
        <v/>
      </c>
      <c r="E33" s="44">
        <f>IF(MONTH(E32)=8,IF(IFERROR(INDEX('データ'!$B$313:$J$677,MATCH(E32,'データ'!$A$313:$A$677,0),$A$2),0)=0,"",INDEX('データ'!$B$313:$J$677,MATCH(E32,'データ'!$A$313:$A$677,0),$A$2)),"")</f>
        <v/>
      </c>
      <c r="F33" s="44">
        <f>IF(MONTH(F32)=8,IF(IFERROR(INDEX('データ'!$B$313:$J$677,MATCH(F32,'データ'!$A$313:$A$677,0),$A$2),0)=0,"",INDEX('データ'!$B$313:$J$677,MATCH(F32,'データ'!$A$313:$A$677,0),$A$2)),"")</f>
        <v/>
      </c>
      <c r="G33" s="44">
        <f>IF(MONTH(G32)=8,IF(IFERROR(INDEX('データ'!$B$313:$J$677,MATCH(G32,'データ'!$A$313:$A$677,0),$A$2),0)=0,"",INDEX('データ'!$B$313:$J$677,MATCH(G32,'データ'!$A$313:$A$677,0),$A$2)),"")</f>
        <v/>
      </c>
      <c r="H33" s="44">
        <f>IF(MONTH(H32)=8,IF(IFERROR(INDEX('データ'!$B$313:$J$677,MATCH(H32,'データ'!$A$313:$A$677,0),$A$2),0)=0,"",INDEX('データ'!$B$313:$J$677,MATCH(H32,'データ'!$A$313:$A$677,0),$A$2)),"")</f>
        <v/>
      </c>
      <c r="J33" s="44">
        <f>IF(MONTH(J32)=9,IF(IFERROR(INDEX('データ'!$B$313:$J$677,MATCH(J32,'データ'!$A$313:$A$677,0),$A$2),0)=0,"",INDEX('データ'!$B$313:$J$677,MATCH(J32,'データ'!$A$313:$A$677,0),$A$2)),"")</f>
        <v/>
      </c>
      <c r="K33" s="44">
        <f>IF(MONTH(K32)=9,IF(IFERROR(INDEX('データ'!$B$313:$J$677,MATCH(K32,'データ'!$A$313:$A$677,0),$A$2),0)=0,"",INDEX('データ'!$B$313:$J$677,MATCH(K32,'データ'!$A$313:$A$677,0),$A$2)),"")</f>
        <v/>
      </c>
      <c r="L33" s="44">
        <f>IF(MONTH(L32)=9,IF(IFERROR(INDEX('データ'!$B$313:$J$677,MATCH(L32,'データ'!$A$313:$A$677,0),$A$2),0)=0,"",INDEX('データ'!$B$313:$J$677,MATCH(L32,'データ'!$A$313:$A$677,0),$A$2)),"")</f>
        <v/>
      </c>
      <c r="M33" s="44">
        <f>IF(MONTH(M32)=9,IF(IFERROR(INDEX('データ'!$B$313:$J$677,MATCH(M32,'データ'!$A$313:$A$677,0),$A$2),0)=0,"",INDEX('データ'!$B$313:$J$677,MATCH(M32,'データ'!$A$313:$A$677,0),$A$2)),"")</f>
        <v/>
      </c>
      <c r="N33" s="44">
        <f>IF(MONTH(N32)=9,IF(IFERROR(INDEX('データ'!$B$313:$J$677,MATCH(N32,'データ'!$A$313:$A$677,0),$A$2),0)=0,"",INDEX('データ'!$B$313:$J$677,MATCH(N32,'データ'!$A$313:$A$677,0),$A$2)),"")</f>
        <v/>
      </c>
      <c r="O33" s="44">
        <f>IF(MONTH(O32)=9,IF(IFERROR(INDEX('データ'!$B$313:$J$677,MATCH(O32,'データ'!$A$313:$A$677,0),$A$2),0)=0,"",INDEX('データ'!$B$313:$J$677,MATCH(O32,'データ'!$A$313:$A$677,0),$A$2)),"")</f>
        <v/>
      </c>
      <c r="P33" s="44">
        <f>IF(MONTH(P32)=9,IF(IFERROR(INDEX('データ'!$B$313:$J$677,MATCH(P32,'データ'!$A$313:$A$677,0),$A$2),0)=0,"",INDEX('データ'!$B$313:$J$677,MATCH(P32,'データ'!$A$313:$A$677,0),$A$2)),"")</f>
        <v/>
      </c>
      <c r="R33" s="44">
        <f>IF(MONTH(R32)=10,IF(IFERROR(INDEX('データ'!$B$313:$J$677,MATCH(R32,'データ'!$A$313:$A$677,0),$A$2),0)=0,"",INDEX('データ'!$B$313:$J$677,MATCH(R32,'データ'!$A$313:$A$677,0),$A$2)),"")</f>
        <v/>
      </c>
      <c r="S33" s="44">
        <f>IF(MONTH(S32)=10,IF(IFERROR(INDEX('データ'!$B$313:$J$677,MATCH(S32,'データ'!$A$313:$A$677,0),$A$2),0)=0,"",INDEX('データ'!$B$313:$J$677,MATCH(S32,'データ'!$A$313:$A$677,0),$A$2)),"")</f>
        <v/>
      </c>
      <c r="T33" s="44">
        <f>IF(MONTH(T32)=10,IF(IFERROR(INDEX('データ'!$B$313:$J$677,MATCH(T32,'データ'!$A$313:$A$677,0),$A$2),0)=0,"",INDEX('データ'!$B$313:$J$677,MATCH(T32,'データ'!$A$313:$A$677,0),$A$2)),"")</f>
        <v/>
      </c>
      <c r="U33" s="44">
        <f>IF(MONTH(U32)=10,IF(IFERROR(INDEX('データ'!$B$313:$J$677,MATCH(U32,'データ'!$A$313:$A$677,0),$A$2),0)=0,"",INDEX('データ'!$B$313:$J$677,MATCH(U32,'データ'!$A$313:$A$677,0),$A$2)),"")</f>
        <v/>
      </c>
      <c r="V33" s="44">
        <f>IF(MONTH(V32)=10,IF(IFERROR(INDEX('データ'!$B$313:$J$677,MATCH(V32,'データ'!$A$313:$A$677,0),$A$2),0)=0,"",INDEX('データ'!$B$313:$J$677,MATCH(V32,'データ'!$A$313:$A$677,0),$A$2)),"")</f>
        <v/>
      </c>
      <c r="W33" s="44">
        <f>IF(MONTH(W32)=10,IF(IFERROR(INDEX('データ'!$B$313:$J$677,MATCH(W32,'データ'!$A$313:$A$677,0),$A$2),0)=0,"",INDEX('データ'!$B$313:$J$677,MATCH(W32,'データ'!$A$313:$A$677,0),$A$2)),"")</f>
        <v/>
      </c>
      <c r="X33" s="44">
        <f>IF(MONTH(X32)=10,IF(IFERROR(INDEX('データ'!$B$313:$J$677,MATCH(X32,'データ'!$A$313:$A$677,0),$A$2),0)=0,"",INDEX('データ'!$B$313:$J$677,MATCH(X32,'データ'!$A$313:$A$677,0),$A$2)),"")</f>
        <v/>
      </c>
      <c r="Z33" s="44">
        <f>IF(MONTH(Z32)=11,IF(IFERROR(INDEX('データ'!$B$313:$J$677,MATCH(Z32,'データ'!$A$313:$A$677,0),$A$2),0)=0,"",INDEX('データ'!$B$313:$J$677,MATCH(Z32,'データ'!$A$313:$A$677,0),$A$2)),"")</f>
        <v/>
      </c>
      <c r="AA33" s="44">
        <f>IF(MONTH(AA32)=11,IF(IFERROR(INDEX('データ'!$B$313:$J$677,MATCH(AA32,'データ'!$A$313:$A$677,0),$A$2),0)=0,"",INDEX('データ'!$B$313:$J$677,MATCH(AA32,'データ'!$A$313:$A$677,0),$A$2)),"")</f>
        <v/>
      </c>
      <c r="AB33" s="44">
        <f>IF(MONTH(AB32)=11,IF(IFERROR(INDEX('データ'!$B$313:$J$677,MATCH(AB32,'データ'!$A$313:$A$677,0),$A$2),0)=0,"",INDEX('データ'!$B$313:$J$677,MATCH(AB32,'データ'!$A$313:$A$677,0),$A$2)),"")</f>
        <v/>
      </c>
      <c r="AC33" s="44">
        <f>IF(MONTH(AC32)=11,IF(IFERROR(INDEX('データ'!$B$313:$J$677,MATCH(AC32,'データ'!$A$313:$A$677,0),$A$2),0)=0,"",INDEX('データ'!$B$313:$J$677,MATCH(AC32,'データ'!$A$313:$A$677,0),$A$2)),"")</f>
        <v/>
      </c>
      <c r="AD33" s="44">
        <f>IF(MONTH(AD32)=11,IF(IFERROR(INDEX('データ'!$B$313:$J$677,MATCH(AD32,'データ'!$A$313:$A$677,0),$A$2),0)=0,"",INDEX('データ'!$B$313:$J$677,MATCH(AD32,'データ'!$A$313:$A$677,0),$A$2)),"")</f>
        <v/>
      </c>
      <c r="AE33" s="44">
        <f>IF(MONTH(AE32)=11,IF(IFERROR(INDEX('データ'!$B$313:$J$677,MATCH(AE32,'データ'!$A$313:$A$677,0),$A$2),0)=0,"",INDEX('データ'!$B$313:$J$677,MATCH(AE32,'データ'!$A$313:$A$677,0),$A$2)),"")</f>
        <v/>
      </c>
      <c r="AF33" s="44">
        <f>IF(MONTH(AF32)=11,IF(IFERROR(INDEX('データ'!$B$313:$J$677,MATCH(AF32,'データ'!$A$313:$A$677,0),$A$2),0)=0,"",INDEX('データ'!$B$313:$J$677,MATCH(AF32,'データ'!$A$313:$A$677,0),$A$2)),"")</f>
        <v/>
      </c>
    </row>
    <row r="35" spans="2:32">
      <c r="B35" s="39" t="s">
        <v>403</v>
      </c>
      <c r="C35" s="39"/>
      <c r="D35" s="39"/>
      <c r="E35" s="39"/>
      <c r="F35" s="39"/>
      <c r="G35" s="39"/>
      <c r="H35" s="39"/>
      <c r="J35" s="39" t="s">
        <v>404</v>
      </c>
      <c r="K35" s="39"/>
      <c r="L35" s="39"/>
      <c r="M35" s="39"/>
      <c r="N35" s="39"/>
      <c r="O35" s="39"/>
      <c r="P35" s="39"/>
      <c r="R35" s="39" t="s">
        <v>405</v>
      </c>
      <c r="S35" s="39"/>
      <c r="T35" s="39"/>
      <c r="U35" s="39"/>
      <c r="V35" s="39"/>
      <c r="W35" s="39"/>
      <c r="X35" s="39"/>
      <c r="Z35" s="39" t="s">
        <v>406</v>
      </c>
      <c r="AA35" s="39"/>
      <c r="AB35" s="39"/>
      <c r="AC35" s="39"/>
      <c r="AD35" s="39"/>
      <c r="AE35" s="39"/>
      <c r="AF35" s="39"/>
    </row>
    <row r="36" spans="2:32">
      <c r="B36" s="40" t="s">
        <v>5</v>
      </c>
      <c r="C36" s="40" t="s">
        <v>206</v>
      </c>
      <c r="D36" s="40" t="s">
        <v>208</v>
      </c>
      <c r="E36" s="40" t="s">
        <v>210</v>
      </c>
      <c r="F36" s="40" t="s">
        <v>212</v>
      </c>
      <c r="G36" s="41" t="s">
        <v>214</v>
      </c>
      <c r="H36" s="42" t="s">
        <v>216</v>
      </c>
      <c r="J36" s="40" t="s">
        <v>5</v>
      </c>
      <c r="K36" s="40" t="s">
        <v>206</v>
      </c>
      <c r="L36" s="40" t="s">
        <v>208</v>
      </c>
      <c r="M36" s="40" t="s">
        <v>210</v>
      </c>
      <c r="N36" s="40" t="s">
        <v>212</v>
      </c>
      <c r="O36" s="41" t="s">
        <v>214</v>
      </c>
      <c r="P36" s="42" t="s">
        <v>216</v>
      </c>
      <c r="R36" s="40" t="s">
        <v>5</v>
      </c>
      <c r="S36" s="40" t="s">
        <v>206</v>
      </c>
      <c r="T36" s="40" t="s">
        <v>208</v>
      </c>
      <c r="U36" s="40" t="s">
        <v>210</v>
      </c>
      <c r="V36" s="40" t="s">
        <v>212</v>
      </c>
      <c r="W36" s="41" t="s">
        <v>214</v>
      </c>
      <c r="X36" s="42" t="s">
        <v>216</v>
      </c>
      <c r="Z36" s="40" t="s">
        <v>5</v>
      </c>
      <c r="AA36" s="40" t="s">
        <v>206</v>
      </c>
      <c r="AB36" s="40" t="s">
        <v>208</v>
      </c>
      <c r="AC36" s="40" t="s">
        <v>210</v>
      </c>
      <c r="AD36" s="40" t="s">
        <v>212</v>
      </c>
      <c r="AE36" s="41" t="s">
        <v>214</v>
      </c>
      <c r="AF36" s="42" t="s">
        <v>216</v>
      </c>
    </row>
    <row r="37" spans="2:32" ht="13" customHeight="1">
      <c r="B37" s="43">
        <f>DATE(2025,12,1)-WEEKDAY(DATE(2025,12,1),2)+1</f>
        <v>45992</v>
      </c>
      <c r="C37" s="43">
        <f>DATE(2025,12,1)-WEEKDAY(DATE(2025,12,1),2)+2</f>
        <v>45993</v>
      </c>
      <c r="D37" s="43">
        <f>DATE(2025,12,1)-WEEKDAY(DATE(2025,12,1),2)+3</f>
        <v>45994</v>
      </c>
      <c r="E37" s="43">
        <f>DATE(2025,12,1)-WEEKDAY(DATE(2025,12,1),2)+4</f>
        <v>45995</v>
      </c>
      <c r="F37" s="43">
        <f>DATE(2025,12,1)-WEEKDAY(DATE(2025,12,1),2)+5</f>
        <v>45996</v>
      </c>
      <c r="G37" s="43">
        <f>DATE(2025,12,1)-WEEKDAY(DATE(2025,12,1),2)+6</f>
        <v>45997</v>
      </c>
      <c r="H37" s="43">
        <f>DATE(2025,12,1)-WEEKDAY(DATE(2025,12,1),2)+7</f>
        <v>45998</v>
      </c>
      <c r="J37" s="43">
        <f>DATE(2026,1,1)-WEEKDAY(DATE(2026,1,1),2)+1</f>
        <v>46020</v>
      </c>
      <c r="K37" s="43">
        <f>DATE(2026,1,1)-WEEKDAY(DATE(2026,1,1),2)+2</f>
        <v>46021</v>
      </c>
      <c r="L37" s="43">
        <f>DATE(2026,1,1)-WEEKDAY(DATE(2026,1,1),2)+3</f>
        <v>46022</v>
      </c>
      <c r="M37" s="43">
        <f>DATE(2026,1,1)-WEEKDAY(DATE(2026,1,1),2)+4</f>
        <v>46023</v>
      </c>
      <c r="N37" s="43">
        <f>DATE(2026,1,1)-WEEKDAY(DATE(2026,1,1),2)+5</f>
        <v>46024</v>
      </c>
      <c r="O37" s="43">
        <f>DATE(2026,1,1)-WEEKDAY(DATE(2026,1,1),2)+6</f>
        <v>46025</v>
      </c>
      <c r="P37" s="43">
        <f>DATE(2026,1,1)-WEEKDAY(DATE(2026,1,1),2)+7</f>
        <v>46026</v>
      </c>
      <c r="R37" s="43">
        <f>DATE(2026,2,1)-WEEKDAY(DATE(2026,2,1),2)+1</f>
        <v>46048</v>
      </c>
      <c r="S37" s="43">
        <f>DATE(2026,2,1)-WEEKDAY(DATE(2026,2,1),2)+2</f>
        <v>46049</v>
      </c>
      <c r="T37" s="43">
        <f>DATE(2026,2,1)-WEEKDAY(DATE(2026,2,1),2)+3</f>
        <v>46050</v>
      </c>
      <c r="U37" s="43">
        <f>DATE(2026,2,1)-WEEKDAY(DATE(2026,2,1),2)+4</f>
        <v>46051</v>
      </c>
      <c r="V37" s="43">
        <f>DATE(2026,2,1)-WEEKDAY(DATE(2026,2,1),2)+5</f>
        <v>46052</v>
      </c>
      <c r="W37" s="43">
        <f>DATE(2026,2,1)-WEEKDAY(DATE(2026,2,1),2)+6</f>
        <v>46053</v>
      </c>
      <c r="X37" s="43">
        <f>DATE(2026,2,1)-WEEKDAY(DATE(2026,2,1),2)+7</f>
        <v>46054</v>
      </c>
      <c r="Z37" s="43">
        <f>DATE(2026,3,1)-WEEKDAY(DATE(2026,3,1),2)+1</f>
        <v>46076</v>
      </c>
      <c r="AA37" s="43">
        <f>DATE(2026,3,1)-WEEKDAY(DATE(2026,3,1),2)+2</f>
        <v>46077</v>
      </c>
      <c r="AB37" s="43">
        <f>DATE(2026,3,1)-WEEKDAY(DATE(2026,3,1),2)+3</f>
        <v>46078</v>
      </c>
      <c r="AC37" s="43">
        <f>DATE(2026,3,1)-WEEKDAY(DATE(2026,3,1),2)+4</f>
        <v>46079</v>
      </c>
      <c r="AD37" s="43">
        <f>DATE(2026,3,1)-WEEKDAY(DATE(2026,3,1),2)+5</f>
        <v>46080</v>
      </c>
      <c r="AE37" s="43">
        <f>DATE(2026,3,1)-WEEKDAY(DATE(2026,3,1),2)+6</f>
        <v>46081</v>
      </c>
      <c r="AF37" s="43">
        <f>DATE(2026,3,1)-WEEKDAY(DATE(2026,3,1),2)+7</f>
        <v>46082</v>
      </c>
    </row>
    <row r="38" spans="2:32" ht="21" customHeight="1">
      <c r="B38" s="44">
        <f>IF(MONTH(B37)=12,IF(IFERROR(INDEX('データ'!$B$313:$J$677,MATCH(B37,'データ'!$A$313:$A$677,0),$A$2),0)=0,"",INDEX('データ'!$B$313:$J$677,MATCH(B37,'データ'!$A$313:$A$677,0),$A$2)),"")</f>
        <v>2293</v>
      </c>
      <c r="C38" s="44">
        <f>IF(MONTH(C37)=12,IF(IFERROR(INDEX('データ'!$B$313:$J$677,MATCH(C37,'データ'!$A$313:$A$677,0),$A$2),0)=0,"",INDEX('データ'!$B$313:$J$677,MATCH(C37,'データ'!$A$313:$A$677,0),$A$2)),"")</f>
        <v>1768</v>
      </c>
      <c r="D38" s="44">
        <f>IF(MONTH(D37)=12,IF(IFERROR(INDEX('データ'!$B$313:$J$677,MATCH(D37,'データ'!$A$313:$A$677,0),$A$2),0)=0,"",INDEX('データ'!$B$313:$J$677,MATCH(D37,'データ'!$A$313:$A$677,0),$A$2)),"")</f>
        <v>1990</v>
      </c>
      <c r="E38" s="44">
        <f>IF(MONTH(E37)=12,IF(IFERROR(INDEX('データ'!$B$313:$J$677,MATCH(E37,'データ'!$A$313:$A$677,0),$A$2),0)=0,"",INDEX('データ'!$B$313:$J$677,MATCH(E37,'データ'!$A$313:$A$677,0),$A$2)),"")</f>
        <v>1680</v>
      </c>
      <c r="F38" s="44">
        <f>IF(MONTH(F37)=12,IF(IFERROR(INDEX('データ'!$B$313:$J$677,MATCH(F37,'データ'!$A$313:$A$677,0),$A$2),0)=0,"",INDEX('データ'!$B$313:$J$677,MATCH(F37,'データ'!$A$313:$A$677,0),$A$2)),"")</f>
        <v>1739</v>
      </c>
      <c r="G38" s="44">
        <f>IF(MONTH(G37)=12,IF(IFERROR(INDEX('データ'!$B$313:$J$677,MATCH(G37,'データ'!$A$313:$A$677,0),$A$2),0)=0,"",INDEX('データ'!$B$313:$J$677,MATCH(G37,'データ'!$A$313:$A$677,0),$A$2)),"")</f>
        <v/>
      </c>
      <c r="H38" s="44">
        <f>IF(MONTH(H37)=12,IF(IFERROR(INDEX('データ'!$B$313:$J$677,MATCH(H37,'データ'!$A$313:$A$677,0),$A$2),0)=0,"",INDEX('データ'!$B$313:$J$677,MATCH(H37,'データ'!$A$313:$A$677,0),$A$2)),"")</f>
        <v>197</v>
      </c>
      <c r="J38" s="44">
        <f>IF(MONTH(J37)=1,IF(IFERROR(INDEX('データ'!$B$313:$J$677,MATCH(J37,'データ'!$A$313:$A$677,0),$A$2),0)=0,"",INDEX('データ'!$B$313:$J$677,MATCH(J37,'データ'!$A$313:$A$677,0),$A$2)),"")</f>
        <v/>
      </c>
      <c r="K38" s="44">
        <f>IF(MONTH(K37)=1,IF(IFERROR(INDEX('データ'!$B$313:$J$677,MATCH(K37,'データ'!$A$313:$A$677,0),$A$2),0)=0,"",INDEX('データ'!$B$313:$J$677,MATCH(K37,'データ'!$A$313:$A$677,0),$A$2)),"")</f>
        <v/>
      </c>
      <c r="L38" s="44">
        <f>IF(MONTH(L37)=1,IF(IFERROR(INDEX('データ'!$B$313:$J$677,MATCH(L37,'データ'!$A$313:$A$677,0),$A$2),0)=0,"",INDEX('データ'!$B$313:$J$677,MATCH(L37,'データ'!$A$313:$A$677,0),$A$2)),"")</f>
        <v/>
      </c>
      <c r="M38" s="44">
        <f>IF(MONTH(M37)=1,IF(IFERROR(INDEX('データ'!$B$313:$J$677,MATCH(M37,'データ'!$A$313:$A$677,0),$A$2),0)=0,"",INDEX('データ'!$B$313:$J$677,MATCH(M37,'データ'!$A$313:$A$677,0),$A$2)),"")</f>
        <v/>
      </c>
      <c r="N38" s="44">
        <f>IF(MONTH(N37)=1,IF(IFERROR(INDEX('データ'!$B$313:$J$677,MATCH(N37,'データ'!$A$313:$A$677,0),$A$2),0)=0,"",INDEX('データ'!$B$313:$J$677,MATCH(N37,'データ'!$A$313:$A$677,0),$A$2)),"")</f>
        <v/>
      </c>
      <c r="O38" s="44">
        <f>IF(MONTH(O37)=1,IF(IFERROR(INDEX('データ'!$B$313:$J$677,MATCH(O37,'データ'!$A$313:$A$677,0),$A$2),0)=0,"",INDEX('データ'!$B$313:$J$677,MATCH(O37,'データ'!$A$313:$A$677,0),$A$2)),"")</f>
        <v/>
      </c>
      <c r="P38" s="44">
        <f>IF(MONTH(P37)=1,IF(IFERROR(INDEX('データ'!$B$313:$J$677,MATCH(P37,'データ'!$A$313:$A$677,0),$A$2),0)=0,"",INDEX('データ'!$B$313:$J$677,MATCH(P37,'データ'!$A$313:$A$677,0),$A$2)),"")</f>
        <v/>
      </c>
      <c r="R38" s="44">
        <f>IF(MONTH(R37)=2,IF(IFERROR(INDEX('データ'!$B$313:$J$677,MATCH(R37,'データ'!$A$313:$A$677,0),$A$2),0)=0,"",INDEX('データ'!$B$313:$J$677,MATCH(R37,'データ'!$A$313:$A$677,0),$A$2)),"")</f>
        <v/>
      </c>
      <c r="S38" s="44">
        <f>IF(MONTH(S37)=2,IF(IFERROR(INDEX('データ'!$B$313:$J$677,MATCH(S37,'データ'!$A$313:$A$677,0),$A$2),0)=0,"",INDEX('データ'!$B$313:$J$677,MATCH(S37,'データ'!$A$313:$A$677,0),$A$2)),"")</f>
        <v/>
      </c>
      <c r="T38" s="44">
        <f>IF(MONTH(T37)=2,IF(IFERROR(INDEX('データ'!$B$313:$J$677,MATCH(T37,'データ'!$A$313:$A$677,0),$A$2),0)=0,"",INDEX('データ'!$B$313:$J$677,MATCH(T37,'データ'!$A$313:$A$677,0),$A$2)),"")</f>
        <v/>
      </c>
      <c r="U38" s="44">
        <f>IF(MONTH(U37)=2,IF(IFERROR(INDEX('データ'!$B$313:$J$677,MATCH(U37,'データ'!$A$313:$A$677,0),$A$2),0)=0,"",INDEX('データ'!$B$313:$J$677,MATCH(U37,'データ'!$A$313:$A$677,0),$A$2)),"")</f>
        <v/>
      </c>
      <c r="V38" s="44">
        <f>IF(MONTH(V37)=2,IF(IFERROR(INDEX('データ'!$B$313:$J$677,MATCH(V37,'データ'!$A$313:$A$677,0),$A$2),0)=0,"",INDEX('データ'!$B$313:$J$677,MATCH(V37,'データ'!$A$313:$A$677,0),$A$2)),"")</f>
        <v/>
      </c>
      <c r="W38" s="44">
        <f>IF(MONTH(W37)=2,IF(IFERROR(INDEX('データ'!$B$313:$J$677,MATCH(W37,'データ'!$A$313:$A$677,0),$A$2),0)=0,"",INDEX('データ'!$B$313:$J$677,MATCH(W37,'データ'!$A$313:$A$677,0),$A$2)),"")</f>
        <v/>
      </c>
      <c r="X38" s="44">
        <f>IF(MONTH(X37)=2,IF(IFERROR(INDEX('データ'!$B$313:$J$677,MATCH(X37,'データ'!$A$313:$A$677,0),$A$2),0)=0,"",INDEX('データ'!$B$313:$J$677,MATCH(X37,'データ'!$A$313:$A$677,0),$A$2)),"")</f>
        <v/>
      </c>
      <c r="Z38" s="44">
        <f>IF(MONTH(Z37)=3,IF(IFERROR(INDEX('データ'!$B$313:$J$677,MATCH(Z37,'データ'!$A$313:$A$677,0),$A$2),0)=0,"",INDEX('データ'!$B$313:$J$677,MATCH(Z37,'データ'!$A$313:$A$677,0),$A$2)),"")</f>
        <v/>
      </c>
      <c r="AA38" s="44">
        <f>IF(MONTH(AA37)=3,IF(IFERROR(INDEX('データ'!$B$313:$J$677,MATCH(AA37,'データ'!$A$313:$A$677,0),$A$2),0)=0,"",INDEX('データ'!$B$313:$J$677,MATCH(AA37,'データ'!$A$313:$A$677,0),$A$2)),"")</f>
        <v/>
      </c>
      <c r="AB38" s="44">
        <f>IF(MONTH(AB37)=3,IF(IFERROR(INDEX('データ'!$B$313:$J$677,MATCH(AB37,'データ'!$A$313:$A$677,0),$A$2),0)=0,"",INDEX('データ'!$B$313:$J$677,MATCH(AB37,'データ'!$A$313:$A$677,0),$A$2)),"")</f>
        <v/>
      </c>
      <c r="AC38" s="44">
        <f>IF(MONTH(AC37)=3,IF(IFERROR(INDEX('データ'!$B$313:$J$677,MATCH(AC37,'データ'!$A$313:$A$677,0),$A$2),0)=0,"",INDEX('データ'!$B$313:$J$677,MATCH(AC37,'データ'!$A$313:$A$677,0),$A$2)),"")</f>
        <v/>
      </c>
      <c r="AD38" s="44">
        <f>IF(MONTH(AD37)=3,IF(IFERROR(INDEX('データ'!$B$313:$J$677,MATCH(AD37,'データ'!$A$313:$A$677,0),$A$2),0)=0,"",INDEX('データ'!$B$313:$J$677,MATCH(AD37,'データ'!$A$313:$A$677,0),$A$2)),"")</f>
        <v/>
      </c>
      <c r="AE38" s="44">
        <f>IF(MONTH(AE37)=3,IF(IFERROR(INDEX('データ'!$B$313:$J$677,MATCH(AE37,'データ'!$A$313:$A$677,0),$A$2),0)=0,"",INDEX('データ'!$B$313:$J$677,MATCH(AE37,'データ'!$A$313:$A$677,0),$A$2)),"")</f>
        <v/>
      </c>
      <c r="AF38" s="44">
        <f>IF(MONTH(AF37)=3,IF(IFERROR(INDEX('データ'!$B$313:$J$677,MATCH(AF37,'データ'!$A$313:$A$677,0),$A$2),0)=0,"",INDEX('データ'!$B$313:$J$677,MATCH(AF37,'データ'!$A$313:$A$677,0),$A$2)),"")</f>
        <v/>
      </c>
    </row>
    <row r="39" spans="2:32" ht="13" customHeight="1">
      <c r="B39" s="43">
        <f>DATE(2025,12,1)-WEEKDAY(DATE(2025,12,1),2)+8</f>
        <v>45999</v>
      </c>
      <c r="C39" s="43">
        <f>DATE(2025,12,1)-WEEKDAY(DATE(2025,12,1),2)+9</f>
        <v>46000</v>
      </c>
      <c r="D39" s="43">
        <f>DATE(2025,12,1)-WEEKDAY(DATE(2025,12,1),2)+10</f>
        <v>46001</v>
      </c>
      <c r="E39" s="43">
        <f>DATE(2025,12,1)-WEEKDAY(DATE(2025,12,1),2)+11</f>
        <v>46002</v>
      </c>
      <c r="F39" s="43">
        <f>DATE(2025,12,1)-WEEKDAY(DATE(2025,12,1),2)+12</f>
        <v>46003</v>
      </c>
      <c r="G39" s="43">
        <f>DATE(2025,12,1)-WEEKDAY(DATE(2025,12,1),2)+13</f>
        <v>46004</v>
      </c>
      <c r="H39" s="43">
        <f>DATE(2025,12,1)-WEEKDAY(DATE(2025,12,1),2)+14</f>
        <v>46005</v>
      </c>
      <c r="J39" s="43">
        <f>DATE(2026,1,1)-WEEKDAY(DATE(2026,1,1),2)+8</f>
        <v>46027</v>
      </c>
      <c r="K39" s="43">
        <f>DATE(2026,1,1)-WEEKDAY(DATE(2026,1,1),2)+9</f>
        <v>46028</v>
      </c>
      <c r="L39" s="43">
        <f>DATE(2026,1,1)-WEEKDAY(DATE(2026,1,1),2)+10</f>
        <v>46029</v>
      </c>
      <c r="M39" s="43">
        <f>DATE(2026,1,1)-WEEKDAY(DATE(2026,1,1),2)+11</f>
        <v>46030</v>
      </c>
      <c r="N39" s="43">
        <f>DATE(2026,1,1)-WEEKDAY(DATE(2026,1,1),2)+12</f>
        <v>46031</v>
      </c>
      <c r="O39" s="43">
        <f>DATE(2026,1,1)-WEEKDAY(DATE(2026,1,1),2)+13</f>
        <v>46032</v>
      </c>
      <c r="P39" s="43">
        <f>DATE(2026,1,1)-WEEKDAY(DATE(2026,1,1),2)+14</f>
        <v>46033</v>
      </c>
      <c r="R39" s="43">
        <f>DATE(2026,2,1)-WEEKDAY(DATE(2026,2,1),2)+8</f>
        <v>46055</v>
      </c>
      <c r="S39" s="43">
        <f>DATE(2026,2,1)-WEEKDAY(DATE(2026,2,1),2)+9</f>
        <v>46056</v>
      </c>
      <c r="T39" s="43">
        <f>DATE(2026,2,1)-WEEKDAY(DATE(2026,2,1),2)+10</f>
        <v>46057</v>
      </c>
      <c r="U39" s="43">
        <f>DATE(2026,2,1)-WEEKDAY(DATE(2026,2,1),2)+11</f>
        <v>46058</v>
      </c>
      <c r="V39" s="43">
        <f>DATE(2026,2,1)-WEEKDAY(DATE(2026,2,1),2)+12</f>
        <v>46059</v>
      </c>
      <c r="W39" s="43">
        <f>DATE(2026,2,1)-WEEKDAY(DATE(2026,2,1),2)+13</f>
        <v>46060</v>
      </c>
      <c r="X39" s="43">
        <f>DATE(2026,2,1)-WEEKDAY(DATE(2026,2,1),2)+14</f>
        <v>46061</v>
      </c>
      <c r="Z39" s="43">
        <f>DATE(2026,3,1)-WEEKDAY(DATE(2026,3,1),2)+8</f>
        <v>46083</v>
      </c>
      <c r="AA39" s="43">
        <f>DATE(2026,3,1)-WEEKDAY(DATE(2026,3,1),2)+9</f>
        <v>46084</v>
      </c>
      <c r="AB39" s="43">
        <f>DATE(2026,3,1)-WEEKDAY(DATE(2026,3,1),2)+10</f>
        <v>46085</v>
      </c>
      <c r="AC39" s="43">
        <f>DATE(2026,3,1)-WEEKDAY(DATE(2026,3,1),2)+11</f>
        <v>46086</v>
      </c>
      <c r="AD39" s="43">
        <f>DATE(2026,3,1)-WEEKDAY(DATE(2026,3,1),2)+12</f>
        <v>46087</v>
      </c>
      <c r="AE39" s="43">
        <f>DATE(2026,3,1)-WEEKDAY(DATE(2026,3,1),2)+13</f>
        <v>46088</v>
      </c>
      <c r="AF39" s="43">
        <f>DATE(2026,3,1)-WEEKDAY(DATE(2026,3,1),2)+14</f>
        <v>46089</v>
      </c>
    </row>
    <row r="40" spans="2:32" ht="21" customHeight="1">
      <c r="B40" s="44">
        <f>IF(MONTH(B39)=12,IF(IFERROR(INDEX('データ'!$B$313:$J$677,MATCH(B39,'データ'!$A$313:$A$677,0),$A$2),0)=0,"",INDEX('データ'!$B$313:$J$677,MATCH(B39,'データ'!$A$313:$A$677,0),$A$2)),"")</f>
        <v>3000</v>
      </c>
      <c r="C40" s="44">
        <f>IF(MONTH(C39)=12,IF(IFERROR(INDEX('データ'!$B$313:$J$677,MATCH(C39,'データ'!$A$313:$A$677,0),$A$2),0)=0,"",INDEX('データ'!$B$313:$J$677,MATCH(C39,'データ'!$A$313:$A$677,0),$A$2)),"")</f>
        <v>2503</v>
      </c>
      <c r="D40" s="44">
        <f>IF(MONTH(D39)=12,IF(IFERROR(INDEX('データ'!$B$313:$J$677,MATCH(D39,'データ'!$A$313:$A$677,0),$A$2),0)=0,"",INDEX('データ'!$B$313:$J$677,MATCH(D39,'データ'!$A$313:$A$677,0),$A$2)),"")</f>
        <v>2485</v>
      </c>
      <c r="E40" s="44">
        <f>IF(MONTH(E39)=12,IF(IFERROR(INDEX('データ'!$B$313:$J$677,MATCH(E39,'データ'!$A$313:$A$677,0),$A$2),0)=0,"",INDEX('データ'!$B$313:$J$677,MATCH(E39,'データ'!$A$313:$A$677,0),$A$2)),"")</f>
        <v>2187</v>
      </c>
      <c r="F40" s="44">
        <f>IF(MONTH(F39)=12,IF(IFERROR(INDEX('データ'!$B$313:$J$677,MATCH(F39,'データ'!$A$313:$A$677,0),$A$2),0)=0,"",INDEX('データ'!$B$313:$J$677,MATCH(F39,'データ'!$A$313:$A$677,0),$A$2)),"")</f>
        <v>2627</v>
      </c>
      <c r="G40" s="44">
        <f>IF(MONTH(G39)=12,IF(IFERROR(INDEX('データ'!$B$313:$J$677,MATCH(G39,'データ'!$A$313:$A$677,0),$A$2),0)=0,"",INDEX('データ'!$B$313:$J$677,MATCH(G39,'データ'!$A$313:$A$677,0),$A$2)),"")</f>
        <v/>
      </c>
      <c r="H40" s="44">
        <f>IF(MONTH(H39)=12,IF(IFERROR(INDEX('データ'!$B$313:$J$677,MATCH(H39,'データ'!$A$313:$A$677,0),$A$2),0)=0,"",INDEX('データ'!$B$313:$J$677,MATCH(H39,'データ'!$A$313:$A$677,0),$A$2)),"")</f>
        <v>82</v>
      </c>
      <c r="J40" s="44">
        <f>IF(MONTH(J39)=1,IF(IFERROR(INDEX('データ'!$B$313:$J$677,MATCH(J39,'データ'!$A$313:$A$677,0),$A$2),0)=0,"",INDEX('データ'!$B$313:$J$677,MATCH(J39,'データ'!$A$313:$A$677,0),$A$2)),"")</f>
        <v>2509</v>
      </c>
      <c r="K40" s="44">
        <f>IF(MONTH(K39)=1,IF(IFERROR(INDEX('データ'!$B$313:$J$677,MATCH(K39,'データ'!$A$313:$A$677,0),$A$2),0)=0,"",INDEX('データ'!$B$313:$J$677,MATCH(K39,'データ'!$A$313:$A$677,0),$A$2)),"")</f>
        <v>1676</v>
      </c>
      <c r="L40" s="44">
        <f>IF(MONTH(L39)=1,IF(IFERROR(INDEX('データ'!$B$313:$J$677,MATCH(L39,'データ'!$A$313:$A$677,0),$A$2),0)=0,"",INDEX('データ'!$B$313:$J$677,MATCH(L39,'データ'!$A$313:$A$677,0),$A$2)),"")</f>
        <v>1639</v>
      </c>
      <c r="M40" s="44">
        <f>IF(MONTH(M39)=1,IF(IFERROR(INDEX('データ'!$B$313:$J$677,MATCH(M39,'データ'!$A$313:$A$677,0),$A$2),0)=0,"",INDEX('データ'!$B$313:$J$677,MATCH(M39,'データ'!$A$313:$A$677,0),$A$2)),"")</f>
        <v>1579</v>
      </c>
      <c r="N40" s="44">
        <f>IF(MONTH(N39)=1,IF(IFERROR(INDEX('データ'!$B$313:$J$677,MATCH(N39,'データ'!$A$313:$A$677,0),$A$2),0)=0,"",INDEX('データ'!$B$313:$J$677,MATCH(N39,'データ'!$A$313:$A$677,0),$A$2)),"")</f>
        <v>1792</v>
      </c>
      <c r="O40" s="44">
        <f>IF(MONTH(O39)=1,IF(IFERROR(INDEX('データ'!$B$313:$J$677,MATCH(O39,'データ'!$A$313:$A$677,0),$A$2),0)=0,"",INDEX('データ'!$B$313:$J$677,MATCH(O39,'データ'!$A$313:$A$677,0),$A$2)),"")</f>
        <v>12</v>
      </c>
      <c r="P40" s="44">
        <f>IF(MONTH(P39)=1,IF(IFERROR(INDEX('データ'!$B$313:$J$677,MATCH(P39,'データ'!$A$313:$A$677,0),$A$2),0)=0,"",INDEX('データ'!$B$313:$J$677,MATCH(P39,'データ'!$A$313:$A$677,0),$A$2)),"")</f>
        <v>130</v>
      </c>
      <c r="R40" s="44">
        <f>IF(MONTH(R39)=2,IF(IFERROR(INDEX('データ'!$B$313:$J$677,MATCH(R39,'データ'!$A$313:$A$677,0),$A$2),0)=0,"",INDEX('データ'!$B$313:$J$677,MATCH(R39,'データ'!$A$313:$A$677,0),$A$2)),"")</f>
        <v>3969</v>
      </c>
      <c r="S40" s="44">
        <f>IF(MONTH(S39)=2,IF(IFERROR(INDEX('データ'!$B$313:$J$677,MATCH(S39,'データ'!$A$313:$A$677,0),$A$2),0)=0,"",INDEX('データ'!$B$313:$J$677,MATCH(S39,'データ'!$A$313:$A$677,0),$A$2)),"")</f>
        <v>3570</v>
      </c>
      <c r="T40" s="44">
        <f>IF(MONTH(T39)=2,IF(IFERROR(INDEX('データ'!$B$313:$J$677,MATCH(T39,'データ'!$A$313:$A$677,0),$A$2),0)=0,"",INDEX('データ'!$B$313:$J$677,MATCH(T39,'データ'!$A$313:$A$677,0),$A$2)),"")</f>
        <v>3707</v>
      </c>
      <c r="U40" s="44">
        <f>IF(MONTH(U39)=2,IF(IFERROR(INDEX('データ'!$B$313:$J$677,MATCH(U39,'データ'!$A$313:$A$677,0),$A$2),0)=0,"",INDEX('データ'!$B$313:$J$677,MATCH(U39,'データ'!$A$313:$A$677,0),$A$2)),"")</f>
        <v>3646</v>
      </c>
      <c r="V40" s="44">
        <f>IF(MONTH(V39)=2,IF(IFERROR(INDEX('データ'!$B$313:$J$677,MATCH(V39,'データ'!$A$313:$A$677,0),$A$2),0)=0,"",INDEX('データ'!$B$313:$J$677,MATCH(V39,'データ'!$A$313:$A$677,0),$A$2)),"")</f>
        <v>3758</v>
      </c>
      <c r="W40" s="44">
        <f>IF(MONTH(W39)=2,IF(IFERROR(INDEX('データ'!$B$313:$J$677,MATCH(W39,'データ'!$A$313:$A$677,0),$A$2),0)=0,"",INDEX('データ'!$B$313:$J$677,MATCH(W39,'データ'!$A$313:$A$677,0),$A$2)),"")</f>
        <v/>
      </c>
      <c r="X40" s="44">
        <f>IF(MONTH(X39)=2,IF(IFERROR(INDEX('データ'!$B$313:$J$677,MATCH(X39,'データ'!$A$313:$A$677,0),$A$2),0)=0,"",INDEX('データ'!$B$313:$J$677,MATCH(X39,'データ'!$A$313:$A$677,0),$A$2)),"")</f>
        <v/>
      </c>
      <c r="Z40" s="44">
        <f>IF(MONTH(Z39)=3,IF(IFERROR(INDEX('データ'!$B$313:$J$677,MATCH(Z39,'データ'!$A$313:$A$677,0),$A$2),0)=0,"",INDEX('データ'!$B$313:$J$677,MATCH(Z39,'データ'!$A$313:$A$677,0),$A$2)),"")</f>
        <v>4534</v>
      </c>
      <c r="AA40" s="44">
        <f>IF(MONTH(AA39)=3,IF(IFERROR(INDEX('データ'!$B$313:$J$677,MATCH(AA39,'データ'!$A$313:$A$677,0),$A$2),0)=0,"",INDEX('データ'!$B$313:$J$677,MATCH(AA39,'データ'!$A$313:$A$677,0),$A$2)),"")</f>
        <v>3844</v>
      </c>
      <c r="AB40" s="44">
        <f>IF(MONTH(AB39)=3,IF(IFERROR(INDEX('データ'!$B$313:$J$677,MATCH(AB39,'データ'!$A$313:$A$677,0),$A$2),0)=0,"",INDEX('データ'!$B$313:$J$677,MATCH(AB39,'データ'!$A$313:$A$677,0),$A$2)),"")</f>
        <v>3913</v>
      </c>
      <c r="AC40" s="44">
        <f>IF(MONTH(AC39)=3,IF(IFERROR(INDEX('データ'!$B$313:$J$677,MATCH(AC39,'データ'!$A$313:$A$677,0),$A$2),0)=0,"",INDEX('データ'!$B$313:$J$677,MATCH(AC39,'データ'!$A$313:$A$677,0),$A$2)),"")</f>
        <v>4210</v>
      </c>
      <c r="AD40" s="44">
        <f>IF(MONTH(AD39)=3,IF(IFERROR(INDEX('データ'!$B$313:$J$677,MATCH(AD39,'データ'!$A$313:$A$677,0),$A$2),0)=0,"",INDEX('データ'!$B$313:$J$677,MATCH(AD39,'データ'!$A$313:$A$677,0),$A$2)),"")</f>
        <v>3427</v>
      </c>
      <c r="AE40" s="44">
        <f>IF(MONTH(AE39)=3,IF(IFERROR(INDEX('データ'!$B$313:$J$677,MATCH(AE39,'データ'!$A$313:$A$677,0),$A$2),0)=0,"",INDEX('データ'!$B$313:$J$677,MATCH(AE39,'データ'!$A$313:$A$677,0),$A$2)),"")</f>
        <v/>
      </c>
      <c r="AF40" s="44">
        <f>IF(MONTH(AF39)=3,IF(IFERROR(INDEX('データ'!$B$313:$J$677,MATCH(AF39,'データ'!$A$313:$A$677,0),$A$2),0)=0,"",INDEX('データ'!$B$313:$J$677,MATCH(AF39,'データ'!$A$313:$A$677,0),$A$2)),"")</f>
        <v>276</v>
      </c>
    </row>
    <row r="41" spans="2:32" ht="13" customHeight="1">
      <c r="B41" s="43">
        <f>DATE(2025,12,1)-WEEKDAY(DATE(2025,12,1),2)+15</f>
        <v>46006</v>
      </c>
      <c r="C41" s="43">
        <f>DATE(2025,12,1)-WEEKDAY(DATE(2025,12,1),2)+16</f>
        <v>46007</v>
      </c>
      <c r="D41" s="43">
        <f>DATE(2025,12,1)-WEEKDAY(DATE(2025,12,1),2)+17</f>
        <v>46008</v>
      </c>
      <c r="E41" s="43">
        <f>DATE(2025,12,1)-WEEKDAY(DATE(2025,12,1),2)+18</f>
        <v>46009</v>
      </c>
      <c r="F41" s="43">
        <f>DATE(2025,12,1)-WEEKDAY(DATE(2025,12,1),2)+19</f>
        <v>46010</v>
      </c>
      <c r="G41" s="43">
        <f>DATE(2025,12,1)-WEEKDAY(DATE(2025,12,1),2)+20</f>
        <v>46011</v>
      </c>
      <c r="H41" s="43">
        <f>DATE(2025,12,1)-WEEKDAY(DATE(2025,12,1),2)+21</f>
        <v>46012</v>
      </c>
      <c r="J41" s="43">
        <f>DATE(2026,1,1)-WEEKDAY(DATE(2026,1,1),2)+15</f>
        <v>46034</v>
      </c>
      <c r="K41" s="43">
        <f>DATE(2026,1,1)-WEEKDAY(DATE(2026,1,1),2)+16</f>
        <v>46035</v>
      </c>
      <c r="L41" s="43">
        <f>DATE(2026,1,1)-WEEKDAY(DATE(2026,1,1),2)+17</f>
        <v>46036</v>
      </c>
      <c r="M41" s="43">
        <f>DATE(2026,1,1)-WEEKDAY(DATE(2026,1,1),2)+18</f>
        <v>46037</v>
      </c>
      <c r="N41" s="43">
        <f>DATE(2026,1,1)-WEEKDAY(DATE(2026,1,1),2)+19</f>
        <v>46038</v>
      </c>
      <c r="O41" s="43">
        <f>DATE(2026,1,1)-WEEKDAY(DATE(2026,1,1),2)+20</f>
        <v>46039</v>
      </c>
      <c r="P41" s="43">
        <f>DATE(2026,1,1)-WEEKDAY(DATE(2026,1,1),2)+21</f>
        <v>46040</v>
      </c>
      <c r="R41" s="43">
        <f>DATE(2026,2,1)-WEEKDAY(DATE(2026,2,1),2)+15</f>
        <v>46062</v>
      </c>
      <c r="S41" s="43">
        <f>DATE(2026,2,1)-WEEKDAY(DATE(2026,2,1),2)+16</f>
        <v>46063</v>
      </c>
      <c r="T41" s="43">
        <f>DATE(2026,2,1)-WEEKDAY(DATE(2026,2,1),2)+17</f>
        <v>46064</v>
      </c>
      <c r="U41" s="43">
        <f>DATE(2026,2,1)-WEEKDAY(DATE(2026,2,1),2)+18</f>
        <v>46065</v>
      </c>
      <c r="V41" s="43">
        <f>DATE(2026,2,1)-WEEKDAY(DATE(2026,2,1),2)+19</f>
        <v>46066</v>
      </c>
      <c r="W41" s="43">
        <f>DATE(2026,2,1)-WEEKDAY(DATE(2026,2,1),2)+20</f>
        <v>46067</v>
      </c>
      <c r="X41" s="43">
        <f>DATE(2026,2,1)-WEEKDAY(DATE(2026,2,1),2)+21</f>
        <v>46068</v>
      </c>
      <c r="Z41" s="43">
        <f>DATE(2026,3,1)-WEEKDAY(DATE(2026,3,1),2)+15</f>
        <v>46090</v>
      </c>
      <c r="AA41" s="43">
        <f>DATE(2026,3,1)-WEEKDAY(DATE(2026,3,1),2)+16</f>
        <v>46091</v>
      </c>
      <c r="AB41" s="43">
        <f>DATE(2026,3,1)-WEEKDAY(DATE(2026,3,1),2)+17</f>
        <v>46092</v>
      </c>
      <c r="AC41" s="43">
        <f>DATE(2026,3,1)-WEEKDAY(DATE(2026,3,1),2)+18</f>
        <v>46093</v>
      </c>
      <c r="AD41" s="43">
        <f>DATE(2026,3,1)-WEEKDAY(DATE(2026,3,1),2)+19</f>
        <v>46094</v>
      </c>
      <c r="AE41" s="43">
        <f>DATE(2026,3,1)-WEEKDAY(DATE(2026,3,1),2)+20</f>
        <v>46095</v>
      </c>
      <c r="AF41" s="43">
        <f>DATE(2026,3,1)-WEEKDAY(DATE(2026,3,1),2)+21</f>
        <v>46096</v>
      </c>
    </row>
    <row r="42" spans="2:32" ht="21" customHeight="1">
      <c r="B42" s="44">
        <f>IF(MONTH(B41)=12,IF(IFERROR(INDEX('データ'!$B$313:$J$677,MATCH(B41,'データ'!$A$313:$A$677,0),$A$2),0)=0,"",INDEX('データ'!$B$313:$J$677,MATCH(B41,'データ'!$A$313:$A$677,0),$A$2)),"")</f>
        <v>3426</v>
      </c>
      <c r="C42" s="44">
        <f>IF(MONTH(C41)=12,IF(IFERROR(INDEX('データ'!$B$313:$J$677,MATCH(C41,'データ'!$A$313:$A$677,0),$A$2),0)=0,"",INDEX('データ'!$B$313:$J$677,MATCH(C41,'データ'!$A$313:$A$677,0),$A$2)),"")</f>
        <v>3088</v>
      </c>
      <c r="D42" s="44">
        <f>IF(MONTH(D41)=12,IF(IFERROR(INDEX('データ'!$B$313:$J$677,MATCH(D41,'データ'!$A$313:$A$677,0),$A$2),0)=0,"",INDEX('データ'!$B$313:$J$677,MATCH(D41,'データ'!$A$313:$A$677,0),$A$2)),"")</f>
        <v>2797</v>
      </c>
      <c r="E42" s="44">
        <f>IF(MONTH(E41)=12,IF(IFERROR(INDEX('データ'!$B$313:$J$677,MATCH(E41,'データ'!$A$313:$A$677,0),$A$2),0)=0,"",INDEX('データ'!$B$313:$J$677,MATCH(E41,'データ'!$A$313:$A$677,0),$A$2)),"")</f>
        <v>3162</v>
      </c>
      <c r="F42" s="44">
        <f>IF(MONTH(F41)=12,IF(IFERROR(INDEX('データ'!$B$313:$J$677,MATCH(F41,'データ'!$A$313:$A$677,0),$A$2),0)=0,"",INDEX('データ'!$B$313:$J$677,MATCH(F41,'データ'!$A$313:$A$677,0),$A$2)),"")</f>
        <v>3221</v>
      </c>
      <c r="G42" s="44">
        <f>IF(MONTH(G41)=12,IF(IFERROR(INDEX('データ'!$B$313:$J$677,MATCH(G41,'データ'!$A$313:$A$677,0),$A$2),0)=0,"",INDEX('データ'!$B$313:$J$677,MATCH(G41,'データ'!$A$313:$A$677,0),$A$2)),"")</f>
        <v/>
      </c>
      <c r="H42" s="44">
        <f>IF(MONTH(H41)=12,IF(IFERROR(INDEX('データ'!$B$313:$J$677,MATCH(H41,'データ'!$A$313:$A$677,0),$A$2),0)=0,"",INDEX('データ'!$B$313:$J$677,MATCH(H41,'データ'!$A$313:$A$677,0),$A$2)),"")</f>
        <v/>
      </c>
      <c r="J42" s="44">
        <f>IF(MONTH(J41)=1,IF(IFERROR(INDEX('データ'!$B$313:$J$677,MATCH(J41,'データ'!$A$313:$A$677,0),$A$2),0)=0,"",INDEX('データ'!$B$313:$J$677,MATCH(J41,'データ'!$A$313:$A$677,0),$A$2)),"")</f>
        <v>13</v>
      </c>
      <c r="K42" s="44">
        <f>IF(MONTH(K41)=1,IF(IFERROR(INDEX('データ'!$B$313:$J$677,MATCH(K41,'データ'!$A$313:$A$677,0),$A$2),0)=0,"",INDEX('データ'!$B$313:$J$677,MATCH(K41,'データ'!$A$313:$A$677,0),$A$2)),"")</f>
        <v>1868</v>
      </c>
      <c r="L42" s="44">
        <f>IF(MONTH(L41)=1,IF(IFERROR(INDEX('データ'!$B$313:$J$677,MATCH(L41,'データ'!$A$313:$A$677,0),$A$2),0)=0,"",INDEX('データ'!$B$313:$J$677,MATCH(L41,'データ'!$A$313:$A$677,0),$A$2)),"")</f>
        <v>1863</v>
      </c>
      <c r="M42" s="44">
        <f>IF(MONTH(M41)=1,IF(IFERROR(INDEX('データ'!$B$313:$J$677,MATCH(M41,'データ'!$A$313:$A$677,0),$A$2),0)=0,"",INDEX('データ'!$B$313:$J$677,MATCH(M41,'データ'!$A$313:$A$677,0),$A$2)),"")</f>
        <v>1638</v>
      </c>
      <c r="N42" s="44">
        <f>IF(MONTH(N41)=1,IF(IFERROR(INDEX('データ'!$B$313:$J$677,MATCH(N41,'データ'!$A$313:$A$677,0),$A$2),0)=0,"",INDEX('データ'!$B$313:$J$677,MATCH(N41,'データ'!$A$313:$A$677,0),$A$2)),"")</f>
        <v>1783</v>
      </c>
      <c r="O42" s="44">
        <f>IF(MONTH(O41)=1,IF(IFERROR(INDEX('データ'!$B$313:$J$677,MATCH(O41,'データ'!$A$313:$A$677,0),$A$2),0)=0,"",INDEX('データ'!$B$313:$J$677,MATCH(O41,'データ'!$A$313:$A$677,0),$A$2)),"")</f>
        <v>74</v>
      </c>
      <c r="P42" s="44">
        <f>IF(MONTH(P41)=1,IF(IFERROR(INDEX('データ'!$B$313:$J$677,MATCH(P41,'データ'!$A$313:$A$677,0),$A$2),0)=0,"",INDEX('データ'!$B$313:$J$677,MATCH(P41,'データ'!$A$313:$A$677,0),$A$2)),"")</f>
        <v>183</v>
      </c>
      <c r="R42" s="44">
        <f>IF(MONTH(R41)=2,IF(IFERROR(INDEX('データ'!$B$313:$J$677,MATCH(R41,'データ'!$A$313:$A$677,0),$A$2),0)=0,"",INDEX('データ'!$B$313:$J$677,MATCH(R41,'データ'!$A$313:$A$677,0),$A$2)),"")</f>
        <v>2801</v>
      </c>
      <c r="S42" s="44">
        <f>IF(MONTH(S41)=2,IF(IFERROR(INDEX('データ'!$B$313:$J$677,MATCH(S41,'データ'!$A$313:$A$677,0),$A$2),0)=0,"",INDEX('データ'!$B$313:$J$677,MATCH(S41,'データ'!$A$313:$A$677,0),$A$2)),"")</f>
        <v>3551</v>
      </c>
      <c r="T42" s="44">
        <f>IF(MONTH(T41)=2,IF(IFERROR(INDEX('データ'!$B$313:$J$677,MATCH(T41,'データ'!$A$313:$A$677,0),$A$2),0)=0,"",INDEX('データ'!$B$313:$J$677,MATCH(T41,'データ'!$A$313:$A$677,0),$A$2)),"")</f>
        <v/>
      </c>
      <c r="U42" s="44">
        <f>IF(MONTH(U41)=2,IF(IFERROR(INDEX('データ'!$B$313:$J$677,MATCH(U41,'データ'!$A$313:$A$677,0),$A$2),0)=0,"",INDEX('データ'!$B$313:$J$677,MATCH(U41,'データ'!$A$313:$A$677,0),$A$2)),"")</f>
        <v>4309</v>
      </c>
      <c r="V42" s="44">
        <f>IF(MONTH(V41)=2,IF(IFERROR(INDEX('データ'!$B$313:$J$677,MATCH(V41,'データ'!$A$313:$A$677,0),$A$2),0)=0,"",INDEX('データ'!$B$313:$J$677,MATCH(V41,'データ'!$A$313:$A$677,0),$A$2)),"")</f>
        <v>4158</v>
      </c>
      <c r="W42" s="44">
        <f>IF(MONTH(W41)=2,IF(IFERROR(INDEX('データ'!$B$313:$J$677,MATCH(W41,'データ'!$A$313:$A$677,0),$A$2),0)=0,"",INDEX('データ'!$B$313:$J$677,MATCH(W41,'データ'!$A$313:$A$677,0),$A$2)),"")</f>
        <v/>
      </c>
      <c r="X42" s="44">
        <f>IF(MONTH(X41)=2,IF(IFERROR(INDEX('データ'!$B$313:$J$677,MATCH(X41,'データ'!$A$313:$A$677,0),$A$2),0)=0,"",INDEX('データ'!$B$313:$J$677,MATCH(X41,'データ'!$A$313:$A$677,0),$A$2)),"")</f>
        <v/>
      </c>
      <c r="Z42" s="44">
        <f>IF(MONTH(Z41)=3,IF(IFERROR(INDEX('データ'!$B$313:$J$677,MATCH(Z41,'データ'!$A$313:$A$677,0),$A$2),0)=0,"",INDEX('データ'!$B$313:$J$677,MATCH(Z41,'データ'!$A$313:$A$677,0),$A$2)),"")</f>
        <v>4814</v>
      </c>
      <c r="AA42" s="44">
        <f>IF(MONTH(AA41)=3,IF(IFERROR(INDEX('データ'!$B$313:$J$677,MATCH(AA41,'データ'!$A$313:$A$677,0),$A$2),0)=0,"",INDEX('データ'!$B$313:$J$677,MATCH(AA41,'データ'!$A$313:$A$677,0),$A$2)),"")</f>
        <v>4029</v>
      </c>
      <c r="AB42" s="44">
        <f>IF(MONTH(AB41)=3,IF(IFERROR(INDEX('データ'!$B$313:$J$677,MATCH(AB41,'データ'!$A$313:$A$677,0),$A$2),0)=0,"",INDEX('データ'!$B$313:$J$677,MATCH(AB41,'データ'!$A$313:$A$677,0),$A$2)),"")</f>
        <v>3934</v>
      </c>
      <c r="AC42" s="44">
        <f>IF(MONTH(AC41)=3,IF(IFERROR(INDEX('データ'!$B$313:$J$677,MATCH(AC41,'データ'!$A$313:$A$677,0),$A$2),0)=0,"",INDEX('データ'!$B$313:$J$677,MATCH(AC41,'データ'!$A$313:$A$677,0),$A$2)),"")</f>
        <v>3728</v>
      </c>
      <c r="AD42" s="44">
        <f>IF(MONTH(AD41)=3,IF(IFERROR(INDEX('データ'!$B$313:$J$677,MATCH(AD41,'データ'!$A$313:$A$677,0),$A$2),0)=0,"",INDEX('データ'!$B$313:$J$677,MATCH(AD41,'データ'!$A$313:$A$677,0),$A$2)),"")</f>
        <v>3904</v>
      </c>
      <c r="AE42" s="44">
        <f>IF(MONTH(AE41)=3,IF(IFERROR(INDEX('データ'!$B$313:$J$677,MATCH(AE41,'データ'!$A$313:$A$677,0),$A$2),0)=0,"",INDEX('データ'!$B$313:$J$677,MATCH(AE41,'データ'!$A$313:$A$677,0),$A$2)),"")</f>
        <v/>
      </c>
      <c r="AF42" s="44">
        <f>IF(MONTH(AF41)=3,IF(IFERROR(INDEX('データ'!$B$313:$J$677,MATCH(AF41,'データ'!$A$313:$A$677,0),$A$2),0)=0,"",INDEX('データ'!$B$313:$J$677,MATCH(AF41,'データ'!$A$313:$A$677,0),$A$2)),"")</f>
        <v/>
      </c>
    </row>
    <row r="43" spans="2:32" ht="13" customHeight="1">
      <c r="B43" s="43">
        <f>DATE(2025,12,1)-WEEKDAY(DATE(2025,12,1),2)+22</f>
        <v>46013</v>
      </c>
      <c r="C43" s="43">
        <f>DATE(2025,12,1)-WEEKDAY(DATE(2025,12,1),2)+23</f>
        <v>46014</v>
      </c>
      <c r="D43" s="43">
        <f>DATE(2025,12,1)-WEEKDAY(DATE(2025,12,1),2)+24</f>
        <v>46015</v>
      </c>
      <c r="E43" s="43">
        <f>DATE(2025,12,1)-WEEKDAY(DATE(2025,12,1),2)+25</f>
        <v>46016</v>
      </c>
      <c r="F43" s="43">
        <f>DATE(2025,12,1)-WEEKDAY(DATE(2025,12,1),2)+26</f>
        <v>46017</v>
      </c>
      <c r="G43" s="43">
        <f>DATE(2025,12,1)-WEEKDAY(DATE(2025,12,1),2)+27</f>
        <v>46018</v>
      </c>
      <c r="H43" s="43">
        <f>DATE(2025,12,1)-WEEKDAY(DATE(2025,12,1),2)+28</f>
        <v>46019</v>
      </c>
      <c r="J43" s="43">
        <f>DATE(2026,1,1)-WEEKDAY(DATE(2026,1,1),2)+22</f>
        <v>46041</v>
      </c>
      <c r="K43" s="43">
        <f>DATE(2026,1,1)-WEEKDAY(DATE(2026,1,1),2)+23</f>
        <v>46042</v>
      </c>
      <c r="L43" s="43">
        <f>DATE(2026,1,1)-WEEKDAY(DATE(2026,1,1),2)+24</f>
        <v>46043</v>
      </c>
      <c r="M43" s="43">
        <f>DATE(2026,1,1)-WEEKDAY(DATE(2026,1,1),2)+25</f>
        <v>46044</v>
      </c>
      <c r="N43" s="43">
        <f>DATE(2026,1,1)-WEEKDAY(DATE(2026,1,1),2)+26</f>
        <v>46045</v>
      </c>
      <c r="O43" s="43">
        <f>DATE(2026,1,1)-WEEKDAY(DATE(2026,1,1),2)+27</f>
        <v>46046</v>
      </c>
      <c r="P43" s="43">
        <f>DATE(2026,1,1)-WEEKDAY(DATE(2026,1,1),2)+28</f>
        <v>46047</v>
      </c>
      <c r="R43" s="43">
        <f>DATE(2026,2,1)-WEEKDAY(DATE(2026,2,1),2)+22</f>
        <v>46069</v>
      </c>
      <c r="S43" s="43">
        <f>DATE(2026,2,1)-WEEKDAY(DATE(2026,2,1),2)+23</f>
        <v>46070</v>
      </c>
      <c r="T43" s="43">
        <f>DATE(2026,2,1)-WEEKDAY(DATE(2026,2,1),2)+24</f>
        <v>46071</v>
      </c>
      <c r="U43" s="43">
        <f>DATE(2026,2,1)-WEEKDAY(DATE(2026,2,1),2)+25</f>
        <v>46072</v>
      </c>
      <c r="V43" s="43">
        <f>DATE(2026,2,1)-WEEKDAY(DATE(2026,2,1),2)+26</f>
        <v>46073</v>
      </c>
      <c r="W43" s="43">
        <f>DATE(2026,2,1)-WEEKDAY(DATE(2026,2,1),2)+27</f>
        <v>46074</v>
      </c>
      <c r="X43" s="43">
        <f>DATE(2026,2,1)-WEEKDAY(DATE(2026,2,1),2)+28</f>
        <v>46075</v>
      </c>
      <c r="Z43" s="43">
        <f>DATE(2026,3,1)-WEEKDAY(DATE(2026,3,1),2)+22</f>
        <v>46097</v>
      </c>
      <c r="AA43" s="43">
        <f>DATE(2026,3,1)-WEEKDAY(DATE(2026,3,1),2)+23</f>
        <v>46098</v>
      </c>
      <c r="AB43" s="43">
        <f>DATE(2026,3,1)-WEEKDAY(DATE(2026,3,1),2)+24</f>
        <v>46099</v>
      </c>
      <c r="AC43" s="43">
        <f>DATE(2026,3,1)-WEEKDAY(DATE(2026,3,1),2)+25</f>
        <v>46100</v>
      </c>
      <c r="AD43" s="43">
        <f>DATE(2026,3,1)-WEEKDAY(DATE(2026,3,1),2)+26</f>
        <v>46101</v>
      </c>
      <c r="AE43" s="43">
        <f>DATE(2026,3,1)-WEEKDAY(DATE(2026,3,1),2)+27</f>
        <v>46102</v>
      </c>
      <c r="AF43" s="43">
        <f>DATE(2026,3,1)-WEEKDAY(DATE(2026,3,1),2)+28</f>
        <v>46103</v>
      </c>
    </row>
    <row r="44" spans="2:32" ht="21" customHeight="1">
      <c r="B44" s="44">
        <f>IF(MONTH(B43)=12,IF(IFERROR(INDEX('データ'!$B$313:$J$677,MATCH(B43,'データ'!$A$313:$A$677,0),$A$2),0)=0,"",INDEX('データ'!$B$313:$J$677,MATCH(B43,'データ'!$A$313:$A$677,0),$A$2)),"")</f>
        <v>3595</v>
      </c>
      <c r="C44" s="44">
        <f>IF(MONTH(C43)=12,IF(IFERROR(INDEX('データ'!$B$313:$J$677,MATCH(C43,'データ'!$A$313:$A$677,0),$A$2),0)=0,"",INDEX('データ'!$B$313:$J$677,MATCH(C43,'データ'!$A$313:$A$677,0),$A$2)),"")</f>
        <v>3321</v>
      </c>
      <c r="D44" s="44">
        <f>IF(MONTH(D43)=12,IF(IFERROR(INDEX('データ'!$B$313:$J$677,MATCH(D43,'データ'!$A$313:$A$677,0),$A$2),0)=0,"",INDEX('データ'!$B$313:$J$677,MATCH(D43,'データ'!$A$313:$A$677,0),$A$2)),"")</f>
        <v>2968</v>
      </c>
      <c r="E44" s="44">
        <f>IF(MONTH(E43)=12,IF(IFERROR(INDEX('データ'!$B$313:$J$677,MATCH(E43,'データ'!$A$313:$A$677,0),$A$2),0)=0,"",INDEX('データ'!$B$313:$J$677,MATCH(E43,'データ'!$A$313:$A$677,0),$A$2)),"")</f>
        <v>3238</v>
      </c>
      <c r="F44" s="44">
        <f>IF(MONTH(F43)=12,IF(IFERROR(INDEX('データ'!$B$313:$J$677,MATCH(F43,'データ'!$A$313:$A$677,0),$A$2),0)=0,"",INDEX('データ'!$B$313:$J$677,MATCH(F43,'データ'!$A$313:$A$677,0),$A$2)),"")</f>
        <v>3517</v>
      </c>
      <c r="G44" s="44">
        <f>IF(MONTH(G43)=12,IF(IFERROR(INDEX('データ'!$B$313:$J$677,MATCH(G43,'データ'!$A$313:$A$677,0),$A$2),0)=0,"",INDEX('データ'!$B$313:$J$677,MATCH(G43,'データ'!$A$313:$A$677,0),$A$2)),"")</f>
        <v/>
      </c>
      <c r="H44" s="44">
        <f>IF(MONTH(H43)=12,IF(IFERROR(INDEX('データ'!$B$313:$J$677,MATCH(H43,'データ'!$A$313:$A$677,0),$A$2),0)=0,"",INDEX('データ'!$B$313:$J$677,MATCH(H43,'データ'!$A$313:$A$677,0),$A$2)),"")</f>
        <v/>
      </c>
      <c r="J44" s="44">
        <f>IF(MONTH(J43)=1,IF(IFERROR(INDEX('データ'!$B$313:$J$677,MATCH(J43,'データ'!$A$313:$A$677,0),$A$2),0)=0,"",INDEX('データ'!$B$313:$J$677,MATCH(J43,'データ'!$A$313:$A$677,0),$A$2)),"")</f>
        <v>3248</v>
      </c>
      <c r="K44" s="44">
        <f>IF(MONTH(K43)=1,IF(IFERROR(INDEX('データ'!$B$313:$J$677,MATCH(K43,'データ'!$A$313:$A$677,0),$A$2),0)=0,"",INDEX('データ'!$B$313:$J$677,MATCH(K43,'データ'!$A$313:$A$677,0),$A$2)),"")</f>
        <v>2759</v>
      </c>
      <c r="L44" s="44">
        <f>IF(MONTH(L43)=1,IF(IFERROR(INDEX('データ'!$B$313:$J$677,MATCH(L43,'データ'!$A$313:$A$677,0),$A$2),0)=0,"",INDEX('データ'!$B$313:$J$677,MATCH(L43,'データ'!$A$313:$A$677,0),$A$2)),"")</f>
        <v>2809</v>
      </c>
      <c r="M44" s="44">
        <f>IF(MONTH(M43)=1,IF(IFERROR(INDEX('データ'!$B$313:$J$677,MATCH(M43,'データ'!$A$313:$A$677,0),$A$2),0)=0,"",INDEX('データ'!$B$313:$J$677,MATCH(M43,'データ'!$A$313:$A$677,0),$A$2)),"")</f>
        <v>2484</v>
      </c>
      <c r="N44" s="44">
        <f>IF(MONTH(N43)=1,IF(IFERROR(INDEX('データ'!$B$313:$J$677,MATCH(N43,'データ'!$A$313:$A$677,0),$A$2),0)=0,"",INDEX('データ'!$B$313:$J$677,MATCH(N43,'データ'!$A$313:$A$677,0),$A$2)),"")</f>
        <v>2843</v>
      </c>
      <c r="O44" s="44">
        <f>IF(MONTH(O43)=1,IF(IFERROR(INDEX('データ'!$B$313:$J$677,MATCH(O43,'データ'!$A$313:$A$677,0),$A$2),0)=0,"",INDEX('データ'!$B$313:$J$677,MATCH(O43,'データ'!$A$313:$A$677,0),$A$2)),"")</f>
        <v>70</v>
      </c>
      <c r="P44" s="44">
        <f>IF(MONTH(P43)=1,IF(IFERROR(INDEX('データ'!$B$313:$J$677,MATCH(P43,'データ'!$A$313:$A$677,0),$A$2),0)=0,"",INDEX('データ'!$B$313:$J$677,MATCH(P43,'データ'!$A$313:$A$677,0),$A$2)),"")</f>
        <v>62</v>
      </c>
      <c r="R44" s="44">
        <f>IF(MONTH(R43)=2,IF(IFERROR(INDEX('データ'!$B$313:$J$677,MATCH(R43,'データ'!$A$313:$A$677,0),$A$2),0)=0,"",INDEX('データ'!$B$313:$J$677,MATCH(R43,'データ'!$A$313:$A$677,0),$A$2)),"")</f>
        <v>4331</v>
      </c>
      <c r="S44" s="44">
        <f>IF(MONTH(S43)=2,IF(IFERROR(INDEX('データ'!$B$313:$J$677,MATCH(S43,'データ'!$A$313:$A$677,0),$A$2),0)=0,"",INDEX('データ'!$B$313:$J$677,MATCH(S43,'データ'!$A$313:$A$677,0),$A$2)),"")</f>
        <v>3927</v>
      </c>
      <c r="T44" s="44">
        <f>IF(MONTH(T43)=2,IF(IFERROR(INDEX('データ'!$B$313:$J$677,MATCH(T43,'データ'!$A$313:$A$677,0),$A$2),0)=0,"",INDEX('データ'!$B$313:$J$677,MATCH(T43,'データ'!$A$313:$A$677,0),$A$2)),"")</f>
        <v>3757</v>
      </c>
      <c r="U44" s="44">
        <f>IF(MONTH(U43)=2,IF(IFERROR(INDEX('データ'!$B$313:$J$677,MATCH(U43,'データ'!$A$313:$A$677,0),$A$2),0)=0,"",INDEX('データ'!$B$313:$J$677,MATCH(U43,'データ'!$A$313:$A$677,0),$A$2)),"")</f>
        <v>3584</v>
      </c>
      <c r="V44" s="44">
        <f>IF(MONTH(V43)=2,IF(IFERROR(INDEX('データ'!$B$313:$J$677,MATCH(V43,'データ'!$A$313:$A$677,0),$A$2),0)=0,"",INDEX('データ'!$B$313:$J$677,MATCH(V43,'データ'!$A$313:$A$677,0),$A$2)),"")</f>
        <v>3766</v>
      </c>
      <c r="W44" s="44">
        <f>IF(MONTH(W43)=2,IF(IFERROR(INDEX('データ'!$B$313:$J$677,MATCH(W43,'データ'!$A$313:$A$677,0),$A$2),0)=0,"",INDEX('データ'!$B$313:$J$677,MATCH(W43,'データ'!$A$313:$A$677,0),$A$2)),"")</f>
        <v/>
      </c>
      <c r="X44" s="44">
        <f>IF(MONTH(X43)=2,IF(IFERROR(INDEX('データ'!$B$313:$J$677,MATCH(X43,'データ'!$A$313:$A$677,0),$A$2),0)=0,"",INDEX('データ'!$B$313:$J$677,MATCH(X43,'データ'!$A$313:$A$677,0),$A$2)),"")</f>
        <v/>
      </c>
      <c r="Z44" s="44">
        <f>IF(MONTH(Z43)=3,IF(IFERROR(INDEX('データ'!$B$313:$J$677,MATCH(Z43,'データ'!$A$313:$A$677,0),$A$2),0)=0,"",INDEX('データ'!$B$313:$J$677,MATCH(Z43,'データ'!$A$313:$A$677,0),$A$2)),"")</f>
        <v>4720</v>
      </c>
      <c r="AA44" s="44">
        <f>IF(MONTH(AA43)=3,IF(IFERROR(INDEX('データ'!$B$313:$J$677,MATCH(AA43,'データ'!$A$313:$A$677,0),$A$2),0)=0,"",INDEX('データ'!$B$313:$J$677,MATCH(AA43,'データ'!$A$313:$A$677,0),$A$2)),"")</f>
        <v>3807</v>
      </c>
      <c r="AB44" s="44">
        <f>IF(MONTH(AB43)=3,IF(IFERROR(INDEX('データ'!$B$313:$J$677,MATCH(AB43,'データ'!$A$313:$A$677,0),$A$2),0)=0,"",INDEX('データ'!$B$313:$J$677,MATCH(AB43,'データ'!$A$313:$A$677,0),$A$2)),"")</f>
        <v>3054</v>
      </c>
      <c r="AC44" s="44">
        <f>IF(MONTH(AC43)=3,IF(IFERROR(INDEX('データ'!$B$313:$J$677,MATCH(AC43,'データ'!$A$313:$A$677,0),$A$2),0)=0,"",INDEX('データ'!$B$313:$J$677,MATCH(AC43,'データ'!$A$313:$A$677,0),$A$2)),"")</f>
        <v>3957</v>
      </c>
      <c r="AD44" s="44">
        <f>IF(MONTH(AD43)=3,IF(IFERROR(INDEX('データ'!$B$313:$J$677,MATCH(AD43,'データ'!$A$313:$A$677,0),$A$2),0)=0,"",INDEX('データ'!$B$313:$J$677,MATCH(AD43,'データ'!$A$313:$A$677,0),$A$2)),"")</f>
        <v/>
      </c>
      <c r="AE44" s="44">
        <f>IF(MONTH(AE43)=3,IF(IFERROR(INDEX('データ'!$B$313:$J$677,MATCH(AE43,'データ'!$A$313:$A$677,0),$A$2),0)=0,"",INDEX('データ'!$B$313:$J$677,MATCH(AE43,'データ'!$A$313:$A$677,0),$A$2)),"")</f>
        <v/>
      </c>
      <c r="AF44" s="44">
        <f>IF(MONTH(AF43)=3,IF(IFERROR(INDEX('データ'!$B$313:$J$677,MATCH(AF43,'データ'!$A$313:$A$677,0),$A$2),0)=0,"",INDEX('データ'!$B$313:$J$677,MATCH(AF43,'データ'!$A$313:$A$677,0),$A$2)),"")</f>
        <v/>
      </c>
    </row>
    <row r="45" spans="2:32" ht="13" customHeight="1">
      <c r="B45" s="43">
        <f>DATE(2025,12,1)-WEEKDAY(DATE(2025,12,1),2)+29</f>
        <v>46020</v>
      </c>
      <c r="C45" s="43">
        <f>DATE(2025,12,1)-WEEKDAY(DATE(2025,12,1),2)+30</f>
        <v>46021</v>
      </c>
      <c r="D45" s="43">
        <f>DATE(2025,12,1)-WEEKDAY(DATE(2025,12,1),2)+31</f>
        <v>46022</v>
      </c>
      <c r="E45" s="43">
        <f>DATE(2025,12,1)-WEEKDAY(DATE(2025,12,1),2)+32</f>
        <v>46023</v>
      </c>
      <c r="F45" s="43">
        <f>DATE(2025,12,1)-WEEKDAY(DATE(2025,12,1),2)+33</f>
        <v>46024</v>
      </c>
      <c r="G45" s="43">
        <f>DATE(2025,12,1)-WEEKDAY(DATE(2025,12,1),2)+34</f>
        <v>46025</v>
      </c>
      <c r="H45" s="43">
        <f>DATE(2025,12,1)-WEEKDAY(DATE(2025,12,1),2)+35</f>
        <v>46026</v>
      </c>
      <c r="J45" s="43">
        <f>DATE(2026,1,1)-WEEKDAY(DATE(2026,1,1),2)+29</f>
        <v>46048</v>
      </c>
      <c r="K45" s="43">
        <f>DATE(2026,1,1)-WEEKDAY(DATE(2026,1,1),2)+30</f>
        <v>46049</v>
      </c>
      <c r="L45" s="43">
        <f>DATE(2026,1,1)-WEEKDAY(DATE(2026,1,1),2)+31</f>
        <v>46050</v>
      </c>
      <c r="M45" s="43">
        <f>DATE(2026,1,1)-WEEKDAY(DATE(2026,1,1),2)+32</f>
        <v>46051</v>
      </c>
      <c r="N45" s="43">
        <f>DATE(2026,1,1)-WEEKDAY(DATE(2026,1,1),2)+33</f>
        <v>46052</v>
      </c>
      <c r="O45" s="43">
        <f>DATE(2026,1,1)-WEEKDAY(DATE(2026,1,1),2)+34</f>
        <v>46053</v>
      </c>
      <c r="P45" s="43">
        <f>DATE(2026,1,1)-WEEKDAY(DATE(2026,1,1),2)+35</f>
        <v>46054</v>
      </c>
      <c r="R45" s="43">
        <f>DATE(2026,2,1)-WEEKDAY(DATE(2026,2,1),2)+29</f>
        <v>46076</v>
      </c>
      <c r="S45" s="43">
        <f>DATE(2026,2,1)-WEEKDAY(DATE(2026,2,1),2)+30</f>
        <v>46077</v>
      </c>
      <c r="T45" s="43">
        <f>DATE(2026,2,1)-WEEKDAY(DATE(2026,2,1),2)+31</f>
        <v>46078</v>
      </c>
      <c r="U45" s="43">
        <f>DATE(2026,2,1)-WEEKDAY(DATE(2026,2,1),2)+32</f>
        <v>46079</v>
      </c>
      <c r="V45" s="43">
        <f>DATE(2026,2,1)-WEEKDAY(DATE(2026,2,1),2)+33</f>
        <v>46080</v>
      </c>
      <c r="W45" s="43">
        <f>DATE(2026,2,1)-WEEKDAY(DATE(2026,2,1),2)+34</f>
        <v>46081</v>
      </c>
      <c r="X45" s="43">
        <f>DATE(2026,2,1)-WEEKDAY(DATE(2026,2,1),2)+35</f>
        <v>46082</v>
      </c>
      <c r="Z45" s="43">
        <f>DATE(2026,3,1)-WEEKDAY(DATE(2026,3,1),2)+29</f>
        <v>46104</v>
      </c>
      <c r="AA45" s="43">
        <f>DATE(2026,3,1)-WEEKDAY(DATE(2026,3,1),2)+30</f>
        <v>46105</v>
      </c>
      <c r="AB45" s="43">
        <f>DATE(2026,3,1)-WEEKDAY(DATE(2026,3,1),2)+31</f>
        <v>46106</v>
      </c>
      <c r="AC45" s="43">
        <f>DATE(2026,3,1)-WEEKDAY(DATE(2026,3,1),2)+32</f>
        <v>46107</v>
      </c>
      <c r="AD45" s="43">
        <f>DATE(2026,3,1)-WEEKDAY(DATE(2026,3,1),2)+33</f>
        <v>46108</v>
      </c>
      <c r="AE45" s="43">
        <f>DATE(2026,3,1)-WEEKDAY(DATE(2026,3,1),2)+34</f>
        <v>46109</v>
      </c>
      <c r="AF45" s="43">
        <f>DATE(2026,3,1)-WEEKDAY(DATE(2026,3,1),2)+35</f>
        <v>46110</v>
      </c>
    </row>
    <row r="46" spans="2:32" ht="21" customHeight="1">
      <c r="B46" s="44">
        <f>IF(MONTH(B45)=12,IF(IFERROR(INDEX('データ'!$B$313:$J$677,MATCH(B45,'データ'!$A$313:$A$677,0),$A$2),0)=0,"",INDEX('データ'!$B$313:$J$677,MATCH(B45,'データ'!$A$313:$A$677,0),$A$2)),"")</f>
        <v/>
      </c>
      <c r="C46" s="44">
        <f>IF(MONTH(C45)=12,IF(IFERROR(INDEX('データ'!$B$313:$J$677,MATCH(C45,'データ'!$A$313:$A$677,0),$A$2),0)=0,"",INDEX('データ'!$B$313:$J$677,MATCH(C45,'データ'!$A$313:$A$677,0),$A$2)),"")</f>
        <v/>
      </c>
      <c r="D46" s="44">
        <f>IF(MONTH(D45)=12,IF(IFERROR(INDEX('データ'!$B$313:$J$677,MATCH(D45,'データ'!$A$313:$A$677,0),$A$2),0)=0,"",INDEX('データ'!$B$313:$J$677,MATCH(D45,'データ'!$A$313:$A$677,0),$A$2)),"")</f>
        <v/>
      </c>
      <c r="E46" s="44">
        <f>IF(MONTH(E45)=12,IF(IFERROR(INDEX('データ'!$B$313:$J$677,MATCH(E45,'データ'!$A$313:$A$677,0),$A$2),0)=0,"",INDEX('データ'!$B$313:$J$677,MATCH(E45,'データ'!$A$313:$A$677,0),$A$2)),"")</f>
        <v/>
      </c>
      <c r="F46" s="44">
        <f>IF(MONTH(F45)=12,IF(IFERROR(INDEX('データ'!$B$313:$J$677,MATCH(F45,'データ'!$A$313:$A$677,0),$A$2),0)=0,"",INDEX('データ'!$B$313:$J$677,MATCH(F45,'データ'!$A$313:$A$677,0),$A$2)),"")</f>
        <v/>
      </c>
      <c r="G46" s="44">
        <f>IF(MONTH(G45)=12,IF(IFERROR(INDEX('データ'!$B$313:$J$677,MATCH(G45,'データ'!$A$313:$A$677,0),$A$2),0)=0,"",INDEX('データ'!$B$313:$J$677,MATCH(G45,'データ'!$A$313:$A$677,0),$A$2)),"")</f>
        <v/>
      </c>
      <c r="H46" s="44">
        <f>IF(MONTH(H45)=12,IF(IFERROR(INDEX('データ'!$B$313:$J$677,MATCH(H45,'データ'!$A$313:$A$677,0),$A$2),0)=0,"",INDEX('データ'!$B$313:$J$677,MATCH(H45,'データ'!$A$313:$A$677,0),$A$2)),"")</f>
        <v/>
      </c>
      <c r="J46" s="44">
        <f>IF(MONTH(J45)=1,IF(IFERROR(INDEX('データ'!$B$313:$J$677,MATCH(J45,'データ'!$A$313:$A$677,0),$A$2),0)=0,"",INDEX('データ'!$B$313:$J$677,MATCH(J45,'データ'!$A$313:$A$677,0),$A$2)),"")</f>
        <v>3891</v>
      </c>
      <c r="K46" s="44">
        <f>IF(MONTH(K45)=1,IF(IFERROR(INDEX('データ'!$B$313:$J$677,MATCH(K45,'データ'!$A$313:$A$677,0),$A$2),0)=0,"",INDEX('データ'!$B$313:$J$677,MATCH(K45,'データ'!$A$313:$A$677,0),$A$2)),"")</f>
        <v>3481</v>
      </c>
      <c r="L46" s="44">
        <f>IF(MONTH(L45)=1,IF(IFERROR(INDEX('データ'!$B$313:$J$677,MATCH(L45,'データ'!$A$313:$A$677,0),$A$2),0)=0,"",INDEX('データ'!$B$313:$J$677,MATCH(L45,'データ'!$A$313:$A$677,0),$A$2)),"")</f>
        <v>3393</v>
      </c>
      <c r="M46" s="44">
        <f>IF(MONTH(M45)=1,IF(IFERROR(INDEX('データ'!$B$313:$J$677,MATCH(M45,'データ'!$A$313:$A$677,0),$A$2),0)=0,"",INDEX('データ'!$B$313:$J$677,MATCH(M45,'データ'!$A$313:$A$677,0),$A$2)),"")</f>
        <v>3248</v>
      </c>
      <c r="N46" s="44">
        <f>IF(MONTH(N45)=1,IF(IFERROR(INDEX('データ'!$B$313:$J$677,MATCH(N45,'データ'!$A$313:$A$677,0),$A$2),0)=0,"",INDEX('データ'!$B$313:$J$677,MATCH(N45,'データ'!$A$313:$A$677,0),$A$2)),"")</f>
        <v>3383</v>
      </c>
      <c r="O46" s="44">
        <f>IF(MONTH(O45)=1,IF(IFERROR(INDEX('データ'!$B$313:$J$677,MATCH(O45,'データ'!$A$313:$A$677,0),$A$2),0)=0,"",INDEX('データ'!$B$313:$J$677,MATCH(O45,'データ'!$A$313:$A$677,0),$A$2)),"")</f>
        <v/>
      </c>
      <c r="P46" s="44">
        <f>IF(MONTH(P45)=1,IF(IFERROR(INDEX('データ'!$B$313:$J$677,MATCH(P45,'データ'!$A$313:$A$677,0),$A$2),0)=0,"",INDEX('データ'!$B$313:$J$677,MATCH(P45,'データ'!$A$313:$A$677,0),$A$2)),"")</f>
        <v/>
      </c>
      <c r="R46" s="44">
        <f>IF(MONTH(R45)=2,IF(IFERROR(INDEX('データ'!$B$313:$J$677,MATCH(R45,'データ'!$A$313:$A$677,0),$A$2),0)=0,"",INDEX('データ'!$B$313:$J$677,MATCH(R45,'データ'!$A$313:$A$677,0),$A$2)),"")</f>
        <v/>
      </c>
      <c r="S46" s="44">
        <f>IF(MONTH(S45)=2,IF(IFERROR(INDEX('データ'!$B$313:$J$677,MATCH(S45,'データ'!$A$313:$A$677,0),$A$2),0)=0,"",INDEX('データ'!$B$313:$J$677,MATCH(S45,'データ'!$A$313:$A$677,0),$A$2)),"")</f>
        <v>4591</v>
      </c>
      <c r="T46" s="44">
        <f>IF(MONTH(T45)=2,IF(IFERROR(INDEX('データ'!$B$313:$J$677,MATCH(T45,'データ'!$A$313:$A$677,0),$A$2),0)=0,"",INDEX('データ'!$B$313:$J$677,MATCH(T45,'データ'!$A$313:$A$677,0),$A$2)),"")</f>
        <v>3941</v>
      </c>
      <c r="U46" s="44">
        <f>IF(MONTH(U45)=2,IF(IFERROR(INDEX('データ'!$B$313:$J$677,MATCH(U45,'データ'!$A$313:$A$677,0),$A$2),0)=0,"",INDEX('データ'!$B$313:$J$677,MATCH(U45,'データ'!$A$313:$A$677,0),$A$2)),"")</f>
        <v>3973</v>
      </c>
      <c r="V46" s="44">
        <f>IF(MONTH(V45)=2,IF(IFERROR(INDEX('データ'!$B$313:$J$677,MATCH(V45,'データ'!$A$313:$A$677,0),$A$2),0)=0,"",INDEX('データ'!$B$313:$J$677,MATCH(V45,'データ'!$A$313:$A$677,0),$A$2)),"")</f>
        <v>3434</v>
      </c>
      <c r="W46" s="44">
        <f>IF(MONTH(W45)=2,IF(IFERROR(INDEX('データ'!$B$313:$J$677,MATCH(W45,'データ'!$A$313:$A$677,0),$A$2),0)=0,"",INDEX('データ'!$B$313:$J$677,MATCH(W45,'データ'!$A$313:$A$677,0),$A$2)),"")</f>
        <v/>
      </c>
      <c r="X46" s="44">
        <f>IF(MONTH(X45)=2,IF(IFERROR(INDEX('データ'!$B$313:$J$677,MATCH(X45,'データ'!$A$313:$A$677,0),$A$2),0)=0,"",INDEX('データ'!$B$313:$J$677,MATCH(X45,'データ'!$A$313:$A$677,0),$A$2)),"")</f>
        <v/>
      </c>
      <c r="Z46" s="44">
        <f>IF(MONTH(Z45)=3,IF(IFERROR(INDEX('データ'!$B$313:$J$677,MATCH(Z45,'データ'!$A$313:$A$677,0),$A$2),0)=0,"",INDEX('データ'!$B$313:$J$677,MATCH(Z45,'データ'!$A$313:$A$677,0),$A$2)),"")</f>
        <v>5392</v>
      </c>
      <c r="AA46" s="44">
        <f>IF(MONTH(AA45)=3,IF(IFERROR(INDEX('データ'!$B$313:$J$677,MATCH(AA45,'データ'!$A$313:$A$677,0),$A$2),0)=0,"",INDEX('データ'!$B$313:$J$677,MATCH(AA45,'データ'!$A$313:$A$677,0),$A$2)),"")</f>
        <v>4455</v>
      </c>
      <c r="AB46" s="44">
        <f>IF(MONTH(AB45)=3,IF(IFERROR(INDEX('データ'!$B$313:$J$677,MATCH(AB45,'データ'!$A$313:$A$677,0),$A$2),0)=0,"",INDEX('データ'!$B$313:$J$677,MATCH(AB45,'データ'!$A$313:$A$677,0),$A$2)),"")</f>
        <v>3640</v>
      </c>
      <c r="AC46" s="44">
        <f>IF(MONTH(AC45)=3,IF(IFERROR(INDEX('データ'!$B$313:$J$677,MATCH(AC45,'データ'!$A$313:$A$677,0),$A$2),0)=0,"",INDEX('データ'!$B$313:$J$677,MATCH(AC45,'データ'!$A$313:$A$677,0),$A$2)),"")</f>
        <v>3987</v>
      </c>
      <c r="AD46" s="44">
        <f>IF(MONTH(AD45)=3,IF(IFERROR(INDEX('データ'!$B$313:$J$677,MATCH(AD45,'データ'!$A$313:$A$677,0),$A$2),0)=0,"",INDEX('データ'!$B$313:$J$677,MATCH(AD45,'データ'!$A$313:$A$677,0),$A$2)),"")</f>
        <v>4225</v>
      </c>
      <c r="AE46" s="44">
        <f>IF(MONTH(AE45)=3,IF(IFERROR(INDEX('データ'!$B$313:$J$677,MATCH(AE45,'データ'!$A$313:$A$677,0),$A$2),0)=0,"",INDEX('データ'!$B$313:$J$677,MATCH(AE45,'データ'!$A$313:$A$677,0),$A$2)),"")</f>
        <v>161</v>
      </c>
      <c r="AF46" s="44">
        <f>IF(MONTH(AF45)=3,IF(IFERROR(INDEX('データ'!$B$313:$J$677,MATCH(AF45,'データ'!$A$313:$A$677,0),$A$2),0)=0,"",INDEX('データ'!$B$313:$J$677,MATCH(AF45,'データ'!$A$313:$A$677,0),$A$2)),"")</f>
        <v>173</v>
      </c>
    </row>
    <row r="47" spans="2:32" ht="13" customHeight="1">
      <c r="B47" s="43">
        <f>DATE(2025,12,1)-WEEKDAY(DATE(2025,12,1),2)+36</f>
        <v>46027</v>
      </c>
      <c r="C47" s="43">
        <f>DATE(2025,12,1)-WEEKDAY(DATE(2025,12,1),2)+37</f>
        <v>46028</v>
      </c>
      <c r="D47" s="43">
        <f>DATE(2025,12,1)-WEEKDAY(DATE(2025,12,1),2)+38</f>
        <v>46029</v>
      </c>
      <c r="E47" s="43">
        <f>DATE(2025,12,1)-WEEKDAY(DATE(2025,12,1),2)+39</f>
        <v>46030</v>
      </c>
      <c r="F47" s="43">
        <f>DATE(2025,12,1)-WEEKDAY(DATE(2025,12,1),2)+40</f>
        <v>46031</v>
      </c>
      <c r="G47" s="43">
        <f>DATE(2025,12,1)-WEEKDAY(DATE(2025,12,1),2)+41</f>
        <v>46032</v>
      </c>
      <c r="H47" s="43">
        <f>DATE(2025,12,1)-WEEKDAY(DATE(2025,12,1),2)+42</f>
        <v>46033</v>
      </c>
      <c r="J47" s="43">
        <f>DATE(2026,1,1)-WEEKDAY(DATE(2026,1,1),2)+36</f>
        <v>46055</v>
      </c>
      <c r="K47" s="43">
        <f>DATE(2026,1,1)-WEEKDAY(DATE(2026,1,1),2)+37</f>
        <v>46056</v>
      </c>
      <c r="L47" s="43">
        <f>DATE(2026,1,1)-WEEKDAY(DATE(2026,1,1),2)+38</f>
        <v>46057</v>
      </c>
      <c r="M47" s="43">
        <f>DATE(2026,1,1)-WEEKDAY(DATE(2026,1,1),2)+39</f>
        <v>46058</v>
      </c>
      <c r="N47" s="43">
        <f>DATE(2026,1,1)-WEEKDAY(DATE(2026,1,1),2)+40</f>
        <v>46059</v>
      </c>
      <c r="O47" s="43">
        <f>DATE(2026,1,1)-WEEKDAY(DATE(2026,1,1),2)+41</f>
        <v>46060</v>
      </c>
      <c r="P47" s="43">
        <f>DATE(2026,1,1)-WEEKDAY(DATE(2026,1,1),2)+42</f>
        <v>46061</v>
      </c>
      <c r="R47" s="43">
        <f>DATE(2026,2,1)-WEEKDAY(DATE(2026,2,1),2)+36</f>
        <v>46083</v>
      </c>
      <c r="S47" s="43">
        <f>DATE(2026,2,1)-WEEKDAY(DATE(2026,2,1),2)+37</f>
        <v>46084</v>
      </c>
      <c r="T47" s="43">
        <f>DATE(2026,2,1)-WEEKDAY(DATE(2026,2,1),2)+38</f>
        <v>46085</v>
      </c>
      <c r="U47" s="43">
        <f>DATE(2026,2,1)-WEEKDAY(DATE(2026,2,1),2)+39</f>
        <v>46086</v>
      </c>
      <c r="V47" s="43">
        <f>DATE(2026,2,1)-WEEKDAY(DATE(2026,2,1),2)+40</f>
        <v>46087</v>
      </c>
      <c r="W47" s="43">
        <f>DATE(2026,2,1)-WEEKDAY(DATE(2026,2,1),2)+41</f>
        <v>46088</v>
      </c>
      <c r="X47" s="43">
        <f>DATE(2026,2,1)-WEEKDAY(DATE(2026,2,1),2)+42</f>
        <v>46089</v>
      </c>
      <c r="Z47" s="43">
        <f>DATE(2026,3,1)-WEEKDAY(DATE(2026,3,1),2)+36</f>
        <v>46111</v>
      </c>
      <c r="AA47" s="43">
        <f>DATE(2026,3,1)-WEEKDAY(DATE(2026,3,1),2)+37</f>
        <v>46112</v>
      </c>
      <c r="AB47" s="43">
        <f>DATE(2026,3,1)-WEEKDAY(DATE(2026,3,1),2)+38</f>
        <v>46113</v>
      </c>
      <c r="AC47" s="43">
        <f>DATE(2026,3,1)-WEEKDAY(DATE(2026,3,1),2)+39</f>
        <v>46114</v>
      </c>
      <c r="AD47" s="43">
        <f>DATE(2026,3,1)-WEEKDAY(DATE(2026,3,1),2)+40</f>
        <v>46115</v>
      </c>
      <c r="AE47" s="43">
        <f>DATE(2026,3,1)-WEEKDAY(DATE(2026,3,1),2)+41</f>
        <v>46116</v>
      </c>
      <c r="AF47" s="43">
        <f>DATE(2026,3,1)-WEEKDAY(DATE(2026,3,1),2)+42</f>
        <v>46117</v>
      </c>
    </row>
    <row r="48" spans="2:32" ht="21" customHeight="1">
      <c r="B48" s="44">
        <f>IF(MONTH(B47)=12,IF(IFERROR(INDEX('データ'!$B$313:$J$677,MATCH(B47,'データ'!$A$313:$A$677,0),$A$2),0)=0,"",INDEX('データ'!$B$313:$J$677,MATCH(B47,'データ'!$A$313:$A$677,0),$A$2)),"")</f>
        <v/>
      </c>
      <c r="C48" s="44">
        <f>IF(MONTH(C47)=12,IF(IFERROR(INDEX('データ'!$B$313:$J$677,MATCH(C47,'データ'!$A$313:$A$677,0),$A$2),0)=0,"",INDEX('データ'!$B$313:$J$677,MATCH(C47,'データ'!$A$313:$A$677,0),$A$2)),"")</f>
        <v/>
      </c>
      <c r="D48" s="44">
        <f>IF(MONTH(D47)=12,IF(IFERROR(INDEX('データ'!$B$313:$J$677,MATCH(D47,'データ'!$A$313:$A$677,0),$A$2),0)=0,"",INDEX('データ'!$B$313:$J$677,MATCH(D47,'データ'!$A$313:$A$677,0),$A$2)),"")</f>
        <v/>
      </c>
      <c r="E48" s="44">
        <f>IF(MONTH(E47)=12,IF(IFERROR(INDEX('データ'!$B$313:$J$677,MATCH(E47,'データ'!$A$313:$A$677,0),$A$2),0)=0,"",INDEX('データ'!$B$313:$J$677,MATCH(E47,'データ'!$A$313:$A$677,0),$A$2)),"")</f>
        <v/>
      </c>
      <c r="F48" s="44">
        <f>IF(MONTH(F47)=12,IF(IFERROR(INDEX('データ'!$B$313:$J$677,MATCH(F47,'データ'!$A$313:$A$677,0),$A$2),0)=0,"",INDEX('データ'!$B$313:$J$677,MATCH(F47,'データ'!$A$313:$A$677,0),$A$2)),"")</f>
        <v/>
      </c>
      <c r="G48" s="44">
        <f>IF(MONTH(G47)=12,IF(IFERROR(INDEX('データ'!$B$313:$J$677,MATCH(G47,'データ'!$A$313:$A$677,0),$A$2),0)=0,"",INDEX('データ'!$B$313:$J$677,MATCH(G47,'データ'!$A$313:$A$677,0),$A$2)),"")</f>
        <v/>
      </c>
      <c r="H48" s="44">
        <f>IF(MONTH(H47)=12,IF(IFERROR(INDEX('データ'!$B$313:$J$677,MATCH(H47,'データ'!$A$313:$A$677,0),$A$2),0)=0,"",INDEX('データ'!$B$313:$J$677,MATCH(H47,'データ'!$A$313:$A$677,0),$A$2)),"")</f>
        <v/>
      </c>
      <c r="J48" s="44">
        <f>IF(MONTH(J47)=1,IF(IFERROR(INDEX('データ'!$B$313:$J$677,MATCH(J47,'データ'!$A$313:$A$677,0),$A$2),0)=0,"",INDEX('データ'!$B$313:$J$677,MATCH(J47,'データ'!$A$313:$A$677,0),$A$2)),"")</f>
        <v/>
      </c>
      <c r="K48" s="44">
        <f>IF(MONTH(K47)=1,IF(IFERROR(INDEX('データ'!$B$313:$J$677,MATCH(K47,'データ'!$A$313:$A$677,0),$A$2),0)=0,"",INDEX('データ'!$B$313:$J$677,MATCH(K47,'データ'!$A$313:$A$677,0),$A$2)),"")</f>
        <v/>
      </c>
      <c r="L48" s="44">
        <f>IF(MONTH(L47)=1,IF(IFERROR(INDEX('データ'!$B$313:$J$677,MATCH(L47,'データ'!$A$313:$A$677,0),$A$2),0)=0,"",INDEX('データ'!$B$313:$J$677,MATCH(L47,'データ'!$A$313:$A$677,0),$A$2)),"")</f>
        <v/>
      </c>
      <c r="M48" s="44">
        <f>IF(MONTH(M47)=1,IF(IFERROR(INDEX('データ'!$B$313:$J$677,MATCH(M47,'データ'!$A$313:$A$677,0),$A$2),0)=0,"",INDEX('データ'!$B$313:$J$677,MATCH(M47,'データ'!$A$313:$A$677,0),$A$2)),"")</f>
        <v/>
      </c>
      <c r="N48" s="44">
        <f>IF(MONTH(N47)=1,IF(IFERROR(INDEX('データ'!$B$313:$J$677,MATCH(N47,'データ'!$A$313:$A$677,0),$A$2),0)=0,"",INDEX('データ'!$B$313:$J$677,MATCH(N47,'データ'!$A$313:$A$677,0),$A$2)),"")</f>
        <v/>
      </c>
      <c r="O48" s="44">
        <f>IF(MONTH(O47)=1,IF(IFERROR(INDEX('データ'!$B$313:$J$677,MATCH(O47,'データ'!$A$313:$A$677,0),$A$2),0)=0,"",INDEX('データ'!$B$313:$J$677,MATCH(O47,'データ'!$A$313:$A$677,0),$A$2)),"")</f>
        <v/>
      </c>
      <c r="P48" s="44">
        <f>IF(MONTH(P47)=1,IF(IFERROR(INDEX('データ'!$B$313:$J$677,MATCH(P47,'データ'!$A$313:$A$677,0),$A$2),0)=0,"",INDEX('データ'!$B$313:$J$677,MATCH(P47,'データ'!$A$313:$A$677,0),$A$2)),"")</f>
        <v/>
      </c>
      <c r="R48" s="44">
        <f>IF(MONTH(R47)=2,IF(IFERROR(INDEX('データ'!$B$313:$J$677,MATCH(R47,'データ'!$A$313:$A$677,0),$A$2),0)=0,"",INDEX('データ'!$B$313:$J$677,MATCH(R47,'データ'!$A$313:$A$677,0),$A$2)),"")</f>
        <v/>
      </c>
      <c r="S48" s="44">
        <f>IF(MONTH(S47)=2,IF(IFERROR(INDEX('データ'!$B$313:$J$677,MATCH(S47,'データ'!$A$313:$A$677,0),$A$2),0)=0,"",INDEX('データ'!$B$313:$J$677,MATCH(S47,'データ'!$A$313:$A$677,0),$A$2)),"")</f>
        <v/>
      </c>
      <c r="T48" s="44">
        <f>IF(MONTH(T47)=2,IF(IFERROR(INDEX('データ'!$B$313:$J$677,MATCH(T47,'データ'!$A$313:$A$677,0),$A$2),0)=0,"",INDEX('データ'!$B$313:$J$677,MATCH(T47,'データ'!$A$313:$A$677,0),$A$2)),"")</f>
        <v/>
      </c>
      <c r="U48" s="44">
        <f>IF(MONTH(U47)=2,IF(IFERROR(INDEX('データ'!$B$313:$J$677,MATCH(U47,'データ'!$A$313:$A$677,0),$A$2),0)=0,"",INDEX('データ'!$B$313:$J$677,MATCH(U47,'データ'!$A$313:$A$677,0),$A$2)),"")</f>
        <v/>
      </c>
      <c r="V48" s="44">
        <f>IF(MONTH(V47)=2,IF(IFERROR(INDEX('データ'!$B$313:$J$677,MATCH(V47,'データ'!$A$313:$A$677,0),$A$2),0)=0,"",INDEX('データ'!$B$313:$J$677,MATCH(V47,'データ'!$A$313:$A$677,0),$A$2)),"")</f>
        <v/>
      </c>
      <c r="W48" s="44">
        <f>IF(MONTH(W47)=2,IF(IFERROR(INDEX('データ'!$B$313:$J$677,MATCH(W47,'データ'!$A$313:$A$677,0),$A$2),0)=0,"",INDEX('データ'!$B$313:$J$677,MATCH(W47,'データ'!$A$313:$A$677,0),$A$2)),"")</f>
        <v/>
      </c>
      <c r="X48" s="44">
        <f>IF(MONTH(X47)=2,IF(IFERROR(INDEX('データ'!$B$313:$J$677,MATCH(X47,'データ'!$A$313:$A$677,0),$A$2),0)=0,"",INDEX('データ'!$B$313:$J$677,MATCH(X47,'データ'!$A$313:$A$677,0),$A$2)),"")</f>
        <v/>
      </c>
      <c r="Z48" s="44">
        <f>IF(MONTH(Z47)=3,IF(IFERROR(INDEX('データ'!$B$313:$J$677,MATCH(Z47,'データ'!$A$313:$A$677,0),$A$2),0)=0,"",INDEX('データ'!$B$313:$J$677,MATCH(Z47,'データ'!$A$313:$A$677,0),$A$2)),"")</f>
        <v>5319</v>
      </c>
      <c r="AA48" s="44">
        <f>IF(MONTH(AA47)=3,IF(IFERROR(INDEX('データ'!$B$313:$J$677,MATCH(AA47,'データ'!$A$313:$A$677,0),$A$2),0)=0,"",INDEX('データ'!$B$313:$J$677,MATCH(AA47,'データ'!$A$313:$A$677,0),$A$2)),"")</f>
        <v>4168</v>
      </c>
      <c r="AB48" s="44">
        <f>IF(MONTH(AB47)=3,IF(IFERROR(INDEX('データ'!$B$313:$J$677,MATCH(AB47,'データ'!$A$313:$A$677,0),$A$2),0)=0,"",INDEX('データ'!$B$313:$J$677,MATCH(AB47,'データ'!$A$313:$A$677,0),$A$2)),"")</f>
        <v/>
      </c>
      <c r="AC48" s="44">
        <f>IF(MONTH(AC47)=3,IF(IFERROR(INDEX('データ'!$B$313:$J$677,MATCH(AC47,'データ'!$A$313:$A$677,0),$A$2),0)=0,"",INDEX('データ'!$B$313:$J$677,MATCH(AC47,'データ'!$A$313:$A$677,0),$A$2)),"")</f>
        <v/>
      </c>
      <c r="AD48" s="44">
        <f>IF(MONTH(AD47)=3,IF(IFERROR(INDEX('データ'!$B$313:$J$677,MATCH(AD47,'データ'!$A$313:$A$677,0),$A$2),0)=0,"",INDEX('データ'!$B$313:$J$677,MATCH(AD47,'データ'!$A$313:$A$677,0),$A$2)),"")</f>
        <v/>
      </c>
      <c r="AE48" s="44">
        <f>IF(MONTH(AE47)=3,IF(IFERROR(INDEX('データ'!$B$313:$J$677,MATCH(AE47,'データ'!$A$313:$A$677,0),$A$2),0)=0,"",INDEX('データ'!$B$313:$J$677,MATCH(AE47,'データ'!$A$313:$A$677,0),$A$2)),"")</f>
        <v/>
      </c>
      <c r="AF48" s="44">
        <f>IF(MONTH(AF47)=3,IF(IFERROR(INDEX('データ'!$B$313:$J$677,MATCH(AF47,'データ'!$A$313:$A$677,0),$A$2),0)=0,"",INDEX('データ'!$B$313:$J$677,MATCH(AF47,'データ'!$A$313:$A$677,0),$A$2)),"")</f>
        <v/>
      </c>
    </row>
    <row r="51" spans="2:2">
      <c r="B51" s="19" t="s">
        <v>407</v>
      </c>
    </row>
  </sheetData>
  <mergeCells count="13">
    <mergeCell ref="B1:AG1"/>
    <mergeCell ref="B5:H5"/>
    <mergeCell ref="J5:P5"/>
    <mergeCell ref="R5:X5"/>
    <mergeCell ref="Z5:AF5"/>
    <mergeCell ref="B20:H20"/>
    <mergeCell ref="J20:P20"/>
    <mergeCell ref="R20:X20"/>
    <mergeCell ref="Z20:AF20"/>
    <mergeCell ref="B35:H35"/>
    <mergeCell ref="J35:P35"/>
    <mergeCell ref="R35:X35"/>
    <mergeCell ref="Z35:AF35"/>
  </mergeCells>
  <conditionalFormatting sqref="AA11">
    <cfRule type="expression" dxfId="0" priority="142">
      <formula>MONTH(AA11)&lt;&gt;7</formula>
    </cfRule>
  </conditionalFormatting>
  <conditionalFormatting sqref="AA13">
    <cfRule type="expression" dxfId="0" priority="149">
      <formula>MONTH(AA13)&lt;&gt;7</formula>
    </cfRule>
  </conditionalFormatting>
  <conditionalFormatting sqref="AA15">
    <cfRule type="expression" dxfId="0" priority="156">
      <formula>MONTH(AA15)&lt;&gt;7</formula>
    </cfRule>
  </conditionalFormatting>
  <conditionalFormatting sqref="AA17">
    <cfRule type="expression" dxfId="0" priority="163">
      <formula>MONTH(AA17)&lt;&gt;7</formula>
    </cfRule>
  </conditionalFormatting>
  <conditionalFormatting sqref="AA22">
    <cfRule type="expression" dxfId="0" priority="296">
      <formula>MONTH(AA22)&lt;&gt;11</formula>
    </cfRule>
  </conditionalFormatting>
  <conditionalFormatting sqref="AA24">
    <cfRule type="expression" dxfId="0" priority="303">
      <formula>MONTH(AA24)&lt;&gt;11</formula>
    </cfRule>
  </conditionalFormatting>
  <conditionalFormatting sqref="AA26">
    <cfRule type="expression" dxfId="0" priority="310">
      <formula>MONTH(AA26)&lt;&gt;11</formula>
    </cfRule>
  </conditionalFormatting>
  <conditionalFormatting sqref="AA28">
    <cfRule type="expression" dxfId="0" priority="317">
      <formula>MONTH(AA28)&lt;&gt;11</formula>
    </cfRule>
  </conditionalFormatting>
  <conditionalFormatting sqref="AA30">
    <cfRule type="expression" dxfId="0" priority="324">
      <formula>MONTH(AA30)&lt;&gt;11</formula>
    </cfRule>
  </conditionalFormatting>
  <conditionalFormatting sqref="AA32">
    <cfRule type="expression" dxfId="0" priority="331">
      <formula>MONTH(AA32)&lt;&gt;11</formula>
    </cfRule>
  </conditionalFormatting>
  <conditionalFormatting sqref="AA37">
    <cfRule type="expression" dxfId="0" priority="464">
      <formula>MONTH(AA37)&lt;&gt;3</formula>
    </cfRule>
  </conditionalFormatting>
  <conditionalFormatting sqref="AA39">
    <cfRule type="expression" dxfId="0" priority="471">
      <formula>MONTH(AA39)&lt;&gt;3</formula>
    </cfRule>
  </conditionalFormatting>
  <conditionalFormatting sqref="AA41">
    <cfRule type="expression" dxfId="0" priority="478">
      <formula>MONTH(AA41)&lt;&gt;3</formula>
    </cfRule>
  </conditionalFormatting>
  <conditionalFormatting sqref="AA43">
    <cfRule type="expression" dxfId="0" priority="485">
      <formula>MONTH(AA43)&lt;&gt;3</formula>
    </cfRule>
  </conditionalFormatting>
  <conditionalFormatting sqref="AA45">
    <cfRule type="expression" dxfId="0" priority="492">
      <formula>MONTH(AA45)&lt;&gt;3</formula>
    </cfRule>
  </conditionalFormatting>
  <conditionalFormatting sqref="AA47">
    <cfRule type="expression" dxfId="0" priority="499">
      <formula>MONTH(AA47)&lt;&gt;3</formula>
    </cfRule>
  </conditionalFormatting>
  <conditionalFormatting sqref="AA7">
    <cfRule type="expression" dxfId="0" priority="128">
      <formula>MONTH(AA7)&lt;&gt;7</formula>
    </cfRule>
  </conditionalFormatting>
  <conditionalFormatting sqref="AA9">
    <cfRule type="expression" dxfId="0" priority="135">
      <formula>MONTH(AA9)&lt;&gt;7</formula>
    </cfRule>
  </conditionalFormatting>
  <conditionalFormatting sqref="AB11">
    <cfRule type="expression" dxfId="0" priority="143">
      <formula>MONTH(AB11)&lt;&gt;7</formula>
    </cfRule>
  </conditionalFormatting>
  <conditionalFormatting sqref="AB13">
    <cfRule type="expression" dxfId="0" priority="150">
      <formula>MONTH(AB13)&lt;&gt;7</formula>
    </cfRule>
  </conditionalFormatting>
  <conditionalFormatting sqref="AB15">
    <cfRule type="expression" dxfId="0" priority="157">
      <formula>MONTH(AB15)&lt;&gt;7</formula>
    </cfRule>
  </conditionalFormatting>
  <conditionalFormatting sqref="AB17">
    <cfRule type="expression" dxfId="0" priority="164">
      <formula>MONTH(AB17)&lt;&gt;7</formula>
    </cfRule>
  </conditionalFormatting>
  <conditionalFormatting sqref="AB22">
    <cfRule type="expression" dxfId="0" priority="297">
      <formula>MONTH(AB22)&lt;&gt;11</formula>
    </cfRule>
  </conditionalFormatting>
  <conditionalFormatting sqref="AB24">
    <cfRule type="expression" dxfId="0" priority="304">
      <formula>MONTH(AB24)&lt;&gt;11</formula>
    </cfRule>
  </conditionalFormatting>
  <conditionalFormatting sqref="AB26">
    <cfRule type="expression" dxfId="0" priority="311">
      <formula>MONTH(AB26)&lt;&gt;11</formula>
    </cfRule>
  </conditionalFormatting>
  <conditionalFormatting sqref="AB28">
    <cfRule type="expression" dxfId="0" priority="318">
      <formula>MONTH(AB28)&lt;&gt;11</formula>
    </cfRule>
  </conditionalFormatting>
  <conditionalFormatting sqref="AB30">
    <cfRule type="expression" dxfId="0" priority="325">
      <formula>MONTH(AB30)&lt;&gt;11</formula>
    </cfRule>
  </conditionalFormatting>
  <conditionalFormatting sqref="AB32">
    <cfRule type="expression" dxfId="0" priority="332">
      <formula>MONTH(AB32)&lt;&gt;11</formula>
    </cfRule>
  </conditionalFormatting>
  <conditionalFormatting sqref="AB37">
    <cfRule type="expression" dxfId="0" priority="465">
      <formula>MONTH(AB37)&lt;&gt;3</formula>
    </cfRule>
  </conditionalFormatting>
  <conditionalFormatting sqref="AB39">
    <cfRule type="expression" dxfId="0" priority="472">
      <formula>MONTH(AB39)&lt;&gt;3</formula>
    </cfRule>
  </conditionalFormatting>
  <conditionalFormatting sqref="AB41">
    <cfRule type="expression" dxfId="0" priority="479">
      <formula>MONTH(AB41)&lt;&gt;3</formula>
    </cfRule>
  </conditionalFormatting>
  <conditionalFormatting sqref="AB43">
    <cfRule type="expression" dxfId="0" priority="486">
      <formula>MONTH(AB43)&lt;&gt;3</formula>
    </cfRule>
  </conditionalFormatting>
  <conditionalFormatting sqref="AB45">
    <cfRule type="expression" dxfId="0" priority="493">
      <formula>MONTH(AB45)&lt;&gt;3</formula>
    </cfRule>
  </conditionalFormatting>
  <conditionalFormatting sqref="AB47">
    <cfRule type="expression" dxfId="0" priority="500">
      <formula>MONTH(AB47)&lt;&gt;3</formula>
    </cfRule>
  </conditionalFormatting>
  <conditionalFormatting sqref="AB7">
    <cfRule type="expression" dxfId="0" priority="129">
      <formula>MONTH(AB7)&lt;&gt;7</formula>
    </cfRule>
  </conditionalFormatting>
  <conditionalFormatting sqref="AB9">
    <cfRule type="expression" dxfId="0" priority="136">
      <formula>MONTH(AB9)&lt;&gt;7</formula>
    </cfRule>
  </conditionalFormatting>
  <conditionalFormatting sqref="AC11">
    <cfRule type="expression" dxfId="0" priority="144">
      <formula>MONTH(AC11)&lt;&gt;7</formula>
    </cfRule>
  </conditionalFormatting>
  <conditionalFormatting sqref="AC13">
    <cfRule type="expression" dxfId="0" priority="151">
      <formula>MONTH(AC13)&lt;&gt;7</formula>
    </cfRule>
  </conditionalFormatting>
  <conditionalFormatting sqref="AC15">
    <cfRule type="expression" dxfId="0" priority="158">
      <formula>MONTH(AC15)&lt;&gt;7</formula>
    </cfRule>
  </conditionalFormatting>
  <conditionalFormatting sqref="AC17">
    <cfRule type="expression" dxfId="0" priority="165">
      <formula>MONTH(AC17)&lt;&gt;7</formula>
    </cfRule>
  </conditionalFormatting>
  <conditionalFormatting sqref="AC22">
    <cfRule type="expression" dxfId="0" priority="298">
      <formula>MONTH(AC22)&lt;&gt;11</formula>
    </cfRule>
  </conditionalFormatting>
  <conditionalFormatting sqref="AC24">
    <cfRule type="expression" dxfId="0" priority="305">
      <formula>MONTH(AC24)&lt;&gt;11</formula>
    </cfRule>
  </conditionalFormatting>
  <conditionalFormatting sqref="AC26">
    <cfRule type="expression" dxfId="0" priority="312">
      <formula>MONTH(AC26)&lt;&gt;11</formula>
    </cfRule>
  </conditionalFormatting>
  <conditionalFormatting sqref="AC28">
    <cfRule type="expression" dxfId="0" priority="319">
      <formula>MONTH(AC28)&lt;&gt;11</formula>
    </cfRule>
  </conditionalFormatting>
  <conditionalFormatting sqref="AC30">
    <cfRule type="expression" dxfId="0" priority="326">
      <formula>MONTH(AC30)&lt;&gt;11</formula>
    </cfRule>
  </conditionalFormatting>
  <conditionalFormatting sqref="AC32">
    <cfRule type="expression" dxfId="0" priority="333">
      <formula>MONTH(AC32)&lt;&gt;11</formula>
    </cfRule>
  </conditionalFormatting>
  <conditionalFormatting sqref="AC37">
    <cfRule type="expression" dxfId="0" priority="466">
      <formula>MONTH(AC37)&lt;&gt;3</formula>
    </cfRule>
  </conditionalFormatting>
  <conditionalFormatting sqref="AC39">
    <cfRule type="expression" dxfId="0" priority="473">
      <formula>MONTH(AC39)&lt;&gt;3</formula>
    </cfRule>
  </conditionalFormatting>
  <conditionalFormatting sqref="AC41">
    <cfRule type="expression" dxfId="0" priority="480">
      <formula>MONTH(AC41)&lt;&gt;3</formula>
    </cfRule>
  </conditionalFormatting>
  <conditionalFormatting sqref="AC43">
    <cfRule type="expression" dxfId="0" priority="487">
      <formula>MONTH(AC43)&lt;&gt;3</formula>
    </cfRule>
  </conditionalFormatting>
  <conditionalFormatting sqref="AC45">
    <cfRule type="expression" dxfId="0" priority="494">
      <formula>MONTH(AC45)&lt;&gt;3</formula>
    </cfRule>
  </conditionalFormatting>
  <conditionalFormatting sqref="AC47">
    <cfRule type="expression" dxfId="0" priority="501">
      <formula>MONTH(AC47)&lt;&gt;3</formula>
    </cfRule>
  </conditionalFormatting>
  <conditionalFormatting sqref="AC7">
    <cfRule type="expression" dxfId="0" priority="130">
      <formula>MONTH(AC7)&lt;&gt;7</formula>
    </cfRule>
  </conditionalFormatting>
  <conditionalFormatting sqref="AC9">
    <cfRule type="expression" dxfId="0" priority="137">
      <formula>MONTH(AC9)&lt;&gt;7</formula>
    </cfRule>
  </conditionalFormatting>
  <conditionalFormatting sqref="AD11">
    <cfRule type="expression" dxfId="0" priority="145">
      <formula>MONTH(AD11)&lt;&gt;7</formula>
    </cfRule>
  </conditionalFormatting>
  <conditionalFormatting sqref="AD13">
    <cfRule type="expression" dxfId="0" priority="152">
      <formula>MONTH(AD13)&lt;&gt;7</formula>
    </cfRule>
  </conditionalFormatting>
  <conditionalFormatting sqref="AD15">
    <cfRule type="expression" dxfId="0" priority="159">
      <formula>MONTH(AD15)&lt;&gt;7</formula>
    </cfRule>
  </conditionalFormatting>
  <conditionalFormatting sqref="AD17">
    <cfRule type="expression" dxfId="0" priority="166">
      <formula>MONTH(AD17)&lt;&gt;7</formula>
    </cfRule>
  </conditionalFormatting>
  <conditionalFormatting sqref="AD22">
    <cfRule type="expression" dxfId="0" priority="299">
      <formula>MONTH(AD22)&lt;&gt;11</formula>
    </cfRule>
  </conditionalFormatting>
  <conditionalFormatting sqref="AD24">
    <cfRule type="expression" dxfId="0" priority="306">
      <formula>MONTH(AD24)&lt;&gt;11</formula>
    </cfRule>
  </conditionalFormatting>
  <conditionalFormatting sqref="AD26">
    <cfRule type="expression" dxfId="0" priority="313">
      <formula>MONTH(AD26)&lt;&gt;11</formula>
    </cfRule>
  </conditionalFormatting>
  <conditionalFormatting sqref="AD28">
    <cfRule type="expression" dxfId="0" priority="320">
      <formula>MONTH(AD28)&lt;&gt;11</formula>
    </cfRule>
  </conditionalFormatting>
  <conditionalFormatting sqref="AD30">
    <cfRule type="expression" dxfId="0" priority="327">
      <formula>MONTH(AD30)&lt;&gt;11</formula>
    </cfRule>
  </conditionalFormatting>
  <conditionalFormatting sqref="AD32">
    <cfRule type="expression" dxfId="0" priority="334">
      <formula>MONTH(AD32)&lt;&gt;11</formula>
    </cfRule>
  </conditionalFormatting>
  <conditionalFormatting sqref="AD37">
    <cfRule type="expression" dxfId="0" priority="467">
      <formula>MONTH(AD37)&lt;&gt;3</formula>
    </cfRule>
  </conditionalFormatting>
  <conditionalFormatting sqref="AD39">
    <cfRule type="expression" dxfId="0" priority="474">
      <formula>MONTH(AD39)&lt;&gt;3</formula>
    </cfRule>
  </conditionalFormatting>
  <conditionalFormatting sqref="AD41">
    <cfRule type="expression" dxfId="0" priority="481">
      <formula>MONTH(AD41)&lt;&gt;3</formula>
    </cfRule>
  </conditionalFormatting>
  <conditionalFormatting sqref="AD43">
    <cfRule type="expression" dxfId="0" priority="488">
      <formula>MONTH(AD43)&lt;&gt;3</formula>
    </cfRule>
  </conditionalFormatting>
  <conditionalFormatting sqref="AD45">
    <cfRule type="expression" dxfId="0" priority="495">
      <formula>MONTH(AD45)&lt;&gt;3</formula>
    </cfRule>
  </conditionalFormatting>
  <conditionalFormatting sqref="AD47">
    <cfRule type="expression" dxfId="0" priority="502">
      <formula>MONTH(AD47)&lt;&gt;3</formula>
    </cfRule>
  </conditionalFormatting>
  <conditionalFormatting sqref="AD7">
    <cfRule type="expression" dxfId="0" priority="131">
      <formula>MONTH(AD7)&lt;&gt;7</formula>
    </cfRule>
  </conditionalFormatting>
  <conditionalFormatting sqref="AD9">
    <cfRule type="expression" dxfId="0" priority="138">
      <formula>MONTH(AD9)&lt;&gt;7</formula>
    </cfRule>
  </conditionalFormatting>
  <conditionalFormatting sqref="AE11">
    <cfRule type="expression" dxfId="0" priority="146">
      <formula>MONTH(AE11)&lt;&gt;7</formula>
    </cfRule>
  </conditionalFormatting>
  <conditionalFormatting sqref="AE13">
    <cfRule type="expression" dxfId="0" priority="153">
      <formula>MONTH(AE13)&lt;&gt;7</formula>
    </cfRule>
  </conditionalFormatting>
  <conditionalFormatting sqref="AE15">
    <cfRule type="expression" dxfId="0" priority="160">
      <formula>MONTH(AE15)&lt;&gt;7</formula>
    </cfRule>
  </conditionalFormatting>
  <conditionalFormatting sqref="AE17">
    <cfRule type="expression" dxfId="0" priority="167">
      <formula>MONTH(AE17)&lt;&gt;7</formula>
    </cfRule>
  </conditionalFormatting>
  <conditionalFormatting sqref="AE22">
    <cfRule type="expression" dxfId="0" priority="300">
      <formula>MONTH(AE22)&lt;&gt;11</formula>
    </cfRule>
  </conditionalFormatting>
  <conditionalFormatting sqref="AE24">
    <cfRule type="expression" dxfId="0" priority="307">
      <formula>MONTH(AE24)&lt;&gt;11</formula>
    </cfRule>
  </conditionalFormatting>
  <conditionalFormatting sqref="AE26">
    <cfRule type="expression" dxfId="0" priority="314">
      <formula>MONTH(AE26)&lt;&gt;11</formula>
    </cfRule>
  </conditionalFormatting>
  <conditionalFormatting sqref="AE28">
    <cfRule type="expression" dxfId="0" priority="321">
      <formula>MONTH(AE28)&lt;&gt;11</formula>
    </cfRule>
  </conditionalFormatting>
  <conditionalFormatting sqref="AE30">
    <cfRule type="expression" dxfId="0" priority="328">
      <formula>MONTH(AE30)&lt;&gt;11</formula>
    </cfRule>
  </conditionalFormatting>
  <conditionalFormatting sqref="AE32">
    <cfRule type="expression" dxfId="0" priority="335">
      <formula>MONTH(AE32)&lt;&gt;11</formula>
    </cfRule>
  </conditionalFormatting>
  <conditionalFormatting sqref="AE37">
    <cfRule type="expression" dxfId="0" priority="468">
      <formula>MONTH(AE37)&lt;&gt;3</formula>
    </cfRule>
  </conditionalFormatting>
  <conditionalFormatting sqref="AE39">
    <cfRule type="expression" dxfId="0" priority="475">
      <formula>MONTH(AE39)&lt;&gt;3</formula>
    </cfRule>
  </conditionalFormatting>
  <conditionalFormatting sqref="AE41">
    <cfRule type="expression" dxfId="0" priority="482">
      <formula>MONTH(AE41)&lt;&gt;3</formula>
    </cfRule>
  </conditionalFormatting>
  <conditionalFormatting sqref="AE43">
    <cfRule type="expression" dxfId="0" priority="489">
      <formula>MONTH(AE43)&lt;&gt;3</formula>
    </cfRule>
  </conditionalFormatting>
  <conditionalFormatting sqref="AE45">
    <cfRule type="expression" dxfId="0" priority="496">
      <formula>MONTH(AE45)&lt;&gt;3</formula>
    </cfRule>
  </conditionalFormatting>
  <conditionalFormatting sqref="AE47">
    <cfRule type="expression" dxfId="0" priority="503">
      <formula>MONTH(AE47)&lt;&gt;3</formula>
    </cfRule>
  </conditionalFormatting>
  <conditionalFormatting sqref="AE7">
    <cfRule type="expression" dxfId="0" priority="132">
      <formula>MONTH(AE7)&lt;&gt;7</formula>
    </cfRule>
  </conditionalFormatting>
  <conditionalFormatting sqref="AE9">
    <cfRule type="expression" dxfId="0" priority="139">
      <formula>MONTH(AE9)&lt;&gt;7</formula>
    </cfRule>
  </conditionalFormatting>
  <conditionalFormatting sqref="AF11">
    <cfRule type="expression" dxfId="0" priority="147">
      <formula>MONTH(AF11)&lt;&gt;7</formula>
    </cfRule>
  </conditionalFormatting>
  <conditionalFormatting sqref="AF13">
    <cfRule type="expression" dxfId="0" priority="154">
      <formula>MONTH(AF13)&lt;&gt;7</formula>
    </cfRule>
  </conditionalFormatting>
  <conditionalFormatting sqref="AF15">
    <cfRule type="expression" dxfId="0" priority="161">
      <formula>MONTH(AF15)&lt;&gt;7</formula>
    </cfRule>
  </conditionalFormatting>
  <conditionalFormatting sqref="AF17">
    <cfRule type="expression" dxfId="0" priority="168">
      <formula>MONTH(AF17)&lt;&gt;7</formula>
    </cfRule>
  </conditionalFormatting>
  <conditionalFormatting sqref="AF22">
    <cfRule type="expression" dxfId="0" priority="301">
      <formula>MONTH(AF22)&lt;&gt;11</formula>
    </cfRule>
  </conditionalFormatting>
  <conditionalFormatting sqref="AF24">
    <cfRule type="expression" dxfId="0" priority="308">
      <formula>MONTH(AF24)&lt;&gt;11</formula>
    </cfRule>
  </conditionalFormatting>
  <conditionalFormatting sqref="AF26">
    <cfRule type="expression" dxfId="0" priority="315">
      <formula>MONTH(AF26)&lt;&gt;11</formula>
    </cfRule>
  </conditionalFormatting>
  <conditionalFormatting sqref="AF28">
    <cfRule type="expression" dxfId="0" priority="322">
      <formula>MONTH(AF28)&lt;&gt;11</formula>
    </cfRule>
  </conditionalFormatting>
  <conditionalFormatting sqref="AF30">
    <cfRule type="expression" dxfId="0" priority="329">
      <formula>MONTH(AF30)&lt;&gt;11</formula>
    </cfRule>
  </conditionalFormatting>
  <conditionalFormatting sqref="AF32">
    <cfRule type="expression" dxfId="0" priority="336">
      <formula>MONTH(AF32)&lt;&gt;11</formula>
    </cfRule>
  </conditionalFormatting>
  <conditionalFormatting sqref="AF37">
    <cfRule type="expression" dxfId="0" priority="469">
      <formula>MONTH(AF37)&lt;&gt;3</formula>
    </cfRule>
  </conditionalFormatting>
  <conditionalFormatting sqref="AF39">
    <cfRule type="expression" dxfId="0" priority="476">
      <formula>MONTH(AF39)&lt;&gt;3</formula>
    </cfRule>
  </conditionalFormatting>
  <conditionalFormatting sqref="AF41">
    <cfRule type="expression" dxfId="0" priority="483">
      <formula>MONTH(AF41)&lt;&gt;3</formula>
    </cfRule>
  </conditionalFormatting>
  <conditionalFormatting sqref="AF43">
    <cfRule type="expression" dxfId="0" priority="490">
      <formula>MONTH(AF43)&lt;&gt;3</formula>
    </cfRule>
  </conditionalFormatting>
  <conditionalFormatting sqref="AF45">
    <cfRule type="expression" dxfId="0" priority="497">
      <formula>MONTH(AF45)&lt;&gt;3</formula>
    </cfRule>
  </conditionalFormatting>
  <conditionalFormatting sqref="AF47">
    <cfRule type="expression" dxfId="0" priority="504">
      <formula>MONTH(AF47)&lt;&gt;3</formula>
    </cfRule>
  </conditionalFormatting>
  <conditionalFormatting sqref="AF7">
    <cfRule type="expression" dxfId="0" priority="133">
      <formula>MONTH(AF7)&lt;&gt;7</formula>
    </cfRule>
  </conditionalFormatting>
  <conditionalFormatting sqref="AF9">
    <cfRule type="expression" dxfId="0" priority="140">
      <formula>MONTH(AF9)&lt;&gt;7</formula>
    </cfRule>
  </conditionalFormatting>
  <conditionalFormatting sqref="B11">
    <cfRule type="expression" dxfId="0" priority="15">
      <formula>MONTH(B11)&lt;&gt;4</formula>
    </cfRule>
  </conditionalFormatting>
  <conditionalFormatting sqref="B13">
    <cfRule type="expression" dxfId="0" priority="22">
      <formula>MONTH(B13)&lt;&gt;4</formula>
    </cfRule>
  </conditionalFormatting>
  <conditionalFormatting sqref="B15">
    <cfRule type="expression" dxfId="0" priority="29">
      <formula>MONTH(B15)&lt;&gt;4</formula>
    </cfRule>
  </conditionalFormatting>
  <conditionalFormatting sqref="B17">
    <cfRule type="expression" dxfId="0" priority="36">
      <formula>MONTH(B17)&lt;&gt;4</formula>
    </cfRule>
  </conditionalFormatting>
  <conditionalFormatting sqref="B22">
    <cfRule type="expression" dxfId="0" priority="169">
      <formula>MONTH(B22)&lt;&gt;8</formula>
    </cfRule>
  </conditionalFormatting>
  <conditionalFormatting sqref="B24">
    <cfRule type="expression" dxfId="0" priority="176">
      <formula>MONTH(B24)&lt;&gt;8</formula>
    </cfRule>
  </conditionalFormatting>
  <conditionalFormatting sqref="B26">
    <cfRule type="expression" dxfId="0" priority="183">
      <formula>MONTH(B26)&lt;&gt;8</formula>
    </cfRule>
  </conditionalFormatting>
  <conditionalFormatting sqref="B28">
    <cfRule type="expression" dxfId="0" priority="190">
      <formula>MONTH(B28)&lt;&gt;8</formula>
    </cfRule>
  </conditionalFormatting>
  <conditionalFormatting sqref="B30">
    <cfRule type="expression" dxfId="0" priority="197">
      <formula>MONTH(B30)&lt;&gt;8</formula>
    </cfRule>
  </conditionalFormatting>
  <conditionalFormatting sqref="B32">
    <cfRule type="expression" dxfId="0" priority="204">
      <formula>MONTH(B32)&lt;&gt;8</formula>
    </cfRule>
  </conditionalFormatting>
  <conditionalFormatting sqref="B37">
    <cfRule type="expression" dxfId="0" priority="337">
      <formula>MONTH(B37)&lt;&gt;12</formula>
    </cfRule>
  </conditionalFormatting>
  <conditionalFormatting sqref="B39">
    <cfRule type="expression" dxfId="0" priority="344">
      <formula>MONTH(B39)&lt;&gt;12</formula>
    </cfRule>
  </conditionalFormatting>
  <conditionalFormatting sqref="B41">
    <cfRule type="expression" dxfId="0" priority="351">
      <formula>MONTH(B41)&lt;&gt;12</formula>
    </cfRule>
  </conditionalFormatting>
  <conditionalFormatting sqref="B43">
    <cfRule type="expression" dxfId="0" priority="358">
      <formula>MONTH(B43)&lt;&gt;12</formula>
    </cfRule>
  </conditionalFormatting>
  <conditionalFormatting sqref="B45">
    <cfRule type="expression" dxfId="0" priority="365">
      <formula>MONTH(B45)&lt;&gt;12</formula>
    </cfRule>
  </conditionalFormatting>
  <conditionalFormatting sqref="B47">
    <cfRule type="expression" dxfId="0" priority="372">
      <formula>MONTH(B47)&lt;&gt;12</formula>
    </cfRule>
  </conditionalFormatting>
  <conditionalFormatting sqref="B7">
    <cfRule type="expression" dxfId="0" priority="1">
      <formula>MONTH(B7)&lt;&gt;4</formula>
    </cfRule>
  </conditionalFormatting>
  <conditionalFormatting sqref="B8:H8 B10:H10 B12:H12 B14:H14 B16:H16 B18:H18 J8:P8 J10:P10 J12:P12 J14:P14 J16:P16 J18:P18 R8:X8 R10:X10 R12:X12 R14:X14 R16:X16 R18:X18 Z8:AF8 Z10:AF10 Z12:AF12 Z14:AF14 Z16:AF16 Z18:AF18 B23:H23 B25:H25 B27:H27 B29:H29 B31:H31 B33:H33 J23:P23 J25:P25 J27:P27 J29:P29 J31:P31 J33:P33 R23:X23 R25:X25 R27:X27 R29:X29 R31:X31 R33:X33 Z23:AF23 Z25:AF25 Z27:AF27 Z29:AF29 Z31:AF31 Z33:AF33 B38:H38 B40:H40 B42:H42 B44:H44 B46:H46 B48:H48 J38:P38 J40:P40 J42:P42 J44:P44 J46:P46 J48:P48 R38:X38 R40:X40 R42:X42 R44:X44 R46:X46 R48:X48 Z38:AF38 Z40:AF40 Z42:AF42 Z44:AF44 Z46:AF46 Z48:AF48">
    <cfRule type="colorScale" priority="505">
      <colorScale>
        <cfvo type="min" val="0"/>
        <cfvo type="percentile" val="50"/>
        <cfvo type="max" val="0"/>
        <color rgb="FFF7FBFF"/>
        <color rgb="FFFFD580"/>
        <color rgb="FFD64545"/>
      </colorScale>
    </cfRule>
  </conditionalFormatting>
  <conditionalFormatting sqref="B9">
    <cfRule type="expression" dxfId="0" priority="8">
      <formula>MONTH(B9)&lt;&gt;4</formula>
    </cfRule>
  </conditionalFormatting>
  <conditionalFormatting sqref="C11">
    <cfRule type="expression" dxfId="0" priority="16">
      <formula>MONTH(C11)&lt;&gt;4</formula>
    </cfRule>
  </conditionalFormatting>
  <conditionalFormatting sqref="C13">
    <cfRule type="expression" dxfId="0" priority="23">
      <formula>MONTH(C13)&lt;&gt;4</formula>
    </cfRule>
  </conditionalFormatting>
  <conditionalFormatting sqref="C15">
    <cfRule type="expression" dxfId="0" priority="30">
      <formula>MONTH(C15)&lt;&gt;4</formula>
    </cfRule>
  </conditionalFormatting>
  <conditionalFormatting sqref="C17">
    <cfRule type="expression" dxfId="0" priority="37">
      <formula>MONTH(C17)&lt;&gt;4</formula>
    </cfRule>
  </conditionalFormatting>
  <conditionalFormatting sqref="C22">
    <cfRule type="expression" dxfId="0" priority="170">
      <formula>MONTH(C22)&lt;&gt;8</formula>
    </cfRule>
  </conditionalFormatting>
  <conditionalFormatting sqref="C24">
    <cfRule type="expression" dxfId="0" priority="177">
      <formula>MONTH(C24)&lt;&gt;8</formula>
    </cfRule>
  </conditionalFormatting>
  <conditionalFormatting sqref="C26">
    <cfRule type="expression" dxfId="0" priority="184">
      <formula>MONTH(C26)&lt;&gt;8</formula>
    </cfRule>
  </conditionalFormatting>
  <conditionalFormatting sqref="C28">
    <cfRule type="expression" dxfId="0" priority="191">
      <formula>MONTH(C28)&lt;&gt;8</formula>
    </cfRule>
  </conditionalFormatting>
  <conditionalFormatting sqref="C30">
    <cfRule type="expression" dxfId="0" priority="198">
      <formula>MONTH(C30)&lt;&gt;8</formula>
    </cfRule>
  </conditionalFormatting>
  <conditionalFormatting sqref="C32">
    <cfRule type="expression" dxfId="0" priority="205">
      <formula>MONTH(C32)&lt;&gt;8</formula>
    </cfRule>
  </conditionalFormatting>
  <conditionalFormatting sqref="C37">
    <cfRule type="expression" dxfId="0" priority="338">
      <formula>MONTH(C37)&lt;&gt;12</formula>
    </cfRule>
  </conditionalFormatting>
  <conditionalFormatting sqref="C39">
    <cfRule type="expression" dxfId="0" priority="345">
      <formula>MONTH(C39)&lt;&gt;12</formula>
    </cfRule>
  </conditionalFormatting>
  <conditionalFormatting sqref="C41">
    <cfRule type="expression" dxfId="0" priority="352">
      <formula>MONTH(C41)&lt;&gt;12</formula>
    </cfRule>
  </conditionalFormatting>
  <conditionalFormatting sqref="C43">
    <cfRule type="expression" dxfId="0" priority="359">
      <formula>MONTH(C43)&lt;&gt;12</formula>
    </cfRule>
  </conditionalFormatting>
  <conditionalFormatting sqref="C45">
    <cfRule type="expression" dxfId="0" priority="366">
      <formula>MONTH(C45)&lt;&gt;12</formula>
    </cfRule>
  </conditionalFormatting>
  <conditionalFormatting sqref="C47">
    <cfRule type="expression" dxfId="0" priority="373">
      <formula>MONTH(C47)&lt;&gt;12</formula>
    </cfRule>
  </conditionalFormatting>
  <conditionalFormatting sqref="C7">
    <cfRule type="expression" dxfId="0" priority="2">
      <formula>MONTH(C7)&lt;&gt;4</formula>
    </cfRule>
  </conditionalFormatting>
  <conditionalFormatting sqref="C9">
    <cfRule type="expression" dxfId="0" priority="9">
      <formula>MONTH(C9)&lt;&gt;4</formula>
    </cfRule>
  </conditionalFormatting>
  <conditionalFormatting sqref="D11">
    <cfRule type="expression" dxfId="0" priority="17">
      <formula>MONTH(D11)&lt;&gt;4</formula>
    </cfRule>
  </conditionalFormatting>
  <conditionalFormatting sqref="D13">
    <cfRule type="expression" dxfId="0" priority="24">
      <formula>MONTH(D13)&lt;&gt;4</formula>
    </cfRule>
  </conditionalFormatting>
  <conditionalFormatting sqref="D15">
    <cfRule type="expression" dxfId="0" priority="31">
      <formula>MONTH(D15)&lt;&gt;4</formula>
    </cfRule>
  </conditionalFormatting>
  <conditionalFormatting sqref="D17">
    <cfRule type="expression" dxfId="0" priority="38">
      <formula>MONTH(D17)&lt;&gt;4</formula>
    </cfRule>
  </conditionalFormatting>
  <conditionalFormatting sqref="D22">
    <cfRule type="expression" dxfId="0" priority="171">
      <formula>MONTH(D22)&lt;&gt;8</formula>
    </cfRule>
  </conditionalFormatting>
  <conditionalFormatting sqref="D24">
    <cfRule type="expression" dxfId="0" priority="178">
      <formula>MONTH(D24)&lt;&gt;8</formula>
    </cfRule>
  </conditionalFormatting>
  <conditionalFormatting sqref="D26">
    <cfRule type="expression" dxfId="0" priority="185">
      <formula>MONTH(D26)&lt;&gt;8</formula>
    </cfRule>
  </conditionalFormatting>
  <conditionalFormatting sqref="D28">
    <cfRule type="expression" dxfId="0" priority="192">
      <formula>MONTH(D28)&lt;&gt;8</formula>
    </cfRule>
  </conditionalFormatting>
  <conditionalFormatting sqref="D30">
    <cfRule type="expression" dxfId="0" priority="199">
      <formula>MONTH(D30)&lt;&gt;8</formula>
    </cfRule>
  </conditionalFormatting>
  <conditionalFormatting sqref="D32">
    <cfRule type="expression" dxfId="0" priority="206">
      <formula>MONTH(D32)&lt;&gt;8</formula>
    </cfRule>
  </conditionalFormatting>
  <conditionalFormatting sqref="D37">
    <cfRule type="expression" dxfId="0" priority="339">
      <formula>MONTH(D37)&lt;&gt;12</formula>
    </cfRule>
  </conditionalFormatting>
  <conditionalFormatting sqref="D39">
    <cfRule type="expression" dxfId="0" priority="346">
      <formula>MONTH(D39)&lt;&gt;12</formula>
    </cfRule>
  </conditionalFormatting>
  <conditionalFormatting sqref="D41">
    <cfRule type="expression" dxfId="0" priority="353">
      <formula>MONTH(D41)&lt;&gt;12</formula>
    </cfRule>
  </conditionalFormatting>
  <conditionalFormatting sqref="D43">
    <cfRule type="expression" dxfId="0" priority="360">
      <formula>MONTH(D43)&lt;&gt;12</formula>
    </cfRule>
  </conditionalFormatting>
  <conditionalFormatting sqref="D45">
    <cfRule type="expression" dxfId="0" priority="367">
      <formula>MONTH(D45)&lt;&gt;12</formula>
    </cfRule>
  </conditionalFormatting>
  <conditionalFormatting sqref="D47">
    <cfRule type="expression" dxfId="0" priority="374">
      <formula>MONTH(D47)&lt;&gt;12</formula>
    </cfRule>
  </conditionalFormatting>
  <conditionalFormatting sqref="D7">
    <cfRule type="expression" dxfId="0" priority="3">
      <formula>MONTH(D7)&lt;&gt;4</formula>
    </cfRule>
  </conditionalFormatting>
  <conditionalFormatting sqref="D9">
    <cfRule type="expression" dxfId="0" priority="10">
      <formula>MONTH(D9)&lt;&gt;4</formula>
    </cfRule>
  </conditionalFormatting>
  <conditionalFormatting sqref="E11">
    <cfRule type="expression" dxfId="0" priority="18">
      <formula>MONTH(E11)&lt;&gt;4</formula>
    </cfRule>
  </conditionalFormatting>
  <conditionalFormatting sqref="E13">
    <cfRule type="expression" dxfId="0" priority="25">
      <formula>MONTH(E13)&lt;&gt;4</formula>
    </cfRule>
  </conditionalFormatting>
  <conditionalFormatting sqref="E15">
    <cfRule type="expression" dxfId="0" priority="32">
      <formula>MONTH(E15)&lt;&gt;4</formula>
    </cfRule>
  </conditionalFormatting>
  <conditionalFormatting sqref="E17">
    <cfRule type="expression" dxfId="0" priority="39">
      <formula>MONTH(E17)&lt;&gt;4</formula>
    </cfRule>
  </conditionalFormatting>
  <conditionalFormatting sqref="E22">
    <cfRule type="expression" dxfId="0" priority="172">
      <formula>MONTH(E22)&lt;&gt;8</formula>
    </cfRule>
  </conditionalFormatting>
  <conditionalFormatting sqref="E24">
    <cfRule type="expression" dxfId="0" priority="179">
      <formula>MONTH(E24)&lt;&gt;8</formula>
    </cfRule>
  </conditionalFormatting>
  <conditionalFormatting sqref="E26">
    <cfRule type="expression" dxfId="0" priority="186">
      <formula>MONTH(E26)&lt;&gt;8</formula>
    </cfRule>
  </conditionalFormatting>
  <conditionalFormatting sqref="E28">
    <cfRule type="expression" dxfId="0" priority="193">
      <formula>MONTH(E28)&lt;&gt;8</formula>
    </cfRule>
  </conditionalFormatting>
  <conditionalFormatting sqref="E30">
    <cfRule type="expression" dxfId="0" priority="200">
      <formula>MONTH(E30)&lt;&gt;8</formula>
    </cfRule>
  </conditionalFormatting>
  <conditionalFormatting sqref="E32">
    <cfRule type="expression" dxfId="0" priority="207">
      <formula>MONTH(E32)&lt;&gt;8</formula>
    </cfRule>
  </conditionalFormatting>
  <conditionalFormatting sqref="E37">
    <cfRule type="expression" dxfId="0" priority="340">
      <formula>MONTH(E37)&lt;&gt;12</formula>
    </cfRule>
  </conditionalFormatting>
  <conditionalFormatting sqref="E39">
    <cfRule type="expression" dxfId="0" priority="347">
      <formula>MONTH(E39)&lt;&gt;12</formula>
    </cfRule>
  </conditionalFormatting>
  <conditionalFormatting sqref="E41">
    <cfRule type="expression" dxfId="0" priority="354">
      <formula>MONTH(E41)&lt;&gt;12</formula>
    </cfRule>
  </conditionalFormatting>
  <conditionalFormatting sqref="E43">
    <cfRule type="expression" dxfId="0" priority="361">
      <formula>MONTH(E43)&lt;&gt;12</formula>
    </cfRule>
  </conditionalFormatting>
  <conditionalFormatting sqref="E45">
    <cfRule type="expression" dxfId="0" priority="368">
      <formula>MONTH(E45)&lt;&gt;12</formula>
    </cfRule>
  </conditionalFormatting>
  <conditionalFormatting sqref="E47">
    <cfRule type="expression" dxfId="0" priority="375">
      <formula>MONTH(E47)&lt;&gt;12</formula>
    </cfRule>
  </conditionalFormatting>
  <conditionalFormatting sqref="E7">
    <cfRule type="expression" dxfId="0" priority="4">
      <formula>MONTH(E7)&lt;&gt;4</formula>
    </cfRule>
  </conditionalFormatting>
  <conditionalFormatting sqref="E9">
    <cfRule type="expression" dxfId="0" priority="11">
      <formula>MONTH(E9)&lt;&gt;4</formula>
    </cfRule>
  </conditionalFormatting>
  <conditionalFormatting sqref="F11">
    <cfRule type="expression" dxfId="0" priority="19">
      <formula>MONTH(F11)&lt;&gt;4</formula>
    </cfRule>
  </conditionalFormatting>
  <conditionalFormatting sqref="F13">
    <cfRule type="expression" dxfId="0" priority="26">
      <formula>MONTH(F13)&lt;&gt;4</formula>
    </cfRule>
  </conditionalFormatting>
  <conditionalFormatting sqref="F15">
    <cfRule type="expression" dxfId="0" priority="33">
      <formula>MONTH(F15)&lt;&gt;4</formula>
    </cfRule>
  </conditionalFormatting>
  <conditionalFormatting sqref="F17">
    <cfRule type="expression" dxfId="0" priority="40">
      <formula>MONTH(F17)&lt;&gt;4</formula>
    </cfRule>
  </conditionalFormatting>
  <conditionalFormatting sqref="F22">
    <cfRule type="expression" dxfId="0" priority="173">
      <formula>MONTH(F22)&lt;&gt;8</formula>
    </cfRule>
  </conditionalFormatting>
  <conditionalFormatting sqref="F24">
    <cfRule type="expression" dxfId="0" priority="180">
      <formula>MONTH(F24)&lt;&gt;8</formula>
    </cfRule>
  </conditionalFormatting>
  <conditionalFormatting sqref="F26">
    <cfRule type="expression" dxfId="0" priority="187">
      <formula>MONTH(F26)&lt;&gt;8</formula>
    </cfRule>
  </conditionalFormatting>
  <conditionalFormatting sqref="F28">
    <cfRule type="expression" dxfId="0" priority="194">
      <formula>MONTH(F28)&lt;&gt;8</formula>
    </cfRule>
  </conditionalFormatting>
  <conditionalFormatting sqref="F30">
    <cfRule type="expression" dxfId="0" priority="201">
      <formula>MONTH(F30)&lt;&gt;8</formula>
    </cfRule>
  </conditionalFormatting>
  <conditionalFormatting sqref="F32">
    <cfRule type="expression" dxfId="0" priority="208">
      <formula>MONTH(F32)&lt;&gt;8</formula>
    </cfRule>
  </conditionalFormatting>
  <conditionalFormatting sqref="F37">
    <cfRule type="expression" dxfId="0" priority="341">
      <formula>MONTH(F37)&lt;&gt;12</formula>
    </cfRule>
  </conditionalFormatting>
  <conditionalFormatting sqref="F39">
    <cfRule type="expression" dxfId="0" priority="348">
      <formula>MONTH(F39)&lt;&gt;12</formula>
    </cfRule>
  </conditionalFormatting>
  <conditionalFormatting sqref="F41">
    <cfRule type="expression" dxfId="0" priority="355">
      <formula>MONTH(F41)&lt;&gt;12</formula>
    </cfRule>
  </conditionalFormatting>
  <conditionalFormatting sqref="F43">
    <cfRule type="expression" dxfId="0" priority="362">
      <formula>MONTH(F43)&lt;&gt;12</formula>
    </cfRule>
  </conditionalFormatting>
  <conditionalFormatting sqref="F45">
    <cfRule type="expression" dxfId="0" priority="369">
      <formula>MONTH(F45)&lt;&gt;12</formula>
    </cfRule>
  </conditionalFormatting>
  <conditionalFormatting sqref="F47">
    <cfRule type="expression" dxfId="0" priority="376">
      <formula>MONTH(F47)&lt;&gt;12</formula>
    </cfRule>
  </conditionalFormatting>
  <conditionalFormatting sqref="F7">
    <cfRule type="expression" dxfId="0" priority="5">
      <formula>MONTH(F7)&lt;&gt;4</formula>
    </cfRule>
  </conditionalFormatting>
  <conditionalFormatting sqref="F9">
    <cfRule type="expression" dxfId="0" priority="12">
      <formula>MONTH(F9)&lt;&gt;4</formula>
    </cfRule>
  </conditionalFormatting>
  <conditionalFormatting sqref="G11">
    <cfRule type="expression" dxfId="0" priority="20">
      <formula>MONTH(G11)&lt;&gt;4</formula>
    </cfRule>
  </conditionalFormatting>
  <conditionalFormatting sqref="G13">
    <cfRule type="expression" dxfId="0" priority="27">
      <formula>MONTH(G13)&lt;&gt;4</formula>
    </cfRule>
  </conditionalFormatting>
  <conditionalFormatting sqref="G15">
    <cfRule type="expression" dxfId="0" priority="34">
      <formula>MONTH(G15)&lt;&gt;4</formula>
    </cfRule>
  </conditionalFormatting>
  <conditionalFormatting sqref="G17">
    <cfRule type="expression" dxfId="0" priority="41">
      <formula>MONTH(G17)&lt;&gt;4</formula>
    </cfRule>
  </conditionalFormatting>
  <conditionalFormatting sqref="G22">
    <cfRule type="expression" dxfId="0" priority="174">
      <formula>MONTH(G22)&lt;&gt;8</formula>
    </cfRule>
  </conditionalFormatting>
  <conditionalFormatting sqref="G24">
    <cfRule type="expression" dxfId="0" priority="181">
      <formula>MONTH(G24)&lt;&gt;8</formula>
    </cfRule>
  </conditionalFormatting>
  <conditionalFormatting sqref="G26">
    <cfRule type="expression" dxfId="0" priority="188">
      <formula>MONTH(G26)&lt;&gt;8</formula>
    </cfRule>
  </conditionalFormatting>
  <conditionalFormatting sqref="G28">
    <cfRule type="expression" dxfId="0" priority="195">
      <formula>MONTH(G28)&lt;&gt;8</formula>
    </cfRule>
  </conditionalFormatting>
  <conditionalFormatting sqref="G30">
    <cfRule type="expression" dxfId="0" priority="202">
      <formula>MONTH(G30)&lt;&gt;8</formula>
    </cfRule>
  </conditionalFormatting>
  <conditionalFormatting sqref="G32">
    <cfRule type="expression" dxfId="0" priority="209">
      <formula>MONTH(G32)&lt;&gt;8</formula>
    </cfRule>
  </conditionalFormatting>
  <conditionalFormatting sqref="G37">
    <cfRule type="expression" dxfId="0" priority="342">
      <formula>MONTH(G37)&lt;&gt;12</formula>
    </cfRule>
  </conditionalFormatting>
  <conditionalFormatting sqref="G39">
    <cfRule type="expression" dxfId="0" priority="349">
      <formula>MONTH(G39)&lt;&gt;12</formula>
    </cfRule>
  </conditionalFormatting>
  <conditionalFormatting sqref="G41">
    <cfRule type="expression" dxfId="0" priority="356">
      <formula>MONTH(G41)&lt;&gt;12</formula>
    </cfRule>
  </conditionalFormatting>
  <conditionalFormatting sqref="G43">
    <cfRule type="expression" dxfId="0" priority="363">
      <formula>MONTH(G43)&lt;&gt;12</formula>
    </cfRule>
  </conditionalFormatting>
  <conditionalFormatting sqref="G45">
    <cfRule type="expression" dxfId="0" priority="370">
      <formula>MONTH(G45)&lt;&gt;12</formula>
    </cfRule>
  </conditionalFormatting>
  <conditionalFormatting sqref="G47">
    <cfRule type="expression" dxfId="0" priority="377">
      <formula>MONTH(G47)&lt;&gt;12</formula>
    </cfRule>
  </conditionalFormatting>
  <conditionalFormatting sqref="G7">
    <cfRule type="expression" dxfId="0" priority="6">
      <formula>MONTH(G7)&lt;&gt;4</formula>
    </cfRule>
  </conditionalFormatting>
  <conditionalFormatting sqref="G9">
    <cfRule type="expression" dxfId="0" priority="13">
      <formula>MONTH(G9)&lt;&gt;4</formula>
    </cfRule>
  </conditionalFormatting>
  <conditionalFormatting sqref="H11">
    <cfRule type="expression" dxfId="0" priority="21">
      <formula>MONTH(H11)&lt;&gt;4</formula>
    </cfRule>
  </conditionalFormatting>
  <conditionalFormatting sqref="H13">
    <cfRule type="expression" dxfId="0" priority="28">
      <formula>MONTH(H13)&lt;&gt;4</formula>
    </cfRule>
  </conditionalFormatting>
  <conditionalFormatting sqref="H15">
    <cfRule type="expression" dxfId="0" priority="35">
      <formula>MONTH(H15)&lt;&gt;4</formula>
    </cfRule>
  </conditionalFormatting>
  <conditionalFormatting sqref="H17">
    <cfRule type="expression" dxfId="0" priority="42">
      <formula>MONTH(H17)&lt;&gt;4</formula>
    </cfRule>
  </conditionalFormatting>
  <conditionalFormatting sqref="H22">
    <cfRule type="expression" dxfId="0" priority="175">
      <formula>MONTH(H22)&lt;&gt;8</formula>
    </cfRule>
  </conditionalFormatting>
  <conditionalFormatting sqref="H24">
    <cfRule type="expression" dxfId="0" priority="182">
      <formula>MONTH(H24)&lt;&gt;8</formula>
    </cfRule>
  </conditionalFormatting>
  <conditionalFormatting sqref="H26">
    <cfRule type="expression" dxfId="0" priority="189">
      <formula>MONTH(H26)&lt;&gt;8</formula>
    </cfRule>
  </conditionalFormatting>
  <conditionalFormatting sqref="H28">
    <cfRule type="expression" dxfId="0" priority="196">
      <formula>MONTH(H28)&lt;&gt;8</formula>
    </cfRule>
  </conditionalFormatting>
  <conditionalFormatting sqref="H30">
    <cfRule type="expression" dxfId="0" priority="203">
      <formula>MONTH(H30)&lt;&gt;8</formula>
    </cfRule>
  </conditionalFormatting>
  <conditionalFormatting sqref="H32">
    <cfRule type="expression" dxfId="0" priority="210">
      <formula>MONTH(H32)&lt;&gt;8</formula>
    </cfRule>
  </conditionalFormatting>
  <conditionalFormatting sqref="H37">
    <cfRule type="expression" dxfId="0" priority="343">
      <formula>MONTH(H37)&lt;&gt;12</formula>
    </cfRule>
  </conditionalFormatting>
  <conditionalFormatting sqref="H39">
    <cfRule type="expression" dxfId="0" priority="350">
      <formula>MONTH(H39)&lt;&gt;12</formula>
    </cfRule>
  </conditionalFormatting>
  <conditionalFormatting sqref="H41">
    <cfRule type="expression" dxfId="0" priority="357">
      <formula>MONTH(H41)&lt;&gt;12</formula>
    </cfRule>
  </conditionalFormatting>
  <conditionalFormatting sqref="H43">
    <cfRule type="expression" dxfId="0" priority="364">
      <formula>MONTH(H43)&lt;&gt;12</formula>
    </cfRule>
  </conditionalFormatting>
  <conditionalFormatting sqref="H45">
    <cfRule type="expression" dxfId="0" priority="371">
      <formula>MONTH(H45)&lt;&gt;12</formula>
    </cfRule>
  </conditionalFormatting>
  <conditionalFormatting sqref="H47">
    <cfRule type="expression" dxfId="0" priority="378">
      <formula>MONTH(H47)&lt;&gt;12</formula>
    </cfRule>
  </conditionalFormatting>
  <conditionalFormatting sqref="H7">
    <cfRule type="expression" dxfId="0" priority="7">
      <formula>MONTH(H7)&lt;&gt;4</formula>
    </cfRule>
  </conditionalFormatting>
  <conditionalFormatting sqref="H9">
    <cfRule type="expression" dxfId="0" priority="14">
      <formula>MONTH(H9)&lt;&gt;4</formula>
    </cfRule>
  </conditionalFormatting>
  <conditionalFormatting sqref="J11">
    <cfRule type="expression" dxfId="0" priority="57">
      <formula>MONTH(J11)&lt;&gt;5</formula>
    </cfRule>
  </conditionalFormatting>
  <conditionalFormatting sqref="J13">
    <cfRule type="expression" dxfId="0" priority="64">
      <formula>MONTH(J13)&lt;&gt;5</formula>
    </cfRule>
  </conditionalFormatting>
  <conditionalFormatting sqref="J15">
    <cfRule type="expression" dxfId="0" priority="71">
      <formula>MONTH(J15)&lt;&gt;5</formula>
    </cfRule>
  </conditionalFormatting>
  <conditionalFormatting sqref="J17">
    <cfRule type="expression" dxfId="0" priority="78">
      <formula>MONTH(J17)&lt;&gt;5</formula>
    </cfRule>
  </conditionalFormatting>
  <conditionalFormatting sqref="J22">
    <cfRule type="expression" dxfId="0" priority="211">
      <formula>MONTH(J22)&lt;&gt;9</formula>
    </cfRule>
  </conditionalFormatting>
  <conditionalFormatting sqref="J24">
    <cfRule type="expression" dxfId="0" priority="218">
      <formula>MONTH(J24)&lt;&gt;9</formula>
    </cfRule>
  </conditionalFormatting>
  <conditionalFormatting sqref="J26">
    <cfRule type="expression" dxfId="0" priority="225">
      <formula>MONTH(J26)&lt;&gt;9</formula>
    </cfRule>
  </conditionalFormatting>
  <conditionalFormatting sqref="J28">
    <cfRule type="expression" dxfId="0" priority="232">
      <formula>MONTH(J28)&lt;&gt;9</formula>
    </cfRule>
  </conditionalFormatting>
  <conditionalFormatting sqref="J30">
    <cfRule type="expression" dxfId="0" priority="239">
      <formula>MONTH(J30)&lt;&gt;9</formula>
    </cfRule>
  </conditionalFormatting>
  <conditionalFormatting sqref="J32">
    <cfRule type="expression" dxfId="0" priority="246">
      <formula>MONTH(J32)&lt;&gt;9</formula>
    </cfRule>
  </conditionalFormatting>
  <conditionalFormatting sqref="J37">
    <cfRule type="expression" dxfId="0" priority="379">
      <formula>MONTH(J37)&lt;&gt;1</formula>
    </cfRule>
  </conditionalFormatting>
  <conditionalFormatting sqref="J39">
    <cfRule type="expression" dxfId="0" priority="386">
      <formula>MONTH(J39)&lt;&gt;1</formula>
    </cfRule>
  </conditionalFormatting>
  <conditionalFormatting sqref="J41">
    <cfRule type="expression" dxfId="0" priority="393">
      <formula>MONTH(J41)&lt;&gt;1</formula>
    </cfRule>
  </conditionalFormatting>
  <conditionalFormatting sqref="J43">
    <cfRule type="expression" dxfId="0" priority="400">
      <formula>MONTH(J43)&lt;&gt;1</formula>
    </cfRule>
  </conditionalFormatting>
  <conditionalFormatting sqref="J45">
    <cfRule type="expression" dxfId="0" priority="407">
      <formula>MONTH(J45)&lt;&gt;1</formula>
    </cfRule>
  </conditionalFormatting>
  <conditionalFormatting sqref="J47">
    <cfRule type="expression" dxfId="0" priority="414">
      <formula>MONTH(J47)&lt;&gt;1</formula>
    </cfRule>
  </conditionalFormatting>
  <conditionalFormatting sqref="J7">
    <cfRule type="expression" dxfId="0" priority="43">
      <formula>MONTH(J7)&lt;&gt;5</formula>
    </cfRule>
  </conditionalFormatting>
  <conditionalFormatting sqref="J9">
    <cfRule type="expression" dxfId="0" priority="50">
      <formula>MONTH(J9)&lt;&gt;5</formula>
    </cfRule>
  </conditionalFormatting>
  <conditionalFormatting sqref="K11">
    <cfRule type="expression" dxfId="0" priority="58">
      <formula>MONTH(K11)&lt;&gt;5</formula>
    </cfRule>
  </conditionalFormatting>
  <conditionalFormatting sqref="K13">
    <cfRule type="expression" dxfId="0" priority="65">
      <formula>MONTH(K13)&lt;&gt;5</formula>
    </cfRule>
  </conditionalFormatting>
  <conditionalFormatting sqref="K15">
    <cfRule type="expression" dxfId="0" priority="72">
      <formula>MONTH(K15)&lt;&gt;5</formula>
    </cfRule>
  </conditionalFormatting>
  <conditionalFormatting sqref="K17">
    <cfRule type="expression" dxfId="0" priority="79">
      <formula>MONTH(K17)&lt;&gt;5</formula>
    </cfRule>
  </conditionalFormatting>
  <conditionalFormatting sqref="K22">
    <cfRule type="expression" dxfId="0" priority="212">
      <formula>MONTH(K22)&lt;&gt;9</formula>
    </cfRule>
  </conditionalFormatting>
  <conditionalFormatting sqref="K24">
    <cfRule type="expression" dxfId="0" priority="219">
      <formula>MONTH(K24)&lt;&gt;9</formula>
    </cfRule>
  </conditionalFormatting>
  <conditionalFormatting sqref="K26">
    <cfRule type="expression" dxfId="0" priority="226">
      <formula>MONTH(K26)&lt;&gt;9</formula>
    </cfRule>
  </conditionalFormatting>
  <conditionalFormatting sqref="K28">
    <cfRule type="expression" dxfId="0" priority="233">
      <formula>MONTH(K28)&lt;&gt;9</formula>
    </cfRule>
  </conditionalFormatting>
  <conditionalFormatting sqref="K30">
    <cfRule type="expression" dxfId="0" priority="240">
      <formula>MONTH(K30)&lt;&gt;9</formula>
    </cfRule>
  </conditionalFormatting>
  <conditionalFormatting sqref="K32">
    <cfRule type="expression" dxfId="0" priority="247">
      <formula>MONTH(K32)&lt;&gt;9</formula>
    </cfRule>
  </conditionalFormatting>
  <conditionalFormatting sqref="K37">
    <cfRule type="expression" dxfId="0" priority="380">
      <formula>MONTH(K37)&lt;&gt;1</formula>
    </cfRule>
  </conditionalFormatting>
  <conditionalFormatting sqref="K39">
    <cfRule type="expression" dxfId="0" priority="387">
      <formula>MONTH(K39)&lt;&gt;1</formula>
    </cfRule>
  </conditionalFormatting>
  <conditionalFormatting sqref="K41">
    <cfRule type="expression" dxfId="0" priority="394">
      <formula>MONTH(K41)&lt;&gt;1</formula>
    </cfRule>
  </conditionalFormatting>
  <conditionalFormatting sqref="K43">
    <cfRule type="expression" dxfId="0" priority="401">
      <formula>MONTH(K43)&lt;&gt;1</formula>
    </cfRule>
  </conditionalFormatting>
  <conditionalFormatting sqref="K45">
    <cfRule type="expression" dxfId="0" priority="408">
      <formula>MONTH(K45)&lt;&gt;1</formula>
    </cfRule>
  </conditionalFormatting>
  <conditionalFormatting sqref="K47">
    <cfRule type="expression" dxfId="0" priority="415">
      <formula>MONTH(K47)&lt;&gt;1</formula>
    </cfRule>
  </conditionalFormatting>
  <conditionalFormatting sqref="K7">
    <cfRule type="expression" dxfId="0" priority="44">
      <formula>MONTH(K7)&lt;&gt;5</formula>
    </cfRule>
  </conditionalFormatting>
  <conditionalFormatting sqref="K9">
    <cfRule type="expression" dxfId="0" priority="51">
      <formula>MONTH(K9)&lt;&gt;5</formula>
    </cfRule>
  </conditionalFormatting>
  <conditionalFormatting sqref="L11">
    <cfRule type="expression" dxfId="0" priority="59">
      <formula>MONTH(L11)&lt;&gt;5</formula>
    </cfRule>
  </conditionalFormatting>
  <conditionalFormatting sqref="L13">
    <cfRule type="expression" dxfId="0" priority="66">
      <formula>MONTH(L13)&lt;&gt;5</formula>
    </cfRule>
  </conditionalFormatting>
  <conditionalFormatting sqref="L15">
    <cfRule type="expression" dxfId="0" priority="73">
      <formula>MONTH(L15)&lt;&gt;5</formula>
    </cfRule>
  </conditionalFormatting>
  <conditionalFormatting sqref="L17">
    <cfRule type="expression" dxfId="0" priority="80">
      <formula>MONTH(L17)&lt;&gt;5</formula>
    </cfRule>
  </conditionalFormatting>
  <conditionalFormatting sqref="L22">
    <cfRule type="expression" dxfId="0" priority="213">
      <formula>MONTH(L22)&lt;&gt;9</formula>
    </cfRule>
  </conditionalFormatting>
  <conditionalFormatting sqref="L24">
    <cfRule type="expression" dxfId="0" priority="220">
      <formula>MONTH(L24)&lt;&gt;9</formula>
    </cfRule>
  </conditionalFormatting>
  <conditionalFormatting sqref="L26">
    <cfRule type="expression" dxfId="0" priority="227">
      <formula>MONTH(L26)&lt;&gt;9</formula>
    </cfRule>
  </conditionalFormatting>
  <conditionalFormatting sqref="L28">
    <cfRule type="expression" dxfId="0" priority="234">
      <formula>MONTH(L28)&lt;&gt;9</formula>
    </cfRule>
  </conditionalFormatting>
  <conditionalFormatting sqref="L30">
    <cfRule type="expression" dxfId="0" priority="241">
      <formula>MONTH(L30)&lt;&gt;9</formula>
    </cfRule>
  </conditionalFormatting>
  <conditionalFormatting sqref="L32">
    <cfRule type="expression" dxfId="0" priority="248">
      <formula>MONTH(L32)&lt;&gt;9</formula>
    </cfRule>
  </conditionalFormatting>
  <conditionalFormatting sqref="L37">
    <cfRule type="expression" dxfId="0" priority="381">
      <formula>MONTH(L37)&lt;&gt;1</formula>
    </cfRule>
  </conditionalFormatting>
  <conditionalFormatting sqref="L39">
    <cfRule type="expression" dxfId="0" priority="388">
      <formula>MONTH(L39)&lt;&gt;1</formula>
    </cfRule>
  </conditionalFormatting>
  <conditionalFormatting sqref="L41">
    <cfRule type="expression" dxfId="0" priority="395">
      <formula>MONTH(L41)&lt;&gt;1</formula>
    </cfRule>
  </conditionalFormatting>
  <conditionalFormatting sqref="L43">
    <cfRule type="expression" dxfId="0" priority="402">
      <formula>MONTH(L43)&lt;&gt;1</formula>
    </cfRule>
  </conditionalFormatting>
  <conditionalFormatting sqref="L45">
    <cfRule type="expression" dxfId="0" priority="409">
      <formula>MONTH(L45)&lt;&gt;1</formula>
    </cfRule>
  </conditionalFormatting>
  <conditionalFormatting sqref="L47">
    <cfRule type="expression" dxfId="0" priority="416">
      <formula>MONTH(L47)&lt;&gt;1</formula>
    </cfRule>
  </conditionalFormatting>
  <conditionalFormatting sqref="L7">
    <cfRule type="expression" dxfId="0" priority="45">
      <formula>MONTH(L7)&lt;&gt;5</formula>
    </cfRule>
  </conditionalFormatting>
  <conditionalFormatting sqref="L9">
    <cfRule type="expression" dxfId="0" priority="52">
      <formula>MONTH(L9)&lt;&gt;5</formula>
    </cfRule>
  </conditionalFormatting>
  <conditionalFormatting sqref="M11">
    <cfRule type="expression" dxfId="0" priority="60">
      <formula>MONTH(M11)&lt;&gt;5</formula>
    </cfRule>
  </conditionalFormatting>
  <conditionalFormatting sqref="M13">
    <cfRule type="expression" dxfId="0" priority="67">
      <formula>MONTH(M13)&lt;&gt;5</formula>
    </cfRule>
  </conditionalFormatting>
  <conditionalFormatting sqref="M15">
    <cfRule type="expression" dxfId="0" priority="74">
      <formula>MONTH(M15)&lt;&gt;5</formula>
    </cfRule>
  </conditionalFormatting>
  <conditionalFormatting sqref="M17">
    <cfRule type="expression" dxfId="0" priority="81">
      <formula>MONTH(M17)&lt;&gt;5</formula>
    </cfRule>
  </conditionalFormatting>
  <conditionalFormatting sqref="M22">
    <cfRule type="expression" dxfId="0" priority="214">
      <formula>MONTH(M22)&lt;&gt;9</formula>
    </cfRule>
  </conditionalFormatting>
  <conditionalFormatting sqref="M24">
    <cfRule type="expression" dxfId="0" priority="221">
      <formula>MONTH(M24)&lt;&gt;9</formula>
    </cfRule>
  </conditionalFormatting>
  <conditionalFormatting sqref="M26">
    <cfRule type="expression" dxfId="0" priority="228">
      <formula>MONTH(M26)&lt;&gt;9</formula>
    </cfRule>
  </conditionalFormatting>
  <conditionalFormatting sqref="M28">
    <cfRule type="expression" dxfId="0" priority="235">
      <formula>MONTH(M28)&lt;&gt;9</formula>
    </cfRule>
  </conditionalFormatting>
  <conditionalFormatting sqref="M30">
    <cfRule type="expression" dxfId="0" priority="242">
      <formula>MONTH(M30)&lt;&gt;9</formula>
    </cfRule>
  </conditionalFormatting>
  <conditionalFormatting sqref="M32">
    <cfRule type="expression" dxfId="0" priority="249">
      <formula>MONTH(M32)&lt;&gt;9</formula>
    </cfRule>
  </conditionalFormatting>
  <conditionalFormatting sqref="M37">
    <cfRule type="expression" dxfId="0" priority="382">
      <formula>MONTH(M37)&lt;&gt;1</formula>
    </cfRule>
  </conditionalFormatting>
  <conditionalFormatting sqref="M39">
    <cfRule type="expression" dxfId="0" priority="389">
      <formula>MONTH(M39)&lt;&gt;1</formula>
    </cfRule>
  </conditionalFormatting>
  <conditionalFormatting sqref="M41">
    <cfRule type="expression" dxfId="0" priority="396">
      <formula>MONTH(M41)&lt;&gt;1</formula>
    </cfRule>
  </conditionalFormatting>
  <conditionalFormatting sqref="M43">
    <cfRule type="expression" dxfId="0" priority="403">
      <formula>MONTH(M43)&lt;&gt;1</formula>
    </cfRule>
  </conditionalFormatting>
  <conditionalFormatting sqref="M45">
    <cfRule type="expression" dxfId="0" priority="410">
      <formula>MONTH(M45)&lt;&gt;1</formula>
    </cfRule>
  </conditionalFormatting>
  <conditionalFormatting sqref="M47">
    <cfRule type="expression" dxfId="0" priority="417">
      <formula>MONTH(M47)&lt;&gt;1</formula>
    </cfRule>
  </conditionalFormatting>
  <conditionalFormatting sqref="M7">
    <cfRule type="expression" dxfId="0" priority="46">
      <formula>MONTH(M7)&lt;&gt;5</formula>
    </cfRule>
  </conditionalFormatting>
  <conditionalFormatting sqref="M9">
    <cfRule type="expression" dxfId="0" priority="53">
      <formula>MONTH(M9)&lt;&gt;5</formula>
    </cfRule>
  </conditionalFormatting>
  <conditionalFormatting sqref="N11">
    <cfRule type="expression" dxfId="0" priority="61">
      <formula>MONTH(N11)&lt;&gt;5</formula>
    </cfRule>
  </conditionalFormatting>
  <conditionalFormatting sqref="N13">
    <cfRule type="expression" dxfId="0" priority="68">
      <formula>MONTH(N13)&lt;&gt;5</formula>
    </cfRule>
  </conditionalFormatting>
  <conditionalFormatting sqref="N15">
    <cfRule type="expression" dxfId="0" priority="75">
      <formula>MONTH(N15)&lt;&gt;5</formula>
    </cfRule>
  </conditionalFormatting>
  <conditionalFormatting sqref="N17">
    <cfRule type="expression" dxfId="0" priority="82">
      <formula>MONTH(N17)&lt;&gt;5</formula>
    </cfRule>
  </conditionalFormatting>
  <conditionalFormatting sqref="N22">
    <cfRule type="expression" dxfId="0" priority="215">
      <formula>MONTH(N22)&lt;&gt;9</formula>
    </cfRule>
  </conditionalFormatting>
  <conditionalFormatting sqref="N24">
    <cfRule type="expression" dxfId="0" priority="222">
      <formula>MONTH(N24)&lt;&gt;9</formula>
    </cfRule>
  </conditionalFormatting>
  <conditionalFormatting sqref="N26">
    <cfRule type="expression" dxfId="0" priority="229">
      <formula>MONTH(N26)&lt;&gt;9</formula>
    </cfRule>
  </conditionalFormatting>
  <conditionalFormatting sqref="N28">
    <cfRule type="expression" dxfId="0" priority="236">
      <formula>MONTH(N28)&lt;&gt;9</formula>
    </cfRule>
  </conditionalFormatting>
  <conditionalFormatting sqref="N30">
    <cfRule type="expression" dxfId="0" priority="243">
      <formula>MONTH(N30)&lt;&gt;9</formula>
    </cfRule>
  </conditionalFormatting>
  <conditionalFormatting sqref="N32">
    <cfRule type="expression" dxfId="0" priority="250">
      <formula>MONTH(N32)&lt;&gt;9</formula>
    </cfRule>
  </conditionalFormatting>
  <conditionalFormatting sqref="N37">
    <cfRule type="expression" dxfId="0" priority="383">
      <formula>MONTH(N37)&lt;&gt;1</formula>
    </cfRule>
  </conditionalFormatting>
  <conditionalFormatting sqref="N39">
    <cfRule type="expression" dxfId="0" priority="390">
      <formula>MONTH(N39)&lt;&gt;1</formula>
    </cfRule>
  </conditionalFormatting>
  <conditionalFormatting sqref="N41">
    <cfRule type="expression" dxfId="0" priority="397">
      <formula>MONTH(N41)&lt;&gt;1</formula>
    </cfRule>
  </conditionalFormatting>
  <conditionalFormatting sqref="N43">
    <cfRule type="expression" dxfId="0" priority="404">
      <formula>MONTH(N43)&lt;&gt;1</formula>
    </cfRule>
  </conditionalFormatting>
  <conditionalFormatting sqref="N45">
    <cfRule type="expression" dxfId="0" priority="411">
      <formula>MONTH(N45)&lt;&gt;1</formula>
    </cfRule>
  </conditionalFormatting>
  <conditionalFormatting sqref="N47">
    <cfRule type="expression" dxfId="0" priority="418">
      <formula>MONTH(N47)&lt;&gt;1</formula>
    </cfRule>
  </conditionalFormatting>
  <conditionalFormatting sqref="N7">
    <cfRule type="expression" dxfId="0" priority="47">
      <formula>MONTH(N7)&lt;&gt;5</formula>
    </cfRule>
  </conditionalFormatting>
  <conditionalFormatting sqref="N9">
    <cfRule type="expression" dxfId="0" priority="54">
      <formula>MONTH(N9)&lt;&gt;5</formula>
    </cfRule>
  </conditionalFormatting>
  <conditionalFormatting sqref="O11">
    <cfRule type="expression" dxfId="0" priority="62">
      <formula>MONTH(O11)&lt;&gt;5</formula>
    </cfRule>
  </conditionalFormatting>
  <conditionalFormatting sqref="O13">
    <cfRule type="expression" dxfId="0" priority="69">
      <formula>MONTH(O13)&lt;&gt;5</formula>
    </cfRule>
  </conditionalFormatting>
  <conditionalFormatting sqref="O15">
    <cfRule type="expression" dxfId="0" priority="76">
      <formula>MONTH(O15)&lt;&gt;5</formula>
    </cfRule>
  </conditionalFormatting>
  <conditionalFormatting sqref="O17">
    <cfRule type="expression" dxfId="0" priority="83">
      <formula>MONTH(O17)&lt;&gt;5</formula>
    </cfRule>
  </conditionalFormatting>
  <conditionalFormatting sqref="O22">
    <cfRule type="expression" dxfId="0" priority="216">
      <formula>MONTH(O22)&lt;&gt;9</formula>
    </cfRule>
  </conditionalFormatting>
  <conditionalFormatting sqref="O24">
    <cfRule type="expression" dxfId="0" priority="223">
      <formula>MONTH(O24)&lt;&gt;9</formula>
    </cfRule>
  </conditionalFormatting>
  <conditionalFormatting sqref="O26">
    <cfRule type="expression" dxfId="0" priority="230">
      <formula>MONTH(O26)&lt;&gt;9</formula>
    </cfRule>
  </conditionalFormatting>
  <conditionalFormatting sqref="O28">
    <cfRule type="expression" dxfId="0" priority="237">
      <formula>MONTH(O28)&lt;&gt;9</formula>
    </cfRule>
  </conditionalFormatting>
  <conditionalFormatting sqref="O30">
    <cfRule type="expression" dxfId="0" priority="244">
      <formula>MONTH(O30)&lt;&gt;9</formula>
    </cfRule>
  </conditionalFormatting>
  <conditionalFormatting sqref="O32">
    <cfRule type="expression" dxfId="0" priority="251">
      <formula>MONTH(O32)&lt;&gt;9</formula>
    </cfRule>
  </conditionalFormatting>
  <conditionalFormatting sqref="O37">
    <cfRule type="expression" dxfId="0" priority="384">
      <formula>MONTH(O37)&lt;&gt;1</formula>
    </cfRule>
  </conditionalFormatting>
  <conditionalFormatting sqref="O39">
    <cfRule type="expression" dxfId="0" priority="391">
      <formula>MONTH(O39)&lt;&gt;1</formula>
    </cfRule>
  </conditionalFormatting>
  <conditionalFormatting sqref="O41">
    <cfRule type="expression" dxfId="0" priority="398">
      <formula>MONTH(O41)&lt;&gt;1</formula>
    </cfRule>
  </conditionalFormatting>
  <conditionalFormatting sqref="O43">
    <cfRule type="expression" dxfId="0" priority="405">
      <formula>MONTH(O43)&lt;&gt;1</formula>
    </cfRule>
  </conditionalFormatting>
  <conditionalFormatting sqref="O45">
    <cfRule type="expression" dxfId="0" priority="412">
      <formula>MONTH(O45)&lt;&gt;1</formula>
    </cfRule>
  </conditionalFormatting>
  <conditionalFormatting sqref="O47">
    <cfRule type="expression" dxfId="0" priority="419">
      <formula>MONTH(O47)&lt;&gt;1</formula>
    </cfRule>
  </conditionalFormatting>
  <conditionalFormatting sqref="O7">
    <cfRule type="expression" dxfId="0" priority="48">
      <formula>MONTH(O7)&lt;&gt;5</formula>
    </cfRule>
  </conditionalFormatting>
  <conditionalFormatting sqref="O9">
    <cfRule type="expression" dxfId="0" priority="55">
      <formula>MONTH(O9)&lt;&gt;5</formula>
    </cfRule>
  </conditionalFormatting>
  <conditionalFormatting sqref="P11">
    <cfRule type="expression" dxfId="0" priority="63">
      <formula>MONTH(P11)&lt;&gt;5</formula>
    </cfRule>
  </conditionalFormatting>
  <conditionalFormatting sqref="P13">
    <cfRule type="expression" dxfId="0" priority="70">
      <formula>MONTH(P13)&lt;&gt;5</formula>
    </cfRule>
  </conditionalFormatting>
  <conditionalFormatting sqref="P15">
    <cfRule type="expression" dxfId="0" priority="77">
      <formula>MONTH(P15)&lt;&gt;5</formula>
    </cfRule>
  </conditionalFormatting>
  <conditionalFormatting sqref="P17">
    <cfRule type="expression" dxfId="0" priority="84">
      <formula>MONTH(P17)&lt;&gt;5</formula>
    </cfRule>
  </conditionalFormatting>
  <conditionalFormatting sqref="P22">
    <cfRule type="expression" dxfId="0" priority="217">
      <formula>MONTH(P22)&lt;&gt;9</formula>
    </cfRule>
  </conditionalFormatting>
  <conditionalFormatting sqref="P24">
    <cfRule type="expression" dxfId="0" priority="224">
      <formula>MONTH(P24)&lt;&gt;9</formula>
    </cfRule>
  </conditionalFormatting>
  <conditionalFormatting sqref="P26">
    <cfRule type="expression" dxfId="0" priority="231">
      <formula>MONTH(P26)&lt;&gt;9</formula>
    </cfRule>
  </conditionalFormatting>
  <conditionalFormatting sqref="P28">
    <cfRule type="expression" dxfId="0" priority="238">
      <formula>MONTH(P28)&lt;&gt;9</formula>
    </cfRule>
  </conditionalFormatting>
  <conditionalFormatting sqref="P30">
    <cfRule type="expression" dxfId="0" priority="245">
      <formula>MONTH(P30)&lt;&gt;9</formula>
    </cfRule>
  </conditionalFormatting>
  <conditionalFormatting sqref="P32">
    <cfRule type="expression" dxfId="0" priority="252">
      <formula>MONTH(P32)&lt;&gt;9</formula>
    </cfRule>
  </conditionalFormatting>
  <conditionalFormatting sqref="P37">
    <cfRule type="expression" dxfId="0" priority="385">
      <formula>MONTH(P37)&lt;&gt;1</formula>
    </cfRule>
  </conditionalFormatting>
  <conditionalFormatting sqref="P39">
    <cfRule type="expression" dxfId="0" priority="392">
      <formula>MONTH(P39)&lt;&gt;1</formula>
    </cfRule>
  </conditionalFormatting>
  <conditionalFormatting sqref="P41">
    <cfRule type="expression" dxfId="0" priority="399">
      <formula>MONTH(P41)&lt;&gt;1</formula>
    </cfRule>
  </conditionalFormatting>
  <conditionalFormatting sqref="P43">
    <cfRule type="expression" dxfId="0" priority="406">
      <formula>MONTH(P43)&lt;&gt;1</formula>
    </cfRule>
  </conditionalFormatting>
  <conditionalFormatting sqref="P45">
    <cfRule type="expression" dxfId="0" priority="413">
      <formula>MONTH(P45)&lt;&gt;1</formula>
    </cfRule>
  </conditionalFormatting>
  <conditionalFormatting sqref="P47">
    <cfRule type="expression" dxfId="0" priority="420">
      <formula>MONTH(P47)&lt;&gt;1</formula>
    </cfRule>
  </conditionalFormatting>
  <conditionalFormatting sqref="P7">
    <cfRule type="expression" dxfId="0" priority="49">
      <formula>MONTH(P7)&lt;&gt;5</formula>
    </cfRule>
  </conditionalFormatting>
  <conditionalFormatting sqref="P9">
    <cfRule type="expression" dxfId="0" priority="56">
      <formula>MONTH(P9)&lt;&gt;5</formula>
    </cfRule>
  </conditionalFormatting>
  <conditionalFormatting sqref="R11">
    <cfRule type="expression" dxfId="0" priority="99">
      <formula>MONTH(R11)&lt;&gt;6</formula>
    </cfRule>
  </conditionalFormatting>
  <conditionalFormatting sqref="R13">
    <cfRule type="expression" dxfId="0" priority="106">
      <formula>MONTH(R13)&lt;&gt;6</formula>
    </cfRule>
  </conditionalFormatting>
  <conditionalFormatting sqref="R15">
    <cfRule type="expression" dxfId="0" priority="113">
      <formula>MONTH(R15)&lt;&gt;6</formula>
    </cfRule>
  </conditionalFormatting>
  <conditionalFormatting sqref="R17">
    <cfRule type="expression" dxfId="0" priority="120">
      <formula>MONTH(R17)&lt;&gt;6</formula>
    </cfRule>
  </conditionalFormatting>
  <conditionalFormatting sqref="R22">
    <cfRule type="expression" dxfId="0" priority="253">
      <formula>MONTH(R22)&lt;&gt;10</formula>
    </cfRule>
  </conditionalFormatting>
  <conditionalFormatting sqref="R24">
    <cfRule type="expression" dxfId="0" priority="260">
      <formula>MONTH(R24)&lt;&gt;10</formula>
    </cfRule>
  </conditionalFormatting>
  <conditionalFormatting sqref="R26">
    <cfRule type="expression" dxfId="0" priority="267">
      <formula>MONTH(R26)&lt;&gt;10</formula>
    </cfRule>
  </conditionalFormatting>
  <conditionalFormatting sqref="R28">
    <cfRule type="expression" dxfId="0" priority="274">
      <formula>MONTH(R28)&lt;&gt;10</formula>
    </cfRule>
  </conditionalFormatting>
  <conditionalFormatting sqref="R30">
    <cfRule type="expression" dxfId="0" priority="281">
      <formula>MONTH(R30)&lt;&gt;10</formula>
    </cfRule>
  </conditionalFormatting>
  <conditionalFormatting sqref="R32">
    <cfRule type="expression" dxfId="0" priority="288">
      <formula>MONTH(R32)&lt;&gt;10</formula>
    </cfRule>
  </conditionalFormatting>
  <conditionalFormatting sqref="R37">
    <cfRule type="expression" dxfId="0" priority="421">
      <formula>MONTH(R37)&lt;&gt;2</formula>
    </cfRule>
  </conditionalFormatting>
  <conditionalFormatting sqref="R39">
    <cfRule type="expression" dxfId="0" priority="428">
      <formula>MONTH(R39)&lt;&gt;2</formula>
    </cfRule>
  </conditionalFormatting>
  <conditionalFormatting sqref="R41">
    <cfRule type="expression" dxfId="0" priority="435">
      <formula>MONTH(R41)&lt;&gt;2</formula>
    </cfRule>
  </conditionalFormatting>
  <conditionalFormatting sqref="R43">
    <cfRule type="expression" dxfId="0" priority="442">
      <formula>MONTH(R43)&lt;&gt;2</formula>
    </cfRule>
  </conditionalFormatting>
  <conditionalFormatting sqref="R45">
    <cfRule type="expression" dxfId="0" priority="449">
      <formula>MONTH(R45)&lt;&gt;2</formula>
    </cfRule>
  </conditionalFormatting>
  <conditionalFormatting sqref="R47">
    <cfRule type="expression" dxfId="0" priority="456">
      <formula>MONTH(R47)&lt;&gt;2</formula>
    </cfRule>
  </conditionalFormatting>
  <conditionalFormatting sqref="R7">
    <cfRule type="expression" dxfId="0" priority="85">
      <formula>MONTH(R7)&lt;&gt;6</formula>
    </cfRule>
  </conditionalFormatting>
  <conditionalFormatting sqref="R9">
    <cfRule type="expression" dxfId="0" priority="92">
      <formula>MONTH(R9)&lt;&gt;6</formula>
    </cfRule>
  </conditionalFormatting>
  <conditionalFormatting sqref="S11">
    <cfRule type="expression" dxfId="0" priority="100">
      <formula>MONTH(S11)&lt;&gt;6</formula>
    </cfRule>
  </conditionalFormatting>
  <conditionalFormatting sqref="S13">
    <cfRule type="expression" dxfId="0" priority="107">
      <formula>MONTH(S13)&lt;&gt;6</formula>
    </cfRule>
  </conditionalFormatting>
  <conditionalFormatting sqref="S15">
    <cfRule type="expression" dxfId="0" priority="114">
      <formula>MONTH(S15)&lt;&gt;6</formula>
    </cfRule>
  </conditionalFormatting>
  <conditionalFormatting sqref="S17">
    <cfRule type="expression" dxfId="0" priority="121">
      <formula>MONTH(S17)&lt;&gt;6</formula>
    </cfRule>
  </conditionalFormatting>
  <conditionalFormatting sqref="S22">
    <cfRule type="expression" dxfId="0" priority="254">
      <formula>MONTH(S22)&lt;&gt;10</formula>
    </cfRule>
  </conditionalFormatting>
  <conditionalFormatting sqref="S24">
    <cfRule type="expression" dxfId="0" priority="261">
      <formula>MONTH(S24)&lt;&gt;10</formula>
    </cfRule>
  </conditionalFormatting>
  <conditionalFormatting sqref="S26">
    <cfRule type="expression" dxfId="0" priority="268">
      <formula>MONTH(S26)&lt;&gt;10</formula>
    </cfRule>
  </conditionalFormatting>
  <conditionalFormatting sqref="S28">
    <cfRule type="expression" dxfId="0" priority="275">
      <formula>MONTH(S28)&lt;&gt;10</formula>
    </cfRule>
  </conditionalFormatting>
  <conditionalFormatting sqref="S30">
    <cfRule type="expression" dxfId="0" priority="282">
      <formula>MONTH(S30)&lt;&gt;10</formula>
    </cfRule>
  </conditionalFormatting>
  <conditionalFormatting sqref="S32">
    <cfRule type="expression" dxfId="0" priority="289">
      <formula>MONTH(S32)&lt;&gt;10</formula>
    </cfRule>
  </conditionalFormatting>
  <conditionalFormatting sqref="S37">
    <cfRule type="expression" dxfId="0" priority="422">
      <formula>MONTH(S37)&lt;&gt;2</formula>
    </cfRule>
  </conditionalFormatting>
  <conditionalFormatting sqref="S39">
    <cfRule type="expression" dxfId="0" priority="429">
      <formula>MONTH(S39)&lt;&gt;2</formula>
    </cfRule>
  </conditionalFormatting>
  <conditionalFormatting sqref="S41">
    <cfRule type="expression" dxfId="0" priority="436">
      <formula>MONTH(S41)&lt;&gt;2</formula>
    </cfRule>
  </conditionalFormatting>
  <conditionalFormatting sqref="S43">
    <cfRule type="expression" dxfId="0" priority="443">
      <formula>MONTH(S43)&lt;&gt;2</formula>
    </cfRule>
  </conditionalFormatting>
  <conditionalFormatting sqref="S45">
    <cfRule type="expression" dxfId="0" priority="450">
      <formula>MONTH(S45)&lt;&gt;2</formula>
    </cfRule>
  </conditionalFormatting>
  <conditionalFormatting sqref="S47">
    <cfRule type="expression" dxfId="0" priority="457">
      <formula>MONTH(S47)&lt;&gt;2</formula>
    </cfRule>
  </conditionalFormatting>
  <conditionalFormatting sqref="S7">
    <cfRule type="expression" dxfId="0" priority="86">
      <formula>MONTH(S7)&lt;&gt;6</formula>
    </cfRule>
  </conditionalFormatting>
  <conditionalFormatting sqref="S9">
    <cfRule type="expression" dxfId="0" priority="93">
      <formula>MONTH(S9)&lt;&gt;6</formula>
    </cfRule>
  </conditionalFormatting>
  <conditionalFormatting sqref="T11">
    <cfRule type="expression" dxfId="0" priority="101">
      <formula>MONTH(T11)&lt;&gt;6</formula>
    </cfRule>
  </conditionalFormatting>
  <conditionalFormatting sqref="T13">
    <cfRule type="expression" dxfId="0" priority="108">
      <formula>MONTH(T13)&lt;&gt;6</formula>
    </cfRule>
  </conditionalFormatting>
  <conditionalFormatting sqref="T15">
    <cfRule type="expression" dxfId="0" priority="115">
      <formula>MONTH(T15)&lt;&gt;6</formula>
    </cfRule>
  </conditionalFormatting>
  <conditionalFormatting sqref="T17">
    <cfRule type="expression" dxfId="0" priority="122">
      <formula>MONTH(T17)&lt;&gt;6</formula>
    </cfRule>
  </conditionalFormatting>
  <conditionalFormatting sqref="T22">
    <cfRule type="expression" dxfId="0" priority="255">
      <formula>MONTH(T22)&lt;&gt;10</formula>
    </cfRule>
  </conditionalFormatting>
  <conditionalFormatting sqref="T24">
    <cfRule type="expression" dxfId="0" priority="262">
      <formula>MONTH(T24)&lt;&gt;10</formula>
    </cfRule>
  </conditionalFormatting>
  <conditionalFormatting sqref="T26">
    <cfRule type="expression" dxfId="0" priority="269">
      <formula>MONTH(T26)&lt;&gt;10</formula>
    </cfRule>
  </conditionalFormatting>
  <conditionalFormatting sqref="T28">
    <cfRule type="expression" dxfId="0" priority="276">
      <formula>MONTH(T28)&lt;&gt;10</formula>
    </cfRule>
  </conditionalFormatting>
  <conditionalFormatting sqref="T30">
    <cfRule type="expression" dxfId="0" priority="283">
      <formula>MONTH(T30)&lt;&gt;10</formula>
    </cfRule>
  </conditionalFormatting>
  <conditionalFormatting sqref="T32">
    <cfRule type="expression" dxfId="0" priority="290">
      <formula>MONTH(T32)&lt;&gt;10</formula>
    </cfRule>
  </conditionalFormatting>
  <conditionalFormatting sqref="T37">
    <cfRule type="expression" dxfId="0" priority="423">
      <formula>MONTH(T37)&lt;&gt;2</formula>
    </cfRule>
  </conditionalFormatting>
  <conditionalFormatting sqref="T39">
    <cfRule type="expression" dxfId="0" priority="430">
      <formula>MONTH(T39)&lt;&gt;2</formula>
    </cfRule>
  </conditionalFormatting>
  <conditionalFormatting sqref="T41">
    <cfRule type="expression" dxfId="0" priority="437">
      <formula>MONTH(T41)&lt;&gt;2</formula>
    </cfRule>
  </conditionalFormatting>
  <conditionalFormatting sqref="T43">
    <cfRule type="expression" dxfId="0" priority="444">
      <formula>MONTH(T43)&lt;&gt;2</formula>
    </cfRule>
  </conditionalFormatting>
  <conditionalFormatting sqref="T45">
    <cfRule type="expression" dxfId="0" priority="451">
      <formula>MONTH(T45)&lt;&gt;2</formula>
    </cfRule>
  </conditionalFormatting>
  <conditionalFormatting sqref="T47">
    <cfRule type="expression" dxfId="0" priority="458">
      <formula>MONTH(T47)&lt;&gt;2</formula>
    </cfRule>
  </conditionalFormatting>
  <conditionalFormatting sqref="T7">
    <cfRule type="expression" dxfId="0" priority="87">
      <formula>MONTH(T7)&lt;&gt;6</formula>
    </cfRule>
  </conditionalFormatting>
  <conditionalFormatting sqref="T9">
    <cfRule type="expression" dxfId="0" priority="94">
      <formula>MONTH(T9)&lt;&gt;6</formula>
    </cfRule>
  </conditionalFormatting>
  <conditionalFormatting sqref="U11">
    <cfRule type="expression" dxfId="0" priority="102">
      <formula>MONTH(U11)&lt;&gt;6</formula>
    </cfRule>
  </conditionalFormatting>
  <conditionalFormatting sqref="U13">
    <cfRule type="expression" dxfId="0" priority="109">
      <formula>MONTH(U13)&lt;&gt;6</formula>
    </cfRule>
  </conditionalFormatting>
  <conditionalFormatting sqref="U15">
    <cfRule type="expression" dxfId="0" priority="116">
      <formula>MONTH(U15)&lt;&gt;6</formula>
    </cfRule>
  </conditionalFormatting>
  <conditionalFormatting sqref="U17">
    <cfRule type="expression" dxfId="0" priority="123">
      <formula>MONTH(U17)&lt;&gt;6</formula>
    </cfRule>
  </conditionalFormatting>
  <conditionalFormatting sqref="U22">
    <cfRule type="expression" dxfId="0" priority="256">
      <formula>MONTH(U22)&lt;&gt;10</formula>
    </cfRule>
  </conditionalFormatting>
  <conditionalFormatting sqref="U24">
    <cfRule type="expression" dxfId="0" priority="263">
      <formula>MONTH(U24)&lt;&gt;10</formula>
    </cfRule>
  </conditionalFormatting>
  <conditionalFormatting sqref="U26">
    <cfRule type="expression" dxfId="0" priority="270">
      <formula>MONTH(U26)&lt;&gt;10</formula>
    </cfRule>
  </conditionalFormatting>
  <conditionalFormatting sqref="U28">
    <cfRule type="expression" dxfId="0" priority="277">
      <formula>MONTH(U28)&lt;&gt;10</formula>
    </cfRule>
  </conditionalFormatting>
  <conditionalFormatting sqref="U30">
    <cfRule type="expression" dxfId="0" priority="284">
      <formula>MONTH(U30)&lt;&gt;10</formula>
    </cfRule>
  </conditionalFormatting>
  <conditionalFormatting sqref="U32">
    <cfRule type="expression" dxfId="0" priority="291">
      <formula>MONTH(U32)&lt;&gt;10</formula>
    </cfRule>
  </conditionalFormatting>
  <conditionalFormatting sqref="U37">
    <cfRule type="expression" dxfId="0" priority="424">
      <formula>MONTH(U37)&lt;&gt;2</formula>
    </cfRule>
  </conditionalFormatting>
  <conditionalFormatting sqref="U39">
    <cfRule type="expression" dxfId="0" priority="431">
      <formula>MONTH(U39)&lt;&gt;2</formula>
    </cfRule>
  </conditionalFormatting>
  <conditionalFormatting sqref="U41">
    <cfRule type="expression" dxfId="0" priority="438">
      <formula>MONTH(U41)&lt;&gt;2</formula>
    </cfRule>
  </conditionalFormatting>
  <conditionalFormatting sqref="U43">
    <cfRule type="expression" dxfId="0" priority="445">
      <formula>MONTH(U43)&lt;&gt;2</formula>
    </cfRule>
  </conditionalFormatting>
  <conditionalFormatting sqref="U45">
    <cfRule type="expression" dxfId="0" priority="452">
      <formula>MONTH(U45)&lt;&gt;2</formula>
    </cfRule>
  </conditionalFormatting>
  <conditionalFormatting sqref="U47">
    <cfRule type="expression" dxfId="0" priority="459">
      <formula>MONTH(U47)&lt;&gt;2</formula>
    </cfRule>
  </conditionalFormatting>
  <conditionalFormatting sqref="U7">
    <cfRule type="expression" dxfId="0" priority="88">
      <formula>MONTH(U7)&lt;&gt;6</formula>
    </cfRule>
  </conditionalFormatting>
  <conditionalFormatting sqref="U9">
    <cfRule type="expression" dxfId="0" priority="95">
      <formula>MONTH(U9)&lt;&gt;6</formula>
    </cfRule>
  </conditionalFormatting>
  <conditionalFormatting sqref="V11">
    <cfRule type="expression" dxfId="0" priority="103">
      <formula>MONTH(V11)&lt;&gt;6</formula>
    </cfRule>
  </conditionalFormatting>
  <conditionalFormatting sqref="V13">
    <cfRule type="expression" dxfId="0" priority="110">
      <formula>MONTH(V13)&lt;&gt;6</formula>
    </cfRule>
  </conditionalFormatting>
  <conditionalFormatting sqref="V15">
    <cfRule type="expression" dxfId="0" priority="117">
      <formula>MONTH(V15)&lt;&gt;6</formula>
    </cfRule>
  </conditionalFormatting>
  <conditionalFormatting sqref="V17">
    <cfRule type="expression" dxfId="0" priority="124">
      <formula>MONTH(V17)&lt;&gt;6</formula>
    </cfRule>
  </conditionalFormatting>
  <conditionalFormatting sqref="V22">
    <cfRule type="expression" dxfId="0" priority="257">
      <formula>MONTH(V22)&lt;&gt;10</formula>
    </cfRule>
  </conditionalFormatting>
  <conditionalFormatting sqref="V24">
    <cfRule type="expression" dxfId="0" priority="264">
      <formula>MONTH(V24)&lt;&gt;10</formula>
    </cfRule>
  </conditionalFormatting>
  <conditionalFormatting sqref="V26">
    <cfRule type="expression" dxfId="0" priority="271">
      <formula>MONTH(V26)&lt;&gt;10</formula>
    </cfRule>
  </conditionalFormatting>
  <conditionalFormatting sqref="V28">
    <cfRule type="expression" dxfId="0" priority="278">
      <formula>MONTH(V28)&lt;&gt;10</formula>
    </cfRule>
  </conditionalFormatting>
  <conditionalFormatting sqref="V30">
    <cfRule type="expression" dxfId="0" priority="285">
      <formula>MONTH(V30)&lt;&gt;10</formula>
    </cfRule>
  </conditionalFormatting>
  <conditionalFormatting sqref="V32">
    <cfRule type="expression" dxfId="0" priority="292">
      <formula>MONTH(V32)&lt;&gt;10</formula>
    </cfRule>
  </conditionalFormatting>
  <conditionalFormatting sqref="V37">
    <cfRule type="expression" dxfId="0" priority="425">
      <formula>MONTH(V37)&lt;&gt;2</formula>
    </cfRule>
  </conditionalFormatting>
  <conditionalFormatting sqref="V39">
    <cfRule type="expression" dxfId="0" priority="432">
      <formula>MONTH(V39)&lt;&gt;2</formula>
    </cfRule>
  </conditionalFormatting>
  <conditionalFormatting sqref="V41">
    <cfRule type="expression" dxfId="0" priority="439">
      <formula>MONTH(V41)&lt;&gt;2</formula>
    </cfRule>
  </conditionalFormatting>
  <conditionalFormatting sqref="V43">
    <cfRule type="expression" dxfId="0" priority="446">
      <formula>MONTH(V43)&lt;&gt;2</formula>
    </cfRule>
  </conditionalFormatting>
  <conditionalFormatting sqref="V45">
    <cfRule type="expression" dxfId="0" priority="453">
      <formula>MONTH(V45)&lt;&gt;2</formula>
    </cfRule>
  </conditionalFormatting>
  <conditionalFormatting sqref="V47">
    <cfRule type="expression" dxfId="0" priority="460">
      <formula>MONTH(V47)&lt;&gt;2</formula>
    </cfRule>
  </conditionalFormatting>
  <conditionalFormatting sqref="V7">
    <cfRule type="expression" dxfId="0" priority="89">
      <formula>MONTH(V7)&lt;&gt;6</formula>
    </cfRule>
  </conditionalFormatting>
  <conditionalFormatting sqref="V9">
    <cfRule type="expression" dxfId="0" priority="96">
      <formula>MONTH(V9)&lt;&gt;6</formula>
    </cfRule>
  </conditionalFormatting>
  <conditionalFormatting sqref="W11">
    <cfRule type="expression" dxfId="0" priority="104">
      <formula>MONTH(W11)&lt;&gt;6</formula>
    </cfRule>
  </conditionalFormatting>
  <conditionalFormatting sqref="W13">
    <cfRule type="expression" dxfId="0" priority="111">
      <formula>MONTH(W13)&lt;&gt;6</formula>
    </cfRule>
  </conditionalFormatting>
  <conditionalFormatting sqref="W15">
    <cfRule type="expression" dxfId="0" priority="118">
      <formula>MONTH(W15)&lt;&gt;6</formula>
    </cfRule>
  </conditionalFormatting>
  <conditionalFormatting sqref="W17">
    <cfRule type="expression" dxfId="0" priority="125">
      <formula>MONTH(W17)&lt;&gt;6</formula>
    </cfRule>
  </conditionalFormatting>
  <conditionalFormatting sqref="W22">
    <cfRule type="expression" dxfId="0" priority="258">
      <formula>MONTH(W22)&lt;&gt;10</formula>
    </cfRule>
  </conditionalFormatting>
  <conditionalFormatting sqref="W24">
    <cfRule type="expression" dxfId="0" priority="265">
      <formula>MONTH(W24)&lt;&gt;10</formula>
    </cfRule>
  </conditionalFormatting>
  <conditionalFormatting sqref="W26">
    <cfRule type="expression" dxfId="0" priority="272">
      <formula>MONTH(W26)&lt;&gt;10</formula>
    </cfRule>
  </conditionalFormatting>
  <conditionalFormatting sqref="W28">
    <cfRule type="expression" dxfId="0" priority="279">
      <formula>MONTH(W28)&lt;&gt;10</formula>
    </cfRule>
  </conditionalFormatting>
  <conditionalFormatting sqref="W30">
    <cfRule type="expression" dxfId="0" priority="286">
      <formula>MONTH(W30)&lt;&gt;10</formula>
    </cfRule>
  </conditionalFormatting>
  <conditionalFormatting sqref="W32">
    <cfRule type="expression" dxfId="0" priority="293">
      <formula>MONTH(W32)&lt;&gt;10</formula>
    </cfRule>
  </conditionalFormatting>
  <conditionalFormatting sqref="W37">
    <cfRule type="expression" dxfId="0" priority="426">
      <formula>MONTH(W37)&lt;&gt;2</formula>
    </cfRule>
  </conditionalFormatting>
  <conditionalFormatting sqref="W39">
    <cfRule type="expression" dxfId="0" priority="433">
      <formula>MONTH(W39)&lt;&gt;2</formula>
    </cfRule>
  </conditionalFormatting>
  <conditionalFormatting sqref="W41">
    <cfRule type="expression" dxfId="0" priority="440">
      <formula>MONTH(W41)&lt;&gt;2</formula>
    </cfRule>
  </conditionalFormatting>
  <conditionalFormatting sqref="W43">
    <cfRule type="expression" dxfId="0" priority="447">
      <formula>MONTH(W43)&lt;&gt;2</formula>
    </cfRule>
  </conditionalFormatting>
  <conditionalFormatting sqref="W45">
    <cfRule type="expression" dxfId="0" priority="454">
      <formula>MONTH(W45)&lt;&gt;2</formula>
    </cfRule>
  </conditionalFormatting>
  <conditionalFormatting sqref="W47">
    <cfRule type="expression" dxfId="0" priority="461">
      <formula>MONTH(W47)&lt;&gt;2</formula>
    </cfRule>
  </conditionalFormatting>
  <conditionalFormatting sqref="W7">
    <cfRule type="expression" dxfId="0" priority="90">
      <formula>MONTH(W7)&lt;&gt;6</formula>
    </cfRule>
  </conditionalFormatting>
  <conditionalFormatting sqref="W9">
    <cfRule type="expression" dxfId="0" priority="97">
      <formula>MONTH(W9)&lt;&gt;6</formula>
    </cfRule>
  </conditionalFormatting>
  <conditionalFormatting sqref="X11">
    <cfRule type="expression" dxfId="0" priority="105">
      <formula>MONTH(X11)&lt;&gt;6</formula>
    </cfRule>
  </conditionalFormatting>
  <conditionalFormatting sqref="X13">
    <cfRule type="expression" dxfId="0" priority="112">
      <formula>MONTH(X13)&lt;&gt;6</formula>
    </cfRule>
  </conditionalFormatting>
  <conditionalFormatting sqref="X15">
    <cfRule type="expression" dxfId="0" priority="119">
      <formula>MONTH(X15)&lt;&gt;6</formula>
    </cfRule>
  </conditionalFormatting>
  <conditionalFormatting sqref="X17">
    <cfRule type="expression" dxfId="0" priority="126">
      <formula>MONTH(X17)&lt;&gt;6</formula>
    </cfRule>
  </conditionalFormatting>
  <conditionalFormatting sqref="X22">
    <cfRule type="expression" dxfId="0" priority="259">
      <formula>MONTH(X22)&lt;&gt;10</formula>
    </cfRule>
  </conditionalFormatting>
  <conditionalFormatting sqref="X24">
    <cfRule type="expression" dxfId="0" priority="266">
      <formula>MONTH(X24)&lt;&gt;10</formula>
    </cfRule>
  </conditionalFormatting>
  <conditionalFormatting sqref="X26">
    <cfRule type="expression" dxfId="0" priority="273">
      <formula>MONTH(X26)&lt;&gt;10</formula>
    </cfRule>
  </conditionalFormatting>
  <conditionalFormatting sqref="X28">
    <cfRule type="expression" dxfId="0" priority="280">
      <formula>MONTH(X28)&lt;&gt;10</formula>
    </cfRule>
  </conditionalFormatting>
  <conditionalFormatting sqref="X30">
    <cfRule type="expression" dxfId="0" priority="287">
      <formula>MONTH(X30)&lt;&gt;10</formula>
    </cfRule>
  </conditionalFormatting>
  <conditionalFormatting sqref="X32">
    <cfRule type="expression" dxfId="0" priority="294">
      <formula>MONTH(X32)&lt;&gt;10</formula>
    </cfRule>
  </conditionalFormatting>
  <conditionalFormatting sqref="X37">
    <cfRule type="expression" dxfId="0" priority="427">
      <formula>MONTH(X37)&lt;&gt;2</formula>
    </cfRule>
  </conditionalFormatting>
  <conditionalFormatting sqref="X39">
    <cfRule type="expression" dxfId="0" priority="434">
      <formula>MONTH(X39)&lt;&gt;2</formula>
    </cfRule>
  </conditionalFormatting>
  <conditionalFormatting sqref="X41">
    <cfRule type="expression" dxfId="0" priority="441">
      <formula>MONTH(X41)&lt;&gt;2</formula>
    </cfRule>
  </conditionalFormatting>
  <conditionalFormatting sqref="X43">
    <cfRule type="expression" dxfId="0" priority="448">
      <formula>MONTH(X43)&lt;&gt;2</formula>
    </cfRule>
  </conditionalFormatting>
  <conditionalFormatting sqref="X45">
    <cfRule type="expression" dxfId="0" priority="455">
      <formula>MONTH(X45)&lt;&gt;2</formula>
    </cfRule>
  </conditionalFormatting>
  <conditionalFormatting sqref="X47">
    <cfRule type="expression" dxfId="0" priority="462">
      <formula>MONTH(X47)&lt;&gt;2</formula>
    </cfRule>
  </conditionalFormatting>
  <conditionalFormatting sqref="X7">
    <cfRule type="expression" dxfId="0" priority="91">
      <formula>MONTH(X7)&lt;&gt;6</formula>
    </cfRule>
  </conditionalFormatting>
  <conditionalFormatting sqref="X9">
    <cfRule type="expression" dxfId="0" priority="98">
      <formula>MONTH(X9)&lt;&gt;6</formula>
    </cfRule>
  </conditionalFormatting>
  <conditionalFormatting sqref="Z11">
    <cfRule type="expression" dxfId="0" priority="141">
      <formula>MONTH(Z11)&lt;&gt;7</formula>
    </cfRule>
  </conditionalFormatting>
  <conditionalFormatting sqref="Z13">
    <cfRule type="expression" dxfId="0" priority="148">
      <formula>MONTH(Z13)&lt;&gt;7</formula>
    </cfRule>
  </conditionalFormatting>
  <conditionalFormatting sqref="Z15">
    <cfRule type="expression" dxfId="0" priority="155">
      <formula>MONTH(Z15)&lt;&gt;7</formula>
    </cfRule>
  </conditionalFormatting>
  <conditionalFormatting sqref="Z17">
    <cfRule type="expression" dxfId="0" priority="162">
      <formula>MONTH(Z17)&lt;&gt;7</formula>
    </cfRule>
  </conditionalFormatting>
  <conditionalFormatting sqref="Z22">
    <cfRule type="expression" dxfId="0" priority="295">
      <formula>MONTH(Z22)&lt;&gt;11</formula>
    </cfRule>
  </conditionalFormatting>
  <conditionalFormatting sqref="Z24">
    <cfRule type="expression" dxfId="0" priority="302">
      <formula>MONTH(Z24)&lt;&gt;11</formula>
    </cfRule>
  </conditionalFormatting>
  <conditionalFormatting sqref="Z26">
    <cfRule type="expression" dxfId="0" priority="309">
      <formula>MONTH(Z26)&lt;&gt;11</formula>
    </cfRule>
  </conditionalFormatting>
  <conditionalFormatting sqref="Z28">
    <cfRule type="expression" dxfId="0" priority="316">
      <formula>MONTH(Z28)&lt;&gt;11</formula>
    </cfRule>
  </conditionalFormatting>
  <conditionalFormatting sqref="Z30">
    <cfRule type="expression" dxfId="0" priority="323">
      <formula>MONTH(Z30)&lt;&gt;11</formula>
    </cfRule>
  </conditionalFormatting>
  <conditionalFormatting sqref="Z32">
    <cfRule type="expression" dxfId="0" priority="330">
      <formula>MONTH(Z32)&lt;&gt;11</formula>
    </cfRule>
  </conditionalFormatting>
  <conditionalFormatting sqref="Z37">
    <cfRule type="expression" dxfId="0" priority="463">
      <formula>MONTH(Z37)&lt;&gt;3</formula>
    </cfRule>
  </conditionalFormatting>
  <conditionalFormatting sqref="Z39">
    <cfRule type="expression" dxfId="0" priority="470">
      <formula>MONTH(Z39)&lt;&gt;3</formula>
    </cfRule>
  </conditionalFormatting>
  <conditionalFormatting sqref="Z41">
    <cfRule type="expression" dxfId="0" priority="477">
      <formula>MONTH(Z41)&lt;&gt;3</formula>
    </cfRule>
  </conditionalFormatting>
  <conditionalFormatting sqref="Z43">
    <cfRule type="expression" dxfId="0" priority="484">
      <formula>MONTH(Z43)&lt;&gt;3</formula>
    </cfRule>
  </conditionalFormatting>
  <conditionalFormatting sqref="Z45">
    <cfRule type="expression" dxfId="0" priority="491">
      <formula>MONTH(Z45)&lt;&gt;3</formula>
    </cfRule>
  </conditionalFormatting>
  <conditionalFormatting sqref="Z47">
    <cfRule type="expression" dxfId="0" priority="498">
      <formula>MONTH(Z47)&lt;&gt;3</formula>
    </cfRule>
  </conditionalFormatting>
  <conditionalFormatting sqref="Z7">
    <cfRule type="expression" dxfId="0" priority="127">
      <formula>MONTH(Z7)&lt;&gt;7</formula>
    </cfRule>
  </conditionalFormatting>
  <conditionalFormatting sqref="Z9">
    <cfRule type="expression" dxfId="0" priority="134">
      <formula>MONTH(Z9)&lt;&gt;7</formula>
    </cfRule>
  </conditionalFormatting>
  <dataValidations count="1">
    <dataValidation type="list" allowBlank="1" showInputMessage="1" showErrorMessage="1" errorTitle="選べません" error="▼から選んでください。" promptTitle="区を選ぶ" prompt="▼から区を選んでください" sqref="C3">
      <formula1>'計算'!$A$130:$A$138</formula1>
    </dataValidation>
  </dataValidations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showGridLines="0" workbookViewId="0"/>
  </sheetViews>
  <sheetFormatPr defaultRowHeight="15" x14ac:dyDescent="0.25"/>
  <cols>
    <col min="1" max="1" width="2.7109375" customWidth="1"/>
    <col min="2" max="2" width="22.7109375" customWidth="1"/>
    <col min="3" max="8" width="19.7109375" customWidth="1"/>
    <col min="9" max="9" width="3.7109375" customWidth="1"/>
  </cols>
  <sheetData>
    <row r="1" spans="2:12" ht="38" customHeight="1" x14ac:dyDescent="0.25">
      <c r="B1" s="14" t="s">
        <v>408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4" spans="2:12" x14ac:dyDescent="0.25">
      <c r="B4" s="15" t="s">
        <v>409</v>
      </c>
      <c r="C4" s="16" t="s">
        <v>64</v>
      </c>
      <c r="E4" s="19" t="s">
        <v>412</v>
      </c>
    </row>
    <row r="5" spans="2:12" x14ac:dyDescent="0.25">
      <c r="B5" s="15" t="s">
        <v>410</v>
      </c>
      <c r="C5" s="17">
        <v>0.375</v>
      </c>
    </row>
    <row r="6" spans="2:12" x14ac:dyDescent="0.25">
      <c r="B6" s="15" t="s">
        <v>411</v>
      </c>
      <c r="C6" s="17">
        <v>0.6875</v>
      </c>
    </row>
    <row r="8" spans="2:12" x14ac:dyDescent="0.25">
      <c r="B8" s="19" t="s">
        <v>413</v>
      </c>
      <c r="C8" s="19">
        <f>ROUND(C5*1440,0)</f>
        <v>540</v>
      </c>
      <c r="D8" s="19">
        <f>ROUND(C6*1440,0)</f>
        <v>990</v>
      </c>
      <c r="E8" s="19">
        <f>MATCH(C4&amp;"|全期間",'データ'!$A$7:$A$123,0)</f>
        <v>1</v>
      </c>
    </row>
    <row r="10" spans="2:12" x14ac:dyDescent="0.25">
      <c r="B10" s="45" t="s">
        <v>414</v>
      </c>
      <c r="C10" s="46"/>
    </row>
    <row r="11" spans="2:12" ht="30" customHeight="1" x14ac:dyDescent="0.25">
      <c r="C11" s="47" t="s">
        <v>62</v>
      </c>
      <c r="D11" s="48" t="s">
        <v>336</v>
      </c>
      <c r="E11" s="49" t="s">
        <v>415</v>
      </c>
      <c r="F11" s="50" t="s">
        <v>416</v>
      </c>
    </row>
    <row r="12" spans="2:12" ht="46" customHeight="1" x14ac:dyDescent="0.25">
      <c r="C12" s="51">
        <f>SUM(INDEX('データ'!$D$7:$BG$123,$E$8,0))</f>
        <v>762002</v>
      </c>
      <c r="D12" s="52">
        <f>SUMPRODUCT(('データ'!$D$6:$BG$6&gt;=$C$8)*('データ'!$D$6:$BG$6&lt;$D$8)*INDEX('データ'!$D$7:$BG$123,$E$8,0))</f>
        <v>678389</v>
      </c>
      <c r="E12" s="53">
        <f>C12-D12</f>
        <v>83613</v>
      </c>
      <c r="F12" s="54">
        <f>IF(C12=0,0,E12/C12)</f>
        <v>0.10972805845653949</v>
      </c>
    </row>
    <row r="15" spans="2:12" x14ac:dyDescent="0.25">
      <c r="B15" s="3" t="s">
        <v>417</v>
      </c>
    </row>
    <row r="16" spans="2:12" x14ac:dyDescent="0.25">
      <c r="B16" s="55" t="s">
        <v>418</v>
      </c>
      <c r="C16" s="55" t="s">
        <v>419</v>
      </c>
      <c r="D16" s="55" t="s">
        <v>420</v>
      </c>
      <c r="E16" s="55" t="s">
        <v>336</v>
      </c>
      <c r="F16" s="55" t="s">
        <v>337</v>
      </c>
      <c r="G16" s="55" t="s">
        <v>416</v>
      </c>
    </row>
    <row r="17" spans="2:7" x14ac:dyDescent="0.25">
      <c r="B17" s="56" t="s">
        <v>421</v>
      </c>
      <c r="C17" s="57">
        <v>0.375</v>
      </c>
      <c r="D17" s="57">
        <v>0.6875</v>
      </c>
      <c r="E17" s="58">
        <f>SUMPRODUCT(('データ'!$D$6:$BG$6&gt;=ROUND(C17*1440,0))*('データ'!$D$6:$BG$6&lt;ROUND(D17*1440,0))*INDEX('データ'!$D$7:$BG$123,$E$8,0))</f>
        <v>678389</v>
      </c>
      <c r="F17" s="58">
        <f>$C$12-E17</f>
        <v>83613</v>
      </c>
      <c r="G17" s="59">
        <f>IF($C$12=0,0,F17/$C$12)</f>
        <v>0.10972805845653949</v>
      </c>
    </row>
    <row r="18" spans="2:7" x14ac:dyDescent="0.25">
      <c r="B18" s="56" t="s">
        <v>422</v>
      </c>
      <c r="C18" s="57">
        <v>0.3645833333333333</v>
      </c>
      <c r="D18" s="57">
        <v>0.6875</v>
      </c>
      <c r="E18" s="58">
        <f>SUMPRODUCT(('データ'!$D$6:$BG$6&gt;=ROUND(C18*1440,0))*('データ'!$D$6:$BG$6&lt;ROUND(D18*1440,0))*INDEX('データ'!$D$7:$BG$123,$E$8,0))</f>
        <v>694816</v>
      </c>
      <c r="F18" s="58">
        <f>$C$12-E18</f>
        <v>67186</v>
      </c>
      <c r="G18" s="59">
        <f>IF($C$12=0,0,F18/$C$12)</f>
        <v>0.0881703722562408</v>
      </c>
    </row>
    <row r="19" spans="2:7" x14ac:dyDescent="0.25">
      <c r="B19" s="56" t="s">
        <v>423</v>
      </c>
      <c r="C19" s="57">
        <v>0.3541666666666667</v>
      </c>
      <c r="D19" s="57">
        <v>0.71875</v>
      </c>
      <c r="E19" s="58">
        <f>SUMPRODUCT(('データ'!$D$6:$BG$6&gt;=ROUND(C19*1440,0))*('データ'!$D$6:$BG$6&lt;ROUND(D19*1440,0))*INDEX('データ'!$D$7:$BG$123,$E$8,0))</f>
        <v>750170</v>
      </c>
      <c r="F19" s="58">
        <f>$C$12-E19</f>
        <v>11832</v>
      </c>
      <c r="G19" s="59">
        <f>IF($C$12=0,0,F19/$C$12)</f>
        <v>0.015527518300476901</v>
      </c>
    </row>
    <row r="20" spans="2:7" x14ac:dyDescent="0.25">
      <c r="B20" s="60" t="s">
        <v>424</v>
      </c>
      <c r="C20" s="61">
        <f>C5</f>
        <v>0.375</v>
      </c>
      <c r="D20" s="61">
        <f>C6</f>
        <v>0.6875</v>
      </c>
      <c r="E20" s="58">
        <f>D12</f>
        <v>678389</v>
      </c>
      <c r="F20" s="58">
        <f>E12</f>
        <v>83613</v>
      </c>
      <c r="G20" s="59">
        <f>F12</f>
        <v>0.10972805845653949</v>
      </c>
    </row>
    <row r="23" spans="2:7" x14ac:dyDescent="0.25">
      <c r="B23" s="3" t="s">
        <v>425</v>
      </c>
    </row>
    <row r="24" spans="2:7" x14ac:dyDescent="0.25">
      <c r="B24" s="55" t="s">
        <v>4</v>
      </c>
      <c r="C24" s="55" t="s">
        <v>62</v>
      </c>
      <c r="D24" s="55" t="s">
        <v>336</v>
      </c>
      <c r="E24" s="55" t="s">
        <v>337</v>
      </c>
      <c r="F24" s="55" t="s">
        <v>416</v>
      </c>
    </row>
    <row r="25" spans="2:7" x14ac:dyDescent="0.25">
      <c r="B25" s="56" t="s">
        <v>64</v>
      </c>
      <c r="C25" s="58">
        <f>SUM(INDEX('データ'!$D$7:$BG$123,MATCH($B25&amp;"|全期間",'データ'!$A$7:$A$123,0),0))</f>
        <v>762002</v>
      </c>
      <c r="D25" s="58">
        <f>SUMPRODUCT(('データ'!$D$6:$BG$6&gt;=$C$8)*('データ'!$D$6:$BG$6&lt;$D$8)*INDEX('データ'!$D$7:$BG$123,MATCH($B25&amp;"|全期間",'データ'!$A$7:$A$123,0),0))</f>
        <v>678389</v>
      </c>
      <c r="E25" s="58">
        <f>C25-D25</f>
        <v>83613</v>
      </c>
      <c r="F25" s="59">
        <f>IF(C25=0,0,E25/C25)</f>
        <v>0.10972805845653949</v>
      </c>
    </row>
    <row r="26" spans="2:7" x14ac:dyDescent="0.25">
      <c r="B26" s="56" t="s">
        <v>91</v>
      </c>
      <c r="C26" s="58">
        <f>SUM(INDEX('データ'!$D$7:$BG$123,MATCH($B26&amp;"|全期間",'データ'!$A$7:$A$123,0),0))</f>
        <v>143974</v>
      </c>
      <c r="D26" s="58">
        <f>SUMPRODUCT(('データ'!$D$6:$BG$6&gt;=$C$8)*('データ'!$D$6:$BG$6&lt;$D$8)*INDEX('データ'!$D$7:$BG$123,MATCH($B26&amp;"|全期間",'データ'!$A$7:$A$123,0),0))</f>
        <v>127983</v>
      </c>
      <c r="E26" s="58">
        <f>C26-D26</f>
        <v>15991</v>
      </c>
      <c r="F26" s="59">
        <f>IF(C26=0,0,E26/C26)</f>
        <v>0.11106866517565672</v>
      </c>
    </row>
    <row r="27" spans="2:7" x14ac:dyDescent="0.25">
      <c r="B27" s="56" t="s">
        <v>105</v>
      </c>
      <c r="C27" s="58">
        <f>SUM(INDEX('データ'!$D$7:$BG$123,MATCH($B27&amp;"|全期間",'データ'!$A$7:$A$123,0),0))</f>
        <v>81818</v>
      </c>
      <c r="D27" s="58">
        <f>SUMPRODUCT(('データ'!$D$6:$BG$6&gt;=$C$8)*('データ'!$D$6:$BG$6&lt;$D$8)*INDEX('データ'!$D$7:$BG$123,MATCH($B27&amp;"|全期間",'データ'!$A$7:$A$123,0),0))</f>
        <v>73657</v>
      </c>
      <c r="E27" s="58">
        <f>C27-D27</f>
        <v>8161</v>
      </c>
      <c r="F27" s="59">
        <f>IF(C27=0,0,E27/C27)</f>
        <v>0.09974577721283825</v>
      </c>
    </row>
    <row r="28" spans="2:7" x14ac:dyDescent="0.25">
      <c r="B28" s="56" t="s">
        <v>119</v>
      </c>
      <c r="C28" s="58">
        <f>SUM(INDEX('データ'!$D$7:$BG$123,MATCH($B28&amp;"|全期間",'データ'!$A$7:$A$123,0),0))</f>
        <v>115887</v>
      </c>
      <c r="D28" s="58">
        <f>SUMPRODUCT(('データ'!$D$6:$BG$6&gt;=$C$8)*('データ'!$D$6:$BG$6&lt;$D$8)*INDEX('データ'!$D$7:$BG$123,MATCH($B28&amp;"|全期間",'データ'!$A$7:$A$123,0),0))</f>
        <v>102289</v>
      </c>
      <c r="E28" s="58">
        <f>C28-D28</f>
        <v>13598</v>
      </c>
      <c r="F28" s="59">
        <f>IF(C28=0,0,E28/C28)</f>
        <v>0.11733844175791935</v>
      </c>
    </row>
    <row r="29" spans="2:7" x14ac:dyDescent="0.25">
      <c r="B29" s="56" t="s">
        <v>133</v>
      </c>
      <c r="C29" s="58">
        <f>SUM(INDEX('データ'!$D$7:$BG$123,MATCH($B29&amp;"|全期間",'データ'!$A$7:$A$123,0),0))</f>
        <v>141243</v>
      </c>
      <c r="D29" s="58">
        <f>SUMPRODUCT(('データ'!$D$6:$BG$6&gt;=$C$8)*('データ'!$D$6:$BG$6&lt;$D$8)*INDEX('データ'!$D$7:$BG$123,MATCH($B29&amp;"|全期間",'データ'!$A$7:$A$123,0),0))</f>
        <v>124759</v>
      </c>
      <c r="E29" s="58">
        <f>C29-D29</f>
        <v>16484</v>
      </c>
      <c r="F29" s="59">
        <f>IF(C29=0,0,E29/C29)</f>
        <v>0.1167066686490658</v>
      </c>
    </row>
    <row r="30" spans="2:7" x14ac:dyDescent="0.25">
      <c r="B30" s="56" t="s">
        <v>147</v>
      </c>
      <c r="C30" s="58">
        <f>SUM(INDEX('データ'!$D$7:$BG$123,MATCH($B30&amp;"|全期間",'データ'!$A$7:$A$123,0),0))</f>
        <v>88181</v>
      </c>
      <c r="D30" s="58">
        <f>SUMPRODUCT(('データ'!$D$6:$BG$6&gt;=$C$8)*('データ'!$D$6:$BG$6&lt;$D$8)*INDEX('データ'!$D$7:$BG$123,MATCH($B30&amp;"|全期間",'データ'!$A$7:$A$123,0),0))</f>
        <v>78107</v>
      </c>
      <c r="E30" s="58">
        <f>C30-D30</f>
        <v>10074</v>
      </c>
      <c r="F30" s="59">
        <f>IF(C30=0,0,E30/C30)</f>
        <v>0.11424229709347819</v>
      </c>
    </row>
    <row r="31" spans="2:7" x14ac:dyDescent="0.25">
      <c r="B31" s="56" t="s">
        <v>161</v>
      </c>
      <c r="C31" s="58">
        <f>SUM(INDEX('データ'!$D$7:$BG$123,MATCH($B31&amp;"|全期間",'データ'!$A$7:$A$123,0),0))</f>
        <v>48568</v>
      </c>
      <c r="D31" s="58">
        <f>SUMPRODUCT(('データ'!$D$6:$BG$6&gt;=$C$8)*('データ'!$D$6:$BG$6&lt;$D$8)*INDEX('データ'!$D$7:$BG$123,MATCH($B31&amp;"|全期間",'データ'!$A$7:$A$123,0),0))</f>
        <v>43439</v>
      </c>
      <c r="E31" s="58">
        <f>C31-D31</f>
        <v>5129</v>
      </c>
      <c r="F31" s="59">
        <f>IF(C31=0,0,E31/C31)</f>
        <v>0.10560451325975952</v>
      </c>
    </row>
    <row r="32" spans="2:7" x14ac:dyDescent="0.25">
      <c r="B32" s="56" t="s">
        <v>175</v>
      </c>
      <c r="C32" s="58">
        <f>SUM(INDEX('データ'!$D$7:$BG$123,MATCH($B32&amp;"|全期間",'データ'!$A$7:$A$123,0),0))</f>
        <v>37567</v>
      </c>
      <c r="D32" s="58">
        <f>SUMPRODUCT(('データ'!$D$6:$BG$6&gt;=$C$8)*('データ'!$D$6:$BG$6&lt;$D$8)*INDEX('データ'!$D$7:$BG$123,MATCH($B32&amp;"|全期間",'データ'!$A$7:$A$123,0),0))</f>
        <v>34025</v>
      </c>
      <c r="E32" s="58">
        <f>C32-D32</f>
        <v>3542</v>
      </c>
      <c r="F32" s="59">
        <f>IF(C32=0,0,E32/C32)</f>
        <v>0.09428487768520244</v>
      </c>
    </row>
    <row r="33" spans="2:6" x14ac:dyDescent="0.25">
      <c r="B33" s="56" t="s">
        <v>189</v>
      </c>
      <c r="C33" s="58">
        <f>SUM(INDEX('データ'!$D$7:$BG$123,MATCH($B33&amp;"|全期間",'データ'!$A$7:$A$123,0),0))</f>
        <v>104764</v>
      </c>
      <c r="D33" s="58">
        <f>SUMPRODUCT(('データ'!$D$6:$BG$6&gt;=$C$8)*('データ'!$D$6:$BG$6&lt;$D$8)*INDEX('データ'!$D$7:$BG$123,MATCH($B33&amp;"|全期間",'データ'!$A$7:$A$123,0),0))</f>
        <v>94130</v>
      </c>
      <c r="E33" s="58">
        <f>C33-D33</f>
        <v>10634</v>
      </c>
      <c r="F33" s="59">
        <f>IF(C33=0,0,E33/C33)</f>
        <v>0.10150433354969264</v>
      </c>
    </row>
    <row r="36" spans="2:6" x14ac:dyDescent="0.25">
      <c r="B36" s="19" t="s">
        <v>426</v>
      </c>
    </row>
  </sheetData>
  <mergeCells count="2">
    <mergeCell ref="B1:L1"/>
    <mergeCell ref="B10:C10"/>
  </mergeCells>
  <conditionalFormatting sqref="F25:F33">
    <cfRule type="dataBar" priority="2">
      <dataBar>
        <cfvo type="num" val="0"/>
        <cfvo type="num" val="0.3"/>
        <color rgb="FFF5B88A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G17:G20">
    <cfRule type="dataBar" priority="1">
      <dataBar>
        <cfvo type="num" val="0"/>
        <cfvo type="num" val="0.3"/>
        <color rgb="FFF5B88A"/>
      </dataBar>
      <extLst>
        <ext xmlns:x14="http://schemas.microsoft.com/office/spreadsheetml/2009/9/main" uri="{B025F937-C7B1-47D3-B67F-A62EFF666E3E}">
          <x14:id>{DA7ABA51-AAAA-BBBB-0005-000000000002}</x14:id>
        </ext>
      </extLst>
    </cfRule>
  </conditionalFormatting>
  <dataValidations count="3">
    <dataValidation type="list" allowBlank="1" showInputMessage="1" showErrorMessage="1" errorTitle="選べません" error="▼から選んでください。" promptTitle="区を選ぶ" prompt="▼から選んでください" sqref="C4">
      <formula1>'計算'!$A$130:$A$138</formula1>
    </dataValidation>
    <dataValidation type="list" allowBlank="1" showInputMessage="1" showErrorMessage="1" errorTitle="選べません" error="▼から選んでください。" promptTitle="開始時刻" prompt="窓口を開ける時刻" sqref="C5">
      <formula1>'計算'!$A$70:$A$126</formula1>
    </dataValidation>
    <dataValidation type="list" allowBlank="1" showInputMessage="1" showErrorMessage="1" errorTitle="選べません" error="▼から選んでください。" promptTitle="終了時刻" prompt="窓口を閉める時刻" sqref="C6">
      <formula1>'計算'!$A$70:$A$126</formula1>
    </dataValidation>
  </dataValidations>
  <pageMargins left="0.7" right="0.7" top="0.75" bottom="0.75" header="0.3" footer="0.3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0.3</xm:f>
              </x14:cfvo>
              <x14:borderColor rgb="FFF5B88A"/>
              <x14:negativeFillColor rgb="FFFF0000"/>
              <x14:negativeBorderColor rgb="FFFF0000"/>
              <x14:axisColor rgb="FF000000"/>
            </x14:dataBar>
          </x14:cfRule>
          <xm:sqref>F25:F33</xm:sqref>
        </x14:conditionalFormatting>
        <x14:conditionalFormatting xmlns:xm="http://schemas.microsoft.com/office/excel/2006/main">
          <x14:cfRule type="dataBar" id="{DA7ABA51-AAAA-BBBB-0005-000000000002}">
            <x14:dataBar minLength="0" maxLength="100" border="1" gradient="0" negativeBarBorderColorSameAsPositive="0">
              <x14:cfvo type="num">
                <xm:f>0</xm:f>
              </x14:cfvo>
              <x14:cfvo type="num">
                <xm:f>0.3</xm:f>
              </x14:cfvo>
              <x14:borderColor rgb="FFF5B88A"/>
              <x14:negativeFillColor rgb="FFFF0000"/>
              <x14:negativeBorderColor rgb="FFFF0000"/>
              <x14:axisColor rgb="FF000000"/>
            </x14:dataBar>
          </x14:cfRule>
          <xm:sqref>G17:G20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.7109375" customWidth="1"/>
    <col min="2" max="2" width="6.7109375" customWidth="1"/>
    <col min="3" max="3" width="36.7109375" customWidth="1"/>
    <col min="4" max="6" width="12.7109375" customWidth="1"/>
    <col min="7" max="7" width="3.7109375" customWidth="1"/>
  </cols>
  <sheetData>
    <row r="1" spans="2:14" ht="38" customHeight="1" x14ac:dyDescent="0.25">
      <c r="B1" s="14" t="s">
        <v>427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2:14" x14ac:dyDescent="0.25">
      <c r="B3" s="15" t="s">
        <v>4</v>
      </c>
      <c r="C3" s="16" t="s">
        <v>64</v>
      </c>
    </row>
    <row r="5" spans="2:14" x14ac:dyDescent="0.25">
      <c r="B5" s="55" t="s">
        <v>428</v>
      </c>
      <c r="C5" s="55" t="s">
        <v>429</v>
      </c>
      <c r="D5" s="55" t="s">
        <v>430</v>
      </c>
      <c r="E5" s="55" t="s">
        <v>431</v>
      </c>
      <c r="F5" s="55" t="s">
        <v>350</v>
      </c>
    </row>
    <row r="6" spans="2:14" x14ac:dyDescent="0.25">
      <c r="B6" s="56">
        <v>1</v>
      </c>
      <c r="C6" s="62" t="s">
        <v>281</v>
      </c>
      <c r="D6" s="58">
        <f>INDEX('データ'!$B$681:$J$730,1,MATCH($C$3,'データ'!$B$680:$J$680,0))</f>
        <v>157636</v>
      </c>
      <c r="E6" s="59">
        <f>IF(SUM($D$6:$D$55)=0,0,D6/SUM($D$6:$D$55))</f>
        <v>0.2068708481080102</v>
      </c>
      <c r="F6" s="63">
        <v>3.422377216757648</v>
      </c>
    </row>
    <row r="7" spans="2:14" x14ac:dyDescent="0.25">
      <c r="B7" s="56">
        <v>2</v>
      </c>
      <c r="C7" s="62" t="s">
        <v>282</v>
      </c>
      <c r="D7" s="58">
        <f>INDEX('データ'!$B$681:$J$730,2,MATCH($C$3,'データ'!$B$680:$J$680,0))</f>
        <v>88260</v>
      </c>
      <c r="E7" s="59">
        <f>IF(SUM($D$6:$D$55)=0,0,D7/SUM($D$6:$D$55))</f>
        <v>0.11582646764706654</v>
      </c>
      <c r="F7" s="63">
        <v>13.90616166887908</v>
      </c>
    </row>
    <row r="8" spans="2:14" x14ac:dyDescent="0.25">
      <c r="B8" s="56">
        <v>3</v>
      </c>
      <c r="C8" s="62" t="s">
        <v>283</v>
      </c>
      <c r="D8" s="58">
        <f>INDEX('データ'!$B$681:$J$730,3,MATCH($C$3,'データ'!$B$680:$J$680,0))</f>
        <v>75448</v>
      </c>
      <c r="E8" s="59">
        <f>IF(SUM($D$6:$D$55)=0,0,D8/SUM($D$6:$D$55))</f>
        <v>0.09901286348329795</v>
      </c>
      <c r="F8" s="63">
        <v>8.290830419929016</v>
      </c>
    </row>
    <row r="9" spans="2:14" x14ac:dyDescent="0.25">
      <c r="B9" s="56">
        <v>4</v>
      </c>
      <c r="C9" s="62" t="s">
        <v>284</v>
      </c>
      <c r="D9" s="58">
        <f>INDEX('データ'!$B$681:$J$730,4,MATCH($C$3,'データ'!$B$680:$J$680,0))</f>
        <v>68732</v>
      </c>
      <c r="E9" s="59">
        <f>IF(SUM($D$6:$D$55)=0,0,D9/SUM($D$6:$D$55))</f>
        <v>0.09019923832220912</v>
      </c>
      <c r="F9" s="63">
        <v>10.13740893541932</v>
      </c>
    </row>
    <row r="10" spans="2:14" x14ac:dyDescent="0.25">
      <c r="B10" s="56">
        <v>5</v>
      </c>
      <c r="C10" s="62" t="s">
        <v>285</v>
      </c>
      <c r="D10" s="58">
        <f>INDEX('データ'!$B$681:$J$730,5,MATCH($C$3,'データ'!$B$680:$J$680,0))</f>
        <v>59330</v>
      </c>
      <c r="E10" s="59">
        <f>IF(SUM($D$6:$D$55)=0,0,D10/SUM($D$6:$D$55))</f>
        <v>0.0778606880296902</v>
      </c>
      <c r="F10" s="63">
        <v>6.874107913303892</v>
      </c>
    </row>
    <row r="11" spans="2:14" x14ac:dyDescent="0.25">
      <c r="B11" s="56">
        <v>6</v>
      </c>
      <c r="C11" s="62" t="s">
        <v>286</v>
      </c>
      <c r="D11" s="58">
        <f>INDEX('データ'!$B$681:$J$730,6,MATCH($C$3,'データ'!$B$680:$J$680,0))</f>
        <v>27691</v>
      </c>
      <c r="E11" s="59">
        <f>IF(SUM($D$6:$D$55)=0,0,D11/SUM($D$6:$D$55))</f>
        <v>0.03633979963307183</v>
      </c>
      <c r="F11" s="63">
        <v>1.746293019392582</v>
      </c>
    </row>
    <row r="12" spans="2:14" x14ac:dyDescent="0.25">
      <c r="B12" s="56">
        <v>7</v>
      </c>
      <c r="C12" s="62" t="s">
        <v>287</v>
      </c>
      <c r="D12" s="58">
        <f>INDEX('データ'!$B$681:$J$730,7,MATCH($C$3,'データ'!$B$680:$J$680,0))</f>
        <v>26186</v>
      </c>
      <c r="E12" s="59">
        <f>IF(SUM($D$6:$D$55)=0,0,D12/SUM($D$6:$D$55))</f>
        <v>0.03436473920015958</v>
      </c>
      <c r="F12" s="63">
        <v>13.39234192932187</v>
      </c>
    </row>
    <row r="13" spans="2:14" x14ac:dyDescent="0.25">
      <c r="B13" s="56">
        <v>8</v>
      </c>
      <c r="C13" s="62" t="s">
        <v>288</v>
      </c>
      <c r="D13" s="58">
        <f>INDEX('データ'!$B$681:$J$730,8,MATCH($C$3,'データ'!$B$680:$J$680,0))</f>
        <v>23108</v>
      </c>
      <c r="E13" s="59">
        <f>IF(SUM($D$6:$D$55)=0,0,D13/SUM($D$6:$D$55))</f>
        <v>0.030325379723412798</v>
      </c>
      <c r="F13" s="63">
        <v>18.9191970412748</v>
      </c>
    </row>
    <row r="14" spans="2:14" x14ac:dyDescent="0.25">
      <c r="B14" s="56">
        <v>9</v>
      </c>
      <c r="C14" s="62" t="s">
        <v>289</v>
      </c>
      <c r="D14" s="58">
        <f>INDEX('データ'!$B$681:$J$730,9,MATCH($C$3,'データ'!$B$680:$J$680,0))</f>
        <v>20955</v>
      </c>
      <c r="E14" s="59">
        <f>IF(SUM($D$6:$D$55)=0,0,D14/SUM($D$6:$D$55))</f>
        <v>0.027499927821711755</v>
      </c>
      <c r="F14" s="63">
        <v>10.61317376225022</v>
      </c>
    </row>
    <row r="15" spans="2:14" x14ac:dyDescent="0.25">
      <c r="B15" s="56">
        <v>10</v>
      </c>
      <c r="C15" s="62" t="s">
        <v>290</v>
      </c>
      <c r="D15" s="58">
        <f>INDEX('データ'!$B$681:$J$730,10,MATCH($C$3,'データ'!$B$680:$J$680,0))</f>
        <v>20814</v>
      </c>
      <c r="E15" s="59">
        <f>IF(SUM($D$6:$D$55)=0,0,D15/SUM($D$6:$D$55))</f>
        <v>0.027314888937299376</v>
      </c>
      <c r="F15" s="63">
        <v>3.917306552624413</v>
      </c>
    </row>
    <row r="16" spans="2:14" x14ac:dyDescent="0.25">
      <c r="B16" s="56">
        <v>11</v>
      </c>
      <c r="C16" s="62" t="s">
        <v>291</v>
      </c>
      <c r="D16" s="58">
        <f>INDEX('データ'!$B$681:$J$730,11,MATCH($C$3,'データ'!$B$680:$J$680,0))</f>
        <v>20355</v>
      </c>
      <c r="E16" s="59">
        <f>IF(SUM($D$6:$D$55)=0,0,D16/SUM($D$6:$D$55))</f>
        <v>0.02671252831357398</v>
      </c>
      <c r="F16" s="63">
        <v>4.381566748566749</v>
      </c>
    </row>
    <row r="17" spans="2:6" x14ac:dyDescent="0.25">
      <c r="B17" s="56">
        <v>12</v>
      </c>
      <c r="C17" s="62" t="s">
        <v>292</v>
      </c>
      <c r="D17" s="58">
        <f>INDEX('データ'!$B$681:$J$730,12,MATCH($C$3,'データ'!$B$680:$J$680,0))</f>
        <v>15620</v>
      </c>
      <c r="E17" s="59">
        <f>IF(SUM($D$6:$D$55)=0,0,D17/SUM($D$6:$D$55))</f>
        <v>0.020498633861853383</v>
      </c>
      <c r="F17" s="63">
        <v>1.805268137444631</v>
      </c>
    </row>
    <row r="18" spans="2:6" x14ac:dyDescent="0.25">
      <c r="B18" s="56">
        <v>13</v>
      </c>
      <c r="C18" s="62" t="s">
        <v>293</v>
      </c>
      <c r="D18" s="58">
        <f>INDEX('データ'!$B$681:$J$730,13,MATCH($C$3,'データ'!$B$680:$J$680,0))</f>
        <v>15081</v>
      </c>
      <c r="E18" s="59">
        <f>IF(SUM($D$6:$D$55)=0,0,D18/SUM($D$6:$D$55))</f>
        <v>0.019791286637042948</v>
      </c>
      <c r="F18" s="63">
        <v>3.151643348142254</v>
      </c>
    </row>
    <row r="19" spans="2:6" x14ac:dyDescent="0.25">
      <c r="B19" s="56">
        <v>14</v>
      </c>
      <c r="C19" s="62" t="s">
        <v>294</v>
      </c>
      <c r="D19" s="58">
        <f>INDEX('データ'!$B$681:$J$730,14,MATCH($C$3,'データ'!$B$680:$J$680,0))</f>
        <v>14250</v>
      </c>
      <c r="E19" s="59">
        <f>IF(SUM($D$6:$D$55)=0,0,D19/SUM($D$6:$D$55))</f>
        <v>0.01870073831827213</v>
      </c>
      <c r="F19" s="63">
        <v>3.763526315789474</v>
      </c>
    </row>
    <row r="20" spans="2:6" x14ac:dyDescent="0.25">
      <c r="B20" s="56">
        <v>15</v>
      </c>
      <c r="C20" s="62" t="s">
        <v>295</v>
      </c>
      <c r="D20" s="58">
        <f>INDEX('データ'!$B$681:$J$730,15,MATCH($C$3,'データ'!$B$680:$J$680,0))</f>
        <v>13842</v>
      </c>
      <c r="E20" s="59">
        <f>IF(SUM($D$6:$D$55)=0,0,D20/SUM($D$6:$D$55))</f>
        <v>0.018165306652738446</v>
      </c>
      <c r="F20" s="63">
        <v>14.88703462734042</v>
      </c>
    </row>
    <row r="21" spans="2:6" x14ac:dyDescent="0.25">
      <c r="B21" s="56">
        <v>16</v>
      </c>
      <c r="C21" s="62" t="s">
        <v>296</v>
      </c>
      <c r="D21" s="58">
        <f>INDEX('データ'!$B$681:$J$730,16,MATCH($C$3,'データ'!$B$680:$J$680,0))</f>
        <v>11978</v>
      </c>
      <c r="E21" s="59">
        <f>IF(SUM($D$6:$D$55)=0,0,D21/SUM($D$6:$D$55))</f>
        <v>0.015719118847457095</v>
      </c>
      <c r="F21" s="63">
        <v>5.414773992429303</v>
      </c>
    </row>
    <row r="22" spans="2:6" x14ac:dyDescent="0.25">
      <c r="B22" s="56">
        <v>17</v>
      </c>
      <c r="C22" s="62" t="s">
        <v>297</v>
      </c>
      <c r="D22" s="58">
        <f>INDEX('データ'!$B$681:$J$730,17,MATCH($C$3,'データ'!$B$680:$J$680,0))</f>
        <v>11936</v>
      </c>
      <c r="E22" s="59">
        <f>IF(SUM($D$6:$D$55)=0,0,D22/SUM($D$6:$D$55))</f>
        <v>0.01566400088188745</v>
      </c>
      <c r="F22" s="63">
        <v>5.221612638606019</v>
      </c>
    </row>
    <row r="23" spans="2:6" x14ac:dyDescent="0.25">
      <c r="B23" s="56">
        <v>18</v>
      </c>
      <c r="C23" s="62" t="s">
        <v>298</v>
      </c>
      <c r="D23" s="58">
        <f>INDEX('データ'!$B$681:$J$730,18,MATCH($C$3,'データ'!$B$680:$J$680,0))</f>
        <v>8432</v>
      </c>
      <c r="E23" s="59">
        <f>IF(SUM($D$6:$D$55)=0,0,D23/SUM($D$6:$D$55))</f>
        <v>0.01106558775436285</v>
      </c>
      <c r="F23" s="63">
        <v>3.066032179000632</v>
      </c>
    </row>
    <row r="24" spans="2:6" x14ac:dyDescent="0.25">
      <c r="B24" s="56">
        <v>19</v>
      </c>
      <c r="C24" s="62" t="s">
        <v>299</v>
      </c>
      <c r="D24" s="58">
        <f>INDEX('データ'!$B$681:$J$730,19,MATCH($C$3,'データ'!$B$680:$J$680,0))</f>
        <v>6601</v>
      </c>
      <c r="E24" s="59">
        <f>IF(SUM($D$6:$D$55)=0,0,D24/SUM($D$6:$D$55))</f>
        <v>0.008662706922029076</v>
      </c>
      <c r="F24" s="63">
        <v>24.59658884172226</v>
      </c>
    </row>
    <row r="25" spans="2:6" x14ac:dyDescent="0.25">
      <c r="B25" s="56">
        <v>20</v>
      </c>
      <c r="C25" s="62" t="s">
        <v>300</v>
      </c>
      <c r="D25" s="58">
        <f>INDEX('データ'!$B$681:$J$730,20,MATCH($C$3,'データ'!$B$680:$J$680,0))</f>
        <v>6524</v>
      </c>
      <c r="E25" s="59">
        <f>IF(SUM($D$6:$D$55)=0,0,D25/SUM($D$6:$D$55))</f>
        <v>0.008561657318484728</v>
      </c>
      <c r="F25" s="63">
        <v>1.724593807480074</v>
      </c>
    </row>
    <row r="26" spans="2:6" x14ac:dyDescent="0.25">
      <c r="B26" s="56">
        <v>21</v>
      </c>
      <c r="C26" s="62" t="s">
        <v>301</v>
      </c>
      <c r="D26" s="58">
        <f>INDEX('データ'!$B$681:$J$730,21,MATCH($C$3,'データ'!$B$680:$J$680,0))</f>
        <v>5966</v>
      </c>
      <c r="E26" s="59">
        <f>IF(SUM($D$6:$D$55)=0,0,D26/SUM($D$6:$D$55))</f>
        <v>0.007829375775916598</v>
      </c>
      <c r="F26" s="63">
        <v>10.77278292614434</v>
      </c>
    </row>
    <row r="27" spans="2:6" x14ac:dyDescent="0.25">
      <c r="B27" s="56">
        <v>22</v>
      </c>
      <c r="C27" s="62" t="s">
        <v>302</v>
      </c>
      <c r="D27" s="58">
        <f>INDEX('データ'!$B$681:$J$730,22,MATCH($C$3,'データ'!$B$680:$J$680,0))</f>
        <v>5956</v>
      </c>
      <c r="E27" s="59">
        <f>IF(SUM($D$6:$D$55)=0,0,D27/SUM($D$6:$D$55))</f>
        <v>0.007816252450780969</v>
      </c>
      <c r="F27" s="63">
        <v>10.97031496506649</v>
      </c>
    </row>
    <row r="28" spans="2:6" x14ac:dyDescent="0.25">
      <c r="B28" s="56">
        <v>23</v>
      </c>
      <c r="C28" s="62" t="s">
        <v>303</v>
      </c>
      <c r="D28" s="58">
        <f>INDEX('データ'!$B$681:$J$730,23,MATCH($C$3,'データ'!$B$680:$J$680,0))</f>
        <v>5775</v>
      </c>
      <c r="E28" s="59">
        <f>IF(SUM($D$6:$D$55)=0,0,D28/SUM($D$6:$D$55))</f>
        <v>0.0075787202658260736</v>
      </c>
      <c r="F28" s="63">
        <v>35.15250203891413</v>
      </c>
    </row>
    <row r="29" spans="2:6" x14ac:dyDescent="0.25">
      <c r="B29" s="56">
        <v>24</v>
      </c>
      <c r="C29" s="62" t="s">
        <v>304</v>
      </c>
      <c r="D29" s="58">
        <f>INDEX('データ'!$B$681:$J$730,24,MATCH($C$3,'データ'!$B$680:$J$680,0))</f>
        <v>5744</v>
      </c>
      <c r="E29" s="59">
        <f>IF(SUM($D$6:$D$55)=0,0,D29/SUM($D$6:$D$55))</f>
        <v>0.007538037957905622</v>
      </c>
      <c r="F29" s="63">
        <v>0.3571814066852367</v>
      </c>
    </row>
    <row r="30" spans="2:6" x14ac:dyDescent="0.25">
      <c r="B30" s="56">
        <v>25</v>
      </c>
      <c r="C30" s="62" t="s">
        <v>305</v>
      </c>
      <c r="D30" s="58">
        <f>INDEX('データ'!$B$681:$J$730,25,MATCH($C$3,'データ'!$B$680:$J$680,0))</f>
        <v>4922</v>
      </c>
      <c r="E30" s="59">
        <f>IF(SUM($D$6:$D$55)=0,0,D30/SUM($D$6:$D$55))</f>
        <v>0.006459300631756872</v>
      </c>
      <c r="F30" s="63">
        <v>3.686330469176214</v>
      </c>
    </row>
    <row r="31" spans="2:6" x14ac:dyDescent="0.25">
      <c r="B31" s="56">
        <v>26</v>
      </c>
      <c r="C31" s="62" t="s">
        <v>306</v>
      </c>
      <c r="D31" s="58">
        <f>INDEX('データ'!$B$681:$J$730,26,MATCH($C$3,'データ'!$B$680:$J$680,0))</f>
        <v>4700</v>
      </c>
      <c r="E31" s="59">
        <f>IF(SUM($D$6:$D$55)=0,0,D31/SUM($D$6:$D$55))</f>
        <v>0.006167962813745896</v>
      </c>
      <c r="F31" s="63">
        <v>7.976579098478323</v>
      </c>
    </row>
    <row r="32" spans="2:6" x14ac:dyDescent="0.25">
      <c r="B32" s="56">
        <v>27</v>
      </c>
      <c r="C32" s="62" t="s">
        <v>307</v>
      </c>
      <c r="D32" s="58">
        <f>INDEX('データ'!$B$681:$J$730,27,MATCH($C$3,'データ'!$B$680:$J$680,0))</f>
        <v>4086</v>
      </c>
      <c r="E32" s="59">
        <f>IF(SUM($D$6:$D$55)=0,0,D32/SUM($D$6:$D$55))</f>
        <v>0.00536219065041824</v>
      </c>
      <c r="F32" s="63">
        <v>0.7171724588024148</v>
      </c>
    </row>
    <row r="33" spans="2:8" x14ac:dyDescent="0.25">
      <c r="B33" s="56">
        <v>28</v>
      </c>
      <c r="C33" s="62" t="s">
        <v>308</v>
      </c>
      <c r="D33" s="58">
        <f>INDEX('データ'!$B$681:$J$730,28,MATCH($C$3,'データ'!$B$680:$J$680,0))</f>
        <v>3658</v>
      </c>
      <c r="E33" s="59">
        <f>IF(SUM($D$6:$D$55)=0,0,D33/SUM($D$6:$D$55))</f>
        <v>0.004800512334613295</v>
      </c>
      <c r="F33" s="63">
        <v>4.344609987242573</v>
      </c>
    </row>
    <row r="34" spans="2:8" x14ac:dyDescent="0.25">
      <c r="B34" s="56">
        <v>29</v>
      </c>
      <c r="C34" s="62" t="s">
        <v>309</v>
      </c>
      <c r="D34" s="58">
        <f>INDEX('データ'!$B$681:$J$730,29,MATCH($C$3,'データ'!$B$680:$J$680,0))</f>
        <v>3502</v>
      </c>
      <c r="E34" s="59">
        <f>IF(SUM($D$6:$D$55)=0,0,D34/SUM($D$6:$D$55))</f>
        <v>0.0045957884624974734</v>
      </c>
      <c r="F34" s="63">
        <v>10.46405714285714</v>
      </c>
      <c r="H34" s="19" t="s">
        <v>432</v>
      </c>
    </row>
    <row r="35" spans="2:8" x14ac:dyDescent="0.25">
      <c r="B35" s="56">
        <v>30</v>
      </c>
      <c r="C35" s="62" t="s">
        <v>310</v>
      </c>
      <c r="D35" s="58">
        <f>INDEX('データ'!$B$681:$J$730,30,MATCH($C$3,'データ'!$B$680:$J$680,0))</f>
        <v>3196</v>
      </c>
      <c r="E35" s="59">
        <f>IF(SUM($D$6:$D$55)=0,0,D35/SUM($D$6:$D$55))</f>
        <v>0.004194214713347209</v>
      </c>
      <c r="F35" s="63">
        <v>1.9218032957864</v>
      </c>
    </row>
    <row r="36" spans="2:8" x14ac:dyDescent="0.25">
      <c r="B36" s="56">
        <v>31</v>
      </c>
      <c r="C36" s="62" t="s">
        <v>311</v>
      </c>
      <c r="D36" s="58">
        <f>INDEX('データ'!$B$681:$J$730,31,MATCH($C$3,'データ'!$B$680:$J$680,0))</f>
        <v>3096</v>
      </c>
      <c r="E36" s="59">
        <f>IF(SUM($D$6:$D$55)=0,0,D36/SUM($D$6:$D$55))</f>
        <v>0.004062981461990914</v>
      </c>
      <c r="F36" s="63">
        <v>3.407978036175711</v>
      </c>
    </row>
    <row r="37" spans="2:8" x14ac:dyDescent="0.25">
      <c r="B37" s="56">
        <v>32</v>
      </c>
      <c r="C37" s="62" t="s">
        <v>312</v>
      </c>
      <c r="D37" s="58">
        <f>INDEX('データ'!$B$681:$J$730,32,MATCH($C$3,'データ'!$B$680:$J$680,0))</f>
        <v>3000</v>
      </c>
      <c r="E37" s="59">
        <f>IF(SUM($D$6:$D$55)=0,0,D37/SUM($D$6:$D$55))</f>
        <v>0.00393699754068887</v>
      </c>
      <c r="F37" s="63">
        <v>6.661032863849766</v>
      </c>
    </row>
    <row r="38" spans="2:8" x14ac:dyDescent="0.25">
      <c r="B38" s="56">
        <v>33</v>
      </c>
      <c r="C38" s="62" t="s">
        <v>313</v>
      </c>
      <c r="D38" s="58">
        <f>INDEX('データ'!$B$681:$J$730,33,MATCH($C$3,'データ'!$B$680:$J$680,0))</f>
        <v>2815</v>
      </c>
      <c r="E38" s="59">
        <f>IF(SUM($D$6:$D$55)=0,0,D38/SUM($D$6:$D$55))</f>
        <v>0.003694216025679723</v>
      </c>
      <c r="F38" s="63">
        <v>0.4240023682652457</v>
      </c>
    </row>
    <row r="39" spans="2:8" x14ac:dyDescent="0.25">
      <c r="B39" s="56">
        <v>34</v>
      </c>
      <c r="C39" s="62" t="s">
        <v>314</v>
      </c>
      <c r="D39" s="58">
        <f>INDEX('データ'!$B$681:$J$730,34,MATCH($C$3,'データ'!$B$680:$J$680,0))</f>
        <v>2150</v>
      </c>
      <c r="E39" s="59">
        <f>IF(SUM($D$6:$D$55)=0,0,D39/SUM($D$6:$D$55))</f>
        <v>0.0028215149041603566</v>
      </c>
      <c r="F39" s="63">
        <v>9.820235878336437</v>
      </c>
    </row>
    <row r="40" spans="2:8" x14ac:dyDescent="0.25">
      <c r="B40" s="56">
        <v>35</v>
      </c>
      <c r="C40" s="62" t="s">
        <v>315</v>
      </c>
      <c r="D40" s="58">
        <f>INDEX('データ'!$B$681:$J$730,35,MATCH($C$3,'データ'!$B$680:$J$680,0))</f>
        <v>1692</v>
      </c>
      <c r="E40" s="59">
        <f>IF(SUM($D$6:$D$55)=0,0,D40/SUM($D$6:$D$55))</f>
        <v>0.0022204666129485226</v>
      </c>
      <c r="F40" s="63">
        <v>3.978398345153664</v>
      </c>
    </row>
    <row r="41" spans="2:8" x14ac:dyDescent="0.25">
      <c r="B41" s="56">
        <v>36</v>
      </c>
      <c r="C41" s="62" t="s">
        <v>316</v>
      </c>
      <c r="D41" s="58">
        <f>INDEX('データ'!$B$681:$J$730,36,MATCH($C$3,'データ'!$B$680:$J$680,0))</f>
        <v>1632</v>
      </c>
      <c r="E41" s="59">
        <f>IF(SUM($D$6:$D$55)=0,0,D41/SUM($D$6:$D$55))</f>
        <v>0.002141726662134745</v>
      </c>
      <c r="F41" s="63">
        <v>15.48370098039216</v>
      </c>
    </row>
    <row r="42" spans="2:8" x14ac:dyDescent="0.25">
      <c r="B42" s="56">
        <v>37</v>
      </c>
      <c r="C42" s="62" t="s">
        <v>317</v>
      </c>
      <c r="D42" s="58">
        <f>INDEX('データ'!$B$681:$J$730,37,MATCH($C$3,'データ'!$B$680:$J$680,0))</f>
        <v>1423</v>
      </c>
      <c r="E42" s="59">
        <f>IF(SUM($D$6:$D$55)=0,0,D42/SUM($D$6:$D$55))</f>
        <v>0.0018674491668000872</v>
      </c>
      <c r="F42" s="63">
        <v>2.114624645892351</v>
      </c>
    </row>
    <row r="43" spans="2:8" x14ac:dyDescent="0.25">
      <c r="B43" s="56">
        <v>38</v>
      </c>
      <c r="C43" s="62" t="s">
        <v>318</v>
      </c>
      <c r="D43" s="58">
        <f>INDEX('データ'!$B$681:$J$730,38,MATCH($C$3,'データ'!$B$680:$J$680,0))</f>
        <v>1386</v>
      </c>
      <c r="E43" s="59">
        <f>IF(SUM($D$6:$D$55)=0,0,D43/SUM($D$6:$D$55))</f>
        <v>0.0018188928637982577</v>
      </c>
      <c r="F43" s="63">
        <v>17.61786145305334</v>
      </c>
    </row>
    <row r="44" spans="2:8" x14ac:dyDescent="0.25">
      <c r="B44" s="56">
        <v>39</v>
      </c>
      <c r="C44" s="62" t="s">
        <v>319</v>
      </c>
      <c r="D44" s="58">
        <f>INDEX('データ'!$B$681:$J$730,39,MATCH($C$3,'データ'!$B$680:$J$680,0))</f>
        <v>1301</v>
      </c>
      <c r="E44" s="59">
        <f>IF(SUM($D$6:$D$55)=0,0,D44/SUM($D$6:$D$55))</f>
        <v>0.0017073446001454064</v>
      </c>
      <c r="F44" s="63">
        <v>8.109153846153847</v>
      </c>
    </row>
    <row r="45" spans="2:8" x14ac:dyDescent="0.25">
      <c r="B45" s="56">
        <v>40</v>
      </c>
      <c r="C45" s="62" t="s">
        <v>320</v>
      </c>
      <c r="D45" s="58">
        <f>INDEX('データ'!$B$681:$J$730,40,MATCH($C$3,'データ'!$B$680:$J$680,0))</f>
        <v>966</v>
      </c>
      <c r="E45" s="59">
        <f>IF(SUM($D$6:$D$55)=0,0,D45/SUM($D$6:$D$55))</f>
        <v>0.001267713208101816</v>
      </c>
      <c r="F45" s="63">
        <v>1.78139209513816</v>
      </c>
    </row>
    <row r="46" spans="2:8" x14ac:dyDescent="0.25">
      <c r="B46" s="56">
        <v>41</v>
      </c>
      <c r="C46" s="62" t="s">
        <v>321</v>
      </c>
      <c r="D46" s="58">
        <f>INDEX('データ'!$B$681:$J$730,41,MATCH($C$3,'データ'!$B$680:$J$680,0))</f>
        <v>787</v>
      </c>
      <c r="E46" s="59">
        <f>IF(SUM($D$6:$D$55)=0,0,D46/SUM($D$6:$D$55))</f>
        <v>0.0010328056881740467</v>
      </c>
      <c r="F46" s="63">
        <v>4.462802547770701</v>
      </c>
    </row>
    <row r="47" spans="2:8" x14ac:dyDescent="0.25">
      <c r="B47" s="56">
        <v>42</v>
      </c>
      <c r="C47" s="62" t="s">
        <v>322</v>
      </c>
      <c r="D47" s="58">
        <f>INDEX('データ'!$B$681:$J$730,42,MATCH($C$3,'データ'!$B$680:$J$680,0))</f>
        <v>391</v>
      </c>
      <c r="E47" s="59">
        <f>IF(SUM($D$6:$D$55)=0,0,D47/SUM($D$6:$D$55))</f>
        <v>0.000513122012803116</v>
      </c>
      <c r="F47" s="63">
        <v>1.312958226768969</v>
      </c>
    </row>
    <row r="48" spans="2:8" x14ac:dyDescent="0.25">
      <c r="B48" s="56">
        <v>43</v>
      </c>
      <c r="C48" s="62" t="s">
        <v>323</v>
      </c>
      <c r="D48" s="58">
        <f>INDEX('データ'!$B$681:$J$730,43,MATCH($C$3,'データ'!$B$680:$J$680,0))</f>
        <v>296</v>
      </c>
      <c r="E48" s="59">
        <f>IF(SUM($D$6:$D$55)=0,0,D48/SUM($D$6:$D$55))</f>
        <v>0.0003884504240146351</v>
      </c>
      <c r="F48" s="63">
        <v>4.2912558685446</v>
      </c>
    </row>
    <row r="49" spans="2:6" x14ac:dyDescent="0.25">
      <c r="B49" s="56">
        <v>44</v>
      </c>
      <c r="C49" s="62" t="s">
        <v>324</v>
      </c>
      <c r="D49" s="58">
        <f>INDEX('データ'!$B$681:$J$730,44,MATCH($C$3,'データ'!$B$680:$J$680,0))</f>
        <v>214</v>
      </c>
      <c r="E49" s="59">
        <f>IF(SUM($D$6:$D$55)=0,0,D49/SUM($D$6:$D$55))</f>
        <v>0.0002808391579024727</v>
      </c>
      <c r="F49" s="63">
        <v>10.77157809983897</v>
      </c>
    </row>
    <row r="50" spans="2:6" x14ac:dyDescent="0.25">
      <c r="B50" s="56">
        <v>45</v>
      </c>
      <c r="C50" s="62" t="s">
        <v>325</v>
      </c>
      <c r="D50" s="58">
        <f>INDEX('データ'!$B$681:$J$730,45,MATCH($C$3,'データ'!$B$680:$J$680,0))</f>
        <v>199</v>
      </c>
      <c r="E50" s="59">
        <f>IF(SUM($D$6:$D$55)=0,0,D50/SUM($D$6:$D$55))</f>
        <v>0.00026115417019902836</v>
      </c>
      <c r="F50" s="63">
        <v>2.94463986599665</v>
      </c>
    </row>
    <row r="51" spans="2:6" x14ac:dyDescent="0.25">
      <c r="B51" s="56">
        <v>46</v>
      </c>
      <c r="C51" s="62" t="s">
        <v>326</v>
      </c>
      <c r="D51" s="58">
        <f>INDEX('データ'!$B$681:$J$730,46,MATCH($C$3,'データ'!$B$680:$J$680,0))</f>
        <v>136</v>
      </c>
      <c r="E51" s="59">
        <f>IF(SUM($D$6:$D$55)=0,0,D51/SUM($D$6:$D$55))</f>
        <v>0.00017847722184456208</v>
      </c>
      <c r="F51" s="63">
        <v>5.496587926509187</v>
      </c>
    </row>
    <row r="52" spans="2:6" x14ac:dyDescent="0.25">
      <c r="B52" s="56">
        <v>47</v>
      </c>
      <c r="C52" s="62" t="s">
        <v>327</v>
      </c>
      <c r="D52" s="58">
        <f>INDEX('データ'!$B$681:$J$730,47,MATCH($C$3,'データ'!$B$680:$J$680,0))</f>
        <v>111</v>
      </c>
      <c r="E52" s="59">
        <f>IF(SUM($D$6:$D$55)=0,0,D52/SUM($D$6:$D$55))</f>
        <v>0.00014566890900548818</v>
      </c>
      <c r="F52" s="63">
        <v>2.722222222222222</v>
      </c>
    </row>
    <row r="53" spans="2:6" x14ac:dyDescent="0.25">
      <c r="B53" s="56">
        <v>48</v>
      </c>
      <c r="C53" s="62" t="s">
        <v>328</v>
      </c>
      <c r="D53" s="58">
        <f>INDEX('データ'!$B$681:$J$730,48,MATCH($C$3,'データ'!$B$680:$J$680,0))</f>
        <v>109</v>
      </c>
      <c r="E53" s="59">
        <f>IF(SUM($D$6:$D$55)=0,0,D53/SUM($D$6:$D$55))</f>
        <v>0.00014304424397836227</v>
      </c>
      <c r="F53" s="63">
        <v>5.277508090614886</v>
      </c>
    </row>
    <row r="54" spans="2:6" x14ac:dyDescent="0.25">
      <c r="B54" s="56">
        <v>49</v>
      </c>
      <c r="C54" s="62" t="s">
        <v>329</v>
      </c>
      <c r="D54" s="58">
        <f>INDEX('データ'!$B$681:$J$730,49,MATCH($C$3,'データ'!$B$680:$J$680,0))</f>
        <v>13</v>
      </c>
      <c r="E54" s="59">
        <f>IF(SUM($D$6:$D$55)=0,0,D54/SUM($D$6:$D$55))</f>
        <v>1.7060322676318434e-05</v>
      </c>
      <c r="F54" s="63">
        <v>53.8625</v>
      </c>
    </row>
    <row r="55" spans="2:6" x14ac:dyDescent="0.25">
      <c r="B55" s="56">
        <v>50</v>
      </c>
      <c r="C55" s="62" t="s">
        <v>330</v>
      </c>
      <c r="D55" s="58">
        <f>INDEX('データ'!$B$681:$J$730,50,MATCH($C$3,'データ'!$B$680:$J$680,0))</f>
        <v>1</v>
      </c>
      <c r="E55" s="59">
        <f>IF(SUM($D$6:$D$55)=0,0,D55/SUM($D$6:$D$55))</f>
        <v>1.3123325135629565e-06</v>
      </c>
      <c r="F55" s="63">
        <v>0</v>
      </c>
    </row>
  </sheetData>
  <mergeCells count="1">
    <mergeCell ref="B1:N1"/>
  </mergeCells>
  <conditionalFormatting sqref="D6:D55">
    <cfRule type="dataBar" priority="1">
      <dataBar>
        <cfvo type="min"/>
        <cfvo type="max"/>
        <color rgb="FF1FA7A8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F6:F55">
    <cfRule type="colorScale" priority="2">
      <colorScale>
        <cfvo type="min" val="0"/>
        <cfvo type="percentile" val="50"/>
        <cfvo type="max" val="0"/>
        <color rgb="FFE8F5E9"/>
        <color rgb="FFFFF3C4"/>
        <color rgb="FFF4A6A0"/>
      </colorScale>
    </cfRule>
  </conditionalFormatting>
  <dataValidations count="1">
    <dataValidation type="list" allowBlank="1" showInputMessage="1" showErrorMessage="1" sqref="C3">
      <formula1>'計算'!$A$130:$A$138</formula1>
    </dataValidation>
  </dataValidations>
  <pageMargins left="0.7" right="0.7" top="0.75" bottom="0.75" header="0.3" footer="0.3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1FA7A8"/>
              <x14:negativeFillColor rgb="FFFF0000"/>
              <x14:negativeBorderColor rgb="FFFF0000"/>
              <x14:axisColor rgb="FF000000"/>
            </x14:dataBar>
          </x14:cfRule>
          <xm:sqref>D6:D55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61"/>
  <sheetViews>
    <sheetView showGridLines="0" workbookViewId="0"/>
  </sheetViews>
  <sheetFormatPr defaultRowHeight="15"/>
  <cols>
    <col min="1" max="1" width="2.7109375" customWidth="1"/>
    <col min="2" max="6" width="14.7109375" customWidth="1"/>
    <col min="7" max="7" width="3.7109375" customWidth="1"/>
    <col min="8" max="8" width="40.7109375" customWidth="1"/>
    <col min="9" max="12" width="16.7109375" customWidth="1"/>
  </cols>
  <sheetData>
    <row r="1" spans="2:12" ht="38" customHeight="1">
      <c r="B1" s="14" t="s">
        <v>433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2:12">
      <c r="B3" s="7" t="s">
        <v>434</v>
      </c>
    </row>
    <row r="5" spans="2:12">
      <c r="B5" s="55" t="s">
        <v>435</v>
      </c>
      <c r="C5" s="55" t="s">
        <v>436</v>
      </c>
      <c r="D5" s="55" t="s">
        <v>437</v>
      </c>
      <c r="E5" s="55" t="s">
        <v>438</v>
      </c>
      <c r="F5" s="55" t="s">
        <v>439</v>
      </c>
      <c r="H5" s="3" t="s">
        <v>552</v>
      </c>
    </row>
    <row r="6" spans="2:12">
      <c r="B6" s="56" t="s">
        <v>440</v>
      </c>
      <c r="C6" s="56" t="s">
        <v>441</v>
      </c>
      <c r="D6" s="58">
        <v>0</v>
      </c>
      <c r="E6" s="58">
        <v>0</v>
      </c>
      <c r="F6" s="64">
        <f>E6-D6</f>
        <v>0</v>
      </c>
      <c r="H6" s="55" t="s">
        <v>418</v>
      </c>
      <c r="I6" s="55" t="s">
        <v>553</v>
      </c>
      <c r="J6" s="55" t="s">
        <v>438</v>
      </c>
      <c r="K6" s="55" t="s">
        <v>439</v>
      </c>
    </row>
    <row r="7" spans="2:12">
      <c r="B7" s="56" t="s">
        <v>442</v>
      </c>
      <c r="C7" s="56" t="s">
        <v>443</v>
      </c>
      <c r="D7" s="58">
        <v>0</v>
      </c>
      <c r="E7" s="58">
        <f>INDEX('データ'!D$7:D$123,MATCH("全区|全期間",'データ'!$A$7:$A$123,0))</f>
        <v>0</v>
      </c>
      <c r="F7" s="64">
        <f>E7-D7</f>
        <v>0</v>
      </c>
      <c r="H7" s="56" t="s">
        <v>421</v>
      </c>
      <c r="I7" s="58">
        <v>678389</v>
      </c>
      <c r="J7" s="58">
        <f>SUMPRODUCT(('データ'!$D$6:$BG$6&gt;=540)*('データ'!$D$6:$BG$6&lt;990)*INDEX('データ'!$D$7:$BG$123,MATCH("全区|全期間",'データ'!$A$7:$A$123,0),0))</f>
        <v>678389</v>
      </c>
      <c r="K7" s="64">
        <f>J7-I7</f>
        <v>0</v>
      </c>
    </row>
    <row r="8" spans="2:12">
      <c r="B8" s="56" t="s">
        <v>444</v>
      </c>
      <c r="C8" s="56" t="s">
        <v>445</v>
      </c>
      <c r="D8" s="58">
        <v>0</v>
      </c>
      <c r="E8" s="58">
        <f>INDEX('データ'!E$7:E$123,MATCH("全区|全期間",'データ'!$A$7:$A$123,0))</f>
        <v>0</v>
      </c>
      <c r="F8" s="64">
        <f>E8-D8</f>
        <v>0</v>
      </c>
      <c r="H8" s="56" t="s">
        <v>422</v>
      </c>
      <c r="I8" s="58">
        <v>694816</v>
      </c>
      <c r="J8" s="58">
        <f>SUMPRODUCT(('データ'!$D$6:$BG$6&gt;=525)*('データ'!$D$6:$BG$6&lt;990)*INDEX('データ'!$D$7:$BG$123,MATCH("全区|全期間",'データ'!$A$7:$A$123,0),0))</f>
        <v>694816</v>
      </c>
      <c r="K8" s="64">
        <f>J8-I8</f>
        <v>0</v>
      </c>
    </row>
    <row r="9" spans="2:12">
      <c r="B9" s="56" t="s">
        <v>446</v>
      </c>
      <c r="C9" s="56" t="s">
        <v>447</v>
      </c>
      <c r="D9" s="58">
        <v>3</v>
      </c>
      <c r="E9" s="58">
        <f>INDEX('データ'!F$7:F$123,MATCH("全区|全期間",'データ'!$A$7:$A$123,0))</f>
        <v>3</v>
      </c>
      <c r="F9" s="64">
        <f>E9-D9</f>
        <v>0</v>
      </c>
      <c r="H9" s="56" t="s">
        <v>423</v>
      </c>
      <c r="I9" s="58">
        <v>750170</v>
      </c>
      <c r="J9" s="58">
        <f>SUMPRODUCT(('データ'!$D$6:$BG$6&gt;=510)*('データ'!$D$6:$BG$6&lt;1035)*INDEX('データ'!$D$7:$BG$123,MATCH("全区|全期間",'データ'!$A$7:$A$123,0),0))</f>
        <v>750170</v>
      </c>
      <c r="K9" s="64">
        <f>J9-I9</f>
        <v>0</v>
      </c>
    </row>
    <row r="10" spans="2:12">
      <c r="B10" s="56" t="s">
        <v>448</v>
      </c>
      <c r="C10" s="56" t="s">
        <v>449</v>
      </c>
      <c r="D10" s="58">
        <v>183</v>
      </c>
      <c r="E10" s="58">
        <f>INDEX('データ'!G$7:G$123,MATCH("全区|全期間",'データ'!$A$7:$A$123,0))</f>
        <v>183</v>
      </c>
      <c r="F10" s="64">
        <f>E10-D10</f>
        <v>0</v>
      </c>
    </row>
    <row r="11" spans="2:12">
      <c r="B11" s="56" t="s">
        <v>450</v>
      </c>
      <c r="C11" s="56" t="s">
        <v>451</v>
      </c>
      <c r="D11" s="58">
        <v>1610</v>
      </c>
      <c r="E11" s="58">
        <f>INDEX('データ'!H$7:H$123,MATCH("全区|全期間",'データ'!$A$7:$A$123,0))</f>
        <v>1610</v>
      </c>
      <c r="F11" s="64">
        <f>E11-D11</f>
        <v>0</v>
      </c>
      <c r="H11" s="12" t="s">
        <v>554</v>
      </c>
      <c r="I11" s="58">
        <v>781263</v>
      </c>
      <c r="J11" s="19" t="s">
        <v>555</v>
      </c>
    </row>
    <row r="12" spans="2:12">
      <c r="B12" s="56" t="s">
        <v>452</v>
      </c>
      <c r="C12" s="56" t="s">
        <v>453</v>
      </c>
      <c r="D12" s="58">
        <v>6985</v>
      </c>
      <c r="E12" s="58">
        <f>INDEX('データ'!I$7:I$123,MATCH("全区|全期間",'データ'!$A$7:$A$123,0))</f>
        <v>6985</v>
      </c>
      <c r="F12" s="64">
        <f>E12-D12</f>
        <v>0</v>
      </c>
    </row>
    <row r="13" spans="2:12">
      <c r="B13" s="56" t="s">
        <v>454</v>
      </c>
      <c r="C13" s="56" t="s">
        <v>455</v>
      </c>
      <c r="D13" s="58">
        <v>15366</v>
      </c>
      <c r="E13" s="58">
        <f>INDEX('データ'!J$7:J$123,MATCH("全区|全期間",'データ'!$A$7:$A$123,0))</f>
        <v>15366</v>
      </c>
      <c r="F13" s="64">
        <f>E13-D13</f>
        <v>0</v>
      </c>
      <c r="H13" s="13" t="s">
        <v>556</v>
      </c>
      <c r="I13" s="13"/>
      <c r="J13" s="13"/>
      <c r="K13" s="13"/>
      <c r="L13" s="13"/>
    </row>
    <row r="14" spans="2:12">
      <c r="B14" s="56" t="s">
        <v>456</v>
      </c>
      <c r="C14" s="56" t="s">
        <v>457</v>
      </c>
      <c r="D14" s="58">
        <v>16427</v>
      </c>
      <c r="E14" s="58">
        <f>INDEX('データ'!K$7:K$123,MATCH("全区|全期間",'データ'!$A$7:$A$123,0))</f>
        <v>16427</v>
      </c>
      <c r="F14" s="64">
        <f>E14-D14</f>
        <v>0</v>
      </c>
      <c r="H14" s="13"/>
      <c r="I14" s="13"/>
      <c r="J14" s="13"/>
      <c r="K14" s="13"/>
      <c r="L14" s="13"/>
    </row>
    <row r="15" spans="2:12">
      <c r="B15" s="56" t="s">
        <v>458</v>
      </c>
      <c r="C15" s="56" t="s">
        <v>459</v>
      </c>
      <c r="D15" s="58">
        <v>18795</v>
      </c>
      <c r="E15" s="58">
        <f>INDEX('データ'!L$7:L$123,MATCH("全区|全期間",'データ'!$A$7:$A$123,0))</f>
        <v>18795</v>
      </c>
      <c r="F15" s="64">
        <f>E15-D15</f>
        <v>0</v>
      </c>
      <c r="H15" s="13"/>
      <c r="I15" s="13"/>
      <c r="J15" s="13"/>
      <c r="K15" s="13"/>
      <c r="L15" s="13"/>
    </row>
    <row r="16" spans="2:12">
      <c r="B16" s="56" t="s">
        <v>460</v>
      </c>
      <c r="C16" s="56" t="s">
        <v>461</v>
      </c>
      <c r="D16" s="58">
        <v>21042</v>
      </c>
      <c r="E16" s="58">
        <f>INDEX('データ'!M$7:M$123,MATCH("全区|全期間",'データ'!$A$7:$A$123,0))</f>
        <v>21042</v>
      </c>
      <c r="F16" s="64">
        <f>E16-D16</f>
        <v>0</v>
      </c>
      <c r="H16" s="13"/>
      <c r="I16" s="13"/>
      <c r="J16" s="13"/>
      <c r="K16" s="13"/>
      <c r="L16" s="13"/>
    </row>
    <row r="17" spans="2:12">
      <c r="B17" s="56" t="s">
        <v>462</v>
      </c>
      <c r="C17" s="56" t="s">
        <v>463</v>
      </c>
      <c r="D17" s="58">
        <v>22530</v>
      </c>
      <c r="E17" s="58">
        <f>INDEX('データ'!N$7:N$123,MATCH("全区|全期間",'データ'!$A$7:$A$123,0))</f>
        <v>22530</v>
      </c>
      <c r="F17" s="64">
        <f>E17-D17</f>
        <v>0</v>
      </c>
      <c r="H17" s="13"/>
      <c r="I17" s="13"/>
      <c r="J17" s="13"/>
      <c r="K17" s="13"/>
      <c r="L17" s="13"/>
    </row>
    <row r="18" spans="2:12">
      <c r="B18" s="56" t="s">
        <v>464</v>
      </c>
      <c r="C18" s="56" t="s">
        <v>465</v>
      </c>
      <c r="D18" s="58">
        <v>23911</v>
      </c>
      <c r="E18" s="58">
        <f>INDEX('データ'!O$7:O$123,MATCH("全区|全期間",'データ'!$A$7:$A$123,0))</f>
        <v>23911</v>
      </c>
      <c r="F18" s="64">
        <f>E18-D18</f>
        <v>0</v>
      </c>
      <c r="H18" s="13"/>
      <c r="I18" s="13"/>
      <c r="J18" s="13"/>
      <c r="K18" s="13"/>
      <c r="L18" s="13"/>
    </row>
    <row r="19" spans="2:12">
      <c r="B19" s="56" t="s">
        <v>466</v>
      </c>
      <c r="C19" s="56" t="s">
        <v>467</v>
      </c>
      <c r="D19" s="58">
        <v>25200</v>
      </c>
      <c r="E19" s="58">
        <f>INDEX('データ'!P$7:P$123,MATCH("全区|全期間",'データ'!$A$7:$A$123,0))</f>
        <v>25200</v>
      </c>
      <c r="F19" s="64">
        <f>E19-D19</f>
        <v>0</v>
      </c>
    </row>
    <row r="20" spans="2:12">
      <c r="B20" s="56" t="s">
        <v>468</v>
      </c>
      <c r="C20" s="56" t="s">
        <v>469</v>
      </c>
      <c r="D20" s="58">
        <v>26206</v>
      </c>
      <c r="E20" s="58">
        <f>INDEX('データ'!Q$7:Q$123,MATCH("全区|全期間",'データ'!$A$7:$A$123,0))</f>
        <v>26206</v>
      </c>
      <c r="F20" s="64">
        <f>E20-D20</f>
        <v>0</v>
      </c>
    </row>
    <row r="21" spans="2:12">
      <c r="B21" s="56" t="s">
        <v>470</v>
      </c>
      <c r="C21" s="56" t="s">
        <v>471</v>
      </c>
      <c r="D21" s="58">
        <v>26217</v>
      </c>
      <c r="E21" s="58">
        <f>INDEX('データ'!R$7:R$123,MATCH("全区|全期間",'データ'!$A$7:$A$123,0))</f>
        <v>26217</v>
      </c>
      <c r="F21" s="64">
        <f>E21-D21</f>
        <v>0</v>
      </c>
    </row>
    <row r="22" spans="2:12">
      <c r="B22" s="56" t="s">
        <v>472</v>
      </c>
      <c r="C22" s="56" t="s">
        <v>473</v>
      </c>
      <c r="D22" s="58">
        <v>26186</v>
      </c>
      <c r="E22" s="58">
        <f>INDEX('データ'!S$7:S$123,MATCH("全区|全期間",'データ'!$A$7:$A$123,0))</f>
        <v>26186</v>
      </c>
      <c r="F22" s="64">
        <f>E22-D22</f>
        <v>0</v>
      </c>
    </row>
    <row r="23" spans="2:12">
      <c r="B23" s="56" t="s">
        <v>474</v>
      </c>
      <c r="C23" s="56" t="s">
        <v>475</v>
      </c>
      <c r="D23" s="58">
        <v>25985</v>
      </c>
      <c r="E23" s="58">
        <f>INDEX('データ'!T$7:T$123,MATCH("全区|全期間",'データ'!$A$7:$A$123,0))</f>
        <v>25985</v>
      </c>
      <c r="F23" s="64">
        <f>E23-D23</f>
        <v>0</v>
      </c>
    </row>
    <row r="24" spans="2:12">
      <c r="B24" s="56" t="s">
        <v>476</v>
      </c>
      <c r="C24" s="56" t="s">
        <v>477</v>
      </c>
      <c r="D24" s="58">
        <v>24778</v>
      </c>
      <c r="E24" s="58">
        <f>INDEX('データ'!U$7:U$123,MATCH("全区|全期間",'データ'!$A$7:$A$123,0))</f>
        <v>24776</v>
      </c>
      <c r="F24" s="64">
        <f>E24-D24</f>
        <v>-2</v>
      </c>
    </row>
    <row r="25" spans="2:12">
      <c r="B25" s="56" t="s">
        <v>478</v>
      </c>
      <c r="C25" s="56" t="s">
        <v>479</v>
      </c>
      <c r="D25" s="58">
        <v>23366</v>
      </c>
      <c r="E25" s="58">
        <f>INDEX('データ'!V$7:V$123,MATCH("全区|全期間",'データ'!$A$7:$A$123,0))</f>
        <v>23366</v>
      </c>
      <c r="F25" s="64">
        <f>E25-D25</f>
        <v>0</v>
      </c>
    </row>
    <row r="26" spans="2:12">
      <c r="B26" s="56" t="s">
        <v>480</v>
      </c>
      <c r="C26" s="56" t="s">
        <v>481</v>
      </c>
      <c r="D26" s="58">
        <v>21302</v>
      </c>
      <c r="E26" s="58">
        <f>INDEX('データ'!W$7:W$123,MATCH("全区|全期間",'データ'!$A$7:$A$123,0))</f>
        <v>21302</v>
      </c>
      <c r="F26" s="64">
        <f>E26-D26</f>
        <v>0</v>
      </c>
    </row>
    <row r="27" spans="2:12">
      <c r="B27" s="56" t="s">
        <v>482</v>
      </c>
      <c r="C27" s="56" t="s">
        <v>483</v>
      </c>
      <c r="D27" s="58">
        <v>20028</v>
      </c>
      <c r="E27" s="58">
        <f>INDEX('データ'!X$7:X$123,MATCH("全区|全期間",'データ'!$A$7:$A$123,0))</f>
        <v>20028</v>
      </c>
      <c r="F27" s="64">
        <f>E27-D27</f>
        <v>0</v>
      </c>
    </row>
    <row r="28" spans="2:12">
      <c r="B28" s="56" t="s">
        <v>484</v>
      </c>
      <c r="C28" s="56" t="s">
        <v>485</v>
      </c>
      <c r="D28" s="58">
        <v>19497</v>
      </c>
      <c r="E28" s="58">
        <f>INDEX('データ'!Y$7:Y$123,MATCH("全区|全期間",'データ'!$A$7:$A$123,0))</f>
        <v>19497</v>
      </c>
      <c r="F28" s="64">
        <f>E28-D28</f>
        <v>0</v>
      </c>
    </row>
    <row r="29" spans="2:12">
      <c r="B29" s="56" t="s">
        <v>486</v>
      </c>
      <c r="C29" s="56" t="s">
        <v>487</v>
      </c>
      <c r="D29" s="58">
        <v>19397</v>
      </c>
      <c r="E29" s="58">
        <f>INDEX('データ'!Z$7:Z$123,MATCH("全区|全期間",'データ'!$A$7:$A$123,0))</f>
        <v>19397</v>
      </c>
      <c r="F29" s="64">
        <f>E29-D29</f>
        <v>0</v>
      </c>
    </row>
    <row r="30" spans="2:12">
      <c r="B30" s="56" t="s">
        <v>488</v>
      </c>
      <c r="C30" s="56" t="s">
        <v>489</v>
      </c>
      <c r="D30" s="58">
        <v>19438</v>
      </c>
      <c r="E30" s="58">
        <f>INDEX('データ'!AA$7:AA$123,MATCH("全区|全期間",'データ'!$A$7:$A$123,0))</f>
        <v>19438</v>
      </c>
      <c r="F30" s="64">
        <f>E30-D30</f>
        <v>0</v>
      </c>
    </row>
    <row r="31" spans="2:12">
      <c r="B31" s="56" t="s">
        <v>490</v>
      </c>
      <c r="C31" s="56" t="s">
        <v>491</v>
      </c>
      <c r="D31" s="58">
        <v>20947</v>
      </c>
      <c r="E31" s="58">
        <f>INDEX('データ'!AB$7:AB$123,MATCH("全区|全期間",'データ'!$A$7:$A$123,0))</f>
        <v>20947</v>
      </c>
      <c r="F31" s="64">
        <f>E31-D31</f>
        <v>0</v>
      </c>
    </row>
    <row r="32" spans="2:12">
      <c r="B32" s="56" t="s">
        <v>492</v>
      </c>
      <c r="C32" s="56" t="s">
        <v>493</v>
      </c>
      <c r="D32" s="58">
        <v>22841</v>
      </c>
      <c r="E32" s="58">
        <f>INDEX('データ'!AC$7:AC$123,MATCH("全区|全期間",'データ'!$A$7:$A$123,0))</f>
        <v>22841</v>
      </c>
      <c r="F32" s="64">
        <f>E32-D32</f>
        <v>0</v>
      </c>
    </row>
    <row r="33" spans="2:6">
      <c r="B33" s="56" t="s">
        <v>494</v>
      </c>
      <c r="C33" s="56" t="s">
        <v>495</v>
      </c>
      <c r="D33" s="58">
        <v>23475</v>
      </c>
      <c r="E33" s="58">
        <f>INDEX('データ'!AD$7:AD$123,MATCH("全区|全期間",'データ'!$A$7:$A$123,0))</f>
        <v>23475</v>
      </c>
      <c r="F33" s="64">
        <f>E33-D33</f>
        <v>0</v>
      </c>
    </row>
    <row r="34" spans="2:6">
      <c r="B34" s="56" t="s">
        <v>496</v>
      </c>
      <c r="C34" s="56" t="s">
        <v>497</v>
      </c>
      <c r="D34" s="58">
        <v>24330</v>
      </c>
      <c r="E34" s="58">
        <f>INDEX('データ'!AE$7:AE$123,MATCH("全区|全期間",'データ'!$A$7:$A$123,0))</f>
        <v>24330</v>
      </c>
      <c r="F34" s="64">
        <f>E34-D34</f>
        <v>0</v>
      </c>
    </row>
    <row r="35" spans="2:6">
      <c r="B35" s="56" t="s">
        <v>498</v>
      </c>
      <c r="C35" s="56" t="s">
        <v>499</v>
      </c>
      <c r="D35" s="58">
        <v>24146</v>
      </c>
      <c r="E35" s="58">
        <f>INDEX('データ'!AF$7:AF$123,MATCH("全区|全期間",'データ'!$A$7:$A$123,0))</f>
        <v>24146</v>
      </c>
      <c r="F35" s="64">
        <f>E35-D35</f>
        <v>0</v>
      </c>
    </row>
    <row r="36" spans="2:6">
      <c r="B36" s="56" t="s">
        <v>500</v>
      </c>
      <c r="C36" s="56" t="s">
        <v>501</v>
      </c>
      <c r="D36" s="58">
        <v>24119</v>
      </c>
      <c r="E36" s="58">
        <f>INDEX('データ'!AG$7:AG$123,MATCH("全区|全期間",'データ'!$A$7:$A$123,0))</f>
        <v>24119</v>
      </c>
      <c r="F36" s="64">
        <f>E36-D36</f>
        <v>0</v>
      </c>
    </row>
    <row r="37" spans="2:6">
      <c r="B37" s="56" t="s">
        <v>502</v>
      </c>
      <c r="C37" s="56" t="s">
        <v>503</v>
      </c>
      <c r="D37" s="58">
        <v>23771</v>
      </c>
      <c r="E37" s="58">
        <f>INDEX('データ'!AH$7:AH$123,MATCH("全区|全期間",'データ'!$A$7:$A$123,0))</f>
        <v>23771</v>
      </c>
      <c r="F37" s="64">
        <f>E37-D37</f>
        <v>0</v>
      </c>
    </row>
    <row r="38" spans="2:6">
      <c r="B38" s="56" t="s">
        <v>504</v>
      </c>
      <c r="C38" s="56" t="s">
        <v>505</v>
      </c>
      <c r="D38" s="58">
        <v>22927</v>
      </c>
      <c r="E38" s="58">
        <f>INDEX('データ'!AI$7:AI$123,MATCH("全区|全期間",'データ'!$A$7:$A$123,0))</f>
        <v>22927</v>
      </c>
      <c r="F38" s="64">
        <f>E38-D38</f>
        <v>0</v>
      </c>
    </row>
    <row r="39" spans="2:6">
      <c r="B39" s="56" t="s">
        <v>506</v>
      </c>
      <c r="C39" s="56" t="s">
        <v>507</v>
      </c>
      <c r="D39" s="58">
        <v>22391</v>
      </c>
      <c r="E39" s="58">
        <f>INDEX('データ'!AJ$7:AJ$123,MATCH("全区|全期間",'データ'!$A$7:$A$123,0))</f>
        <v>22391</v>
      </c>
      <c r="F39" s="64">
        <f>E39-D39</f>
        <v>0</v>
      </c>
    </row>
    <row r="40" spans="2:6">
      <c r="B40" s="56" t="s">
        <v>508</v>
      </c>
      <c r="C40" s="56" t="s">
        <v>509</v>
      </c>
      <c r="D40" s="58">
        <v>21913</v>
      </c>
      <c r="E40" s="58">
        <f>INDEX('データ'!AK$7:AK$123,MATCH("全区|全期間",'データ'!$A$7:$A$123,0))</f>
        <v>21913</v>
      </c>
      <c r="F40" s="64">
        <f>E40-D40</f>
        <v>0</v>
      </c>
    </row>
    <row r="41" spans="2:6">
      <c r="B41" s="56" t="s">
        <v>510</v>
      </c>
      <c r="C41" s="56" t="s">
        <v>511</v>
      </c>
      <c r="D41" s="58">
        <v>21830</v>
      </c>
      <c r="E41" s="58">
        <f>INDEX('データ'!AL$7:AL$123,MATCH("全区|全期間",'データ'!$A$7:$A$123,0))</f>
        <v>21830</v>
      </c>
      <c r="F41" s="64">
        <f>E41-D41</f>
        <v>0</v>
      </c>
    </row>
    <row r="42" spans="2:6">
      <c r="B42" s="56" t="s">
        <v>512</v>
      </c>
      <c r="C42" s="56" t="s">
        <v>513</v>
      </c>
      <c r="D42" s="58">
        <v>20933</v>
      </c>
      <c r="E42" s="58">
        <f>INDEX('データ'!AM$7:AM$123,MATCH("全区|全期間",'データ'!$A$7:$A$123,0))</f>
        <v>20933</v>
      </c>
      <c r="F42" s="64">
        <f>E42-D42</f>
        <v>0</v>
      </c>
    </row>
    <row r="43" spans="2:6">
      <c r="B43" s="56" t="s">
        <v>514</v>
      </c>
      <c r="C43" s="56" t="s">
        <v>515</v>
      </c>
      <c r="D43" s="58">
        <v>20714</v>
      </c>
      <c r="E43" s="58">
        <f>INDEX('データ'!AN$7:AN$123,MATCH("全区|全期間",'データ'!$A$7:$A$123,0))</f>
        <v>20714</v>
      </c>
      <c r="F43" s="64">
        <f>E43-D43</f>
        <v>0</v>
      </c>
    </row>
    <row r="44" spans="2:6">
      <c r="B44" s="56" t="s">
        <v>516</v>
      </c>
      <c r="C44" s="56" t="s">
        <v>517</v>
      </c>
      <c r="D44" s="58">
        <v>20176</v>
      </c>
      <c r="E44" s="58">
        <f>INDEX('データ'!AO$7:AO$123,MATCH("全区|全期間",'データ'!$A$7:$A$123,0))</f>
        <v>20176</v>
      </c>
      <c r="F44" s="64">
        <f>E44-D44</f>
        <v>0</v>
      </c>
    </row>
    <row r="45" spans="2:6">
      <c r="B45" s="56" t="s">
        <v>518</v>
      </c>
      <c r="C45" s="56" t="s">
        <v>519</v>
      </c>
      <c r="D45" s="58">
        <v>18403</v>
      </c>
      <c r="E45" s="58">
        <f>INDEX('データ'!AP$7:AP$123,MATCH("全区|全期間",'データ'!$A$7:$A$123,0))</f>
        <v>18403</v>
      </c>
      <c r="F45" s="64">
        <f>E45-D45</f>
        <v>0</v>
      </c>
    </row>
    <row r="46" spans="2:6">
      <c r="B46" s="56" t="s">
        <v>520</v>
      </c>
      <c r="C46" s="56" t="s">
        <v>521</v>
      </c>
      <c r="D46" s="58">
        <v>14050</v>
      </c>
      <c r="E46" s="58">
        <f>INDEX('データ'!AQ$7:AQ$123,MATCH("全区|全期間",'データ'!$A$7:$A$123,0))</f>
        <v>14050</v>
      </c>
      <c r="F46" s="64">
        <f>E46-D46</f>
        <v>0</v>
      </c>
    </row>
    <row r="47" spans="2:6">
      <c r="B47" s="56" t="s">
        <v>522</v>
      </c>
      <c r="C47" s="56" t="s">
        <v>523</v>
      </c>
      <c r="D47" s="58">
        <v>7535</v>
      </c>
      <c r="E47" s="58">
        <f>INDEX('データ'!AR$7:AR$123,MATCH("全区|全期間",'データ'!$A$7:$A$123,0))</f>
        <v>7535</v>
      </c>
      <c r="F47" s="64">
        <f>E47-D47</f>
        <v>0</v>
      </c>
    </row>
    <row r="48" spans="2:6">
      <c r="B48" s="56" t="s">
        <v>524</v>
      </c>
      <c r="C48" s="56" t="s">
        <v>525</v>
      </c>
      <c r="D48" s="58">
        <v>1794</v>
      </c>
      <c r="E48" s="58">
        <f>INDEX('データ'!AS$7:AS$123,MATCH("全区|全期間",'データ'!$A$7:$A$123,0))</f>
        <v>1794</v>
      </c>
      <c r="F48" s="64">
        <f>E48-D48</f>
        <v>0</v>
      </c>
    </row>
    <row r="49" spans="2:6">
      <c r="B49" s="56" t="s">
        <v>526</v>
      </c>
      <c r="C49" s="56" t="s">
        <v>527</v>
      </c>
      <c r="D49" s="58">
        <v>432</v>
      </c>
      <c r="E49" s="58">
        <f>INDEX('データ'!AT$7:AT$123,MATCH("全区|全期間",'データ'!$A$7:$A$123,0))</f>
        <v>432</v>
      </c>
      <c r="F49" s="64">
        <f>E49-D49</f>
        <v>0</v>
      </c>
    </row>
    <row r="50" spans="2:6">
      <c r="B50" s="56" t="s">
        <v>528</v>
      </c>
      <c r="C50" s="56" t="s">
        <v>529</v>
      </c>
      <c r="D50" s="58">
        <v>209</v>
      </c>
      <c r="E50" s="58">
        <f>INDEX('データ'!AU$7:AU$123,MATCH("全区|全期間",'データ'!$A$7:$A$123,0))</f>
        <v>209</v>
      </c>
      <c r="F50" s="64">
        <f>E50-D50</f>
        <v>0</v>
      </c>
    </row>
    <row r="51" spans="2:6">
      <c r="B51" s="56" t="s">
        <v>530</v>
      </c>
      <c r="C51" s="56" t="s">
        <v>531</v>
      </c>
      <c r="D51" s="58">
        <v>135</v>
      </c>
      <c r="E51" s="58">
        <f>INDEX('データ'!AV$7:AV$123,MATCH("全区|全期間",'データ'!$A$7:$A$123,0))</f>
        <v>135</v>
      </c>
      <c r="F51" s="64">
        <f>E51-D51</f>
        <v>0</v>
      </c>
    </row>
    <row r="52" spans="2:6">
      <c r="B52" s="56" t="s">
        <v>532</v>
      </c>
      <c r="C52" s="56" t="s">
        <v>533</v>
      </c>
      <c r="D52" s="58">
        <v>139</v>
      </c>
      <c r="E52" s="58">
        <f>INDEX('データ'!AW$7:AW$123,MATCH("全区|全期間",'データ'!$A$7:$A$123,0))</f>
        <v>139</v>
      </c>
      <c r="F52" s="64">
        <f>E52-D52</f>
        <v>0</v>
      </c>
    </row>
    <row r="53" spans="2:6">
      <c r="B53" s="56" t="s">
        <v>534</v>
      </c>
      <c r="C53" s="56" t="s">
        <v>535</v>
      </c>
      <c r="D53" s="58">
        <v>124</v>
      </c>
      <c r="E53" s="58">
        <f>INDEX('データ'!AX$7:AX$123,MATCH("全区|全期間",'データ'!$A$7:$A$123,0))</f>
        <v>124</v>
      </c>
      <c r="F53" s="64">
        <f>E53-D53</f>
        <v>0</v>
      </c>
    </row>
    <row r="54" spans="2:6">
      <c r="B54" s="56" t="s">
        <v>536</v>
      </c>
      <c r="C54" s="56" t="s">
        <v>537</v>
      </c>
      <c r="D54" s="58">
        <v>79</v>
      </c>
      <c r="E54" s="58">
        <f>INDEX('データ'!AY$7:AY$123,MATCH("全区|全期間",'データ'!$A$7:$A$123,0))</f>
        <v>79</v>
      </c>
      <c r="F54" s="64">
        <f>E54-D54</f>
        <v>0</v>
      </c>
    </row>
    <row r="55" spans="2:6">
      <c r="B55" s="56" t="s">
        <v>538</v>
      </c>
      <c r="C55" s="56" t="s">
        <v>539</v>
      </c>
      <c r="D55" s="58">
        <v>77</v>
      </c>
      <c r="E55" s="58">
        <f>INDEX('データ'!AZ$7:AZ$123,MATCH("全区|全期間",'データ'!$A$7:$A$123,0))</f>
        <v>77</v>
      </c>
      <c r="F55" s="64">
        <f>E55-D55</f>
        <v>0</v>
      </c>
    </row>
    <row r="56" spans="2:6">
      <c r="B56" s="56" t="s">
        <v>540</v>
      </c>
      <c r="C56" s="56" t="s">
        <v>541</v>
      </c>
      <c r="D56" s="58">
        <v>40</v>
      </c>
      <c r="E56" s="58">
        <f>INDEX('データ'!BA$7:BA$123,MATCH("全区|全期間",'データ'!$A$7:$A$123,0))</f>
        <v>40</v>
      </c>
      <c r="F56" s="64">
        <f>E56-D56</f>
        <v>0</v>
      </c>
    </row>
    <row r="57" spans="2:6">
      <c r="B57" s="56" t="s">
        <v>542</v>
      </c>
      <c r="C57" s="56" t="s">
        <v>543</v>
      </c>
      <c r="D57" s="58">
        <v>14</v>
      </c>
      <c r="E57" s="58">
        <f>INDEX('データ'!BB$7:BB$123,MATCH("全区|全期間",'データ'!$A$7:$A$123,0))</f>
        <v>14</v>
      </c>
      <c r="F57" s="64">
        <f>E57-D57</f>
        <v>0</v>
      </c>
    </row>
    <row r="58" spans="2:6">
      <c r="B58" s="56" t="s">
        <v>544</v>
      </c>
      <c r="C58" s="56" t="s">
        <v>545</v>
      </c>
      <c r="D58" s="58">
        <v>5</v>
      </c>
      <c r="E58" s="58">
        <f>INDEX('データ'!BC$7:BC$123,MATCH("全区|全期間",'データ'!$A$7:$A$123,0))</f>
        <v>5</v>
      </c>
      <c r="F58" s="64">
        <f>E58-D58</f>
        <v>0</v>
      </c>
    </row>
    <row r="59" spans="2:6">
      <c r="B59" s="56" t="s">
        <v>546</v>
      </c>
      <c r="C59" s="56" t="s">
        <v>547</v>
      </c>
      <c r="D59" s="58">
        <v>3</v>
      </c>
      <c r="E59" s="58">
        <f>INDEX('データ'!BD$7:BD$123,MATCH("全区|全期間",'データ'!$A$7:$A$123,0))</f>
        <v>3</v>
      </c>
      <c r="F59" s="64">
        <f>E59-D59</f>
        <v>0</v>
      </c>
    </row>
    <row r="60" spans="2:6">
      <c r="B60" s="56" t="s">
        <v>548</v>
      </c>
      <c r="C60" s="56" t="s">
        <v>549</v>
      </c>
      <c r="D60" s="58">
        <v>0</v>
      </c>
      <c r="E60" s="58">
        <f>INDEX('データ'!BE$7:BE$123,MATCH("全区|全期間",'データ'!$A$7:$A$123,0))</f>
        <v>0</v>
      </c>
      <c r="F60" s="64">
        <f>E60-D60</f>
        <v>0</v>
      </c>
    </row>
    <row r="61" spans="2:6">
      <c r="B61" s="56" t="s">
        <v>550</v>
      </c>
      <c r="C61" s="56" t="s">
        <v>551</v>
      </c>
      <c r="D61" s="58">
        <v>0</v>
      </c>
      <c r="E61" s="58">
        <f>INDEX('データ'!BF$7:BF$123,MATCH("全区|全期間",'データ'!$A$7:$A$123,0))</f>
        <v>0</v>
      </c>
      <c r="F61" s="64">
        <f>E61-D61</f>
        <v>0</v>
      </c>
    </row>
  </sheetData>
  <mergeCells count="2">
    <mergeCell ref="B1:L1"/>
    <mergeCell ref="H13:L18"/>
  </mergeCells>
  <conditionalFormatting sqref="F6:F61">
    <cfRule type="cellIs" dxfId="1" priority="1" operator="equal">
      <formula>0</formula>
    </cfRule>
    <cfRule type="cellIs" dxfId="2" priority="2" operator="notEqual">
      <formula>0</formula>
    </cfRule>
  </conditionalFormatting>
  <pageMargins left="0.7" right="0.7" top="0.75" bottom="0.75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AA7B8"/>
  </sheetPr>
  <dimension ref="A1:BH730"/>
  <sheetViews>
    <sheetView showGridLines="0" workbookViewId="0">
      <pane xSplit="1" topLeftCell="B1" activePane="topRight" state="frozen"/>
      <selection pane="topRight"/>
    </sheetView>
  </sheetViews>
  <sheetFormatPr defaultRowHeight="15"/>
  <cols>
    <col min="1" max="1" width="16.7109375" customWidth="1"/>
    <col min="2" max="3" width="9.7109375" customWidth="1"/>
    <col min="4" max="59" width="7.28515625" customWidth="1"/>
    <col min="60" max="60" width="9.7109375" customWidth="1"/>
  </cols>
  <sheetData>
    <row r="1" spans="1:60">
      <c r="A1" s="3" t="s">
        <v>0</v>
      </c>
    </row>
    <row r="2" spans="1:60">
      <c r="A2" s="65" t="s">
        <v>1</v>
      </c>
    </row>
    <row r="4" spans="1:60">
      <c r="A4" s="12" t="s">
        <v>2</v>
      </c>
    </row>
    <row r="5" spans="1:60">
      <c r="A5" s="55" t="s">
        <v>3</v>
      </c>
      <c r="B5" s="55" t="s">
        <v>4</v>
      </c>
      <c r="C5" s="55" t="s">
        <v>5</v>
      </c>
      <c r="D5" s="55" t="s">
        <v>6</v>
      </c>
      <c r="E5" s="55" t="s">
        <v>7</v>
      </c>
      <c r="F5" s="55" t="s">
        <v>8</v>
      </c>
      <c r="G5" s="55" t="s">
        <v>9</v>
      </c>
      <c r="H5" s="55" t="s">
        <v>10</v>
      </c>
      <c r="I5" s="55" t="s">
        <v>11</v>
      </c>
      <c r="J5" s="55" t="s">
        <v>12</v>
      </c>
      <c r="K5" s="55" t="s">
        <v>13</v>
      </c>
      <c r="L5" s="55" t="s">
        <v>14</v>
      </c>
      <c r="M5" s="55" t="s">
        <v>15</v>
      </c>
      <c r="N5" s="55" t="s">
        <v>16</v>
      </c>
      <c r="O5" s="55" t="s">
        <v>17</v>
      </c>
      <c r="P5" s="55" t="s">
        <v>18</v>
      </c>
      <c r="Q5" s="55" t="s">
        <v>19</v>
      </c>
      <c r="R5" s="55" t="s">
        <v>20</v>
      </c>
      <c r="S5" s="55" t="s">
        <v>21</v>
      </c>
      <c r="T5" s="55" t="s">
        <v>22</v>
      </c>
      <c r="U5" s="55" t="s">
        <v>23</v>
      </c>
      <c r="V5" s="55" t="s">
        <v>24</v>
      </c>
      <c r="W5" s="55" t="s">
        <v>25</v>
      </c>
      <c r="X5" s="55" t="s">
        <v>26</v>
      </c>
      <c r="Y5" s="55" t="s">
        <v>27</v>
      </c>
      <c r="Z5" s="55" t="s">
        <v>28</v>
      </c>
      <c r="AA5" s="55" t="s">
        <v>29</v>
      </c>
      <c r="AB5" s="55" t="s">
        <v>30</v>
      </c>
      <c r="AC5" s="55" t="s">
        <v>31</v>
      </c>
      <c r="AD5" s="55" t="s">
        <v>32</v>
      </c>
      <c r="AE5" s="55" t="s">
        <v>33</v>
      </c>
      <c r="AF5" s="55" t="s">
        <v>34</v>
      </c>
      <c r="AG5" s="55" t="s">
        <v>35</v>
      </c>
      <c r="AH5" s="55" t="s">
        <v>36</v>
      </c>
      <c r="AI5" s="55" t="s">
        <v>37</v>
      </c>
      <c r="AJ5" s="55" t="s">
        <v>38</v>
      </c>
      <c r="AK5" s="55" t="s">
        <v>39</v>
      </c>
      <c r="AL5" s="55" t="s">
        <v>40</v>
      </c>
      <c r="AM5" s="55" t="s">
        <v>41</v>
      </c>
      <c r="AN5" s="55" t="s">
        <v>42</v>
      </c>
      <c r="AO5" s="55" t="s">
        <v>43</v>
      </c>
      <c r="AP5" s="55" t="s">
        <v>44</v>
      </c>
      <c r="AQ5" s="55" t="s">
        <v>45</v>
      </c>
      <c r="AR5" s="55" t="s">
        <v>46</v>
      </c>
      <c r="AS5" s="55" t="s">
        <v>47</v>
      </c>
      <c r="AT5" s="55" t="s">
        <v>48</v>
      </c>
      <c r="AU5" s="55" t="s">
        <v>49</v>
      </c>
      <c r="AV5" s="55" t="s">
        <v>50</v>
      </c>
      <c r="AW5" s="55" t="s">
        <v>51</v>
      </c>
      <c r="AX5" s="55" t="s">
        <v>52</v>
      </c>
      <c r="AY5" s="55" t="s">
        <v>53</v>
      </c>
      <c r="AZ5" s="55" t="s">
        <v>54</v>
      </c>
      <c r="BA5" s="55" t="s">
        <v>55</v>
      </c>
      <c r="BB5" s="55" t="s">
        <v>56</v>
      </c>
      <c r="BC5" s="55" t="s">
        <v>57</v>
      </c>
      <c r="BD5" s="55" t="s">
        <v>58</v>
      </c>
      <c r="BE5" s="55" t="s">
        <v>59</v>
      </c>
      <c r="BF5" s="55" t="s">
        <v>60</v>
      </c>
      <c r="BG5" s="55" t="s">
        <v>61</v>
      </c>
      <c r="BH5" s="55" t="s">
        <v>62</v>
      </c>
    </row>
    <row r="6" spans="1:60">
      <c r="D6" s="19">
        <v>420</v>
      </c>
      <c r="E6" s="19">
        <v>435</v>
      </c>
      <c r="F6" s="19">
        <v>450</v>
      </c>
      <c r="G6" s="19">
        <v>465</v>
      </c>
      <c r="H6" s="19">
        <v>480</v>
      </c>
      <c r="I6" s="19">
        <v>495</v>
      </c>
      <c r="J6" s="19">
        <v>510</v>
      </c>
      <c r="K6" s="19">
        <v>525</v>
      </c>
      <c r="L6" s="19">
        <v>540</v>
      </c>
      <c r="M6" s="19">
        <v>555</v>
      </c>
      <c r="N6" s="19">
        <v>570</v>
      </c>
      <c r="O6" s="19">
        <v>585</v>
      </c>
      <c r="P6" s="19">
        <v>600</v>
      </c>
      <c r="Q6" s="19">
        <v>615</v>
      </c>
      <c r="R6" s="19">
        <v>630</v>
      </c>
      <c r="S6" s="19">
        <v>645</v>
      </c>
      <c r="T6" s="19">
        <v>660</v>
      </c>
      <c r="U6" s="19">
        <v>675</v>
      </c>
      <c r="V6" s="19">
        <v>690</v>
      </c>
      <c r="W6" s="19">
        <v>705</v>
      </c>
      <c r="X6" s="19">
        <v>720</v>
      </c>
      <c r="Y6" s="19">
        <v>735</v>
      </c>
      <c r="Z6" s="19">
        <v>750</v>
      </c>
      <c r="AA6" s="19">
        <v>765</v>
      </c>
      <c r="AB6" s="19">
        <v>780</v>
      </c>
      <c r="AC6" s="19">
        <v>795</v>
      </c>
      <c r="AD6" s="19">
        <v>810</v>
      </c>
      <c r="AE6" s="19">
        <v>825</v>
      </c>
      <c r="AF6" s="19">
        <v>840</v>
      </c>
      <c r="AG6" s="19">
        <v>855</v>
      </c>
      <c r="AH6" s="19">
        <v>870</v>
      </c>
      <c r="AI6" s="19">
        <v>885</v>
      </c>
      <c r="AJ6" s="19">
        <v>900</v>
      </c>
      <c r="AK6" s="19">
        <v>915</v>
      </c>
      <c r="AL6" s="19">
        <v>930</v>
      </c>
      <c r="AM6" s="19">
        <v>945</v>
      </c>
      <c r="AN6" s="19">
        <v>960</v>
      </c>
      <c r="AO6" s="19">
        <v>975</v>
      </c>
      <c r="AP6" s="19">
        <v>990</v>
      </c>
      <c r="AQ6" s="19">
        <v>1005</v>
      </c>
      <c r="AR6" s="19">
        <v>1020</v>
      </c>
      <c r="AS6" s="19">
        <v>1035</v>
      </c>
      <c r="AT6" s="19">
        <v>1050</v>
      </c>
      <c r="AU6" s="19">
        <v>1065</v>
      </c>
      <c r="AV6" s="19">
        <v>1080</v>
      </c>
      <c r="AW6" s="19">
        <v>1095</v>
      </c>
      <c r="AX6" s="19">
        <v>1110</v>
      </c>
      <c r="AY6" s="19">
        <v>1125</v>
      </c>
      <c r="AZ6" s="19">
        <v>1140</v>
      </c>
      <c r="BA6" s="19">
        <v>1155</v>
      </c>
      <c r="BB6" s="19">
        <v>1170</v>
      </c>
      <c r="BC6" s="19">
        <v>1185</v>
      </c>
      <c r="BD6" s="19">
        <v>1200</v>
      </c>
      <c r="BE6" s="19">
        <v>1215</v>
      </c>
      <c r="BF6" s="19">
        <v>1230</v>
      </c>
      <c r="BG6" s="19">
        <v>1245</v>
      </c>
    </row>
    <row r="7" spans="1:60">
      <c r="A7" s="56" t="s">
        <v>63</v>
      </c>
      <c r="B7" s="56" t="s">
        <v>64</v>
      </c>
      <c r="C7" s="56" t="s">
        <v>65</v>
      </c>
      <c r="D7" s="58">
        <v>0</v>
      </c>
      <c r="E7" s="58">
        <v>0</v>
      </c>
      <c r="F7" s="58">
        <v>3</v>
      </c>
      <c r="G7" s="58">
        <v>183</v>
      </c>
      <c r="H7" s="58">
        <v>1610</v>
      </c>
      <c r="I7" s="58">
        <v>6985</v>
      </c>
      <c r="J7" s="58">
        <v>15366</v>
      </c>
      <c r="K7" s="58">
        <v>16427</v>
      </c>
      <c r="L7" s="58">
        <v>18795</v>
      </c>
      <c r="M7" s="58">
        <v>21042</v>
      </c>
      <c r="N7" s="58">
        <v>22530</v>
      </c>
      <c r="O7" s="58">
        <v>23911</v>
      </c>
      <c r="P7" s="58">
        <v>25200</v>
      </c>
      <c r="Q7" s="58">
        <v>26206</v>
      </c>
      <c r="R7" s="58">
        <v>26217</v>
      </c>
      <c r="S7" s="58">
        <v>26186</v>
      </c>
      <c r="T7" s="58">
        <v>25985</v>
      </c>
      <c r="U7" s="58">
        <v>24776</v>
      </c>
      <c r="V7" s="58">
        <v>23366</v>
      </c>
      <c r="W7" s="58">
        <v>21302</v>
      </c>
      <c r="X7" s="58">
        <v>20028</v>
      </c>
      <c r="Y7" s="58">
        <v>19497</v>
      </c>
      <c r="Z7" s="58">
        <v>19397</v>
      </c>
      <c r="AA7" s="58">
        <v>19438</v>
      </c>
      <c r="AB7" s="58">
        <v>20947</v>
      </c>
      <c r="AC7" s="58">
        <v>22841</v>
      </c>
      <c r="AD7" s="58">
        <v>23475</v>
      </c>
      <c r="AE7" s="58">
        <v>24330</v>
      </c>
      <c r="AF7" s="58">
        <v>24146</v>
      </c>
      <c r="AG7" s="58">
        <v>24119</v>
      </c>
      <c r="AH7" s="58">
        <v>23771</v>
      </c>
      <c r="AI7" s="58">
        <v>22927</v>
      </c>
      <c r="AJ7" s="58">
        <v>22391</v>
      </c>
      <c r="AK7" s="58">
        <v>21913</v>
      </c>
      <c r="AL7" s="58">
        <v>21830</v>
      </c>
      <c r="AM7" s="58">
        <v>20933</v>
      </c>
      <c r="AN7" s="58">
        <v>20714</v>
      </c>
      <c r="AO7" s="58">
        <v>20176</v>
      </c>
      <c r="AP7" s="58">
        <v>18403</v>
      </c>
      <c r="AQ7" s="58">
        <v>14050</v>
      </c>
      <c r="AR7" s="58">
        <v>7535</v>
      </c>
      <c r="AS7" s="58">
        <v>1794</v>
      </c>
      <c r="AT7" s="58">
        <v>432</v>
      </c>
      <c r="AU7" s="58">
        <v>209</v>
      </c>
      <c r="AV7" s="58">
        <v>135</v>
      </c>
      <c r="AW7" s="58">
        <v>139</v>
      </c>
      <c r="AX7" s="58">
        <v>124</v>
      </c>
      <c r="AY7" s="58">
        <v>79</v>
      </c>
      <c r="AZ7" s="58">
        <v>77</v>
      </c>
      <c r="BA7" s="58">
        <v>40</v>
      </c>
      <c r="BB7" s="58">
        <v>14</v>
      </c>
      <c r="BC7" s="58">
        <v>5</v>
      </c>
      <c r="BD7" s="58">
        <v>3</v>
      </c>
      <c r="BE7" s="58">
        <v>0</v>
      </c>
      <c r="BF7" s="58">
        <v>0</v>
      </c>
      <c r="BG7" s="58">
        <v>0</v>
      </c>
      <c r="BH7" s="58">
        <f>SUM(D7:BG7)</f>
        <v>762002</v>
      </c>
    </row>
    <row r="8" spans="1:60">
      <c r="A8" s="56" t="s">
        <v>66</v>
      </c>
      <c r="B8" s="56" t="s">
        <v>64</v>
      </c>
      <c r="C8" s="56" t="s">
        <v>67</v>
      </c>
      <c r="D8" s="58">
        <v>0</v>
      </c>
      <c r="E8" s="58">
        <v>0</v>
      </c>
      <c r="F8" s="58">
        <v>0</v>
      </c>
      <c r="G8" s="58">
        <v>23</v>
      </c>
      <c r="H8" s="58">
        <v>186</v>
      </c>
      <c r="I8" s="58">
        <v>801</v>
      </c>
      <c r="J8" s="58">
        <v>1479</v>
      </c>
      <c r="K8" s="58">
        <v>1695</v>
      </c>
      <c r="L8" s="58">
        <v>1817</v>
      </c>
      <c r="M8" s="58">
        <v>2028</v>
      </c>
      <c r="N8" s="58">
        <v>2138</v>
      </c>
      <c r="O8" s="58">
        <v>2188</v>
      </c>
      <c r="P8" s="58">
        <v>2244</v>
      </c>
      <c r="Q8" s="58">
        <v>2363</v>
      </c>
      <c r="R8" s="58">
        <v>2401</v>
      </c>
      <c r="S8" s="58">
        <v>2377</v>
      </c>
      <c r="T8" s="58">
        <v>2358</v>
      </c>
      <c r="U8" s="58">
        <v>2198</v>
      </c>
      <c r="V8" s="58">
        <v>1991</v>
      </c>
      <c r="W8" s="58">
        <v>1931</v>
      </c>
      <c r="X8" s="58">
        <v>1777</v>
      </c>
      <c r="Y8" s="58">
        <v>1745</v>
      </c>
      <c r="Z8" s="58">
        <v>1789</v>
      </c>
      <c r="AA8" s="58">
        <v>1769</v>
      </c>
      <c r="AB8" s="58">
        <v>1891</v>
      </c>
      <c r="AC8" s="58">
        <v>2090</v>
      </c>
      <c r="AD8" s="58">
        <v>2166</v>
      </c>
      <c r="AE8" s="58">
        <v>2188</v>
      </c>
      <c r="AF8" s="58">
        <v>2210</v>
      </c>
      <c r="AG8" s="58">
        <v>2238</v>
      </c>
      <c r="AH8" s="58">
        <v>2162</v>
      </c>
      <c r="AI8" s="58">
        <v>2093</v>
      </c>
      <c r="AJ8" s="58">
        <v>1960</v>
      </c>
      <c r="AK8" s="58">
        <v>1981</v>
      </c>
      <c r="AL8" s="58">
        <v>1930</v>
      </c>
      <c r="AM8" s="58">
        <v>1809</v>
      </c>
      <c r="AN8" s="58">
        <v>1815</v>
      </c>
      <c r="AO8" s="58">
        <v>1782</v>
      </c>
      <c r="AP8" s="58">
        <v>1622</v>
      </c>
      <c r="AQ8" s="58">
        <v>1310</v>
      </c>
      <c r="AR8" s="58">
        <v>755</v>
      </c>
      <c r="AS8" s="58">
        <v>257</v>
      </c>
      <c r="AT8" s="58">
        <v>52</v>
      </c>
      <c r="AU8" s="58">
        <v>35</v>
      </c>
      <c r="AV8" s="58">
        <v>22</v>
      </c>
      <c r="AW8" s="58">
        <v>23</v>
      </c>
      <c r="AX8" s="58">
        <v>11</v>
      </c>
      <c r="AY8" s="58">
        <v>7</v>
      </c>
      <c r="AZ8" s="58">
        <v>1</v>
      </c>
      <c r="BA8" s="58">
        <v>0</v>
      </c>
      <c r="BB8" s="58">
        <v>0</v>
      </c>
      <c r="BC8" s="58">
        <v>0</v>
      </c>
      <c r="BD8" s="58">
        <v>0</v>
      </c>
      <c r="BE8" s="58">
        <v>0</v>
      </c>
      <c r="BF8" s="58">
        <v>0</v>
      </c>
      <c r="BG8" s="58">
        <v>0</v>
      </c>
      <c r="BH8" s="58">
        <f>SUM(D8:BG8)</f>
        <v>69708</v>
      </c>
    </row>
    <row r="9" spans="1:60">
      <c r="A9" s="56" t="s">
        <v>68</v>
      </c>
      <c r="B9" s="56" t="s">
        <v>64</v>
      </c>
      <c r="C9" s="56" t="s">
        <v>69</v>
      </c>
      <c r="D9" s="58">
        <v>0</v>
      </c>
      <c r="E9" s="58">
        <v>0</v>
      </c>
      <c r="F9" s="58">
        <v>2</v>
      </c>
      <c r="G9" s="58">
        <v>18</v>
      </c>
      <c r="H9" s="58">
        <v>169</v>
      </c>
      <c r="I9" s="58">
        <v>645</v>
      </c>
      <c r="J9" s="58">
        <v>1373</v>
      </c>
      <c r="K9" s="58">
        <v>1502</v>
      </c>
      <c r="L9" s="58">
        <v>1729</v>
      </c>
      <c r="M9" s="58">
        <v>1902</v>
      </c>
      <c r="N9" s="58">
        <v>2014</v>
      </c>
      <c r="O9" s="58">
        <v>2057</v>
      </c>
      <c r="P9" s="58">
        <v>2164</v>
      </c>
      <c r="Q9" s="58">
        <v>2245</v>
      </c>
      <c r="R9" s="58">
        <v>2279</v>
      </c>
      <c r="S9" s="58">
        <v>2224</v>
      </c>
      <c r="T9" s="58">
        <v>2126</v>
      </c>
      <c r="U9" s="58">
        <v>2017</v>
      </c>
      <c r="V9" s="58">
        <v>1928</v>
      </c>
      <c r="W9" s="58">
        <v>1810</v>
      </c>
      <c r="X9" s="58">
        <v>1650</v>
      </c>
      <c r="Y9" s="58">
        <v>1625</v>
      </c>
      <c r="Z9" s="58">
        <v>1546</v>
      </c>
      <c r="AA9" s="58">
        <v>1569</v>
      </c>
      <c r="AB9" s="58">
        <v>1698</v>
      </c>
      <c r="AC9" s="58">
        <v>1773</v>
      </c>
      <c r="AD9" s="58">
        <v>1892</v>
      </c>
      <c r="AE9" s="58">
        <v>1993</v>
      </c>
      <c r="AF9" s="58">
        <v>2015</v>
      </c>
      <c r="AG9" s="58">
        <v>1970</v>
      </c>
      <c r="AH9" s="58">
        <v>1879</v>
      </c>
      <c r="AI9" s="58">
        <v>1862</v>
      </c>
      <c r="AJ9" s="58">
        <v>1732</v>
      </c>
      <c r="AK9" s="58">
        <v>1743</v>
      </c>
      <c r="AL9" s="58">
        <v>1665</v>
      </c>
      <c r="AM9" s="58">
        <v>1648</v>
      </c>
      <c r="AN9" s="58">
        <v>1644</v>
      </c>
      <c r="AO9" s="58">
        <v>1709</v>
      </c>
      <c r="AP9" s="58">
        <v>1414</v>
      </c>
      <c r="AQ9" s="58">
        <v>1160</v>
      </c>
      <c r="AR9" s="58">
        <v>647</v>
      </c>
      <c r="AS9" s="58">
        <v>200</v>
      </c>
      <c r="AT9" s="58">
        <v>36</v>
      </c>
      <c r="AU9" s="58">
        <v>7</v>
      </c>
      <c r="AV9" s="58">
        <v>3</v>
      </c>
      <c r="AW9" s="58">
        <v>3</v>
      </c>
      <c r="AX9" s="58">
        <v>0</v>
      </c>
      <c r="AY9" s="58">
        <v>4</v>
      </c>
      <c r="AZ9" s="58">
        <v>0</v>
      </c>
      <c r="BA9" s="58">
        <v>0</v>
      </c>
      <c r="BB9" s="58">
        <v>0</v>
      </c>
      <c r="BC9" s="58">
        <v>0</v>
      </c>
      <c r="BD9" s="58">
        <v>0</v>
      </c>
      <c r="BE9" s="58">
        <v>0</v>
      </c>
      <c r="BF9" s="58">
        <v>0</v>
      </c>
      <c r="BG9" s="58">
        <v>0</v>
      </c>
      <c r="BH9" s="58">
        <f>SUM(D9:BG9)</f>
        <v>63291</v>
      </c>
    </row>
    <row r="10" spans="1:60">
      <c r="A10" s="56" t="s">
        <v>70</v>
      </c>
      <c r="B10" s="56" t="s">
        <v>64</v>
      </c>
      <c r="C10" s="56" t="s">
        <v>71</v>
      </c>
      <c r="D10" s="58">
        <v>0</v>
      </c>
      <c r="E10" s="58">
        <v>0</v>
      </c>
      <c r="F10" s="58">
        <v>1</v>
      </c>
      <c r="G10" s="58">
        <v>14</v>
      </c>
      <c r="H10" s="58">
        <v>150</v>
      </c>
      <c r="I10" s="58">
        <v>591</v>
      </c>
      <c r="J10" s="58">
        <v>1256</v>
      </c>
      <c r="K10" s="58">
        <v>1482</v>
      </c>
      <c r="L10" s="58">
        <v>1665</v>
      </c>
      <c r="M10" s="58">
        <v>1836</v>
      </c>
      <c r="N10" s="58">
        <v>1926</v>
      </c>
      <c r="O10" s="58">
        <v>2166</v>
      </c>
      <c r="P10" s="58">
        <v>2198</v>
      </c>
      <c r="Q10" s="58">
        <v>2244</v>
      </c>
      <c r="R10" s="58">
        <v>2247</v>
      </c>
      <c r="S10" s="58">
        <v>2193</v>
      </c>
      <c r="T10" s="58">
        <v>2225</v>
      </c>
      <c r="U10" s="58">
        <v>2175</v>
      </c>
      <c r="V10" s="58">
        <v>1961</v>
      </c>
      <c r="W10" s="58">
        <v>1819</v>
      </c>
      <c r="X10" s="58">
        <v>1679</v>
      </c>
      <c r="Y10" s="58">
        <v>1609</v>
      </c>
      <c r="Z10" s="58">
        <v>1707</v>
      </c>
      <c r="AA10" s="58">
        <v>1683</v>
      </c>
      <c r="AB10" s="58">
        <v>1816</v>
      </c>
      <c r="AC10" s="58">
        <v>1944</v>
      </c>
      <c r="AD10" s="58">
        <v>2031</v>
      </c>
      <c r="AE10" s="58">
        <v>2073</v>
      </c>
      <c r="AF10" s="58">
        <v>2034</v>
      </c>
      <c r="AG10" s="58">
        <v>1977</v>
      </c>
      <c r="AH10" s="58">
        <v>1979</v>
      </c>
      <c r="AI10" s="58">
        <v>1960</v>
      </c>
      <c r="AJ10" s="58">
        <v>1818</v>
      </c>
      <c r="AK10" s="58">
        <v>1766</v>
      </c>
      <c r="AL10" s="58">
        <v>1888</v>
      </c>
      <c r="AM10" s="58">
        <v>1677</v>
      </c>
      <c r="AN10" s="58">
        <v>1832</v>
      </c>
      <c r="AO10" s="58">
        <v>1711</v>
      </c>
      <c r="AP10" s="58">
        <v>1558</v>
      </c>
      <c r="AQ10" s="58">
        <v>1229</v>
      </c>
      <c r="AR10" s="58">
        <v>660</v>
      </c>
      <c r="AS10" s="58">
        <v>198</v>
      </c>
      <c r="AT10" s="58">
        <v>32</v>
      </c>
      <c r="AU10" s="58">
        <v>8</v>
      </c>
      <c r="AV10" s="58">
        <v>4</v>
      </c>
      <c r="AW10" s="58">
        <v>0</v>
      </c>
      <c r="AX10" s="58">
        <v>0</v>
      </c>
      <c r="AY10" s="58">
        <v>0</v>
      </c>
      <c r="AZ10" s="58">
        <v>0</v>
      </c>
      <c r="BA10" s="58">
        <v>0</v>
      </c>
      <c r="BB10" s="58">
        <v>0</v>
      </c>
      <c r="BC10" s="58">
        <v>0</v>
      </c>
      <c r="BD10" s="58">
        <v>0</v>
      </c>
      <c r="BE10" s="58">
        <v>0</v>
      </c>
      <c r="BF10" s="58">
        <v>0</v>
      </c>
      <c r="BG10" s="58">
        <v>0</v>
      </c>
      <c r="BH10" s="58">
        <f>SUM(D10:BG10)</f>
        <v>65022</v>
      </c>
    </row>
    <row r="11" spans="1:60">
      <c r="A11" s="56" t="s">
        <v>72</v>
      </c>
      <c r="B11" s="56" t="s">
        <v>64</v>
      </c>
      <c r="C11" s="56" t="s">
        <v>73</v>
      </c>
      <c r="D11" s="58">
        <v>0</v>
      </c>
      <c r="E11" s="58">
        <v>0</v>
      </c>
      <c r="F11" s="58">
        <v>0</v>
      </c>
      <c r="G11" s="58">
        <v>38</v>
      </c>
      <c r="H11" s="58">
        <v>217</v>
      </c>
      <c r="I11" s="58">
        <v>766</v>
      </c>
      <c r="J11" s="58">
        <v>1541</v>
      </c>
      <c r="K11" s="58">
        <v>1666</v>
      </c>
      <c r="L11" s="58">
        <v>1845</v>
      </c>
      <c r="M11" s="58">
        <v>2093</v>
      </c>
      <c r="N11" s="58">
        <v>2284</v>
      </c>
      <c r="O11" s="58">
        <v>2265</v>
      </c>
      <c r="P11" s="58">
        <v>2378</v>
      </c>
      <c r="Q11" s="58">
        <v>2518</v>
      </c>
      <c r="R11" s="58">
        <v>2338</v>
      </c>
      <c r="S11" s="58">
        <v>2433</v>
      </c>
      <c r="T11" s="58">
        <v>2295</v>
      </c>
      <c r="U11" s="58">
        <v>2264</v>
      </c>
      <c r="V11" s="58">
        <v>2088</v>
      </c>
      <c r="W11" s="58">
        <v>1857</v>
      </c>
      <c r="X11" s="58">
        <v>1725</v>
      </c>
      <c r="Y11" s="58">
        <v>1697</v>
      </c>
      <c r="Z11" s="58">
        <v>1655</v>
      </c>
      <c r="AA11" s="58">
        <v>1687</v>
      </c>
      <c r="AB11" s="58">
        <v>1712</v>
      </c>
      <c r="AC11" s="58">
        <v>1960</v>
      </c>
      <c r="AD11" s="58">
        <v>1982</v>
      </c>
      <c r="AE11" s="58">
        <v>2137</v>
      </c>
      <c r="AF11" s="58">
        <v>2098</v>
      </c>
      <c r="AG11" s="58">
        <v>2145</v>
      </c>
      <c r="AH11" s="58">
        <v>1992</v>
      </c>
      <c r="AI11" s="58">
        <v>1968</v>
      </c>
      <c r="AJ11" s="58">
        <v>1859</v>
      </c>
      <c r="AK11" s="58">
        <v>1856</v>
      </c>
      <c r="AL11" s="58">
        <v>1842</v>
      </c>
      <c r="AM11" s="58">
        <v>1824</v>
      </c>
      <c r="AN11" s="58">
        <v>1743</v>
      </c>
      <c r="AO11" s="58">
        <v>1775</v>
      </c>
      <c r="AP11" s="58">
        <v>1573</v>
      </c>
      <c r="AQ11" s="58">
        <v>1361</v>
      </c>
      <c r="AR11" s="58">
        <v>719</v>
      </c>
      <c r="AS11" s="58">
        <v>217</v>
      </c>
      <c r="AT11" s="58">
        <v>44</v>
      </c>
      <c r="AU11" s="58">
        <v>9</v>
      </c>
      <c r="AV11" s="58">
        <v>3</v>
      </c>
      <c r="AW11" s="58">
        <v>0</v>
      </c>
      <c r="AX11" s="58">
        <v>0</v>
      </c>
      <c r="AY11" s="58">
        <v>0</v>
      </c>
      <c r="AZ11" s="58">
        <v>0</v>
      </c>
      <c r="BA11" s="58">
        <v>0</v>
      </c>
      <c r="BB11" s="58">
        <v>0</v>
      </c>
      <c r="BC11" s="58">
        <v>0</v>
      </c>
      <c r="BD11" s="58">
        <v>0</v>
      </c>
      <c r="BE11" s="58">
        <v>0</v>
      </c>
      <c r="BF11" s="58">
        <v>0</v>
      </c>
      <c r="BG11" s="58">
        <v>0</v>
      </c>
      <c r="BH11" s="58">
        <f>SUM(D11:BG11)</f>
        <v>68469</v>
      </c>
    </row>
    <row r="12" spans="1:60">
      <c r="A12" s="56" t="s">
        <v>74</v>
      </c>
      <c r="B12" s="56" t="s">
        <v>64</v>
      </c>
      <c r="C12" s="56" t="s">
        <v>75</v>
      </c>
      <c r="D12" s="58">
        <v>0</v>
      </c>
      <c r="E12" s="58">
        <v>0</v>
      </c>
      <c r="F12" s="58">
        <v>0</v>
      </c>
      <c r="G12" s="58">
        <v>25</v>
      </c>
      <c r="H12" s="58">
        <v>187</v>
      </c>
      <c r="I12" s="58">
        <v>610</v>
      </c>
      <c r="J12" s="58">
        <v>1303</v>
      </c>
      <c r="K12" s="58">
        <v>1462</v>
      </c>
      <c r="L12" s="58">
        <v>1613</v>
      </c>
      <c r="M12" s="58">
        <v>1698</v>
      </c>
      <c r="N12" s="58">
        <v>1802</v>
      </c>
      <c r="O12" s="58">
        <v>1984</v>
      </c>
      <c r="P12" s="58">
        <v>2021</v>
      </c>
      <c r="Q12" s="58">
        <v>2104</v>
      </c>
      <c r="R12" s="58">
        <v>2081</v>
      </c>
      <c r="S12" s="58">
        <v>2141</v>
      </c>
      <c r="T12" s="58">
        <v>1982</v>
      </c>
      <c r="U12" s="58">
        <v>1911</v>
      </c>
      <c r="V12" s="58">
        <v>1947</v>
      </c>
      <c r="W12" s="58">
        <v>1643</v>
      </c>
      <c r="X12" s="58">
        <v>1570</v>
      </c>
      <c r="Y12" s="58">
        <v>1499</v>
      </c>
      <c r="Z12" s="58">
        <v>1465</v>
      </c>
      <c r="AA12" s="58">
        <v>1496</v>
      </c>
      <c r="AB12" s="58">
        <v>1598</v>
      </c>
      <c r="AC12" s="58">
        <v>1730</v>
      </c>
      <c r="AD12" s="58">
        <v>1836</v>
      </c>
      <c r="AE12" s="58">
        <v>1847</v>
      </c>
      <c r="AF12" s="58">
        <v>1845</v>
      </c>
      <c r="AG12" s="58">
        <v>1842</v>
      </c>
      <c r="AH12" s="58">
        <v>1908</v>
      </c>
      <c r="AI12" s="58">
        <v>1793</v>
      </c>
      <c r="AJ12" s="58">
        <v>1748</v>
      </c>
      <c r="AK12" s="58">
        <v>1680</v>
      </c>
      <c r="AL12" s="58">
        <v>1715</v>
      </c>
      <c r="AM12" s="58">
        <v>1666</v>
      </c>
      <c r="AN12" s="58">
        <v>1605</v>
      </c>
      <c r="AO12" s="58">
        <v>1532</v>
      </c>
      <c r="AP12" s="58">
        <v>1341</v>
      </c>
      <c r="AQ12" s="58">
        <v>1048</v>
      </c>
      <c r="AR12" s="58">
        <v>608</v>
      </c>
      <c r="AS12" s="58">
        <v>168</v>
      </c>
      <c r="AT12" s="58">
        <v>39</v>
      </c>
      <c r="AU12" s="58">
        <v>10</v>
      </c>
      <c r="AV12" s="58">
        <v>3</v>
      </c>
      <c r="AW12" s="58">
        <v>0</v>
      </c>
      <c r="AX12" s="58">
        <v>1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  <c r="BD12" s="58">
        <v>0</v>
      </c>
      <c r="BE12" s="58">
        <v>0</v>
      </c>
      <c r="BF12" s="58">
        <v>0</v>
      </c>
      <c r="BG12" s="58">
        <v>0</v>
      </c>
      <c r="BH12" s="58">
        <f>SUM(D12:BG12)</f>
        <v>60107</v>
      </c>
    </row>
    <row r="13" spans="1:60">
      <c r="A13" s="56" t="s">
        <v>76</v>
      </c>
      <c r="B13" s="56" t="s">
        <v>64</v>
      </c>
      <c r="C13" s="56" t="s">
        <v>77</v>
      </c>
      <c r="D13" s="58">
        <v>0</v>
      </c>
      <c r="E13" s="58">
        <v>0</v>
      </c>
      <c r="F13" s="58">
        <v>0</v>
      </c>
      <c r="G13" s="58">
        <v>16</v>
      </c>
      <c r="H13" s="58">
        <v>152</v>
      </c>
      <c r="I13" s="58">
        <v>492</v>
      </c>
      <c r="J13" s="58">
        <v>1121</v>
      </c>
      <c r="K13" s="58">
        <v>1291</v>
      </c>
      <c r="L13" s="58">
        <v>1569</v>
      </c>
      <c r="M13" s="58">
        <v>1718</v>
      </c>
      <c r="N13" s="58">
        <v>1864</v>
      </c>
      <c r="O13" s="58">
        <v>1933</v>
      </c>
      <c r="P13" s="58">
        <v>2040</v>
      </c>
      <c r="Q13" s="58">
        <v>2129</v>
      </c>
      <c r="R13" s="58">
        <v>2174</v>
      </c>
      <c r="S13" s="58">
        <v>2007</v>
      </c>
      <c r="T13" s="58">
        <v>2088</v>
      </c>
      <c r="U13" s="58">
        <v>1965</v>
      </c>
      <c r="V13" s="58">
        <v>1780</v>
      </c>
      <c r="W13" s="58">
        <v>1655</v>
      </c>
      <c r="X13" s="58">
        <v>1536</v>
      </c>
      <c r="Y13" s="58">
        <v>1511</v>
      </c>
      <c r="Z13" s="58">
        <v>1574</v>
      </c>
      <c r="AA13" s="58">
        <v>1537</v>
      </c>
      <c r="AB13" s="58">
        <v>1545</v>
      </c>
      <c r="AC13" s="58">
        <v>1708</v>
      </c>
      <c r="AD13" s="58">
        <v>1777</v>
      </c>
      <c r="AE13" s="58">
        <v>1910</v>
      </c>
      <c r="AF13" s="58">
        <v>1784</v>
      </c>
      <c r="AG13" s="58">
        <v>1862</v>
      </c>
      <c r="AH13" s="58">
        <v>1838</v>
      </c>
      <c r="AI13" s="58">
        <v>1712</v>
      </c>
      <c r="AJ13" s="58">
        <v>1767</v>
      </c>
      <c r="AK13" s="58">
        <v>1687</v>
      </c>
      <c r="AL13" s="58">
        <v>1648</v>
      </c>
      <c r="AM13" s="58">
        <v>1635</v>
      </c>
      <c r="AN13" s="58">
        <v>1669</v>
      </c>
      <c r="AO13" s="58">
        <v>1558</v>
      </c>
      <c r="AP13" s="58">
        <v>1431</v>
      </c>
      <c r="AQ13" s="58">
        <v>1102</v>
      </c>
      <c r="AR13" s="58">
        <v>663</v>
      </c>
      <c r="AS13" s="58">
        <v>176</v>
      </c>
      <c r="AT13" s="58">
        <v>44</v>
      </c>
      <c r="AU13" s="58">
        <v>4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f>SUM(D13:BG13)</f>
        <v>59672</v>
      </c>
    </row>
    <row r="14" spans="1:60">
      <c r="A14" s="56" t="s">
        <v>78</v>
      </c>
      <c r="B14" s="56" t="s">
        <v>64</v>
      </c>
      <c r="C14" s="56" t="s">
        <v>79</v>
      </c>
      <c r="D14" s="58">
        <v>0</v>
      </c>
      <c r="E14" s="58">
        <v>0</v>
      </c>
      <c r="F14" s="58">
        <v>0</v>
      </c>
      <c r="G14" s="58">
        <v>18</v>
      </c>
      <c r="H14" s="58">
        <v>161</v>
      </c>
      <c r="I14" s="58">
        <v>476</v>
      </c>
      <c r="J14" s="58">
        <v>1189</v>
      </c>
      <c r="K14" s="58">
        <v>1400</v>
      </c>
      <c r="L14" s="58">
        <v>1587</v>
      </c>
      <c r="M14" s="58">
        <v>1878</v>
      </c>
      <c r="N14" s="58">
        <v>1876</v>
      </c>
      <c r="O14" s="58">
        <v>2002</v>
      </c>
      <c r="P14" s="58">
        <v>2214</v>
      </c>
      <c r="Q14" s="58">
        <v>2403</v>
      </c>
      <c r="R14" s="58">
        <v>2328</v>
      </c>
      <c r="S14" s="58">
        <v>2287</v>
      </c>
      <c r="T14" s="58">
        <v>2247</v>
      </c>
      <c r="U14" s="58">
        <v>2165</v>
      </c>
      <c r="V14" s="58">
        <v>2103</v>
      </c>
      <c r="W14" s="58">
        <v>1847</v>
      </c>
      <c r="X14" s="58">
        <v>1758</v>
      </c>
      <c r="Y14" s="58">
        <v>1702</v>
      </c>
      <c r="Z14" s="58">
        <v>1599</v>
      </c>
      <c r="AA14" s="58">
        <v>1734</v>
      </c>
      <c r="AB14" s="58">
        <v>1855</v>
      </c>
      <c r="AC14" s="58">
        <v>2026</v>
      </c>
      <c r="AD14" s="58">
        <v>2012</v>
      </c>
      <c r="AE14" s="58">
        <v>2138</v>
      </c>
      <c r="AF14" s="58">
        <v>2101</v>
      </c>
      <c r="AG14" s="58">
        <v>1958</v>
      </c>
      <c r="AH14" s="58">
        <v>2034</v>
      </c>
      <c r="AI14" s="58">
        <v>1974</v>
      </c>
      <c r="AJ14" s="58">
        <v>2016</v>
      </c>
      <c r="AK14" s="58">
        <v>1929</v>
      </c>
      <c r="AL14" s="58">
        <v>1962</v>
      </c>
      <c r="AM14" s="58">
        <v>1905</v>
      </c>
      <c r="AN14" s="58">
        <v>1874</v>
      </c>
      <c r="AO14" s="58">
        <v>1820</v>
      </c>
      <c r="AP14" s="58">
        <v>1612</v>
      </c>
      <c r="AQ14" s="58">
        <v>1228</v>
      </c>
      <c r="AR14" s="58">
        <v>691</v>
      </c>
      <c r="AS14" s="58">
        <v>202</v>
      </c>
      <c r="AT14" s="58">
        <v>58</v>
      </c>
      <c r="AU14" s="58">
        <v>13</v>
      </c>
      <c r="AV14" s="58">
        <v>21</v>
      </c>
      <c r="AW14" s="58">
        <v>11</v>
      </c>
      <c r="AX14" s="58">
        <v>10</v>
      </c>
      <c r="AY14" s="58">
        <v>15</v>
      </c>
      <c r="AZ14" s="58">
        <v>12</v>
      </c>
      <c r="BA14" s="58">
        <v>16</v>
      </c>
      <c r="BB14" s="58">
        <v>9</v>
      </c>
      <c r="BC14" s="58">
        <v>0</v>
      </c>
      <c r="BD14" s="58">
        <v>1</v>
      </c>
      <c r="BE14" s="58">
        <v>0</v>
      </c>
      <c r="BF14" s="58">
        <v>0</v>
      </c>
      <c r="BG14" s="58">
        <v>0</v>
      </c>
      <c r="BH14" s="58">
        <f>SUM(D14:BG14)</f>
        <v>66477</v>
      </c>
    </row>
    <row r="15" spans="1:60">
      <c r="A15" s="56" t="s">
        <v>80</v>
      </c>
      <c r="B15" s="56" t="s">
        <v>64</v>
      </c>
      <c r="C15" s="56" t="s">
        <v>81</v>
      </c>
      <c r="D15" s="58">
        <v>0</v>
      </c>
      <c r="E15" s="58">
        <v>0</v>
      </c>
      <c r="F15" s="58">
        <v>0</v>
      </c>
      <c r="G15" s="58">
        <v>22</v>
      </c>
      <c r="H15" s="58">
        <v>115</v>
      </c>
      <c r="I15" s="58">
        <v>341</v>
      </c>
      <c r="J15" s="58">
        <v>793</v>
      </c>
      <c r="K15" s="58">
        <v>934</v>
      </c>
      <c r="L15" s="58">
        <v>1104</v>
      </c>
      <c r="M15" s="58">
        <v>1348</v>
      </c>
      <c r="N15" s="58">
        <v>1395</v>
      </c>
      <c r="O15" s="58">
        <v>1470</v>
      </c>
      <c r="P15" s="58">
        <v>1619</v>
      </c>
      <c r="Q15" s="58">
        <v>1759</v>
      </c>
      <c r="R15" s="58">
        <v>1692</v>
      </c>
      <c r="S15" s="58">
        <v>1782</v>
      </c>
      <c r="T15" s="58">
        <v>1760</v>
      </c>
      <c r="U15" s="58">
        <v>1627</v>
      </c>
      <c r="V15" s="58">
        <v>1559</v>
      </c>
      <c r="W15" s="58">
        <v>1430</v>
      </c>
      <c r="X15" s="58">
        <v>1354</v>
      </c>
      <c r="Y15" s="58">
        <v>1295</v>
      </c>
      <c r="Z15" s="58">
        <v>1338</v>
      </c>
      <c r="AA15" s="58">
        <v>1267</v>
      </c>
      <c r="AB15" s="58">
        <v>1359</v>
      </c>
      <c r="AC15" s="58">
        <v>1432</v>
      </c>
      <c r="AD15" s="58">
        <v>1497</v>
      </c>
      <c r="AE15" s="58">
        <v>1604</v>
      </c>
      <c r="AF15" s="58">
        <v>1582</v>
      </c>
      <c r="AG15" s="58">
        <v>1627</v>
      </c>
      <c r="AH15" s="58">
        <v>1624</v>
      </c>
      <c r="AI15" s="58">
        <v>1466</v>
      </c>
      <c r="AJ15" s="58">
        <v>1499</v>
      </c>
      <c r="AK15" s="58">
        <v>1465</v>
      </c>
      <c r="AL15" s="58">
        <v>1446</v>
      </c>
      <c r="AM15" s="58">
        <v>1401</v>
      </c>
      <c r="AN15" s="58">
        <v>1386</v>
      </c>
      <c r="AO15" s="58">
        <v>1237</v>
      </c>
      <c r="AP15" s="58">
        <v>1206</v>
      </c>
      <c r="AQ15" s="58">
        <v>877</v>
      </c>
      <c r="AR15" s="58">
        <v>578</v>
      </c>
      <c r="AS15" s="58">
        <v>166</v>
      </c>
      <c r="AT15" s="58">
        <v>35</v>
      </c>
      <c r="AU15" s="58">
        <v>7</v>
      </c>
      <c r="AV15" s="58">
        <v>0</v>
      </c>
      <c r="AW15" s="58">
        <v>0</v>
      </c>
      <c r="AX15" s="58">
        <v>0</v>
      </c>
      <c r="AY15" s="58">
        <v>0</v>
      </c>
      <c r="AZ15" s="58">
        <v>0</v>
      </c>
      <c r="BA15" s="58">
        <v>0</v>
      </c>
      <c r="BB15" s="58">
        <v>0</v>
      </c>
      <c r="BC15" s="58">
        <v>0</v>
      </c>
      <c r="BD15" s="58">
        <v>0</v>
      </c>
      <c r="BE15" s="58">
        <v>0</v>
      </c>
      <c r="BF15" s="58">
        <v>0</v>
      </c>
      <c r="BG15" s="58">
        <v>0</v>
      </c>
      <c r="BH15" s="58">
        <f>SUM(D15:BG15)</f>
        <v>49498</v>
      </c>
    </row>
    <row r="16" spans="1:60">
      <c r="A16" s="56" t="s">
        <v>82</v>
      </c>
      <c r="B16" s="56" t="s">
        <v>64</v>
      </c>
      <c r="C16" s="56" t="s">
        <v>83</v>
      </c>
      <c r="D16" s="58">
        <v>0</v>
      </c>
      <c r="E16" s="58">
        <v>0</v>
      </c>
      <c r="F16" s="58">
        <v>0</v>
      </c>
      <c r="G16" s="58">
        <v>2</v>
      </c>
      <c r="H16" s="58">
        <v>43</v>
      </c>
      <c r="I16" s="58">
        <v>366</v>
      </c>
      <c r="J16" s="58">
        <v>1021</v>
      </c>
      <c r="K16" s="58">
        <v>1014</v>
      </c>
      <c r="L16" s="58">
        <v>1213</v>
      </c>
      <c r="M16" s="58">
        <v>1331</v>
      </c>
      <c r="N16" s="58">
        <v>1473</v>
      </c>
      <c r="O16" s="58">
        <v>1633</v>
      </c>
      <c r="P16" s="58">
        <v>1801</v>
      </c>
      <c r="Q16" s="58">
        <v>1805</v>
      </c>
      <c r="R16" s="58">
        <v>1840</v>
      </c>
      <c r="S16" s="58">
        <v>1799</v>
      </c>
      <c r="T16" s="58">
        <v>1924</v>
      </c>
      <c r="U16" s="58">
        <v>1816</v>
      </c>
      <c r="V16" s="58">
        <v>1739</v>
      </c>
      <c r="W16" s="58">
        <v>1620</v>
      </c>
      <c r="X16" s="58">
        <v>1458</v>
      </c>
      <c r="Y16" s="58">
        <v>1445</v>
      </c>
      <c r="Z16" s="58">
        <v>1456</v>
      </c>
      <c r="AA16" s="58">
        <v>1443</v>
      </c>
      <c r="AB16" s="58">
        <v>1590</v>
      </c>
      <c r="AC16" s="58">
        <v>1739</v>
      </c>
      <c r="AD16" s="58">
        <v>1723</v>
      </c>
      <c r="AE16" s="58">
        <v>1806</v>
      </c>
      <c r="AF16" s="58">
        <v>1844</v>
      </c>
      <c r="AG16" s="58">
        <v>1864</v>
      </c>
      <c r="AH16" s="58">
        <v>1770</v>
      </c>
      <c r="AI16" s="58">
        <v>1724</v>
      </c>
      <c r="AJ16" s="58">
        <v>1674</v>
      </c>
      <c r="AK16" s="58">
        <v>1591</v>
      </c>
      <c r="AL16" s="58">
        <v>1676</v>
      </c>
      <c r="AM16" s="58">
        <v>1512</v>
      </c>
      <c r="AN16" s="58">
        <v>1513</v>
      </c>
      <c r="AO16" s="58">
        <v>1491</v>
      </c>
      <c r="AP16" s="58">
        <v>1427</v>
      </c>
      <c r="AQ16" s="58">
        <v>984</v>
      </c>
      <c r="AR16" s="58">
        <v>481</v>
      </c>
      <c r="AS16" s="58">
        <v>59</v>
      </c>
      <c r="AT16" s="58">
        <v>15</v>
      </c>
      <c r="AU16" s="58">
        <v>25</v>
      </c>
      <c r="AV16" s="58">
        <v>21</v>
      </c>
      <c r="AW16" s="58">
        <v>30</v>
      </c>
      <c r="AX16" s="58">
        <v>24</v>
      </c>
      <c r="AY16" s="58">
        <v>20</v>
      </c>
      <c r="AZ16" s="58">
        <v>23</v>
      </c>
      <c r="BA16" s="58">
        <v>11</v>
      </c>
      <c r="BB16" s="58">
        <v>3</v>
      </c>
      <c r="BC16" s="58">
        <v>2</v>
      </c>
      <c r="BD16" s="58">
        <v>0</v>
      </c>
      <c r="BE16" s="58">
        <v>0</v>
      </c>
      <c r="BF16" s="58">
        <v>0</v>
      </c>
      <c r="BG16" s="58">
        <v>0</v>
      </c>
      <c r="BH16" s="58">
        <f>SUM(D16:BG16)</f>
        <v>54884</v>
      </c>
    </row>
    <row r="17" spans="1:60">
      <c r="A17" s="56" t="s">
        <v>84</v>
      </c>
      <c r="B17" s="56" t="s">
        <v>64</v>
      </c>
      <c r="C17" s="56" t="s">
        <v>85</v>
      </c>
      <c r="D17" s="58">
        <v>0</v>
      </c>
      <c r="E17" s="58">
        <v>0</v>
      </c>
      <c r="F17" s="58">
        <v>0</v>
      </c>
      <c r="G17" s="58">
        <v>3</v>
      </c>
      <c r="H17" s="58">
        <v>46</v>
      </c>
      <c r="I17" s="58">
        <v>406</v>
      </c>
      <c r="J17" s="58">
        <v>930</v>
      </c>
      <c r="K17" s="58">
        <v>878</v>
      </c>
      <c r="L17" s="58">
        <v>1058</v>
      </c>
      <c r="M17" s="58">
        <v>1171</v>
      </c>
      <c r="N17" s="58">
        <v>1428</v>
      </c>
      <c r="O17" s="58">
        <v>1442</v>
      </c>
      <c r="P17" s="58">
        <v>1589</v>
      </c>
      <c r="Q17" s="58">
        <v>1568</v>
      </c>
      <c r="R17" s="58">
        <v>1669</v>
      </c>
      <c r="S17" s="58">
        <v>1693</v>
      </c>
      <c r="T17" s="58">
        <v>1625</v>
      </c>
      <c r="U17" s="58">
        <v>1545</v>
      </c>
      <c r="V17" s="58">
        <v>1481</v>
      </c>
      <c r="W17" s="58">
        <v>1353</v>
      </c>
      <c r="X17" s="58">
        <v>1267</v>
      </c>
      <c r="Y17" s="58">
        <v>1194</v>
      </c>
      <c r="Z17" s="58">
        <v>1174</v>
      </c>
      <c r="AA17" s="58">
        <v>1215</v>
      </c>
      <c r="AB17" s="58">
        <v>1328</v>
      </c>
      <c r="AC17" s="58">
        <v>1581</v>
      </c>
      <c r="AD17" s="58">
        <v>1589</v>
      </c>
      <c r="AE17" s="58">
        <v>1564</v>
      </c>
      <c r="AF17" s="58">
        <v>1617</v>
      </c>
      <c r="AG17" s="58">
        <v>1607</v>
      </c>
      <c r="AH17" s="58">
        <v>1567</v>
      </c>
      <c r="AI17" s="58">
        <v>1521</v>
      </c>
      <c r="AJ17" s="58">
        <v>1524</v>
      </c>
      <c r="AK17" s="58">
        <v>1458</v>
      </c>
      <c r="AL17" s="58">
        <v>1510</v>
      </c>
      <c r="AM17" s="58">
        <v>1421</v>
      </c>
      <c r="AN17" s="58">
        <v>1356</v>
      </c>
      <c r="AO17" s="58">
        <v>1383</v>
      </c>
      <c r="AP17" s="58">
        <v>1233</v>
      </c>
      <c r="AQ17" s="58">
        <v>876</v>
      </c>
      <c r="AR17" s="58">
        <v>437</v>
      </c>
      <c r="AS17" s="58">
        <v>50</v>
      </c>
      <c r="AT17" s="58">
        <v>20</v>
      </c>
      <c r="AU17" s="58">
        <v>33</v>
      </c>
      <c r="AV17" s="58">
        <v>12</v>
      </c>
      <c r="AW17" s="58">
        <v>0</v>
      </c>
      <c r="AX17" s="58">
        <v>0</v>
      </c>
      <c r="AY17" s="58">
        <v>0</v>
      </c>
      <c r="AZ17" s="58">
        <v>5</v>
      </c>
      <c r="BA17" s="58">
        <v>0</v>
      </c>
      <c r="BB17" s="58">
        <v>0</v>
      </c>
      <c r="BC17" s="58">
        <v>1</v>
      </c>
      <c r="BD17" s="58">
        <v>2</v>
      </c>
      <c r="BE17" s="58">
        <v>0</v>
      </c>
      <c r="BF17" s="58">
        <v>0</v>
      </c>
      <c r="BG17" s="58">
        <v>0</v>
      </c>
      <c r="BH17" s="58">
        <f>SUM(D17:BG17)</f>
        <v>48430</v>
      </c>
    </row>
    <row r="18" spans="1:60">
      <c r="A18" s="56" t="s">
        <v>86</v>
      </c>
      <c r="B18" s="56" t="s">
        <v>64</v>
      </c>
      <c r="C18" s="56" t="s">
        <v>87</v>
      </c>
      <c r="D18" s="58">
        <v>0</v>
      </c>
      <c r="E18" s="58">
        <v>0</v>
      </c>
      <c r="F18" s="58">
        <v>0</v>
      </c>
      <c r="G18" s="58">
        <v>1</v>
      </c>
      <c r="H18" s="58">
        <v>52</v>
      </c>
      <c r="I18" s="58">
        <v>510</v>
      </c>
      <c r="J18" s="58">
        <v>1301</v>
      </c>
      <c r="K18" s="58">
        <v>1250</v>
      </c>
      <c r="L18" s="58">
        <v>1522</v>
      </c>
      <c r="M18" s="58">
        <v>1733</v>
      </c>
      <c r="N18" s="58">
        <v>1857</v>
      </c>
      <c r="O18" s="58">
        <v>2035</v>
      </c>
      <c r="P18" s="58">
        <v>2088</v>
      </c>
      <c r="Q18" s="58">
        <v>2293</v>
      </c>
      <c r="R18" s="58">
        <v>2333</v>
      </c>
      <c r="S18" s="58">
        <v>2348</v>
      </c>
      <c r="T18" s="58">
        <v>2365</v>
      </c>
      <c r="U18" s="58">
        <v>2217</v>
      </c>
      <c r="V18" s="58">
        <v>2126</v>
      </c>
      <c r="W18" s="58">
        <v>1956</v>
      </c>
      <c r="X18" s="58">
        <v>1931</v>
      </c>
      <c r="Y18" s="58">
        <v>1815</v>
      </c>
      <c r="Z18" s="58">
        <v>1802</v>
      </c>
      <c r="AA18" s="58">
        <v>1746</v>
      </c>
      <c r="AB18" s="58">
        <v>2035</v>
      </c>
      <c r="AC18" s="58">
        <v>2236</v>
      </c>
      <c r="AD18" s="58">
        <v>2314</v>
      </c>
      <c r="AE18" s="58">
        <v>2274</v>
      </c>
      <c r="AF18" s="58">
        <v>2250</v>
      </c>
      <c r="AG18" s="58">
        <v>2225</v>
      </c>
      <c r="AH18" s="58">
        <v>2213</v>
      </c>
      <c r="AI18" s="58">
        <v>2107</v>
      </c>
      <c r="AJ18" s="58">
        <v>2115</v>
      </c>
      <c r="AK18" s="58">
        <v>2093</v>
      </c>
      <c r="AL18" s="58">
        <v>2003</v>
      </c>
      <c r="AM18" s="58">
        <v>1995</v>
      </c>
      <c r="AN18" s="58">
        <v>1919</v>
      </c>
      <c r="AO18" s="58">
        <v>1878</v>
      </c>
      <c r="AP18" s="58">
        <v>1771</v>
      </c>
      <c r="AQ18" s="58">
        <v>1251</v>
      </c>
      <c r="AR18" s="58">
        <v>598</v>
      </c>
      <c r="AS18" s="58">
        <v>35</v>
      </c>
      <c r="AT18" s="58">
        <v>15</v>
      </c>
      <c r="AU18" s="58">
        <v>17</v>
      </c>
      <c r="AV18" s="58">
        <v>20</v>
      </c>
      <c r="AW18" s="58">
        <v>24</v>
      </c>
      <c r="AX18" s="58">
        <v>43</v>
      </c>
      <c r="AY18" s="58">
        <v>20</v>
      </c>
      <c r="AZ18" s="58">
        <v>27</v>
      </c>
      <c r="BA18" s="58">
        <v>10</v>
      </c>
      <c r="BB18" s="58">
        <v>2</v>
      </c>
      <c r="BC18" s="58">
        <v>2</v>
      </c>
      <c r="BD18" s="58">
        <v>0</v>
      </c>
      <c r="BE18" s="58">
        <v>0</v>
      </c>
      <c r="BF18" s="58">
        <v>0</v>
      </c>
      <c r="BG18" s="58">
        <v>0</v>
      </c>
      <c r="BH18" s="58">
        <f>SUM(D18:BG18)</f>
        <v>68773</v>
      </c>
    </row>
    <row r="19" spans="1:60">
      <c r="A19" s="56" t="s">
        <v>88</v>
      </c>
      <c r="B19" s="56" t="s">
        <v>64</v>
      </c>
      <c r="C19" s="56" t="s">
        <v>89</v>
      </c>
      <c r="D19" s="58">
        <v>0</v>
      </c>
      <c r="E19" s="58">
        <v>0</v>
      </c>
      <c r="F19" s="58">
        <v>0</v>
      </c>
      <c r="G19" s="58">
        <v>3</v>
      </c>
      <c r="H19" s="58">
        <v>132</v>
      </c>
      <c r="I19" s="58">
        <v>981</v>
      </c>
      <c r="J19" s="58">
        <v>2059</v>
      </c>
      <c r="K19" s="58">
        <v>1853</v>
      </c>
      <c r="L19" s="58">
        <v>2073</v>
      </c>
      <c r="M19" s="58">
        <v>2306</v>
      </c>
      <c r="N19" s="58">
        <v>2473</v>
      </c>
      <c r="O19" s="58">
        <v>2736</v>
      </c>
      <c r="P19" s="58">
        <v>2844</v>
      </c>
      <c r="Q19" s="58">
        <v>2775</v>
      </c>
      <c r="R19" s="58">
        <v>2835</v>
      </c>
      <c r="S19" s="58">
        <v>2902</v>
      </c>
      <c r="T19" s="58">
        <v>2990</v>
      </c>
      <c r="U19" s="58">
        <v>2876</v>
      </c>
      <c r="V19" s="58">
        <v>2663</v>
      </c>
      <c r="W19" s="58">
        <v>2381</v>
      </c>
      <c r="X19" s="58">
        <v>2323</v>
      </c>
      <c r="Y19" s="58">
        <v>2360</v>
      </c>
      <c r="Z19" s="58">
        <v>2292</v>
      </c>
      <c r="AA19" s="58">
        <v>2292</v>
      </c>
      <c r="AB19" s="58">
        <v>2520</v>
      </c>
      <c r="AC19" s="58">
        <v>2622</v>
      </c>
      <c r="AD19" s="58">
        <v>2656</v>
      </c>
      <c r="AE19" s="58">
        <v>2796</v>
      </c>
      <c r="AF19" s="58">
        <v>2766</v>
      </c>
      <c r="AG19" s="58">
        <v>2804</v>
      </c>
      <c r="AH19" s="58">
        <v>2805</v>
      </c>
      <c r="AI19" s="58">
        <v>2747</v>
      </c>
      <c r="AJ19" s="58">
        <v>2679</v>
      </c>
      <c r="AK19" s="58">
        <v>2664</v>
      </c>
      <c r="AL19" s="58">
        <v>2545</v>
      </c>
      <c r="AM19" s="58">
        <v>2440</v>
      </c>
      <c r="AN19" s="58">
        <v>2358</v>
      </c>
      <c r="AO19" s="58">
        <v>2300</v>
      </c>
      <c r="AP19" s="58">
        <v>2215</v>
      </c>
      <c r="AQ19" s="58">
        <v>1624</v>
      </c>
      <c r="AR19" s="58">
        <v>698</v>
      </c>
      <c r="AS19" s="58">
        <v>66</v>
      </c>
      <c r="AT19" s="58">
        <v>42</v>
      </c>
      <c r="AU19" s="58">
        <v>41</v>
      </c>
      <c r="AV19" s="58">
        <v>26</v>
      </c>
      <c r="AW19" s="58">
        <v>48</v>
      </c>
      <c r="AX19" s="58">
        <v>35</v>
      </c>
      <c r="AY19" s="58">
        <v>13</v>
      </c>
      <c r="AZ19" s="58">
        <v>9</v>
      </c>
      <c r="BA19" s="58">
        <v>3</v>
      </c>
      <c r="BB19" s="58">
        <v>0</v>
      </c>
      <c r="BC19" s="58">
        <v>0</v>
      </c>
      <c r="BD19" s="58">
        <v>0</v>
      </c>
      <c r="BE19" s="58">
        <v>0</v>
      </c>
      <c r="BF19" s="58">
        <v>0</v>
      </c>
      <c r="BG19" s="58">
        <v>0</v>
      </c>
      <c r="BH19" s="58">
        <f>SUM(D19:BG19)</f>
        <v>87671</v>
      </c>
    </row>
    <row r="20" spans="1:60">
      <c r="A20" s="56" t="s">
        <v>90</v>
      </c>
      <c r="B20" s="56" t="s">
        <v>91</v>
      </c>
      <c r="C20" s="56" t="s">
        <v>65</v>
      </c>
      <c r="D20" s="58">
        <v>0</v>
      </c>
      <c r="E20" s="58">
        <v>0</v>
      </c>
      <c r="F20" s="58">
        <v>1</v>
      </c>
      <c r="G20" s="58">
        <v>0</v>
      </c>
      <c r="H20" s="58">
        <v>46</v>
      </c>
      <c r="I20" s="58">
        <v>345</v>
      </c>
      <c r="J20" s="58">
        <v>1064</v>
      </c>
      <c r="K20" s="58">
        <v>2310</v>
      </c>
      <c r="L20" s="58">
        <v>2609</v>
      </c>
      <c r="M20" s="58">
        <v>3035</v>
      </c>
      <c r="N20" s="58">
        <v>3452</v>
      </c>
      <c r="O20" s="58">
        <v>3850</v>
      </c>
      <c r="P20" s="58">
        <v>3978</v>
      </c>
      <c r="Q20" s="58">
        <v>4456</v>
      </c>
      <c r="R20" s="58">
        <v>4587</v>
      </c>
      <c r="S20" s="58">
        <v>4726</v>
      </c>
      <c r="T20" s="58">
        <v>4724</v>
      </c>
      <c r="U20" s="58">
        <v>4843</v>
      </c>
      <c r="V20" s="58">
        <v>4642</v>
      </c>
      <c r="W20" s="58">
        <v>4400</v>
      </c>
      <c r="X20" s="58">
        <v>4381</v>
      </c>
      <c r="Y20" s="58">
        <v>4189</v>
      </c>
      <c r="Z20" s="58">
        <v>4279</v>
      </c>
      <c r="AA20" s="58">
        <v>3929</v>
      </c>
      <c r="AB20" s="58">
        <v>3821</v>
      </c>
      <c r="AC20" s="58">
        <v>4019</v>
      </c>
      <c r="AD20" s="58">
        <v>4435</v>
      </c>
      <c r="AE20" s="58">
        <v>4639</v>
      </c>
      <c r="AF20" s="58">
        <v>4578</v>
      </c>
      <c r="AG20" s="58">
        <v>4760</v>
      </c>
      <c r="AH20" s="58">
        <v>4685</v>
      </c>
      <c r="AI20" s="58">
        <v>4576</v>
      </c>
      <c r="AJ20" s="58">
        <v>4444</v>
      </c>
      <c r="AK20" s="58">
        <v>4451</v>
      </c>
      <c r="AL20" s="58">
        <v>4512</v>
      </c>
      <c r="AM20" s="58">
        <v>4556</v>
      </c>
      <c r="AN20" s="58">
        <v>4295</v>
      </c>
      <c r="AO20" s="58">
        <v>4132</v>
      </c>
      <c r="AP20" s="58">
        <v>3999</v>
      </c>
      <c r="AQ20" s="58">
        <v>3661</v>
      </c>
      <c r="AR20" s="58">
        <v>2708</v>
      </c>
      <c r="AS20" s="58">
        <v>1303</v>
      </c>
      <c r="AT20" s="58">
        <v>329</v>
      </c>
      <c r="AU20" s="58">
        <v>77</v>
      </c>
      <c r="AV20" s="58">
        <v>37</v>
      </c>
      <c r="AW20" s="58">
        <v>32</v>
      </c>
      <c r="AX20" s="58">
        <v>24</v>
      </c>
      <c r="AY20" s="58">
        <v>19</v>
      </c>
      <c r="AZ20" s="58">
        <v>15</v>
      </c>
      <c r="BA20" s="58">
        <v>10</v>
      </c>
      <c r="BB20" s="58">
        <v>8</v>
      </c>
      <c r="BC20" s="58">
        <v>2</v>
      </c>
      <c r="BD20" s="58">
        <v>1</v>
      </c>
      <c r="BE20" s="58">
        <v>0</v>
      </c>
      <c r="BF20" s="58">
        <v>0</v>
      </c>
      <c r="BG20" s="58">
        <v>0</v>
      </c>
      <c r="BH20" s="58">
        <f>SUM(D20:BG20)</f>
        <v>143974</v>
      </c>
    </row>
    <row r="21" spans="1:60">
      <c r="A21" s="56" t="s">
        <v>92</v>
      </c>
      <c r="B21" s="56" t="s">
        <v>91</v>
      </c>
      <c r="C21" s="56" t="s">
        <v>67</v>
      </c>
      <c r="D21" s="58">
        <v>0</v>
      </c>
      <c r="E21" s="58">
        <v>0</v>
      </c>
      <c r="F21" s="58">
        <v>0</v>
      </c>
      <c r="G21" s="58">
        <v>0</v>
      </c>
      <c r="H21" s="58">
        <v>1</v>
      </c>
      <c r="I21" s="58">
        <v>10</v>
      </c>
      <c r="J21" s="58">
        <v>57</v>
      </c>
      <c r="K21" s="58">
        <v>253</v>
      </c>
      <c r="L21" s="58">
        <v>271</v>
      </c>
      <c r="M21" s="58">
        <v>316</v>
      </c>
      <c r="N21" s="58">
        <v>361</v>
      </c>
      <c r="O21" s="58">
        <v>364</v>
      </c>
      <c r="P21" s="58">
        <v>353</v>
      </c>
      <c r="Q21" s="58">
        <v>454</v>
      </c>
      <c r="R21" s="58">
        <v>429</v>
      </c>
      <c r="S21" s="58">
        <v>461</v>
      </c>
      <c r="T21" s="58">
        <v>430</v>
      </c>
      <c r="U21" s="58">
        <v>425</v>
      </c>
      <c r="V21" s="58">
        <v>465</v>
      </c>
      <c r="W21" s="58">
        <v>422</v>
      </c>
      <c r="X21" s="58">
        <v>386</v>
      </c>
      <c r="Y21" s="58">
        <v>400</v>
      </c>
      <c r="Z21" s="58">
        <v>440</v>
      </c>
      <c r="AA21" s="58">
        <v>418</v>
      </c>
      <c r="AB21" s="58">
        <v>352</v>
      </c>
      <c r="AC21" s="58">
        <v>381</v>
      </c>
      <c r="AD21" s="58">
        <v>412</v>
      </c>
      <c r="AE21" s="58">
        <v>461</v>
      </c>
      <c r="AF21" s="58">
        <v>462</v>
      </c>
      <c r="AG21" s="58">
        <v>459</v>
      </c>
      <c r="AH21" s="58">
        <v>450</v>
      </c>
      <c r="AI21" s="58">
        <v>425</v>
      </c>
      <c r="AJ21" s="58">
        <v>390</v>
      </c>
      <c r="AK21" s="58">
        <v>401</v>
      </c>
      <c r="AL21" s="58">
        <v>405</v>
      </c>
      <c r="AM21" s="58">
        <v>407</v>
      </c>
      <c r="AN21" s="58">
        <v>415</v>
      </c>
      <c r="AO21" s="58">
        <v>379</v>
      </c>
      <c r="AP21" s="58">
        <v>337</v>
      </c>
      <c r="AQ21" s="58">
        <v>372</v>
      </c>
      <c r="AR21" s="58">
        <v>292</v>
      </c>
      <c r="AS21" s="58">
        <v>191</v>
      </c>
      <c r="AT21" s="58">
        <v>45</v>
      </c>
      <c r="AU21" s="58">
        <v>19</v>
      </c>
      <c r="AV21" s="58">
        <v>13</v>
      </c>
      <c r="AW21" s="58">
        <v>10</v>
      </c>
      <c r="AX21" s="58">
        <v>8</v>
      </c>
      <c r="AY21" s="58">
        <v>4</v>
      </c>
      <c r="AZ21" s="58">
        <v>1</v>
      </c>
      <c r="BA21" s="58">
        <v>0</v>
      </c>
      <c r="BB21" s="58">
        <v>0</v>
      </c>
      <c r="BC21" s="58">
        <v>0</v>
      </c>
      <c r="BD21" s="58">
        <v>0</v>
      </c>
      <c r="BE21" s="58">
        <v>0</v>
      </c>
      <c r="BF21" s="58">
        <v>0</v>
      </c>
      <c r="BG21" s="58">
        <v>0</v>
      </c>
      <c r="BH21" s="58">
        <f>SUM(D21:BG21)</f>
        <v>13807</v>
      </c>
    </row>
    <row r="22" spans="1:60">
      <c r="A22" s="56" t="s">
        <v>93</v>
      </c>
      <c r="B22" s="56" t="s">
        <v>91</v>
      </c>
      <c r="C22" s="56" t="s">
        <v>69</v>
      </c>
      <c r="D22" s="58">
        <v>0</v>
      </c>
      <c r="E22" s="58">
        <v>0</v>
      </c>
      <c r="F22" s="58">
        <v>1</v>
      </c>
      <c r="G22" s="58">
        <v>0</v>
      </c>
      <c r="H22" s="58">
        <v>0</v>
      </c>
      <c r="I22" s="58">
        <v>6</v>
      </c>
      <c r="J22" s="58">
        <v>38</v>
      </c>
      <c r="K22" s="58">
        <v>206</v>
      </c>
      <c r="L22" s="58">
        <v>249</v>
      </c>
      <c r="M22" s="58">
        <v>270</v>
      </c>
      <c r="N22" s="58">
        <v>288</v>
      </c>
      <c r="O22" s="58">
        <v>324</v>
      </c>
      <c r="P22" s="58">
        <v>364</v>
      </c>
      <c r="Q22" s="58">
        <v>376</v>
      </c>
      <c r="R22" s="58">
        <v>418</v>
      </c>
      <c r="S22" s="58">
        <v>396</v>
      </c>
      <c r="T22" s="58">
        <v>367</v>
      </c>
      <c r="U22" s="58">
        <v>410</v>
      </c>
      <c r="V22" s="58">
        <v>384</v>
      </c>
      <c r="W22" s="58">
        <v>409</v>
      </c>
      <c r="X22" s="58">
        <v>391</v>
      </c>
      <c r="Y22" s="58">
        <v>367</v>
      </c>
      <c r="Z22" s="58">
        <v>360</v>
      </c>
      <c r="AA22" s="58">
        <v>338</v>
      </c>
      <c r="AB22" s="58">
        <v>304</v>
      </c>
      <c r="AC22" s="58">
        <v>330</v>
      </c>
      <c r="AD22" s="58">
        <v>355</v>
      </c>
      <c r="AE22" s="58">
        <v>386</v>
      </c>
      <c r="AF22" s="58">
        <v>363</v>
      </c>
      <c r="AG22" s="58">
        <v>378</v>
      </c>
      <c r="AH22" s="58">
        <v>393</v>
      </c>
      <c r="AI22" s="58">
        <v>361</v>
      </c>
      <c r="AJ22" s="58">
        <v>350</v>
      </c>
      <c r="AK22" s="58">
        <v>334</v>
      </c>
      <c r="AL22" s="58">
        <v>343</v>
      </c>
      <c r="AM22" s="58">
        <v>361</v>
      </c>
      <c r="AN22" s="58">
        <v>350</v>
      </c>
      <c r="AO22" s="58">
        <v>334</v>
      </c>
      <c r="AP22" s="58">
        <v>326</v>
      </c>
      <c r="AQ22" s="58">
        <v>332</v>
      </c>
      <c r="AR22" s="58">
        <v>275</v>
      </c>
      <c r="AS22" s="58">
        <v>158</v>
      </c>
      <c r="AT22" s="58">
        <v>36</v>
      </c>
      <c r="AU22" s="58">
        <v>7</v>
      </c>
      <c r="AV22" s="58">
        <v>3</v>
      </c>
      <c r="AW22" s="58">
        <v>3</v>
      </c>
      <c r="AX22" s="58">
        <v>0</v>
      </c>
      <c r="AY22" s="58">
        <v>0</v>
      </c>
      <c r="AZ22" s="58">
        <v>0</v>
      </c>
      <c r="BA22" s="58">
        <v>0</v>
      </c>
      <c r="BB22" s="58">
        <v>0</v>
      </c>
      <c r="BC22" s="58">
        <v>0</v>
      </c>
      <c r="BD22" s="58">
        <v>0</v>
      </c>
      <c r="BE22" s="58">
        <v>0</v>
      </c>
      <c r="BF22" s="58">
        <v>0</v>
      </c>
      <c r="BG22" s="58">
        <v>0</v>
      </c>
      <c r="BH22" s="58">
        <f>SUM(D22:BG22)</f>
        <v>12044</v>
      </c>
    </row>
    <row r="23" spans="1:60">
      <c r="A23" s="56" t="s">
        <v>94</v>
      </c>
      <c r="B23" s="56" t="s">
        <v>91</v>
      </c>
      <c r="C23" s="56" t="s">
        <v>71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8</v>
      </c>
      <c r="J23" s="58">
        <v>37</v>
      </c>
      <c r="K23" s="58">
        <v>183</v>
      </c>
      <c r="L23" s="58">
        <v>207</v>
      </c>
      <c r="M23" s="58">
        <v>253</v>
      </c>
      <c r="N23" s="58">
        <v>293</v>
      </c>
      <c r="O23" s="58">
        <v>302</v>
      </c>
      <c r="P23" s="58">
        <v>336</v>
      </c>
      <c r="Q23" s="58">
        <v>361</v>
      </c>
      <c r="R23" s="58">
        <v>383</v>
      </c>
      <c r="S23" s="58">
        <v>381</v>
      </c>
      <c r="T23" s="58">
        <v>436</v>
      </c>
      <c r="U23" s="58">
        <v>393</v>
      </c>
      <c r="V23" s="58">
        <v>407</v>
      </c>
      <c r="W23" s="58">
        <v>368</v>
      </c>
      <c r="X23" s="58">
        <v>372</v>
      </c>
      <c r="Y23" s="58">
        <v>336</v>
      </c>
      <c r="Z23" s="58">
        <v>404</v>
      </c>
      <c r="AA23" s="58">
        <v>318</v>
      </c>
      <c r="AB23" s="58">
        <v>332</v>
      </c>
      <c r="AC23" s="58">
        <v>314</v>
      </c>
      <c r="AD23" s="58">
        <v>375</v>
      </c>
      <c r="AE23" s="58">
        <v>368</v>
      </c>
      <c r="AF23" s="58">
        <v>366</v>
      </c>
      <c r="AG23" s="58">
        <v>376</v>
      </c>
      <c r="AH23" s="58">
        <v>387</v>
      </c>
      <c r="AI23" s="58">
        <v>382</v>
      </c>
      <c r="AJ23" s="58">
        <v>344</v>
      </c>
      <c r="AK23" s="58">
        <v>367</v>
      </c>
      <c r="AL23" s="58">
        <v>410</v>
      </c>
      <c r="AM23" s="58">
        <v>389</v>
      </c>
      <c r="AN23" s="58">
        <v>372</v>
      </c>
      <c r="AO23" s="58">
        <v>355</v>
      </c>
      <c r="AP23" s="58">
        <v>307</v>
      </c>
      <c r="AQ23" s="58">
        <v>387</v>
      </c>
      <c r="AR23" s="58">
        <v>264</v>
      </c>
      <c r="AS23" s="58">
        <v>168</v>
      </c>
      <c r="AT23" s="58">
        <v>30</v>
      </c>
      <c r="AU23" s="58">
        <v>8</v>
      </c>
      <c r="AV23" s="58">
        <v>4</v>
      </c>
      <c r="AW23" s="58">
        <v>0</v>
      </c>
      <c r="AX23" s="58">
        <v>0</v>
      </c>
      <c r="AY23" s="58">
        <v>0</v>
      </c>
      <c r="AZ23" s="58">
        <v>0</v>
      </c>
      <c r="BA23" s="58">
        <v>0</v>
      </c>
      <c r="BB23" s="58">
        <v>0</v>
      </c>
      <c r="BC23" s="58">
        <v>0</v>
      </c>
      <c r="BD23" s="58">
        <v>0</v>
      </c>
      <c r="BE23" s="58">
        <v>0</v>
      </c>
      <c r="BF23" s="58">
        <v>0</v>
      </c>
      <c r="BG23" s="58">
        <v>0</v>
      </c>
      <c r="BH23" s="58">
        <f>SUM(D23:BG23)</f>
        <v>12083</v>
      </c>
    </row>
    <row r="24" spans="1:60">
      <c r="A24" s="56" t="s">
        <v>95</v>
      </c>
      <c r="B24" s="56" t="s">
        <v>91</v>
      </c>
      <c r="C24" s="56" t="s">
        <v>73</v>
      </c>
      <c r="D24" s="58">
        <v>0</v>
      </c>
      <c r="E24" s="58">
        <v>0</v>
      </c>
      <c r="F24" s="58">
        <v>0</v>
      </c>
      <c r="G24" s="58">
        <v>0</v>
      </c>
      <c r="H24" s="58">
        <v>0</v>
      </c>
      <c r="I24" s="58">
        <v>8</v>
      </c>
      <c r="J24" s="58">
        <v>59</v>
      </c>
      <c r="K24" s="58">
        <v>257</v>
      </c>
      <c r="L24" s="58">
        <v>235</v>
      </c>
      <c r="M24" s="58">
        <v>276</v>
      </c>
      <c r="N24" s="58">
        <v>338</v>
      </c>
      <c r="O24" s="58">
        <v>398</v>
      </c>
      <c r="P24" s="58">
        <v>378</v>
      </c>
      <c r="Q24" s="58">
        <v>464</v>
      </c>
      <c r="R24" s="58">
        <v>438</v>
      </c>
      <c r="S24" s="58">
        <v>481</v>
      </c>
      <c r="T24" s="58">
        <v>455</v>
      </c>
      <c r="U24" s="58">
        <v>493</v>
      </c>
      <c r="V24" s="58">
        <v>478</v>
      </c>
      <c r="W24" s="58">
        <v>403</v>
      </c>
      <c r="X24" s="58">
        <v>374</v>
      </c>
      <c r="Y24" s="58">
        <v>360</v>
      </c>
      <c r="Z24" s="58">
        <v>389</v>
      </c>
      <c r="AA24" s="58">
        <v>362</v>
      </c>
      <c r="AB24" s="58">
        <v>330</v>
      </c>
      <c r="AC24" s="58">
        <v>326</v>
      </c>
      <c r="AD24" s="58">
        <v>339</v>
      </c>
      <c r="AE24" s="58">
        <v>374</v>
      </c>
      <c r="AF24" s="58">
        <v>381</v>
      </c>
      <c r="AG24" s="58">
        <v>434</v>
      </c>
      <c r="AH24" s="58">
        <v>387</v>
      </c>
      <c r="AI24" s="58">
        <v>423</v>
      </c>
      <c r="AJ24" s="58">
        <v>368</v>
      </c>
      <c r="AK24" s="58">
        <v>370</v>
      </c>
      <c r="AL24" s="58">
        <v>373</v>
      </c>
      <c r="AM24" s="58">
        <v>378</v>
      </c>
      <c r="AN24" s="58">
        <v>391</v>
      </c>
      <c r="AO24" s="58">
        <v>385</v>
      </c>
      <c r="AP24" s="58">
        <v>365</v>
      </c>
      <c r="AQ24" s="58">
        <v>408</v>
      </c>
      <c r="AR24" s="58">
        <v>330</v>
      </c>
      <c r="AS24" s="58">
        <v>181</v>
      </c>
      <c r="AT24" s="58">
        <v>42</v>
      </c>
      <c r="AU24" s="58">
        <v>9</v>
      </c>
      <c r="AV24" s="58">
        <v>3</v>
      </c>
      <c r="AW24" s="58">
        <v>0</v>
      </c>
      <c r="AX24" s="58">
        <v>0</v>
      </c>
      <c r="AY24" s="58">
        <v>0</v>
      </c>
      <c r="AZ24" s="58">
        <v>0</v>
      </c>
      <c r="BA24" s="58">
        <v>0</v>
      </c>
      <c r="BB24" s="58">
        <v>0</v>
      </c>
      <c r="BC24" s="58">
        <v>0</v>
      </c>
      <c r="BD24" s="58">
        <v>0</v>
      </c>
      <c r="BE24" s="58">
        <v>0</v>
      </c>
      <c r="BF24" s="58">
        <v>0</v>
      </c>
      <c r="BG24" s="58">
        <v>0</v>
      </c>
      <c r="BH24" s="58">
        <f>SUM(D24:BG24)</f>
        <v>13243</v>
      </c>
    </row>
    <row r="25" spans="1:60">
      <c r="A25" s="56" t="s">
        <v>96</v>
      </c>
      <c r="B25" s="56" t="s">
        <v>91</v>
      </c>
      <c r="C25" s="56" t="s">
        <v>75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3</v>
      </c>
      <c r="J25" s="58">
        <v>28</v>
      </c>
      <c r="K25" s="58">
        <v>179</v>
      </c>
      <c r="L25" s="58">
        <v>198</v>
      </c>
      <c r="M25" s="58">
        <v>271</v>
      </c>
      <c r="N25" s="58">
        <v>279</v>
      </c>
      <c r="O25" s="58">
        <v>331</v>
      </c>
      <c r="P25" s="58">
        <v>297</v>
      </c>
      <c r="Q25" s="58">
        <v>353</v>
      </c>
      <c r="R25" s="58">
        <v>354</v>
      </c>
      <c r="S25" s="58">
        <v>385</v>
      </c>
      <c r="T25" s="58">
        <v>390</v>
      </c>
      <c r="U25" s="58">
        <v>358</v>
      </c>
      <c r="V25" s="58">
        <v>396</v>
      </c>
      <c r="W25" s="58">
        <v>300</v>
      </c>
      <c r="X25" s="58">
        <v>353</v>
      </c>
      <c r="Y25" s="58">
        <v>313</v>
      </c>
      <c r="Z25" s="58">
        <v>332</v>
      </c>
      <c r="AA25" s="58">
        <v>284</v>
      </c>
      <c r="AB25" s="58">
        <v>275</v>
      </c>
      <c r="AC25" s="58">
        <v>284</v>
      </c>
      <c r="AD25" s="58">
        <v>338</v>
      </c>
      <c r="AE25" s="58">
        <v>371</v>
      </c>
      <c r="AF25" s="58">
        <v>380</v>
      </c>
      <c r="AG25" s="58">
        <v>325</v>
      </c>
      <c r="AH25" s="58">
        <v>328</v>
      </c>
      <c r="AI25" s="58">
        <v>350</v>
      </c>
      <c r="AJ25" s="58">
        <v>364</v>
      </c>
      <c r="AK25" s="58">
        <v>373</v>
      </c>
      <c r="AL25" s="58">
        <v>372</v>
      </c>
      <c r="AM25" s="58">
        <v>344</v>
      </c>
      <c r="AN25" s="58">
        <v>340</v>
      </c>
      <c r="AO25" s="58">
        <v>314</v>
      </c>
      <c r="AP25" s="58">
        <v>295</v>
      </c>
      <c r="AQ25" s="58">
        <v>279</v>
      </c>
      <c r="AR25" s="58">
        <v>251</v>
      </c>
      <c r="AS25" s="58">
        <v>142</v>
      </c>
      <c r="AT25" s="58">
        <v>37</v>
      </c>
      <c r="AU25" s="58">
        <v>10</v>
      </c>
      <c r="AV25" s="58">
        <v>3</v>
      </c>
      <c r="AW25" s="58">
        <v>0</v>
      </c>
      <c r="AX25" s="58">
        <v>0</v>
      </c>
      <c r="AY25" s="58">
        <v>0</v>
      </c>
      <c r="AZ25" s="58">
        <v>0</v>
      </c>
      <c r="BA25" s="58">
        <v>0</v>
      </c>
      <c r="BB25" s="58">
        <v>0</v>
      </c>
      <c r="BC25" s="58">
        <v>0</v>
      </c>
      <c r="BD25" s="58">
        <v>0</v>
      </c>
      <c r="BE25" s="58">
        <v>0</v>
      </c>
      <c r="BF25" s="58">
        <v>0</v>
      </c>
      <c r="BG25" s="58">
        <v>0</v>
      </c>
      <c r="BH25" s="58">
        <f>SUM(D25:BG25)</f>
        <v>11179</v>
      </c>
    </row>
    <row r="26" spans="1:60">
      <c r="A26" s="56" t="s">
        <v>97</v>
      </c>
      <c r="B26" s="56" t="s">
        <v>91</v>
      </c>
      <c r="C26" s="56" t="s">
        <v>77</v>
      </c>
      <c r="D26" s="58">
        <v>0</v>
      </c>
      <c r="E26" s="58">
        <v>0</v>
      </c>
      <c r="F26" s="58">
        <v>0</v>
      </c>
      <c r="G26" s="58">
        <v>0</v>
      </c>
      <c r="H26" s="58">
        <v>0</v>
      </c>
      <c r="I26" s="58">
        <v>7</v>
      </c>
      <c r="J26" s="58">
        <v>30</v>
      </c>
      <c r="K26" s="58">
        <v>182</v>
      </c>
      <c r="L26" s="58">
        <v>221</v>
      </c>
      <c r="M26" s="58">
        <v>216</v>
      </c>
      <c r="N26" s="58">
        <v>284</v>
      </c>
      <c r="O26" s="58">
        <v>303</v>
      </c>
      <c r="P26" s="58">
        <v>333</v>
      </c>
      <c r="Q26" s="58">
        <v>375</v>
      </c>
      <c r="R26" s="58">
        <v>390</v>
      </c>
      <c r="S26" s="58">
        <v>363</v>
      </c>
      <c r="T26" s="58">
        <v>392</v>
      </c>
      <c r="U26" s="58">
        <v>419</v>
      </c>
      <c r="V26" s="58">
        <v>368</v>
      </c>
      <c r="W26" s="58">
        <v>361</v>
      </c>
      <c r="X26" s="58">
        <v>338</v>
      </c>
      <c r="Y26" s="58">
        <v>316</v>
      </c>
      <c r="Z26" s="58">
        <v>375</v>
      </c>
      <c r="AA26" s="58">
        <v>333</v>
      </c>
      <c r="AB26" s="58">
        <v>264</v>
      </c>
      <c r="AC26" s="58">
        <v>280</v>
      </c>
      <c r="AD26" s="58">
        <v>355</v>
      </c>
      <c r="AE26" s="58">
        <v>371</v>
      </c>
      <c r="AF26" s="58">
        <v>343</v>
      </c>
      <c r="AG26" s="58">
        <v>351</v>
      </c>
      <c r="AH26" s="58">
        <v>353</v>
      </c>
      <c r="AI26" s="58">
        <v>363</v>
      </c>
      <c r="AJ26" s="58">
        <v>362</v>
      </c>
      <c r="AK26" s="58">
        <v>367</v>
      </c>
      <c r="AL26" s="58">
        <v>355</v>
      </c>
      <c r="AM26" s="58">
        <v>388</v>
      </c>
      <c r="AN26" s="58">
        <v>347</v>
      </c>
      <c r="AO26" s="58">
        <v>321</v>
      </c>
      <c r="AP26" s="58">
        <v>338</v>
      </c>
      <c r="AQ26" s="58">
        <v>310</v>
      </c>
      <c r="AR26" s="58">
        <v>293</v>
      </c>
      <c r="AS26" s="58">
        <v>159</v>
      </c>
      <c r="AT26" s="58">
        <v>43</v>
      </c>
      <c r="AU26" s="58">
        <v>4</v>
      </c>
      <c r="AV26" s="58">
        <v>0</v>
      </c>
      <c r="AW26" s="58">
        <v>0</v>
      </c>
      <c r="AX26" s="58">
        <v>0</v>
      </c>
      <c r="AY26" s="58">
        <v>0</v>
      </c>
      <c r="AZ26" s="58">
        <v>0</v>
      </c>
      <c r="BA26" s="58">
        <v>0</v>
      </c>
      <c r="BB26" s="58">
        <v>0</v>
      </c>
      <c r="BC26" s="58">
        <v>0</v>
      </c>
      <c r="BD26" s="58">
        <v>0</v>
      </c>
      <c r="BE26" s="58">
        <v>0</v>
      </c>
      <c r="BF26" s="58">
        <v>0</v>
      </c>
      <c r="BG26" s="58">
        <v>0</v>
      </c>
      <c r="BH26" s="58">
        <f>SUM(D26:BG26)</f>
        <v>11573</v>
      </c>
    </row>
    <row r="27" spans="1:60">
      <c r="A27" s="56" t="s">
        <v>98</v>
      </c>
      <c r="B27" s="56" t="s">
        <v>91</v>
      </c>
      <c r="C27" s="56" t="s">
        <v>79</v>
      </c>
      <c r="D27" s="58">
        <v>0</v>
      </c>
      <c r="E27" s="58">
        <v>0</v>
      </c>
      <c r="F27" s="58">
        <v>0</v>
      </c>
      <c r="G27" s="58">
        <v>0</v>
      </c>
      <c r="H27" s="58">
        <v>0</v>
      </c>
      <c r="I27" s="58">
        <v>4</v>
      </c>
      <c r="J27" s="58">
        <v>28</v>
      </c>
      <c r="K27" s="58">
        <v>177</v>
      </c>
      <c r="L27" s="58">
        <v>212</v>
      </c>
      <c r="M27" s="58">
        <v>249</v>
      </c>
      <c r="N27" s="58">
        <v>275</v>
      </c>
      <c r="O27" s="58">
        <v>325</v>
      </c>
      <c r="P27" s="58">
        <v>350</v>
      </c>
      <c r="Q27" s="58">
        <v>401</v>
      </c>
      <c r="R27" s="58">
        <v>414</v>
      </c>
      <c r="S27" s="58">
        <v>429</v>
      </c>
      <c r="T27" s="58">
        <v>385</v>
      </c>
      <c r="U27" s="58">
        <v>436</v>
      </c>
      <c r="V27" s="58">
        <v>405</v>
      </c>
      <c r="W27" s="58">
        <v>397</v>
      </c>
      <c r="X27" s="58">
        <v>361</v>
      </c>
      <c r="Y27" s="58">
        <v>378</v>
      </c>
      <c r="Z27" s="58">
        <v>357</v>
      </c>
      <c r="AA27" s="58">
        <v>349</v>
      </c>
      <c r="AB27" s="58">
        <v>313</v>
      </c>
      <c r="AC27" s="58">
        <v>330</v>
      </c>
      <c r="AD27" s="58">
        <v>384</v>
      </c>
      <c r="AE27" s="58">
        <v>421</v>
      </c>
      <c r="AF27" s="58">
        <v>358</v>
      </c>
      <c r="AG27" s="58">
        <v>378</v>
      </c>
      <c r="AH27" s="58">
        <v>410</v>
      </c>
      <c r="AI27" s="58">
        <v>387</v>
      </c>
      <c r="AJ27" s="58">
        <v>417</v>
      </c>
      <c r="AK27" s="58">
        <v>390</v>
      </c>
      <c r="AL27" s="58">
        <v>419</v>
      </c>
      <c r="AM27" s="58">
        <v>409</v>
      </c>
      <c r="AN27" s="58">
        <v>400</v>
      </c>
      <c r="AO27" s="58">
        <v>393</v>
      </c>
      <c r="AP27" s="58">
        <v>367</v>
      </c>
      <c r="AQ27" s="58">
        <v>364</v>
      </c>
      <c r="AR27" s="58">
        <v>309</v>
      </c>
      <c r="AS27" s="58">
        <v>158</v>
      </c>
      <c r="AT27" s="58">
        <v>56</v>
      </c>
      <c r="AU27" s="58">
        <v>4</v>
      </c>
      <c r="AV27" s="58">
        <v>2</v>
      </c>
      <c r="AW27" s="58">
        <v>2</v>
      </c>
      <c r="AX27" s="58">
        <v>4</v>
      </c>
      <c r="AY27" s="58">
        <v>3</v>
      </c>
      <c r="AZ27" s="58">
        <v>3</v>
      </c>
      <c r="BA27" s="58">
        <v>5</v>
      </c>
      <c r="BB27" s="58">
        <v>6</v>
      </c>
      <c r="BC27" s="58">
        <v>0</v>
      </c>
      <c r="BD27" s="58">
        <v>1</v>
      </c>
      <c r="BE27" s="58">
        <v>0</v>
      </c>
      <c r="BF27" s="58">
        <v>0</v>
      </c>
      <c r="BG27" s="58">
        <v>0</v>
      </c>
      <c r="BH27" s="58">
        <f>SUM(D27:BG27)</f>
        <v>12625</v>
      </c>
    </row>
    <row r="28" spans="1:60">
      <c r="A28" s="56" t="s">
        <v>99</v>
      </c>
      <c r="B28" s="56" t="s">
        <v>91</v>
      </c>
      <c r="C28" s="56" t="s">
        <v>81</v>
      </c>
      <c r="D28" s="58">
        <v>0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19</v>
      </c>
      <c r="K28" s="58">
        <v>143</v>
      </c>
      <c r="L28" s="58">
        <v>174</v>
      </c>
      <c r="M28" s="58">
        <v>191</v>
      </c>
      <c r="N28" s="58">
        <v>239</v>
      </c>
      <c r="O28" s="58">
        <v>262</v>
      </c>
      <c r="P28" s="58">
        <v>271</v>
      </c>
      <c r="Q28" s="58">
        <v>324</v>
      </c>
      <c r="R28" s="58">
        <v>352</v>
      </c>
      <c r="S28" s="58">
        <v>367</v>
      </c>
      <c r="T28" s="58">
        <v>377</v>
      </c>
      <c r="U28" s="58">
        <v>387</v>
      </c>
      <c r="V28" s="58">
        <v>361</v>
      </c>
      <c r="W28" s="58">
        <v>338</v>
      </c>
      <c r="X28" s="58">
        <v>356</v>
      </c>
      <c r="Y28" s="58">
        <v>298</v>
      </c>
      <c r="Z28" s="58">
        <v>300</v>
      </c>
      <c r="AA28" s="58">
        <v>313</v>
      </c>
      <c r="AB28" s="58">
        <v>285</v>
      </c>
      <c r="AC28" s="58">
        <v>260</v>
      </c>
      <c r="AD28" s="58">
        <v>298</v>
      </c>
      <c r="AE28" s="58">
        <v>363</v>
      </c>
      <c r="AF28" s="58">
        <v>399</v>
      </c>
      <c r="AG28" s="58">
        <v>410</v>
      </c>
      <c r="AH28" s="58">
        <v>419</v>
      </c>
      <c r="AI28" s="58">
        <v>358</v>
      </c>
      <c r="AJ28" s="58">
        <v>349</v>
      </c>
      <c r="AK28" s="58">
        <v>351</v>
      </c>
      <c r="AL28" s="58">
        <v>355</v>
      </c>
      <c r="AM28" s="58">
        <v>360</v>
      </c>
      <c r="AN28" s="58">
        <v>355</v>
      </c>
      <c r="AO28" s="58">
        <v>298</v>
      </c>
      <c r="AP28" s="58">
        <v>355</v>
      </c>
      <c r="AQ28" s="58">
        <v>292</v>
      </c>
      <c r="AR28" s="58">
        <v>292</v>
      </c>
      <c r="AS28" s="58">
        <v>130</v>
      </c>
      <c r="AT28" s="58">
        <v>35</v>
      </c>
      <c r="AU28" s="58">
        <v>6</v>
      </c>
      <c r="AV28" s="58">
        <v>0</v>
      </c>
      <c r="AW28" s="58">
        <v>0</v>
      </c>
      <c r="AX28" s="58">
        <v>0</v>
      </c>
      <c r="AY28" s="58">
        <v>0</v>
      </c>
      <c r="AZ28" s="58">
        <v>0</v>
      </c>
      <c r="BA28" s="58">
        <v>0</v>
      </c>
      <c r="BB28" s="58">
        <v>0</v>
      </c>
      <c r="BC28" s="58">
        <v>0</v>
      </c>
      <c r="BD28" s="58">
        <v>0</v>
      </c>
      <c r="BE28" s="58">
        <v>0</v>
      </c>
      <c r="BF28" s="58">
        <v>0</v>
      </c>
      <c r="BG28" s="58">
        <v>0</v>
      </c>
      <c r="BH28" s="58">
        <f>SUM(D28:BG28)</f>
        <v>11042</v>
      </c>
    </row>
    <row r="29" spans="1:60">
      <c r="A29" s="56" t="s">
        <v>100</v>
      </c>
      <c r="B29" s="56" t="s">
        <v>91</v>
      </c>
      <c r="C29" s="56" t="s">
        <v>83</v>
      </c>
      <c r="D29" s="58">
        <v>0</v>
      </c>
      <c r="E29" s="58">
        <v>0</v>
      </c>
      <c r="F29" s="58">
        <v>0</v>
      </c>
      <c r="G29" s="58">
        <v>0</v>
      </c>
      <c r="H29" s="58">
        <v>6</v>
      </c>
      <c r="I29" s="58">
        <v>33</v>
      </c>
      <c r="J29" s="58">
        <v>87</v>
      </c>
      <c r="K29" s="58">
        <v>75</v>
      </c>
      <c r="L29" s="58">
        <v>116</v>
      </c>
      <c r="M29" s="58">
        <v>121</v>
      </c>
      <c r="N29" s="58">
        <v>130</v>
      </c>
      <c r="O29" s="58">
        <v>154</v>
      </c>
      <c r="P29" s="58">
        <v>161</v>
      </c>
      <c r="Q29" s="58">
        <v>156</v>
      </c>
      <c r="R29" s="58">
        <v>168</v>
      </c>
      <c r="S29" s="58">
        <v>172</v>
      </c>
      <c r="T29" s="58">
        <v>200</v>
      </c>
      <c r="U29" s="58">
        <v>216</v>
      </c>
      <c r="V29" s="58">
        <v>201</v>
      </c>
      <c r="W29" s="58">
        <v>224</v>
      </c>
      <c r="X29" s="58">
        <v>201</v>
      </c>
      <c r="Y29" s="58">
        <v>209</v>
      </c>
      <c r="Z29" s="58">
        <v>187</v>
      </c>
      <c r="AA29" s="58">
        <v>160</v>
      </c>
      <c r="AB29" s="58">
        <v>176</v>
      </c>
      <c r="AC29" s="58">
        <v>214</v>
      </c>
      <c r="AD29" s="58">
        <v>196</v>
      </c>
      <c r="AE29" s="58">
        <v>223</v>
      </c>
      <c r="AF29" s="58">
        <v>218</v>
      </c>
      <c r="AG29" s="58">
        <v>250</v>
      </c>
      <c r="AH29" s="58">
        <v>191</v>
      </c>
      <c r="AI29" s="58">
        <v>222</v>
      </c>
      <c r="AJ29" s="58">
        <v>192</v>
      </c>
      <c r="AK29" s="58">
        <v>192</v>
      </c>
      <c r="AL29" s="58">
        <v>194</v>
      </c>
      <c r="AM29" s="58">
        <v>177</v>
      </c>
      <c r="AN29" s="58">
        <v>165</v>
      </c>
      <c r="AO29" s="58">
        <v>191</v>
      </c>
      <c r="AP29" s="58">
        <v>189</v>
      </c>
      <c r="AQ29" s="58">
        <v>110</v>
      </c>
      <c r="AR29" s="58">
        <v>44</v>
      </c>
      <c r="AS29" s="58">
        <v>1</v>
      </c>
      <c r="AT29" s="58">
        <v>3</v>
      </c>
      <c r="AU29" s="58">
        <v>3</v>
      </c>
      <c r="AV29" s="58">
        <v>4</v>
      </c>
      <c r="AW29" s="58">
        <v>7</v>
      </c>
      <c r="AX29" s="58">
        <v>2</v>
      </c>
      <c r="AY29" s="58">
        <v>7</v>
      </c>
      <c r="AZ29" s="58">
        <v>5</v>
      </c>
      <c r="BA29" s="58">
        <v>3</v>
      </c>
      <c r="BB29" s="58">
        <v>1</v>
      </c>
      <c r="BC29" s="58">
        <v>1</v>
      </c>
      <c r="BD29" s="58">
        <v>0</v>
      </c>
      <c r="BE29" s="58">
        <v>0</v>
      </c>
      <c r="BF29" s="58">
        <v>0</v>
      </c>
      <c r="BG29" s="58">
        <v>0</v>
      </c>
      <c r="BH29" s="58">
        <f>SUM(D29:BG29)</f>
        <v>6158</v>
      </c>
    </row>
    <row r="30" spans="1:60">
      <c r="A30" s="56" t="s">
        <v>101</v>
      </c>
      <c r="B30" s="56" t="s">
        <v>91</v>
      </c>
      <c r="C30" s="56" t="s">
        <v>85</v>
      </c>
      <c r="D30" s="58">
        <v>0</v>
      </c>
      <c r="E30" s="58">
        <v>0</v>
      </c>
      <c r="F30" s="58">
        <v>0</v>
      </c>
      <c r="G30" s="58">
        <v>0</v>
      </c>
      <c r="H30" s="58">
        <v>13</v>
      </c>
      <c r="I30" s="58">
        <v>71</v>
      </c>
      <c r="J30" s="58">
        <v>209</v>
      </c>
      <c r="K30" s="58">
        <v>189</v>
      </c>
      <c r="L30" s="58">
        <v>234</v>
      </c>
      <c r="M30" s="58">
        <v>273</v>
      </c>
      <c r="N30" s="58">
        <v>292</v>
      </c>
      <c r="O30" s="58">
        <v>316</v>
      </c>
      <c r="P30" s="58">
        <v>348</v>
      </c>
      <c r="Q30" s="58">
        <v>370</v>
      </c>
      <c r="R30" s="58">
        <v>387</v>
      </c>
      <c r="S30" s="58">
        <v>410</v>
      </c>
      <c r="T30" s="58">
        <v>374</v>
      </c>
      <c r="U30" s="58">
        <v>389</v>
      </c>
      <c r="V30" s="58">
        <v>367</v>
      </c>
      <c r="W30" s="58">
        <v>359</v>
      </c>
      <c r="X30" s="58">
        <v>364</v>
      </c>
      <c r="Y30" s="58">
        <v>352</v>
      </c>
      <c r="Z30" s="58">
        <v>310</v>
      </c>
      <c r="AA30" s="58">
        <v>324</v>
      </c>
      <c r="AB30" s="58">
        <v>373</v>
      </c>
      <c r="AC30" s="58">
        <v>408</v>
      </c>
      <c r="AD30" s="58">
        <v>428</v>
      </c>
      <c r="AE30" s="58">
        <v>411</v>
      </c>
      <c r="AF30" s="58">
        <v>413</v>
      </c>
      <c r="AG30" s="58">
        <v>453</v>
      </c>
      <c r="AH30" s="58">
        <v>427</v>
      </c>
      <c r="AI30" s="58">
        <v>394</v>
      </c>
      <c r="AJ30" s="58">
        <v>414</v>
      </c>
      <c r="AK30" s="58">
        <v>395</v>
      </c>
      <c r="AL30" s="58">
        <v>423</v>
      </c>
      <c r="AM30" s="58">
        <v>411</v>
      </c>
      <c r="AN30" s="58">
        <v>359</v>
      </c>
      <c r="AO30" s="58">
        <v>373</v>
      </c>
      <c r="AP30" s="58">
        <v>346</v>
      </c>
      <c r="AQ30" s="58">
        <v>229</v>
      </c>
      <c r="AR30" s="58">
        <v>106</v>
      </c>
      <c r="AS30" s="58">
        <v>8</v>
      </c>
      <c r="AT30" s="58">
        <v>1</v>
      </c>
      <c r="AU30" s="58">
        <v>0</v>
      </c>
      <c r="AV30" s="58">
        <v>0</v>
      </c>
      <c r="AW30" s="58">
        <v>0</v>
      </c>
      <c r="AX30" s="58">
        <v>0</v>
      </c>
      <c r="AY30" s="58">
        <v>0</v>
      </c>
      <c r="AZ30" s="58">
        <v>0</v>
      </c>
      <c r="BA30" s="58">
        <v>0</v>
      </c>
      <c r="BB30" s="58">
        <v>0</v>
      </c>
      <c r="BC30" s="58">
        <v>0</v>
      </c>
      <c r="BD30" s="58">
        <v>0</v>
      </c>
      <c r="BE30" s="58">
        <v>0</v>
      </c>
      <c r="BF30" s="58">
        <v>0</v>
      </c>
      <c r="BG30" s="58">
        <v>0</v>
      </c>
      <c r="BH30" s="58">
        <f>SUM(D30:BG30)</f>
        <v>12323</v>
      </c>
    </row>
    <row r="31" spans="1:60">
      <c r="A31" s="56" t="s">
        <v>102</v>
      </c>
      <c r="B31" s="56" t="s">
        <v>91</v>
      </c>
      <c r="C31" s="56" t="s">
        <v>87</v>
      </c>
      <c r="D31" s="58">
        <v>0</v>
      </c>
      <c r="E31" s="58">
        <v>0</v>
      </c>
      <c r="F31" s="58">
        <v>0</v>
      </c>
      <c r="G31" s="58">
        <v>0</v>
      </c>
      <c r="H31" s="58">
        <v>7</v>
      </c>
      <c r="I31" s="58">
        <v>82</v>
      </c>
      <c r="J31" s="58">
        <v>178</v>
      </c>
      <c r="K31" s="58">
        <v>169</v>
      </c>
      <c r="L31" s="58">
        <v>205</v>
      </c>
      <c r="M31" s="58">
        <v>238</v>
      </c>
      <c r="N31" s="58">
        <v>289</v>
      </c>
      <c r="O31" s="58">
        <v>308</v>
      </c>
      <c r="P31" s="58">
        <v>327</v>
      </c>
      <c r="Q31" s="58">
        <v>344</v>
      </c>
      <c r="R31" s="58">
        <v>405</v>
      </c>
      <c r="S31" s="58">
        <v>390</v>
      </c>
      <c r="T31" s="58">
        <v>377</v>
      </c>
      <c r="U31" s="58">
        <v>380</v>
      </c>
      <c r="V31" s="58">
        <v>365</v>
      </c>
      <c r="W31" s="58">
        <v>376</v>
      </c>
      <c r="X31" s="58">
        <v>416</v>
      </c>
      <c r="Y31" s="58">
        <v>380</v>
      </c>
      <c r="Z31" s="58">
        <v>371</v>
      </c>
      <c r="AA31" s="58">
        <v>313</v>
      </c>
      <c r="AB31" s="58">
        <v>377</v>
      </c>
      <c r="AC31" s="58">
        <v>436</v>
      </c>
      <c r="AD31" s="58">
        <v>460</v>
      </c>
      <c r="AE31" s="58">
        <v>384</v>
      </c>
      <c r="AF31" s="58">
        <v>412</v>
      </c>
      <c r="AG31" s="58">
        <v>421</v>
      </c>
      <c r="AH31" s="58">
        <v>412</v>
      </c>
      <c r="AI31" s="58">
        <v>407</v>
      </c>
      <c r="AJ31" s="58">
        <v>375</v>
      </c>
      <c r="AK31" s="58">
        <v>413</v>
      </c>
      <c r="AL31" s="58">
        <v>390</v>
      </c>
      <c r="AM31" s="58">
        <v>404</v>
      </c>
      <c r="AN31" s="58">
        <v>346</v>
      </c>
      <c r="AO31" s="58">
        <v>347</v>
      </c>
      <c r="AP31" s="58">
        <v>335</v>
      </c>
      <c r="AQ31" s="58">
        <v>246</v>
      </c>
      <c r="AR31" s="58">
        <v>113</v>
      </c>
      <c r="AS31" s="58">
        <v>2</v>
      </c>
      <c r="AT31" s="58">
        <v>0</v>
      </c>
      <c r="AU31" s="58">
        <v>1</v>
      </c>
      <c r="AV31" s="58">
        <v>2</v>
      </c>
      <c r="AW31" s="58">
        <v>4</v>
      </c>
      <c r="AX31" s="58">
        <v>2</v>
      </c>
      <c r="AY31" s="58">
        <v>3</v>
      </c>
      <c r="AZ31" s="58">
        <v>6</v>
      </c>
      <c r="BA31" s="58">
        <v>2</v>
      </c>
      <c r="BB31" s="58">
        <v>1</v>
      </c>
      <c r="BC31" s="58">
        <v>1</v>
      </c>
      <c r="BD31" s="58">
        <v>0</v>
      </c>
      <c r="BE31" s="58">
        <v>0</v>
      </c>
      <c r="BF31" s="58">
        <v>0</v>
      </c>
      <c r="BG31" s="58">
        <v>0</v>
      </c>
      <c r="BH31" s="58">
        <f>SUM(D31:BG31)</f>
        <v>12222</v>
      </c>
    </row>
    <row r="32" spans="1:60">
      <c r="A32" s="56" t="s">
        <v>103</v>
      </c>
      <c r="B32" s="56" t="s">
        <v>91</v>
      </c>
      <c r="C32" s="56" t="s">
        <v>89</v>
      </c>
      <c r="D32" s="58">
        <v>0</v>
      </c>
      <c r="E32" s="58">
        <v>0</v>
      </c>
      <c r="F32" s="58">
        <v>0</v>
      </c>
      <c r="G32" s="58">
        <v>0</v>
      </c>
      <c r="H32" s="58">
        <v>19</v>
      </c>
      <c r="I32" s="58">
        <v>113</v>
      </c>
      <c r="J32" s="58">
        <v>294</v>
      </c>
      <c r="K32" s="58">
        <v>297</v>
      </c>
      <c r="L32" s="58">
        <v>287</v>
      </c>
      <c r="M32" s="58">
        <v>361</v>
      </c>
      <c r="N32" s="58">
        <v>384</v>
      </c>
      <c r="O32" s="58">
        <v>463</v>
      </c>
      <c r="P32" s="58">
        <v>460</v>
      </c>
      <c r="Q32" s="58">
        <v>478</v>
      </c>
      <c r="R32" s="58">
        <v>449</v>
      </c>
      <c r="S32" s="58">
        <v>491</v>
      </c>
      <c r="T32" s="58">
        <v>541</v>
      </c>
      <c r="U32" s="58">
        <v>537</v>
      </c>
      <c r="V32" s="58">
        <v>445</v>
      </c>
      <c r="W32" s="58">
        <v>443</v>
      </c>
      <c r="X32" s="58">
        <v>469</v>
      </c>
      <c r="Y32" s="58">
        <v>480</v>
      </c>
      <c r="Z32" s="58">
        <v>454</v>
      </c>
      <c r="AA32" s="58">
        <v>417</v>
      </c>
      <c r="AB32" s="58">
        <v>440</v>
      </c>
      <c r="AC32" s="58">
        <v>456</v>
      </c>
      <c r="AD32" s="58">
        <v>495</v>
      </c>
      <c r="AE32" s="58">
        <v>506</v>
      </c>
      <c r="AF32" s="58">
        <v>483</v>
      </c>
      <c r="AG32" s="58">
        <v>525</v>
      </c>
      <c r="AH32" s="58">
        <v>528</v>
      </c>
      <c r="AI32" s="58">
        <v>504</v>
      </c>
      <c r="AJ32" s="58">
        <v>519</v>
      </c>
      <c r="AK32" s="58">
        <v>498</v>
      </c>
      <c r="AL32" s="58">
        <v>473</v>
      </c>
      <c r="AM32" s="58">
        <v>528</v>
      </c>
      <c r="AN32" s="58">
        <v>455</v>
      </c>
      <c r="AO32" s="58">
        <v>442</v>
      </c>
      <c r="AP32" s="58">
        <v>439</v>
      </c>
      <c r="AQ32" s="58">
        <v>332</v>
      </c>
      <c r="AR32" s="58">
        <v>139</v>
      </c>
      <c r="AS32" s="58">
        <v>5</v>
      </c>
      <c r="AT32" s="58">
        <v>1</v>
      </c>
      <c r="AU32" s="58">
        <v>6</v>
      </c>
      <c r="AV32" s="58">
        <v>3</v>
      </c>
      <c r="AW32" s="58">
        <v>6</v>
      </c>
      <c r="AX32" s="58">
        <v>8</v>
      </c>
      <c r="AY32" s="58">
        <v>2</v>
      </c>
      <c r="AZ32" s="58">
        <v>0</v>
      </c>
      <c r="BA32" s="58">
        <v>0</v>
      </c>
      <c r="BB32" s="58">
        <v>0</v>
      </c>
      <c r="BC32" s="58">
        <v>0</v>
      </c>
      <c r="BD32" s="58">
        <v>0</v>
      </c>
      <c r="BE32" s="58">
        <v>0</v>
      </c>
      <c r="BF32" s="58">
        <v>0</v>
      </c>
      <c r="BG32" s="58">
        <v>0</v>
      </c>
      <c r="BH32" s="58">
        <f>SUM(D32:BG32)</f>
        <v>15675</v>
      </c>
    </row>
    <row r="33" spans="1:60">
      <c r="A33" s="56" t="s">
        <v>104</v>
      </c>
      <c r="B33" s="56" t="s">
        <v>105</v>
      </c>
      <c r="C33" s="56" t="s">
        <v>65</v>
      </c>
      <c r="D33" s="58">
        <v>0</v>
      </c>
      <c r="E33" s="58">
        <v>0</v>
      </c>
      <c r="F33" s="58">
        <v>0</v>
      </c>
      <c r="G33" s="58">
        <v>9</v>
      </c>
      <c r="H33" s="58">
        <v>137</v>
      </c>
      <c r="I33" s="58">
        <v>1027</v>
      </c>
      <c r="J33" s="58">
        <v>1681</v>
      </c>
      <c r="K33" s="58">
        <v>1814</v>
      </c>
      <c r="L33" s="58">
        <v>2096</v>
      </c>
      <c r="M33" s="58">
        <v>2300</v>
      </c>
      <c r="N33" s="58">
        <v>2473</v>
      </c>
      <c r="O33" s="58">
        <v>2674</v>
      </c>
      <c r="P33" s="58">
        <v>2916</v>
      </c>
      <c r="Q33" s="58">
        <v>2914</v>
      </c>
      <c r="R33" s="58">
        <v>2871</v>
      </c>
      <c r="S33" s="58">
        <v>2845</v>
      </c>
      <c r="T33" s="58">
        <v>2890</v>
      </c>
      <c r="U33" s="58">
        <v>2684</v>
      </c>
      <c r="V33" s="58">
        <v>2491</v>
      </c>
      <c r="W33" s="58">
        <v>2253</v>
      </c>
      <c r="X33" s="58">
        <v>2163</v>
      </c>
      <c r="Y33" s="58">
        <v>2070</v>
      </c>
      <c r="Z33" s="58">
        <v>2047</v>
      </c>
      <c r="AA33" s="58">
        <v>2142</v>
      </c>
      <c r="AB33" s="58">
        <v>2430</v>
      </c>
      <c r="AC33" s="58">
        <v>2517</v>
      </c>
      <c r="AD33" s="58">
        <v>2600</v>
      </c>
      <c r="AE33" s="58">
        <v>2755</v>
      </c>
      <c r="AF33" s="58">
        <v>2632</v>
      </c>
      <c r="AG33" s="58">
        <v>2464</v>
      </c>
      <c r="AH33" s="58">
        <v>2504</v>
      </c>
      <c r="AI33" s="58">
        <v>2397</v>
      </c>
      <c r="AJ33" s="58">
        <v>2384</v>
      </c>
      <c r="AK33" s="58">
        <v>2366</v>
      </c>
      <c r="AL33" s="58">
        <v>2326</v>
      </c>
      <c r="AM33" s="58">
        <v>2221</v>
      </c>
      <c r="AN33" s="58">
        <v>2151</v>
      </c>
      <c r="AO33" s="58">
        <v>2081</v>
      </c>
      <c r="AP33" s="58">
        <v>1690</v>
      </c>
      <c r="AQ33" s="58">
        <v>1165</v>
      </c>
      <c r="AR33" s="58">
        <v>501</v>
      </c>
      <c r="AS33" s="58">
        <v>52</v>
      </c>
      <c r="AT33" s="58">
        <v>11</v>
      </c>
      <c r="AU33" s="58">
        <v>10</v>
      </c>
      <c r="AV33" s="58">
        <v>9</v>
      </c>
      <c r="AW33" s="58">
        <v>16</v>
      </c>
      <c r="AX33" s="58">
        <v>13</v>
      </c>
      <c r="AY33" s="58">
        <v>16</v>
      </c>
      <c r="AZ33" s="58">
        <v>7</v>
      </c>
      <c r="BA33" s="58">
        <v>3</v>
      </c>
      <c r="BB33" s="58">
        <v>0</v>
      </c>
      <c r="BC33" s="58">
        <v>0</v>
      </c>
      <c r="BD33" s="58">
        <v>0</v>
      </c>
      <c r="BE33" s="58">
        <v>0</v>
      </c>
      <c r="BF33" s="58">
        <v>0</v>
      </c>
      <c r="BG33" s="58">
        <v>0</v>
      </c>
      <c r="BH33" s="58">
        <f>SUM(D33:BG33)</f>
        <v>81818</v>
      </c>
    </row>
    <row r="34" spans="1:60">
      <c r="A34" s="56" t="s">
        <v>106</v>
      </c>
      <c r="B34" s="56" t="s">
        <v>105</v>
      </c>
      <c r="C34" s="56" t="s">
        <v>67</v>
      </c>
      <c r="D34" s="58">
        <v>0</v>
      </c>
      <c r="E34" s="58">
        <v>0</v>
      </c>
      <c r="F34" s="58">
        <v>0</v>
      </c>
      <c r="G34" s="58">
        <v>0</v>
      </c>
      <c r="H34" s="58">
        <v>19</v>
      </c>
      <c r="I34" s="58">
        <v>112</v>
      </c>
      <c r="J34" s="58">
        <v>164</v>
      </c>
      <c r="K34" s="58">
        <v>194</v>
      </c>
      <c r="L34" s="58">
        <v>222</v>
      </c>
      <c r="M34" s="58">
        <v>225</v>
      </c>
      <c r="N34" s="58">
        <v>254</v>
      </c>
      <c r="O34" s="58">
        <v>255</v>
      </c>
      <c r="P34" s="58">
        <v>280</v>
      </c>
      <c r="Q34" s="58">
        <v>274</v>
      </c>
      <c r="R34" s="58">
        <v>271</v>
      </c>
      <c r="S34" s="58">
        <v>273</v>
      </c>
      <c r="T34" s="58">
        <v>278</v>
      </c>
      <c r="U34" s="58">
        <v>251</v>
      </c>
      <c r="V34" s="58">
        <v>208</v>
      </c>
      <c r="W34" s="58">
        <v>214</v>
      </c>
      <c r="X34" s="58">
        <v>219</v>
      </c>
      <c r="Y34" s="58">
        <v>200</v>
      </c>
      <c r="Z34" s="58">
        <v>216</v>
      </c>
      <c r="AA34" s="58">
        <v>208</v>
      </c>
      <c r="AB34" s="58">
        <v>233</v>
      </c>
      <c r="AC34" s="58">
        <v>240</v>
      </c>
      <c r="AD34" s="58">
        <v>242</v>
      </c>
      <c r="AE34" s="58">
        <v>268</v>
      </c>
      <c r="AF34" s="58">
        <v>263</v>
      </c>
      <c r="AG34" s="58">
        <v>255</v>
      </c>
      <c r="AH34" s="58">
        <v>231</v>
      </c>
      <c r="AI34" s="58">
        <v>235</v>
      </c>
      <c r="AJ34" s="58">
        <v>222</v>
      </c>
      <c r="AK34" s="58">
        <v>229</v>
      </c>
      <c r="AL34" s="58">
        <v>246</v>
      </c>
      <c r="AM34" s="58">
        <v>219</v>
      </c>
      <c r="AN34" s="58">
        <v>183</v>
      </c>
      <c r="AO34" s="58">
        <v>191</v>
      </c>
      <c r="AP34" s="58">
        <v>173</v>
      </c>
      <c r="AQ34" s="58">
        <v>119</v>
      </c>
      <c r="AR34" s="58">
        <v>60</v>
      </c>
      <c r="AS34" s="58">
        <v>3</v>
      </c>
      <c r="AT34" s="58">
        <v>3</v>
      </c>
      <c r="AU34" s="58">
        <v>2</v>
      </c>
      <c r="AV34" s="58">
        <v>2</v>
      </c>
      <c r="AW34" s="58">
        <v>3</v>
      </c>
      <c r="AX34" s="58">
        <v>2</v>
      </c>
      <c r="AY34" s="58">
        <v>1</v>
      </c>
      <c r="AZ34" s="58">
        <v>0</v>
      </c>
      <c r="BA34" s="58">
        <v>0</v>
      </c>
      <c r="BB34" s="58">
        <v>0</v>
      </c>
      <c r="BC34" s="58">
        <v>0</v>
      </c>
      <c r="BD34" s="58">
        <v>0</v>
      </c>
      <c r="BE34" s="58">
        <v>0</v>
      </c>
      <c r="BF34" s="58">
        <v>0</v>
      </c>
      <c r="BG34" s="58">
        <v>0</v>
      </c>
      <c r="BH34" s="58">
        <f>SUM(D34:BG34)</f>
        <v>7962</v>
      </c>
    </row>
    <row r="35" spans="1:60">
      <c r="A35" s="56" t="s">
        <v>107</v>
      </c>
      <c r="B35" s="56" t="s">
        <v>105</v>
      </c>
      <c r="C35" s="56" t="s">
        <v>69</v>
      </c>
      <c r="D35" s="58">
        <v>0</v>
      </c>
      <c r="E35" s="58">
        <v>0</v>
      </c>
      <c r="F35" s="58">
        <v>0</v>
      </c>
      <c r="G35" s="58">
        <v>1</v>
      </c>
      <c r="H35" s="58">
        <v>11</v>
      </c>
      <c r="I35" s="58">
        <v>95</v>
      </c>
      <c r="J35" s="58">
        <v>162</v>
      </c>
      <c r="K35" s="58">
        <v>168</v>
      </c>
      <c r="L35" s="58">
        <v>223</v>
      </c>
      <c r="M35" s="58">
        <v>210</v>
      </c>
      <c r="N35" s="58">
        <v>261</v>
      </c>
      <c r="O35" s="58">
        <v>243</v>
      </c>
      <c r="P35" s="58">
        <v>265</v>
      </c>
      <c r="Q35" s="58">
        <v>245</v>
      </c>
      <c r="R35" s="58">
        <v>271</v>
      </c>
      <c r="S35" s="58">
        <v>233</v>
      </c>
      <c r="T35" s="58">
        <v>255</v>
      </c>
      <c r="U35" s="58">
        <v>208</v>
      </c>
      <c r="V35" s="58">
        <v>215</v>
      </c>
      <c r="W35" s="58">
        <v>186</v>
      </c>
      <c r="X35" s="58">
        <v>187</v>
      </c>
      <c r="Y35" s="58">
        <v>180</v>
      </c>
      <c r="Z35" s="58">
        <v>156</v>
      </c>
      <c r="AA35" s="58">
        <v>207</v>
      </c>
      <c r="AB35" s="58">
        <v>205</v>
      </c>
      <c r="AC35" s="58">
        <v>180</v>
      </c>
      <c r="AD35" s="58">
        <v>214</v>
      </c>
      <c r="AE35" s="58">
        <v>229</v>
      </c>
      <c r="AF35" s="58">
        <v>242</v>
      </c>
      <c r="AG35" s="58">
        <v>211</v>
      </c>
      <c r="AH35" s="58">
        <v>213</v>
      </c>
      <c r="AI35" s="58">
        <v>212</v>
      </c>
      <c r="AJ35" s="58">
        <v>188</v>
      </c>
      <c r="AK35" s="58">
        <v>199</v>
      </c>
      <c r="AL35" s="58">
        <v>192</v>
      </c>
      <c r="AM35" s="58">
        <v>201</v>
      </c>
      <c r="AN35" s="58">
        <v>164</v>
      </c>
      <c r="AO35" s="58">
        <v>171</v>
      </c>
      <c r="AP35" s="58">
        <v>128</v>
      </c>
      <c r="AQ35" s="58">
        <v>96</v>
      </c>
      <c r="AR35" s="58">
        <v>46</v>
      </c>
      <c r="AS35" s="58">
        <v>0</v>
      </c>
      <c r="AT35" s="58">
        <v>0</v>
      </c>
      <c r="AU35" s="58">
        <v>0</v>
      </c>
      <c r="AV35" s="58">
        <v>0</v>
      </c>
      <c r="AW35" s="58">
        <v>0</v>
      </c>
      <c r="AX35" s="58">
        <v>0</v>
      </c>
      <c r="AY35" s="58">
        <v>4</v>
      </c>
      <c r="AZ35" s="58">
        <v>0</v>
      </c>
      <c r="BA35" s="58">
        <v>0</v>
      </c>
      <c r="BB35" s="58">
        <v>0</v>
      </c>
      <c r="BC35" s="58">
        <v>0</v>
      </c>
      <c r="BD35" s="58">
        <v>0</v>
      </c>
      <c r="BE35" s="58">
        <v>0</v>
      </c>
      <c r="BF35" s="58">
        <v>0</v>
      </c>
      <c r="BG35" s="58">
        <v>0</v>
      </c>
      <c r="BH35" s="58">
        <f>SUM(D35:BG35)</f>
        <v>7077</v>
      </c>
    </row>
    <row r="36" spans="1:60">
      <c r="A36" s="56" t="s">
        <v>108</v>
      </c>
      <c r="B36" s="56" t="s">
        <v>105</v>
      </c>
      <c r="C36" s="56" t="s">
        <v>71</v>
      </c>
      <c r="D36" s="58">
        <v>0</v>
      </c>
      <c r="E36" s="58">
        <v>0</v>
      </c>
      <c r="F36" s="58">
        <v>0</v>
      </c>
      <c r="G36" s="58">
        <v>0</v>
      </c>
      <c r="H36" s="58">
        <v>10</v>
      </c>
      <c r="I36" s="58">
        <v>87</v>
      </c>
      <c r="J36" s="58">
        <v>149</v>
      </c>
      <c r="K36" s="58">
        <v>192</v>
      </c>
      <c r="L36" s="58">
        <v>203</v>
      </c>
      <c r="M36" s="58">
        <v>225</v>
      </c>
      <c r="N36" s="58">
        <v>200</v>
      </c>
      <c r="O36" s="58">
        <v>243</v>
      </c>
      <c r="P36" s="58">
        <v>276</v>
      </c>
      <c r="Q36" s="58">
        <v>261</v>
      </c>
      <c r="R36" s="58">
        <v>264</v>
      </c>
      <c r="S36" s="58">
        <v>252</v>
      </c>
      <c r="T36" s="58">
        <v>252</v>
      </c>
      <c r="U36" s="58">
        <v>247</v>
      </c>
      <c r="V36" s="58">
        <v>232</v>
      </c>
      <c r="W36" s="58">
        <v>194</v>
      </c>
      <c r="X36" s="58">
        <v>201</v>
      </c>
      <c r="Y36" s="58">
        <v>173</v>
      </c>
      <c r="Z36" s="58">
        <v>196</v>
      </c>
      <c r="AA36" s="58">
        <v>178</v>
      </c>
      <c r="AB36" s="58">
        <v>221</v>
      </c>
      <c r="AC36" s="58">
        <v>204</v>
      </c>
      <c r="AD36" s="58">
        <v>242</v>
      </c>
      <c r="AE36" s="58">
        <v>250</v>
      </c>
      <c r="AF36" s="58">
        <v>232</v>
      </c>
      <c r="AG36" s="58">
        <v>202</v>
      </c>
      <c r="AH36" s="58">
        <v>213</v>
      </c>
      <c r="AI36" s="58">
        <v>220</v>
      </c>
      <c r="AJ36" s="58">
        <v>196</v>
      </c>
      <c r="AK36" s="58">
        <v>209</v>
      </c>
      <c r="AL36" s="58">
        <v>181</v>
      </c>
      <c r="AM36" s="58">
        <v>159</v>
      </c>
      <c r="AN36" s="58">
        <v>203</v>
      </c>
      <c r="AO36" s="58">
        <v>180</v>
      </c>
      <c r="AP36" s="58">
        <v>164</v>
      </c>
      <c r="AQ36" s="58">
        <v>103</v>
      </c>
      <c r="AR36" s="58">
        <v>36</v>
      </c>
      <c r="AS36" s="58">
        <v>0</v>
      </c>
      <c r="AT36" s="58">
        <v>0</v>
      </c>
      <c r="AU36" s="58">
        <v>0</v>
      </c>
      <c r="AV36" s="58">
        <v>0</v>
      </c>
      <c r="AW36" s="58">
        <v>0</v>
      </c>
      <c r="AX36" s="58">
        <v>0</v>
      </c>
      <c r="AY36" s="58">
        <v>0</v>
      </c>
      <c r="AZ36" s="58">
        <v>0</v>
      </c>
      <c r="BA36" s="58">
        <v>0</v>
      </c>
      <c r="BB36" s="58">
        <v>0</v>
      </c>
      <c r="BC36" s="58">
        <v>0</v>
      </c>
      <c r="BD36" s="58">
        <v>0</v>
      </c>
      <c r="BE36" s="58">
        <v>0</v>
      </c>
      <c r="BF36" s="58">
        <v>0</v>
      </c>
      <c r="BG36" s="58">
        <v>0</v>
      </c>
      <c r="BH36" s="58">
        <f>SUM(D36:BG36)</f>
        <v>7250</v>
      </c>
    </row>
    <row r="37" spans="1:60">
      <c r="A37" s="56" t="s">
        <v>109</v>
      </c>
      <c r="B37" s="56" t="s">
        <v>105</v>
      </c>
      <c r="C37" s="56" t="s">
        <v>73</v>
      </c>
      <c r="D37" s="58">
        <v>0</v>
      </c>
      <c r="E37" s="58">
        <v>0</v>
      </c>
      <c r="F37" s="58">
        <v>0</v>
      </c>
      <c r="G37" s="58">
        <v>2</v>
      </c>
      <c r="H37" s="58">
        <v>20</v>
      </c>
      <c r="I37" s="58">
        <v>156</v>
      </c>
      <c r="J37" s="58">
        <v>206</v>
      </c>
      <c r="K37" s="58">
        <v>184</v>
      </c>
      <c r="L37" s="58">
        <v>221</v>
      </c>
      <c r="M37" s="58">
        <v>240</v>
      </c>
      <c r="N37" s="58">
        <v>252</v>
      </c>
      <c r="O37" s="58">
        <v>250</v>
      </c>
      <c r="P37" s="58">
        <v>298</v>
      </c>
      <c r="Q37" s="58">
        <v>282</v>
      </c>
      <c r="R37" s="58">
        <v>269</v>
      </c>
      <c r="S37" s="58">
        <v>248</v>
      </c>
      <c r="T37" s="58">
        <v>257</v>
      </c>
      <c r="U37" s="58">
        <v>279</v>
      </c>
      <c r="V37" s="58">
        <v>232</v>
      </c>
      <c r="W37" s="58">
        <v>197</v>
      </c>
      <c r="X37" s="58">
        <v>180</v>
      </c>
      <c r="Y37" s="58">
        <v>191</v>
      </c>
      <c r="Z37" s="58">
        <v>160</v>
      </c>
      <c r="AA37" s="58">
        <v>182</v>
      </c>
      <c r="AB37" s="58">
        <v>230</v>
      </c>
      <c r="AC37" s="58">
        <v>216</v>
      </c>
      <c r="AD37" s="58">
        <v>219</v>
      </c>
      <c r="AE37" s="58">
        <v>258</v>
      </c>
      <c r="AF37" s="58">
        <v>246</v>
      </c>
      <c r="AG37" s="58">
        <v>231</v>
      </c>
      <c r="AH37" s="58">
        <v>227</v>
      </c>
      <c r="AI37" s="58">
        <v>169</v>
      </c>
      <c r="AJ37" s="58">
        <v>197</v>
      </c>
      <c r="AK37" s="58">
        <v>211</v>
      </c>
      <c r="AL37" s="58">
        <v>206</v>
      </c>
      <c r="AM37" s="58">
        <v>209</v>
      </c>
      <c r="AN37" s="58">
        <v>163</v>
      </c>
      <c r="AO37" s="58">
        <v>174</v>
      </c>
      <c r="AP37" s="58">
        <v>155</v>
      </c>
      <c r="AQ37" s="58">
        <v>97</v>
      </c>
      <c r="AR37" s="58">
        <v>33</v>
      </c>
      <c r="AS37" s="58">
        <v>4</v>
      </c>
      <c r="AT37" s="58">
        <v>0</v>
      </c>
      <c r="AU37" s="58">
        <v>0</v>
      </c>
      <c r="AV37" s="58">
        <v>0</v>
      </c>
      <c r="AW37" s="58">
        <v>0</v>
      </c>
      <c r="AX37" s="58">
        <v>0</v>
      </c>
      <c r="AY37" s="58">
        <v>0</v>
      </c>
      <c r="AZ37" s="58">
        <v>0</v>
      </c>
      <c r="BA37" s="58">
        <v>0</v>
      </c>
      <c r="BB37" s="58">
        <v>0</v>
      </c>
      <c r="BC37" s="58">
        <v>0</v>
      </c>
      <c r="BD37" s="58">
        <v>0</v>
      </c>
      <c r="BE37" s="58">
        <v>0</v>
      </c>
      <c r="BF37" s="58">
        <v>0</v>
      </c>
      <c r="BG37" s="58">
        <v>0</v>
      </c>
      <c r="BH37" s="58">
        <f>SUM(D37:BG37)</f>
        <v>7551</v>
      </c>
    </row>
    <row r="38" spans="1:60">
      <c r="A38" s="56" t="s">
        <v>110</v>
      </c>
      <c r="B38" s="56" t="s">
        <v>105</v>
      </c>
      <c r="C38" s="56" t="s">
        <v>75</v>
      </c>
      <c r="D38" s="58">
        <v>0</v>
      </c>
      <c r="E38" s="58">
        <v>0</v>
      </c>
      <c r="F38" s="58">
        <v>0</v>
      </c>
      <c r="G38" s="58">
        <v>2</v>
      </c>
      <c r="H38" s="58">
        <v>10</v>
      </c>
      <c r="I38" s="58">
        <v>99</v>
      </c>
      <c r="J38" s="58">
        <v>141</v>
      </c>
      <c r="K38" s="58">
        <v>178</v>
      </c>
      <c r="L38" s="58">
        <v>193</v>
      </c>
      <c r="M38" s="58">
        <v>184</v>
      </c>
      <c r="N38" s="58">
        <v>205</v>
      </c>
      <c r="O38" s="58">
        <v>242</v>
      </c>
      <c r="P38" s="58">
        <v>248</v>
      </c>
      <c r="Q38" s="58">
        <v>254</v>
      </c>
      <c r="R38" s="58">
        <v>220</v>
      </c>
      <c r="S38" s="58">
        <v>227</v>
      </c>
      <c r="T38" s="58">
        <v>227</v>
      </c>
      <c r="U38" s="58">
        <v>243</v>
      </c>
      <c r="V38" s="58">
        <v>213</v>
      </c>
      <c r="W38" s="58">
        <v>207</v>
      </c>
      <c r="X38" s="58">
        <v>181</v>
      </c>
      <c r="Y38" s="58">
        <v>155</v>
      </c>
      <c r="Z38" s="58">
        <v>160</v>
      </c>
      <c r="AA38" s="58">
        <v>184</v>
      </c>
      <c r="AB38" s="58">
        <v>192</v>
      </c>
      <c r="AC38" s="58">
        <v>201</v>
      </c>
      <c r="AD38" s="58">
        <v>208</v>
      </c>
      <c r="AE38" s="58">
        <v>215</v>
      </c>
      <c r="AF38" s="58">
        <v>213</v>
      </c>
      <c r="AG38" s="58">
        <v>202</v>
      </c>
      <c r="AH38" s="58">
        <v>218</v>
      </c>
      <c r="AI38" s="58">
        <v>190</v>
      </c>
      <c r="AJ38" s="58">
        <v>210</v>
      </c>
      <c r="AK38" s="58">
        <v>161</v>
      </c>
      <c r="AL38" s="58">
        <v>167</v>
      </c>
      <c r="AM38" s="58">
        <v>169</v>
      </c>
      <c r="AN38" s="58">
        <v>177</v>
      </c>
      <c r="AO38" s="58">
        <v>178</v>
      </c>
      <c r="AP38" s="58">
        <v>144</v>
      </c>
      <c r="AQ38" s="58">
        <v>107</v>
      </c>
      <c r="AR38" s="58">
        <v>47</v>
      </c>
      <c r="AS38" s="58">
        <v>1</v>
      </c>
      <c r="AT38" s="58">
        <v>0</v>
      </c>
      <c r="AU38" s="58">
        <v>0</v>
      </c>
      <c r="AV38" s="58">
        <v>0</v>
      </c>
      <c r="AW38" s="58">
        <v>0</v>
      </c>
      <c r="AX38" s="58">
        <v>0</v>
      </c>
      <c r="AY38" s="58">
        <v>0</v>
      </c>
      <c r="AZ38" s="58">
        <v>0</v>
      </c>
      <c r="BA38" s="58">
        <v>0</v>
      </c>
      <c r="BB38" s="58">
        <v>0</v>
      </c>
      <c r="BC38" s="58">
        <v>0</v>
      </c>
      <c r="BD38" s="58">
        <v>0</v>
      </c>
      <c r="BE38" s="58">
        <v>0</v>
      </c>
      <c r="BF38" s="58">
        <v>0</v>
      </c>
      <c r="BG38" s="58">
        <v>0</v>
      </c>
      <c r="BH38" s="58">
        <f>SUM(D38:BG38)</f>
        <v>6773</v>
      </c>
    </row>
    <row r="39" spans="1:60">
      <c r="A39" s="56" t="s">
        <v>111</v>
      </c>
      <c r="B39" s="56" t="s">
        <v>105</v>
      </c>
      <c r="C39" s="56" t="s">
        <v>77</v>
      </c>
      <c r="D39" s="58">
        <v>0</v>
      </c>
      <c r="E39" s="58">
        <v>0</v>
      </c>
      <c r="F39" s="58">
        <v>0</v>
      </c>
      <c r="G39" s="58">
        <v>2</v>
      </c>
      <c r="H39" s="58">
        <v>5</v>
      </c>
      <c r="I39" s="58">
        <v>75</v>
      </c>
      <c r="J39" s="58">
        <v>133</v>
      </c>
      <c r="K39" s="58">
        <v>121</v>
      </c>
      <c r="L39" s="58">
        <v>151</v>
      </c>
      <c r="M39" s="58">
        <v>195</v>
      </c>
      <c r="N39" s="58">
        <v>186</v>
      </c>
      <c r="O39" s="58">
        <v>215</v>
      </c>
      <c r="P39" s="58">
        <v>217</v>
      </c>
      <c r="Q39" s="58">
        <v>224</v>
      </c>
      <c r="R39" s="58">
        <v>265</v>
      </c>
      <c r="S39" s="58">
        <v>220</v>
      </c>
      <c r="T39" s="58">
        <v>228</v>
      </c>
      <c r="U39" s="58">
        <v>197</v>
      </c>
      <c r="V39" s="58">
        <v>187</v>
      </c>
      <c r="W39" s="58">
        <v>154</v>
      </c>
      <c r="X39" s="58">
        <v>148</v>
      </c>
      <c r="Y39" s="58">
        <v>158</v>
      </c>
      <c r="Z39" s="58">
        <v>148</v>
      </c>
      <c r="AA39" s="58">
        <v>167</v>
      </c>
      <c r="AB39" s="58">
        <v>150</v>
      </c>
      <c r="AC39" s="58">
        <v>208</v>
      </c>
      <c r="AD39" s="58">
        <v>157</v>
      </c>
      <c r="AE39" s="58">
        <v>182</v>
      </c>
      <c r="AF39" s="58">
        <v>195</v>
      </c>
      <c r="AG39" s="58">
        <v>188</v>
      </c>
      <c r="AH39" s="58">
        <v>167</v>
      </c>
      <c r="AI39" s="58">
        <v>168</v>
      </c>
      <c r="AJ39" s="58">
        <v>166</v>
      </c>
      <c r="AK39" s="58">
        <v>162</v>
      </c>
      <c r="AL39" s="58">
        <v>154</v>
      </c>
      <c r="AM39" s="58">
        <v>157</v>
      </c>
      <c r="AN39" s="58">
        <v>178</v>
      </c>
      <c r="AO39" s="58">
        <v>153</v>
      </c>
      <c r="AP39" s="58">
        <v>114</v>
      </c>
      <c r="AQ39" s="58">
        <v>83</v>
      </c>
      <c r="AR39" s="58">
        <v>35</v>
      </c>
      <c r="AS39" s="58">
        <v>3</v>
      </c>
      <c r="AT39" s="58">
        <v>1</v>
      </c>
      <c r="AU39" s="58">
        <v>0</v>
      </c>
      <c r="AV39" s="58">
        <v>0</v>
      </c>
      <c r="AW39" s="58">
        <v>0</v>
      </c>
      <c r="AX39" s="58">
        <v>0</v>
      </c>
      <c r="AY39" s="58">
        <v>0</v>
      </c>
      <c r="AZ39" s="58">
        <v>0</v>
      </c>
      <c r="BA39" s="58">
        <v>0</v>
      </c>
      <c r="BB39" s="58">
        <v>0</v>
      </c>
      <c r="BC39" s="58">
        <v>0</v>
      </c>
      <c r="BD39" s="58">
        <v>0</v>
      </c>
      <c r="BE39" s="58">
        <v>0</v>
      </c>
      <c r="BF39" s="58">
        <v>0</v>
      </c>
      <c r="BG39" s="58">
        <v>0</v>
      </c>
      <c r="BH39" s="58">
        <f>SUM(D39:BG39)</f>
        <v>6017</v>
      </c>
    </row>
    <row r="40" spans="1:60">
      <c r="A40" s="56" t="s">
        <v>112</v>
      </c>
      <c r="B40" s="56" t="s">
        <v>105</v>
      </c>
      <c r="C40" s="56" t="s">
        <v>79</v>
      </c>
      <c r="D40" s="58">
        <v>0</v>
      </c>
      <c r="E40" s="58">
        <v>0</v>
      </c>
      <c r="F40" s="58">
        <v>0</v>
      </c>
      <c r="G40" s="58">
        <v>1</v>
      </c>
      <c r="H40" s="58">
        <v>11</v>
      </c>
      <c r="I40" s="58">
        <v>67</v>
      </c>
      <c r="J40" s="58">
        <v>118</v>
      </c>
      <c r="K40" s="58">
        <v>157</v>
      </c>
      <c r="L40" s="58">
        <v>163</v>
      </c>
      <c r="M40" s="58">
        <v>238</v>
      </c>
      <c r="N40" s="58">
        <v>203</v>
      </c>
      <c r="O40" s="58">
        <v>265</v>
      </c>
      <c r="P40" s="58">
        <v>255</v>
      </c>
      <c r="Q40" s="58">
        <v>253</v>
      </c>
      <c r="R40" s="58">
        <v>264</v>
      </c>
      <c r="S40" s="58">
        <v>248</v>
      </c>
      <c r="T40" s="58">
        <v>257</v>
      </c>
      <c r="U40" s="58">
        <v>234</v>
      </c>
      <c r="V40" s="58">
        <v>222</v>
      </c>
      <c r="W40" s="58">
        <v>197</v>
      </c>
      <c r="X40" s="58">
        <v>210</v>
      </c>
      <c r="Y40" s="58">
        <v>166</v>
      </c>
      <c r="Z40" s="58">
        <v>191</v>
      </c>
      <c r="AA40" s="58">
        <v>191</v>
      </c>
      <c r="AB40" s="58">
        <v>244</v>
      </c>
      <c r="AC40" s="58">
        <v>262</v>
      </c>
      <c r="AD40" s="58">
        <v>263</v>
      </c>
      <c r="AE40" s="58">
        <v>273</v>
      </c>
      <c r="AF40" s="58">
        <v>232</v>
      </c>
      <c r="AG40" s="58">
        <v>219</v>
      </c>
      <c r="AH40" s="58">
        <v>226</v>
      </c>
      <c r="AI40" s="58">
        <v>235</v>
      </c>
      <c r="AJ40" s="58">
        <v>227</v>
      </c>
      <c r="AK40" s="58">
        <v>208</v>
      </c>
      <c r="AL40" s="58">
        <v>214</v>
      </c>
      <c r="AM40" s="58">
        <v>226</v>
      </c>
      <c r="AN40" s="58">
        <v>209</v>
      </c>
      <c r="AO40" s="58">
        <v>205</v>
      </c>
      <c r="AP40" s="58">
        <v>144</v>
      </c>
      <c r="AQ40" s="58">
        <v>91</v>
      </c>
      <c r="AR40" s="58">
        <v>42</v>
      </c>
      <c r="AS40" s="58">
        <v>1</v>
      </c>
      <c r="AT40" s="58">
        <v>0</v>
      </c>
      <c r="AU40" s="58">
        <v>0</v>
      </c>
      <c r="AV40" s="58">
        <v>2</v>
      </c>
      <c r="AW40" s="58">
        <v>0</v>
      </c>
      <c r="AX40" s="58">
        <v>2</v>
      </c>
      <c r="AY40" s="58">
        <v>3</v>
      </c>
      <c r="AZ40" s="58">
        <v>0</v>
      </c>
      <c r="BA40" s="58">
        <v>0</v>
      </c>
      <c r="BB40" s="58">
        <v>0</v>
      </c>
      <c r="BC40" s="58">
        <v>0</v>
      </c>
      <c r="BD40" s="58">
        <v>0</v>
      </c>
      <c r="BE40" s="58">
        <v>0</v>
      </c>
      <c r="BF40" s="58">
        <v>0</v>
      </c>
      <c r="BG40" s="58">
        <v>0</v>
      </c>
      <c r="BH40" s="58">
        <f>SUM(D40:BG40)</f>
        <v>7439</v>
      </c>
    </row>
    <row r="41" spans="1:60">
      <c r="A41" s="56" t="s">
        <v>113</v>
      </c>
      <c r="B41" s="56" t="s">
        <v>105</v>
      </c>
      <c r="C41" s="56" t="s">
        <v>81</v>
      </c>
      <c r="D41" s="58">
        <v>0</v>
      </c>
      <c r="E41" s="58">
        <v>0</v>
      </c>
      <c r="F41" s="58">
        <v>0</v>
      </c>
      <c r="G41" s="58">
        <v>1</v>
      </c>
      <c r="H41" s="58">
        <v>14</v>
      </c>
      <c r="I41" s="58">
        <v>106</v>
      </c>
      <c r="J41" s="58">
        <v>120</v>
      </c>
      <c r="K41" s="58">
        <v>145</v>
      </c>
      <c r="L41" s="58">
        <v>167</v>
      </c>
      <c r="M41" s="58">
        <v>184</v>
      </c>
      <c r="N41" s="58">
        <v>194</v>
      </c>
      <c r="O41" s="58">
        <v>219</v>
      </c>
      <c r="P41" s="58">
        <v>249</v>
      </c>
      <c r="Q41" s="58">
        <v>261</v>
      </c>
      <c r="R41" s="58">
        <v>223</v>
      </c>
      <c r="S41" s="58">
        <v>241</v>
      </c>
      <c r="T41" s="58">
        <v>259</v>
      </c>
      <c r="U41" s="58">
        <v>232</v>
      </c>
      <c r="V41" s="58">
        <v>196</v>
      </c>
      <c r="W41" s="58">
        <v>195</v>
      </c>
      <c r="X41" s="58">
        <v>178</v>
      </c>
      <c r="Y41" s="58">
        <v>181</v>
      </c>
      <c r="Z41" s="58">
        <v>164</v>
      </c>
      <c r="AA41" s="58">
        <v>161</v>
      </c>
      <c r="AB41" s="58">
        <v>195</v>
      </c>
      <c r="AC41" s="58">
        <v>206</v>
      </c>
      <c r="AD41" s="58">
        <v>204</v>
      </c>
      <c r="AE41" s="58">
        <v>222</v>
      </c>
      <c r="AF41" s="58">
        <v>211</v>
      </c>
      <c r="AG41" s="58">
        <v>196</v>
      </c>
      <c r="AH41" s="58">
        <v>222</v>
      </c>
      <c r="AI41" s="58">
        <v>200</v>
      </c>
      <c r="AJ41" s="58">
        <v>200</v>
      </c>
      <c r="AK41" s="58">
        <v>184</v>
      </c>
      <c r="AL41" s="58">
        <v>213</v>
      </c>
      <c r="AM41" s="58">
        <v>187</v>
      </c>
      <c r="AN41" s="58">
        <v>169</v>
      </c>
      <c r="AO41" s="58">
        <v>155</v>
      </c>
      <c r="AP41" s="58">
        <v>125</v>
      </c>
      <c r="AQ41" s="58">
        <v>65</v>
      </c>
      <c r="AR41" s="58">
        <v>28</v>
      </c>
      <c r="AS41" s="58">
        <v>0</v>
      </c>
      <c r="AT41" s="58">
        <v>0</v>
      </c>
      <c r="AU41" s="58">
        <v>1</v>
      </c>
      <c r="AV41" s="58">
        <v>0</v>
      </c>
      <c r="AW41" s="58">
        <v>0</v>
      </c>
      <c r="AX41" s="58">
        <v>0</v>
      </c>
      <c r="AY41" s="58">
        <v>0</v>
      </c>
      <c r="AZ41" s="58">
        <v>0</v>
      </c>
      <c r="BA41" s="58">
        <v>0</v>
      </c>
      <c r="BB41" s="58">
        <v>0</v>
      </c>
      <c r="BC41" s="58">
        <v>0</v>
      </c>
      <c r="BD41" s="58">
        <v>0</v>
      </c>
      <c r="BE41" s="58">
        <v>0</v>
      </c>
      <c r="BF41" s="58">
        <v>0</v>
      </c>
      <c r="BG41" s="58">
        <v>0</v>
      </c>
      <c r="BH41" s="58">
        <f>SUM(D41:BG41)</f>
        <v>6673</v>
      </c>
    </row>
    <row r="42" spans="1:60">
      <c r="A42" s="56" t="s">
        <v>114</v>
      </c>
      <c r="B42" s="56" t="s">
        <v>105</v>
      </c>
      <c r="C42" s="56" t="s">
        <v>83</v>
      </c>
      <c r="D42" s="58">
        <v>0</v>
      </c>
      <c r="E42" s="58">
        <v>0</v>
      </c>
      <c r="F42" s="58">
        <v>0</v>
      </c>
      <c r="G42" s="58">
        <v>0</v>
      </c>
      <c r="H42" s="58">
        <v>12</v>
      </c>
      <c r="I42" s="58">
        <v>85</v>
      </c>
      <c r="J42" s="58">
        <v>124</v>
      </c>
      <c r="K42" s="58">
        <v>125</v>
      </c>
      <c r="L42" s="58">
        <v>140</v>
      </c>
      <c r="M42" s="58">
        <v>156</v>
      </c>
      <c r="N42" s="58">
        <v>205</v>
      </c>
      <c r="O42" s="58">
        <v>206</v>
      </c>
      <c r="P42" s="58">
        <v>245</v>
      </c>
      <c r="Q42" s="58">
        <v>260</v>
      </c>
      <c r="R42" s="58">
        <v>235</v>
      </c>
      <c r="S42" s="58">
        <v>246</v>
      </c>
      <c r="T42" s="58">
        <v>254</v>
      </c>
      <c r="U42" s="58">
        <v>217</v>
      </c>
      <c r="V42" s="58">
        <v>216</v>
      </c>
      <c r="W42" s="58">
        <v>186</v>
      </c>
      <c r="X42" s="58">
        <v>164</v>
      </c>
      <c r="Y42" s="58">
        <v>191</v>
      </c>
      <c r="Z42" s="58">
        <v>176</v>
      </c>
      <c r="AA42" s="58">
        <v>185</v>
      </c>
      <c r="AB42" s="58">
        <v>223</v>
      </c>
      <c r="AC42" s="58">
        <v>207</v>
      </c>
      <c r="AD42" s="58">
        <v>254</v>
      </c>
      <c r="AE42" s="58">
        <v>229</v>
      </c>
      <c r="AF42" s="58">
        <v>227</v>
      </c>
      <c r="AG42" s="58">
        <v>227</v>
      </c>
      <c r="AH42" s="58">
        <v>218</v>
      </c>
      <c r="AI42" s="58">
        <v>219</v>
      </c>
      <c r="AJ42" s="58">
        <v>224</v>
      </c>
      <c r="AK42" s="58">
        <v>215</v>
      </c>
      <c r="AL42" s="58">
        <v>206</v>
      </c>
      <c r="AM42" s="58">
        <v>169</v>
      </c>
      <c r="AN42" s="58">
        <v>182</v>
      </c>
      <c r="AO42" s="58">
        <v>176</v>
      </c>
      <c r="AP42" s="58">
        <v>132</v>
      </c>
      <c r="AQ42" s="58">
        <v>88</v>
      </c>
      <c r="AR42" s="58">
        <v>30</v>
      </c>
      <c r="AS42" s="58">
        <v>3</v>
      </c>
      <c r="AT42" s="58">
        <v>3</v>
      </c>
      <c r="AU42" s="58">
        <v>2</v>
      </c>
      <c r="AV42" s="58">
        <v>2</v>
      </c>
      <c r="AW42" s="58">
        <v>5</v>
      </c>
      <c r="AX42" s="58">
        <v>5</v>
      </c>
      <c r="AY42" s="58">
        <v>3</v>
      </c>
      <c r="AZ42" s="58">
        <v>2</v>
      </c>
      <c r="BA42" s="58">
        <v>1</v>
      </c>
      <c r="BB42" s="58">
        <v>0</v>
      </c>
      <c r="BC42" s="58">
        <v>0</v>
      </c>
      <c r="BD42" s="58">
        <v>0</v>
      </c>
      <c r="BE42" s="58">
        <v>0</v>
      </c>
      <c r="BF42" s="58">
        <v>0</v>
      </c>
      <c r="BG42" s="58">
        <v>0</v>
      </c>
      <c r="BH42" s="58">
        <f>SUM(D42:BG42)</f>
        <v>6880</v>
      </c>
    </row>
    <row r="43" spans="1:60">
      <c r="A43" s="56" t="s">
        <v>115</v>
      </c>
      <c r="B43" s="56" t="s">
        <v>105</v>
      </c>
      <c r="C43" s="56" t="s">
        <v>85</v>
      </c>
      <c r="D43" s="58">
        <v>0</v>
      </c>
      <c r="E43" s="58">
        <v>0</v>
      </c>
      <c r="F43" s="58">
        <v>0</v>
      </c>
      <c r="G43" s="58">
        <v>0</v>
      </c>
      <c r="H43" s="58">
        <v>2</v>
      </c>
      <c r="I43" s="58">
        <v>14</v>
      </c>
      <c r="J43" s="58">
        <v>28</v>
      </c>
      <c r="K43" s="58">
        <v>28</v>
      </c>
      <c r="L43" s="58">
        <v>27</v>
      </c>
      <c r="M43" s="58">
        <v>42</v>
      </c>
      <c r="N43" s="58">
        <v>59</v>
      </c>
      <c r="O43" s="58">
        <v>56</v>
      </c>
      <c r="P43" s="58">
        <v>58</v>
      </c>
      <c r="Q43" s="58">
        <v>45</v>
      </c>
      <c r="R43" s="58">
        <v>75</v>
      </c>
      <c r="S43" s="58">
        <v>77</v>
      </c>
      <c r="T43" s="58">
        <v>61</v>
      </c>
      <c r="U43" s="58">
        <v>43</v>
      </c>
      <c r="V43" s="58">
        <v>65</v>
      </c>
      <c r="W43" s="58">
        <v>49</v>
      </c>
      <c r="X43" s="58">
        <v>51</v>
      </c>
      <c r="Y43" s="58">
        <v>43</v>
      </c>
      <c r="Z43" s="58">
        <v>54</v>
      </c>
      <c r="AA43" s="58">
        <v>55</v>
      </c>
      <c r="AB43" s="58">
        <v>47</v>
      </c>
      <c r="AC43" s="58">
        <v>67</v>
      </c>
      <c r="AD43" s="58">
        <v>73</v>
      </c>
      <c r="AE43" s="58">
        <v>58</v>
      </c>
      <c r="AF43" s="58">
        <v>52</v>
      </c>
      <c r="AG43" s="58">
        <v>67</v>
      </c>
      <c r="AH43" s="58">
        <v>56</v>
      </c>
      <c r="AI43" s="58">
        <v>54</v>
      </c>
      <c r="AJ43" s="58">
        <v>80</v>
      </c>
      <c r="AK43" s="58">
        <v>83</v>
      </c>
      <c r="AL43" s="58">
        <v>78</v>
      </c>
      <c r="AM43" s="58">
        <v>57</v>
      </c>
      <c r="AN43" s="58">
        <v>51</v>
      </c>
      <c r="AO43" s="58">
        <v>51</v>
      </c>
      <c r="AP43" s="58">
        <v>43</v>
      </c>
      <c r="AQ43" s="58">
        <v>35</v>
      </c>
      <c r="AR43" s="58">
        <v>8</v>
      </c>
      <c r="AS43" s="58">
        <v>4</v>
      </c>
      <c r="AT43" s="58">
        <v>1</v>
      </c>
      <c r="AU43" s="58">
        <v>1</v>
      </c>
      <c r="AV43" s="58">
        <v>0</v>
      </c>
      <c r="AW43" s="58">
        <v>0</v>
      </c>
      <c r="AX43" s="58">
        <v>0</v>
      </c>
      <c r="AY43" s="58">
        <v>0</v>
      </c>
      <c r="AZ43" s="58">
        <v>0</v>
      </c>
      <c r="BA43" s="58">
        <v>0</v>
      </c>
      <c r="BB43" s="58">
        <v>0</v>
      </c>
      <c r="BC43" s="58">
        <v>0</v>
      </c>
      <c r="BD43" s="58">
        <v>0</v>
      </c>
      <c r="BE43" s="58">
        <v>0</v>
      </c>
      <c r="BF43" s="58">
        <v>0</v>
      </c>
      <c r="BG43" s="58">
        <v>0</v>
      </c>
      <c r="BH43" s="58">
        <f>SUM(D43:BG43)</f>
        <v>1898</v>
      </c>
    </row>
    <row r="44" spans="1:60">
      <c r="A44" s="56" t="s">
        <v>116</v>
      </c>
      <c r="B44" s="56" t="s">
        <v>105</v>
      </c>
      <c r="C44" s="56" t="s">
        <v>87</v>
      </c>
      <c r="D44" s="58">
        <v>0</v>
      </c>
      <c r="E44" s="58">
        <v>0</v>
      </c>
      <c r="F44" s="58">
        <v>0</v>
      </c>
      <c r="G44" s="58">
        <v>0</v>
      </c>
      <c r="H44" s="58">
        <v>10</v>
      </c>
      <c r="I44" s="58">
        <v>51</v>
      </c>
      <c r="J44" s="58">
        <v>129</v>
      </c>
      <c r="K44" s="58">
        <v>138</v>
      </c>
      <c r="L44" s="58">
        <v>171</v>
      </c>
      <c r="M44" s="58">
        <v>167</v>
      </c>
      <c r="N44" s="58">
        <v>195</v>
      </c>
      <c r="O44" s="58">
        <v>206</v>
      </c>
      <c r="P44" s="58">
        <v>205</v>
      </c>
      <c r="Q44" s="58">
        <v>250</v>
      </c>
      <c r="R44" s="58">
        <v>211</v>
      </c>
      <c r="S44" s="58">
        <v>245</v>
      </c>
      <c r="T44" s="58">
        <v>240</v>
      </c>
      <c r="U44" s="58">
        <v>231</v>
      </c>
      <c r="V44" s="58">
        <v>214</v>
      </c>
      <c r="W44" s="58">
        <v>224</v>
      </c>
      <c r="X44" s="58">
        <v>201</v>
      </c>
      <c r="Y44" s="58">
        <v>187</v>
      </c>
      <c r="Z44" s="58">
        <v>200</v>
      </c>
      <c r="AA44" s="58">
        <v>186</v>
      </c>
      <c r="AB44" s="58">
        <v>209</v>
      </c>
      <c r="AC44" s="58">
        <v>229</v>
      </c>
      <c r="AD44" s="58">
        <v>253</v>
      </c>
      <c r="AE44" s="58">
        <v>254</v>
      </c>
      <c r="AF44" s="58">
        <v>241</v>
      </c>
      <c r="AG44" s="58">
        <v>205</v>
      </c>
      <c r="AH44" s="58">
        <v>244</v>
      </c>
      <c r="AI44" s="58">
        <v>218</v>
      </c>
      <c r="AJ44" s="58">
        <v>194</v>
      </c>
      <c r="AK44" s="58">
        <v>204</v>
      </c>
      <c r="AL44" s="58">
        <v>187</v>
      </c>
      <c r="AM44" s="58">
        <v>217</v>
      </c>
      <c r="AN44" s="58">
        <v>238</v>
      </c>
      <c r="AO44" s="58">
        <v>207</v>
      </c>
      <c r="AP44" s="58">
        <v>160</v>
      </c>
      <c r="AQ44" s="58">
        <v>117</v>
      </c>
      <c r="AR44" s="58">
        <v>63</v>
      </c>
      <c r="AS44" s="58">
        <v>20</v>
      </c>
      <c r="AT44" s="58">
        <v>1</v>
      </c>
      <c r="AU44" s="58">
        <v>1</v>
      </c>
      <c r="AV44" s="58">
        <v>1</v>
      </c>
      <c r="AW44" s="58">
        <v>3</v>
      </c>
      <c r="AX44" s="58">
        <v>1</v>
      </c>
      <c r="AY44" s="58">
        <v>4</v>
      </c>
      <c r="AZ44" s="58">
        <v>3</v>
      </c>
      <c r="BA44" s="58">
        <v>2</v>
      </c>
      <c r="BB44" s="58">
        <v>0</v>
      </c>
      <c r="BC44" s="58">
        <v>0</v>
      </c>
      <c r="BD44" s="58">
        <v>0</v>
      </c>
      <c r="BE44" s="58">
        <v>0</v>
      </c>
      <c r="BF44" s="58">
        <v>0</v>
      </c>
      <c r="BG44" s="58">
        <v>0</v>
      </c>
      <c r="BH44" s="58">
        <f>SUM(D44:BG44)</f>
        <v>7137</v>
      </c>
    </row>
    <row r="45" spans="1:60">
      <c r="A45" s="56" t="s">
        <v>117</v>
      </c>
      <c r="B45" s="56" t="s">
        <v>105</v>
      </c>
      <c r="C45" s="56" t="s">
        <v>89</v>
      </c>
      <c r="D45" s="58">
        <v>0</v>
      </c>
      <c r="E45" s="58">
        <v>0</v>
      </c>
      <c r="F45" s="58">
        <v>0</v>
      </c>
      <c r="G45" s="58">
        <v>0</v>
      </c>
      <c r="H45" s="58">
        <v>13</v>
      </c>
      <c r="I45" s="58">
        <v>80</v>
      </c>
      <c r="J45" s="58">
        <v>207</v>
      </c>
      <c r="K45" s="58">
        <v>184</v>
      </c>
      <c r="L45" s="58">
        <v>215</v>
      </c>
      <c r="M45" s="58">
        <v>234</v>
      </c>
      <c r="N45" s="58">
        <v>259</v>
      </c>
      <c r="O45" s="58">
        <v>274</v>
      </c>
      <c r="P45" s="58">
        <v>320</v>
      </c>
      <c r="Q45" s="58">
        <v>305</v>
      </c>
      <c r="R45" s="58">
        <v>303</v>
      </c>
      <c r="S45" s="58">
        <v>335</v>
      </c>
      <c r="T45" s="58">
        <v>322</v>
      </c>
      <c r="U45" s="58">
        <v>302</v>
      </c>
      <c r="V45" s="58">
        <v>291</v>
      </c>
      <c r="W45" s="58">
        <v>250</v>
      </c>
      <c r="X45" s="58">
        <v>243</v>
      </c>
      <c r="Y45" s="58">
        <v>245</v>
      </c>
      <c r="Z45" s="58">
        <v>226</v>
      </c>
      <c r="AA45" s="58">
        <v>238</v>
      </c>
      <c r="AB45" s="58">
        <v>281</v>
      </c>
      <c r="AC45" s="58">
        <v>297</v>
      </c>
      <c r="AD45" s="58">
        <v>271</v>
      </c>
      <c r="AE45" s="58">
        <v>317</v>
      </c>
      <c r="AF45" s="58">
        <v>278</v>
      </c>
      <c r="AG45" s="58">
        <v>261</v>
      </c>
      <c r="AH45" s="58">
        <v>269</v>
      </c>
      <c r="AI45" s="58">
        <v>277</v>
      </c>
      <c r="AJ45" s="58">
        <v>280</v>
      </c>
      <c r="AK45" s="58">
        <v>301</v>
      </c>
      <c r="AL45" s="58">
        <v>282</v>
      </c>
      <c r="AM45" s="58">
        <v>251</v>
      </c>
      <c r="AN45" s="58">
        <v>234</v>
      </c>
      <c r="AO45" s="58">
        <v>240</v>
      </c>
      <c r="AP45" s="58">
        <v>208</v>
      </c>
      <c r="AQ45" s="58">
        <v>164</v>
      </c>
      <c r="AR45" s="58">
        <v>73</v>
      </c>
      <c r="AS45" s="58">
        <v>13</v>
      </c>
      <c r="AT45" s="58">
        <v>2</v>
      </c>
      <c r="AU45" s="58">
        <v>3</v>
      </c>
      <c r="AV45" s="58">
        <v>2</v>
      </c>
      <c r="AW45" s="58">
        <v>5</v>
      </c>
      <c r="AX45" s="58">
        <v>3</v>
      </c>
      <c r="AY45" s="58">
        <v>1</v>
      </c>
      <c r="AZ45" s="58">
        <v>2</v>
      </c>
      <c r="BA45" s="58">
        <v>0</v>
      </c>
      <c r="BB45" s="58">
        <v>0</v>
      </c>
      <c r="BC45" s="58">
        <v>0</v>
      </c>
      <c r="BD45" s="58">
        <v>0</v>
      </c>
      <c r="BE45" s="58">
        <v>0</v>
      </c>
      <c r="BF45" s="58">
        <v>0</v>
      </c>
      <c r="BG45" s="58">
        <v>0</v>
      </c>
      <c r="BH45" s="58">
        <f>SUM(D45:BG45)</f>
        <v>9161</v>
      </c>
    </row>
    <row r="46" spans="1:60">
      <c r="A46" s="56" t="s">
        <v>118</v>
      </c>
      <c r="B46" s="56" t="s">
        <v>119</v>
      </c>
      <c r="C46" s="56" t="s">
        <v>65</v>
      </c>
      <c r="D46" s="58">
        <v>0</v>
      </c>
      <c r="E46" s="58">
        <v>0</v>
      </c>
      <c r="F46" s="58">
        <v>1</v>
      </c>
      <c r="G46" s="58">
        <v>24</v>
      </c>
      <c r="H46" s="58">
        <v>152</v>
      </c>
      <c r="I46" s="58">
        <v>1466</v>
      </c>
      <c r="J46" s="58">
        <v>3002</v>
      </c>
      <c r="K46" s="58">
        <v>2851</v>
      </c>
      <c r="L46" s="58">
        <v>3133</v>
      </c>
      <c r="M46" s="58">
        <v>3321</v>
      </c>
      <c r="N46" s="58">
        <v>3556</v>
      </c>
      <c r="O46" s="58">
        <v>3596</v>
      </c>
      <c r="P46" s="58">
        <v>3857</v>
      </c>
      <c r="Q46" s="58">
        <v>3912</v>
      </c>
      <c r="R46" s="58">
        <v>3954</v>
      </c>
      <c r="S46" s="58">
        <v>3979</v>
      </c>
      <c r="T46" s="58">
        <v>3828</v>
      </c>
      <c r="U46" s="58">
        <v>3666</v>
      </c>
      <c r="V46" s="58">
        <v>3349</v>
      </c>
      <c r="W46" s="58">
        <v>3041</v>
      </c>
      <c r="X46" s="58">
        <v>2866</v>
      </c>
      <c r="Y46" s="58">
        <v>2878</v>
      </c>
      <c r="Z46" s="58">
        <v>2816</v>
      </c>
      <c r="AA46" s="58">
        <v>2849</v>
      </c>
      <c r="AB46" s="58">
        <v>3081</v>
      </c>
      <c r="AC46" s="58">
        <v>3523</v>
      </c>
      <c r="AD46" s="58">
        <v>3532</v>
      </c>
      <c r="AE46" s="58">
        <v>3623</v>
      </c>
      <c r="AF46" s="58">
        <v>3646</v>
      </c>
      <c r="AG46" s="58">
        <v>3648</v>
      </c>
      <c r="AH46" s="58">
        <v>3684</v>
      </c>
      <c r="AI46" s="58">
        <v>3430</v>
      </c>
      <c r="AJ46" s="58">
        <v>3427</v>
      </c>
      <c r="AK46" s="58">
        <v>3289</v>
      </c>
      <c r="AL46" s="58">
        <v>3359</v>
      </c>
      <c r="AM46" s="58">
        <v>3086</v>
      </c>
      <c r="AN46" s="58">
        <v>3186</v>
      </c>
      <c r="AO46" s="58">
        <v>3174</v>
      </c>
      <c r="AP46" s="58">
        <v>2833</v>
      </c>
      <c r="AQ46" s="58">
        <v>2068</v>
      </c>
      <c r="AR46" s="58">
        <v>989</v>
      </c>
      <c r="AS46" s="58">
        <v>60</v>
      </c>
      <c r="AT46" s="58">
        <v>21</v>
      </c>
      <c r="AU46" s="58">
        <v>27</v>
      </c>
      <c r="AV46" s="58">
        <v>17</v>
      </c>
      <c r="AW46" s="58">
        <v>26</v>
      </c>
      <c r="AX46" s="58">
        <v>21</v>
      </c>
      <c r="AY46" s="58">
        <v>11</v>
      </c>
      <c r="AZ46" s="58">
        <v>15</v>
      </c>
      <c r="BA46" s="58">
        <v>14</v>
      </c>
      <c r="BB46" s="58">
        <v>0</v>
      </c>
      <c r="BC46" s="58">
        <v>0</v>
      </c>
      <c r="BD46" s="58">
        <v>0</v>
      </c>
      <c r="BE46" s="58">
        <v>0</v>
      </c>
      <c r="BF46" s="58">
        <v>0</v>
      </c>
      <c r="BG46" s="58">
        <v>0</v>
      </c>
      <c r="BH46" s="58">
        <f>SUM(D46:BG46)</f>
        <v>115887</v>
      </c>
    </row>
    <row r="47" spans="1:60">
      <c r="A47" s="56" t="s">
        <v>120</v>
      </c>
      <c r="B47" s="56" t="s">
        <v>119</v>
      </c>
      <c r="C47" s="56" t="s">
        <v>67</v>
      </c>
      <c r="D47" s="58">
        <v>0</v>
      </c>
      <c r="E47" s="58">
        <v>0</v>
      </c>
      <c r="F47" s="58">
        <v>0</v>
      </c>
      <c r="G47" s="58">
        <v>6</v>
      </c>
      <c r="H47" s="58">
        <v>23</v>
      </c>
      <c r="I47" s="58">
        <v>207</v>
      </c>
      <c r="J47" s="58">
        <v>321</v>
      </c>
      <c r="K47" s="58">
        <v>330</v>
      </c>
      <c r="L47" s="58">
        <v>312</v>
      </c>
      <c r="M47" s="58">
        <v>375</v>
      </c>
      <c r="N47" s="58">
        <v>391</v>
      </c>
      <c r="O47" s="58">
        <v>377</v>
      </c>
      <c r="P47" s="58">
        <v>385</v>
      </c>
      <c r="Q47" s="58">
        <v>395</v>
      </c>
      <c r="R47" s="58">
        <v>425</v>
      </c>
      <c r="S47" s="58">
        <v>427</v>
      </c>
      <c r="T47" s="58">
        <v>392</v>
      </c>
      <c r="U47" s="58">
        <v>397</v>
      </c>
      <c r="V47" s="58">
        <v>326</v>
      </c>
      <c r="W47" s="58">
        <v>322</v>
      </c>
      <c r="X47" s="58">
        <v>291</v>
      </c>
      <c r="Y47" s="58">
        <v>288</v>
      </c>
      <c r="Z47" s="58">
        <v>278</v>
      </c>
      <c r="AA47" s="58">
        <v>286</v>
      </c>
      <c r="AB47" s="58">
        <v>308</v>
      </c>
      <c r="AC47" s="58">
        <v>375</v>
      </c>
      <c r="AD47" s="58">
        <v>356</v>
      </c>
      <c r="AE47" s="58">
        <v>345</v>
      </c>
      <c r="AF47" s="58">
        <v>374</v>
      </c>
      <c r="AG47" s="58">
        <v>374</v>
      </c>
      <c r="AH47" s="58">
        <v>385</v>
      </c>
      <c r="AI47" s="58">
        <v>396</v>
      </c>
      <c r="AJ47" s="58">
        <v>360</v>
      </c>
      <c r="AK47" s="58">
        <v>306</v>
      </c>
      <c r="AL47" s="58">
        <v>331</v>
      </c>
      <c r="AM47" s="58">
        <v>319</v>
      </c>
      <c r="AN47" s="58">
        <v>281</v>
      </c>
      <c r="AO47" s="58">
        <v>334</v>
      </c>
      <c r="AP47" s="58">
        <v>290</v>
      </c>
      <c r="AQ47" s="58">
        <v>211</v>
      </c>
      <c r="AR47" s="58">
        <v>117</v>
      </c>
      <c r="AS47" s="58">
        <v>24</v>
      </c>
      <c r="AT47" s="58">
        <v>1</v>
      </c>
      <c r="AU47" s="58">
        <v>6</v>
      </c>
      <c r="AV47" s="58">
        <v>2</v>
      </c>
      <c r="AW47" s="58">
        <v>4</v>
      </c>
      <c r="AX47" s="58">
        <v>0</v>
      </c>
      <c r="AY47" s="58">
        <v>0</v>
      </c>
      <c r="AZ47" s="58">
        <v>0</v>
      </c>
      <c r="BA47" s="58">
        <v>0</v>
      </c>
      <c r="BB47" s="58">
        <v>0</v>
      </c>
      <c r="BC47" s="58">
        <v>0</v>
      </c>
      <c r="BD47" s="58">
        <v>0</v>
      </c>
      <c r="BE47" s="58">
        <v>0</v>
      </c>
      <c r="BF47" s="58">
        <v>0</v>
      </c>
      <c r="BG47" s="58">
        <v>0</v>
      </c>
      <c r="BH47" s="58">
        <f>SUM(D47:BG47)</f>
        <v>12053</v>
      </c>
    </row>
    <row r="48" spans="1:60">
      <c r="A48" s="56" t="s">
        <v>121</v>
      </c>
      <c r="B48" s="56" t="s">
        <v>119</v>
      </c>
      <c r="C48" s="56" t="s">
        <v>69</v>
      </c>
      <c r="D48" s="58">
        <v>0</v>
      </c>
      <c r="E48" s="58">
        <v>0</v>
      </c>
      <c r="F48" s="58">
        <v>1</v>
      </c>
      <c r="G48" s="58">
        <v>0</v>
      </c>
      <c r="H48" s="58">
        <v>13</v>
      </c>
      <c r="I48" s="58">
        <v>134</v>
      </c>
      <c r="J48" s="58">
        <v>296</v>
      </c>
      <c r="K48" s="58">
        <v>278</v>
      </c>
      <c r="L48" s="58">
        <v>277</v>
      </c>
      <c r="M48" s="58">
        <v>300</v>
      </c>
      <c r="N48" s="58">
        <v>352</v>
      </c>
      <c r="O48" s="58">
        <v>309</v>
      </c>
      <c r="P48" s="58">
        <v>348</v>
      </c>
      <c r="Q48" s="58">
        <v>340</v>
      </c>
      <c r="R48" s="58">
        <v>347</v>
      </c>
      <c r="S48" s="58">
        <v>369</v>
      </c>
      <c r="T48" s="58">
        <v>352</v>
      </c>
      <c r="U48" s="58">
        <v>334</v>
      </c>
      <c r="V48" s="58">
        <v>315</v>
      </c>
      <c r="W48" s="58">
        <v>266</v>
      </c>
      <c r="X48" s="58">
        <v>274</v>
      </c>
      <c r="Y48" s="58">
        <v>254</v>
      </c>
      <c r="Z48" s="58">
        <v>214</v>
      </c>
      <c r="AA48" s="58">
        <v>230</v>
      </c>
      <c r="AB48" s="58">
        <v>262</v>
      </c>
      <c r="AC48" s="58">
        <v>301</v>
      </c>
      <c r="AD48" s="58">
        <v>294</v>
      </c>
      <c r="AE48" s="58">
        <v>290</v>
      </c>
      <c r="AF48" s="58">
        <v>334</v>
      </c>
      <c r="AG48" s="58">
        <v>316</v>
      </c>
      <c r="AH48" s="58">
        <v>297</v>
      </c>
      <c r="AI48" s="58">
        <v>300</v>
      </c>
      <c r="AJ48" s="58">
        <v>274</v>
      </c>
      <c r="AK48" s="58">
        <v>291</v>
      </c>
      <c r="AL48" s="58">
        <v>247</v>
      </c>
      <c r="AM48" s="58">
        <v>229</v>
      </c>
      <c r="AN48" s="58">
        <v>265</v>
      </c>
      <c r="AO48" s="58">
        <v>308</v>
      </c>
      <c r="AP48" s="58">
        <v>226</v>
      </c>
      <c r="AQ48" s="58">
        <v>178</v>
      </c>
      <c r="AR48" s="58">
        <v>89</v>
      </c>
      <c r="AS48" s="58">
        <v>7</v>
      </c>
      <c r="AT48" s="58">
        <v>0</v>
      </c>
      <c r="AU48" s="58">
        <v>0</v>
      </c>
      <c r="AV48" s="58">
        <v>0</v>
      </c>
      <c r="AW48" s="58">
        <v>0</v>
      </c>
      <c r="AX48" s="58">
        <v>0</v>
      </c>
      <c r="AY48" s="58">
        <v>0</v>
      </c>
      <c r="AZ48" s="58">
        <v>0</v>
      </c>
      <c r="BA48" s="58">
        <v>0</v>
      </c>
      <c r="BB48" s="58">
        <v>0</v>
      </c>
      <c r="BC48" s="58">
        <v>0</v>
      </c>
      <c r="BD48" s="58">
        <v>0</v>
      </c>
      <c r="BE48" s="58">
        <v>0</v>
      </c>
      <c r="BF48" s="58">
        <v>0</v>
      </c>
      <c r="BG48" s="58">
        <v>0</v>
      </c>
      <c r="BH48" s="58">
        <f>SUM(D48:BG48)</f>
        <v>10111</v>
      </c>
    </row>
    <row r="49" spans="1:60">
      <c r="A49" s="56" t="s">
        <v>122</v>
      </c>
      <c r="B49" s="56" t="s">
        <v>119</v>
      </c>
      <c r="C49" s="56" t="s">
        <v>71</v>
      </c>
      <c r="D49" s="58">
        <v>0</v>
      </c>
      <c r="E49" s="58">
        <v>0</v>
      </c>
      <c r="F49" s="58">
        <v>0</v>
      </c>
      <c r="G49" s="58">
        <v>2</v>
      </c>
      <c r="H49" s="58">
        <v>4</v>
      </c>
      <c r="I49" s="58">
        <v>131</v>
      </c>
      <c r="J49" s="58">
        <v>279</v>
      </c>
      <c r="K49" s="58">
        <v>286</v>
      </c>
      <c r="L49" s="58">
        <v>286</v>
      </c>
      <c r="M49" s="58">
        <v>326</v>
      </c>
      <c r="N49" s="58">
        <v>363</v>
      </c>
      <c r="O49" s="58">
        <v>377</v>
      </c>
      <c r="P49" s="58">
        <v>385</v>
      </c>
      <c r="Q49" s="58">
        <v>363</v>
      </c>
      <c r="R49" s="58">
        <v>360</v>
      </c>
      <c r="S49" s="58">
        <v>338</v>
      </c>
      <c r="T49" s="58">
        <v>327</v>
      </c>
      <c r="U49" s="58">
        <v>349</v>
      </c>
      <c r="V49" s="58">
        <v>272</v>
      </c>
      <c r="W49" s="58">
        <v>262</v>
      </c>
      <c r="X49" s="58">
        <v>259</v>
      </c>
      <c r="Y49" s="58">
        <v>255</v>
      </c>
      <c r="Z49" s="58">
        <v>257</v>
      </c>
      <c r="AA49" s="58">
        <v>268</v>
      </c>
      <c r="AB49" s="58">
        <v>273</v>
      </c>
      <c r="AC49" s="58">
        <v>323</v>
      </c>
      <c r="AD49" s="58">
        <v>313</v>
      </c>
      <c r="AE49" s="58">
        <v>344</v>
      </c>
      <c r="AF49" s="58">
        <v>338</v>
      </c>
      <c r="AG49" s="58">
        <v>338</v>
      </c>
      <c r="AH49" s="58">
        <v>325</v>
      </c>
      <c r="AI49" s="58">
        <v>311</v>
      </c>
      <c r="AJ49" s="58">
        <v>303</v>
      </c>
      <c r="AK49" s="58">
        <v>296</v>
      </c>
      <c r="AL49" s="58">
        <v>300</v>
      </c>
      <c r="AM49" s="58">
        <v>293</v>
      </c>
      <c r="AN49" s="58">
        <v>318</v>
      </c>
      <c r="AO49" s="58">
        <v>283</v>
      </c>
      <c r="AP49" s="58">
        <v>268</v>
      </c>
      <c r="AQ49" s="58">
        <v>191</v>
      </c>
      <c r="AR49" s="58">
        <v>89</v>
      </c>
      <c r="AS49" s="58">
        <v>4</v>
      </c>
      <c r="AT49" s="58">
        <v>0</v>
      </c>
      <c r="AU49" s="58">
        <v>0</v>
      </c>
      <c r="AV49" s="58">
        <v>0</v>
      </c>
      <c r="AW49" s="58">
        <v>0</v>
      </c>
      <c r="AX49" s="58">
        <v>0</v>
      </c>
      <c r="AY49" s="58">
        <v>0</v>
      </c>
      <c r="AZ49" s="58">
        <v>0</v>
      </c>
      <c r="BA49" s="58">
        <v>0</v>
      </c>
      <c r="BB49" s="58">
        <v>0</v>
      </c>
      <c r="BC49" s="58">
        <v>0</v>
      </c>
      <c r="BD49" s="58">
        <v>0</v>
      </c>
      <c r="BE49" s="58">
        <v>0</v>
      </c>
      <c r="BF49" s="58">
        <v>0</v>
      </c>
      <c r="BG49" s="58">
        <v>0</v>
      </c>
      <c r="BH49" s="58">
        <f>SUM(D49:BG49)</f>
        <v>10659</v>
      </c>
    </row>
    <row r="50" spans="1:60">
      <c r="A50" s="56" t="s">
        <v>123</v>
      </c>
      <c r="B50" s="56" t="s">
        <v>119</v>
      </c>
      <c r="C50" s="56" t="s">
        <v>73</v>
      </c>
      <c r="D50" s="58">
        <v>0</v>
      </c>
      <c r="E50" s="58">
        <v>0</v>
      </c>
      <c r="F50" s="58">
        <v>0</v>
      </c>
      <c r="G50" s="58">
        <v>8</v>
      </c>
      <c r="H50" s="58">
        <v>28</v>
      </c>
      <c r="I50" s="58">
        <v>155</v>
      </c>
      <c r="J50" s="58">
        <v>323</v>
      </c>
      <c r="K50" s="58">
        <v>317</v>
      </c>
      <c r="L50" s="58">
        <v>345</v>
      </c>
      <c r="M50" s="58">
        <v>378</v>
      </c>
      <c r="N50" s="58">
        <v>408</v>
      </c>
      <c r="O50" s="58">
        <v>325</v>
      </c>
      <c r="P50" s="58">
        <v>359</v>
      </c>
      <c r="Q50" s="58">
        <v>413</v>
      </c>
      <c r="R50" s="58">
        <v>384</v>
      </c>
      <c r="S50" s="58">
        <v>381</v>
      </c>
      <c r="T50" s="58">
        <v>360</v>
      </c>
      <c r="U50" s="58">
        <v>352</v>
      </c>
      <c r="V50" s="58">
        <v>316</v>
      </c>
      <c r="W50" s="58">
        <v>264</v>
      </c>
      <c r="X50" s="58">
        <v>270</v>
      </c>
      <c r="Y50" s="58">
        <v>269</v>
      </c>
      <c r="Z50" s="58">
        <v>225</v>
      </c>
      <c r="AA50" s="58">
        <v>245</v>
      </c>
      <c r="AB50" s="58">
        <v>259</v>
      </c>
      <c r="AC50" s="58">
        <v>305</v>
      </c>
      <c r="AD50" s="58">
        <v>345</v>
      </c>
      <c r="AE50" s="58">
        <v>319</v>
      </c>
      <c r="AF50" s="58">
        <v>339</v>
      </c>
      <c r="AG50" s="58">
        <v>346</v>
      </c>
      <c r="AH50" s="58">
        <v>320</v>
      </c>
      <c r="AI50" s="58">
        <v>328</v>
      </c>
      <c r="AJ50" s="58">
        <v>293</v>
      </c>
      <c r="AK50" s="58">
        <v>314</v>
      </c>
      <c r="AL50" s="58">
        <v>323</v>
      </c>
      <c r="AM50" s="58">
        <v>293</v>
      </c>
      <c r="AN50" s="58">
        <v>285</v>
      </c>
      <c r="AO50" s="58">
        <v>307</v>
      </c>
      <c r="AP50" s="58">
        <v>259</v>
      </c>
      <c r="AQ50" s="58">
        <v>194</v>
      </c>
      <c r="AR50" s="58">
        <v>87</v>
      </c>
      <c r="AS50" s="58">
        <v>1</v>
      </c>
      <c r="AT50" s="58">
        <v>0</v>
      </c>
      <c r="AU50" s="58">
        <v>0</v>
      </c>
      <c r="AV50" s="58">
        <v>0</v>
      </c>
      <c r="AW50" s="58">
        <v>0</v>
      </c>
      <c r="AX50" s="58">
        <v>0</v>
      </c>
      <c r="AY50" s="58">
        <v>0</v>
      </c>
      <c r="AZ50" s="58">
        <v>0</v>
      </c>
      <c r="BA50" s="58">
        <v>0</v>
      </c>
      <c r="BB50" s="58">
        <v>0</v>
      </c>
      <c r="BC50" s="58">
        <v>0</v>
      </c>
      <c r="BD50" s="58">
        <v>0</v>
      </c>
      <c r="BE50" s="58">
        <v>0</v>
      </c>
      <c r="BF50" s="58">
        <v>0</v>
      </c>
      <c r="BG50" s="58">
        <v>0</v>
      </c>
      <c r="BH50" s="58">
        <f>SUM(D50:BG50)</f>
        <v>11042</v>
      </c>
    </row>
    <row r="51" spans="1:60">
      <c r="A51" s="56" t="s">
        <v>124</v>
      </c>
      <c r="B51" s="56" t="s">
        <v>119</v>
      </c>
      <c r="C51" s="56" t="s">
        <v>75</v>
      </c>
      <c r="D51" s="58">
        <v>0</v>
      </c>
      <c r="E51" s="58">
        <v>0</v>
      </c>
      <c r="F51" s="58">
        <v>0</v>
      </c>
      <c r="G51" s="58">
        <v>1</v>
      </c>
      <c r="H51" s="58">
        <v>19</v>
      </c>
      <c r="I51" s="58">
        <v>145</v>
      </c>
      <c r="J51" s="58">
        <v>307</v>
      </c>
      <c r="K51" s="58">
        <v>234</v>
      </c>
      <c r="L51" s="58">
        <v>272</v>
      </c>
      <c r="M51" s="58">
        <v>281</v>
      </c>
      <c r="N51" s="58">
        <v>238</v>
      </c>
      <c r="O51" s="58">
        <v>301</v>
      </c>
      <c r="P51" s="58">
        <v>299</v>
      </c>
      <c r="Q51" s="58">
        <v>330</v>
      </c>
      <c r="R51" s="58">
        <v>330</v>
      </c>
      <c r="S51" s="58">
        <v>346</v>
      </c>
      <c r="T51" s="58">
        <v>323</v>
      </c>
      <c r="U51" s="58">
        <v>255</v>
      </c>
      <c r="V51" s="58">
        <v>297</v>
      </c>
      <c r="W51" s="58">
        <v>248</v>
      </c>
      <c r="X51" s="58">
        <v>222</v>
      </c>
      <c r="Y51" s="58">
        <v>251</v>
      </c>
      <c r="Z51" s="58">
        <v>266</v>
      </c>
      <c r="AA51" s="58">
        <v>213</v>
      </c>
      <c r="AB51" s="58">
        <v>255</v>
      </c>
      <c r="AC51" s="58">
        <v>282</v>
      </c>
      <c r="AD51" s="58">
        <v>293</v>
      </c>
      <c r="AE51" s="58">
        <v>286</v>
      </c>
      <c r="AF51" s="58">
        <v>280</v>
      </c>
      <c r="AG51" s="58">
        <v>306</v>
      </c>
      <c r="AH51" s="58">
        <v>314</v>
      </c>
      <c r="AI51" s="58">
        <v>273</v>
      </c>
      <c r="AJ51" s="58">
        <v>282</v>
      </c>
      <c r="AK51" s="58">
        <v>264</v>
      </c>
      <c r="AL51" s="58">
        <v>276</v>
      </c>
      <c r="AM51" s="58">
        <v>285</v>
      </c>
      <c r="AN51" s="58">
        <v>260</v>
      </c>
      <c r="AO51" s="58">
        <v>238</v>
      </c>
      <c r="AP51" s="58">
        <v>214</v>
      </c>
      <c r="AQ51" s="58">
        <v>163</v>
      </c>
      <c r="AR51" s="58">
        <v>86</v>
      </c>
      <c r="AS51" s="58">
        <v>3</v>
      </c>
      <c r="AT51" s="58">
        <v>0</v>
      </c>
      <c r="AU51" s="58">
        <v>0</v>
      </c>
      <c r="AV51" s="58">
        <v>0</v>
      </c>
      <c r="AW51" s="58">
        <v>0</v>
      </c>
      <c r="AX51" s="58">
        <v>0</v>
      </c>
      <c r="AY51" s="58">
        <v>0</v>
      </c>
      <c r="AZ51" s="58">
        <v>0</v>
      </c>
      <c r="BA51" s="58">
        <v>0</v>
      </c>
      <c r="BB51" s="58">
        <v>0</v>
      </c>
      <c r="BC51" s="58">
        <v>0</v>
      </c>
      <c r="BD51" s="58">
        <v>0</v>
      </c>
      <c r="BE51" s="58">
        <v>0</v>
      </c>
      <c r="BF51" s="58">
        <v>0</v>
      </c>
      <c r="BG51" s="58">
        <v>0</v>
      </c>
      <c r="BH51" s="58">
        <f>SUM(D51:BG51)</f>
        <v>9538</v>
      </c>
    </row>
    <row r="52" spans="1:60">
      <c r="A52" s="56" t="s">
        <v>125</v>
      </c>
      <c r="B52" s="56" t="s">
        <v>119</v>
      </c>
      <c r="C52" s="56" t="s">
        <v>77</v>
      </c>
      <c r="D52" s="58">
        <v>0</v>
      </c>
      <c r="E52" s="58">
        <v>0</v>
      </c>
      <c r="F52" s="58">
        <v>0</v>
      </c>
      <c r="G52" s="58">
        <v>1</v>
      </c>
      <c r="H52" s="58">
        <v>4</v>
      </c>
      <c r="I52" s="58">
        <v>102</v>
      </c>
      <c r="J52" s="58">
        <v>246</v>
      </c>
      <c r="K52" s="58">
        <v>211</v>
      </c>
      <c r="L52" s="58">
        <v>288</v>
      </c>
      <c r="M52" s="58">
        <v>282</v>
      </c>
      <c r="N52" s="58">
        <v>273</v>
      </c>
      <c r="O52" s="58">
        <v>302</v>
      </c>
      <c r="P52" s="58">
        <v>346</v>
      </c>
      <c r="Q52" s="58">
        <v>331</v>
      </c>
      <c r="R52" s="58">
        <v>334</v>
      </c>
      <c r="S52" s="58">
        <v>308</v>
      </c>
      <c r="T52" s="58">
        <v>320</v>
      </c>
      <c r="U52" s="58">
        <v>287</v>
      </c>
      <c r="V52" s="58">
        <v>280</v>
      </c>
      <c r="W52" s="58">
        <v>234</v>
      </c>
      <c r="X52" s="58">
        <v>257</v>
      </c>
      <c r="Y52" s="58">
        <v>250</v>
      </c>
      <c r="Z52" s="58">
        <v>233</v>
      </c>
      <c r="AA52" s="58">
        <v>239</v>
      </c>
      <c r="AB52" s="58">
        <v>235</v>
      </c>
      <c r="AC52" s="58">
        <v>286</v>
      </c>
      <c r="AD52" s="58">
        <v>282</v>
      </c>
      <c r="AE52" s="58">
        <v>291</v>
      </c>
      <c r="AF52" s="58">
        <v>275</v>
      </c>
      <c r="AG52" s="58">
        <v>297</v>
      </c>
      <c r="AH52" s="58">
        <v>276</v>
      </c>
      <c r="AI52" s="58">
        <v>236</v>
      </c>
      <c r="AJ52" s="58">
        <v>276</v>
      </c>
      <c r="AK52" s="58">
        <v>284</v>
      </c>
      <c r="AL52" s="58">
        <v>279</v>
      </c>
      <c r="AM52" s="58">
        <v>247</v>
      </c>
      <c r="AN52" s="58">
        <v>257</v>
      </c>
      <c r="AO52" s="58">
        <v>259</v>
      </c>
      <c r="AP52" s="58">
        <v>244</v>
      </c>
      <c r="AQ52" s="58">
        <v>164</v>
      </c>
      <c r="AR52" s="58">
        <v>80</v>
      </c>
      <c r="AS52" s="58">
        <v>2</v>
      </c>
      <c r="AT52" s="58">
        <v>0</v>
      </c>
      <c r="AU52" s="58">
        <v>0</v>
      </c>
      <c r="AV52" s="58">
        <v>0</v>
      </c>
      <c r="AW52" s="58">
        <v>0</v>
      </c>
      <c r="AX52" s="58">
        <v>0</v>
      </c>
      <c r="AY52" s="58">
        <v>0</v>
      </c>
      <c r="AZ52" s="58">
        <v>0</v>
      </c>
      <c r="BA52" s="58">
        <v>0</v>
      </c>
      <c r="BB52" s="58">
        <v>0</v>
      </c>
      <c r="BC52" s="58">
        <v>0</v>
      </c>
      <c r="BD52" s="58">
        <v>0</v>
      </c>
      <c r="BE52" s="58">
        <v>0</v>
      </c>
      <c r="BF52" s="58">
        <v>0</v>
      </c>
      <c r="BG52" s="58">
        <v>0</v>
      </c>
      <c r="BH52" s="58">
        <f>SUM(D52:BG52)</f>
        <v>9398</v>
      </c>
    </row>
    <row r="53" spans="1:60">
      <c r="A53" s="56" t="s">
        <v>126</v>
      </c>
      <c r="B53" s="56" t="s">
        <v>119</v>
      </c>
      <c r="C53" s="56" t="s">
        <v>79</v>
      </c>
      <c r="D53" s="58">
        <v>0</v>
      </c>
      <c r="E53" s="58">
        <v>0</v>
      </c>
      <c r="F53" s="58">
        <v>0</v>
      </c>
      <c r="G53" s="58">
        <v>0</v>
      </c>
      <c r="H53" s="58">
        <v>13</v>
      </c>
      <c r="I53" s="58">
        <v>92</v>
      </c>
      <c r="J53" s="58">
        <v>241</v>
      </c>
      <c r="K53" s="58">
        <v>254</v>
      </c>
      <c r="L53" s="58">
        <v>279</v>
      </c>
      <c r="M53" s="58">
        <v>290</v>
      </c>
      <c r="N53" s="58">
        <v>328</v>
      </c>
      <c r="O53" s="58">
        <v>301</v>
      </c>
      <c r="P53" s="58">
        <v>330</v>
      </c>
      <c r="Q53" s="58">
        <v>378</v>
      </c>
      <c r="R53" s="58">
        <v>352</v>
      </c>
      <c r="S53" s="58">
        <v>360</v>
      </c>
      <c r="T53" s="58">
        <v>370</v>
      </c>
      <c r="U53" s="58">
        <v>334</v>
      </c>
      <c r="V53" s="58">
        <v>306</v>
      </c>
      <c r="W53" s="58">
        <v>279</v>
      </c>
      <c r="X53" s="58">
        <v>228</v>
      </c>
      <c r="Y53" s="58">
        <v>242</v>
      </c>
      <c r="Z53" s="58">
        <v>233</v>
      </c>
      <c r="AA53" s="58">
        <v>263</v>
      </c>
      <c r="AB53" s="58">
        <v>292</v>
      </c>
      <c r="AC53" s="58">
        <v>313</v>
      </c>
      <c r="AD53" s="58">
        <v>324</v>
      </c>
      <c r="AE53" s="58">
        <v>344</v>
      </c>
      <c r="AF53" s="58">
        <v>329</v>
      </c>
      <c r="AG53" s="58">
        <v>311</v>
      </c>
      <c r="AH53" s="58">
        <v>356</v>
      </c>
      <c r="AI53" s="58">
        <v>313</v>
      </c>
      <c r="AJ53" s="58">
        <v>316</v>
      </c>
      <c r="AK53" s="58">
        <v>292</v>
      </c>
      <c r="AL53" s="58">
        <v>295</v>
      </c>
      <c r="AM53" s="58">
        <v>281</v>
      </c>
      <c r="AN53" s="58">
        <v>335</v>
      </c>
      <c r="AO53" s="58">
        <v>297</v>
      </c>
      <c r="AP53" s="58">
        <v>255</v>
      </c>
      <c r="AQ53" s="58">
        <v>179</v>
      </c>
      <c r="AR53" s="58">
        <v>82</v>
      </c>
      <c r="AS53" s="58">
        <v>1</v>
      </c>
      <c r="AT53" s="58">
        <v>0</v>
      </c>
      <c r="AU53" s="58">
        <v>2</v>
      </c>
      <c r="AV53" s="58">
        <v>4</v>
      </c>
      <c r="AW53" s="58">
        <v>3</v>
      </c>
      <c r="AX53" s="58">
        <v>2</v>
      </c>
      <c r="AY53" s="58">
        <v>2</v>
      </c>
      <c r="AZ53" s="58">
        <v>1</v>
      </c>
      <c r="BA53" s="58">
        <v>4</v>
      </c>
      <c r="BB53" s="58">
        <v>0</v>
      </c>
      <c r="BC53" s="58">
        <v>0</v>
      </c>
      <c r="BD53" s="58">
        <v>0</v>
      </c>
      <c r="BE53" s="58">
        <v>0</v>
      </c>
      <c r="BF53" s="58">
        <v>0</v>
      </c>
      <c r="BG53" s="58">
        <v>0</v>
      </c>
      <c r="BH53" s="58">
        <f>SUM(D53:BG53)</f>
        <v>10406</v>
      </c>
    </row>
    <row r="54" spans="1:60">
      <c r="A54" s="56" t="s">
        <v>127</v>
      </c>
      <c r="B54" s="56" t="s">
        <v>119</v>
      </c>
      <c r="C54" s="56" t="s">
        <v>81</v>
      </c>
      <c r="D54" s="58">
        <v>0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0</v>
      </c>
      <c r="AC54" s="58">
        <v>0</v>
      </c>
      <c r="AD54" s="58">
        <v>0</v>
      </c>
      <c r="AE54" s="58">
        <v>0</v>
      </c>
      <c r="AF54" s="58">
        <v>0</v>
      </c>
      <c r="AG54" s="58">
        <v>0</v>
      </c>
      <c r="AH54" s="58">
        <v>0</v>
      </c>
      <c r="AI54" s="58">
        <v>0</v>
      </c>
      <c r="AJ54" s="58">
        <v>0</v>
      </c>
      <c r="AK54" s="58">
        <v>0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58">
        <v>0</v>
      </c>
      <c r="AS54" s="58">
        <v>0</v>
      </c>
      <c r="AT54" s="58">
        <v>0</v>
      </c>
      <c r="AU54" s="58">
        <v>0</v>
      </c>
      <c r="AV54" s="58">
        <v>0</v>
      </c>
      <c r="AW54" s="58">
        <v>0</v>
      </c>
      <c r="AX54" s="58">
        <v>0</v>
      </c>
      <c r="AY54" s="58">
        <v>0</v>
      </c>
      <c r="AZ54" s="58">
        <v>0</v>
      </c>
      <c r="BA54" s="58">
        <v>0</v>
      </c>
      <c r="BB54" s="58">
        <v>0</v>
      </c>
      <c r="BC54" s="58">
        <v>0</v>
      </c>
      <c r="BD54" s="58">
        <v>0</v>
      </c>
      <c r="BE54" s="58">
        <v>0</v>
      </c>
      <c r="BF54" s="58">
        <v>0</v>
      </c>
      <c r="BG54" s="58">
        <v>0</v>
      </c>
      <c r="BH54" s="58">
        <f>SUM(D54:BG54)</f>
        <v>0</v>
      </c>
    </row>
    <row r="55" spans="1:60">
      <c r="A55" s="56" t="s">
        <v>128</v>
      </c>
      <c r="B55" s="56" t="s">
        <v>119</v>
      </c>
      <c r="C55" s="56" t="s">
        <v>83</v>
      </c>
      <c r="D55" s="58">
        <v>0</v>
      </c>
      <c r="E55" s="58">
        <v>0</v>
      </c>
      <c r="F55" s="58">
        <v>0</v>
      </c>
      <c r="G55" s="58">
        <v>2</v>
      </c>
      <c r="H55" s="58">
        <v>12</v>
      </c>
      <c r="I55" s="58">
        <v>89</v>
      </c>
      <c r="J55" s="58">
        <v>179</v>
      </c>
      <c r="K55" s="58">
        <v>176</v>
      </c>
      <c r="L55" s="58">
        <v>214</v>
      </c>
      <c r="M55" s="58">
        <v>205</v>
      </c>
      <c r="N55" s="58">
        <v>204</v>
      </c>
      <c r="O55" s="58">
        <v>261</v>
      </c>
      <c r="P55" s="58">
        <v>281</v>
      </c>
      <c r="Q55" s="58">
        <v>284</v>
      </c>
      <c r="R55" s="58">
        <v>251</v>
      </c>
      <c r="S55" s="58">
        <v>283</v>
      </c>
      <c r="T55" s="58">
        <v>272</v>
      </c>
      <c r="U55" s="58">
        <v>252</v>
      </c>
      <c r="V55" s="58">
        <v>250</v>
      </c>
      <c r="W55" s="58">
        <v>220</v>
      </c>
      <c r="X55" s="58">
        <v>191</v>
      </c>
      <c r="Y55" s="58">
        <v>202</v>
      </c>
      <c r="Z55" s="58">
        <v>225</v>
      </c>
      <c r="AA55" s="58">
        <v>205</v>
      </c>
      <c r="AB55" s="58">
        <v>266</v>
      </c>
      <c r="AC55" s="58">
        <v>285</v>
      </c>
      <c r="AD55" s="58">
        <v>252</v>
      </c>
      <c r="AE55" s="58">
        <v>259</v>
      </c>
      <c r="AF55" s="58">
        <v>284</v>
      </c>
      <c r="AG55" s="58">
        <v>242</v>
      </c>
      <c r="AH55" s="58">
        <v>297</v>
      </c>
      <c r="AI55" s="58">
        <v>242</v>
      </c>
      <c r="AJ55" s="58">
        <v>256</v>
      </c>
      <c r="AK55" s="58">
        <v>222</v>
      </c>
      <c r="AL55" s="58">
        <v>285</v>
      </c>
      <c r="AM55" s="58">
        <v>217</v>
      </c>
      <c r="AN55" s="58">
        <v>228</v>
      </c>
      <c r="AO55" s="58">
        <v>226</v>
      </c>
      <c r="AP55" s="58">
        <v>219</v>
      </c>
      <c r="AQ55" s="58">
        <v>152</v>
      </c>
      <c r="AR55" s="58">
        <v>64</v>
      </c>
      <c r="AS55" s="58">
        <v>7</v>
      </c>
      <c r="AT55" s="58">
        <v>3</v>
      </c>
      <c r="AU55" s="58">
        <v>7</v>
      </c>
      <c r="AV55" s="58">
        <v>3</v>
      </c>
      <c r="AW55" s="58">
        <v>1</v>
      </c>
      <c r="AX55" s="58">
        <v>6</v>
      </c>
      <c r="AY55" s="58">
        <v>3</v>
      </c>
      <c r="AZ55" s="58">
        <v>3</v>
      </c>
      <c r="BA55" s="58">
        <v>4</v>
      </c>
      <c r="BB55" s="58">
        <v>0</v>
      </c>
      <c r="BC55" s="58">
        <v>0</v>
      </c>
      <c r="BD55" s="58">
        <v>0</v>
      </c>
      <c r="BE55" s="58">
        <v>0</v>
      </c>
      <c r="BF55" s="58">
        <v>0</v>
      </c>
      <c r="BG55" s="58">
        <v>0</v>
      </c>
      <c r="BH55" s="58">
        <f>SUM(D55:BG55)</f>
        <v>8291</v>
      </c>
    </row>
    <row r="56" spans="1:60">
      <c r="A56" s="56" t="s">
        <v>129</v>
      </c>
      <c r="B56" s="56" t="s">
        <v>119</v>
      </c>
      <c r="C56" s="56" t="s">
        <v>85</v>
      </c>
      <c r="D56" s="58">
        <v>0</v>
      </c>
      <c r="E56" s="58">
        <v>0</v>
      </c>
      <c r="F56" s="58">
        <v>0</v>
      </c>
      <c r="G56" s="58">
        <v>2</v>
      </c>
      <c r="H56" s="58">
        <v>13</v>
      </c>
      <c r="I56" s="58">
        <v>119</v>
      </c>
      <c r="J56" s="58">
        <v>258</v>
      </c>
      <c r="K56" s="58">
        <v>234</v>
      </c>
      <c r="L56" s="58">
        <v>283</v>
      </c>
      <c r="M56" s="58">
        <v>287</v>
      </c>
      <c r="N56" s="58">
        <v>322</v>
      </c>
      <c r="O56" s="58">
        <v>335</v>
      </c>
      <c r="P56" s="58">
        <v>370</v>
      </c>
      <c r="Q56" s="58">
        <v>368</v>
      </c>
      <c r="R56" s="58">
        <v>379</v>
      </c>
      <c r="S56" s="58">
        <v>344</v>
      </c>
      <c r="T56" s="58">
        <v>323</v>
      </c>
      <c r="U56" s="58">
        <v>324</v>
      </c>
      <c r="V56" s="58">
        <v>314</v>
      </c>
      <c r="W56" s="58">
        <v>274</v>
      </c>
      <c r="X56" s="58">
        <v>266</v>
      </c>
      <c r="Y56" s="58">
        <v>263</v>
      </c>
      <c r="Z56" s="58">
        <v>243</v>
      </c>
      <c r="AA56" s="58">
        <v>271</v>
      </c>
      <c r="AB56" s="58">
        <v>290</v>
      </c>
      <c r="AC56" s="58">
        <v>352</v>
      </c>
      <c r="AD56" s="58">
        <v>327</v>
      </c>
      <c r="AE56" s="58">
        <v>342</v>
      </c>
      <c r="AF56" s="58">
        <v>356</v>
      </c>
      <c r="AG56" s="58">
        <v>346</v>
      </c>
      <c r="AH56" s="58">
        <v>360</v>
      </c>
      <c r="AI56" s="58">
        <v>343</v>
      </c>
      <c r="AJ56" s="58">
        <v>297</v>
      </c>
      <c r="AK56" s="58">
        <v>298</v>
      </c>
      <c r="AL56" s="58">
        <v>303</v>
      </c>
      <c r="AM56" s="58">
        <v>273</v>
      </c>
      <c r="AN56" s="58">
        <v>297</v>
      </c>
      <c r="AO56" s="58">
        <v>282</v>
      </c>
      <c r="AP56" s="58">
        <v>238</v>
      </c>
      <c r="AQ56" s="58">
        <v>187</v>
      </c>
      <c r="AR56" s="58">
        <v>99</v>
      </c>
      <c r="AS56" s="58">
        <v>1</v>
      </c>
      <c r="AT56" s="58">
        <v>0</v>
      </c>
      <c r="AU56" s="58">
        <v>0</v>
      </c>
      <c r="AV56" s="58">
        <v>0</v>
      </c>
      <c r="AW56" s="58">
        <v>0</v>
      </c>
      <c r="AX56" s="58">
        <v>0</v>
      </c>
      <c r="AY56" s="58">
        <v>0</v>
      </c>
      <c r="AZ56" s="58">
        <v>0</v>
      </c>
      <c r="BA56" s="58">
        <v>0</v>
      </c>
      <c r="BB56" s="58">
        <v>0</v>
      </c>
      <c r="BC56" s="58">
        <v>0</v>
      </c>
      <c r="BD56" s="58">
        <v>0</v>
      </c>
      <c r="BE56" s="58">
        <v>0</v>
      </c>
      <c r="BF56" s="58">
        <v>0</v>
      </c>
      <c r="BG56" s="58">
        <v>0</v>
      </c>
      <c r="BH56" s="58">
        <f>SUM(D56:BG56)</f>
        <v>10583</v>
      </c>
    </row>
    <row r="57" spans="1:60">
      <c r="A57" s="56" t="s">
        <v>130</v>
      </c>
      <c r="B57" s="56" t="s">
        <v>119</v>
      </c>
      <c r="C57" s="56" t="s">
        <v>87</v>
      </c>
      <c r="D57" s="58">
        <v>0</v>
      </c>
      <c r="E57" s="58">
        <v>0</v>
      </c>
      <c r="F57" s="58">
        <v>0</v>
      </c>
      <c r="G57" s="58">
        <v>1</v>
      </c>
      <c r="H57" s="58">
        <v>4</v>
      </c>
      <c r="I57" s="58">
        <v>94</v>
      </c>
      <c r="J57" s="58">
        <v>210</v>
      </c>
      <c r="K57" s="58">
        <v>232</v>
      </c>
      <c r="L57" s="58">
        <v>244</v>
      </c>
      <c r="M57" s="58">
        <v>233</v>
      </c>
      <c r="N57" s="58">
        <v>291</v>
      </c>
      <c r="O57" s="58">
        <v>308</v>
      </c>
      <c r="P57" s="58">
        <v>331</v>
      </c>
      <c r="Q57" s="58">
        <v>328</v>
      </c>
      <c r="R57" s="58">
        <v>332</v>
      </c>
      <c r="S57" s="58">
        <v>377</v>
      </c>
      <c r="T57" s="58">
        <v>354</v>
      </c>
      <c r="U57" s="58">
        <v>365</v>
      </c>
      <c r="V57" s="58">
        <v>285</v>
      </c>
      <c r="W57" s="58">
        <v>319</v>
      </c>
      <c r="X57" s="58">
        <v>267</v>
      </c>
      <c r="Y57" s="58">
        <v>243</v>
      </c>
      <c r="Z57" s="58">
        <v>282</v>
      </c>
      <c r="AA57" s="58">
        <v>260</v>
      </c>
      <c r="AB57" s="58">
        <v>261</v>
      </c>
      <c r="AC57" s="58">
        <v>302</v>
      </c>
      <c r="AD57" s="58">
        <v>322</v>
      </c>
      <c r="AE57" s="58">
        <v>357</v>
      </c>
      <c r="AF57" s="58">
        <v>329</v>
      </c>
      <c r="AG57" s="58">
        <v>354</v>
      </c>
      <c r="AH57" s="58">
        <v>321</v>
      </c>
      <c r="AI57" s="58">
        <v>314</v>
      </c>
      <c r="AJ57" s="58">
        <v>336</v>
      </c>
      <c r="AK57" s="58">
        <v>306</v>
      </c>
      <c r="AL57" s="58">
        <v>325</v>
      </c>
      <c r="AM57" s="58">
        <v>277</v>
      </c>
      <c r="AN57" s="58">
        <v>304</v>
      </c>
      <c r="AO57" s="58">
        <v>279</v>
      </c>
      <c r="AP57" s="58">
        <v>261</v>
      </c>
      <c r="AQ57" s="58">
        <v>188</v>
      </c>
      <c r="AR57" s="58">
        <v>85</v>
      </c>
      <c r="AS57" s="58">
        <v>2</v>
      </c>
      <c r="AT57" s="58">
        <v>1</v>
      </c>
      <c r="AU57" s="58">
        <v>4</v>
      </c>
      <c r="AV57" s="58">
        <v>3</v>
      </c>
      <c r="AW57" s="58">
        <v>8</v>
      </c>
      <c r="AX57" s="58">
        <v>7</v>
      </c>
      <c r="AY57" s="58">
        <v>3</v>
      </c>
      <c r="AZ57" s="58">
        <v>4</v>
      </c>
      <c r="BA57" s="58">
        <v>3</v>
      </c>
      <c r="BB57" s="58">
        <v>0</v>
      </c>
      <c r="BC57" s="58">
        <v>0</v>
      </c>
      <c r="BD57" s="58">
        <v>0</v>
      </c>
      <c r="BE57" s="58">
        <v>0</v>
      </c>
      <c r="BF57" s="58">
        <v>0</v>
      </c>
      <c r="BG57" s="58">
        <v>0</v>
      </c>
      <c r="BH57" s="58">
        <f>SUM(D57:BG57)</f>
        <v>10316</v>
      </c>
    </row>
    <row r="58" spans="1:60">
      <c r="A58" s="56" t="s">
        <v>131</v>
      </c>
      <c r="B58" s="56" t="s">
        <v>119</v>
      </c>
      <c r="C58" s="56" t="s">
        <v>89</v>
      </c>
      <c r="D58" s="58">
        <v>0</v>
      </c>
      <c r="E58" s="58">
        <v>0</v>
      </c>
      <c r="F58" s="58">
        <v>0</v>
      </c>
      <c r="G58" s="58">
        <v>1</v>
      </c>
      <c r="H58" s="58">
        <v>19</v>
      </c>
      <c r="I58" s="58">
        <v>198</v>
      </c>
      <c r="J58" s="58">
        <v>342</v>
      </c>
      <c r="K58" s="58">
        <v>299</v>
      </c>
      <c r="L58" s="58">
        <v>333</v>
      </c>
      <c r="M58" s="58">
        <v>364</v>
      </c>
      <c r="N58" s="58">
        <v>386</v>
      </c>
      <c r="O58" s="58">
        <v>400</v>
      </c>
      <c r="P58" s="58">
        <v>423</v>
      </c>
      <c r="Q58" s="58">
        <v>382</v>
      </c>
      <c r="R58" s="58">
        <v>460</v>
      </c>
      <c r="S58" s="58">
        <v>446</v>
      </c>
      <c r="T58" s="58">
        <v>435</v>
      </c>
      <c r="U58" s="58">
        <v>417</v>
      </c>
      <c r="V58" s="58">
        <v>388</v>
      </c>
      <c r="W58" s="58">
        <v>353</v>
      </c>
      <c r="X58" s="58">
        <v>341</v>
      </c>
      <c r="Y58" s="58">
        <v>361</v>
      </c>
      <c r="Z58" s="58">
        <v>360</v>
      </c>
      <c r="AA58" s="58">
        <v>369</v>
      </c>
      <c r="AB58" s="58">
        <v>380</v>
      </c>
      <c r="AC58" s="58">
        <v>399</v>
      </c>
      <c r="AD58" s="58">
        <v>424</v>
      </c>
      <c r="AE58" s="58">
        <v>446</v>
      </c>
      <c r="AF58" s="58">
        <v>408</v>
      </c>
      <c r="AG58" s="58">
        <v>418</v>
      </c>
      <c r="AH58" s="58">
        <v>433</v>
      </c>
      <c r="AI58" s="58">
        <v>374</v>
      </c>
      <c r="AJ58" s="58">
        <v>434</v>
      </c>
      <c r="AK58" s="58">
        <v>416</v>
      </c>
      <c r="AL58" s="58">
        <v>395</v>
      </c>
      <c r="AM58" s="58">
        <v>372</v>
      </c>
      <c r="AN58" s="58">
        <v>356</v>
      </c>
      <c r="AO58" s="58">
        <v>361</v>
      </c>
      <c r="AP58" s="58">
        <v>359</v>
      </c>
      <c r="AQ58" s="58">
        <v>261</v>
      </c>
      <c r="AR58" s="58">
        <v>111</v>
      </c>
      <c r="AS58" s="58">
        <v>8</v>
      </c>
      <c r="AT58" s="58">
        <v>16</v>
      </c>
      <c r="AU58" s="58">
        <v>8</v>
      </c>
      <c r="AV58" s="58">
        <v>5</v>
      </c>
      <c r="AW58" s="58">
        <v>10</v>
      </c>
      <c r="AX58" s="58">
        <v>6</v>
      </c>
      <c r="AY58" s="58">
        <v>3</v>
      </c>
      <c r="AZ58" s="58">
        <v>7</v>
      </c>
      <c r="BA58" s="58">
        <v>3</v>
      </c>
      <c r="BB58" s="58">
        <v>0</v>
      </c>
      <c r="BC58" s="58">
        <v>0</v>
      </c>
      <c r="BD58" s="58">
        <v>0</v>
      </c>
      <c r="BE58" s="58">
        <v>0</v>
      </c>
      <c r="BF58" s="58">
        <v>0</v>
      </c>
      <c r="BG58" s="58">
        <v>0</v>
      </c>
      <c r="BH58" s="58">
        <f>SUM(D58:BG58)</f>
        <v>13490</v>
      </c>
    </row>
    <row r="59" spans="1:60">
      <c r="A59" s="56" t="s">
        <v>132</v>
      </c>
      <c r="B59" s="56" t="s">
        <v>133</v>
      </c>
      <c r="C59" s="56" t="s">
        <v>65</v>
      </c>
      <c r="D59" s="58">
        <v>0</v>
      </c>
      <c r="E59" s="58">
        <v>0</v>
      </c>
      <c r="F59" s="58">
        <v>0</v>
      </c>
      <c r="G59" s="58">
        <v>3</v>
      </c>
      <c r="H59" s="58">
        <v>48</v>
      </c>
      <c r="I59" s="58">
        <v>1360</v>
      </c>
      <c r="J59" s="58">
        <v>3832</v>
      </c>
      <c r="K59" s="58">
        <v>3275</v>
      </c>
      <c r="L59" s="58">
        <v>3699</v>
      </c>
      <c r="M59" s="58">
        <v>4159</v>
      </c>
      <c r="N59" s="58">
        <v>4094</v>
      </c>
      <c r="O59" s="58">
        <v>4501</v>
      </c>
      <c r="P59" s="58">
        <v>4752</v>
      </c>
      <c r="Q59" s="58">
        <v>4788</v>
      </c>
      <c r="R59" s="58">
        <v>4694</v>
      </c>
      <c r="S59" s="58">
        <v>4687</v>
      </c>
      <c r="T59" s="58">
        <v>4659</v>
      </c>
      <c r="U59" s="58">
        <v>4449</v>
      </c>
      <c r="V59" s="58">
        <v>4203</v>
      </c>
      <c r="W59" s="58">
        <v>3872</v>
      </c>
      <c r="X59" s="58">
        <v>3623</v>
      </c>
      <c r="Y59" s="58">
        <v>3539</v>
      </c>
      <c r="Z59" s="58">
        <v>3379</v>
      </c>
      <c r="AA59" s="58">
        <v>3504</v>
      </c>
      <c r="AB59" s="58">
        <v>3777</v>
      </c>
      <c r="AC59" s="58">
        <v>4239</v>
      </c>
      <c r="AD59" s="58">
        <v>4277</v>
      </c>
      <c r="AE59" s="58">
        <v>4613</v>
      </c>
      <c r="AF59" s="58">
        <v>4458</v>
      </c>
      <c r="AG59" s="58">
        <v>4574</v>
      </c>
      <c r="AH59" s="58">
        <v>4321</v>
      </c>
      <c r="AI59" s="58">
        <v>4343</v>
      </c>
      <c r="AJ59" s="58">
        <v>4160</v>
      </c>
      <c r="AK59" s="58">
        <v>4114</v>
      </c>
      <c r="AL59" s="58">
        <v>4009</v>
      </c>
      <c r="AM59" s="58">
        <v>3709</v>
      </c>
      <c r="AN59" s="58">
        <v>3813</v>
      </c>
      <c r="AO59" s="58">
        <v>3750</v>
      </c>
      <c r="AP59" s="58">
        <v>3541</v>
      </c>
      <c r="AQ59" s="58">
        <v>2780</v>
      </c>
      <c r="AR59" s="58">
        <v>1284</v>
      </c>
      <c r="AS59" s="58">
        <v>164</v>
      </c>
      <c r="AT59" s="58">
        <v>19</v>
      </c>
      <c r="AU59" s="58">
        <v>36</v>
      </c>
      <c r="AV59" s="58">
        <v>30</v>
      </c>
      <c r="AW59" s="58">
        <v>31</v>
      </c>
      <c r="AX59" s="58">
        <v>28</v>
      </c>
      <c r="AY59" s="58">
        <v>15</v>
      </c>
      <c r="AZ59" s="58">
        <v>25</v>
      </c>
      <c r="BA59" s="58">
        <v>7</v>
      </c>
      <c r="BB59" s="58">
        <v>3</v>
      </c>
      <c r="BC59" s="58">
        <v>1</v>
      </c>
      <c r="BD59" s="58">
        <v>2</v>
      </c>
      <c r="BE59" s="58">
        <v>0</v>
      </c>
      <c r="BF59" s="58">
        <v>0</v>
      </c>
      <c r="BG59" s="58">
        <v>0</v>
      </c>
      <c r="BH59" s="58">
        <f>SUM(D59:BG59)</f>
        <v>141243</v>
      </c>
    </row>
    <row r="60" spans="1:60">
      <c r="A60" s="56" t="s">
        <v>134</v>
      </c>
      <c r="B60" s="56" t="s">
        <v>133</v>
      </c>
      <c r="C60" s="56" t="s">
        <v>67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185</v>
      </c>
      <c r="J60" s="58">
        <v>413</v>
      </c>
      <c r="K60" s="58">
        <v>365</v>
      </c>
      <c r="L60" s="58">
        <v>371</v>
      </c>
      <c r="M60" s="58">
        <v>428</v>
      </c>
      <c r="N60" s="58">
        <v>372</v>
      </c>
      <c r="O60" s="58">
        <v>396</v>
      </c>
      <c r="P60" s="58">
        <v>405</v>
      </c>
      <c r="Q60" s="58">
        <v>370</v>
      </c>
      <c r="R60" s="58">
        <v>403</v>
      </c>
      <c r="S60" s="58">
        <v>388</v>
      </c>
      <c r="T60" s="58">
        <v>432</v>
      </c>
      <c r="U60" s="58">
        <v>375</v>
      </c>
      <c r="V60" s="58">
        <v>347</v>
      </c>
      <c r="W60" s="58">
        <v>345</v>
      </c>
      <c r="X60" s="58">
        <v>323</v>
      </c>
      <c r="Y60" s="58">
        <v>337</v>
      </c>
      <c r="Z60" s="58">
        <v>328</v>
      </c>
      <c r="AA60" s="58">
        <v>271</v>
      </c>
      <c r="AB60" s="58">
        <v>347</v>
      </c>
      <c r="AC60" s="58">
        <v>415</v>
      </c>
      <c r="AD60" s="58">
        <v>419</v>
      </c>
      <c r="AE60" s="58">
        <v>401</v>
      </c>
      <c r="AF60" s="58">
        <v>380</v>
      </c>
      <c r="AG60" s="58">
        <v>412</v>
      </c>
      <c r="AH60" s="58">
        <v>431</v>
      </c>
      <c r="AI60" s="58">
        <v>350</v>
      </c>
      <c r="AJ60" s="58">
        <v>338</v>
      </c>
      <c r="AK60" s="58">
        <v>385</v>
      </c>
      <c r="AL60" s="58">
        <v>352</v>
      </c>
      <c r="AM60" s="58">
        <v>312</v>
      </c>
      <c r="AN60" s="58">
        <v>328</v>
      </c>
      <c r="AO60" s="58">
        <v>336</v>
      </c>
      <c r="AP60" s="58">
        <v>307</v>
      </c>
      <c r="AQ60" s="58">
        <v>268</v>
      </c>
      <c r="AR60" s="58">
        <v>110</v>
      </c>
      <c r="AS60" s="58">
        <v>18</v>
      </c>
      <c r="AT60" s="58">
        <v>0</v>
      </c>
      <c r="AU60" s="58">
        <v>3</v>
      </c>
      <c r="AV60" s="58">
        <v>2</v>
      </c>
      <c r="AW60" s="58">
        <v>2</v>
      </c>
      <c r="AX60" s="58">
        <v>1</v>
      </c>
      <c r="AY60" s="58">
        <v>2</v>
      </c>
      <c r="AZ60" s="58">
        <v>0</v>
      </c>
      <c r="BA60" s="58">
        <v>0</v>
      </c>
      <c r="BB60" s="58">
        <v>0</v>
      </c>
      <c r="BC60" s="58">
        <v>0</v>
      </c>
      <c r="BD60" s="58">
        <v>0</v>
      </c>
      <c r="BE60" s="58">
        <v>0</v>
      </c>
      <c r="BF60" s="58">
        <v>0</v>
      </c>
      <c r="BG60" s="58">
        <v>0</v>
      </c>
      <c r="BH60" s="58">
        <f>SUM(D60:BG60)</f>
        <v>12773</v>
      </c>
    </row>
    <row r="61" spans="1:60">
      <c r="A61" s="56" t="s">
        <v>135</v>
      </c>
      <c r="B61" s="56" t="s">
        <v>133</v>
      </c>
      <c r="C61" s="56" t="s">
        <v>69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186</v>
      </c>
      <c r="J61" s="58">
        <v>391</v>
      </c>
      <c r="K61" s="58">
        <v>318</v>
      </c>
      <c r="L61" s="58">
        <v>379</v>
      </c>
      <c r="M61" s="58">
        <v>395</v>
      </c>
      <c r="N61" s="58">
        <v>398</v>
      </c>
      <c r="O61" s="58">
        <v>395</v>
      </c>
      <c r="P61" s="58">
        <v>381</v>
      </c>
      <c r="Q61" s="58">
        <v>414</v>
      </c>
      <c r="R61" s="58">
        <v>420</v>
      </c>
      <c r="S61" s="58">
        <v>443</v>
      </c>
      <c r="T61" s="58">
        <v>415</v>
      </c>
      <c r="U61" s="58">
        <v>352</v>
      </c>
      <c r="V61" s="58">
        <v>342</v>
      </c>
      <c r="W61" s="58">
        <v>318</v>
      </c>
      <c r="X61" s="58">
        <v>266</v>
      </c>
      <c r="Y61" s="58">
        <v>282</v>
      </c>
      <c r="Z61" s="58">
        <v>282</v>
      </c>
      <c r="AA61" s="58">
        <v>276</v>
      </c>
      <c r="AB61" s="58">
        <v>347</v>
      </c>
      <c r="AC61" s="58">
        <v>342</v>
      </c>
      <c r="AD61" s="58">
        <v>364</v>
      </c>
      <c r="AE61" s="58">
        <v>404</v>
      </c>
      <c r="AF61" s="58">
        <v>370</v>
      </c>
      <c r="AG61" s="58">
        <v>402</v>
      </c>
      <c r="AH61" s="58">
        <v>353</v>
      </c>
      <c r="AI61" s="58">
        <v>344</v>
      </c>
      <c r="AJ61" s="58">
        <v>321</v>
      </c>
      <c r="AK61" s="58">
        <v>306</v>
      </c>
      <c r="AL61" s="58">
        <v>314</v>
      </c>
      <c r="AM61" s="58">
        <v>299</v>
      </c>
      <c r="AN61" s="58">
        <v>314</v>
      </c>
      <c r="AO61" s="58">
        <v>308</v>
      </c>
      <c r="AP61" s="58">
        <v>290</v>
      </c>
      <c r="AQ61" s="58">
        <v>230</v>
      </c>
      <c r="AR61" s="58">
        <v>101</v>
      </c>
      <c r="AS61" s="58">
        <v>16</v>
      </c>
      <c r="AT61" s="58">
        <v>0</v>
      </c>
      <c r="AU61" s="58">
        <v>0</v>
      </c>
      <c r="AV61" s="58">
        <v>0</v>
      </c>
      <c r="AW61" s="58">
        <v>0</v>
      </c>
      <c r="AX61" s="58">
        <v>0</v>
      </c>
      <c r="AY61" s="58">
        <v>0</v>
      </c>
      <c r="AZ61" s="58">
        <v>0</v>
      </c>
      <c r="BA61" s="58">
        <v>0</v>
      </c>
      <c r="BB61" s="58">
        <v>0</v>
      </c>
      <c r="BC61" s="58">
        <v>0</v>
      </c>
      <c r="BD61" s="58">
        <v>0</v>
      </c>
      <c r="BE61" s="58">
        <v>0</v>
      </c>
      <c r="BF61" s="58">
        <v>0</v>
      </c>
      <c r="BG61" s="58">
        <v>0</v>
      </c>
      <c r="BH61" s="58">
        <f>SUM(D61:BG61)</f>
        <v>12078</v>
      </c>
    </row>
    <row r="62" spans="1:60">
      <c r="A62" s="56" t="s">
        <v>136</v>
      </c>
      <c r="B62" s="56" t="s">
        <v>133</v>
      </c>
      <c r="C62" s="56" t="s">
        <v>71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119</v>
      </c>
      <c r="J62" s="58">
        <v>309</v>
      </c>
      <c r="K62" s="58">
        <v>280</v>
      </c>
      <c r="L62" s="58">
        <v>321</v>
      </c>
      <c r="M62" s="58">
        <v>345</v>
      </c>
      <c r="N62" s="58">
        <v>336</v>
      </c>
      <c r="O62" s="58">
        <v>411</v>
      </c>
      <c r="P62" s="58">
        <v>413</v>
      </c>
      <c r="Q62" s="58">
        <v>434</v>
      </c>
      <c r="R62" s="58">
        <v>385</v>
      </c>
      <c r="S62" s="58">
        <v>376</v>
      </c>
      <c r="T62" s="58">
        <v>384</v>
      </c>
      <c r="U62" s="58">
        <v>391</v>
      </c>
      <c r="V62" s="58">
        <v>354</v>
      </c>
      <c r="W62" s="58">
        <v>359</v>
      </c>
      <c r="X62" s="58">
        <v>280</v>
      </c>
      <c r="Y62" s="58">
        <v>265</v>
      </c>
      <c r="Z62" s="58">
        <v>259</v>
      </c>
      <c r="AA62" s="58">
        <v>287</v>
      </c>
      <c r="AB62" s="58">
        <v>324</v>
      </c>
      <c r="AC62" s="58">
        <v>364</v>
      </c>
      <c r="AD62" s="58">
        <v>339</v>
      </c>
      <c r="AE62" s="58">
        <v>340</v>
      </c>
      <c r="AF62" s="58">
        <v>406</v>
      </c>
      <c r="AG62" s="58">
        <v>378</v>
      </c>
      <c r="AH62" s="58">
        <v>363</v>
      </c>
      <c r="AI62" s="58">
        <v>370</v>
      </c>
      <c r="AJ62" s="58">
        <v>350</v>
      </c>
      <c r="AK62" s="58">
        <v>325</v>
      </c>
      <c r="AL62" s="58">
        <v>307</v>
      </c>
      <c r="AM62" s="58">
        <v>280</v>
      </c>
      <c r="AN62" s="58">
        <v>318</v>
      </c>
      <c r="AO62" s="58">
        <v>322</v>
      </c>
      <c r="AP62" s="58">
        <v>261</v>
      </c>
      <c r="AQ62" s="58">
        <v>220</v>
      </c>
      <c r="AR62" s="58">
        <v>93</v>
      </c>
      <c r="AS62" s="58">
        <v>8</v>
      </c>
      <c r="AT62" s="58">
        <v>0</v>
      </c>
      <c r="AU62" s="58">
        <v>0</v>
      </c>
      <c r="AV62" s="58">
        <v>0</v>
      </c>
      <c r="AW62" s="58">
        <v>0</v>
      </c>
      <c r="AX62" s="58">
        <v>0</v>
      </c>
      <c r="AY62" s="58">
        <v>0</v>
      </c>
      <c r="AZ62" s="58">
        <v>0</v>
      </c>
      <c r="BA62" s="58">
        <v>0</v>
      </c>
      <c r="BB62" s="58">
        <v>0</v>
      </c>
      <c r="BC62" s="58">
        <v>0</v>
      </c>
      <c r="BD62" s="58">
        <v>0</v>
      </c>
      <c r="BE62" s="58">
        <v>0</v>
      </c>
      <c r="BF62" s="58">
        <v>0</v>
      </c>
      <c r="BG62" s="58">
        <v>0</v>
      </c>
      <c r="BH62" s="58">
        <f>SUM(D62:BG62)</f>
        <v>11676</v>
      </c>
    </row>
    <row r="63" spans="1:60">
      <c r="A63" s="56" t="s">
        <v>137</v>
      </c>
      <c r="B63" s="56" t="s">
        <v>133</v>
      </c>
      <c r="C63" s="56" t="s">
        <v>73</v>
      </c>
      <c r="D63" s="58">
        <v>0</v>
      </c>
      <c r="E63" s="58">
        <v>0</v>
      </c>
      <c r="F63" s="58">
        <v>0</v>
      </c>
      <c r="G63" s="58">
        <v>0</v>
      </c>
      <c r="H63" s="58">
        <v>5</v>
      </c>
      <c r="I63" s="58">
        <v>125</v>
      </c>
      <c r="J63" s="58">
        <v>387</v>
      </c>
      <c r="K63" s="58">
        <v>296</v>
      </c>
      <c r="L63" s="58">
        <v>341</v>
      </c>
      <c r="M63" s="58">
        <v>369</v>
      </c>
      <c r="N63" s="58">
        <v>379</v>
      </c>
      <c r="O63" s="58">
        <v>417</v>
      </c>
      <c r="P63" s="58">
        <v>419</v>
      </c>
      <c r="Q63" s="58">
        <v>417</v>
      </c>
      <c r="R63" s="58">
        <v>376</v>
      </c>
      <c r="S63" s="58">
        <v>445</v>
      </c>
      <c r="T63" s="58">
        <v>381</v>
      </c>
      <c r="U63" s="58">
        <v>379</v>
      </c>
      <c r="V63" s="58">
        <v>337</v>
      </c>
      <c r="W63" s="58">
        <v>328</v>
      </c>
      <c r="X63" s="58">
        <v>313</v>
      </c>
      <c r="Y63" s="58">
        <v>296</v>
      </c>
      <c r="Z63" s="58">
        <v>275</v>
      </c>
      <c r="AA63" s="58">
        <v>304</v>
      </c>
      <c r="AB63" s="58">
        <v>296</v>
      </c>
      <c r="AC63" s="58">
        <v>336</v>
      </c>
      <c r="AD63" s="58">
        <v>333</v>
      </c>
      <c r="AE63" s="58">
        <v>431</v>
      </c>
      <c r="AF63" s="58">
        <v>398</v>
      </c>
      <c r="AG63" s="58">
        <v>413</v>
      </c>
      <c r="AH63" s="58">
        <v>334</v>
      </c>
      <c r="AI63" s="58">
        <v>375</v>
      </c>
      <c r="AJ63" s="58">
        <v>348</v>
      </c>
      <c r="AK63" s="58">
        <v>334</v>
      </c>
      <c r="AL63" s="58">
        <v>332</v>
      </c>
      <c r="AM63" s="58">
        <v>304</v>
      </c>
      <c r="AN63" s="58">
        <v>317</v>
      </c>
      <c r="AO63" s="58">
        <v>313</v>
      </c>
      <c r="AP63" s="58">
        <v>296</v>
      </c>
      <c r="AQ63" s="58">
        <v>271</v>
      </c>
      <c r="AR63" s="58">
        <v>111</v>
      </c>
      <c r="AS63" s="58">
        <v>13</v>
      </c>
      <c r="AT63" s="58">
        <v>0</v>
      </c>
      <c r="AU63" s="58">
        <v>0</v>
      </c>
      <c r="AV63" s="58">
        <v>0</v>
      </c>
      <c r="AW63" s="58">
        <v>0</v>
      </c>
      <c r="AX63" s="58">
        <v>0</v>
      </c>
      <c r="AY63" s="58">
        <v>0</v>
      </c>
      <c r="AZ63" s="58">
        <v>0</v>
      </c>
      <c r="BA63" s="58">
        <v>0</v>
      </c>
      <c r="BB63" s="58">
        <v>0</v>
      </c>
      <c r="BC63" s="58">
        <v>0</v>
      </c>
      <c r="BD63" s="58">
        <v>0</v>
      </c>
      <c r="BE63" s="58">
        <v>0</v>
      </c>
      <c r="BF63" s="58">
        <v>0</v>
      </c>
      <c r="BG63" s="58">
        <v>0</v>
      </c>
      <c r="BH63" s="58">
        <f>SUM(D63:BG63)</f>
        <v>12144</v>
      </c>
    </row>
    <row r="64" spans="1:60">
      <c r="A64" s="56" t="s">
        <v>138</v>
      </c>
      <c r="B64" s="56" t="s">
        <v>133</v>
      </c>
      <c r="C64" s="56" t="s">
        <v>75</v>
      </c>
      <c r="D64" s="58">
        <v>0</v>
      </c>
      <c r="E64" s="58">
        <v>0</v>
      </c>
      <c r="F64" s="58">
        <v>0</v>
      </c>
      <c r="G64" s="58">
        <v>0</v>
      </c>
      <c r="H64" s="58">
        <v>8</v>
      </c>
      <c r="I64" s="58">
        <v>112</v>
      </c>
      <c r="J64" s="58">
        <v>344</v>
      </c>
      <c r="K64" s="58">
        <v>297</v>
      </c>
      <c r="L64" s="58">
        <v>304</v>
      </c>
      <c r="M64" s="58">
        <v>319</v>
      </c>
      <c r="N64" s="58">
        <v>311</v>
      </c>
      <c r="O64" s="58">
        <v>348</v>
      </c>
      <c r="P64" s="58">
        <v>378</v>
      </c>
      <c r="Q64" s="58">
        <v>412</v>
      </c>
      <c r="R64" s="58">
        <v>371</v>
      </c>
      <c r="S64" s="58">
        <v>385</v>
      </c>
      <c r="T64" s="58">
        <v>307</v>
      </c>
      <c r="U64" s="58">
        <v>352</v>
      </c>
      <c r="V64" s="58">
        <v>355</v>
      </c>
      <c r="W64" s="58">
        <v>312</v>
      </c>
      <c r="X64" s="58">
        <v>279</v>
      </c>
      <c r="Y64" s="58">
        <v>255</v>
      </c>
      <c r="Z64" s="58">
        <v>242</v>
      </c>
      <c r="AA64" s="58">
        <v>270</v>
      </c>
      <c r="AB64" s="58">
        <v>263</v>
      </c>
      <c r="AC64" s="58">
        <v>292</v>
      </c>
      <c r="AD64" s="58">
        <v>337</v>
      </c>
      <c r="AE64" s="58">
        <v>312</v>
      </c>
      <c r="AF64" s="58">
        <v>308</v>
      </c>
      <c r="AG64" s="58">
        <v>368</v>
      </c>
      <c r="AH64" s="58">
        <v>326</v>
      </c>
      <c r="AI64" s="58">
        <v>350</v>
      </c>
      <c r="AJ64" s="58">
        <v>290</v>
      </c>
      <c r="AK64" s="58">
        <v>316</v>
      </c>
      <c r="AL64" s="58">
        <v>307</v>
      </c>
      <c r="AM64" s="58">
        <v>291</v>
      </c>
      <c r="AN64" s="58">
        <v>273</v>
      </c>
      <c r="AO64" s="58">
        <v>279</v>
      </c>
      <c r="AP64" s="58">
        <v>252</v>
      </c>
      <c r="AQ64" s="58">
        <v>194</v>
      </c>
      <c r="AR64" s="58">
        <v>107</v>
      </c>
      <c r="AS64" s="58">
        <v>12</v>
      </c>
      <c r="AT64" s="58">
        <v>0</v>
      </c>
      <c r="AU64" s="58">
        <v>0</v>
      </c>
      <c r="AV64" s="58">
        <v>0</v>
      </c>
      <c r="AW64" s="58">
        <v>0</v>
      </c>
      <c r="AX64" s="58">
        <v>0</v>
      </c>
      <c r="AY64" s="58">
        <v>0</v>
      </c>
      <c r="AZ64" s="58">
        <v>0</v>
      </c>
      <c r="BA64" s="58">
        <v>0</v>
      </c>
      <c r="BB64" s="58">
        <v>0</v>
      </c>
      <c r="BC64" s="58">
        <v>0</v>
      </c>
      <c r="BD64" s="58">
        <v>0</v>
      </c>
      <c r="BE64" s="58">
        <v>0</v>
      </c>
      <c r="BF64" s="58">
        <v>0</v>
      </c>
      <c r="BG64" s="58">
        <v>0</v>
      </c>
      <c r="BH64" s="58">
        <f>SUM(D64:BG64)</f>
        <v>10838</v>
      </c>
    </row>
    <row r="65" spans="1:60">
      <c r="A65" s="56" t="s">
        <v>139</v>
      </c>
      <c r="B65" s="56" t="s">
        <v>133</v>
      </c>
      <c r="C65" s="56" t="s">
        <v>77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78</v>
      </c>
      <c r="J65" s="58">
        <v>263</v>
      </c>
      <c r="K65" s="58">
        <v>236</v>
      </c>
      <c r="L65" s="58">
        <v>304</v>
      </c>
      <c r="M65" s="58">
        <v>356</v>
      </c>
      <c r="N65" s="58">
        <v>330</v>
      </c>
      <c r="O65" s="58">
        <v>365</v>
      </c>
      <c r="P65" s="58">
        <v>376</v>
      </c>
      <c r="Q65" s="58">
        <v>359</v>
      </c>
      <c r="R65" s="58">
        <v>387</v>
      </c>
      <c r="S65" s="58">
        <v>344</v>
      </c>
      <c r="T65" s="58">
        <v>382</v>
      </c>
      <c r="U65" s="58">
        <v>338</v>
      </c>
      <c r="V65" s="58">
        <v>290</v>
      </c>
      <c r="W65" s="58">
        <v>285</v>
      </c>
      <c r="X65" s="58">
        <v>238</v>
      </c>
      <c r="Y65" s="58">
        <v>267</v>
      </c>
      <c r="Z65" s="58">
        <v>268</v>
      </c>
      <c r="AA65" s="58">
        <v>285</v>
      </c>
      <c r="AB65" s="58">
        <v>303</v>
      </c>
      <c r="AC65" s="58">
        <v>293</v>
      </c>
      <c r="AD65" s="58">
        <v>302</v>
      </c>
      <c r="AE65" s="58">
        <v>362</v>
      </c>
      <c r="AF65" s="58">
        <v>325</v>
      </c>
      <c r="AG65" s="58">
        <v>362</v>
      </c>
      <c r="AH65" s="58">
        <v>370</v>
      </c>
      <c r="AI65" s="58">
        <v>350</v>
      </c>
      <c r="AJ65" s="58">
        <v>312</v>
      </c>
      <c r="AK65" s="58">
        <v>311</v>
      </c>
      <c r="AL65" s="58">
        <v>294</v>
      </c>
      <c r="AM65" s="58">
        <v>284</v>
      </c>
      <c r="AN65" s="58">
        <v>302</v>
      </c>
      <c r="AO65" s="58">
        <v>291</v>
      </c>
      <c r="AP65" s="58">
        <v>279</v>
      </c>
      <c r="AQ65" s="58">
        <v>221</v>
      </c>
      <c r="AR65" s="58">
        <v>107</v>
      </c>
      <c r="AS65" s="58">
        <v>5</v>
      </c>
      <c r="AT65" s="58">
        <v>0</v>
      </c>
      <c r="AU65" s="58">
        <v>0</v>
      </c>
      <c r="AV65" s="58">
        <v>0</v>
      </c>
      <c r="AW65" s="58">
        <v>0</v>
      </c>
      <c r="AX65" s="58">
        <v>0</v>
      </c>
      <c r="AY65" s="58">
        <v>0</v>
      </c>
      <c r="AZ65" s="58">
        <v>0</v>
      </c>
      <c r="BA65" s="58">
        <v>0</v>
      </c>
      <c r="BB65" s="58">
        <v>0</v>
      </c>
      <c r="BC65" s="58">
        <v>0</v>
      </c>
      <c r="BD65" s="58">
        <v>0</v>
      </c>
      <c r="BE65" s="58">
        <v>0</v>
      </c>
      <c r="BF65" s="58">
        <v>0</v>
      </c>
      <c r="BG65" s="58">
        <v>0</v>
      </c>
      <c r="BH65" s="58">
        <f>SUM(D65:BG65)</f>
        <v>10824</v>
      </c>
    </row>
    <row r="66" spans="1:60">
      <c r="A66" s="56" t="s">
        <v>140</v>
      </c>
      <c r="B66" s="56" t="s">
        <v>133</v>
      </c>
      <c r="C66" s="56" t="s">
        <v>79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77</v>
      </c>
      <c r="J66" s="58">
        <v>308</v>
      </c>
      <c r="K66" s="58">
        <v>273</v>
      </c>
      <c r="L66" s="58">
        <v>311</v>
      </c>
      <c r="M66" s="58">
        <v>344</v>
      </c>
      <c r="N66" s="58">
        <v>354</v>
      </c>
      <c r="O66" s="58">
        <v>369</v>
      </c>
      <c r="P66" s="58">
        <v>443</v>
      </c>
      <c r="Q66" s="58">
        <v>472</v>
      </c>
      <c r="R66" s="58">
        <v>426</v>
      </c>
      <c r="S66" s="58">
        <v>409</v>
      </c>
      <c r="T66" s="58">
        <v>389</v>
      </c>
      <c r="U66" s="58">
        <v>395</v>
      </c>
      <c r="V66" s="58">
        <v>384</v>
      </c>
      <c r="W66" s="58">
        <v>330</v>
      </c>
      <c r="X66" s="58">
        <v>316</v>
      </c>
      <c r="Y66" s="58">
        <v>338</v>
      </c>
      <c r="Z66" s="58">
        <v>253</v>
      </c>
      <c r="AA66" s="58">
        <v>269</v>
      </c>
      <c r="AB66" s="58">
        <v>315</v>
      </c>
      <c r="AC66" s="58">
        <v>363</v>
      </c>
      <c r="AD66" s="58">
        <v>377</v>
      </c>
      <c r="AE66" s="58">
        <v>387</v>
      </c>
      <c r="AF66" s="58">
        <v>413</v>
      </c>
      <c r="AG66" s="58">
        <v>350</v>
      </c>
      <c r="AH66" s="58">
        <v>348</v>
      </c>
      <c r="AI66" s="58">
        <v>383</v>
      </c>
      <c r="AJ66" s="58">
        <v>368</v>
      </c>
      <c r="AK66" s="58">
        <v>360</v>
      </c>
      <c r="AL66" s="58">
        <v>379</v>
      </c>
      <c r="AM66" s="58">
        <v>347</v>
      </c>
      <c r="AN66" s="58">
        <v>272</v>
      </c>
      <c r="AO66" s="58">
        <v>313</v>
      </c>
      <c r="AP66" s="58">
        <v>341</v>
      </c>
      <c r="AQ66" s="58">
        <v>261</v>
      </c>
      <c r="AR66" s="58">
        <v>126</v>
      </c>
      <c r="AS66" s="58">
        <v>25</v>
      </c>
      <c r="AT66" s="58">
        <v>1</v>
      </c>
      <c r="AU66" s="58">
        <v>5</v>
      </c>
      <c r="AV66" s="58">
        <v>13</v>
      </c>
      <c r="AW66" s="58">
        <v>6</v>
      </c>
      <c r="AX66" s="58">
        <v>2</v>
      </c>
      <c r="AY66" s="58">
        <v>5</v>
      </c>
      <c r="AZ66" s="58">
        <v>8</v>
      </c>
      <c r="BA66" s="58">
        <v>4</v>
      </c>
      <c r="BB66" s="58">
        <v>1</v>
      </c>
      <c r="BC66" s="58">
        <v>0</v>
      </c>
      <c r="BD66" s="58">
        <v>0</v>
      </c>
      <c r="BE66" s="58">
        <v>0</v>
      </c>
      <c r="BF66" s="58">
        <v>0</v>
      </c>
      <c r="BG66" s="58">
        <v>0</v>
      </c>
      <c r="BH66" s="58">
        <f>SUM(D66:BG66)</f>
        <v>12233</v>
      </c>
    </row>
    <row r="67" spans="1:60">
      <c r="A67" s="56" t="s">
        <v>141</v>
      </c>
      <c r="B67" s="56" t="s">
        <v>133</v>
      </c>
      <c r="C67" s="56" t="s">
        <v>81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53</v>
      </c>
      <c r="J67" s="58">
        <v>279</v>
      </c>
      <c r="K67" s="58">
        <v>218</v>
      </c>
      <c r="L67" s="58">
        <v>247</v>
      </c>
      <c r="M67" s="58">
        <v>349</v>
      </c>
      <c r="N67" s="58">
        <v>333</v>
      </c>
      <c r="O67" s="58">
        <v>343</v>
      </c>
      <c r="P67" s="58">
        <v>388</v>
      </c>
      <c r="Q67" s="58">
        <v>387</v>
      </c>
      <c r="R67" s="58">
        <v>390</v>
      </c>
      <c r="S67" s="58">
        <v>373</v>
      </c>
      <c r="T67" s="58">
        <v>378</v>
      </c>
      <c r="U67" s="58">
        <v>322</v>
      </c>
      <c r="V67" s="58">
        <v>320</v>
      </c>
      <c r="W67" s="58">
        <v>323</v>
      </c>
      <c r="X67" s="58">
        <v>285</v>
      </c>
      <c r="Y67" s="58">
        <v>275</v>
      </c>
      <c r="Z67" s="58">
        <v>295</v>
      </c>
      <c r="AA67" s="58">
        <v>266</v>
      </c>
      <c r="AB67" s="58">
        <v>271</v>
      </c>
      <c r="AC67" s="58">
        <v>319</v>
      </c>
      <c r="AD67" s="58">
        <v>343</v>
      </c>
      <c r="AE67" s="58">
        <v>360</v>
      </c>
      <c r="AF67" s="58">
        <v>310</v>
      </c>
      <c r="AG67" s="58">
        <v>376</v>
      </c>
      <c r="AH67" s="58">
        <v>319</v>
      </c>
      <c r="AI67" s="58">
        <v>322</v>
      </c>
      <c r="AJ67" s="58">
        <v>363</v>
      </c>
      <c r="AK67" s="58">
        <v>334</v>
      </c>
      <c r="AL67" s="58">
        <v>327</v>
      </c>
      <c r="AM67" s="58">
        <v>292</v>
      </c>
      <c r="AN67" s="58">
        <v>351</v>
      </c>
      <c r="AO67" s="58">
        <v>291</v>
      </c>
      <c r="AP67" s="58">
        <v>297</v>
      </c>
      <c r="AQ67" s="58">
        <v>229</v>
      </c>
      <c r="AR67" s="58">
        <v>105</v>
      </c>
      <c r="AS67" s="58">
        <v>19</v>
      </c>
      <c r="AT67" s="58">
        <v>0</v>
      </c>
      <c r="AU67" s="58">
        <v>0</v>
      </c>
      <c r="AV67" s="58">
        <v>0</v>
      </c>
      <c r="AW67" s="58">
        <v>0</v>
      </c>
      <c r="AX67" s="58">
        <v>0</v>
      </c>
      <c r="AY67" s="58">
        <v>0</v>
      </c>
      <c r="AZ67" s="58">
        <v>0</v>
      </c>
      <c r="BA67" s="58">
        <v>0</v>
      </c>
      <c r="BB67" s="58">
        <v>0</v>
      </c>
      <c r="BC67" s="58">
        <v>0</v>
      </c>
      <c r="BD67" s="58">
        <v>0</v>
      </c>
      <c r="BE67" s="58">
        <v>0</v>
      </c>
      <c r="BF67" s="58">
        <v>0</v>
      </c>
      <c r="BG67" s="58">
        <v>0</v>
      </c>
      <c r="BH67" s="58">
        <f>SUM(D67:BG67)</f>
        <v>11052</v>
      </c>
    </row>
    <row r="68" spans="1:60">
      <c r="A68" s="56" t="s">
        <v>142</v>
      </c>
      <c r="B68" s="56" t="s">
        <v>133</v>
      </c>
      <c r="C68" s="56" t="s">
        <v>83</v>
      </c>
      <c r="D68" s="58">
        <v>0</v>
      </c>
      <c r="E68" s="58">
        <v>0</v>
      </c>
      <c r="F68" s="58">
        <v>0</v>
      </c>
      <c r="G68" s="58">
        <v>0</v>
      </c>
      <c r="H68" s="58">
        <v>1</v>
      </c>
      <c r="I68" s="58">
        <v>50</v>
      </c>
      <c r="J68" s="58">
        <v>265</v>
      </c>
      <c r="K68" s="58">
        <v>252</v>
      </c>
      <c r="L68" s="58">
        <v>246</v>
      </c>
      <c r="M68" s="58">
        <v>318</v>
      </c>
      <c r="N68" s="58">
        <v>303</v>
      </c>
      <c r="O68" s="58">
        <v>340</v>
      </c>
      <c r="P68" s="58">
        <v>354</v>
      </c>
      <c r="Q68" s="58">
        <v>359</v>
      </c>
      <c r="R68" s="58">
        <v>393</v>
      </c>
      <c r="S68" s="58">
        <v>375</v>
      </c>
      <c r="T68" s="58">
        <v>403</v>
      </c>
      <c r="U68" s="58">
        <v>380</v>
      </c>
      <c r="V68" s="58">
        <v>358</v>
      </c>
      <c r="W68" s="58">
        <v>325</v>
      </c>
      <c r="X68" s="58">
        <v>322</v>
      </c>
      <c r="Y68" s="58">
        <v>282</v>
      </c>
      <c r="Z68" s="58">
        <v>302</v>
      </c>
      <c r="AA68" s="58">
        <v>313</v>
      </c>
      <c r="AB68" s="58">
        <v>306</v>
      </c>
      <c r="AC68" s="58">
        <v>349</v>
      </c>
      <c r="AD68" s="58">
        <v>356</v>
      </c>
      <c r="AE68" s="58">
        <v>381</v>
      </c>
      <c r="AF68" s="58">
        <v>383</v>
      </c>
      <c r="AG68" s="58">
        <v>381</v>
      </c>
      <c r="AH68" s="58">
        <v>366</v>
      </c>
      <c r="AI68" s="58">
        <v>340</v>
      </c>
      <c r="AJ68" s="58">
        <v>358</v>
      </c>
      <c r="AK68" s="58">
        <v>338</v>
      </c>
      <c r="AL68" s="58">
        <v>346</v>
      </c>
      <c r="AM68" s="58">
        <v>318</v>
      </c>
      <c r="AN68" s="58">
        <v>363</v>
      </c>
      <c r="AO68" s="58">
        <v>310</v>
      </c>
      <c r="AP68" s="58">
        <v>326</v>
      </c>
      <c r="AQ68" s="58">
        <v>240</v>
      </c>
      <c r="AR68" s="58">
        <v>143</v>
      </c>
      <c r="AS68" s="58">
        <v>29</v>
      </c>
      <c r="AT68" s="58">
        <v>3</v>
      </c>
      <c r="AU68" s="58">
        <v>11</v>
      </c>
      <c r="AV68" s="58">
        <v>5</v>
      </c>
      <c r="AW68" s="58">
        <v>9</v>
      </c>
      <c r="AX68" s="58">
        <v>8</v>
      </c>
      <c r="AY68" s="58">
        <v>3</v>
      </c>
      <c r="AZ68" s="58">
        <v>7</v>
      </c>
      <c r="BA68" s="58">
        <v>2</v>
      </c>
      <c r="BB68" s="58">
        <v>2</v>
      </c>
      <c r="BC68" s="58">
        <v>0</v>
      </c>
      <c r="BD68" s="58">
        <v>0</v>
      </c>
      <c r="BE68" s="58">
        <v>0</v>
      </c>
      <c r="BF68" s="58">
        <v>0</v>
      </c>
      <c r="BG68" s="58">
        <v>0</v>
      </c>
      <c r="BH68" s="58">
        <f>SUM(D68:BG68)</f>
        <v>11624</v>
      </c>
    </row>
    <row r="69" spans="1:60">
      <c r="A69" s="56" t="s">
        <v>143</v>
      </c>
      <c r="B69" s="56" t="s">
        <v>133</v>
      </c>
      <c r="C69" s="56" t="s">
        <v>85</v>
      </c>
      <c r="D69" s="58">
        <v>0</v>
      </c>
      <c r="E69" s="58">
        <v>0</v>
      </c>
      <c r="F69" s="58">
        <v>0</v>
      </c>
      <c r="G69" s="58">
        <v>1</v>
      </c>
      <c r="H69" s="58">
        <v>1</v>
      </c>
      <c r="I69" s="58">
        <v>51</v>
      </c>
      <c r="J69" s="58">
        <v>137</v>
      </c>
      <c r="K69" s="58">
        <v>123</v>
      </c>
      <c r="L69" s="58">
        <v>159</v>
      </c>
      <c r="M69" s="58">
        <v>186</v>
      </c>
      <c r="N69" s="58">
        <v>193</v>
      </c>
      <c r="O69" s="58">
        <v>208</v>
      </c>
      <c r="P69" s="58">
        <v>279</v>
      </c>
      <c r="Q69" s="58">
        <v>246</v>
      </c>
      <c r="R69" s="58">
        <v>221</v>
      </c>
      <c r="S69" s="58">
        <v>238</v>
      </c>
      <c r="T69" s="58">
        <v>240</v>
      </c>
      <c r="U69" s="58">
        <v>229</v>
      </c>
      <c r="V69" s="58">
        <v>200</v>
      </c>
      <c r="W69" s="58">
        <v>196</v>
      </c>
      <c r="X69" s="58">
        <v>197</v>
      </c>
      <c r="Y69" s="58">
        <v>157</v>
      </c>
      <c r="Z69" s="58">
        <v>157</v>
      </c>
      <c r="AA69" s="58">
        <v>184</v>
      </c>
      <c r="AB69" s="58">
        <v>171</v>
      </c>
      <c r="AC69" s="58">
        <v>243</v>
      </c>
      <c r="AD69" s="58">
        <v>217</v>
      </c>
      <c r="AE69" s="58">
        <v>220</v>
      </c>
      <c r="AF69" s="58">
        <v>242</v>
      </c>
      <c r="AG69" s="58">
        <v>215</v>
      </c>
      <c r="AH69" s="58">
        <v>239</v>
      </c>
      <c r="AI69" s="58">
        <v>217</v>
      </c>
      <c r="AJ69" s="58">
        <v>226</v>
      </c>
      <c r="AK69" s="58">
        <v>215</v>
      </c>
      <c r="AL69" s="58">
        <v>215</v>
      </c>
      <c r="AM69" s="58">
        <v>205</v>
      </c>
      <c r="AN69" s="58">
        <v>186</v>
      </c>
      <c r="AO69" s="58">
        <v>219</v>
      </c>
      <c r="AP69" s="58">
        <v>174</v>
      </c>
      <c r="AQ69" s="58">
        <v>125</v>
      </c>
      <c r="AR69" s="58">
        <v>41</v>
      </c>
      <c r="AS69" s="58">
        <v>2</v>
      </c>
      <c r="AT69" s="58">
        <v>2</v>
      </c>
      <c r="AU69" s="58">
        <v>1</v>
      </c>
      <c r="AV69" s="58">
        <v>0</v>
      </c>
      <c r="AW69" s="58">
        <v>0</v>
      </c>
      <c r="AX69" s="58">
        <v>0</v>
      </c>
      <c r="AY69" s="58">
        <v>0</v>
      </c>
      <c r="AZ69" s="58">
        <v>5</v>
      </c>
      <c r="BA69" s="58">
        <v>0</v>
      </c>
      <c r="BB69" s="58">
        <v>0</v>
      </c>
      <c r="BC69" s="58">
        <v>0</v>
      </c>
      <c r="BD69" s="58">
        <v>2</v>
      </c>
      <c r="BE69" s="58">
        <v>0</v>
      </c>
      <c r="BF69" s="58">
        <v>0</v>
      </c>
      <c r="BG69" s="58">
        <v>0</v>
      </c>
      <c r="BH69" s="58">
        <f>SUM(D69:BG69)</f>
        <v>6985</v>
      </c>
    </row>
    <row r="70" spans="1:60">
      <c r="A70" s="56" t="s">
        <v>144</v>
      </c>
      <c r="B70" s="56" t="s">
        <v>133</v>
      </c>
      <c r="C70" s="56" t="s">
        <v>87</v>
      </c>
      <c r="D70" s="58">
        <v>0</v>
      </c>
      <c r="E70" s="58">
        <v>0</v>
      </c>
      <c r="F70" s="58">
        <v>0</v>
      </c>
      <c r="G70" s="58">
        <v>0</v>
      </c>
      <c r="H70" s="58">
        <v>12</v>
      </c>
      <c r="I70" s="58">
        <v>107</v>
      </c>
      <c r="J70" s="58">
        <v>269</v>
      </c>
      <c r="K70" s="58">
        <v>247</v>
      </c>
      <c r="L70" s="58">
        <v>322</v>
      </c>
      <c r="M70" s="58">
        <v>326</v>
      </c>
      <c r="N70" s="58">
        <v>345</v>
      </c>
      <c r="O70" s="58">
        <v>389</v>
      </c>
      <c r="P70" s="58">
        <v>386</v>
      </c>
      <c r="Q70" s="58">
        <v>411</v>
      </c>
      <c r="R70" s="58">
        <v>427</v>
      </c>
      <c r="S70" s="58">
        <v>401</v>
      </c>
      <c r="T70" s="58">
        <v>403</v>
      </c>
      <c r="U70" s="58">
        <v>406</v>
      </c>
      <c r="V70" s="58">
        <v>393</v>
      </c>
      <c r="W70" s="58">
        <v>302</v>
      </c>
      <c r="X70" s="58">
        <v>364</v>
      </c>
      <c r="Y70" s="58">
        <v>356</v>
      </c>
      <c r="Z70" s="58">
        <v>329</v>
      </c>
      <c r="AA70" s="58">
        <v>347</v>
      </c>
      <c r="AB70" s="58">
        <v>387</v>
      </c>
      <c r="AC70" s="58">
        <v>395</v>
      </c>
      <c r="AD70" s="58">
        <v>429</v>
      </c>
      <c r="AE70" s="58">
        <v>462</v>
      </c>
      <c r="AF70" s="58">
        <v>420</v>
      </c>
      <c r="AG70" s="58">
        <v>421</v>
      </c>
      <c r="AH70" s="58">
        <v>366</v>
      </c>
      <c r="AI70" s="58">
        <v>405</v>
      </c>
      <c r="AJ70" s="58">
        <v>374</v>
      </c>
      <c r="AK70" s="58">
        <v>382</v>
      </c>
      <c r="AL70" s="58">
        <v>369</v>
      </c>
      <c r="AM70" s="58">
        <v>363</v>
      </c>
      <c r="AN70" s="58">
        <v>329</v>
      </c>
      <c r="AO70" s="58">
        <v>334</v>
      </c>
      <c r="AP70" s="58">
        <v>340</v>
      </c>
      <c r="AQ70" s="58">
        <v>222</v>
      </c>
      <c r="AR70" s="58">
        <v>108</v>
      </c>
      <c r="AS70" s="58">
        <v>6</v>
      </c>
      <c r="AT70" s="58">
        <v>4</v>
      </c>
      <c r="AU70" s="58">
        <v>8</v>
      </c>
      <c r="AV70" s="58">
        <v>8</v>
      </c>
      <c r="AW70" s="58">
        <v>3</v>
      </c>
      <c r="AX70" s="58">
        <v>10</v>
      </c>
      <c r="AY70" s="58">
        <v>3</v>
      </c>
      <c r="AZ70" s="58">
        <v>5</v>
      </c>
      <c r="BA70" s="58">
        <v>1</v>
      </c>
      <c r="BB70" s="58">
        <v>0</v>
      </c>
      <c r="BC70" s="58">
        <v>1</v>
      </c>
      <c r="BD70" s="58">
        <v>0</v>
      </c>
      <c r="BE70" s="58">
        <v>0</v>
      </c>
      <c r="BF70" s="58">
        <v>0</v>
      </c>
      <c r="BG70" s="58">
        <v>0</v>
      </c>
      <c r="BH70" s="58">
        <f>SUM(D70:BG70)</f>
        <v>12697</v>
      </c>
    </row>
    <row r="71" spans="1:60">
      <c r="A71" s="56" t="s">
        <v>145</v>
      </c>
      <c r="B71" s="56" t="s">
        <v>133</v>
      </c>
      <c r="C71" s="56" t="s">
        <v>89</v>
      </c>
      <c r="D71" s="58">
        <v>0</v>
      </c>
      <c r="E71" s="58">
        <v>0</v>
      </c>
      <c r="F71" s="58">
        <v>0</v>
      </c>
      <c r="G71" s="58">
        <v>2</v>
      </c>
      <c r="H71" s="58">
        <v>21</v>
      </c>
      <c r="I71" s="58">
        <v>217</v>
      </c>
      <c r="J71" s="58">
        <v>467</v>
      </c>
      <c r="K71" s="58">
        <v>370</v>
      </c>
      <c r="L71" s="58">
        <v>394</v>
      </c>
      <c r="M71" s="58">
        <v>424</v>
      </c>
      <c r="N71" s="58">
        <v>440</v>
      </c>
      <c r="O71" s="58">
        <v>520</v>
      </c>
      <c r="P71" s="58">
        <v>530</v>
      </c>
      <c r="Q71" s="58">
        <v>507</v>
      </c>
      <c r="R71" s="58">
        <v>495</v>
      </c>
      <c r="S71" s="58">
        <v>510</v>
      </c>
      <c r="T71" s="58">
        <v>545</v>
      </c>
      <c r="U71" s="58">
        <v>530</v>
      </c>
      <c r="V71" s="58">
        <v>523</v>
      </c>
      <c r="W71" s="58">
        <v>449</v>
      </c>
      <c r="X71" s="58">
        <v>440</v>
      </c>
      <c r="Y71" s="58">
        <v>429</v>
      </c>
      <c r="Z71" s="58">
        <v>389</v>
      </c>
      <c r="AA71" s="58">
        <v>432</v>
      </c>
      <c r="AB71" s="58">
        <v>447</v>
      </c>
      <c r="AC71" s="58">
        <v>528</v>
      </c>
      <c r="AD71" s="58">
        <v>461</v>
      </c>
      <c r="AE71" s="58">
        <v>553</v>
      </c>
      <c r="AF71" s="58">
        <v>503</v>
      </c>
      <c r="AG71" s="58">
        <v>496</v>
      </c>
      <c r="AH71" s="58">
        <v>506</v>
      </c>
      <c r="AI71" s="58">
        <v>537</v>
      </c>
      <c r="AJ71" s="58">
        <v>512</v>
      </c>
      <c r="AK71" s="58">
        <v>508</v>
      </c>
      <c r="AL71" s="58">
        <v>467</v>
      </c>
      <c r="AM71" s="58">
        <v>414</v>
      </c>
      <c r="AN71" s="58">
        <v>460</v>
      </c>
      <c r="AO71" s="58">
        <v>434</v>
      </c>
      <c r="AP71" s="58">
        <v>378</v>
      </c>
      <c r="AQ71" s="58">
        <v>299</v>
      </c>
      <c r="AR71" s="58">
        <v>132</v>
      </c>
      <c r="AS71" s="58">
        <v>11</v>
      </c>
      <c r="AT71" s="58">
        <v>9</v>
      </c>
      <c r="AU71" s="58">
        <v>8</v>
      </c>
      <c r="AV71" s="58">
        <v>2</v>
      </c>
      <c r="AW71" s="58">
        <v>11</v>
      </c>
      <c r="AX71" s="58">
        <v>7</v>
      </c>
      <c r="AY71" s="58">
        <v>2</v>
      </c>
      <c r="AZ71" s="58">
        <v>0</v>
      </c>
      <c r="BA71" s="58">
        <v>0</v>
      </c>
      <c r="BB71" s="58">
        <v>0</v>
      </c>
      <c r="BC71" s="58">
        <v>0</v>
      </c>
      <c r="BD71" s="58">
        <v>0</v>
      </c>
      <c r="BE71" s="58">
        <v>0</v>
      </c>
      <c r="BF71" s="58">
        <v>0</v>
      </c>
      <c r="BG71" s="58">
        <v>0</v>
      </c>
      <c r="BH71" s="58">
        <f>SUM(D71:BG71)</f>
        <v>16319</v>
      </c>
    </row>
    <row r="72" spans="1:60">
      <c r="A72" s="56" t="s">
        <v>146</v>
      </c>
      <c r="B72" s="56" t="s">
        <v>147</v>
      </c>
      <c r="C72" s="56" t="s">
        <v>65</v>
      </c>
      <c r="D72" s="58">
        <v>0</v>
      </c>
      <c r="E72" s="58">
        <v>0</v>
      </c>
      <c r="F72" s="58">
        <v>1</v>
      </c>
      <c r="G72" s="58">
        <v>144</v>
      </c>
      <c r="H72" s="58">
        <v>1081</v>
      </c>
      <c r="I72" s="58">
        <v>1719</v>
      </c>
      <c r="J72" s="58">
        <v>2053</v>
      </c>
      <c r="K72" s="58">
        <v>2257</v>
      </c>
      <c r="L72" s="58">
        <v>2530</v>
      </c>
      <c r="M72" s="58">
        <v>2616</v>
      </c>
      <c r="N72" s="58">
        <v>2910</v>
      </c>
      <c r="O72" s="58">
        <v>3049</v>
      </c>
      <c r="P72" s="58">
        <v>3161</v>
      </c>
      <c r="Q72" s="58">
        <v>3133</v>
      </c>
      <c r="R72" s="58">
        <v>3152</v>
      </c>
      <c r="S72" s="58">
        <v>3031</v>
      </c>
      <c r="T72" s="58">
        <v>3069</v>
      </c>
      <c r="U72" s="58">
        <v>2637</v>
      </c>
      <c r="V72" s="58">
        <v>2500</v>
      </c>
      <c r="W72" s="58">
        <v>2171</v>
      </c>
      <c r="X72" s="58">
        <v>2056</v>
      </c>
      <c r="Y72" s="58">
        <v>2048</v>
      </c>
      <c r="Z72" s="58">
        <v>2234</v>
      </c>
      <c r="AA72" s="58">
        <v>2403</v>
      </c>
      <c r="AB72" s="58">
        <v>2629</v>
      </c>
      <c r="AC72" s="58">
        <v>2694</v>
      </c>
      <c r="AD72" s="58">
        <v>2838</v>
      </c>
      <c r="AE72" s="58">
        <v>2748</v>
      </c>
      <c r="AF72" s="58">
        <v>2753</v>
      </c>
      <c r="AG72" s="58">
        <v>2731</v>
      </c>
      <c r="AH72" s="58">
        <v>2626</v>
      </c>
      <c r="AI72" s="58">
        <v>2587</v>
      </c>
      <c r="AJ72" s="58">
        <v>2378</v>
      </c>
      <c r="AK72" s="58">
        <v>2351</v>
      </c>
      <c r="AL72" s="58">
        <v>2373</v>
      </c>
      <c r="AM72" s="58">
        <v>2341</v>
      </c>
      <c r="AN72" s="58">
        <v>2256</v>
      </c>
      <c r="AO72" s="58">
        <v>2102</v>
      </c>
      <c r="AP72" s="58">
        <v>1600</v>
      </c>
      <c r="AQ72" s="58">
        <v>799</v>
      </c>
      <c r="AR72" s="58">
        <v>269</v>
      </c>
      <c r="AS72" s="58">
        <v>30</v>
      </c>
      <c r="AT72" s="58">
        <v>12</v>
      </c>
      <c r="AU72" s="58">
        <v>17</v>
      </c>
      <c r="AV72" s="58">
        <v>20</v>
      </c>
      <c r="AW72" s="58">
        <v>22</v>
      </c>
      <c r="AX72" s="58">
        <v>28</v>
      </c>
      <c r="AY72" s="58">
        <v>9</v>
      </c>
      <c r="AZ72" s="58">
        <v>13</v>
      </c>
      <c r="BA72" s="58">
        <v>0</v>
      </c>
      <c r="BB72" s="58">
        <v>0</v>
      </c>
      <c r="BC72" s="58">
        <v>0</v>
      </c>
      <c r="BD72" s="58">
        <v>0</v>
      </c>
      <c r="BE72" s="58">
        <v>0</v>
      </c>
      <c r="BF72" s="58">
        <v>0</v>
      </c>
      <c r="BG72" s="58">
        <v>0</v>
      </c>
      <c r="BH72" s="58">
        <f>SUM(D72:BG72)</f>
        <v>88181</v>
      </c>
    </row>
    <row r="73" spans="1:60">
      <c r="A73" s="56" t="s">
        <v>148</v>
      </c>
      <c r="B73" s="56" t="s">
        <v>147</v>
      </c>
      <c r="C73" s="56" t="s">
        <v>67</v>
      </c>
      <c r="D73" s="58">
        <v>0</v>
      </c>
      <c r="E73" s="58">
        <v>0</v>
      </c>
      <c r="F73" s="58">
        <v>0</v>
      </c>
      <c r="G73" s="58">
        <v>17</v>
      </c>
      <c r="H73" s="58">
        <v>131</v>
      </c>
      <c r="I73" s="58">
        <v>194</v>
      </c>
      <c r="J73" s="58">
        <v>171</v>
      </c>
      <c r="K73" s="58">
        <v>208</v>
      </c>
      <c r="L73" s="58">
        <v>226</v>
      </c>
      <c r="M73" s="58">
        <v>204</v>
      </c>
      <c r="N73" s="58">
        <v>233</v>
      </c>
      <c r="O73" s="58">
        <v>248</v>
      </c>
      <c r="P73" s="58">
        <v>276</v>
      </c>
      <c r="Q73" s="58">
        <v>263</v>
      </c>
      <c r="R73" s="58">
        <v>263</v>
      </c>
      <c r="S73" s="58">
        <v>252</v>
      </c>
      <c r="T73" s="58">
        <v>262</v>
      </c>
      <c r="U73" s="58">
        <v>211</v>
      </c>
      <c r="V73" s="58">
        <v>172</v>
      </c>
      <c r="W73" s="58">
        <v>180</v>
      </c>
      <c r="X73" s="58">
        <v>169</v>
      </c>
      <c r="Y73" s="58">
        <v>145</v>
      </c>
      <c r="Z73" s="58">
        <v>155</v>
      </c>
      <c r="AA73" s="58">
        <v>203</v>
      </c>
      <c r="AB73" s="58">
        <v>223</v>
      </c>
      <c r="AC73" s="58">
        <v>202</v>
      </c>
      <c r="AD73" s="58">
        <v>230</v>
      </c>
      <c r="AE73" s="58">
        <v>214</v>
      </c>
      <c r="AF73" s="58">
        <v>201</v>
      </c>
      <c r="AG73" s="58">
        <v>227</v>
      </c>
      <c r="AH73" s="58">
        <v>199</v>
      </c>
      <c r="AI73" s="58">
        <v>221</v>
      </c>
      <c r="AJ73" s="58">
        <v>191</v>
      </c>
      <c r="AK73" s="58">
        <v>212</v>
      </c>
      <c r="AL73" s="58">
        <v>185</v>
      </c>
      <c r="AM73" s="58">
        <v>175</v>
      </c>
      <c r="AN73" s="58">
        <v>193</v>
      </c>
      <c r="AO73" s="58">
        <v>156</v>
      </c>
      <c r="AP73" s="58">
        <v>110</v>
      </c>
      <c r="AQ73" s="58">
        <v>33</v>
      </c>
      <c r="AR73" s="58">
        <v>1</v>
      </c>
      <c r="AS73" s="58">
        <v>6</v>
      </c>
      <c r="AT73" s="58">
        <v>1</v>
      </c>
      <c r="AU73" s="58">
        <v>4</v>
      </c>
      <c r="AV73" s="58">
        <v>1</v>
      </c>
      <c r="AW73" s="58">
        <v>4</v>
      </c>
      <c r="AX73" s="58">
        <v>0</v>
      </c>
      <c r="AY73" s="58">
        <v>0</v>
      </c>
      <c r="AZ73" s="58">
        <v>0</v>
      </c>
      <c r="BA73" s="58">
        <v>0</v>
      </c>
      <c r="BB73" s="58">
        <v>0</v>
      </c>
      <c r="BC73" s="58">
        <v>0</v>
      </c>
      <c r="BD73" s="58">
        <v>0</v>
      </c>
      <c r="BE73" s="58">
        <v>0</v>
      </c>
      <c r="BF73" s="58">
        <v>0</v>
      </c>
      <c r="BG73" s="58">
        <v>0</v>
      </c>
      <c r="BH73" s="58">
        <f>SUM(D73:BG73)</f>
        <v>7172</v>
      </c>
    </row>
    <row r="74" spans="1:60">
      <c r="A74" s="56" t="s">
        <v>149</v>
      </c>
      <c r="B74" s="56" t="s">
        <v>147</v>
      </c>
      <c r="C74" s="56" t="s">
        <v>69</v>
      </c>
      <c r="D74" s="58">
        <v>0</v>
      </c>
      <c r="E74" s="58">
        <v>0</v>
      </c>
      <c r="F74" s="58">
        <v>0</v>
      </c>
      <c r="G74" s="58">
        <v>15</v>
      </c>
      <c r="H74" s="58">
        <v>134</v>
      </c>
      <c r="I74" s="58">
        <v>162</v>
      </c>
      <c r="J74" s="58">
        <v>172</v>
      </c>
      <c r="K74" s="58">
        <v>198</v>
      </c>
      <c r="L74" s="58">
        <v>211</v>
      </c>
      <c r="M74" s="58">
        <v>212</v>
      </c>
      <c r="N74" s="58">
        <v>208</v>
      </c>
      <c r="O74" s="58">
        <v>251</v>
      </c>
      <c r="P74" s="58">
        <v>263</v>
      </c>
      <c r="Q74" s="58">
        <v>248</v>
      </c>
      <c r="R74" s="58">
        <v>233</v>
      </c>
      <c r="S74" s="58">
        <v>220</v>
      </c>
      <c r="T74" s="58">
        <v>225</v>
      </c>
      <c r="U74" s="58">
        <v>191</v>
      </c>
      <c r="V74" s="58">
        <v>176</v>
      </c>
      <c r="W74" s="58">
        <v>156</v>
      </c>
      <c r="X74" s="58">
        <v>134</v>
      </c>
      <c r="Y74" s="58">
        <v>154</v>
      </c>
      <c r="Z74" s="58">
        <v>177</v>
      </c>
      <c r="AA74" s="58">
        <v>158</v>
      </c>
      <c r="AB74" s="58">
        <v>199</v>
      </c>
      <c r="AC74" s="58">
        <v>191</v>
      </c>
      <c r="AD74" s="58">
        <v>214</v>
      </c>
      <c r="AE74" s="58">
        <v>184</v>
      </c>
      <c r="AF74" s="58">
        <v>201</v>
      </c>
      <c r="AG74" s="58">
        <v>195</v>
      </c>
      <c r="AH74" s="58">
        <v>164</v>
      </c>
      <c r="AI74" s="58">
        <v>211</v>
      </c>
      <c r="AJ74" s="58">
        <v>187</v>
      </c>
      <c r="AK74" s="58">
        <v>157</v>
      </c>
      <c r="AL74" s="58">
        <v>150</v>
      </c>
      <c r="AM74" s="58">
        <v>172</v>
      </c>
      <c r="AN74" s="58">
        <v>170</v>
      </c>
      <c r="AO74" s="58">
        <v>185</v>
      </c>
      <c r="AP74" s="58">
        <v>83</v>
      </c>
      <c r="AQ74" s="58">
        <v>33</v>
      </c>
      <c r="AR74" s="58">
        <v>0</v>
      </c>
      <c r="AS74" s="58">
        <v>0</v>
      </c>
      <c r="AT74" s="58">
        <v>0</v>
      </c>
      <c r="AU74" s="58">
        <v>0</v>
      </c>
      <c r="AV74" s="58">
        <v>0</v>
      </c>
      <c r="AW74" s="58">
        <v>0</v>
      </c>
      <c r="AX74" s="58">
        <v>0</v>
      </c>
      <c r="AY74" s="58">
        <v>0</v>
      </c>
      <c r="AZ74" s="58">
        <v>0</v>
      </c>
      <c r="BA74" s="58">
        <v>0</v>
      </c>
      <c r="BB74" s="58">
        <v>0</v>
      </c>
      <c r="BC74" s="58">
        <v>0</v>
      </c>
      <c r="BD74" s="58">
        <v>0</v>
      </c>
      <c r="BE74" s="58">
        <v>0</v>
      </c>
      <c r="BF74" s="58">
        <v>0</v>
      </c>
      <c r="BG74" s="58">
        <v>0</v>
      </c>
      <c r="BH74" s="58">
        <f>SUM(D74:BG74)</f>
        <v>6594</v>
      </c>
    </row>
    <row r="75" spans="1:60">
      <c r="A75" s="56" t="s">
        <v>150</v>
      </c>
      <c r="B75" s="56" t="s">
        <v>147</v>
      </c>
      <c r="C75" s="56" t="s">
        <v>71</v>
      </c>
      <c r="D75" s="58">
        <v>0</v>
      </c>
      <c r="E75" s="58">
        <v>0</v>
      </c>
      <c r="F75" s="58">
        <v>1</v>
      </c>
      <c r="G75" s="58">
        <v>12</v>
      </c>
      <c r="H75" s="58">
        <v>123</v>
      </c>
      <c r="I75" s="58">
        <v>165</v>
      </c>
      <c r="J75" s="58">
        <v>177</v>
      </c>
      <c r="K75" s="58">
        <v>207</v>
      </c>
      <c r="L75" s="58">
        <v>235</v>
      </c>
      <c r="M75" s="58">
        <v>208</v>
      </c>
      <c r="N75" s="58">
        <v>253</v>
      </c>
      <c r="O75" s="58">
        <v>266</v>
      </c>
      <c r="P75" s="58">
        <v>236</v>
      </c>
      <c r="Q75" s="58">
        <v>250</v>
      </c>
      <c r="R75" s="58">
        <v>228</v>
      </c>
      <c r="S75" s="58">
        <v>224</v>
      </c>
      <c r="T75" s="58">
        <v>211</v>
      </c>
      <c r="U75" s="58">
        <v>207</v>
      </c>
      <c r="V75" s="58">
        <v>147</v>
      </c>
      <c r="W75" s="58">
        <v>146</v>
      </c>
      <c r="X75" s="58">
        <v>158</v>
      </c>
      <c r="Y75" s="58">
        <v>168</v>
      </c>
      <c r="Z75" s="58">
        <v>172</v>
      </c>
      <c r="AA75" s="58">
        <v>197</v>
      </c>
      <c r="AB75" s="58">
        <v>209</v>
      </c>
      <c r="AC75" s="58">
        <v>197</v>
      </c>
      <c r="AD75" s="58">
        <v>229</v>
      </c>
      <c r="AE75" s="58">
        <v>207</v>
      </c>
      <c r="AF75" s="58">
        <v>192</v>
      </c>
      <c r="AG75" s="58">
        <v>180</v>
      </c>
      <c r="AH75" s="58">
        <v>194</v>
      </c>
      <c r="AI75" s="58">
        <v>182</v>
      </c>
      <c r="AJ75" s="58">
        <v>168</v>
      </c>
      <c r="AK75" s="58">
        <v>145</v>
      </c>
      <c r="AL75" s="58">
        <v>187</v>
      </c>
      <c r="AM75" s="58">
        <v>165</v>
      </c>
      <c r="AN75" s="58">
        <v>175</v>
      </c>
      <c r="AO75" s="58">
        <v>153</v>
      </c>
      <c r="AP75" s="58">
        <v>121</v>
      </c>
      <c r="AQ75" s="58">
        <v>26</v>
      </c>
      <c r="AR75" s="58">
        <v>0</v>
      </c>
      <c r="AS75" s="58">
        <v>0</v>
      </c>
      <c r="AT75" s="58">
        <v>0</v>
      </c>
      <c r="AU75" s="58">
        <v>0</v>
      </c>
      <c r="AV75" s="58">
        <v>0</v>
      </c>
      <c r="AW75" s="58">
        <v>0</v>
      </c>
      <c r="AX75" s="58">
        <v>0</v>
      </c>
      <c r="AY75" s="58">
        <v>0</v>
      </c>
      <c r="AZ75" s="58">
        <v>0</v>
      </c>
      <c r="BA75" s="58">
        <v>0</v>
      </c>
      <c r="BB75" s="58">
        <v>0</v>
      </c>
      <c r="BC75" s="58">
        <v>0</v>
      </c>
      <c r="BD75" s="58">
        <v>0</v>
      </c>
      <c r="BE75" s="58">
        <v>0</v>
      </c>
      <c r="BF75" s="58">
        <v>0</v>
      </c>
      <c r="BG75" s="58">
        <v>0</v>
      </c>
      <c r="BH75" s="58">
        <f>SUM(D75:BG75)</f>
        <v>6721</v>
      </c>
    </row>
    <row r="76" spans="1:60">
      <c r="A76" s="56" t="s">
        <v>151</v>
      </c>
      <c r="B76" s="56" t="s">
        <v>147</v>
      </c>
      <c r="C76" s="56" t="s">
        <v>73</v>
      </c>
      <c r="D76" s="58">
        <v>0</v>
      </c>
      <c r="E76" s="58">
        <v>0</v>
      </c>
      <c r="F76" s="58">
        <v>0</v>
      </c>
      <c r="G76" s="58">
        <v>28</v>
      </c>
      <c r="H76" s="58">
        <v>146</v>
      </c>
      <c r="I76" s="58">
        <v>215</v>
      </c>
      <c r="J76" s="58">
        <v>171</v>
      </c>
      <c r="K76" s="58">
        <v>239</v>
      </c>
      <c r="L76" s="58">
        <v>233</v>
      </c>
      <c r="M76" s="58">
        <v>263</v>
      </c>
      <c r="N76" s="58">
        <v>285</v>
      </c>
      <c r="O76" s="58">
        <v>278</v>
      </c>
      <c r="P76" s="58">
        <v>290</v>
      </c>
      <c r="Q76" s="58">
        <v>267</v>
      </c>
      <c r="R76" s="58">
        <v>267</v>
      </c>
      <c r="S76" s="58">
        <v>251</v>
      </c>
      <c r="T76" s="58">
        <v>237</v>
      </c>
      <c r="U76" s="58">
        <v>174</v>
      </c>
      <c r="V76" s="58">
        <v>194</v>
      </c>
      <c r="W76" s="58">
        <v>180</v>
      </c>
      <c r="X76" s="58">
        <v>151</v>
      </c>
      <c r="Y76" s="58">
        <v>161</v>
      </c>
      <c r="Z76" s="58">
        <v>184</v>
      </c>
      <c r="AA76" s="58">
        <v>187</v>
      </c>
      <c r="AB76" s="58">
        <v>177</v>
      </c>
      <c r="AC76" s="58">
        <v>226</v>
      </c>
      <c r="AD76" s="58">
        <v>195</v>
      </c>
      <c r="AE76" s="58">
        <v>217</v>
      </c>
      <c r="AF76" s="58">
        <v>201</v>
      </c>
      <c r="AG76" s="58">
        <v>204</v>
      </c>
      <c r="AH76" s="58">
        <v>180</v>
      </c>
      <c r="AI76" s="58">
        <v>182</v>
      </c>
      <c r="AJ76" s="58">
        <v>174</v>
      </c>
      <c r="AK76" s="58">
        <v>187</v>
      </c>
      <c r="AL76" s="58">
        <v>172</v>
      </c>
      <c r="AM76" s="58">
        <v>184</v>
      </c>
      <c r="AN76" s="58">
        <v>155</v>
      </c>
      <c r="AO76" s="58">
        <v>178</v>
      </c>
      <c r="AP76" s="58">
        <v>106</v>
      </c>
      <c r="AQ76" s="58">
        <v>44</v>
      </c>
      <c r="AR76" s="58">
        <v>0</v>
      </c>
      <c r="AS76" s="58">
        <v>0</v>
      </c>
      <c r="AT76" s="58">
        <v>0</v>
      </c>
      <c r="AU76" s="58">
        <v>0</v>
      </c>
      <c r="AV76" s="58">
        <v>0</v>
      </c>
      <c r="AW76" s="58">
        <v>0</v>
      </c>
      <c r="AX76" s="58">
        <v>0</v>
      </c>
      <c r="AY76" s="58">
        <v>0</v>
      </c>
      <c r="AZ76" s="58">
        <v>0</v>
      </c>
      <c r="BA76" s="58">
        <v>0</v>
      </c>
      <c r="BB76" s="58">
        <v>0</v>
      </c>
      <c r="BC76" s="58">
        <v>0</v>
      </c>
      <c r="BD76" s="58">
        <v>0</v>
      </c>
      <c r="BE76" s="58">
        <v>0</v>
      </c>
      <c r="BF76" s="58">
        <v>0</v>
      </c>
      <c r="BG76" s="58">
        <v>0</v>
      </c>
      <c r="BH76" s="58">
        <f>SUM(D76:BG76)</f>
        <v>7183</v>
      </c>
    </row>
    <row r="77" spans="1:60">
      <c r="A77" s="56" t="s">
        <v>152</v>
      </c>
      <c r="B77" s="56" t="s">
        <v>147</v>
      </c>
      <c r="C77" s="56" t="s">
        <v>75</v>
      </c>
      <c r="D77" s="58">
        <v>0</v>
      </c>
      <c r="E77" s="58">
        <v>0</v>
      </c>
      <c r="F77" s="58">
        <v>0</v>
      </c>
      <c r="G77" s="58">
        <v>21</v>
      </c>
      <c r="H77" s="58">
        <v>141</v>
      </c>
      <c r="I77" s="58">
        <v>164</v>
      </c>
      <c r="J77" s="58">
        <v>155</v>
      </c>
      <c r="K77" s="58">
        <v>202</v>
      </c>
      <c r="L77" s="58">
        <v>197</v>
      </c>
      <c r="M77" s="58">
        <v>204</v>
      </c>
      <c r="N77" s="58">
        <v>231</v>
      </c>
      <c r="O77" s="58">
        <v>235</v>
      </c>
      <c r="P77" s="58">
        <v>243</v>
      </c>
      <c r="Q77" s="58">
        <v>200</v>
      </c>
      <c r="R77" s="58">
        <v>231</v>
      </c>
      <c r="S77" s="58">
        <v>222</v>
      </c>
      <c r="T77" s="58">
        <v>215</v>
      </c>
      <c r="U77" s="58">
        <v>187</v>
      </c>
      <c r="V77" s="58">
        <v>175</v>
      </c>
      <c r="W77" s="58">
        <v>145</v>
      </c>
      <c r="X77" s="58">
        <v>138</v>
      </c>
      <c r="Y77" s="58">
        <v>153</v>
      </c>
      <c r="Z77" s="58">
        <v>146</v>
      </c>
      <c r="AA77" s="58">
        <v>187</v>
      </c>
      <c r="AB77" s="58">
        <v>214</v>
      </c>
      <c r="AC77" s="58">
        <v>212</v>
      </c>
      <c r="AD77" s="58">
        <v>191</v>
      </c>
      <c r="AE77" s="58">
        <v>184</v>
      </c>
      <c r="AF77" s="58">
        <v>204</v>
      </c>
      <c r="AG77" s="58">
        <v>182</v>
      </c>
      <c r="AH77" s="58">
        <v>223</v>
      </c>
      <c r="AI77" s="58">
        <v>178</v>
      </c>
      <c r="AJ77" s="58">
        <v>154</v>
      </c>
      <c r="AK77" s="58">
        <v>157</v>
      </c>
      <c r="AL77" s="58">
        <v>165</v>
      </c>
      <c r="AM77" s="58">
        <v>158</v>
      </c>
      <c r="AN77" s="58">
        <v>170</v>
      </c>
      <c r="AO77" s="58">
        <v>138</v>
      </c>
      <c r="AP77" s="58">
        <v>88</v>
      </c>
      <c r="AQ77" s="58">
        <v>22</v>
      </c>
      <c r="AR77" s="58">
        <v>0</v>
      </c>
      <c r="AS77" s="58">
        <v>0</v>
      </c>
      <c r="AT77" s="58">
        <v>0</v>
      </c>
      <c r="AU77" s="58">
        <v>0</v>
      </c>
      <c r="AV77" s="58">
        <v>0</v>
      </c>
      <c r="AW77" s="58">
        <v>0</v>
      </c>
      <c r="AX77" s="58">
        <v>0</v>
      </c>
      <c r="AY77" s="58">
        <v>0</v>
      </c>
      <c r="AZ77" s="58">
        <v>0</v>
      </c>
      <c r="BA77" s="58">
        <v>0</v>
      </c>
      <c r="BB77" s="58">
        <v>0</v>
      </c>
      <c r="BC77" s="58">
        <v>0</v>
      </c>
      <c r="BD77" s="58">
        <v>0</v>
      </c>
      <c r="BE77" s="58">
        <v>0</v>
      </c>
      <c r="BF77" s="58">
        <v>0</v>
      </c>
      <c r="BG77" s="58">
        <v>0</v>
      </c>
      <c r="BH77" s="58">
        <f>SUM(D77:BG77)</f>
        <v>6432</v>
      </c>
    </row>
    <row r="78" spans="1:60">
      <c r="A78" s="56" t="s">
        <v>153</v>
      </c>
      <c r="B78" s="56" t="s">
        <v>147</v>
      </c>
      <c r="C78" s="56" t="s">
        <v>77</v>
      </c>
      <c r="D78" s="58">
        <v>0</v>
      </c>
      <c r="E78" s="58">
        <v>0</v>
      </c>
      <c r="F78" s="58">
        <v>0</v>
      </c>
      <c r="G78" s="58">
        <v>13</v>
      </c>
      <c r="H78" s="58">
        <v>132</v>
      </c>
      <c r="I78" s="58">
        <v>161</v>
      </c>
      <c r="J78" s="58">
        <v>145</v>
      </c>
      <c r="K78" s="58">
        <v>202</v>
      </c>
      <c r="L78" s="58">
        <v>224</v>
      </c>
      <c r="M78" s="58">
        <v>217</v>
      </c>
      <c r="N78" s="58">
        <v>247</v>
      </c>
      <c r="O78" s="58">
        <v>227</v>
      </c>
      <c r="P78" s="58">
        <v>227</v>
      </c>
      <c r="Q78" s="58">
        <v>265</v>
      </c>
      <c r="R78" s="58">
        <v>228</v>
      </c>
      <c r="S78" s="58">
        <v>220</v>
      </c>
      <c r="T78" s="58">
        <v>221</v>
      </c>
      <c r="U78" s="58">
        <v>178</v>
      </c>
      <c r="V78" s="58">
        <v>157</v>
      </c>
      <c r="W78" s="58">
        <v>146</v>
      </c>
      <c r="X78" s="58">
        <v>144</v>
      </c>
      <c r="Y78" s="58">
        <v>152</v>
      </c>
      <c r="Z78" s="58">
        <v>175</v>
      </c>
      <c r="AA78" s="58">
        <v>177</v>
      </c>
      <c r="AB78" s="58">
        <v>209</v>
      </c>
      <c r="AC78" s="58">
        <v>166</v>
      </c>
      <c r="AD78" s="58">
        <v>223</v>
      </c>
      <c r="AE78" s="58">
        <v>200</v>
      </c>
      <c r="AF78" s="58">
        <v>179</v>
      </c>
      <c r="AG78" s="58">
        <v>185</v>
      </c>
      <c r="AH78" s="58">
        <v>175</v>
      </c>
      <c r="AI78" s="58">
        <v>173</v>
      </c>
      <c r="AJ78" s="58">
        <v>171</v>
      </c>
      <c r="AK78" s="58">
        <v>161</v>
      </c>
      <c r="AL78" s="58">
        <v>159</v>
      </c>
      <c r="AM78" s="58">
        <v>176</v>
      </c>
      <c r="AN78" s="58">
        <v>151</v>
      </c>
      <c r="AO78" s="58">
        <v>138</v>
      </c>
      <c r="AP78" s="58">
        <v>94</v>
      </c>
      <c r="AQ78" s="58">
        <v>23</v>
      </c>
      <c r="AR78" s="58">
        <v>1</v>
      </c>
      <c r="AS78" s="58">
        <v>0</v>
      </c>
      <c r="AT78" s="58">
        <v>0</v>
      </c>
      <c r="AU78" s="58">
        <v>0</v>
      </c>
      <c r="AV78" s="58">
        <v>0</v>
      </c>
      <c r="AW78" s="58">
        <v>0</v>
      </c>
      <c r="AX78" s="58">
        <v>0</v>
      </c>
      <c r="AY78" s="58">
        <v>0</v>
      </c>
      <c r="AZ78" s="58">
        <v>0</v>
      </c>
      <c r="BA78" s="58">
        <v>0</v>
      </c>
      <c r="BB78" s="58">
        <v>0</v>
      </c>
      <c r="BC78" s="58">
        <v>0</v>
      </c>
      <c r="BD78" s="58">
        <v>0</v>
      </c>
      <c r="BE78" s="58">
        <v>0</v>
      </c>
      <c r="BF78" s="58">
        <v>0</v>
      </c>
      <c r="BG78" s="58">
        <v>0</v>
      </c>
      <c r="BH78" s="58">
        <f>SUM(D78:BG78)</f>
        <v>6442</v>
      </c>
    </row>
    <row r="79" spans="1:60">
      <c r="A79" s="56" t="s">
        <v>154</v>
      </c>
      <c r="B79" s="56" t="s">
        <v>147</v>
      </c>
      <c r="C79" s="56" t="s">
        <v>79</v>
      </c>
      <c r="D79" s="58">
        <v>0</v>
      </c>
      <c r="E79" s="58">
        <v>0</v>
      </c>
      <c r="F79" s="58">
        <v>0</v>
      </c>
      <c r="G79" s="58">
        <v>17</v>
      </c>
      <c r="H79" s="58">
        <v>132</v>
      </c>
      <c r="I79" s="58">
        <v>162</v>
      </c>
      <c r="J79" s="58">
        <v>183</v>
      </c>
      <c r="K79" s="58">
        <v>191</v>
      </c>
      <c r="L79" s="58">
        <v>210</v>
      </c>
      <c r="M79" s="58">
        <v>246</v>
      </c>
      <c r="N79" s="58">
        <v>227</v>
      </c>
      <c r="O79" s="58">
        <v>223</v>
      </c>
      <c r="P79" s="58">
        <v>246</v>
      </c>
      <c r="Q79" s="58">
        <v>259</v>
      </c>
      <c r="R79" s="58">
        <v>240</v>
      </c>
      <c r="S79" s="58">
        <v>247</v>
      </c>
      <c r="T79" s="58">
        <v>232</v>
      </c>
      <c r="U79" s="58">
        <v>195</v>
      </c>
      <c r="V79" s="58">
        <v>196</v>
      </c>
      <c r="W79" s="58">
        <v>151</v>
      </c>
      <c r="X79" s="58">
        <v>193</v>
      </c>
      <c r="Y79" s="58">
        <v>153</v>
      </c>
      <c r="Z79" s="58">
        <v>160</v>
      </c>
      <c r="AA79" s="58">
        <v>233</v>
      </c>
      <c r="AB79" s="58">
        <v>229</v>
      </c>
      <c r="AC79" s="58">
        <v>218</v>
      </c>
      <c r="AD79" s="58">
        <v>231</v>
      </c>
      <c r="AE79" s="58">
        <v>212</v>
      </c>
      <c r="AF79" s="58">
        <v>226</v>
      </c>
      <c r="AG79" s="58">
        <v>211</v>
      </c>
      <c r="AH79" s="58">
        <v>209</v>
      </c>
      <c r="AI79" s="58">
        <v>179</v>
      </c>
      <c r="AJ79" s="58">
        <v>172</v>
      </c>
      <c r="AK79" s="58">
        <v>202</v>
      </c>
      <c r="AL79" s="58">
        <v>183</v>
      </c>
      <c r="AM79" s="58">
        <v>176</v>
      </c>
      <c r="AN79" s="58">
        <v>153</v>
      </c>
      <c r="AO79" s="58">
        <v>144</v>
      </c>
      <c r="AP79" s="58">
        <v>88</v>
      </c>
      <c r="AQ79" s="58">
        <v>16</v>
      </c>
      <c r="AR79" s="58">
        <v>0</v>
      </c>
      <c r="AS79" s="58">
        <v>0</v>
      </c>
      <c r="AT79" s="58">
        <v>0</v>
      </c>
      <c r="AU79" s="58">
        <v>0</v>
      </c>
      <c r="AV79" s="58">
        <v>0</v>
      </c>
      <c r="AW79" s="58">
        <v>0</v>
      </c>
      <c r="AX79" s="58">
        <v>0</v>
      </c>
      <c r="AY79" s="58">
        <v>0</v>
      </c>
      <c r="AZ79" s="58">
        <v>0</v>
      </c>
      <c r="BA79" s="58">
        <v>0</v>
      </c>
      <c r="BB79" s="58">
        <v>0</v>
      </c>
      <c r="BC79" s="58">
        <v>0</v>
      </c>
      <c r="BD79" s="58">
        <v>0</v>
      </c>
      <c r="BE79" s="58">
        <v>0</v>
      </c>
      <c r="BF79" s="58">
        <v>0</v>
      </c>
      <c r="BG79" s="58">
        <v>0</v>
      </c>
      <c r="BH79" s="58">
        <f>SUM(D79:BG79)</f>
        <v>6945</v>
      </c>
    </row>
    <row r="80" spans="1:60">
      <c r="A80" s="56" t="s">
        <v>155</v>
      </c>
      <c r="B80" s="56" t="s">
        <v>147</v>
      </c>
      <c r="C80" s="56" t="s">
        <v>81</v>
      </c>
      <c r="D80" s="58">
        <v>0</v>
      </c>
      <c r="E80" s="58">
        <v>0</v>
      </c>
      <c r="F80" s="58">
        <v>0</v>
      </c>
      <c r="G80" s="58">
        <v>21</v>
      </c>
      <c r="H80" s="58">
        <v>94</v>
      </c>
      <c r="I80" s="58">
        <v>129</v>
      </c>
      <c r="J80" s="58">
        <v>144</v>
      </c>
      <c r="K80" s="58">
        <v>155</v>
      </c>
      <c r="L80" s="58">
        <v>172</v>
      </c>
      <c r="M80" s="58">
        <v>186</v>
      </c>
      <c r="N80" s="58">
        <v>194</v>
      </c>
      <c r="O80" s="58">
        <v>200</v>
      </c>
      <c r="P80" s="58">
        <v>223</v>
      </c>
      <c r="Q80" s="58">
        <v>216</v>
      </c>
      <c r="R80" s="58">
        <v>207</v>
      </c>
      <c r="S80" s="58">
        <v>229</v>
      </c>
      <c r="T80" s="58">
        <v>211</v>
      </c>
      <c r="U80" s="58">
        <v>178</v>
      </c>
      <c r="V80" s="58">
        <v>174</v>
      </c>
      <c r="W80" s="58">
        <v>153</v>
      </c>
      <c r="X80" s="58">
        <v>144</v>
      </c>
      <c r="Y80" s="58">
        <v>141</v>
      </c>
      <c r="Z80" s="58">
        <v>187</v>
      </c>
      <c r="AA80" s="58">
        <v>197</v>
      </c>
      <c r="AB80" s="58">
        <v>174</v>
      </c>
      <c r="AC80" s="58">
        <v>195</v>
      </c>
      <c r="AD80" s="58">
        <v>221</v>
      </c>
      <c r="AE80" s="58">
        <v>192</v>
      </c>
      <c r="AF80" s="58">
        <v>205</v>
      </c>
      <c r="AG80" s="58">
        <v>201</v>
      </c>
      <c r="AH80" s="58">
        <v>179</v>
      </c>
      <c r="AI80" s="58">
        <v>185</v>
      </c>
      <c r="AJ80" s="58">
        <v>138</v>
      </c>
      <c r="AK80" s="58">
        <v>158</v>
      </c>
      <c r="AL80" s="58">
        <v>153</v>
      </c>
      <c r="AM80" s="58">
        <v>148</v>
      </c>
      <c r="AN80" s="58">
        <v>143</v>
      </c>
      <c r="AO80" s="58">
        <v>115</v>
      </c>
      <c r="AP80" s="58">
        <v>76</v>
      </c>
      <c r="AQ80" s="58">
        <v>24</v>
      </c>
      <c r="AR80" s="58">
        <v>0</v>
      </c>
      <c r="AS80" s="58">
        <v>0</v>
      </c>
      <c r="AT80" s="58">
        <v>0</v>
      </c>
      <c r="AU80" s="58">
        <v>0</v>
      </c>
      <c r="AV80" s="58">
        <v>0</v>
      </c>
      <c r="AW80" s="58">
        <v>0</v>
      </c>
      <c r="AX80" s="58">
        <v>0</v>
      </c>
      <c r="AY80" s="58">
        <v>0</v>
      </c>
      <c r="AZ80" s="58">
        <v>0</v>
      </c>
      <c r="BA80" s="58">
        <v>0</v>
      </c>
      <c r="BB80" s="58">
        <v>0</v>
      </c>
      <c r="BC80" s="58">
        <v>0</v>
      </c>
      <c r="BD80" s="58">
        <v>0</v>
      </c>
      <c r="BE80" s="58">
        <v>0</v>
      </c>
      <c r="BF80" s="58">
        <v>0</v>
      </c>
      <c r="BG80" s="58">
        <v>0</v>
      </c>
      <c r="BH80" s="58">
        <f>SUM(D80:BG80)</f>
        <v>6062</v>
      </c>
    </row>
    <row r="81" spans="1:60">
      <c r="A81" s="56" t="s">
        <v>156</v>
      </c>
      <c r="B81" s="56" t="s">
        <v>147</v>
      </c>
      <c r="C81" s="56" t="s">
        <v>83</v>
      </c>
      <c r="D81" s="58">
        <v>0</v>
      </c>
      <c r="E81" s="58">
        <v>0</v>
      </c>
      <c r="F81" s="58">
        <v>0</v>
      </c>
      <c r="G81" s="58">
        <v>0</v>
      </c>
      <c r="H81" s="58">
        <v>5</v>
      </c>
      <c r="I81" s="58">
        <v>48</v>
      </c>
      <c r="J81" s="58">
        <v>112</v>
      </c>
      <c r="K81" s="58">
        <v>104</v>
      </c>
      <c r="L81" s="58">
        <v>142</v>
      </c>
      <c r="M81" s="58">
        <v>153</v>
      </c>
      <c r="N81" s="58">
        <v>191</v>
      </c>
      <c r="O81" s="58">
        <v>206</v>
      </c>
      <c r="P81" s="58">
        <v>236</v>
      </c>
      <c r="Q81" s="58">
        <v>213</v>
      </c>
      <c r="R81" s="58">
        <v>216</v>
      </c>
      <c r="S81" s="58">
        <v>221</v>
      </c>
      <c r="T81" s="58">
        <v>226</v>
      </c>
      <c r="U81" s="58">
        <v>198</v>
      </c>
      <c r="V81" s="58">
        <v>215</v>
      </c>
      <c r="W81" s="58">
        <v>166</v>
      </c>
      <c r="X81" s="58">
        <v>161</v>
      </c>
      <c r="Y81" s="58">
        <v>168</v>
      </c>
      <c r="Z81" s="58">
        <v>169</v>
      </c>
      <c r="AA81" s="58">
        <v>169</v>
      </c>
      <c r="AB81" s="58">
        <v>203</v>
      </c>
      <c r="AC81" s="58">
        <v>200</v>
      </c>
      <c r="AD81" s="58">
        <v>195</v>
      </c>
      <c r="AE81" s="58">
        <v>219</v>
      </c>
      <c r="AF81" s="58">
        <v>212</v>
      </c>
      <c r="AG81" s="58">
        <v>231</v>
      </c>
      <c r="AH81" s="58">
        <v>210</v>
      </c>
      <c r="AI81" s="58">
        <v>192</v>
      </c>
      <c r="AJ81" s="58">
        <v>187</v>
      </c>
      <c r="AK81" s="58">
        <v>167</v>
      </c>
      <c r="AL81" s="58">
        <v>193</v>
      </c>
      <c r="AM81" s="58">
        <v>182</v>
      </c>
      <c r="AN81" s="58">
        <v>175</v>
      </c>
      <c r="AO81" s="58">
        <v>162</v>
      </c>
      <c r="AP81" s="58">
        <v>154</v>
      </c>
      <c r="AQ81" s="58">
        <v>115</v>
      </c>
      <c r="AR81" s="58">
        <v>40</v>
      </c>
      <c r="AS81" s="58">
        <v>1</v>
      </c>
      <c r="AT81" s="58">
        <v>3</v>
      </c>
      <c r="AU81" s="58">
        <v>0</v>
      </c>
      <c r="AV81" s="58">
        <v>6</v>
      </c>
      <c r="AW81" s="58">
        <v>5</v>
      </c>
      <c r="AX81" s="58">
        <v>2</v>
      </c>
      <c r="AY81" s="58">
        <v>4</v>
      </c>
      <c r="AZ81" s="58">
        <v>5</v>
      </c>
      <c r="BA81" s="58">
        <v>0</v>
      </c>
      <c r="BB81" s="58">
        <v>0</v>
      </c>
      <c r="BC81" s="58">
        <v>0</v>
      </c>
      <c r="BD81" s="58">
        <v>0</v>
      </c>
      <c r="BE81" s="58">
        <v>0</v>
      </c>
      <c r="BF81" s="58">
        <v>0</v>
      </c>
      <c r="BG81" s="58">
        <v>0</v>
      </c>
      <c r="BH81" s="58">
        <f>SUM(D81:BG81)</f>
        <v>6382</v>
      </c>
    </row>
    <row r="82" spans="1:60">
      <c r="A82" s="56" t="s">
        <v>157</v>
      </c>
      <c r="B82" s="56" t="s">
        <v>147</v>
      </c>
      <c r="C82" s="56" t="s">
        <v>85</v>
      </c>
      <c r="D82" s="58">
        <v>0</v>
      </c>
      <c r="E82" s="58">
        <v>0</v>
      </c>
      <c r="F82" s="58">
        <v>0</v>
      </c>
      <c r="G82" s="58">
        <v>0</v>
      </c>
      <c r="H82" s="58">
        <v>8</v>
      </c>
      <c r="I82" s="58">
        <v>76</v>
      </c>
      <c r="J82" s="58">
        <v>160</v>
      </c>
      <c r="K82" s="58">
        <v>161</v>
      </c>
      <c r="L82" s="58">
        <v>179</v>
      </c>
      <c r="M82" s="58">
        <v>177</v>
      </c>
      <c r="N82" s="58">
        <v>255</v>
      </c>
      <c r="O82" s="58">
        <v>245</v>
      </c>
      <c r="P82" s="58">
        <v>260</v>
      </c>
      <c r="Q82" s="58">
        <v>275</v>
      </c>
      <c r="R82" s="58">
        <v>308</v>
      </c>
      <c r="S82" s="58">
        <v>280</v>
      </c>
      <c r="T82" s="58">
        <v>308</v>
      </c>
      <c r="U82" s="58">
        <v>277</v>
      </c>
      <c r="V82" s="58">
        <v>271</v>
      </c>
      <c r="W82" s="58">
        <v>237</v>
      </c>
      <c r="X82" s="58">
        <v>176</v>
      </c>
      <c r="Y82" s="58">
        <v>186</v>
      </c>
      <c r="Z82" s="58">
        <v>209</v>
      </c>
      <c r="AA82" s="58">
        <v>188</v>
      </c>
      <c r="AB82" s="58">
        <v>223</v>
      </c>
      <c r="AC82" s="58">
        <v>251</v>
      </c>
      <c r="AD82" s="58">
        <v>284</v>
      </c>
      <c r="AE82" s="58">
        <v>294</v>
      </c>
      <c r="AF82" s="58">
        <v>279</v>
      </c>
      <c r="AG82" s="58">
        <v>266</v>
      </c>
      <c r="AH82" s="58">
        <v>236</v>
      </c>
      <c r="AI82" s="58">
        <v>273</v>
      </c>
      <c r="AJ82" s="58">
        <v>242</v>
      </c>
      <c r="AK82" s="58">
        <v>241</v>
      </c>
      <c r="AL82" s="58">
        <v>257</v>
      </c>
      <c r="AM82" s="58">
        <v>236</v>
      </c>
      <c r="AN82" s="58">
        <v>225</v>
      </c>
      <c r="AO82" s="58">
        <v>233</v>
      </c>
      <c r="AP82" s="58">
        <v>209</v>
      </c>
      <c r="AQ82" s="58">
        <v>140</v>
      </c>
      <c r="AR82" s="58">
        <v>62</v>
      </c>
      <c r="AS82" s="58">
        <v>1</v>
      </c>
      <c r="AT82" s="58">
        <v>0</v>
      </c>
      <c r="AU82" s="58">
        <v>0</v>
      </c>
      <c r="AV82" s="58">
        <v>0</v>
      </c>
      <c r="AW82" s="58">
        <v>0</v>
      </c>
      <c r="AX82" s="58">
        <v>0</v>
      </c>
      <c r="AY82" s="58">
        <v>0</v>
      </c>
      <c r="AZ82" s="58">
        <v>0</v>
      </c>
      <c r="BA82" s="58">
        <v>0</v>
      </c>
      <c r="BB82" s="58">
        <v>0</v>
      </c>
      <c r="BC82" s="58">
        <v>0</v>
      </c>
      <c r="BD82" s="58">
        <v>0</v>
      </c>
      <c r="BE82" s="58">
        <v>0</v>
      </c>
      <c r="BF82" s="58">
        <v>0</v>
      </c>
      <c r="BG82" s="58">
        <v>0</v>
      </c>
      <c r="BH82" s="58">
        <f>SUM(D82:BG82)</f>
        <v>8188</v>
      </c>
    </row>
    <row r="83" spans="1:60">
      <c r="A83" s="56" t="s">
        <v>158</v>
      </c>
      <c r="B83" s="56" t="s">
        <v>147</v>
      </c>
      <c r="C83" s="56" t="s">
        <v>87</v>
      </c>
      <c r="D83" s="58">
        <v>0</v>
      </c>
      <c r="E83" s="58">
        <v>0</v>
      </c>
      <c r="F83" s="58">
        <v>0</v>
      </c>
      <c r="G83" s="58">
        <v>0</v>
      </c>
      <c r="H83" s="58">
        <v>11</v>
      </c>
      <c r="I83" s="58">
        <v>79</v>
      </c>
      <c r="J83" s="58">
        <v>166</v>
      </c>
      <c r="K83" s="58">
        <v>142</v>
      </c>
      <c r="L83" s="58">
        <v>187</v>
      </c>
      <c r="M83" s="58">
        <v>240</v>
      </c>
      <c r="N83" s="58">
        <v>227</v>
      </c>
      <c r="O83" s="58">
        <v>275</v>
      </c>
      <c r="P83" s="58">
        <v>268</v>
      </c>
      <c r="Q83" s="58">
        <v>327</v>
      </c>
      <c r="R83" s="58">
        <v>337</v>
      </c>
      <c r="S83" s="58">
        <v>294</v>
      </c>
      <c r="T83" s="58">
        <v>310</v>
      </c>
      <c r="U83" s="58">
        <v>261</v>
      </c>
      <c r="V83" s="58">
        <v>273</v>
      </c>
      <c r="W83" s="58">
        <v>239</v>
      </c>
      <c r="X83" s="58">
        <v>200</v>
      </c>
      <c r="Y83" s="58">
        <v>204</v>
      </c>
      <c r="Z83" s="58">
        <v>186</v>
      </c>
      <c r="AA83" s="58">
        <v>202</v>
      </c>
      <c r="AB83" s="58">
        <v>241</v>
      </c>
      <c r="AC83" s="58">
        <v>279</v>
      </c>
      <c r="AD83" s="58">
        <v>276</v>
      </c>
      <c r="AE83" s="58">
        <v>252</v>
      </c>
      <c r="AF83" s="58">
        <v>273</v>
      </c>
      <c r="AG83" s="58">
        <v>257</v>
      </c>
      <c r="AH83" s="58">
        <v>299</v>
      </c>
      <c r="AI83" s="58">
        <v>253</v>
      </c>
      <c r="AJ83" s="58">
        <v>260</v>
      </c>
      <c r="AK83" s="58">
        <v>251</v>
      </c>
      <c r="AL83" s="58">
        <v>254</v>
      </c>
      <c r="AM83" s="58">
        <v>257</v>
      </c>
      <c r="AN83" s="58">
        <v>232</v>
      </c>
      <c r="AO83" s="58">
        <v>211</v>
      </c>
      <c r="AP83" s="58">
        <v>217</v>
      </c>
      <c r="AQ83" s="58">
        <v>140</v>
      </c>
      <c r="AR83" s="58">
        <v>73</v>
      </c>
      <c r="AS83" s="58">
        <v>3</v>
      </c>
      <c r="AT83" s="58">
        <v>2</v>
      </c>
      <c r="AU83" s="58">
        <v>0</v>
      </c>
      <c r="AV83" s="58">
        <v>4</v>
      </c>
      <c r="AW83" s="58">
        <v>3</v>
      </c>
      <c r="AX83" s="58">
        <v>16</v>
      </c>
      <c r="AY83" s="58">
        <v>2</v>
      </c>
      <c r="AZ83" s="58">
        <v>8</v>
      </c>
      <c r="BA83" s="58">
        <v>0</v>
      </c>
      <c r="BB83" s="58">
        <v>0</v>
      </c>
      <c r="BC83" s="58">
        <v>0</v>
      </c>
      <c r="BD83" s="58">
        <v>0</v>
      </c>
      <c r="BE83" s="58">
        <v>0</v>
      </c>
      <c r="BF83" s="58">
        <v>0</v>
      </c>
      <c r="BG83" s="58">
        <v>0</v>
      </c>
      <c r="BH83" s="58">
        <f>SUM(D83:BG83)</f>
        <v>8491</v>
      </c>
    </row>
    <row r="84" spans="1:60">
      <c r="A84" s="56" t="s">
        <v>159</v>
      </c>
      <c r="B84" s="56" t="s">
        <v>147</v>
      </c>
      <c r="C84" s="56" t="s">
        <v>89</v>
      </c>
      <c r="D84" s="58">
        <v>0</v>
      </c>
      <c r="E84" s="58">
        <v>0</v>
      </c>
      <c r="F84" s="58">
        <v>0</v>
      </c>
      <c r="G84" s="58">
        <v>0</v>
      </c>
      <c r="H84" s="58">
        <v>24</v>
      </c>
      <c r="I84" s="58">
        <v>164</v>
      </c>
      <c r="J84" s="58">
        <v>297</v>
      </c>
      <c r="K84" s="58">
        <v>248</v>
      </c>
      <c r="L84" s="58">
        <v>314</v>
      </c>
      <c r="M84" s="58">
        <v>306</v>
      </c>
      <c r="N84" s="58">
        <v>359</v>
      </c>
      <c r="O84" s="58">
        <v>395</v>
      </c>
      <c r="P84" s="58">
        <v>393</v>
      </c>
      <c r="Q84" s="58">
        <v>350</v>
      </c>
      <c r="R84" s="58">
        <v>394</v>
      </c>
      <c r="S84" s="58">
        <v>371</v>
      </c>
      <c r="T84" s="58">
        <v>411</v>
      </c>
      <c r="U84" s="58">
        <v>380</v>
      </c>
      <c r="V84" s="58">
        <v>350</v>
      </c>
      <c r="W84" s="58">
        <v>272</v>
      </c>
      <c r="X84" s="58">
        <v>288</v>
      </c>
      <c r="Y84" s="58">
        <v>263</v>
      </c>
      <c r="Z84" s="58">
        <v>314</v>
      </c>
      <c r="AA84" s="58">
        <v>305</v>
      </c>
      <c r="AB84" s="58">
        <v>328</v>
      </c>
      <c r="AC84" s="58">
        <v>357</v>
      </c>
      <c r="AD84" s="58">
        <v>349</v>
      </c>
      <c r="AE84" s="58">
        <v>373</v>
      </c>
      <c r="AF84" s="58">
        <v>380</v>
      </c>
      <c r="AG84" s="58">
        <v>392</v>
      </c>
      <c r="AH84" s="58">
        <v>358</v>
      </c>
      <c r="AI84" s="58">
        <v>358</v>
      </c>
      <c r="AJ84" s="58">
        <v>334</v>
      </c>
      <c r="AK84" s="58">
        <v>313</v>
      </c>
      <c r="AL84" s="58">
        <v>315</v>
      </c>
      <c r="AM84" s="58">
        <v>312</v>
      </c>
      <c r="AN84" s="58">
        <v>314</v>
      </c>
      <c r="AO84" s="58">
        <v>289</v>
      </c>
      <c r="AP84" s="58">
        <v>254</v>
      </c>
      <c r="AQ84" s="58">
        <v>183</v>
      </c>
      <c r="AR84" s="58">
        <v>92</v>
      </c>
      <c r="AS84" s="58">
        <v>19</v>
      </c>
      <c r="AT84" s="58">
        <v>6</v>
      </c>
      <c r="AU84" s="58">
        <v>13</v>
      </c>
      <c r="AV84" s="58">
        <v>9</v>
      </c>
      <c r="AW84" s="58">
        <v>10</v>
      </c>
      <c r="AX84" s="58">
        <v>10</v>
      </c>
      <c r="AY84" s="58">
        <v>3</v>
      </c>
      <c r="AZ84" s="58">
        <v>0</v>
      </c>
      <c r="BA84" s="58">
        <v>0</v>
      </c>
      <c r="BB84" s="58">
        <v>0</v>
      </c>
      <c r="BC84" s="58">
        <v>0</v>
      </c>
      <c r="BD84" s="58">
        <v>0</v>
      </c>
      <c r="BE84" s="58">
        <v>0</v>
      </c>
      <c r="BF84" s="58">
        <v>0</v>
      </c>
      <c r="BG84" s="58">
        <v>0</v>
      </c>
      <c r="BH84" s="58">
        <f>SUM(D84:BG84)</f>
        <v>11569</v>
      </c>
    </row>
    <row r="85" spans="1:60">
      <c r="A85" s="56" t="s">
        <v>160</v>
      </c>
      <c r="B85" s="56" t="s">
        <v>161</v>
      </c>
      <c r="C85" s="56" t="s">
        <v>65</v>
      </c>
      <c r="D85" s="58">
        <v>0</v>
      </c>
      <c r="E85" s="58">
        <v>0</v>
      </c>
      <c r="F85" s="58">
        <v>0</v>
      </c>
      <c r="G85" s="58">
        <v>1</v>
      </c>
      <c r="H85" s="58">
        <v>12</v>
      </c>
      <c r="I85" s="58">
        <v>133</v>
      </c>
      <c r="J85" s="58">
        <v>810</v>
      </c>
      <c r="K85" s="58">
        <v>1025</v>
      </c>
      <c r="L85" s="58">
        <v>1158</v>
      </c>
      <c r="M85" s="58">
        <v>1395</v>
      </c>
      <c r="N85" s="58">
        <v>1530</v>
      </c>
      <c r="O85" s="58">
        <v>1603</v>
      </c>
      <c r="P85" s="58">
        <v>1649</v>
      </c>
      <c r="Q85" s="58">
        <v>1798</v>
      </c>
      <c r="R85" s="58">
        <v>1763</v>
      </c>
      <c r="S85" s="58">
        <v>1797</v>
      </c>
      <c r="T85" s="58">
        <v>1808</v>
      </c>
      <c r="U85" s="58">
        <v>1684</v>
      </c>
      <c r="V85" s="58">
        <v>1534</v>
      </c>
      <c r="W85" s="58">
        <v>1445</v>
      </c>
      <c r="X85" s="58">
        <v>1219</v>
      </c>
      <c r="Y85" s="58">
        <v>1188</v>
      </c>
      <c r="Z85" s="58">
        <v>1180</v>
      </c>
      <c r="AA85" s="58">
        <v>1209</v>
      </c>
      <c r="AB85" s="58">
        <v>1285</v>
      </c>
      <c r="AC85" s="58">
        <v>1423</v>
      </c>
      <c r="AD85" s="58">
        <v>1468</v>
      </c>
      <c r="AE85" s="58">
        <v>1430</v>
      </c>
      <c r="AF85" s="58">
        <v>1555</v>
      </c>
      <c r="AG85" s="58">
        <v>1520</v>
      </c>
      <c r="AH85" s="58">
        <v>1515</v>
      </c>
      <c r="AI85" s="58">
        <v>1450</v>
      </c>
      <c r="AJ85" s="58">
        <v>1349</v>
      </c>
      <c r="AK85" s="58">
        <v>1324</v>
      </c>
      <c r="AL85" s="58">
        <v>1316</v>
      </c>
      <c r="AM85" s="58">
        <v>1300</v>
      </c>
      <c r="AN85" s="58">
        <v>1308</v>
      </c>
      <c r="AO85" s="58">
        <v>1236</v>
      </c>
      <c r="AP85" s="58">
        <v>1303</v>
      </c>
      <c r="AQ85" s="58">
        <v>1067</v>
      </c>
      <c r="AR85" s="58">
        <v>589</v>
      </c>
      <c r="AS85" s="58">
        <v>135</v>
      </c>
      <c r="AT85" s="58">
        <v>14</v>
      </c>
      <c r="AU85" s="58">
        <v>8</v>
      </c>
      <c r="AV85" s="58">
        <v>6</v>
      </c>
      <c r="AW85" s="58">
        <v>6</v>
      </c>
      <c r="AX85" s="58">
        <v>5</v>
      </c>
      <c r="AY85" s="58">
        <v>5</v>
      </c>
      <c r="AZ85" s="58">
        <v>2</v>
      </c>
      <c r="BA85" s="58">
        <v>4</v>
      </c>
      <c r="BB85" s="58">
        <v>3</v>
      </c>
      <c r="BC85" s="58">
        <v>1</v>
      </c>
      <c r="BD85" s="58">
        <v>0</v>
      </c>
      <c r="BE85" s="58">
        <v>0</v>
      </c>
      <c r="BF85" s="58">
        <v>0</v>
      </c>
      <c r="BG85" s="58">
        <v>0</v>
      </c>
      <c r="BH85" s="58">
        <f>SUM(D85:BG85)</f>
        <v>48568</v>
      </c>
    </row>
    <row r="86" spans="1:60">
      <c r="A86" s="56" t="s">
        <v>162</v>
      </c>
      <c r="B86" s="56" t="s">
        <v>161</v>
      </c>
      <c r="C86" s="56" t="s">
        <v>67</v>
      </c>
      <c r="D86" s="58">
        <v>0</v>
      </c>
      <c r="E86" s="58">
        <v>0</v>
      </c>
      <c r="F86" s="58">
        <v>0</v>
      </c>
      <c r="G86" s="58">
        <v>0</v>
      </c>
      <c r="H86" s="58">
        <v>0</v>
      </c>
      <c r="I86" s="58">
        <v>10</v>
      </c>
      <c r="J86" s="58">
        <v>99</v>
      </c>
      <c r="K86" s="58">
        <v>103</v>
      </c>
      <c r="L86" s="58">
        <v>113</v>
      </c>
      <c r="M86" s="58">
        <v>109</v>
      </c>
      <c r="N86" s="58">
        <v>128</v>
      </c>
      <c r="O86" s="58">
        <v>161</v>
      </c>
      <c r="P86" s="58">
        <v>154</v>
      </c>
      <c r="Q86" s="58">
        <v>163</v>
      </c>
      <c r="R86" s="58">
        <v>154</v>
      </c>
      <c r="S86" s="58">
        <v>165</v>
      </c>
      <c r="T86" s="58">
        <v>166</v>
      </c>
      <c r="U86" s="58">
        <v>160</v>
      </c>
      <c r="V86" s="58">
        <v>123</v>
      </c>
      <c r="W86" s="58">
        <v>127</v>
      </c>
      <c r="X86" s="58">
        <v>95</v>
      </c>
      <c r="Y86" s="58">
        <v>119</v>
      </c>
      <c r="Z86" s="58">
        <v>104</v>
      </c>
      <c r="AA86" s="58">
        <v>119</v>
      </c>
      <c r="AB86" s="58">
        <v>124</v>
      </c>
      <c r="AC86" s="58">
        <v>153</v>
      </c>
      <c r="AD86" s="58">
        <v>141</v>
      </c>
      <c r="AE86" s="58">
        <v>136</v>
      </c>
      <c r="AF86" s="58">
        <v>156</v>
      </c>
      <c r="AG86" s="58">
        <v>144</v>
      </c>
      <c r="AH86" s="58">
        <v>130</v>
      </c>
      <c r="AI86" s="58">
        <v>131</v>
      </c>
      <c r="AJ86" s="58">
        <v>124</v>
      </c>
      <c r="AK86" s="58">
        <v>123</v>
      </c>
      <c r="AL86" s="58">
        <v>108</v>
      </c>
      <c r="AM86" s="58">
        <v>115</v>
      </c>
      <c r="AN86" s="58">
        <v>131</v>
      </c>
      <c r="AO86" s="58">
        <v>98</v>
      </c>
      <c r="AP86" s="58">
        <v>139</v>
      </c>
      <c r="AQ86" s="58">
        <v>113</v>
      </c>
      <c r="AR86" s="58">
        <v>61</v>
      </c>
      <c r="AS86" s="58">
        <v>12</v>
      </c>
      <c r="AT86" s="58">
        <v>2</v>
      </c>
      <c r="AU86" s="58">
        <v>1</v>
      </c>
      <c r="AV86" s="58">
        <v>2</v>
      </c>
      <c r="AW86" s="58">
        <v>0</v>
      </c>
      <c r="AX86" s="58">
        <v>0</v>
      </c>
      <c r="AY86" s="58">
        <v>0</v>
      </c>
      <c r="AZ86" s="58">
        <v>0</v>
      </c>
      <c r="BA86" s="58">
        <v>0</v>
      </c>
      <c r="BB86" s="58">
        <v>0</v>
      </c>
      <c r="BC86" s="58">
        <v>0</v>
      </c>
      <c r="BD86" s="58">
        <v>0</v>
      </c>
      <c r="BE86" s="58">
        <v>0</v>
      </c>
      <c r="BF86" s="58">
        <v>0</v>
      </c>
      <c r="BG86" s="58">
        <v>0</v>
      </c>
      <c r="BH86" s="58">
        <f>SUM(D86:BG86)</f>
        <v>4516</v>
      </c>
    </row>
    <row r="87" spans="1:60">
      <c r="A87" s="56" t="s">
        <v>163</v>
      </c>
      <c r="B87" s="56" t="s">
        <v>161</v>
      </c>
      <c r="C87" s="56" t="s">
        <v>69</v>
      </c>
      <c r="D87" s="58">
        <v>0</v>
      </c>
      <c r="E87" s="58">
        <v>0</v>
      </c>
      <c r="F87" s="58">
        <v>0</v>
      </c>
      <c r="G87" s="58">
        <v>1</v>
      </c>
      <c r="H87" s="58">
        <v>1</v>
      </c>
      <c r="I87" s="58">
        <v>1</v>
      </c>
      <c r="J87" s="58">
        <v>60</v>
      </c>
      <c r="K87" s="58">
        <v>96</v>
      </c>
      <c r="L87" s="58">
        <v>89</v>
      </c>
      <c r="M87" s="58">
        <v>122</v>
      </c>
      <c r="N87" s="58">
        <v>129</v>
      </c>
      <c r="O87" s="58">
        <v>138</v>
      </c>
      <c r="P87" s="58">
        <v>148</v>
      </c>
      <c r="Q87" s="58">
        <v>171</v>
      </c>
      <c r="R87" s="58">
        <v>139</v>
      </c>
      <c r="S87" s="58">
        <v>138</v>
      </c>
      <c r="T87" s="58">
        <v>130</v>
      </c>
      <c r="U87" s="58">
        <v>134</v>
      </c>
      <c r="V87" s="58">
        <v>133</v>
      </c>
      <c r="W87" s="58">
        <v>110</v>
      </c>
      <c r="X87" s="58">
        <v>90</v>
      </c>
      <c r="Y87" s="58">
        <v>94</v>
      </c>
      <c r="Z87" s="58">
        <v>86</v>
      </c>
      <c r="AA87" s="58">
        <v>86</v>
      </c>
      <c r="AB87" s="58">
        <v>90</v>
      </c>
      <c r="AC87" s="58">
        <v>114</v>
      </c>
      <c r="AD87" s="58">
        <v>125</v>
      </c>
      <c r="AE87" s="58">
        <v>117</v>
      </c>
      <c r="AF87" s="58">
        <v>120</v>
      </c>
      <c r="AG87" s="58">
        <v>122</v>
      </c>
      <c r="AH87" s="58">
        <v>115</v>
      </c>
      <c r="AI87" s="58">
        <v>109</v>
      </c>
      <c r="AJ87" s="58">
        <v>90</v>
      </c>
      <c r="AK87" s="58">
        <v>124</v>
      </c>
      <c r="AL87" s="58">
        <v>104</v>
      </c>
      <c r="AM87" s="58">
        <v>108</v>
      </c>
      <c r="AN87" s="58">
        <v>98</v>
      </c>
      <c r="AO87" s="58">
        <v>106</v>
      </c>
      <c r="AP87" s="58">
        <v>97</v>
      </c>
      <c r="AQ87" s="58">
        <v>79</v>
      </c>
      <c r="AR87" s="58">
        <v>49</v>
      </c>
      <c r="AS87" s="58">
        <v>13</v>
      </c>
      <c r="AT87" s="58">
        <v>0</v>
      </c>
      <c r="AU87" s="58">
        <v>0</v>
      </c>
      <c r="AV87" s="58">
        <v>0</v>
      </c>
      <c r="AW87" s="58">
        <v>0</v>
      </c>
      <c r="AX87" s="58">
        <v>0</v>
      </c>
      <c r="AY87" s="58">
        <v>0</v>
      </c>
      <c r="AZ87" s="58">
        <v>0</v>
      </c>
      <c r="BA87" s="58">
        <v>0</v>
      </c>
      <c r="BB87" s="58">
        <v>0</v>
      </c>
      <c r="BC87" s="58">
        <v>0</v>
      </c>
      <c r="BD87" s="58">
        <v>0</v>
      </c>
      <c r="BE87" s="58">
        <v>0</v>
      </c>
      <c r="BF87" s="58">
        <v>0</v>
      </c>
      <c r="BG87" s="58">
        <v>0</v>
      </c>
      <c r="BH87" s="58">
        <f>SUM(D87:BG87)</f>
        <v>3876</v>
      </c>
    </row>
    <row r="88" spans="1:60">
      <c r="A88" s="56" t="s">
        <v>164</v>
      </c>
      <c r="B88" s="56" t="s">
        <v>161</v>
      </c>
      <c r="C88" s="56" t="s">
        <v>71</v>
      </c>
      <c r="D88" s="58">
        <v>0</v>
      </c>
      <c r="E88" s="58">
        <v>0</v>
      </c>
      <c r="F88" s="58">
        <v>0</v>
      </c>
      <c r="G88" s="58">
        <v>0</v>
      </c>
      <c r="H88" s="58">
        <v>1</v>
      </c>
      <c r="I88" s="58">
        <v>4</v>
      </c>
      <c r="J88" s="58">
        <v>56</v>
      </c>
      <c r="K88" s="58">
        <v>87</v>
      </c>
      <c r="L88" s="58">
        <v>91</v>
      </c>
      <c r="M88" s="58">
        <v>128</v>
      </c>
      <c r="N88" s="58">
        <v>117</v>
      </c>
      <c r="O88" s="58">
        <v>132</v>
      </c>
      <c r="P88" s="58">
        <v>127</v>
      </c>
      <c r="Q88" s="58">
        <v>150</v>
      </c>
      <c r="R88" s="58">
        <v>163</v>
      </c>
      <c r="S88" s="58">
        <v>152</v>
      </c>
      <c r="T88" s="58">
        <v>168</v>
      </c>
      <c r="U88" s="58">
        <v>156</v>
      </c>
      <c r="V88" s="58">
        <v>122</v>
      </c>
      <c r="W88" s="58">
        <v>114</v>
      </c>
      <c r="X88" s="58">
        <v>106</v>
      </c>
      <c r="Y88" s="58">
        <v>90</v>
      </c>
      <c r="Z88" s="58">
        <v>92</v>
      </c>
      <c r="AA88" s="58">
        <v>113</v>
      </c>
      <c r="AB88" s="58">
        <v>90</v>
      </c>
      <c r="AC88" s="58">
        <v>113</v>
      </c>
      <c r="AD88" s="58">
        <v>137</v>
      </c>
      <c r="AE88" s="58">
        <v>136</v>
      </c>
      <c r="AF88" s="58">
        <v>108</v>
      </c>
      <c r="AG88" s="58">
        <v>120</v>
      </c>
      <c r="AH88" s="58">
        <v>119</v>
      </c>
      <c r="AI88" s="58">
        <v>139</v>
      </c>
      <c r="AJ88" s="58">
        <v>106</v>
      </c>
      <c r="AK88" s="58">
        <v>96</v>
      </c>
      <c r="AL88" s="58">
        <v>120</v>
      </c>
      <c r="AM88" s="58">
        <v>87</v>
      </c>
      <c r="AN88" s="58">
        <v>115</v>
      </c>
      <c r="AO88" s="58">
        <v>103</v>
      </c>
      <c r="AP88" s="58">
        <v>114</v>
      </c>
      <c r="AQ88" s="58">
        <v>81</v>
      </c>
      <c r="AR88" s="58">
        <v>74</v>
      </c>
      <c r="AS88" s="58">
        <v>17</v>
      </c>
      <c r="AT88" s="58">
        <v>2</v>
      </c>
      <c r="AU88" s="58">
        <v>0</v>
      </c>
      <c r="AV88" s="58">
        <v>0</v>
      </c>
      <c r="AW88" s="58">
        <v>0</v>
      </c>
      <c r="AX88" s="58">
        <v>0</v>
      </c>
      <c r="AY88" s="58">
        <v>0</v>
      </c>
      <c r="AZ88" s="58">
        <v>0</v>
      </c>
      <c r="BA88" s="58">
        <v>0</v>
      </c>
      <c r="BB88" s="58">
        <v>0</v>
      </c>
      <c r="BC88" s="58">
        <v>0</v>
      </c>
      <c r="BD88" s="58">
        <v>0</v>
      </c>
      <c r="BE88" s="58">
        <v>0</v>
      </c>
      <c r="BF88" s="58">
        <v>0</v>
      </c>
      <c r="BG88" s="58">
        <v>0</v>
      </c>
      <c r="BH88" s="58">
        <f>SUM(D88:BG88)</f>
        <v>4046</v>
      </c>
    </row>
    <row r="89" spans="1:60">
      <c r="A89" s="56" t="s">
        <v>165</v>
      </c>
      <c r="B89" s="56" t="s">
        <v>161</v>
      </c>
      <c r="C89" s="56" t="s">
        <v>73</v>
      </c>
      <c r="D89" s="58">
        <v>0</v>
      </c>
      <c r="E89" s="58">
        <v>0</v>
      </c>
      <c r="F89" s="58">
        <v>0</v>
      </c>
      <c r="G89" s="58">
        <v>0</v>
      </c>
      <c r="H89" s="58">
        <v>5</v>
      </c>
      <c r="I89" s="58">
        <v>3</v>
      </c>
      <c r="J89" s="58">
        <v>74</v>
      </c>
      <c r="K89" s="58">
        <v>102</v>
      </c>
      <c r="L89" s="58">
        <v>120</v>
      </c>
      <c r="M89" s="58">
        <v>118</v>
      </c>
      <c r="N89" s="58">
        <v>162</v>
      </c>
      <c r="O89" s="58">
        <v>138</v>
      </c>
      <c r="P89" s="58">
        <v>139</v>
      </c>
      <c r="Q89" s="58">
        <v>145</v>
      </c>
      <c r="R89" s="58">
        <v>154</v>
      </c>
      <c r="S89" s="58">
        <v>146</v>
      </c>
      <c r="T89" s="58">
        <v>151</v>
      </c>
      <c r="U89" s="58">
        <v>120</v>
      </c>
      <c r="V89" s="58">
        <v>112</v>
      </c>
      <c r="W89" s="58">
        <v>115</v>
      </c>
      <c r="X89" s="58">
        <v>93</v>
      </c>
      <c r="Y89" s="58">
        <v>88</v>
      </c>
      <c r="Z89" s="58">
        <v>117</v>
      </c>
      <c r="AA89" s="58">
        <v>95</v>
      </c>
      <c r="AB89" s="58">
        <v>91</v>
      </c>
      <c r="AC89" s="58">
        <v>125</v>
      </c>
      <c r="AD89" s="58">
        <v>110</v>
      </c>
      <c r="AE89" s="58">
        <v>124</v>
      </c>
      <c r="AF89" s="58">
        <v>127</v>
      </c>
      <c r="AG89" s="58">
        <v>117</v>
      </c>
      <c r="AH89" s="58">
        <v>115</v>
      </c>
      <c r="AI89" s="58">
        <v>108</v>
      </c>
      <c r="AJ89" s="58">
        <v>98</v>
      </c>
      <c r="AK89" s="58">
        <v>102</v>
      </c>
      <c r="AL89" s="58">
        <v>112</v>
      </c>
      <c r="AM89" s="58">
        <v>114</v>
      </c>
      <c r="AN89" s="58">
        <v>92</v>
      </c>
      <c r="AO89" s="58">
        <v>91</v>
      </c>
      <c r="AP89" s="58">
        <v>99</v>
      </c>
      <c r="AQ89" s="58">
        <v>95</v>
      </c>
      <c r="AR89" s="58">
        <v>51</v>
      </c>
      <c r="AS89" s="58">
        <v>15</v>
      </c>
      <c r="AT89" s="58">
        <v>2</v>
      </c>
      <c r="AU89" s="58">
        <v>0</v>
      </c>
      <c r="AV89" s="58">
        <v>0</v>
      </c>
      <c r="AW89" s="58">
        <v>0</v>
      </c>
      <c r="AX89" s="58">
        <v>0</v>
      </c>
      <c r="AY89" s="58">
        <v>0</v>
      </c>
      <c r="AZ89" s="58">
        <v>0</v>
      </c>
      <c r="BA89" s="58">
        <v>0</v>
      </c>
      <c r="BB89" s="58">
        <v>0</v>
      </c>
      <c r="BC89" s="58">
        <v>0</v>
      </c>
      <c r="BD89" s="58">
        <v>0</v>
      </c>
      <c r="BE89" s="58">
        <v>0</v>
      </c>
      <c r="BF89" s="58">
        <v>0</v>
      </c>
      <c r="BG89" s="58">
        <v>0</v>
      </c>
      <c r="BH89" s="58">
        <f>SUM(D89:BG89)</f>
        <v>3985</v>
      </c>
    </row>
    <row r="90" spans="1:60">
      <c r="A90" s="56" t="s">
        <v>166</v>
      </c>
      <c r="B90" s="56" t="s">
        <v>161</v>
      </c>
      <c r="C90" s="56" t="s">
        <v>75</v>
      </c>
      <c r="D90" s="58">
        <v>0</v>
      </c>
      <c r="E90" s="58">
        <v>0</v>
      </c>
      <c r="F90" s="58">
        <v>0</v>
      </c>
      <c r="G90" s="58">
        <v>0</v>
      </c>
      <c r="H90" s="58">
        <v>1</v>
      </c>
      <c r="I90" s="58">
        <v>7</v>
      </c>
      <c r="J90" s="58">
        <v>61</v>
      </c>
      <c r="K90" s="58">
        <v>110</v>
      </c>
      <c r="L90" s="58">
        <v>106</v>
      </c>
      <c r="M90" s="58">
        <v>112</v>
      </c>
      <c r="N90" s="58">
        <v>133</v>
      </c>
      <c r="O90" s="58">
        <v>129</v>
      </c>
      <c r="P90" s="58">
        <v>137</v>
      </c>
      <c r="Q90" s="58">
        <v>142</v>
      </c>
      <c r="R90" s="58">
        <v>134</v>
      </c>
      <c r="S90" s="58">
        <v>109</v>
      </c>
      <c r="T90" s="58">
        <v>140</v>
      </c>
      <c r="U90" s="58">
        <v>132</v>
      </c>
      <c r="V90" s="58">
        <v>102</v>
      </c>
      <c r="W90" s="58">
        <v>117</v>
      </c>
      <c r="X90" s="58">
        <v>95</v>
      </c>
      <c r="Y90" s="58">
        <v>90</v>
      </c>
      <c r="Z90" s="58">
        <v>84</v>
      </c>
      <c r="AA90" s="58">
        <v>98</v>
      </c>
      <c r="AB90" s="58">
        <v>107</v>
      </c>
      <c r="AC90" s="58">
        <v>99</v>
      </c>
      <c r="AD90" s="58">
        <v>103</v>
      </c>
      <c r="AE90" s="58">
        <v>86</v>
      </c>
      <c r="AF90" s="58">
        <v>113</v>
      </c>
      <c r="AG90" s="58">
        <v>114</v>
      </c>
      <c r="AH90" s="58">
        <v>118</v>
      </c>
      <c r="AI90" s="58">
        <v>97</v>
      </c>
      <c r="AJ90" s="58">
        <v>104</v>
      </c>
      <c r="AK90" s="58">
        <v>81</v>
      </c>
      <c r="AL90" s="58">
        <v>96</v>
      </c>
      <c r="AM90" s="58">
        <v>102</v>
      </c>
      <c r="AN90" s="58">
        <v>86</v>
      </c>
      <c r="AO90" s="58">
        <v>88</v>
      </c>
      <c r="AP90" s="58">
        <v>97</v>
      </c>
      <c r="AQ90" s="58">
        <v>90</v>
      </c>
      <c r="AR90" s="58">
        <v>39</v>
      </c>
      <c r="AS90" s="58">
        <v>8</v>
      </c>
      <c r="AT90" s="58">
        <v>2</v>
      </c>
      <c r="AU90" s="58">
        <v>0</v>
      </c>
      <c r="AV90" s="58">
        <v>0</v>
      </c>
      <c r="AW90" s="58">
        <v>0</v>
      </c>
      <c r="AX90" s="58">
        <v>1</v>
      </c>
      <c r="AY90" s="58">
        <v>0</v>
      </c>
      <c r="AZ90" s="58">
        <v>0</v>
      </c>
      <c r="BA90" s="58">
        <v>0</v>
      </c>
      <c r="BB90" s="58">
        <v>0</v>
      </c>
      <c r="BC90" s="58">
        <v>0</v>
      </c>
      <c r="BD90" s="58">
        <v>0</v>
      </c>
      <c r="BE90" s="58">
        <v>0</v>
      </c>
      <c r="BF90" s="58">
        <v>0</v>
      </c>
      <c r="BG90" s="58">
        <v>0</v>
      </c>
      <c r="BH90" s="58">
        <f>SUM(D90:BG90)</f>
        <v>3670</v>
      </c>
    </row>
    <row r="91" spans="1:60">
      <c r="A91" s="56" t="s">
        <v>167</v>
      </c>
      <c r="B91" s="56" t="s">
        <v>161</v>
      </c>
      <c r="C91" s="56" t="s">
        <v>77</v>
      </c>
      <c r="D91" s="58">
        <v>0</v>
      </c>
      <c r="E91" s="58">
        <v>0</v>
      </c>
      <c r="F91" s="58">
        <v>0</v>
      </c>
      <c r="G91" s="58">
        <v>0</v>
      </c>
      <c r="H91" s="58">
        <v>0</v>
      </c>
      <c r="I91" s="58">
        <v>7</v>
      </c>
      <c r="J91" s="58">
        <v>49</v>
      </c>
      <c r="K91" s="58">
        <v>90</v>
      </c>
      <c r="L91" s="58">
        <v>82</v>
      </c>
      <c r="M91" s="58">
        <v>111</v>
      </c>
      <c r="N91" s="58">
        <v>127</v>
      </c>
      <c r="O91" s="58">
        <v>125</v>
      </c>
      <c r="P91" s="58">
        <v>143</v>
      </c>
      <c r="Q91" s="58">
        <v>151</v>
      </c>
      <c r="R91" s="58">
        <v>153</v>
      </c>
      <c r="S91" s="58">
        <v>133</v>
      </c>
      <c r="T91" s="58">
        <v>142</v>
      </c>
      <c r="U91" s="58">
        <v>142</v>
      </c>
      <c r="V91" s="58">
        <v>116</v>
      </c>
      <c r="W91" s="58">
        <v>127</v>
      </c>
      <c r="X91" s="58">
        <v>108</v>
      </c>
      <c r="Y91" s="58">
        <v>89</v>
      </c>
      <c r="Z91" s="58">
        <v>96</v>
      </c>
      <c r="AA91" s="58">
        <v>81</v>
      </c>
      <c r="AB91" s="58">
        <v>88</v>
      </c>
      <c r="AC91" s="58">
        <v>112</v>
      </c>
      <c r="AD91" s="58">
        <v>121</v>
      </c>
      <c r="AE91" s="58">
        <v>119</v>
      </c>
      <c r="AF91" s="58">
        <v>111</v>
      </c>
      <c r="AG91" s="58">
        <v>108</v>
      </c>
      <c r="AH91" s="58">
        <v>118</v>
      </c>
      <c r="AI91" s="58">
        <v>105</v>
      </c>
      <c r="AJ91" s="58">
        <v>108</v>
      </c>
      <c r="AK91" s="58">
        <v>87</v>
      </c>
      <c r="AL91" s="58">
        <v>96</v>
      </c>
      <c r="AM91" s="58">
        <v>96</v>
      </c>
      <c r="AN91" s="58">
        <v>97</v>
      </c>
      <c r="AO91" s="58">
        <v>104</v>
      </c>
      <c r="AP91" s="58">
        <v>107</v>
      </c>
      <c r="AQ91" s="58">
        <v>81</v>
      </c>
      <c r="AR91" s="58">
        <v>51</v>
      </c>
      <c r="AS91" s="58">
        <v>7</v>
      </c>
      <c r="AT91" s="58">
        <v>0</v>
      </c>
      <c r="AU91" s="58">
        <v>0</v>
      </c>
      <c r="AV91" s="58">
        <v>0</v>
      </c>
      <c r="AW91" s="58">
        <v>0</v>
      </c>
      <c r="AX91" s="58">
        <v>0</v>
      </c>
      <c r="AY91" s="58">
        <v>0</v>
      </c>
      <c r="AZ91" s="58">
        <v>0</v>
      </c>
      <c r="BA91" s="58">
        <v>0</v>
      </c>
      <c r="BB91" s="58">
        <v>0</v>
      </c>
      <c r="BC91" s="58">
        <v>0</v>
      </c>
      <c r="BD91" s="58">
        <v>0</v>
      </c>
      <c r="BE91" s="58">
        <v>0</v>
      </c>
      <c r="BF91" s="58">
        <v>0</v>
      </c>
      <c r="BG91" s="58">
        <v>0</v>
      </c>
      <c r="BH91" s="58">
        <f>SUM(D91:BG91)</f>
        <v>3788</v>
      </c>
    </row>
    <row r="92" spans="1:60">
      <c r="A92" s="56" t="s">
        <v>168</v>
      </c>
      <c r="B92" s="56" t="s">
        <v>161</v>
      </c>
      <c r="C92" s="56" t="s">
        <v>79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  <c r="I92" s="58">
        <v>3</v>
      </c>
      <c r="J92" s="58">
        <v>67</v>
      </c>
      <c r="K92" s="58">
        <v>82</v>
      </c>
      <c r="L92" s="58">
        <v>96</v>
      </c>
      <c r="M92" s="58">
        <v>121</v>
      </c>
      <c r="N92" s="58">
        <v>130</v>
      </c>
      <c r="O92" s="58">
        <v>119</v>
      </c>
      <c r="P92" s="58">
        <v>139</v>
      </c>
      <c r="Q92" s="58">
        <v>147</v>
      </c>
      <c r="R92" s="58">
        <v>140</v>
      </c>
      <c r="S92" s="58">
        <v>154</v>
      </c>
      <c r="T92" s="58">
        <v>143</v>
      </c>
      <c r="U92" s="58">
        <v>136</v>
      </c>
      <c r="V92" s="58">
        <v>142</v>
      </c>
      <c r="W92" s="58">
        <v>128</v>
      </c>
      <c r="X92" s="58">
        <v>112</v>
      </c>
      <c r="Y92" s="58">
        <v>105</v>
      </c>
      <c r="Z92" s="58">
        <v>96</v>
      </c>
      <c r="AA92" s="58">
        <v>108</v>
      </c>
      <c r="AB92" s="58">
        <v>114</v>
      </c>
      <c r="AC92" s="58">
        <v>122</v>
      </c>
      <c r="AD92" s="58">
        <v>114</v>
      </c>
      <c r="AE92" s="58">
        <v>119</v>
      </c>
      <c r="AF92" s="58">
        <v>135</v>
      </c>
      <c r="AG92" s="58">
        <v>130</v>
      </c>
      <c r="AH92" s="58">
        <v>120</v>
      </c>
      <c r="AI92" s="58">
        <v>117</v>
      </c>
      <c r="AJ92" s="58">
        <v>104</v>
      </c>
      <c r="AK92" s="58">
        <v>125</v>
      </c>
      <c r="AL92" s="58">
        <v>101</v>
      </c>
      <c r="AM92" s="58">
        <v>106</v>
      </c>
      <c r="AN92" s="58">
        <v>138</v>
      </c>
      <c r="AO92" s="58">
        <v>117</v>
      </c>
      <c r="AP92" s="58">
        <v>108</v>
      </c>
      <c r="AQ92" s="58">
        <v>106</v>
      </c>
      <c r="AR92" s="58">
        <v>41</v>
      </c>
      <c r="AS92" s="58">
        <v>17</v>
      </c>
      <c r="AT92" s="58">
        <v>1</v>
      </c>
      <c r="AU92" s="58">
        <v>2</v>
      </c>
      <c r="AV92" s="58">
        <v>0</v>
      </c>
      <c r="AW92" s="58">
        <v>0</v>
      </c>
      <c r="AX92" s="58">
        <v>0</v>
      </c>
      <c r="AY92" s="58">
        <v>2</v>
      </c>
      <c r="AZ92" s="58">
        <v>0</v>
      </c>
      <c r="BA92" s="58">
        <v>3</v>
      </c>
      <c r="BB92" s="58">
        <v>2</v>
      </c>
      <c r="BC92" s="58">
        <v>0</v>
      </c>
      <c r="BD92" s="58">
        <v>0</v>
      </c>
      <c r="BE92" s="58">
        <v>0</v>
      </c>
      <c r="BF92" s="58">
        <v>0</v>
      </c>
      <c r="BG92" s="58">
        <v>0</v>
      </c>
      <c r="BH92" s="58">
        <f>SUM(D92:BG92)</f>
        <v>4112</v>
      </c>
    </row>
    <row r="93" spans="1:60">
      <c r="A93" s="56" t="s">
        <v>169</v>
      </c>
      <c r="B93" s="56" t="s">
        <v>161</v>
      </c>
      <c r="C93" s="56" t="s">
        <v>81</v>
      </c>
      <c r="D93" s="58">
        <v>0</v>
      </c>
      <c r="E93" s="58">
        <v>0</v>
      </c>
      <c r="F93" s="58">
        <v>0</v>
      </c>
      <c r="G93" s="58">
        <v>0</v>
      </c>
      <c r="H93" s="58">
        <v>0</v>
      </c>
      <c r="I93" s="58">
        <v>6</v>
      </c>
      <c r="J93" s="58">
        <v>41</v>
      </c>
      <c r="K93" s="58">
        <v>74</v>
      </c>
      <c r="L93" s="58">
        <v>88</v>
      </c>
      <c r="M93" s="58">
        <v>110</v>
      </c>
      <c r="N93" s="58">
        <v>110</v>
      </c>
      <c r="O93" s="58">
        <v>124</v>
      </c>
      <c r="P93" s="58">
        <v>112</v>
      </c>
      <c r="Q93" s="58">
        <v>142</v>
      </c>
      <c r="R93" s="58">
        <v>116</v>
      </c>
      <c r="S93" s="58">
        <v>149</v>
      </c>
      <c r="T93" s="58">
        <v>123</v>
      </c>
      <c r="U93" s="58">
        <v>127</v>
      </c>
      <c r="V93" s="58">
        <v>144</v>
      </c>
      <c r="W93" s="58">
        <v>112</v>
      </c>
      <c r="X93" s="58">
        <v>91</v>
      </c>
      <c r="Y93" s="58">
        <v>88</v>
      </c>
      <c r="Z93" s="58">
        <v>104</v>
      </c>
      <c r="AA93" s="58">
        <v>97</v>
      </c>
      <c r="AB93" s="58">
        <v>115</v>
      </c>
      <c r="AC93" s="58">
        <v>104</v>
      </c>
      <c r="AD93" s="58">
        <v>101</v>
      </c>
      <c r="AE93" s="58">
        <v>113</v>
      </c>
      <c r="AF93" s="58">
        <v>126</v>
      </c>
      <c r="AG93" s="58">
        <v>123</v>
      </c>
      <c r="AH93" s="58">
        <v>123</v>
      </c>
      <c r="AI93" s="58">
        <v>112</v>
      </c>
      <c r="AJ93" s="58">
        <v>106</v>
      </c>
      <c r="AK93" s="58">
        <v>108</v>
      </c>
      <c r="AL93" s="58">
        <v>109</v>
      </c>
      <c r="AM93" s="58">
        <v>92</v>
      </c>
      <c r="AN93" s="58">
        <v>101</v>
      </c>
      <c r="AO93" s="58">
        <v>100</v>
      </c>
      <c r="AP93" s="58">
        <v>100</v>
      </c>
      <c r="AQ93" s="58">
        <v>94</v>
      </c>
      <c r="AR93" s="58">
        <v>66</v>
      </c>
      <c r="AS93" s="58">
        <v>17</v>
      </c>
      <c r="AT93" s="58">
        <v>0</v>
      </c>
      <c r="AU93" s="58">
        <v>0</v>
      </c>
      <c r="AV93" s="58">
        <v>0</v>
      </c>
      <c r="AW93" s="58">
        <v>0</v>
      </c>
      <c r="AX93" s="58">
        <v>0</v>
      </c>
      <c r="AY93" s="58">
        <v>0</v>
      </c>
      <c r="AZ93" s="58">
        <v>0</v>
      </c>
      <c r="BA93" s="58">
        <v>0</v>
      </c>
      <c r="BB93" s="58">
        <v>0</v>
      </c>
      <c r="BC93" s="58">
        <v>0</v>
      </c>
      <c r="BD93" s="58">
        <v>0</v>
      </c>
      <c r="BE93" s="58">
        <v>0</v>
      </c>
      <c r="BF93" s="58">
        <v>0</v>
      </c>
      <c r="BG93" s="58">
        <v>0</v>
      </c>
      <c r="BH93" s="58">
        <f>SUM(D93:BG93)</f>
        <v>3768</v>
      </c>
    </row>
    <row r="94" spans="1:60">
      <c r="A94" s="56" t="s">
        <v>170</v>
      </c>
      <c r="B94" s="56" t="s">
        <v>161</v>
      </c>
      <c r="C94" s="56" t="s">
        <v>83</v>
      </c>
      <c r="D94" s="58">
        <v>0</v>
      </c>
      <c r="E94" s="58">
        <v>0</v>
      </c>
      <c r="F94" s="58">
        <v>0</v>
      </c>
      <c r="G94" s="58">
        <v>0</v>
      </c>
      <c r="H94" s="58">
        <v>0</v>
      </c>
      <c r="I94" s="58">
        <v>2</v>
      </c>
      <c r="J94" s="58">
        <v>34</v>
      </c>
      <c r="K94" s="58">
        <v>60</v>
      </c>
      <c r="L94" s="58">
        <v>68</v>
      </c>
      <c r="M94" s="58">
        <v>88</v>
      </c>
      <c r="N94" s="58">
        <v>96</v>
      </c>
      <c r="O94" s="58">
        <v>126</v>
      </c>
      <c r="P94" s="58">
        <v>123</v>
      </c>
      <c r="Q94" s="58">
        <v>126</v>
      </c>
      <c r="R94" s="58">
        <v>123</v>
      </c>
      <c r="S94" s="58">
        <v>132</v>
      </c>
      <c r="T94" s="58">
        <v>138</v>
      </c>
      <c r="U94" s="58">
        <v>133</v>
      </c>
      <c r="V94" s="58">
        <v>117</v>
      </c>
      <c r="W94" s="58">
        <v>120</v>
      </c>
      <c r="X94" s="58">
        <v>101</v>
      </c>
      <c r="Y94" s="58">
        <v>80</v>
      </c>
      <c r="Z94" s="58">
        <v>95</v>
      </c>
      <c r="AA94" s="58">
        <v>110</v>
      </c>
      <c r="AB94" s="58">
        <v>87</v>
      </c>
      <c r="AC94" s="58">
        <v>105</v>
      </c>
      <c r="AD94" s="58">
        <v>113</v>
      </c>
      <c r="AE94" s="58">
        <v>126</v>
      </c>
      <c r="AF94" s="58">
        <v>117</v>
      </c>
      <c r="AG94" s="58">
        <v>130</v>
      </c>
      <c r="AH94" s="58">
        <v>116</v>
      </c>
      <c r="AI94" s="58">
        <v>119</v>
      </c>
      <c r="AJ94" s="58">
        <v>108</v>
      </c>
      <c r="AK94" s="58">
        <v>116</v>
      </c>
      <c r="AL94" s="58">
        <v>114</v>
      </c>
      <c r="AM94" s="58">
        <v>111</v>
      </c>
      <c r="AN94" s="58">
        <v>115</v>
      </c>
      <c r="AO94" s="58">
        <v>102</v>
      </c>
      <c r="AP94" s="58">
        <v>105</v>
      </c>
      <c r="AQ94" s="58">
        <v>90</v>
      </c>
      <c r="AR94" s="58">
        <v>45</v>
      </c>
      <c r="AS94" s="58">
        <v>18</v>
      </c>
      <c r="AT94" s="58">
        <v>0</v>
      </c>
      <c r="AU94" s="58">
        <v>2</v>
      </c>
      <c r="AV94" s="58">
        <v>1</v>
      </c>
      <c r="AW94" s="58">
        <v>3</v>
      </c>
      <c r="AX94" s="58">
        <v>1</v>
      </c>
      <c r="AY94" s="58">
        <v>0</v>
      </c>
      <c r="AZ94" s="58">
        <v>1</v>
      </c>
      <c r="BA94" s="58">
        <v>1</v>
      </c>
      <c r="BB94" s="58">
        <v>0</v>
      </c>
      <c r="BC94" s="58">
        <v>1</v>
      </c>
      <c r="BD94" s="58">
        <v>0</v>
      </c>
      <c r="BE94" s="58">
        <v>0</v>
      </c>
      <c r="BF94" s="58">
        <v>0</v>
      </c>
      <c r="BG94" s="58">
        <v>0</v>
      </c>
      <c r="BH94" s="58">
        <f>SUM(D94:BG94)</f>
        <v>3719</v>
      </c>
    </row>
    <row r="95" spans="1:60">
      <c r="A95" s="56" t="s">
        <v>171</v>
      </c>
      <c r="B95" s="56" t="s">
        <v>161</v>
      </c>
      <c r="C95" s="56" t="s">
        <v>85</v>
      </c>
      <c r="D95" s="58">
        <v>0</v>
      </c>
      <c r="E95" s="58">
        <v>0</v>
      </c>
      <c r="F95" s="58">
        <v>0</v>
      </c>
      <c r="G95" s="58">
        <v>0</v>
      </c>
      <c r="H95" s="58">
        <v>0</v>
      </c>
      <c r="I95" s="58">
        <v>7</v>
      </c>
      <c r="J95" s="58">
        <v>19</v>
      </c>
      <c r="K95" s="58">
        <v>16</v>
      </c>
      <c r="L95" s="58">
        <v>33</v>
      </c>
      <c r="M95" s="58">
        <v>46</v>
      </c>
      <c r="N95" s="58">
        <v>63</v>
      </c>
      <c r="O95" s="58">
        <v>61</v>
      </c>
      <c r="P95" s="58">
        <v>62</v>
      </c>
      <c r="Q95" s="58">
        <v>47</v>
      </c>
      <c r="R95" s="58">
        <v>53</v>
      </c>
      <c r="S95" s="58">
        <v>87</v>
      </c>
      <c r="T95" s="58">
        <v>62</v>
      </c>
      <c r="U95" s="58">
        <v>54</v>
      </c>
      <c r="V95" s="58">
        <v>48</v>
      </c>
      <c r="W95" s="58">
        <v>44</v>
      </c>
      <c r="X95" s="58">
        <v>41</v>
      </c>
      <c r="Y95" s="58">
        <v>35</v>
      </c>
      <c r="Z95" s="58">
        <v>36</v>
      </c>
      <c r="AA95" s="58">
        <v>32</v>
      </c>
      <c r="AB95" s="58">
        <v>35</v>
      </c>
      <c r="AC95" s="58">
        <v>44</v>
      </c>
      <c r="AD95" s="58">
        <v>45</v>
      </c>
      <c r="AE95" s="58">
        <v>40</v>
      </c>
      <c r="AF95" s="58">
        <v>60</v>
      </c>
      <c r="AG95" s="58">
        <v>51</v>
      </c>
      <c r="AH95" s="58">
        <v>44</v>
      </c>
      <c r="AI95" s="58">
        <v>63</v>
      </c>
      <c r="AJ95" s="58">
        <v>47</v>
      </c>
      <c r="AK95" s="58">
        <v>32</v>
      </c>
      <c r="AL95" s="58">
        <v>52</v>
      </c>
      <c r="AM95" s="58">
        <v>39</v>
      </c>
      <c r="AN95" s="58">
        <v>47</v>
      </c>
      <c r="AO95" s="58">
        <v>46</v>
      </c>
      <c r="AP95" s="58">
        <v>44</v>
      </c>
      <c r="AQ95" s="58">
        <v>39</v>
      </c>
      <c r="AR95" s="58">
        <v>28</v>
      </c>
      <c r="AS95" s="58">
        <v>9</v>
      </c>
      <c r="AT95" s="58">
        <v>2</v>
      </c>
      <c r="AU95" s="58">
        <v>0</v>
      </c>
      <c r="AV95" s="58">
        <v>0</v>
      </c>
      <c r="AW95" s="58">
        <v>0</v>
      </c>
      <c r="AX95" s="58">
        <v>0</v>
      </c>
      <c r="AY95" s="58">
        <v>0</v>
      </c>
      <c r="AZ95" s="58">
        <v>0</v>
      </c>
      <c r="BA95" s="58">
        <v>0</v>
      </c>
      <c r="BB95" s="58">
        <v>0</v>
      </c>
      <c r="BC95" s="58">
        <v>0</v>
      </c>
      <c r="BD95" s="58">
        <v>0</v>
      </c>
      <c r="BE95" s="58">
        <v>0</v>
      </c>
      <c r="BF95" s="58">
        <v>0</v>
      </c>
      <c r="BG95" s="58">
        <v>0</v>
      </c>
      <c r="BH95" s="58">
        <f>SUM(D95:BG95)</f>
        <v>1613</v>
      </c>
    </row>
    <row r="96" spans="1:60">
      <c r="A96" s="56" t="s">
        <v>172</v>
      </c>
      <c r="B96" s="56" t="s">
        <v>161</v>
      </c>
      <c r="C96" s="56" t="s">
        <v>87</v>
      </c>
      <c r="D96" s="58">
        <v>0</v>
      </c>
      <c r="E96" s="58">
        <v>0</v>
      </c>
      <c r="F96" s="58">
        <v>0</v>
      </c>
      <c r="G96" s="58">
        <v>0</v>
      </c>
      <c r="H96" s="58">
        <v>1</v>
      </c>
      <c r="I96" s="58">
        <v>27</v>
      </c>
      <c r="J96" s="58">
        <v>114</v>
      </c>
      <c r="K96" s="58">
        <v>82</v>
      </c>
      <c r="L96" s="58">
        <v>120</v>
      </c>
      <c r="M96" s="58">
        <v>159</v>
      </c>
      <c r="N96" s="58">
        <v>162</v>
      </c>
      <c r="O96" s="58">
        <v>164</v>
      </c>
      <c r="P96" s="58">
        <v>168</v>
      </c>
      <c r="Q96" s="58">
        <v>193</v>
      </c>
      <c r="R96" s="58">
        <v>206</v>
      </c>
      <c r="S96" s="58">
        <v>212</v>
      </c>
      <c r="T96" s="58">
        <v>233</v>
      </c>
      <c r="U96" s="58">
        <v>172</v>
      </c>
      <c r="V96" s="58">
        <v>188</v>
      </c>
      <c r="W96" s="58">
        <v>149</v>
      </c>
      <c r="X96" s="58">
        <v>155</v>
      </c>
      <c r="Y96" s="58">
        <v>138</v>
      </c>
      <c r="Z96" s="58">
        <v>116</v>
      </c>
      <c r="AA96" s="58">
        <v>125</v>
      </c>
      <c r="AB96" s="58">
        <v>163</v>
      </c>
      <c r="AC96" s="58">
        <v>170</v>
      </c>
      <c r="AD96" s="58">
        <v>159</v>
      </c>
      <c r="AE96" s="58">
        <v>155</v>
      </c>
      <c r="AF96" s="58">
        <v>176</v>
      </c>
      <c r="AG96" s="58">
        <v>162</v>
      </c>
      <c r="AH96" s="58">
        <v>177</v>
      </c>
      <c r="AI96" s="58">
        <v>167</v>
      </c>
      <c r="AJ96" s="58">
        <v>168</v>
      </c>
      <c r="AK96" s="58">
        <v>173</v>
      </c>
      <c r="AL96" s="58">
        <v>131</v>
      </c>
      <c r="AM96" s="58">
        <v>149</v>
      </c>
      <c r="AN96" s="58">
        <v>129</v>
      </c>
      <c r="AO96" s="58">
        <v>138</v>
      </c>
      <c r="AP96" s="58">
        <v>129</v>
      </c>
      <c r="AQ96" s="58">
        <v>94</v>
      </c>
      <c r="AR96" s="58">
        <v>43</v>
      </c>
      <c r="AS96" s="58">
        <v>0</v>
      </c>
      <c r="AT96" s="58">
        <v>1</v>
      </c>
      <c r="AU96" s="58">
        <v>2</v>
      </c>
      <c r="AV96" s="58">
        <v>1</v>
      </c>
      <c r="AW96" s="58">
        <v>2</v>
      </c>
      <c r="AX96" s="58">
        <v>3</v>
      </c>
      <c r="AY96" s="58">
        <v>3</v>
      </c>
      <c r="AZ96" s="58">
        <v>1</v>
      </c>
      <c r="BA96" s="58">
        <v>0</v>
      </c>
      <c r="BB96" s="58">
        <v>1</v>
      </c>
      <c r="BC96" s="58">
        <v>0</v>
      </c>
      <c r="BD96" s="58">
        <v>0</v>
      </c>
      <c r="BE96" s="58">
        <v>0</v>
      </c>
      <c r="BF96" s="58">
        <v>0</v>
      </c>
      <c r="BG96" s="58">
        <v>0</v>
      </c>
      <c r="BH96" s="58">
        <f>SUM(D96:BG96)</f>
        <v>5381</v>
      </c>
    </row>
    <row r="97" spans="1:60">
      <c r="A97" s="56" t="s">
        <v>173</v>
      </c>
      <c r="B97" s="56" t="s">
        <v>161</v>
      </c>
      <c r="C97" s="56" t="s">
        <v>89</v>
      </c>
      <c r="D97" s="58">
        <v>0</v>
      </c>
      <c r="E97" s="58">
        <v>0</v>
      </c>
      <c r="F97" s="58">
        <v>0</v>
      </c>
      <c r="G97" s="58">
        <v>0</v>
      </c>
      <c r="H97" s="58">
        <v>3</v>
      </c>
      <c r="I97" s="58">
        <v>56</v>
      </c>
      <c r="J97" s="58">
        <v>136</v>
      </c>
      <c r="K97" s="58">
        <v>123</v>
      </c>
      <c r="L97" s="58">
        <v>152</v>
      </c>
      <c r="M97" s="58">
        <v>171</v>
      </c>
      <c r="N97" s="58">
        <v>173</v>
      </c>
      <c r="O97" s="58">
        <v>186</v>
      </c>
      <c r="P97" s="58">
        <v>197</v>
      </c>
      <c r="Q97" s="58">
        <v>221</v>
      </c>
      <c r="R97" s="58">
        <v>228</v>
      </c>
      <c r="S97" s="58">
        <v>220</v>
      </c>
      <c r="T97" s="58">
        <v>212</v>
      </c>
      <c r="U97" s="58">
        <v>218</v>
      </c>
      <c r="V97" s="58">
        <v>187</v>
      </c>
      <c r="W97" s="58">
        <v>182</v>
      </c>
      <c r="X97" s="58">
        <v>132</v>
      </c>
      <c r="Y97" s="58">
        <v>172</v>
      </c>
      <c r="Z97" s="58">
        <v>154</v>
      </c>
      <c r="AA97" s="58">
        <v>145</v>
      </c>
      <c r="AB97" s="58">
        <v>181</v>
      </c>
      <c r="AC97" s="58">
        <v>162</v>
      </c>
      <c r="AD97" s="58">
        <v>199</v>
      </c>
      <c r="AE97" s="58">
        <v>159</v>
      </c>
      <c r="AF97" s="58">
        <v>206</v>
      </c>
      <c r="AG97" s="58">
        <v>199</v>
      </c>
      <c r="AH97" s="58">
        <v>220</v>
      </c>
      <c r="AI97" s="58">
        <v>183</v>
      </c>
      <c r="AJ97" s="58">
        <v>186</v>
      </c>
      <c r="AK97" s="58">
        <v>157</v>
      </c>
      <c r="AL97" s="58">
        <v>173</v>
      </c>
      <c r="AM97" s="58">
        <v>181</v>
      </c>
      <c r="AN97" s="58">
        <v>159</v>
      </c>
      <c r="AO97" s="58">
        <v>143</v>
      </c>
      <c r="AP97" s="58">
        <v>164</v>
      </c>
      <c r="AQ97" s="58">
        <v>105</v>
      </c>
      <c r="AR97" s="58">
        <v>41</v>
      </c>
      <c r="AS97" s="58">
        <v>2</v>
      </c>
      <c r="AT97" s="58">
        <v>2</v>
      </c>
      <c r="AU97" s="58">
        <v>1</v>
      </c>
      <c r="AV97" s="58">
        <v>2</v>
      </c>
      <c r="AW97" s="58">
        <v>1</v>
      </c>
      <c r="AX97" s="58">
        <v>0</v>
      </c>
      <c r="AY97" s="58">
        <v>0</v>
      </c>
      <c r="AZ97" s="58">
        <v>0</v>
      </c>
      <c r="BA97" s="58">
        <v>0</v>
      </c>
      <c r="BB97" s="58">
        <v>0</v>
      </c>
      <c r="BC97" s="58">
        <v>0</v>
      </c>
      <c r="BD97" s="58">
        <v>0</v>
      </c>
      <c r="BE97" s="58">
        <v>0</v>
      </c>
      <c r="BF97" s="58">
        <v>0</v>
      </c>
      <c r="BG97" s="58">
        <v>0</v>
      </c>
      <c r="BH97" s="58">
        <f>SUM(D97:BG97)</f>
        <v>6094</v>
      </c>
    </row>
    <row r="98" spans="1:60">
      <c r="A98" s="56" t="s">
        <v>174</v>
      </c>
      <c r="B98" s="56" t="s">
        <v>175</v>
      </c>
      <c r="C98" s="56" t="s">
        <v>65</v>
      </c>
      <c r="D98" s="58">
        <v>0</v>
      </c>
      <c r="E98" s="58">
        <v>0</v>
      </c>
      <c r="F98" s="58">
        <v>0</v>
      </c>
      <c r="G98" s="58">
        <v>0</v>
      </c>
      <c r="H98" s="58">
        <v>3</v>
      </c>
      <c r="I98" s="58">
        <v>190</v>
      </c>
      <c r="J98" s="58">
        <v>676</v>
      </c>
      <c r="K98" s="58">
        <v>746</v>
      </c>
      <c r="L98" s="58">
        <v>934</v>
      </c>
      <c r="M98" s="58">
        <v>1130</v>
      </c>
      <c r="N98" s="58">
        <v>1245</v>
      </c>
      <c r="O98" s="58">
        <v>1220</v>
      </c>
      <c r="P98" s="58">
        <v>1318</v>
      </c>
      <c r="Q98" s="58">
        <v>1365</v>
      </c>
      <c r="R98" s="58">
        <v>1440</v>
      </c>
      <c r="S98" s="58">
        <v>1413</v>
      </c>
      <c r="T98" s="58">
        <v>1356</v>
      </c>
      <c r="U98" s="58">
        <v>1295</v>
      </c>
      <c r="V98" s="58">
        <v>1313</v>
      </c>
      <c r="W98" s="58">
        <v>1051</v>
      </c>
      <c r="X98" s="58">
        <v>996</v>
      </c>
      <c r="Y98" s="58">
        <v>968</v>
      </c>
      <c r="Z98" s="58">
        <v>895</v>
      </c>
      <c r="AA98" s="58">
        <v>888</v>
      </c>
      <c r="AB98" s="58">
        <v>1037</v>
      </c>
      <c r="AC98" s="58">
        <v>1240</v>
      </c>
      <c r="AD98" s="58">
        <v>1166</v>
      </c>
      <c r="AE98" s="58">
        <v>1165</v>
      </c>
      <c r="AF98" s="58">
        <v>1237</v>
      </c>
      <c r="AG98" s="58">
        <v>1166</v>
      </c>
      <c r="AH98" s="58">
        <v>1177</v>
      </c>
      <c r="AI98" s="58">
        <v>1048</v>
      </c>
      <c r="AJ98" s="58">
        <v>1064</v>
      </c>
      <c r="AK98" s="58">
        <v>1002</v>
      </c>
      <c r="AL98" s="58">
        <v>1023</v>
      </c>
      <c r="AM98" s="58">
        <v>948</v>
      </c>
      <c r="AN98" s="58">
        <v>972</v>
      </c>
      <c r="AO98" s="58">
        <v>953</v>
      </c>
      <c r="AP98" s="58">
        <v>869</v>
      </c>
      <c r="AQ98" s="58">
        <v>595</v>
      </c>
      <c r="AR98" s="58">
        <v>406</v>
      </c>
      <c r="AS98" s="58">
        <v>22</v>
      </c>
      <c r="AT98" s="58">
        <v>3</v>
      </c>
      <c r="AU98" s="58">
        <v>12</v>
      </c>
      <c r="AV98" s="58">
        <v>7</v>
      </c>
      <c r="AW98" s="58">
        <v>4</v>
      </c>
      <c r="AX98" s="58">
        <v>4</v>
      </c>
      <c r="AY98" s="58">
        <v>2</v>
      </c>
      <c r="AZ98" s="58">
        <v>0</v>
      </c>
      <c r="BA98" s="58">
        <v>2</v>
      </c>
      <c r="BB98" s="58">
        <v>0</v>
      </c>
      <c r="BC98" s="58">
        <v>1</v>
      </c>
      <c r="BD98" s="58">
        <v>0</v>
      </c>
      <c r="BE98" s="58">
        <v>0</v>
      </c>
      <c r="BF98" s="58">
        <v>0</v>
      </c>
      <c r="BG98" s="58">
        <v>0</v>
      </c>
      <c r="BH98" s="58">
        <f>SUM(D98:BG98)</f>
        <v>37567</v>
      </c>
    </row>
    <row r="99" spans="1:60">
      <c r="A99" s="56" t="s">
        <v>176</v>
      </c>
      <c r="B99" s="56" t="s">
        <v>175</v>
      </c>
      <c r="C99" s="56" t="s">
        <v>67</v>
      </c>
      <c r="D99" s="58">
        <v>0</v>
      </c>
      <c r="E99" s="58">
        <v>0</v>
      </c>
      <c r="F99" s="58">
        <v>0</v>
      </c>
      <c r="G99" s="58">
        <v>0</v>
      </c>
      <c r="H99" s="58">
        <v>1</v>
      </c>
      <c r="I99" s="58">
        <v>17</v>
      </c>
      <c r="J99" s="58">
        <v>61</v>
      </c>
      <c r="K99" s="58">
        <v>68</v>
      </c>
      <c r="L99" s="58">
        <v>84</v>
      </c>
      <c r="M99" s="58">
        <v>107</v>
      </c>
      <c r="N99" s="58">
        <v>131</v>
      </c>
      <c r="O99" s="58">
        <v>113</v>
      </c>
      <c r="P99" s="58">
        <v>110</v>
      </c>
      <c r="Q99" s="58">
        <v>145</v>
      </c>
      <c r="R99" s="58">
        <v>146</v>
      </c>
      <c r="S99" s="58">
        <v>124</v>
      </c>
      <c r="T99" s="58">
        <v>131</v>
      </c>
      <c r="U99" s="58">
        <v>114</v>
      </c>
      <c r="V99" s="58">
        <v>109</v>
      </c>
      <c r="W99" s="58">
        <v>99</v>
      </c>
      <c r="X99" s="58">
        <v>102</v>
      </c>
      <c r="Y99" s="58">
        <v>86</v>
      </c>
      <c r="Z99" s="58">
        <v>89</v>
      </c>
      <c r="AA99" s="58">
        <v>82</v>
      </c>
      <c r="AB99" s="58">
        <v>83</v>
      </c>
      <c r="AC99" s="58">
        <v>107</v>
      </c>
      <c r="AD99" s="58">
        <v>114</v>
      </c>
      <c r="AE99" s="58">
        <v>107</v>
      </c>
      <c r="AF99" s="58">
        <v>115</v>
      </c>
      <c r="AG99" s="58">
        <v>102</v>
      </c>
      <c r="AH99" s="58">
        <v>112</v>
      </c>
      <c r="AI99" s="58">
        <v>86</v>
      </c>
      <c r="AJ99" s="58">
        <v>91</v>
      </c>
      <c r="AK99" s="58">
        <v>93</v>
      </c>
      <c r="AL99" s="58">
        <v>100</v>
      </c>
      <c r="AM99" s="58">
        <v>77</v>
      </c>
      <c r="AN99" s="58">
        <v>77</v>
      </c>
      <c r="AO99" s="58">
        <v>85</v>
      </c>
      <c r="AP99" s="58">
        <v>80</v>
      </c>
      <c r="AQ99" s="58">
        <v>50</v>
      </c>
      <c r="AR99" s="58">
        <v>35</v>
      </c>
      <c r="AS99" s="58">
        <v>3</v>
      </c>
      <c r="AT99" s="58">
        <v>0</v>
      </c>
      <c r="AU99" s="58">
        <v>0</v>
      </c>
      <c r="AV99" s="58">
        <v>0</v>
      </c>
      <c r="AW99" s="58">
        <v>0</v>
      </c>
      <c r="AX99" s="58">
        <v>0</v>
      </c>
      <c r="AY99" s="58">
        <v>0</v>
      </c>
      <c r="AZ99" s="58">
        <v>0</v>
      </c>
      <c r="BA99" s="58">
        <v>0</v>
      </c>
      <c r="BB99" s="58">
        <v>0</v>
      </c>
      <c r="BC99" s="58">
        <v>0</v>
      </c>
      <c r="BD99" s="58">
        <v>0</v>
      </c>
      <c r="BE99" s="58">
        <v>0</v>
      </c>
      <c r="BF99" s="58">
        <v>0</v>
      </c>
      <c r="BG99" s="58">
        <v>0</v>
      </c>
      <c r="BH99" s="58">
        <f>SUM(D99:BG99)</f>
        <v>3436</v>
      </c>
    </row>
    <row r="100" spans="1:60">
      <c r="A100" s="56" t="s">
        <v>177</v>
      </c>
      <c r="B100" s="56" t="s">
        <v>175</v>
      </c>
      <c r="C100" s="56" t="s">
        <v>69</v>
      </c>
      <c r="D100" s="58">
        <v>0</v>
      </c>
      <c r="E100" s="58">
        <v>0</v>
      </c>
      <c r="F100" s="58">
        <v>0</v>
      </c>
      <c r="G100" s="58">
        <v>0</v>
      </c>
      <c r="H100" s="58">
        <v>0</v>
      </c>
      <c r="I100" s="58">
        <v>16</v>
      </c>
      <c r="J100" s="58">
        <v>65</v>
      </c>
      <c r="K100" s="58">
        <v>66</v>
      </c>
      <c r="L100" s="58">
        <v>80</v>
      </c>
      <c r="M100" s="58">
        <v>114</v>
      </c>
      <c r="N100" s="58">
        <v>99</v>
      </c>
      <c r="O100" s="58">
        <v>105</v>
      </c>
      <c r="P100" s="58">
        <v>114</v>
      </c>
      <c r="Q100" s="58">
        <v>112</v>
      </c>
      <c r="R100" s="58">
        <v>127</v>
      </c>
      <c r="S100" s="58">
        <v>119</v>
      </c>
      <c r="T100" s="58">
        <v>102</v>
      </c>
      <c r="U100" s="58">
        <v>97</v>
      </c>
      <c r="V100" s="58">
        <v>101</v>
      </c>
      <c r="W100" s="58">
        <v>102</v>
      </c>
      <c r="X100" s="58">
        <v>70</v>
      </c>
      <c r="Y100" s="58">
        <v>93</v>
      </c>
      <c r="Z100" s="58">
        <v>70</v>
      </c>
      <c r="AA100" s="58">
        <v>77</v>
      </c>
      <c r="AB100" s="58">
        <v>71</v>
      </c>
      <c r="AC100" s="58">
        <v>88</v>
      </c>
      <c r="AD100" s="58">
        <v>85</v>
      </c>
      <c r="AE100" s="58">
        <v>107</v>
      </c>
      <c r="AF100" s="58">
        <v>107</v>
      </c>
      <c r="AG100" s="58">
        <v>90</v>
      </c>
      <c r="AH100" s="58">
        <v>93</v>
      </c>
      <c r="AI100" s="58">
        <v>83</v>
      </c>
      <c r="AJ100" s="58">
        <v>81</v>
      </c>
      <c r="AK100" s="58">
        <v>75</v>
      </c>
      <c r="AL100" s="58">
        <v>96</v>
      </c>
      <c r="AM100" s="58">
        <v>75</v>
      </c>
      <c r="AN100" s="58">
        <v>54</v>
      </c>
      <c r="AO100" s="58">
        <v>68</v>
      </c>
      <c r="AP100" s="58">
        <v>56</v>
      </c>
      <c r="AQ100" s="58">
        <v>53</v>
      </c>
      <c r="AR100" s="58">
        <v>33</v>
      </c>
      <c r="AS100" s="58">
        <v>6</v>
      </c>
      <c r="AT100" s="58">
        <v>0</v>
      </c>
      <c r="AU100" s="58">
        <v>0</v>
      </c>
      <c r="AV100" s="58">
        <v>0</v>
      </c>
      <c r="AW100" s="58">
        <v>0</v>
      </c>
      <c r="AX100" s="58">
        <v>0</v>
      </c>
      <c r="AY100" s="58">
        <v>0</v>
      </c>
      <c r="AZ100" s="58">
        <v>0</v>
      </c>
      <c r="BA100" s="58">
        <v>0</v>
      </c>
      <c r="BB100" s="58">
        <v>0</v>
      </c>
      <c r="BC100" s="58">
        <v>0</v>
      </c>
      <c r="BD100" s="58">
        <v>0</v>
      </c>
      <c r="BE100" s="58">
        <v>0</v>
      </c>
      <c r="BF100" s="58">
        <v>0</v>
      </c>
      <c r="BG100" s="58">
        <v>0</v>
      </c>
      <c r="BH100" s="58">
        <f>SUM(D100:BG100)</f>
        <v>3050</v>
      </c>
    </row>
    <row r="101" spans="1:60">
      <c r="A101" s="56" t="s">
        <v>178</v>
      </c>
      <c r="B101" s="56" t="s">
        <v>175</v>
      </c>
      <c r="C101" s="56" t="s">
        <v>71</v>
      </c>
      <c r="D101" s="58">
        <v>0</v>
      </c>
      <c r="E101" s="58">
        <v>0</v>
      </c>
      <c r="F101" s="58">
        <v>0</v>
      </c>
      <c r="G101" s="58">
        <v>0</v>
      </c>
      <c r="H101" s="58">
        <v>0</v>
      </c>
      <c r="I101" s="58">
        <v>16</v>
      </c>
      <c r="J101" s="58">
        <v>53</v>
      </c>
      <c r="K101" s="58">
        <v>51</v>
      </c>
      <c r="L101" s="58">
        <v>98</v>
      </c>
      <c r="M101" s="58">
        <v>88</v>
      </c>
      <c r="N101" s="58">
        <v>101</v>
      </c>
      <c r="O101" s="58">
        <v>127</v>
      </c>
      <c r="P101" s="58">
        <v>125</v>
      </c>
      <c r="Q101" s="58">
        <v>121</v>
      </c>
      <c r="R101" s="58">
        <v>129</v>
      </c>
      <c r="S101" s="58">
        <v>146</v>
      </c>
      <c r="T101" s="58">
        <v>130</v>
      </c>
      <c r="U101" s="58">
        <v>126</v>
      </c>
      <c r="V101" s="58">
        <v>134</v>
      </c>
      <c r="W101" s="58">
        <v>93</v>
      </c>
      <c r="X101" s="58">
        <v>85</v>
      </c>
      <c r="Y101" s="58">
        <v>100</v>
      </c>
      <c r="Z101" s="58">
        <v>92</v>
      </c>
      <c r="AA101" s="58">
        <v>86</v>
      </c>
      <c r="AB101" s="58">
        <v>113</v>
      </c>
      <c r="AC101" s="58">
        <v>119</v>
      </c>
      <c r="AD101" s="58">
        <v>123</v>
      </c>
      <c r="AE101" s="58">
        <v>120</v>
      </c>
      <c r="AF101" s="58">
        <v>104</v>
      </c>
      <c r="AG101" s="58">
        <v>96</v>
      </c>
      <c r="AH101" s="58">
        <v>105</v>
      </c>
      <c r="AI101" s="58">
        <v>86</v>
      </c>
      <c r="AJ101" s="58">
        <v>93</v>
      </c>
      <c r="AK101" s="58">
        <v>92</v>
      </c>
      <c r="AL101" s="58">
        <v>109</v>
      </c>
      <c r="AM101" s="58">
        <v>75</v>
      </c>
      <c r="AN101" s="58">
        <v>91</v>
      </c>
      <c r="AO101" s="58">
        <v>66</v>
      </c>
      <c r="AP101" s="58">
        <v>91</v>
      </c>
      <c r="AQ101" s="58">
        <v>41</v>
      </c>
      <c r="AR101" s="58">
        <v>34</v>
      </c>
      <c r="AS101" s="58">
        <v>1</v>
      </c>
      <c r="AT101" s="58">
        <v>0</v>
      </c>
      <c r="AU101" s="58">
        <v>0</v>
      </c>
      <c r="AV101" s="58">
        <v>0</v>
      </c>
      <c r="AW101" s="58">
        <v>0</v>
      </c>
      <c r="AX101" s="58">
        <v>0</v>
      </c>
      <c r="AY101" s="58">
        <v>0</v>
      </c>
      <c r="AZ101" s="58">
        <v>0</v>
      </c>
      <c r="BA101" s="58">
        <v>0</v>
      </c>
      <c r="BB101" s="58">
        <v>0</v>
      </c>
      <c r="BC101" s="58">
        <v>0</v>
      </c>
      <c r="BD101" s="58">
        <v>0</v>
      </c>
      <c r="BE101" s="58">
        <v>0</v>
      </c>
      <c r="BF101" s="58">
        <v>0</v>
      </c>
      <c r="BG101" s="58">
        <v>0</v>
      </c>
      <c r="BH101" s="58">
        <f>SUM(D101:BG101)</f>
        <v>3460</v>
      </c>
    </row>
    <row r="102" spans="1:60">
      <c r="A102" s="56" t="s">
        <v>179</v>
      </c>
      <c r="B102" s="56" t="s">
        <v>175</v>
      </c>
      <c r="C102" s="56" t="s">
        <v>73</v>
      </c>
      <c r="D102" s="58">
        <v>0</v>
      </c>
      <c r="E102" s="58">
        <v>0</v>
      </c>
      <c r="F102" s="58">
        <v>0</v>
      </c>
      <c r="G102" s="58">
        <v>0</v>
      </c>
      <c r="H102" s="58">
        <v>0</v>
      </c>
      <c r="I102" s="58">
        <v>34</v>
      </c>
      <c r="J102" s="58">
        <v>78</v>
      </c>
      <c r="K102" s="58">
        <v>80</v>
      </c>
      <c r="L102" s="58">
        <v>94</v>
      </c>
      <c r="M102" s="58">
        <v>147</v>
      </c>
      <c r="N102" s="58">
        <v>137</v>
      </c>
      <c r="O102" s="58">
        <v>123</v>
      </c>
      <c r="P102" s="58">
        <v>141</v>
      </c>
      <c r="Q102" s="58">
        <v>144</v>
      </c>
      <c r="R102" s="58">
        <v>130</v>
      </c>
      <c r="S102" s="58">
        <v>102</v>
      </c>
      <c r="T102" s="58">
        <v>119</v>
      </c>
      <c r="U102" s="58">
        <v>133</v>
      </c>
      <c r="V102" s="58">
        <v>109</v>
      </c>
      <c r="W102" s="58">
        <v>111</v>
      </c>
      <c r="X102" s="58">
        <v>92</v>
      </c>
      <c r="Y102" s="58">
        <v>89</v>
      </c>
      <c r="Z102" s="58">
        <v>78</v>
      </c>
      <c r="AA102" s="58">
        <v>75</v>
      </c>
      <c r="AB102" s="58">
        <v>98</v>
      </c>
      <c r="AC102" s="58">
        <v>133</v>
      </c>
      <c r="AD102" s="58">
        <v>118</v>
      </c>
      <c r="AE102" s="58">
        <v>105</v>
      </c>
      <c r="AF102" s="58">
        <v>110</v>
      </c>
      <c r="AG102" s="58">
        <v>89</v>
      </c>
      <c r="AH102" s="58">
        <v>108</v>
      </c>
      <c r="AI102" s="58">
        <v>108</v>
      </c>
      <c r="AJ102" s="58">
        <v>101</v>
      </c>
      <c r="AK102" s="58">
        <v>73</v>
      </c>
      <c r="AL102" s="58">
        <v>89</v>
      </c>
      <c r="AM102" s="58">
        <v>90</v>
      </c>
      <c r="AN102" s="58">
        <v>104</v>
      </c>
      <c r="AO102" s="58">
        <v>93</v>
      </c>
      <c r="AP102" s="58">
        <v>72</v>
      </c>
      <c r="AQ102" s="58">
        <v>57</v>
      </c>
      <c r="AR102" s="58">
        <v>33</v>
      </c>
      <c r="AS102" s="58">
        <v>3</v>
      </c>
      <c r="AT102" s="58">
        <v>0</v>
      </c>
      <c r="AU102" s="58">
        <v>0</v>
      </c>
      <c r="AV102" s="58">
        <v>0</v>
      </c>
      <c r="AW102" s="58">
        <v>0</v>
      </c>
      <c r="AX102" s="58">
        <v>0</v>
      </c>
      <c r="AY102" s="58">
        <v>0</v>
      </c>
      <c r="AZ102" s="58">
        <v>0</v>
      </c>
      <c r="BA102" s="58">
        <v>0</v>
      </c>
      <c r="BB102" s="58">
        <v>0</v>
      </c>
      <c r="BC102" s="58">
        <v>0</v>
      </c>
      <c r="BD102" s="58">
        <v>0</v>
      </c>
      <c r="BE102" s="58">
        <v>0</v>
      </c>
      <c r="BF102" s="58">
        <v>0</v>
      </c>
      <c r="BG102" s="58">
        <v>0</v>
      </c>
      <c r="BH102" s="58">
        <f>SUM(D102:BG102)</f>
        <v>3600</v>
      </c>
    </row>
    <row r="103" spans="1:60">
      <c r="A103" s="56" t="s">
        <v>180</v>
      </c>
      <c r="B103" s="56" t="s">
        <v>175</v>
      </c>
      <c r="C103" s="56" t="s">
        <v>75</v>
      </c>
      <c r="D103" s="58">
        <v>0</v>
      </c>
      <c r="E103" s="58">
        <v>0</v>
      </c>
      <c r="F103" s="58">
        <v>0</v>
      </c>
      <c r="G103" s="58">
        <v>0</v>
      </c>
      <c r="H103" s="58">
        <v>0</v>
      </c>
      <c r="I103" s="58">
        <v>17</v>
      </c>
      <c r="J103" s="58">
        <v>49</v>
      </c>
      <c r="K103" s="58">
        <v>62</v>
      </c>
      <c r="L103" s="58">
        <v>85</v>
      </c>
      <c r="M103" s="58">
        <v>88</v>
      </c>
      <c r="N103" s="58">
        <v>115</v>
      </c>
      <c r="O103" s="58">
        <v>92</v>
      </c>
      <c r="P103" s="58">
        <v>109</v>
      </c>
      <c r="Q103" s="58">
        <v>109</v>
      </c>
      <c r="R103" s="58">
        <v>126</v>
      </c>
      <c r="S103" s="58">
        <v>120</v>
      </c>
      <c r="T103" s="58">
        <v>109</v>
      </c>
      <c r="U103" s="58">
        <v>100</v>
      </c>
      <c r="V103" s="58">
        <v>125</v>
      </c>
      <c r="W103" s="58">
        <v>70</v>
      </c>
      <c r="X103" s="58">
        <v>77</v>
      </c>
      <c r="Y103" s="58">
        <v>83</v>
      </c>
      <c r="Z103" s="58">
        <v>59</v>
      </c>
      <c r="AA103" s="58">
        <v>76</v>
      </c>
      <c r="AB103" s="58">
        <v>73</v>
      </c>
      <c r="AC103" s="58">
        <v>108</v>
      </c>
      <c r="AD103" s="58">
        <v>100</v>
      </c>
      <c r="AE103" s="58">
        <v>125</v>
      </c>
      <c r="AF103" s="58">
        <v>107</v>
      </c>
      <c r="AG103" s="58">
        <v>103</v>
      </c>
      <c r="AH103" s="58">
        <v>94</v>
      </c>
      <c r="AI103" s="58">
        <v>84</v>
      </c>
      <c r="AJ103" s="58">
        <v>91</v>
      </c>
      <c r="AK103" s="58">
        <v>90</v>
      </c>
      <c r="AL103" s="58">
        <v>84</v>
      </c>
      <c r="AM103" s="58">
        <v>78</v>
      </c>
      <c r="AN103" s="58">
        <v>71</v>
      </c>
      <c r="AO103" s="58">
        <v>74</v>
      </c>
      <c r="AP103" s="58">
        <v>53</v>
      </c>
      <c r="AQ103" s="58">
        <v>42</v>
      </c>
      <c r="AR103" s="58">
        <v>24</v>
      </c>
      <c r="AS103" s="58">
        <v>2</v>
      </c>
      <c r="AT103" s="58">
        <v>0</v>
      </c>
      <c r="AU103" s="58">
        <v>0</v>
      </c>
      <c r="AV103" s="58">
        <v>0</v>
      </c>
      <c r="AW103" s="58">
        <v>0</v>
      </c>
      <c r="AX103" s="58">
        <v>0</v>
      </c>
      <c r="AY103" s="58">
        <v>0</v>
      </c>
      <c r="AZ103" s="58">
        <v>0</v>
      </c>
      <c r="BA103" s="58">
        <v>0</v>
      </c>
      <c r="BB103" s="58">
        <v>0</v>
      </c>
      <c r="BC103" s="58">
        <v>0</v>
      </c>
      <c r="BD103" s="58">
        <v>0</v>
      </c>
      <c r="BE103" s="58">
        <v>0</v>
      </c>
      <c r="BF103" s="58">
        <v>0</v>
      </c>
      <c r="BG103" s="58">
        <v>0</v>
      </c>
      <c r="BH103" s="58">
        <f>SUM(D103:BG103)</f>
        <v>3074</v>
      </c>
    </row>
    <row r="104" spans="1:60">
      <c r="A104" s="56" t="s">
        <v>181</v>
      </c>
      <c r="B104" s="56" t="s">
        <v>175</v>
      </c>
      <c r="C104" s="56" t="s">
        <v>77</v>
      </c>
      <c r="D104" s="58">
        <v>0</v>
      </c>
      <c r="E104" s="58">
        <v>0</v>
      </c>
      <c r="F104" s="58">
        <v>0</v>
      </c>
      <c r="G104" s="58">
        <v>0</v>
      </c>
      <c r="H104" s="58">
        <v>0</v>
      </c>
      <c r="I104" s="58">
        <v>8</v>
      </c>
      <c r="J104" s="58">
        <v>61</v>
      </c>
      <c r="K104" s="58">
        <v>59</v>
      </c>
      <c r="L104" s="58">
        <v>69</v>
      </c>
      <c r="M104" s="58">
        <v>82</v>
      </c>
      <c r="N104" s="58">
        <v>107</v>
      </c>
      <c r="O104" s="58">
        <v>97</v>
      </c>
      <c r="P104" s="58">
        <v>86</v>
      </c>
      <c r="Q104" s="58">
        <v>115</v>
      </c>
      <c r="R104" s="58">
        <v>112</v>
      </c>
      <c r="S104" s="58">
        <v>119</v>
      </c>
      <c r="T104" s="58">
        <v>110</v>
      </c>
      <c r="U104" s="58">
        <v>105</v>
      </c>
      <c r="V104" s="58">
        <v>93</v>
      </c>
      <c r="W104" s="58">
        <v>81</v>
      </c>
      <c r="X104" s="58">
        <v>72</v>
      </c>
      <c r="Y104" s="58">
        <v>65</v>
      </c>
      <c r="Z104" s="58">
        <v>67</v>
      </c>
      <c r="AA104" s="58">
        <v>59</v>
      </c>
      <c r="AB104" s="58">
        <v>75</v>
      </c>
      <c r="AC104" s="58">
        <v>97</v>
      </c>
      <c r="AD104" s="58">
        <v>82</v>
      </c>
      <c r="AE104" s="58">
        <v>89</v>
      </c>
      <c r="AF104" s="58">
        <v>86</v>
      </c>
      <c r="AG104" s="58">
        <v>105</v>
      </c>
      <c r="AH104" s="58">
        <v>95</v>
      </c>
      <c r="AI104" s="58">
        <v>76</v>
      </c>
      <c r="AJ104" s="58">
        <v>95</v>
      </c>
      <c r="AK104" s="58">
        <v>78</v>
      </c>
      <c r="AL104" s="58">
        <v>72</v>
      </c>
      <c r="AM104" s="58">
        <v>74</v>
      </c>
      <c r="AN104" s="58">
        <v>80</v>
      </c>
      <c r="AO104" s="58">
        <v>66</v>
      </c>
      <c r="AP104" s="58">
        <v>59</v>
      </c>
      <c r="AQ104" s="58">
        <v>51</v>
      </c>
      <c r="AR104" s="58">
        <v>29</v>
      </c>
      <c r="AS104" s="58">
        <v>0</v>
      </c>
      <c r="AT104" s="58">
        <v>0</v>
      </c>
      <c r="AU104" s="58">
        <v>0</v>
      </c>
      <c r="AV104" s="58">
        <v>0</v>
      </c>
      <c r="AW104" s="58">
        <v>0</v>
      </c>
      <c r="AX104" s="58">
        <v>0</v>
      </c>
      <c r="AY104" s="58">
        <v>0</v>
      </c>
      <c r="AZ104" s="58">
        <v>0</v>
      </c>
      <c r="BA104" s="58">
        <v>0</v>
      </c>
      <c r="BB104" s="58">
        <v>0</v>
      </c>
      <c r="BC104" s="58">
        <v>0</v>
      </c>
      <c r="BD104" s="58">
        <v>0</v>
      </c>
      <c r="BE104" s="58">
        <v>0</v>
      </c>
      <c r="BF104" s="58">
        <v>0</v>
      </c>
      <c r="BG104" s="58">
        <v>0</v>
      </c>
      <c r="BH104" s="58">
        <f>SUM(D104:BG104)</f>
        <v>2876</v>
      </c>
    </row>
    <row r="105" spans="1:60">
      <c r="A105" s="56" t="s">
        <v>182</v>
      </c>
      <c r="B105" s="56" t="s">
        <v>175</v>
      </c>
      <c r="C105" s="56" t="s">
        <v>79</v>
      </c>
      <c r="D105" s="58">
        <v>0</v>
      </c>
      <c r="E105" s="58">
        <v>0</v>
      </c>
      <c r="F105" s="58">
        <v>0</v>
      </c>
      <c r="G105" s="58">
        <v>0</v>
      </c>
      <c r="H105" s="58">
        <v>1</v>
      </c>
      <c r="I105" s="58">
        <v>14</v>
      </c>
      <c r="J105" s="58">
        <v>51</v>
      </c>
      <c r="K105" s="58">
        <v>71</v>
      </c>
      <c r="L105" s="58">
        <v>88</v>
      </c>
      <c r="M105" s="58">
        <v>108</v>
      </c>
      <c r="N105" s="58">
        <v>95</v>
      </c>
      <c r="O105" s="58">
        <v>102</v>
      </c>
      <c r="P105" s="58">
        <v>116</v>
      </c>
      <c r="Q105" s="58">
        <v>129</v>
      </c>
      <c r="R105" s="58">
        <v>110</v>
      </c>
      <c r="S105" s="58">
        <v>124</v>
      </c>
      <c r="T105" s="58">
        <v>102</v>
      </c>
      <c r="U105" s="58">
        <v>99</v>
      </c>
      <c r="V105" s="58">
        <v>118</v>
      </c>
      <c r="W105" s="58">
        <v>90</v>
      </c>
      <c r="X105" s="58">
        <v>87</v>
      </c>
      <c r="Y105" s="58">
        <v>66</v>
      </c>
      <c r="Z105" s="58">
        <v>81</v>
      </c>
      <c r="AA105" s="58">
        <v>65</v>
      </c>
      <c r="AB105" s="58">
        <v>97</v>
      </c>
      <c r="AC105" s="58">
        <v>105</v>
      </c>
      <c r="AD105" s="58">
        <v>82</v>
      </c>
      <c r="AE105" s="58">
        <v>100</v>
      </c>
      <c r="AF105" s="58">
        <v>88</v>
      </c>
      <c r="AG105" s="58">
        <v>80</v>
      </c>
      <c r="AH105" s="58">
        <v>101</v>
      </c>
      <c r="AI105" s="58">
        <v>87</v>
      </c>
      <c r="AJ105" s="58">
        <v>96</v>
      </c>
      <c r="AK105" s="58">
        <v>82</v>
      </c>
      <c r="AL105" s="58">
        <v>94</v>
      </c>
      <c r="AM105" s="58">
        <v>95</v>
      </c>
      <c r="AN105" s="58">
        <v>111</v>
      </c>
      <c r="AO105" s="58">
        <v>101</v>
      </c>
      <c r="AP105" s="58">
        <v>77</v>
      </c>
      <c r="AQ105" s="58">
        <v>48</v>
      </c>
      <c r="AR105" s="58">
        <v>34</v>
      </c>
      <c r="AS105" s="58">
        <v>0</v>
      </c>
      <c r="AT105" s="58">
        <v>0</v>
      </c>
      <c r="AU105" s="58">
        <v>0</v>
      </c>
      <c r="AV105" s="58">
        <v>0</v>
      </c>
      <c r="AW105" s="58">
        <v>0</v>
      </c>
      <c r="AX105" s="58">
        <v>0</v>
      </c>
      <c r="AY105" s="58">
        <v>0</v>
      </c>
      <c r="AZ105" s="58">
        <v>0</v>
      </c>
      <c r="BA105" s="58">
        <v>0</v>
      </c>
      <c r="BB105" s="58">
        <v>0</v>
      </c>
      <c r="BC105" s="58">
        <v>0</v>
      </c>
      <c r="BD105" s="58">
        <v>0</v>
      </c>
      <c r="BE105" s="58">
        <v>0</v>
      </c>
      <c r="BF105" s="58">
        <v>0</v>
      </c>
      <c r="BG105" s="58">
        <v>0</v>
      </c>
      <c r="BH105" s="58">
        <f>SUM(D105:BG105)</f>
        <v>3195</v>
      </c>
    </row>
    <row r="106" spans="1:60">
      <c r="A106" s="56" t="s">
        <v>183</v>
      </c>
      <c r="B106" s="56" t="s">
        <v>175</v>
      </c>
      <c r="C106" s="56" t="s">
        <v>81</v>
      </c>
      <c r="D106" s="58">
        <v>0</v>
      </c>
      <c r="E106" s="58">
        <v>0</v>
      </c>
      <c r="F106" s="58">
        <v>0</v>
      </c>
      <c r="G106" s="58">
        <v>0</v>
      </c>
      <c r="H106" s="58">
        <v>0</v>
      </c>
      <c r="I106" s="58">
        <v>12</v>
      </c>
      <c r="J106" s="58">
        <v>40</v>
      </c>
      <c r="K106" s="58">
        <v>44</v>
      </c>
      <c r="L106" s="58">
        <v>64</v>
      </c>
      <c r="M106" s="58">
        <v>68</v>
      </c>
      <c r="N106" s="58">
        <v>73</v>
      </c>
      <c r="O106" s="58">
        <v>82</v>
      </c>
      <c r="P106" s="58">
        <v>106</v>
      </c>
      <c r="Q106" s="58">
        <v>114</v>
      </c>
      <c r="R106" s="58">
        <v>115</v>
      </c>
      <c r="S106" s="58">
        <v>110</v>
      </c>
      <c r="T106" s="58">
        <v>119</v>
      </c>
      <c r="U106" s="58">
        <v>96</v>
      </c>
      <c r="V106" s="58">
        <v>107</v>
      </c>
      <c r="W106" s="58">
        <v>69</v>
      </c>
      <c r="X106" s="58">
        <v>71</v>
      </c>
      <c r="Y106" s="58">
        <v>84</v>
      </c>
      <c r="Z106" s="58">
        <v>64</v>
      </c>
      <c r="AA106" s="58">
        <v>59</v>
      </c>
      <c r="AB106" s="58">
        <v>91</v>
      </c>
      <c r="AC106" s="58">
        <v>90</v>
      </c>
      <c r="AD106" s="58">
        <v>79</v>
      </c>
      <c r="AE106" s="58">
        <v>82</v>
      </c>
      <c r="AF106" s="58">
        <v>78</v>
      </c>
      <c r="AG106" s="58">
        <v>89</v>
      </c>
      <c r="AH106" s="58">
        <v>85</v>
      </c>
      <c r="AI106" s="58">
        <v>84</v>
      </c>
      <c r="AJ106" s="58">
        <v>87</v>
      </c>
      <c r="AK106" s="58">
        <v>70</v>
      </c>
      <c r="AL106" s="58">
        <v>67</v>
      </c>
      <c r="AM106" s="58">
        <v>80</v>
      </c>
      <c r="AN106" s="58">
        <v>64</v>
      </c>
      <c r="AO106" s="58">
        <v>71</v>
      </c>
      <c r="AP106" s="58">
        <v>63</v>
      </c>
      <c r="AQ106" s="58">
        <v>30</v>
      </c>
      <c r="AR106" s="58">
        <v>28</v>
      </c>
      <c r="AS106" s="58">
        <v>0</v>
      </c>
      <c r="AT106" s="58">
        <v>0</v>
      </c>
      <c r="AU106" s="58">
        <v>0</v>
      </c>
      <c r="AV106" s="58">
        <v>0</v>
      </c>
      <c r="AW106" s="58">
        <v>0</v>
      </c>
      <c r="AX106" s="58">
        <v>0</v>
      </c>
      <c r="AY106" s="58">
        <v>0</v>
      </c>
      <c r="AZ106" s="58">
        <v>0</v>
      </c>
      <c r="BA106" s="58">
        <v>0</v>
      </c>
      <c r="BB106" s="58">
        <v>0</v>
      </c>
      <c r="BC106" s="58">
        <v>0</v>
      </c>
      <c r="BD106" s="58">
        <v>0</v>
      </c>
      <c r="BE106" s="58">
        <v>0</v>
      </c>
      <c r="BF106" s="58">
        <v>0</v>
      </c>
      <c r="BG106" s="58">
        <v>0</v>
      </c>
      <c r="BH106" s="58">
        <f>SUM(D106:BG106)</f>
        <v>2735</v>
      </c>
    </row>
    <row r="107" spans="1:60">
      <c r="A107" s="56" t="s">
        <v>184</v>
      </c>
      <c r="B107" s="56" t="s">
        <v>175</v>
      </c>
      <c r="C107" s="56" t="s">
        <v>83</v>
      </c>
      <c r="D107" s="58">
        <v>0</v>
      </c>
      <c r="E107" s="58">
        <v>0</v>
      </c>
      <c r="F107" s="58">
        <v>0</v>
      </c>
      <c r="G107" s="58">
        <v>0</v>
      </c>
      <c r="H107" s="58">
        <v>0</v>
      </c>
      <c r="I107" s="58">
        <v>11</v>
      </c>
      <c r="J107" s="58">
        <v>62</v>
      </c>
      <c r="K107" s="58">
        <v>59</v>
      </c>
      <c r="L107" s="58">
        <v>63</v>
      </c>
      <c r="M107" s="58">
        <v>71</v>
      </c>
      <c r="N107" s="58">
        <v>77</v>
      </c>
      <c r="O107" s="58">
        <v>85</v>
      </c>
      <c r="P107" s="58">
        <v>104</v>
      </c>
      <c r="Q107" s="58">
        <v>100</v>
      </c>
      <c r="R107" s="58">
        <v>124</v>
      </c>
      <c r="S107" s="58">
        <v>86</v>
      </c>
      <c r="T107" s="58">
        <v>120</v>
      </c>
      <c r="U107" s="58">
        <v>103</v>
      </c>
      <c r="V107" s="58">
        <v>100</v>
      </c>
      <c r="W107" s="58">
        <v>89</v>
      </c>
      <c r="X107" s="58">
        <v>84</v>
      </c>
      <c r="Y107" s="58">
        <v>69</v>
      </c>
      <c r="Z107" s="58">
        <v>75</v>
      </c>
      <c r="AA107" s="58">
        <v>75</v>
      </c>
      <c r="AB107" s="58">
        <v>83</v>
      </c>
      <c r="AC107" s="58">
        <v>86</v>
      </c>
      <c r="AD107" s="58">
        <v>82</v>
      </c>
      <c r="AE107" s="58">
        <v>91</v>
      </c>
      <c r="AF107" s="58">
        <v>106</v>
      </c>
      <c r="AG107" s="58">
        <v>107</v>
      </c>
      <c r="AH107" s="58">
        <v>89</v>
      </c>
      <c r="AI107" s="58">
        <v>96</v>
      </c>
      <c r="AJ107" s="58">
        <v>83</v>
      </c>
      <c r="AK107" s="58">
        <v>74</v>
      </c>
      <c r="AL107" s="58">
        <v>71</v>
      </c>
      <c r="AM107" s="58">
        <v>63</v>
      </c>
      <c r="AN107" s="58">
        <v>71</v>
      </c>
      <c r="AO107" s="58">
        <v>71</v>
      </c>
      <c r="AP107" s="58">
        <v>77</v>
      </c>
      <c r="AQ107" s="58">
        <v>31</v>
      </c>
      <c r="AR107" s="58">
        <v>32</v>
      </c>
      <c r="AS107" s="58">
        <v>0</v>
      </c>
      <c r="AT107" s="58">
        <v>0</v>
      </c>
      <c r="AU107" s="58">
        <v>0</v>
      </c>
      <c r="AV107" s="58">
        <v>0</v>
      </c>
      <c r="AW107" s="58">
        <v>0</v>
      </c>
      <c r="AX107" s="58">
        <v>0</v>
      </c>
      <c r="AY107" s="58">
        <v>0</v>
      </c>
      <c r="AZ107" s="58">
        <v>0</v>
      </c>
      <c r="BA107" s="58">
        <v>0</v>
      </c>
      <c r="BB107" s="58">
        <v>0</v>
      </c>
      <c r="BC107" s="58">
        <v>0</v>
      </c>
      <c r="BD107" s="58">
        <v>0</v>
      </c>
      <c r="BE107" s="58">
        <v>0</v>
      </c>
      <c r="BF107" s="58">
        <v>0</v>
      </c>
      <c r="BG107" s="58">
        <v>0</v>
      </c>
      <c r="BH107" s="58">
        <f>SUM(D107:BG107)</f>
        <v>2870</v>
      </c>
    </row>
    <row r="108" spans="1:60">
      <c r="A108" s="56" t="s">
        <v>185</v>
      </c>
      <c r="B108" s="56" t="s">
        <v>175</v>
      </c>
      <c r="C108" s="56" t="s">
        <v>85</v>
      </c>
      <c r="D108" s="58">
        <v>0</v>
      </c>
      <c r="E108" s="58">
        <v>0</v>
      </c>
      <c r="F108" s="58">
        <v>0</v>
      </c>
      <c r="G108" s="58">
        <v>0</v>
      </c>
      <c r="H108" s="58">
        <v>0</v>
      </c>
      <c r="I108" s="58">
        <v>12</v>
      </c>
      <c r="J108" s="58">
        <v>33</v>
      </c>
      <c r="K108" s="58">
        <v>36</v>
      </c>
      <c r="L108" s="58">
        <v>44</v>
      </c>
      <c r="M108" s="58">
        <v>49</v>
      </c>
      <c r="N108" s="58">
        <v>79</v>
      </c>
      <c r="O108" s="58">
        <v>77</v>
      </c>
      <c r="P108" s="58">
        <v>68</v>
      </c>
      <c r="Q108" s="58">
        <v>45</v>
      </c>
      <c r="R108" s="58">
        <v>59</v>
      </c>
      <c r="S108" s="58">
        <v>82</v>
      </c>
      <c r="T108" s="58">
        <v>70</v>
      </c>
      <c r="U108" s="58">
        <v>51</v>
      </c>
      <c r="V108" s="58">
        <v>75</v>
      </c>
      <c r="W108" s="58">
        <v>51</v>
      </c>
      <c r="X108" s="58">
        <v>45</v>
      </c>
      <c r="Y108" s="58">
        <v>37</v>
      </c>
      <c r="Z108" s="58">
        <v>40</v>
      </c>
      <c r="AA108" s="58">
        <v>40</v>
      </c>
      <c r="AB108" s="58">
        <v>36</v>
      </c>
      <c r="AC108" s="58">
        <v>53</v>
      </c>
      <c r="AD108" s="58">
        <v>65</v>
      </c>
      <c r="AE108" s="58">
        <v>39</v>
      </c>
      <c r="AF108" s="58">
        <v>70</v>
      </c>
      <c r="AG108" s="58">
        <v>53</v>
      </c>
      <c r="AH108" s="58">
        <v>45</v>
      </c>
      <c r="AI108" s="58">
        <v>42</v>
      </c>
      <c r="AJ108" s="58">
        <v>53</v>
      </c>
      <c r="AK108" s="58">
        <v>52</v>
      </c>
      <c r="AL108" s="58">
        <v>47</v>
      </c>
      <c r="AM108" s="58">
        <v>55</v>
      </c>
      <c r="AN108" s="58">
        <v>74</v>
      </c>
      <c r="AO108" s="58">
        <v>57</v>
      </c>
      <c r="AP108" s="58">
        <v>46</v>
      </c>
      <c r="AQ108" s="58">
        <v>35</v>
      </c>
      <c r="AR108" s="58">
        <v>42</v>
      </c>
      <c r="AS108" s="58">
        <v>3</v>
      </c>
      <c r="AT108" s="58">
        <v>2</v>
      </c>
      <c r="AU108" s="58">
        <v>10</v>
      </c>
      <c r="AV108" s="58">
        <v>6</v>
      </c>
      <c r="AW108" s="58">
        <v>0</v>
      </c>
      <c r="AX108" s="58">
        <v>0</v>
      </c>
      <c r="AY108" s="58">
        <v>0</v>
      </c>
      <c r="AZ108" s="58">
        <v>0</v>
      </c>
      <c r="BA108" s="58">
        <v>0</v>
      </c>
      <c r="BB108" s="58">
        <v>0</v>
      </c>
      <c r="BC108" s="58">
        <v>1</v>
      </c>
      <c r="BD108" s="58">
        <v>0</v>
      </c>
      <c r="BE108" s="58">
        <v>0</v>
      </c>
      <c r="BF108" s="58">
        <v>0</v>
      </c>
      <c r="BG108" s="58">
        <v>0</v>
      </c>
      <c r="BH108" s="58">
        <f>SUM(D108:BG108)</f>
        <v>1879</v>
      </c>
    </row>
    <row r="109" spans="1:60">
      <c r="A109" s="56" t="s">
        <v>186</v>
      </c>
      <c r="B109" s="56" t="s">
        <v>175</v>
      </c>
      <c r="C109" s="56" t="s">
        <v>87</v>
      </c>
      <c r="D109" s="58">
        <v>0</v>
      </c>
      <c r="E109" s="58">
        <v>0</v>
      </c>
      <c r="F109" s="58">
        <v>0</v>
      </c>
      <c r="G109" s="58">
        <v>0</v>
      </c>
      <c r="H109" s="58">
        <v>1</v>
      </c>
      <c r="I109" s="58">
        <v>9</v>
      </c>
      <c r="J109" s="58">
        <v>52</v>
      </c>
      <c r="K109" s="58">
        <v>67</v>
      </c>
      <c r="L109" s="58">
        <v>67</v>
      </c>
      <c r="M109" s="58">
        <v>96</v>
      </c>
      <c r="N109" s="58">
        <v>110</v>
      </c>
      <c r="O109" s="58">
        <v>110</v>
      </c>
      <c r="P109" s="58">
        <v>99</v>
      </c>
      <c r="Q109" s="58">
        <v>89</v>
      </c>
      <c r="R109" s="58">
        <v>116</v>
      </c>
      <c r="S109" s="58">
        <v>126</v>
      </c>
      <c r="T109" s="58">
        <v>110</v>
      </c>
      <c r="U109" s="58">
        <v>130</v>
      </c>
      <c r="V109" s="58">
        <v>124</v>
      </c>
      <c r="W109" s="58">
        <v>87</v>
      </c>
      <c r="X109" s="58">
        <v>92</v>
      </c>
      <c r="Y109" s="58">
        <v>68</v>
      </c>
      <c r="Z109" s="58">
        <v>80</v>
      </c>
      <c r="AA109" s="58">
        <v>78</v>
      </c>
      <c r="AB109" s="58">
        <v>103</v>
      </c>
      <c r="AC109" s="58">
        <v>125</v>
      </c>
      <c r="AD109" s="58">
        <v>107</v>
      </c>
      <c r="AE109" s="58">
        <v>97</v>
      </c>
      <c r="AF109" s="58">
        <v>106</v>
      </c>
      <c r="AG109" s="58">
        <v>101</v>
      </c>
      <c r="AH109" s="58">
        <v>101</v>
      </c>
      <c r="AI109" s="58">
        <v>82</v>
      </c>
      <c r="AJ109" s="58">
        <v>95</v>
      </c>
      <c r="AK109" s="58">
        <v>100</v>
      </c>
      <c r="AL109" s="58">
        <v>93</v>
      </c>
      <c r="AM109" s="58">
        <v>79</v>
      </c>
      <c r="AN109" s="58">
        <v>84</v>
      </c>
      <c r="AO109" s="58">
        <v>91</v>
      </c>
      <c r="AP109" s="58">
        <v>90</v>
      </c>
      <c r="AQ109" s="58">
        <v>72</v>
      </c>
      <c r="AR109" s="58">
        <v>37</v>
      </c>
      <c r="AS109" s="58">
        <v>2</v>
      </c>
      <c r="AT109" s="58">
        <v>0</v>
      </c>
      <c r="AU109" s="58">
        <v>1</v>
      </c>
      <c r="AV109" s="58">
        <v>1</v>
      </c>
      <c r="AW109" s="58">
        <v>1</v>
      </c>
      <c r="AX109" s="58">
        <v>3</v>
      </c>
      <c r="AY109" s="58">
        <v>2</v>
      </c>
      <c r="AZ109" s="58">
        <v>0</v>
      </c>
      <c r="BA109" s="58">
        <v>2</v>
      </c>
      <c r="BB109" s="58">
        <v>0</v>
      </c>
      <c r="BC109" s="58">
        <v>0</v>
      </c>
      <c r="BD109" s="58">
        <v>0</v>
      </c>
      <c r="BE109" s="58">
        <v>0</v>
      </c>
      <c r="BF109" s="58">
        <v>0</v>
      </c>
      <c r="BG109" s="58">
        <v>0</v>
      </c>
      <c r="BH109" s="58">
        <f>SUM(D109:BG109)</f>
        <v>3286</v>
      </c>
    </row>
    <row r="110" spans="1:60">
      <c r="A110" s="56" t="s">
        <v>187</v>
      </c>
      <c r="B110" s="56" t="s">
        <v>175</v>
      </c>
      <c r="C110" s="56" t="s">
        <v>89</v>
      </c>
      <c r="D110" s="58">
        <v>0</v>
      </c>
      <c r="E110" s="58">
        <v>0</v>
      </c>
      <c r="F110" s="58">
        <v>0</v>
      </c>
      <c r="G110" s="58">
        <v>0</v>
      </c>
      <c r="H110" s="58">
        <v>0</v>
      </c>
      <c r="I110" s="58">
        <v>24</v>
      </c>
      <c r="J110" s="58">
        <v>71</v>
      </c>
      <c r="K110" s="58">
        <v>83</v>
      </c>
      <c r="L110" s="58">
        <v>98</v>
      </c>
      <c r="M110" s="58">
        <v>112</v>
      </c>
      <c r="N110" s="58">
        <v>121</v>
      </c>
      <c r="O110" s="58">
        <v>107</v>
      </c>
      <c r="P110" s="58">
        <v>140</v>
      </c>
      <c r="Q110" s="58">
        <v>142</v>
      </c>
      <c r="R110" s="58">
        <v>146</v>
      </c>
      <c r="S110" s="58">
        <v>155</v>
      </c>
      <c r="T110" s="58">
        <v>134</v>
      </c>
      <c r="U110" s="58">
        <v>141</v>
      </c>
      <c r="V110" s="58">
        <v>118</v>
      </c>
      <c r="W110" s="58">
        <v>109</v>
      </c>
      <c r="X110" s="58">
        <v>119</v>
      </c>
      <c r="Y110" s="58">
        <v>128</v>
      </c>
      <c r="Z110" s="58">
        <v>100</v>
      </c>
      <c r="AA110" s="58">
        <v>116</v>
      </c>
      <c r="AB110" s="58">
        <v>114</v>
      </c>
      <c r="AC110" s="58">
        <v>129</v>
      </c>
      <c r="AD110" s="58">
        <v>129</v>
      </c>
      <c r="AE110" s="58">
        <v>103</v>
      </c>
      <c r="AF110" s="58">
        <v>160</v>
      </c>
      <c r="AG110" s="58">
        <v>151</v>
      </c>
      <c r="AH110" s="58">
        <v>149</v>
      </c>
      <c r="AI110" s="58">
        <v>134</v>
      </c>
      <c r="AJ110" s="58">
        <v>98</v>
      </c>
      <c r="AK110" s="58">
        <v>123</v>
      </c>
      <c r="AL110" s="58">
        <v>101</v>
      </c>
      <c r="AM110" s="58">
        <v>107</v>
      </c>
      <c r="AN110" s="58">
        <v>91</v>
      </c>
      <c r="AO110" s="58">
        <v>110</v>
      </c>
      <c r="AP110" s="58">
        <v>105</v>
      </c>
      <c r="AQ110" s="58">
        <v>85</v>
      </c>
      <c r="AR110" s="58">
        <v>45</v>
      </c>
      <c r="AS110" s="58">
        <v>2</v>
      </c>
      <c r="AT110" s="58">
        <v>1</v>
      </c>
      <c r="AU110" s="58">
        <v>1</v>
      </c>
      <c r="AV110" s="58">
        <v>0</v>
      </c>
      <c r="AW110" s="58">
        <v>3</v>
      </c>
      <c r="AX110" s="58">
        <v>1</v>
      </c>
      <c r="AY110" s="58">
        <v>0</v>
      </c>
      <c r="AZ110" s="58">
        <v>0</v>
      </c>
      <c r="BA110" s="58">
        <v>0</v>
      </c>
      <c r="BB110" s="58">
        <v>0</v>
      </c>
      <c r="BC110" s="58">
        <v>0</v>
      </c>
      <c r="BD110" s="58">
        <v>0</v>
      </c>
      <c r="BE110" s="58">
        <v>0</v>
      </c>
      <c r="BF110" s="58">
        <v>0</v>
      </c>
      <c r="BG110" s="58">
        <v>0</v>
      </c>
      <c r="BH110" s="58">
        <f>SUM(D110:BG110)</f>
        <v>4106</v>
      </c>
    </row>
    <row r="111" spans="1:60">
      <c r="A111" s="56" t="s">
        <v>188</v>
      </c>
      <c r="B111" s="56" t="s">
        <v>189</v>
      </c>
      <c r="C111" s="56" t="s">
        <v>65</v>
      </c>
      <c r="D111" s="58">
        <v>0</v>
      </c>
      <c r="E111" s="58">
        <v>0</v>
      </c>
      <c r="F111" s="58">
        <v>0</v>
      </c>
      <c r="G111" s="58">
        <v>2</v>
      </c>
      <c r="H111" s="58">
        <v>131</v>
      </c>
      <c r="I111" s="58">
        <v>745</v>
      </c>
      <c r="J111" s="58">
        <v>2248</v>
      </c>
      <c r="K111" s="58">
        <v>2149</v>
      </c>
      <c r="L111" s="58">
        <v>2636</v>
      </c>
      <c r="M111" s="58">
        <v>3086</v>
      </c>
      <c r="N111" s="58">
        <v>3270</v>
      </c>
      <c r="O111" s="58">
        <v>3418</v>
      </c>
      <c r="P111" s="58">
        <v>3569</v>
      </c>
      <c r="Q111" s="58">
        <v>3840</v>
      </c>
      <c r="R111" s="58">
        <v>3756</v>
      </c>
      <c r="S111" s="58">
        <v>3708</v>
      </c>
      <c r="T111" s="58">
        <v>3651</v>
      </c>
      <c r="U111" s="58">
        <v>3518</v>
      </c>
      <c r="V111" s="58">
        <v>3334</v>
      </c>
      <c r="W111" s="58">
        <v>3069</v>
      </c>
      <c r="X111" s="58">
        <v>2724</v>
      </c>
      <c r="Y111" s="58">
        <v>2617</v>
      </c>
      <c r="Z111" s="58">
        <v>2567</v>
      </c>
      <c r="AA111" s="58">
        <v>2514</v>
      </c>
      <c r="AB111" s="58">
        <v>2887</v>
      </c>
      <c r="AC111" s="58">
        <v>3186</v>
      </c>
      <c r="AD111" s="58">
        <v>3159</v>
      </c>
      <c r="AE111" s="58">
        <v>3357</v>
      </c>
      <c r="AF111" s="58">
        <v>3287</v>
      </c>
      <c r="AG111" s="58">
        <v>3256</v>
      </c>
      <c r="AH111" s="58">
        <v>3259</v>
      </c>
      <c r="AI111" s="58">
        <v>3096</v>
      </c>
      <c r="AJ111" s="58">
        <v>3185</v>
      </c>
      <c r="AK111" s="58">
        <v>3016</v>
      </c>
      <c r="AL111" s="58">
        <v>2912</v>
      </c>
      <c r="AM111" s="58">
        <v>2772</v>
      </c>
      <c r="AN111" s="58">
        <v>2733</v>
      </c>
      <c r="AO111" s="58">
        <v>2748</v>
      </c>
      <c r="AP111" s="58">
        <v>2568</v>
      </c>
      <c r="AQ111" s="58">
        <v>1915</v>
      </c>
      <c r="AR111" s="58">
        <v>789</v>
      </c>
      <c r="AS111" s="58">
        <v>28</v>
      </c>
      <c r="AT111" s="58">
        <v>23</v>
      </c>
      <c r="AU111" s="58">
        <v>22</v>
      </c>
      <c r="AV111" s="58">
        <v>9</v>
      </c>
      <c r="AW111" s="58">
        <v>2</v>
      </c>
      <c r="AX111" s="58">
        <v>1</v>
      </c>
      <c r="AY111" s="58">
        <v>2</v>
      </c>
      <c r="AZ111" s="58">
        <v>0</v>
      </c>
      <c r="BA111" s="58">
        <v>0</v>
      </c>
      <c r="BB111" s="58">
        <v>0</v>
      </c>
      <c r="BC111" s="58">
        <v>0</v>
      </c>
      <c r="BD111" s="58">
        <v>0</v>
      </c>
      <c r="BE111" s="58">
        <v>0</v>
      </c>
      <c r="BF111" s="58">
        <v>0</v>
      </c>
      <c r="BG111" s="58">
        <v>0</v>
      </c>
      <c r="BH111" s="58">
        <f>SUM(D111:BG111)</f>
        <v>104764</v>
      </c>
    </row>
    <row r="112" spans="1:60">
      <c r="A112" s="56" t="s">
        <v>190</v>
      </c>
      <c r="B112" s="56" t="s">
        <v>189</v>
      </c>
      <c r="C112" s="56" t="s">
        <v>67</v>
      </c>
      <c r="D112" s="58">
        <v>0</v>
      </c>
      <c r="E112" s="58">
        <v>0</v>
      </c>
      <c r="F112" s="58">
        <v>0</v>
      </c>
      <c r="G112" s="58">
        <v>0</v>
      </c>
      <c r="H112" s="58">
        <v>11</v>
      </c>
      <c r="I112" s="58">
        <v>66</v>
      </c>
      <c r="J112" s="58">
        <v>193</v>
      </c>
      <c r="K112" s="58">
        <v>174</v>
      </c>
      <c r="L112" s="58">
        <v>218</v>
      </c>
      <c r="M112" s="58">
        <v>264</v>
      </c>
      <c r="N112" s="58">
        <v>268</v>
      </c>
      <c r="O112" s="58">
        <v>274</v>
      </c>
      <c r="P112" s="58">
        <v>281</v>
      </c>
      <c r="Q112" s="58">
        <v>299</v>
      </c>
      <c r="R112" s="58">
        <v>310</v>
      </c>
      <c r="S112" s="58">
        <v>287</v>
      </c>
      <c r="T112" s="58">
        <v>267</v>
      </c>
      <c r="U112" s="58">
        <v>265</v>
      </c>
      <c r="V112" s="58">
        <v>241</v>
      </c>
      <c r="W112" s="58">
        <v>222</v>
      </c>
      <c r="X112" s="58">
        <v>192</v>
      </c>
      <c r="Y112" s="58">
        <v>170</v>
      </c>
      <c r="Z112" s="58">
        <v>179</v>
      </c>
      <c r="AA112" s="58">
        <v>182</v>
      </c>
      <c r="AB112" s="58">
        <v>221</v>
      </c>
      <c r="AC112" s="58">
        <v>217</v>
      </c>
      <c r="AD112" s="58">
        <v>252</v>
      </c>
      <c r="AE112" s="58">
        <v>256</v>
      </c>
      <c r="AF112" s="58">
        <v>259</v>
      </c>
      <c r="AG112" s="58">
        <v>265</v>
      </c>
      <c r="AH112" s="58">
        <v>224</v>
      </c>
      <c r="AI112" s="58">
        <v>249</v>
      </c>
      <c r="AJ112" s="58">
        <v>244</v>
      </c>
      <c r="AK112" s="58">
        <v>232</v>
      </c>
      <c r="AL112" s="58">
        <v>203</v>
      </c>
      <c r="AM112" s="58">
        <v>185</v>
      </c>
      <c r="AN112" s="58">
        <v>207</v>
      </c>
      <c r="AO112" s="58">
        <v>203</v>
      </c>
      <c r="AP112" s="58">
        <v>186</v>
      </c>
      <c r="AQ112" s="58">
        <v>144</v>
      </c>
      <c r="AR112" s="58">
        <v>79</v>
      </c>
      <c r="AS112" s="58">
        <v>0</v>
      </c>
      <c r="AT112" s="58">
        <v>0</v>
      </c>
      <c r="AU112" s="58">
        <v>0</v>
      </c>
      <c r="AV112" s="58">
        <v>0</v>
      </c>
      <c r="AW112" s="58">
        <v>0</v>
      </c>
      <c r="AX112" s="58">
        <v>0</v>
      </c>
      <c r="AY112" s="58">
        <v>0</v>
      </c>
      <c r="AZ112" s="58">
        <v>0</v>
      </c>
      <c r="BA112" s="58">
        <v>0</v>
      </c>
      <c r="BB112" s="58">
        <v>0</v>
      </c>
      <c r="BC112" s="58">
        <v>0</v>
      </c>
      <c r="BD112" s="58">
        <v>0</v>
      </c>
      <c r="BE112" s="58">
        <v>0</v>
      </c>
      <c r="BF112" s="58">
        <v>0</v>
      </c>
      <c r="BG112" s="58">
        <v>0</v>
      </c>
      <c r="BH112" s="58">
        <f>SUM(D112:BG112)</f>
        <v>7989</v>
      </c>
    </row>
    <row r="113" spans="1:60">
      <c r="A113" s="56" t="s">
        <v>191</v>
      </c>
      <c r="B113" s="56" t="s">
        <v>189</v>
      </c>
      <c r="C113" s="56" t="s">
        <v>69</v>
      </c>
      <c r="D113" s="58">
        <v>0</v>
      </c>
      <c r="E113" s="58">
        <v>0</v>
      </c>
      <c r="F113" s="58">
        <v>0</v>
      </c>
      <c r="G113" s="58">
        <v>1</v>
      </c>
      <c r="H113" s="58">
        <v>10</v>
      </c>
      <c r="I113" s="58">
        <v>45</v>
      </c>
      <c r="J113" s="58">
        <v>189</v>
      </c>
      <c r="K113" s="58">
        <v>172</v>
      </c>
      <c r="L113" s="58">
        <v>221</v>
      </c>
      <c r="M113" s="58">
        <v>279</v>
      </c>
      <c r="N113" s="58">
        <v>279</v>
      </c>
      <c r="O113" s="58">
        <v>292</v>
      </c>
      <c r="P113" s="58">
        <v>281</v>
      </c>
      <c r="Q113" s="58">
        <v>339</v>
      </c>
      <c r="R113" s="58">
        <v>324</v>
      </c>
      <c r="S113" s="58">
        <v>306</v>
      </c>
      <c r="T113" s="58">
        <v>280</v>
      </c>
      <c r="U113" s="58">
        <v>291</v>
      </c>
      <c r="V113" s="58">
        <v>262</v>
      </c>
      <c r="W113" s="58">
        <v>263</v>
      </c>
      <c r="X113" s="58">
        <v>238</v>
      </c>
      <c r="Y113" s="58">
        <v>201</v>
      </c>
      <c r="Z113" s="58">
        <v>201</v>
      </c>
      <c r="AA113" s="58">
        <v>197</v>
      </c>
      <c r="AB113" s="58">
        <v>220</v>
      </c>
      <c r="AC113" s="58">
        <v>227</v>
      </c>
      <c r="AD113" s="58">
        <v>241</v>
      </c>
      <c r="AE113" s="58">
        <v>276</v>
      </c>
      <c r="AF113" s="58">
        <v>278</v>
      </c>
      <c r="AG113" s="58">
        <v>256</v>
      </c>
      <c r="AH113" s="58">
        <v>251</v>
      </c>
      <c r="AI113" s="58">
        <v>242</v>
      </c>
      <c r="AJ113" s="58">
        <v>241</v>
      </c>
      <c r="AK113" s="58">
        <v>257</v>
      </c>
      <c r="AL113" s="58">
        <v>219</v>
      </c>
      <c r="AM113" s="58">
        <v>203</v>
      </c>
      <c r="AN113" s="58">
        <v>229</v>
      </c>
      <c r="AO113" s="58">
        <v>229</v>
      </c>
      <c r="AP113" s="58">
        <v>208</v>
      </c>
      <c r="AQ113" s="58">
        <v>159</v>
      </c>
      <c r="AR113" s="58">
        <v>54</v>
      </c>
      <c r="AS113" s="58">
        <v>0</v>
      </c>
      <c r="AT113" s="58">
        <v>0</v>
      </c>
      <c r="AU113" s="58">
        <v>0</v>
      </c>
      <c r="AV113" s="58">
        <v>0</v>
      </c>
      <c r="AW113" s="58">
        <v>0</v>
      </c>
      <c r="AX113" s="58">
        <v>0</v>
      </c>
      <c r="AY113" s="58">
        <v>0</v>
      </c>
      <c r="AZ113" s="58">
        <v>0</v>
      </c>
      <c r="BA113" s="58">
        <v>0</v>
      </c>
      <c r="BB113" s="58">
        <v>0</v>
      </c>
      <c r="BC113" s="58">
        <v>0</v>
      </c>
      <c r="BD113" s="58">
        <v>0</v>
      </c>
      <c r="BE113" s="58">
        <v>0</v>
      </c>
      <c r="BF113" s="58">
        <v>0</v>
      </c>
      <c r="BG113" s="58">
        <v>0</v>
      </c>
      <c r="BH113" s="58">
        <f>SUM(D113:BG113)</f>
        <v>8461</v>
      </c>
    </row>
    <row r="114" spans="1:60">
      <c r="A114" s="56" t="s">
        <v>192</v>
      </c>
      <c r="B114" s="56" t="s">
        <v>189</v>
      </c>
      <c r="C114" s="56" t="s">
        <v>71</v>
      </c>
      <c r="D114" s="58">
        <v>0</v>
      </c>
      <c r="E114" s="58">
        <v>0</v>
      </c>
      <c r="F114" s="58">
        <v>0</v>
      </c>
      <c r="G114" s="58">
        <v>0</v>
      </c>
      <c r="H114" s="58">
        <v>12</v>
      </c>
      <c r="I114" s="58">
        <v>61</v>
      </c>
      <c r="J114" s="58">
        <v>196</v>
      </c>
      <c r="K114" s="58">
        <v>196</v>
      </c>
      <c r="L114" s="58">
        <v>224</v>
      </c>
      <c r="M114" s="58">
        <v>263</v>
      </c>
      <c r="N114" s="58">
        <v>263</v>
      </c>
      <c r="O114" s="58">
        <v>308</v>
      </c>
      <c r="P114" s="58">
        <v>300</v>
      </c>
      <c r="Q114" s="58">
        <v>304</v>
      </c>
      <c r="R114" s="58">
        <v>335</v>
      </c>
      <c r="S114" s="58">
        <v>324</v>
      </c>
      <c r="T114" s="58">
        <v>317</v>
      </c>
      <c r="U114" s="58">
        <v>306</v>
      </c>
      <c r="V114" s="58">
        <v>293</v>
      </c>
      <c r="W114" s="58">
        <v>283</v>
      </c>
      <c r="X114" s="58">
        <v>218</v>
      </c>
      <c r="Y114" s="58">
        <v>222</v>
      </c>
      <c r="Z114" s="58">
        <v>235</v>
      </c>
      <c r="AA114" s="58">
        <v>236</v>
      </c>
      <c r="AB114" s="58">
        <v>254</v>
      </c>
      <c r="AC114" s="58">
        <v>310</v>
      </c>
      <c r="AD114" s="58">
        <v>273</v>
      </c>
      <c r="AE114" s="58">
        <v>308</v>
      </c>
      <c r="AF114" s="58">
        <v>288</v>
      </c>
      <c r="AG114" s="58">
        <v>287</v>
      </c>
      <c r="AH114" s="58">
        <v>273</v>
      </c>
      <c r="AI114" s="58">
        <v>270</v>
      </c>
      <c r="AJ114" s="58">
        <v>258</v>
      </c>
      <c r="AK114" s="58">
        <v>236</v>
      </c>
      <c r="AL114" s="58">
        <v>274</v>
      </c>
      <c r="AM114" s="58">
        <v>229</v>
      </c>
      <c r="AN114" s="58">
        <v>240</v>
      </c>
      <c r="AO114" s="58">
        <v>249</v>
      </c>
      <c r="AP114" s="58">
        <v>232</v>
      </c>
      <c r="AQ114" s="58">
        <v>180</v>
      </c>
      <c r="AR114" s="58">
        <v>70</v>
      </c>
      <c r="AS114" s="58">
        <v>0</v>
      </c>
      <c r="AT114" s="58">
        <v>0</v>
      </c>
      <c r="AU114" s="58">
        <v>0</v>
      </c>
      <c r="AV114" s="58">
        <v>0</v>
      </c>
      <c r="AW114" s="58">
        <v>0</v>
      </c>
      <c r="AX114" s="58">
        <v>0</v>
      </c>
      <c r="AY114" s="58">
        <v>0</v>
      </c>
      <c r="AZ114" s="58">
        <v>0</v>
      </c>
      <c r="BA114" s="58">
        <v>0</v>
      </c>
      <c r="BB114" s="58">
        <v>0</v>
      </c>
      <c r="BC114" s="58">
        <v>0</v>
      </c>
      <c r="BD114" s="58">
        <v>0</v>
      </c>
      <c r="BE114" s="58">
        <v>0</v>
      </c>
      <c r="BF114" s="58">
        <v>0</v>
      </c>
      <c r="BG114" s="58">
        <v>0</v>
      </c>
      <c r="BH114" s="58">
        <f>SUM(D114:BG114)</f>
        <v>9127</v>
      </c>
    </row>
    <row r="115" spans="1:60">
      <c r="A115" s="56" t="s">
        <v>193</v>
      </c>
      <c r="B115" s="56" t="s">
        <v>189</v>
      </c>
      <c r="C115" s="56" t="s">
        <v>73</v>
      </c>
      <c r="D115" s="58">
        <v>0</v>
      </c>
      <c r="E115" s="58">
        <v>0</v>
      </c>
      <c r="F115" s="58">
        <v>0</v>
      </c>
      <c r="G115" s="58">
        <v>0</v>
      </c>
      <c r="H115" s="58">
        <v>13</v>
      </c>
      <c r="I115" s="58">
        <v>70</v>
      </c>
      <c r="J115" s="58">
        <v>243</v>
      </c>
      <c r="K115" s="58">
        <v>191</v>
      </c>
      <c r="L115" s="58">
        <v>256</v>
      </c>
      <c r="M115" s="58">
        <v>302</v>
      </c>
      <c r="N115" s="58">
        <v>323</v>
      </c>
      <c r="O115" s="58">
        <v>336</v>
      </c>
      <c r="P115" s="58">
        <v>354</v>
      </c>
      <c r="Q115" s="58">
        <v>386</v>
      </c>
      <c r="R115" s="58">
        <v>320</v>
      </c>
      <c r="S115" s="58">
        <v>379</v>
      </c>
      <c r="T115" s="58">
        <v>335</v>
      </c>
      <c r="U115" s="58">
        <v>334</v>
      </c>
      <c r="V115" s="58">
        <v>310</v>
      </c>
      <c r="W115" s="58">
        <v>259</v>
      </c>
      <c r="X115" s="58">
        <v>252</v>
      </c>
      <c r="Y115" s="58">
        <v>243</v>
      </c>
      <c r="Z115" s="58">
        <v>227</v>
      </c>
      <c r="AA115" s="58">
        <v>237</v>
      </c>
      <c r="AB115" s="58">
        <v>231</v>
      </c>
      <c r="AC115" s="58">
        <v>293</v>
      </c>
      <c r="AD115" s="58">
        <v>323</v>
      </c>
      <c r="AE115" s="58">
        <v>309</v>
      </c>
      <c r="AF115" s="58">
        <v>296</v>
      </c>
      <c r="AG115" s="58">
        <v>311</v>
      </c>
      <c r="AH115" s="58">
        <v>321</v>
      </c>
      <c r="AI115" s="58">
        <v>275</v>
      </c>
      <c r="AJ115" s="58">
        <v>280</v>
      </c>
      <c r="AK115" s="58">
        <v>265</v>
      </c>
      <c r="AL115" s="58">
        <v>235</v>
      </c>
      <c r="AM115" s="58">
        <v>252</v>
      </c>
      <c r="AN115" s="58">
        <v>236</v>
      </c>
      <c r="AO115" s="58">
        <v>234</v>
      </c>
      <c r="AP115" s="58">
        <v>221</v>
      </c>
      <c r="AQ115" s="58">
        <v>195</v>
      </c>
      <c r="AR115" s="58">
        <v>74</v>
      </c>
      <c r="AS115" s="58">
        <v>0</v>
      </c>
      <c r="AT115" s="58">
        <v>0</v>
      </c>
      <c r="AU115" s="58">
        <v>0</v>
      </c>
      <c r="AV115" s="58">
        <v>0</v>
      </c>
      <c r="AW115" s="58">
        <v>0</v>
      </c>
      <c r="AX115" s="58">
        <v>0</v>
      </c>
      <c r="AY115" s="58">
        <v>0</v>
      </c>
      <c r="AZ115" s="58">
        <v>0</v>
      </c>
      <c r="BA115" s="58">
        <v>0</v>
      </c>
      <c r="BB115" s="58">
        <v>0</v>
      </c>
      <c r="BC115" s="58">
        <v>0</v>
      </c>
      <c r="BD115" s="58">
        <v>0</v>
      </c>
      <c r="BE115" s="58">
        <v>0</v>
      </c>
      <c r="BF115" s="58">
        <v>0</v>
      </c>
      <c r="BG115" s="58">
        <v>0</v>
      </c>
      <c r="BH115" s="58">
        <f>SUM(D115:BG115)</f>
        <v>9721</v>
      </c>
    </row>
    <row r="116" spans="1:60">
      <c r="A116" s="56" t="s">
        <v>194</v>
      </c>
      <c r="B116" s="56" t="s">
        <v>189</v>
      </c>
      <c r="C116" s="56" t="s">
        <v>75</v>
      </c>
      <c r="D116" s="58">
        <v>0</v>
      </c>
      <c r="E116" s="58">
        <v>0</v>
      </c>
      <c r="F116" s="58">
        <v>0</v>
      </c>
      <c r="G116" s="58">
        <v>1</v>
      </c>
      <c r="H116" s="58">
        <v>8</v>
      </c>
      <c r="I116" s="58">
        <v>63</v>
      </c>
      <c r="J116" s="58">
        <v>218</v>
      </c>
      <c r="K116" s="58">
        <v>200</v>
      </c>
      <c r="L116" s="58">
        <v>258</v>
      </c>
      <c r="M116" s="58">
        <v>239</v>
      </c>
      <c r="N116" s="58">
        <v>290</v>
      </c>
      <c r="O116" s="58">
        <v>306</v>
      </c>
      <c r="P116" s="58">
        <v>310</v>
      </c>
      <c r="Q116" s="58">
        <v>304</v>
      </c>
      <c r="R116" s="58">
        <v>315</v>
      </c>
      <c r="S116" s="58">
        <v>347</v>
      </c>
      <c r="T116" s="58">
        <v>271</v>
      </c>
      <c r="U116" s="58">
        <v>284</v>
      </c>
      <c r="V116" s="58">
        <v>284</v>
      </c>
      <c r="W116" s="58">
        <v>244</v>
      </c>
      <c r="X116" s="58">
        <v>225</v>
      </c>
      <c r="Y116" s="58">
        <v>199</v>
      </c>
      <c r="Z116" s="58">
        <v>176</v>
      </c>
      <c r="AA116" s="58">
        <v>184</v>
      </c>
      <c r="AB116" s="58">
        <v>219</v>
      </c>
      <c r="AC116" s="58">
        <v>252</v>
      </c>
      <c r="AD116" s="58">
        <v>266</v>
      </c>
      <c r="AE116" s="58">
        <v>268</v>
      </c>
      <c r="AF116" s="58">
        <v>240</v>
      </c>
      <c r="AG116" s="58">
        <v>242</v>
      </c>
      <c r="AH116" s="58">
        <v>287</v>
      </c>
      <c r="AI116" s="58">
        <v>271</v>
      </c>
      <c r="AJ116" s="58">
        <v>253</v>
      </c>
      <c r="AK116" s="58">
        <v>238</v>
      </c>
      <c r="AL116" s="58">
        <v>248</v>
      </c>
      <c r="AM116" s="58">
        <v>239</v>
      </c>
      <c r="AN116" s="58">
        <v>228</v>
      </c>
      <c r="AO116" s="58">
        <v>223</v>
      </c>
      <c r="AP116" s="58">
        <v>198</v>
      </c>
      <c r="AQ116" s="58">
        <v>151</v>
      </c>
      <c r="AR116" s="58">
        <v>54</v>
      </c>
      <c r="AS116" s="58">
        <v>0</v>
      </c>
      <c r="AT116" s="58">
        <v>0</v>
      </c>
      <c r="AU116" s="58">
        <v>0</v>
      </c>
      <c r="AV116" s="58">
        <v>0</v>
      </c>
      <c r="AW116" s="58">
        <v>0</v>
      </c>
      <c r="AX116" s="58">
        <v>0</v>
      </c>
      <c r="AY116" s="58">
        <v>0</v>
      </c>
      <c r="AZ116" s="58">
        <v>0</v>
      </c>
      <c r="BA116" s="58">
        <v>0</v>
      </c>
      <c r="BB116" s="58">
        <v>0</v>
      </c>
      <c r="BC116" s="58">
        <v>0</v>
      </c>
      <c r="BD116" s="58">
        <v>0</v>
      </c>
      <c r="BE116" s="58">
        <v>0</v>
      </c>
      <c r="BF116" s="58">
        <v>0</v>
      </c>
      <c r="BG116" s="58">
        <v>0</v>
      </c>
      <c r="BH116" s="58">
        <f>SUM(D116:BG116)</f>
        <v>8603</v>
      </c>
    </row>
    <row r="117" spans="1:60">
      <c r="A117" s="56" t="s">
        <v>195</v>
      </c>
      <c r="B117" s="56" t="s">
        <v>189</v>
      </c>
      <c r="C117" s="56" t="s">
        <v>77</v>
      </c>
      <c r="D117" s="58">
        <v>0</v>
      </c>
      <c r="E117" s="58">
        <v>0</v>
      </c>
      <c r="F117" s="58">
        <v>0</v>
      </c>
      <c r="G117" s="58">
        <v>0</v>
      </c>
      <c r="H117" s="58">
        <v>11</v>
      </c>
      <c r="I117" s="58">
        <v>54</v>
      </c>
      <c r="J117" s="58">
        <v>194</v>
      </c>
      <c r="K117" s="58">
        <v>190</v>
      </c>
      <c r="L117" s="58">
        <v>230</v>
      </c>
      <c r="M117" s="58">
        <v>259</v>
      </c>
      <c r="N117" s="58">
        <v>310</v>
      </c>
      <c r="O117" s="58">
        <v>299</v>
      </c>
      <c r="P117" s="58">
        <v>312</v>
      </c>
      <c r="Q117" s="58">
        <v>309</v>
      </c>
      <c r="R117" s="58">
        <v>305</v>
      </c>
      <c r="S117" s="58">
        <v>300</v>
      </c>
      <c r="T117" s="58">
        <v>293</v>
      </c>
      <c r="U117" s="58">
        <v>299</v>
      </c>
      <c r="V117" s="58">
        <v>289</v>
      </c>
      <c r="W117" s="58">
        <v>267</v>
      </c>
      <c r="X117" s="58">
        <v>231</v>
      </c>
      <c r="Y117" s="58">
        <v>214</v>
      </c>
      <c r="Z117" s="58">
        <v>212</v>
      </c>
      <c r="AA117" s="58">
        <v>196</v>
      </c>
      <c r="AB117" s="58">
        <v>221</v>
      </c>
      <c r="AC117" s="58">
        <v>266</v>
      </c>
      <c r="AD117" s="58">
        <v>255</v>
      </c>
      <c r="AE117" s="58">
        <v>296</v>
      </c>
      <c r="AF117" s="58">
        <v>270</v>
      </c>
      <c r="AG117" s="58">
        <v>266</v>
      </c>
      <c r="AH117" s="58">
        <v>284</v>
      </c>
      <c r="AI117" s="58">
        <v>241</v>
      </c>
      <c r="AJ117" s="58">
        <v>277</v>
      </c>
      <c r="AK117" s="58">
        <v>237</v>
      </c>
      <c r="AL117" s="58">
        <v>239</v>
      </c>
      <c r="AM117" s="58">
        <v>213</v>
      </c>
      <c r="AN117" s="58">
        <v>257</v>
      </c>
      <c r="AO117" s="58">
        <v>226</v>
      </c>
      <c r="AP117" s="58">
        <v>196</v>
      </c>
      <c r="AQ117" s="58">
        <v>169</v>
      </c>
      <c r="AR117" s="58">
        <v>67</v>
      </c>
      <c r="AS117" s="58">
        <v>0</v>
      </c>
      <c r="AT117" s="58">
        <v>0</v>
      </c>
      <c r="AU117" s="58">
        <v>0</v>
      </c>
      <c r="AV117" s="58">
        <v>0</v>
      </c>
      <c r="AW117" s="58">
        <v>0</v>
      </c>
      <c r="AX117" s="58">
        <v>0</v>
      </c>
      <c r="AY117" s="58">
        <v>0</v>
      </c>
      <c r="AZ117" s="58">
        <v>0</v>
      </c>
      <c r="BA117" s="58">
        <v>0</v>
      </c>
      <c r="BB117" s="58">
        <v>0</v>
      </c>
      <c r="BC117" s="58">
        <v>0</v>
      </c>
      <c r="BD117" s="58">
        <v>0</v>
      </c>
      <c r="BE117" s="58">
        <v>0</v>
      </c>
      <c r="BF117" s="58">
        <v>0</v>
      </c>
      <c r="BG117" s="58">
        <v>0</v>
      </c>
      <c r="BH117" s="58">
        <f>SUM(D117:BG117)</f>
        <v>8754</v>
      </c>
    </row>
    <row r="118" spans="1:60">
      <c r="A118" s="56" t="s">
        <v>196</v>
      </c>
      <c r="B118" s="56" t="s">
        <v>189</v>
      </c>
      <c r="C118" s="56" t="s">
        <v>79</v>
      </c>
      <c r="D118" s="58">
        <v>0</v>
      </c>
      <c r="E118" s="58">
        <v>0</v>
      </c>
      <c r="F118" s="58">
        <v>0</v>
      </c>
      <c r="G118" s="58">
        <v>0</v>
      </c>
      <c r="H118" s="58">
        <v>4</v>
      </c>
      <c r="I118" s="58">
        <v>57</v>
      </c>
      <c r="J118" s="58">
        <v>193</v>
      </c>
      <c r="K118" s="58">
        <v>195</v>
      </c>
      <c r="L118" s="58">
        <v>228</v>
      </c>
      <c r="M118" s="58">
        <v>282</v>
      </c>
      <c r="N118" s="58">
        <v>264</v>
      </c>
      <c r="O118" s="58">
        <v>298</v>
      </c>
      <c r="P118" s="58">
        <v>335</v>
      </c>
      <c r="Q118" s="58">
        <v>364</v>
      </c>
      <c r="R118" s="58">
        <v>382</v>
      </c>
      <c r="S118" s="58">
        <v>316</v>
      </c>
      <c r="T118" s="58">
        <v>369</v>
      </c>
      <c r="U118" s="58">
        <v>336</v>
      </c>
      <c r="V118" s="58">
        <v>330</v>
      </c>
      <c r="W118" s="58">
        <v>275</v>
      </c>
      <c r="X118" s="58">
        <v>251</v>
      </c>
      <c r="Y118" s="58">
        <v>254</v>
      </c>
      <c r="Z118" s="58">
        <v>228</v>
      </c>
      <c r="AA118" s="58">
        <v>256</v>
      </c>
      <c r="AB118" s="58">
        <v>251</v>
      </c>
      <c r="AC118" s="58">
        <v>313</v>
      </c>
      <c r="AD118" s="58">
        <v>237</v>
      </c>
      <c r="AE118" s="58">
        <v>282</v>
      </c>
      <c r="AF118" s="58">
        <v>320</v>
      </c>
      <c r="AG118" s="58">
        <v>279</v>
      </c>
      <c r="AH118" s="58">
        <v>264</v>
      </c>
      <c r="AI118" s="58">
        <v>273</v>
      </c>
      <c r="AJ118" s="58">
        <v>316</v>
      </c>
      <c r="AK118" s="58">
        <v>270</v>
      </c>
      <c r="AL118" s="58">
        <v>277</v>
      </c>
      <c r="AM118" s="58">
        <v>265</v>
      </c>
      <c r="AN118" s="58">
        <v>256</v>
      </c>
      <c r="AO118" s="58">
        <v>250</v>
      </c>
      <c r="AP118" s="58">
        <v>232</v>
      </c>
      <c r="AQ118" s="58">
        <v>163</v>
      </c>
      <c r="AR118" s="58">
        <v>57</v>
      </c>
      <c r="AS118" s="58">
        <v>0</v>
      </c>
      <c r="AT118" s="58">
        <v>0</v>
      </c>
      <c r="AU118" s="58">
        <v>0</v>
      </c>
      <c r="AV118" s="58">
        <v>0</v>
      </c>
      <c r="AW118" s="58">
        <v>0</v>
      </c>
      <c r="AX118" s="58">
        <v>0</v>
      </c>
      <c r="AY118" s="58">
        <v>0</v>
      </c>
      <c r="AZ118" s="58">
        <v>0</v>
      </c>
      <c r="BA118" s="58">
        <v>0</v>
      </c>
      <c r="BB118" s="58">
        <v>0</v>
      </c>
      <c r="BC118" s="58">
        <v>0</v>
      </c>
      <c r="BD118" s="58">
        <v>0</v>
      </c>
      <c r="BE118" s="58">
        <v>0</v>
      </c>
      <c r="BF118" s="58">
        <v>0</v>
      </c>
      <c r="BG118" s="58">
        <v>0</v>
      </c>
      <c r="BH118" s="58">
        <f>SUM(D118:BG118)</f>
        <v>9522</v>
      </c>
    </row>
    <row r="119" spans="1:60">
      <c r="A119" s="56" t="s">
        <v>197</v>
      </c>
      <c r="B119" s="56" t="s">
        <v>189</v>
      </c>
      <c r="C119" s="56" t="s">
        <v>81</v>
      </c>
      <c r="D119" s="58">
        <v>0</v>
      </c>
      <c r="E119" s="58">
        <v>0</v>
      </c>
      <c r="F119" s="58">
        <v>0</v>
      </c>
      <c r="G119" s="58">
        <v>0</v>
      </c>
      <c r="H119" s="58">
        <v>7</v>
      </c>
      <c r="I119" s="58">
        <v>35</v>
      </c>
      <c r="J119" s="58">
        <v>150</v>
      </c>
      <c r="K119" s="58">
        <v>155</v>
      </c>
      <c r="L119" s="58">
        <v>192</v>
      </c>
      <c r="M119" s="58">
        <v>260</v>
      </c>
      <c r="N119" s="58">
        <v>252</v>
      </c>
      <c r="O119" s="58">
        <v>240</v>
      </c>
      <c r="P119" s="58">
        <v>270</v>
      </c>
      <c r="Q119" s="58">
        <v>315</v>
      </c>
      <c r="R119" s="58">
        <v>289</v>
      </c>
      <c r="S119" s="58">
        <v>313</v>
      </c>
      <c r="T119" s="58">
        <v>293</v>
      </c>
      <c r="U119" s="58">
        <v>285</v>
      </c>
      <c r="V119" s="58">
        <v>257</v>
      </c>
      <c r="W119" s="58">
        <v>240</v>
      </c>
      <c r="X119" s="58">
        <v>229</v>
      </c>
      <c r="Y119" s="58">
        <v>228</v>
      </c>
      <c r="Z119" s="58">
        <v>224</v>
      </c>
      <c r="AA119" s="58">
        <v>174</v>
      </c>
      <c r="AB119" s="58">
        <v>228</v>
      </c>
      <c r="AC119" s="58">
        <v>258</v>
      </c>
      <c r="AD119" s="58">
        <v>251</v>
      </c>
      <c r="AE119" s="58">
        <v>272</v>
      </c>
      <c r="AF119" s="58">
        <v>253</v>
      </c>
      <c r="AG119" s="58">
        <v>232</v>
      </c>
      <c r="AH119" s="58">
        <v>277</v>
      </c>
      <c r="AI119" s="58">
        <v>205</v>
      </c>
      <c r="AJ119" s="58">
        <v>256</v>
      </c>
      <c r="AK119" s="58">
        <v>260</v>
      </c>
      <c r="AL119" s="58">
        <v>222</v>
      </c>
      <c r="AM119" s="58">
        <v>242</v>
      </c>
      <c r="AN119" s="58">
        <v>203</v>
      </c>
      <c r="AO119" s="58">
        <v>207</v>
      </c>
      <c r="AP119" s="58">
        <v>190</v>
      </c>
      <c r="AQ119" s="58">
        <v>143</v>
      </c>
      <c r="AR119" s="58">
        <v>59</v>
      </c>
      <c r="AS119" s="58">
        <v>0</v>
      </c>
      <c r="AT119" s="58">
        <v>0</v>
      </c>
      <c r="AU119" s="58">
        <v>0</v>
      </c>
      <c r="AV119" s="58">
        <v>0</v>
      </c>
      <c r="AW119" s="58">
        <v>0</v>
      </c>
      <c r="AX119" s="58">
        <v>0</v>
      </c>
      <c r="AY119" s="58">
        <v>0</v>
      </c>
      <c r="AZ119" s="58">
        <v>0</v>
      </c>
      <c r="BA119" s="58">
        <v>0</v>
      </c>
      <c r="BB119" s="58">
        <v>0</v>
      </c>
      <c r="BC119" s="58">
        <v>0</v>
      </c>
      <c r="BD119" s="58">
        <v>0</v>
      </c>
      <c r="BE119" s="58">
        <v>0</v>
      </c>
      <c r="BF119" s="58">
        <v>0</v>
      </c>
      <c r="BG119" s="58">
        <v>0</v>
      </c>
      <c r="BH119" s="58">
        <f>SUM(D119:BG119)</f>
        <v>8166</v>
      </c>
    </row>
    <row r="120" spans="1:60">
      <c r="A120" s="56" t="s">
        <v>198</v>
      </c>
      <c r="B120" s="56" t="s">
        <v>189</v>
      </c>
      <c r="C120" s="56" t="s">
        <v>83</v>
      </c>
      <c r="D120" s="58">
        <v>0</v>
      </c>
      <c r="E120" s="58">
        <v>0</v>
      </c>
      <c r="F120" s="58">
        <v>0</v>
      </c>
      <c r="G120" s="58">
        <v>0</v>
      </c>
      <c r="H120" s="58">
        <v>7</v>
      </c>
      <c r="I120" s="58">
        <v>48</v>
      </c>
      <c r="J120" s="58">
        <v>158</v>
      </c>
      <c r="K120" s="58">
        <v>163</v>
      </c>
      <c r="L120" s="58">
        <v>224</v>
      </c>
      <c r="M120" s="58">
        <v>219</v>
      </c>
      <c r="N120" s="58">
        <v>267</v>
      </c>
      <c r="O120" s="58">
        <v>255</v>
      </c>
      <c r="P120" s="58">
        <v>297</v>
      </c>
      <c r="Q120" s="58">
        <v>307</v>
      </c>
      <c r="R120" s="58">
        <v>330</v>
      </c>
      <c r="S120" s="58">
        <v>284</v>
      </c>
      <c r="T120" s="58">
        <v>311</v>
      </c>
      <c r="U120" s="58">
        <v>317</v>
      </c>
      <c r="V120" s="58">
        <v>282</v>
      </c>
      <c r="W120" s="58">
        <v>290</v>
      </c>
      <c r="X120" s="58">
        <v>234</v>
      </c>
      <c r="Y120" s="58">
        <v>244</v>
      </c>
      <c r="Z120" s="58">
        <v>227</v>
      </c>
      <c r="AA120" s="58">
        <v>226</v>
      </c>
      <c r="AB120" s="58">
        <v>246</v>
      </c>
      <c r="AC120" s="58">
        <v>293</v>
      </c>
      <c r="AD120" s="58">
        <v>275</v>
      </c>
      <c r="AE120" s="58">
        <v>278</v>
      </c>
      <c r="AF120" s="58">
        <v>297</v>
      </c>
      <c r="AG120" s="58">
        <v>296</v>
      </c>
      <c r="AH120" s="58">
        <v>283</v>
      </c>
      <c r="AI120" s="58">
        <v>294</v>
      </c>
      <c r="AJ120" s="58">
        <v>266</v>
      </c>
      <c r="AK120" s="58">
        <v>267</v>
      </c>
      <c r="AL120" s="58">
        <v>267</v>
      </c>
      <c r="AM120" s="58">
        <v>275</v>
      </c>
      <c r="AN120" s="58">
        <v>214</v>
      </c>
      <c r="AO120" s="58">
        <v>253</v>
      </c>
      <c r="AP120" s="58">
        <v>225</v>
      </c>
      <c r="AQ120" s="58">
        <v>158</v>
      </c>
      <c r="AR120" s="58">
        <v>83</v>
      </c>
      <c r="AS120" s="58">
        <v>0</v>
      </c>
      <c r="AT120" s="58">
        <v>0</v>
      </c>
      <c r="AU120" s="58">
        <v>0</v>
      </c>
      <c r="AV120" s="58">
        <v>0</v>
      </c>
      <c r="AW120" s="58">
        <v>0</v>
      </c>
      <c r="AX120" s="58">
        <v>0</v>
      </c>
      <c r="AY120" s="58">
        <v>0</v>
      </c>
      <c r="AZ120" s="58">
        <v>0</v>
      </c>
      <c r="BA120" s="58">
        <v>0</v>
      </c>
      <c r="BB120" s="58">
        <v>0</v>
      </c>
      <c r="BC120" s="58">
        <v>0</v>
      </c>
      <c r="BD120" s="58">
        <v>0</v>
      </c>
      <c r="BE120" s="58">
        <v>0</v>
      </c>
      <c r="BF120" s="58">
        <v>0</v>
      </c>
      <c r="BG120" s="58">
        <v>0</v>
      </c>
      <c r="BH120" s="58">
        <f>SUM(D120:BG120)</f>
        <v>8960</v>
      </c>
    </row>
    <row r="121" spans="1:60">
      <c r="A121" s="56" t="s">
        <v>199</v>
      </c>
      <c r="B121" s="56" t="s">
        <v>189</v>
      </c>
      <c r="C121" s="56" t="s">
        <v>85</v>
      </c>
      <c r="D121" s="58">
        <v>0</v>
      </c>
      <c r="E121" s="58">
        <v>0</v>
      </c>
      <c r="F121" s="58">
        <v>0</v>
      </c>
      <c r="G121" s="58">
        <v>0</v>
      </c>
      <c r="H121" s="58">
        <v>9</v>
      </c>
      <c r="I121" s="58">
        <v>56</v>
      </c>
      <c r="J121" s="58">
        <v>86</v>
      </c>
      <c r="K121" s="58">
        <v>91</v>
      </c>
      <c r="L121" s="58">
        <v>99</v>
      </c>
      <c r="M121" s="58">
        <v>111</v>
      </c>
      <c r="N121" s="58">
        <v>165</v>
      </c>
      <c r="O121" s="58">
        <v>144</v>
      </c>
      <c r="P121" s="58">
        <v>144</v>
      </c>
      <c r="Q121" s="58">
        <v>172</v>
      </c>
      <c r="R121" s="58">
        <v>187</v>
      </c>
      <c r="S121" s="58">
        <v>175</v>
      </c>
      <c r="T121" s="58">
        <v>187</v>
      </c>
      <c r="U121" s="58">
        <v>178</v>
      </c>
      <c r="V121" s="58">
        <v>141</v>
      </c>
      <c r="W121" s="58">
        <v>143</v>
      </c>
      <c r="X121" s="58">
        <v>127</v>
      </c>
      <c r="Y121" s="58">
        <v>121</v>
      </c>
      <c r="Z121" s="58">
        <v>125</v>
      </c>
      <c r="AA121" s="58">
        <v>121</v>
      </c>
      <c r="AB121" s="58">
        <v>153</v>
      </c>
      <c r="AC121" s="58">
        <v>163</v>
      </c>
      <c r="AD121" s="58">
        <v>150</v>
      </c>
      <c r="AE121" s="58">
        <v>160</v>
      </c>
      <c r="AF121" s="58">
        <v>145</v>
      </c>
      <c r="AG121" s="58">
        <v>156</v>
      </c>
      <c r="AH121" s="58">
        <v>160</v>
      </c>
      <c r="AI121" s="58">
        <v>135</v>
      </c>
      <c r="AJ121" s="58">
        <v>165</v>
      </c>
      <c r="AK121" s="58">
        <v>142</v>
      </c>
      <c r="AL121" s="58">
        <v>135</v>
      </c>
      <c r="AM121" s="58">
        <v>145</v>
      </c>
      <c r="AN121" s="58">
        <v>117</v>
      </c>
      <c r="AO121" s="58">
        <v>122</v>
      </c>
      <c r="AP121" s="58">
        <v>133</v>
      </c>
      <c r="AQ121" s="58">
        <v>86</v>
      </c>
      <c r="AR121" s="58">
        <v>51</v>
      </c>
      <c r="AS121" s="58">
        <v>22</v>
      </c>
      <c r="AT121" s="58">
        <v>12</v>
      </c>
      <c r="AU121" s="58">
        <v>21</v>
      </c>
      <c r="AV121" s="58">
        <v>6</v>
      </c>
      <c r="AW121" s="58">
        <v>0</v>
      </c>
      <c r="AX121" s="58">
        <v>0</v>
      </c>
      <c r="AY121" s="58">
        <v>0</v>
      </c>
      <c r="AZ121" s="58">
        <v>0</v>
      </c>
      <c r="BA121" s="58">
        <v>0</v>
      </c>
      <c r="BB121" s="58">
        <v>0</v>
      </c>
      <c r="BC121" s="58">
        <v>0</v>
      </c>
      <c r="BD121" s="58">
        <v>0</v>
      </c>
      <c r="BE121" s="58">
        <v>0</v>
      </c>
      <c r="BF121" s="58">
        <v>0</v>
      </c>
      <c r="BG121" s="58">
        <v>0</v>
      </c>
      <c r="BH121" s="58">
        <f>SUM(D121:BG121)</f>
        <v>4961</v>
      </c>
    </row>
    <row r="122" spans="1:60">
      <c r="A122" s="56" t="s">
        <v>200</v>
      </c>
      <c r="B122" s="56" t="s">
        <v>189</v>
      </c>
      <c r="C122" s="56" t="s">
        <v>87</v>
      </c>
      <c r="D122" s="58">
        <v>0</v>
      </c>
      <c r="E122" s="58">
        <v>0</v>
      </c>
      <c r="F122" s="58">
        <v>0</v>
      </c>
      <c r="G122" s="58">
        <v>0</v>
      </c>
      <c r="H122" s="58">
        <v>6</v>
      </c>
      <c r="I122" s="58">
        <v>61</v>
      </c>
      <c r="J122" s="58">
        <v>183</v>
      </c>
      <c r="K122" s="58">
        <v>173</v>
      </c>
      <c r="L122" s="58">
        <v>206</v>
      </c>
      <c r="M122" s="58">
        <v>274</v>
      </c>
      <c r="N122" s="58">
        <v>238</v>
      </c>
      <c r="O122" s="58">
        <v>275</v>
      </c>
      <c r="P122" s="58">
        <v>304</v>
      </c>
      <c r="Q122" s="58">
        <v>351</v>
      </c>
      <c r="R122" s="58">
        <v>299</v>
      </c>
      <c r="S122" s="58">
        <v>303</v>
      </c>
      <c r="T122" s="58">
        <v>338</v>
      </c>
      <c r="U122" s="58">
        <v>272</v>
      </c>
      <c r="V122" s="58">
        <v>284</v>
      </c>
      <c r="W122" s="58">
        <v>260</v>
      </c>
      <c r="X122" s="58">
        <v>236</v>
      </c>
      <c r="Y122" s="58">
        <v>239</v>
      </c>
      <c r="Z122" s="58">
        <v>238</v>
      </c>
      <c r="AA122" s="58">
        <v>235</v>
      </c>
      <c r="AB122" s="58">
        <v>294</v>
      </c>
      <c r="AC122" s="58">
        <v>300</v>
      </c>
      <c r="AD122" s="58">
        <v>308</v>
      </c>
      <c r="AE122" s="58">
        <v>313</v>
      </c>
      <c r="AF122" s="58">
        <v>293</v>
      </c>
      <c r="AG122" s="58">
        <v>304</v>
      </c>
      <c r="AH122" s="58">
        <v>293</v>
      </c>
      <c r="AI122" s="58">
        <v>261</v>
      </c>
      <c r="AJ122" s="58">
        <v>313</v>
      </c>
      <c r="AK122" s="58">
        <v>264</v>
      </c>
      <c r="AL122" s="58">
        <v>254</v>
      </c>
      <c r="AM122" s="58">
        <v>249</v>
      </c>
      <c r="AN122" s="58">
        <v>257</v>
      </c>
      <c r="AO122" s="58">
        <v>271</v>
      </c>
      <c r="AP122" s="58">
        <v>239</v>
      </c>
      <c r="AQ122" s="58">
        <v>172</v>
      </c>
      <c r="AR122" s="58">
        <v>76</v>
      </c>
      <c r="AS122" s="58">
        <v>0</v>
      </c>
      <c r="AT122" s="58">
        <v>6</v>
      </c>
      <c r="AU122" s="58">
        <v>0</v>
      </c>
      <c r="AV122" s="58">
        <v>0</v>
      </c>
      <c r="AW122" s="58">
        <v>0</v>
      </c>
      <c r="AX122" s="58">
        <v>1</v>
      </c>
      <c r="AY122" s="58">
        <v>0</v>
      </c>
      <c r="AZ122" s="58">
        <v>0</v>
      </c>
      <c r="BA122" s="58">
        <v>0</v>
      </c>
      <c r="BB122" s="58">
        <v>0</v>
      </c>
      <c r="BC122" s="58">
        <v>0</v>
      </c>
      <c r="BD122" s="58">
        <v>0</v>
      </c>
      <c r="BE122" s="58">
        <v>0</v>
      </c>
      <c r="BF122" s="58">
        <v>0</v>
      </c>
      <c r="BG122" s="58">
        <v>0</v>
      </c>
      <c r="BH122" s="58">
        <f>SUM(D122:BG122)</f>
        <v>9243</v>
      </c>
    </row>
    <row r="123" spans="1:60">
      <c r="A123" s="56" t="s">
        <v>201</v>
      </c>
      <c r="B123" s="56" t="s">
        <v>189</v>
      </c>
      <c r="C123" s="56" t="s">
        <v>89</v>
      </c>
      <c r="D123" s="58">
        <v>0</v>
      </c>
      <c r="E123" s="58">
        <v>0</v>
      </c>
      <c r="F123" s="58">
        <v>0</v>
      </c>
      <c r="G123" s="58">
        <v>0</v>
      </c>
      <c r="H123" s="58">
        <v>33</v>
      </c>
      <c r="I123" s="58">
        <v>129</v>
      </c>
      <c r="J123" s="58">
        <v>245</v>
      </c>
      <c r="K123" s="58">
        <v>249</v>
      </c>
      <c r="L123" s="58">
        <v>280</v>
      </c>
      <c r="M123" s="58">
        <v>334</v>
      </c>
      <c r="N123" s="58">
        <v>351</v>
      </c>
      <c r="O123" s="58">
        <v>391</v>
      </c>
      <c r="P123" s="58">
        <v>381</v>
      </c>
      <c r="Q123" s="58">
        <v>390</v>
      </c>
      <c r="R123" s="58">
        <v>360</v>
      </c>
      <c r="S123" s="58">
        <v>374</v>
      </c>
      <c r="T123" s="58">
        <v>390</v>
      </c>
      <c r="U123" s="58">
        <v>351</v>
      </c>
      <c r="V123" s="58">
        <v>361</v>
      </c>
      <c r="W123" s="58">
        <v>323</v>
      </c>
      <c r="X123" s="58">
        <v>291</v>
      </c>
      <c r="Y123" s="58">
        <v>282</v>
      </c>
      <c r="Z123" s="58">
        <v>295</v>
      </c>
      <c r="AA123" s="58">
        <v>270</v>
      </c>
      <c r="AB123" s="58">
        <v>349</v>
      </c>
      <c r="AC123" s="58">
        <v>294</v>
      </c>
      <c r="AD123" s="58">
        <v>328</v>
      </c>
      <c r="AE123" s="58">
        <v>339</v>
      </c>
      <c r="AF123" s="58">
        <v>348</v>
      </c>
      <c r="AG123" s="58">
        <v>362</v>
      </c>
      <c r="AH123" s="58">
        <v>342</v>
      </c>
      <c r="AI123" s="58">
        <v>380</v>
      </c>
      <c r="AJ123" s="58">
        <v>316</v>
      </c>
      <c r="AK123" s="58">
        <v>348</v>
      </c>
      <c r="AL123" s="58">
        <v>339</v>
      </c>
      <c r="AM123" s="58">
        <v>275</v>
      </c>
      <c r="AN123" s="58">
        <v>289</v>
      </c>
      <c r="AO123" s="58">
        <v>281</v>
      </c>
      <c r="AP123" s="58">
        <v>308</v>
      </c>
      <c r="AQ123" s="58">
        <v>195</v>
      </c>
      <c r="AR123" s="58">
        <v>65</v>
      </c>
      <c r="AS123" s="58">
        <v>6</v>
      </c>
      <c r="AT123" s="58">
        <v>5</v>
      </c>
      <c r="AU123" s="58">
        <v>1</v>
      </c>
      <c r="AV123" s="58">
        <v>3</v>
      </c>
      <c r="AW123" s="58">
        <v>2</v>
      </c>
      <c r="AX123" s="58">
        <v>0</v>
      </c>
      <c r="AY123" s="58">
        <v>2</v>
      </c>
      <c r="AZ123" s="58">
        <v>0</v>
      </c>
      <c r="BA123" s="58">
        <v>0</v>
      </c>
      <c r="BB123" s="58">
        <v>0</v>
      </c>
      <c r="BC123" s="58">
        <v>0</v>
      </c>
      <c r="BD123" s="58">
        <v>0</v>
      </c>
      <c r="BE123" s="58">
        <v>0</v>
      </c>
      <c r="BF123" s="58">
        <v>0</v>
      </c>
      <c r="BG123" s="58">
        <v>0</v>
      </c>
      <c r="BH123" s="58">
        <f>SUM(D123:BG123)</f>
        <v>11257</v>
      </c>
    </row>
    <row r="125" spans="1:60">
      <c r="A125" s="12" t="s">
        <v>202</v>
      </c>
    </row>
    <row r="126" spans="1:60">
      <c r="A126" s="55" t="s">
        <v>3</v>
      </c>
      <c r="B126" s="55" t="s">
        <v>4</v>
      </c>
      <c r="C126" s="55" t="s">
        <v>203</v>
      </c>
      <c r="D126" s="55" t="s">
        <v>6</v>
      </c>
      <c r="E126" s="55" t="s">
        <v>7</v>
      </c>
      <c r="F126" s="55" t="s">
        <v>8</v>
      </c>
      <c r="G126" s="55" t="s">
        <v>9</v>
      </c>
      <c r="H126" s="55" t="s">
        <v>10</v>
      </c>
      <c r="I126" s="55" t="s">
        <v>11</v>
      </c>
      <c r="J126" s="55" t="s">
        <v>12</v>
      </c>
      <c r="K126" s="55" t="s">
        <v>13</v>
      </c>
      <c r="L126" s="55" t="s">
        <v>14</v>
      </c>
      <c r="M126" s="55" t="s">
        <v>15</v>
      </c>
      <c r="N126" s="55" t="s">
        <v>16</v>
      </c>
      <c r="O126" s="55" t="s">
        <v>17</v>
      </c>
      <c r="P126" s="55" t="s">
        <v>18</v>
      </c>
      <c r="Q126" s="55" t="s">
        <v>19</v>
      </c>
      <c r="R126" s="55" t="s">
        <v>20</v>
      </c>
      <c r="S126" s="55" t="s">
        <v>21</v>
      </c>
      <c r="T126" s="55" t="s">
        <v>22</v>
      </c>
      <c r="U126" s="55" t="s">
        <v>23</v>
      </c>
      <c r="V126" s="55" t="s">
        <v>24</v>
      </c>
      <c r="W126" s="55" t="s">
        <v>25</v>
      </c>
      <c r="X126" s="55" t="s">
        <v>26</v>
      </c>
      <c r="Y126" s="55" t="s">
        <v>27</v>
      </c>
      <c r="Z126" s="55" t="s">
        <v>28</v>
      </c>
      <c r="AA126" s="55" t="s">
        <v>29</v>
      </c>
      <c r="AB126" s="55" t="s">
        <v>30</v>
      </c>
      <c r="AC126" s="55" t="s">
        <v>31</v>
      </c>
      <c r="AD126" s="55" t="s">
        <v>32</v>
      </c>
      <c r="AE126" s="55" t="s">
        <v>33</v>
      </c>
      <c r="AF126" s="55" t="s">
        <v>34</v>
      </c>
      <c r="AG126" s="55" t="s">
        <v>35</v>
      </c>
      <c r="AH126" s="55" t="s">
        <v>36</v>
      </c>
      <c r="AI126" s="55" t="s">
        <v>37</v>
      </c>
      <c r="AJ126" s="55" t="s">
        <v>38</v>
      </c>
      <c r="AK126" s="55" t="s">
        <v>39</v>
      </c>
      <c r="AL126" s="55" t="s">
        <v>40</v>
      </c>
      <c r="AM126" s="55" t="s">
        <v>41</v>
      </c>
      <c r="AN126" s="55" t="s">
        <v>42</v>
      </c>
      <c r="AO126" s="55" t="s">
        <v>43</v>
      </c>
      <c r="AP126" s="55" t="s">
        <v>44</v>
      </c>
      <c r="AQ126" s="55" t="s">
        <v>45</v>
      </c>
      <c r="AR126" s="55" t="s">
        <v>46</v>
      </c>
      <c r="AS126" s="55" t="s">
        <v>47</v>
      </c>
      <c r="AT126" s="55" t="s">
        <v>48</v>
      </c>
      <c r="AU126" s="55" t="s">
        <v>49</v>
      </c>
      <c r="AV126" s="55" t="s">
        <v>50</v>
      </c>
      <c r="AW126" s="55" t="s">
        <v>51</v>
      </c>
      <c r="AX126" s="55" t="s">
        <v>52</v>
      </c>
      <c r="AY126" s="55" t="s">
        <v>53</v>
      </c>
      <c r="AZ126" s="55" t="s">
        <v>54</v>
      </c>
      <c r="BA126" s="55" t="s">
        <v>55</v>
      </c>
      <c r="BB126" s="55" t="s">
        <v>56</v>
      </c>
      <c r="BC126" s="55" t="s">
        <v>57</v>
      </c>
      <c r="BD126" s="55" t="s">
        <v>58</v>
      </c>
      <c r="BE126" s="55" t="s">
        <v>59</v>
      </c>
      <c r="BF126" s="55" t="s">
        <v>60</v>
      </c>
      <c r="BG126" s="55" t="s">
        <v>61</v>
      </c>
      <c r="BH126" s="55" t="s">
        <v>62</v>
      </c>
    </row>
    <row r="127" spans="1:60">
      <c r="A127" s="56" t="s">
        <v>204</v>
      </c>
      <c r="B127" s="56" t="s">
        <v>64</v>
      </c>
      <c r="C127" s="56" t="s">
        <v>5</v>
      </c>
      <c r="D127" s="58">
        <v>0</v>
      </c>
      <c r="E127" s="58">
        <v>0</v>
      </c>
      <c r="F127" s="58">
        <v>0</v>
      </c>
      <c r="G127" s="58">
        <v>43</v>
      </c>
      <c r="H127" s="58">
        <v>314</v>
      </c>
      <c r="I127" s="58">
        <v>1645</v>
      </c>
      <c r="J127" s="58">
        <v>3375</v>
      </c>
      <c r="K127" s="58">
        <v>3651</v>
      </c>
      <c r="L127" s="58">
        <v>4070</v>
      </c>
      <c r="M127" s="58">
        <v>4388</v>
      </c>
      <c r="N127" s="58">
        <v>4651</v>
      </c>
      <c r="O127" s="58">
        <v>5014</v>
      </c>
      <c r="P127" s="58">
        <v>5180</v>
      </c>
      <c r="Q127" s="58">
        <v>5358</v>
      </c>
      <c r="R127" s="58">
        <v>5364</v>
      </c>
      <c r="S127" s="58">
        <v>5315</v>
      </c>
      <c r="T127" s="58">
        <v>5315</v>
      </c>
      <c r="U127" s="58">
        <v>5151</v>
      </c>
      <c r="V127" s="58">
        <v>4651</v>
      </c>
      <c r="W127" s="58">
        <v>4340</v>
      </c>
      <c r="X127" s="58">
        <v>4053</v>
      </c>
      <c r="Y127" s="58">
        <v>3956</v>
      </c>
      <c r="Z127" s="58">
        <v>3912</v>
      </c>
      <c r="AA127" s="58">
        <v>3861</v>
      </c>
      <c r="AB127" s="58">
        <v>4098</v>
      </c>
      <c r="AC127" s="58">
        <v>4396</v>
      </c>
      <c r="AD127" s="58">
        <v>4585</v>
      </c>
      <c r="AE127" s="58">
        <v>4738</v>
      </c>
      <c r="AF127" s="58">
        <v>4644</v>
      </c>
      <c r="AG127" s="58">
        <v>4648</v>
      </c>
      <c r="AH127" s="58">
        <v>4449</v>
      </c>
      <c r="AI127" s="58">
        <v>4363</v>
      </c>
      <c r="AJ127" s="58">
        <v>4279</v>
      </c>
      <c r="AK127" s="58">
        <v>4086</v>
      </c>
      <c r="AL127" s="58">
        <v>4051</v>
      </c>
      <c r="AM127" s="58">
        <v>3915</v>
      </c>
      <c r="AN127" s="58">
        <v>3831</v>
      </c>
      <c r="AO127" s="58">
        <v>3812</v>
      </c>
      <c r="AP127" s="58">
        <v>3524</v>
      </c>
      <c r="AQ127" s="58">
        <v>2601</v>
      </c>
      <c r="AR127" s="58">
        <v>1421</v>
      </c>
      <c r="AS127" s="58">
        <v>314</v>
      </c>
      <c r="AT127" s="58">
        <v>75</v>
      </c>
      <c r="AU127" s="58">
        <v>20</v>
      </c>
      <c r="AV127" s="58">
        <v>6</v>
      </c>
      <c r="AW127" s="58">
        <v>14</v>
      </c>
      <c r="AX127" s="58">
        <v>17</v>
      </c>
      <c r="AY127" s="58">
        <v>5</v>
      </c>
      <c r="AZ127" s="58">
        <v>3</v>
      </c>
      <c r="BA127" s="58">
        <v>3</v>
      </c>
      <c r="BB127" s="58">
        <v>0</v>
      </c>
      <c r="BC127" s="58">
        <v>0</v>
      </c>
      <c r="BD127" s="58">
        <v>0</v>
      </c>
      <c r="BE127" s="58">
        <v>0</v>
      </c>
      <c r="BF127" s="58">
        <v>0</v>
      </c>
      <c r="BG127" s="58">
        <v>0</v>
      </c>
      <c r="BH127" s="58">
        <f>SUM(D127:BG127)</f>
        <v>151505</v>
      </c>
    </row>
    <row r="128" spans="1:60">
      <c r="A128" s="56" t="s">
        <v>205</v>
      </c>
      <c r="B128" s="56" t="s">
        <v>64</v>
      </c>
      <c r="C128" s="56" t="s">
        <v>206</v>
      </c>
      <c r="D128" s="58">
        <v>0</v>
      </c>
      <c r="E128" s="58">
        <v>0</v>
      </c>
      <c r="F128" s="58">
        <v>2</v>
      </c>
      <c r="G128" s="58">
        <v>33</v>
      </c>
      <c r="H128" s="58">
        <v>344</v>
      </c>
      <c r="I128" s="58">
        <v>1404</v>
      </c>
      <c r="J128" s="58">
        <v>3116</v>
      </c>
      <c r="K128" s="58">
        <v>3250</v>
      </c>
      <c r="L128" s="58">
        <v>3918</v>
      </c>
      <c r="M128" s="58">
        <v>4194</v>
      </c>
      <c r="N128" s="58">
        <v>4543</v>
      </c>
      <c r="O128" s="58">
        <v>4846</v>
      </c>
      <c r="P128" s="58">
        <v>5149</v>
      </c>
      <c r="Q128" s="58">
        <v>5340</v>
      </c>
      <c r="R128" s="58">
        <v>5499</v>
      </c>
      <c r="S128" s="58">
        <v>5280</v>
      </c>
      <c r="T128" s="58">
        <v>5310</v>
      </c>
      <c r="U128" s="58">
        <v>4975</v>
      </c>
      <c r="V128" s="58">
        <v>4825</v>
      </c>
      <c r="W128" s="58">
        <v>4335</v>
      </c>
      <c r="X128" s="58">
        <v>4075</v>
      </c>
      <c r="Y128" s="58">
        <v>3978</v>
      </c>
      <c r="Z128" s="58">
        <v>3974</v>
      </c>
      <c r="AA128" s="58">
        <v>3916</v>
      </c>
      <c r="AB128" s="58">
        <v>4201</v>
      </c>
      <c r="AC128" s="58">
        <v>4699</v>
      </c>
      <c r="AD128" s="58">
        <v>4745</v>
      </c>
      <c r="AE128" s="58">
        <v>4901</v>
      </c>
      <c r="AF128" s="58">
        <v>4930</v>
      </c>
      <c r="AG128" s="58">
        <v>4789</v>
      </c>
      <c r="AH128" s="58">
        <v>4858</v>
      </c>
      <c r="AI128" s="58">
        <v>4526</v>
      </c>
      <c r="AJ128" s="58">
        <v>4440</v>
      </c>
      <c r="AK128" s="58">
        <v>4365</v>
      </c>
      <c r="AL128" s="58">
        <v>4284</v>
      </c>
      <c r="AM128" s="58">
        <v>4295</v>
      </c>
      <c r="AN128" s="58">
        <v>4218</v>
      </c>
      <c r="AO128" s="58">
        <v>3982</v>
      </c>
      <c r="AP128" s="58">
        <v>3540</v>
      </c>
      <c r="AQ128" s="58">
        <v>2872</v>
      </c>
      <c r="AR128" s="58">
        <v>1482</v>
      </c>
      <c r="AS128" s="58">
        <v>334</v>
      </c>
      <c r="AT128" s="58">
        <v>88</v>
      </c>
      <c r="AU128" s="58">
        <v>43</v>
      </c>
      <c r="AV128" s="58">
        <v>26</v>
      </c>
      <c r="AW128" s="58">
        <v>33</v>
      </c>
      <c r="AX128" s="58">
        <v>19</v>
      </c>
      <c r="AY128" s="58">
        <v>8</v>
      </c>
      <c r="AZ128" s="58">
        <v>11</v>
      </c>
      <c r="BA128" s="58">
        <v>0</v>
      </c>
      <c r="BB128" s="58">
        <v>0</v>
      </c>
      <c r="BC128" s="58">
        <v>1</v>
      </c>
      <c r="BD128" s="58">
        <v>2</v>
      </c>
      <c r="BE128" s="58">
        <v>0</v>
      </c>
      <c r="BF128" s="58">
        <v>0</v>
      </c>
      <c r="BG128" s="58">
        <v>0</v>
      </c>
      <c r="BH128" s="58">
        <f>SUM(D128:BG128)</f>
        <v>153998</v>
      </c>
    </row>
    <row r="129" spans="1:60">
      <c r="A129" s="56" t="s">
        <v>207</v>
      </c>
      <c r="B129" s="56" t="s">
        <v>64</v>
      </c>
      <c r="C129" s="56" t="s">
        <v>208</v>
      </c>
      <c r="D129" s="58">
        <v>0</v>
      </c>
      <c r="E129" s="58">
        <v>0</v>
      </c>
      <c r="F129" s="58">
        <v>0</v>
      </c>
      <c r="G129" s="58">
        <v>24</v>
      </c>
      <c r="H129" s="58">
        <v>287</v>
      </c>
      <c r="I129" s="58">
        <v>1258</v>
      </c>
      <c r="J129" s="58">
        <v>2958</v>
      </c>
      <c r="K129" s="58">
        <v>2987</v>
      </c>
      <c r="L129" s="58">
        <v>3620</v>
      </c>
      <c r="M129" s="58">
        <v>4089</v>
      </c>
      <c r="N129" s="58">
        <v>4421</v>
      </c>
      <c r="O129" s="58">
        <v>4691</v>
      </c>
      <c r="P129" s="58">
        <v>5003</v>
      </c>
      <c r="Q129" s="58">
        <v>5211</v>
      </c>
      <c r="R129" s="58">
        <v>5084</v>
      </c>
      <c r="S129" s="58">
        <v>5154</v>
      </c>
      <c r="T129" s="58">
        <v>5161</v>
      </c>
      <c r="U129" s="58">
        <v>4803</v>
      </c>
      <c r="V129" s="58">
        <v>4633</v>
      </c>
      <c r="W129" s="58">
        <v>4194</v>
      </c>
      <c r="X129" s="58">
        <v>4017</v>
      </c>
      <c r="Y129" s="58">
        <v>3842</v>
      </c>
      <c r="Z129" s="58">
        <v>3892</v>
      </c>
      <c r="AA129" s="58">
        <v>3838</v>
      </c>
      <c r="AB129" s="58">
        <v>4145</v>
      </c>
      <c r="AC129" s="58">
        <v>4477</v>
      </c>
      <c r="AD129" s="58">
        <v>4628</v>
      </c>
      <c r="AE129" s="58">
        <v>4931</v>
      </c>
      <c r="AF129" s="58">
        <v>4800</v>
      </c>
      <c r="AG129" s="58">
        <v>4737</v>
      </c>
      <c r="AH129" s="58">
        <v>4808</v>
      </c>
      <c r="AI129" s="58">
        <v>4575</v>
      </c>
      <c r="AJ129" s="58">
        <v>4404</v>
      </c>
      <c r="AK129" s="58">
        <v>4410</v>
      </c>
      <c r="AL129" s="58">
        <v>4405</v>
      </c>
      <c r="AM129" s="58">
        <v>4012</v>
      </c>
      <c r="AN129" s="58">
        <v>4079</v>
      </c>
      <c r="AO129" s="58">
        <v>3928</v>
      </c>
      <c r="AP129" s="58">
        <v>3550</v>
      </c>
      <c r="AQ129" s="58">
        <v>2689</v>
      </c>
      <c r="AR129" s="58">
        <v>1448</v>
      </c>
      <c r="AS129" s="58">
        <v>309</v>
      </c>
      <c r="AT129" s="58">
        <v>60</v>
      </c>
      <c r="AU129" s="58">
        <v>16</v>
      </c>
      <c r="AV129" s="58">
        <v>7</v>
      </c>
      <c r="AW129" s="58">
        <v>6</v>
      </c>
      <c r="AX129" s="58">
        <v>8</v>
      </c>
      <c r="AY129" s="58">
        <v>3</v>
      </c>
      <c r="AZ129" s="58">
        <v>0</v>
      </c>
      <c r="BA129" s="58">
        <v>0</v>
      </c>
      <c r="BB129" s="58">
        <v>0</v>
      </c>
      <c r="BC129" s="58">
        <v>0</v>
      </c>
      <c r="BD129" s="58">
        <v>0</v>
      </c>
      <c r="BE129" s="58">
        <v>0</v>
      </c>
      <c r="BF129" s="58">
        <v>0</v>
      </c>
      <c r="BG129" s="58">
        <v>0</v>
      </c>
      <c r="BH129" s="58">
        <f>SUM(D129:BG129)</f>
        <v>149602</v>
      </c>
    </row>
    <row r="130" spans="1:60">
      <c r="A130" s="56" t="s">
        <v>209</v>
      </c>
      <c r="B130" s="56" t="s">
        <v>64</v>
      </c>
      <c r="C130" s="56" t="s">
        <v>210</v>
      </c>
      <c r="D130" s="58">
        <v>0</v>
      </c>
      <c r="E130" s="58">
        <v>0</v>
      </c>
      <c r="F130" s="58">
        <v>0</v>
      </c>
      <c r="G130" s="58">
        <v>36</v>
      </c>
      <c r="H130" s="58">
        <v>266</v>
      </c>
      <c r="I130" s="58">
        <v>1215</v>
      </c>
      <c r="J130" s="58">
        <v>2748</v>
      </c>
      <c r="K130" s="58">
        <v>3056</v>
      </c>
      <c r="L130" s="58">
        <v>3414</v>
      </c>
      <c r="M130" s="58">
        <v>4033</v>
      </c>
      <c r="N130" s="58">
        <v>4356</v>
      </c>
      <c r="O130" s="58">
        <v>4671</v>
      </c>
      <c r="P130" s="58">
        <v>4894</v>
      </c>
      <c r="Q130" s="58">
        <v>5092</v>
      </c>
      <c r="R130" s="58">
        <v>4995</v>
      </c>
      <c r="S130" s="58">
        <v>5089</v>
      </c>
      <c r="T130" s="58">
        <v>5119</v>
      </c>
      <c r="U130" s="58">
        <v>4853</v>
      </c>
      <c r="V130" s="58">
        <v>4557</v>
      </c>
      <c r="W130" s="58">
        <v>4132</v>
      </c>
      <c r="X130" s="58">
        <v>3916</v>
      </c>
      <c r="Y130" s="58">
        <v>3829</v>
      </c>
      <c r="Z130" s="58">
        <v>3775</v>
      </c>
      <c r="AA130" s="58">
        <v>3886</v>
      </c>
      <c r="AB130" s="58">
        <v>4207</v>
      </c>
      <c r="AC130" s="58">
        <v>4642</v>
      </c>
      <c r="AD130" s="58">
        <v>4672</v>
      </c>
      <c r="AE130" s="58">
        <v>4834</v>
      </c>
      <c r="AF130" s="58">
        <v>4917</v>
      </c>
      <c r="AG130" s="58">
        <v>4893</v>
      </c>
      <c r="AH130" s="58">
        <v>4921</v>
      </c>
      <c r="AI130" s="58">
        <v>4766</v>
      </c>
      <c r="AJ130" s="58">
        <v>4698</v>
      </c>
      <c r="AK130" s="58">
        <v>4598</v>
      </c>
      <c r="AL130" s="58">
        <v>4462</v>
      </c>
      <c r="AM130" s="58">
        <v>4305</v>
      </c>
      <c r="AN130" s="58">
        <v>4079</v>
      </c>
      <c r="AO130" s="58">
        <v>4044</v>
      </c>
      <c r="AP130" s="58">
        <v>3685</v>
      </c>
      <c r="AQ130" s="58">
        <v>2755</v>
      </c>
      <c r="AR130" s="58">
        <v>1481</v>
      </c>
      <c r="AS130" s="58">
        <v>364</v>
      </c>
      <c r="AT130" s="58">
        <v>92</v>
      </c>
      <c r="AU130" s="58">
        <v>66</v>
      </c>
      <c r="AV130" s="58">
        <v>71</v>
      </c>
      <c r="AW130" s="58">
        <v>74</v>
      </c>
      <c r="AX130" s="58">
        <v>72</v>
      </c>
      <c r="AY130" s="58">
        <v>57</v>
      </c>
      <c r="AZ130" s="58">
        <v>63</v>
      </c>
      <c r="BA130" s="58">
        <v>37</v>
      </c>
      <c r="BB130" s="58">
        <v>14</v>
      </c>
      <c r="BC130" s="58">
        <v>4</v>
      </c>
      <c r="BD130" s="58">
        <v>1</v>
      </c>
      <c r="BE130" s="58">
        <v>0</v>
      </c>
      <c r="BF130" s="58">
        <v>0</v>
      </c>
      <c r="BG130" s="58">
        <v>0</v>
      </c>
      <c r="BH130" s="58">
        <f>SUM(D130:BG130)</f>
        <v>150806</v>
      </c>
    </row>
    <row r="131" spans="1:60">
      <c r="A131" s="56" t="s">
        <v>211</v>
      </c>
      <c r="B131" s="56" t="s">
        <v>64</v>
      </c>
      <c r="C131" s="56" t="s">
        <v>212</v>
      </c>
      <c r="D131" s="58">
        <v>0</v>
      </c>
      <c r="E131" s="58">
        <v>0</v>
      </c>
      <c r="F131" s="58">
        <v>1</v>
      </c>
      <c r="G131" s="58">
        <v>37</v>
      </c>
      <c r="H131" s="58">
        <v>315</v>
      </c>
      <c r="I131" s="58">
        <v>1264</v>
      </c>
      <c r="J131" s="58">
        <v>2932</v>
      </c>
      <c r="K131" s="58">
        <v>3282</v>
      </c>
      <c r="L131" s="58">
        <v>3617</v>
      </c>
      <c r="M131" s="58">
        <v>4162</v>
      </c>
      <c r="N131" s="58">
        <v>4403</v>
      </c>
      <c r="O131" s="58">
        <v>4515</v>
      </c>
      <c r="P131" s="58">
        <v>4835</v>
      </c>
      <c r="Q131" s="58">
        <v>5048</v>
      </c>
      <c r="R131" s="58">
        <v>5137</v>
      </c>
      <c r="S131" s="58">
        <v>5207</v>
      </c>
      <c r="T131" s="58">
        <v>4933</v>
      </c>
      <c r="U131" s="58">
        <v>4811</v>
      </c>
      <c r="V131" s="58">
        <v>4546</v>
      </c>
      <c r="W131" s="58">
        <v>4233</v>
      </c>
      <c r="X131" s="58">
        <v>3944</v>
      </c>
      <c r="Y131" s="58">
        <v>3891</v>
      </c>
      <c r="Z131" s="58">
        <v>3844</v>
      </c>
      <c r="AA131" s="58">
        <v>3937</v>
      </c>
      <c r="AB131" s="58">
        <v>4286</v>
      </c>
      <c r="AC131" s="58">
        <v>4619</v>
      </c>
      <c r="AD131" s="58">
        <v>4832</v>
      </c>
      <c r="AE131" s="58">
        <v>4901</v>
      </c>
      <c r="AF131" s="58">
        <v>4850</v>
      </c>
      <c r="AG131" s="58">
        <v>5012</v>
      </c>
      <c r="AH131" s="58">
        <v>4697</v>
      </c>
      <c r="AI131" s="58">
        <v>4696</v>
      </c>
      <c r="AJ131" s="58">
        <v>4567</v>
      </c>
      <c r="AK131" s="58">
        <v>4410</v>
      </c>
      <c r="AL131" s="58">
        <v>4580</v>
      </c>
      <c r="AM131" s="58">
        <v>4379</v>
      </c>
      <c r="AN131" s="58">
        <v>4453</v>
      </c>
      <c r="AO131" s="58">
        <v>4384</v>
      </c>
      <c r="AP131" s="58">
        <v>4053</v>
      </c>
      <c r="AQ131" s="58">
        <v>3100</v>
      </c>
      <c r="AR131" s="58">
        <v>1624</v>
      </c>
      <c r="AS131" s="58">
        <v>439</v>
      </c>
      <c r="AT131" s="58">
        <v>101</v>
      </c>
      <c r="AU131" s="58">
        <v>30</v>
      </c>
      <c r="AV131" s="58">
        <v>13</v>
      </c>
      <c r="AW131" s="58">
        <v>12</v>
      </c>
      <c r="AX131" s="58">
        <v>8</v>
      </c>
      <c r="AY131" s="58">
        <v>6</v>
      </c>
      <c r="AZ131" s="58">
        <v>0</v>
      </c>
      <c r="BA131" s="58">
        <v>0</v>
      </c>
      <c r="BB131" s="58">
        <v>0</v>
      </c>
      <c r="BC131" s="58">
        <v>0</v>
      </c>
      <c r="BD131" s="58">
        <v>0</v>
      </c>
      <c r="BE131" s="58">
        <v>0</v>
      </c>
      <c r="BF131" s="58">
        <v>0</v>
      </c>
      <c r="BG131" s="58">
        <v>0</v>
      </c>
      <c r="BH131" s="58">
        <f>SUM(D131:BG131)</f>
        <v>152946</v>
      </c>
    </row>
    <row r="132" spans="1:60">
      <c r="A132" s="56" t="s">
        <v>213</v>
      </c>
      <c r="B132" s="56" t="s">
        <v>64</v>
      </c>
      <c r="C132" s="56" t="s">
        <v>214</v>
      </c>
      <c r="D132" s="58">
        <v>0</v>
      </c>
      <c r="E132" s="58">
        <v>0</v>
      </c>
      <c r="F132" s="58">
        <v>0</v>
      </c>
      <c r="G132" s="58">
        <v>0</v>
      </c>
      <c r="H132" s="58">
        <v>1</v>
      </c>
      <c r="I132" s="58">
        <v>10</v>
      </c>
      <c r="J132" s="58">
        <v>19</v>
      </c>
      <c r="K132" s="58">
        <v>11</v>
      </c>
      <c r="L132" s="58">
        <v>10</v>
      </c>
      <c r="M132" s="58">
        <v>12</v>
      </c>
      <c r="N132" s="58">
        <v>14</v>
      </c>
      <c r="O132" s="58">
        <v>10</v>
      </c>
      <c r="P132" s="58">
        <v>9</v>
      </c>
      <c r="Q132" s="58">
        <v>8</v>
      </c>
      <c r="R132" s="58">
        <v>6</v>
      </c>
      <c r="S132" s="58">
        <v>11</v>
      </c>
      <c r="T132" s="58">
        <v>8</v>
      </c>
      <c r="U132" s="58">
        <v>12</v>
      </c>
      <c r="V132" s="58">
        <v>6</v>
      </c>
      <c r="W132" s="58">
        <v>13</v>
      </c>
      <c r="X132" s="58">
        <v>1</v>
      </c>
      <c r="Y132" s="58">
        <v>0</v>
      </c>
      <c r="Z132" s="58">
        <v>0</v>
      </c>
      <c r="AA132" s="58">
        <v>0</v>
      </c>
      <c r="AB132" s="58">
        <v>0</v>
      </c>
      <c r="AC132" s="58">
        <v>0</v>
      </c>
      <c r="AD132" s="58">
        <v>0</v>
      </c>
      <c r="AE132" s="58">
        <v>0</v>
      </c>
      <c r="AF132" s="58">
        <v>0</v>
      </c>
      <c r="AG132" s="58">
        <v>0</v>
      </c>
      <c r="AH132" s="58">
        <v>0</v>
      </c>
      <c r="AI132" s="58">
        <v>0</v>
      </c>
      <c r="AJ132" s="58">
        <v>0</v>
      </c>
      <c r="AK132" s="58">
        <v>0</v>
      </c>
      <c r="AL132" s="58">
        <v>3</v>
      </c>
      <c r="AM132" s="58">
        <v>3</v>
      </c>
      <c r="AN132" s="58">
        <v>31</v>
      </c>
      <c r="AO132" s="58">
        <v>8</v>
      </c>
      <c r="AP132" s="58">
        <v>10</v>
      </c>
      <c r="AQ132" s="58">
        <v>19</v>
      </c>
      <c r="AR132" s="58">
        <v>40</v>
      </c>
      <c r="AS132" s="58">
        <v>10</v>
      </c>
      <c r="AT132" s="58">
        <v>4</v>
      </c>
      <c r="AU132" s="58">
        <v>18</v>
      </c>
      <c r="AV132" s="58">
        <v>10</v>
      </c>
      <c r="AW132" s="58">
        <v>0</v>
      </c>
      <c r="AX132" s="58">
        <v>0</v>
      </c>
      <c r="AY132" s="58">
        <v>0</v>
      </c>
      <c r="AZ132" s="58">
        <v>0</v>
      </c>
      <c r="BA132" s="58">
        <v>0</v>
      </c>
      <c r="BB132" s="58">
        <v>0</v>
      </c>
      <c r="BC132" s="58">
        <v>0</v>
      </c>
      <c r="BD132" s="58">
        <v>0</v>
      </c>
      <c r="BE132" s="58">
        <v>0</v>
      </c>
      <c r="BF132" s="58">
        <v>0</v>
      </c>
      <c r="BG132" s="58">
        <v>0</v>
      </c>
      <c r="BH132" s="58">
        <f>SUM(D132:BG132)</f>
        <v>317</v>
      </c>
    </row>
    <row r="133" spans="1:60">
      <c r="A133" s="56" t="s">
        <v>215</v>
      </c>
      <c r="B133" s="56" t="s">
        <v>64</v>
      </c>
      <c r="C133" s="56" t="s">
        <v>216</v>
      </c>
      <c r="D133" s="58">
        <v>0</v>
      </c>
      <c r="E133" s="58">
        <v>0</v>
      </c>
      <c r="F133" s="58">
        <v>0</v>
      </c>
      <c r="G133" s="58">
        <v>10</v>
      </c>
      <c r="H133" s="58">
        <v>83</v>
      </c>
      <c r="I133" s="58">
        <v>189</v>
      </c>
      <c r="J133" s="58">
        <v>218</v>
      </c>
      <c r="K133" s="58">
        <v>190</v>
      </c>
      <c r="L133" s="58">
        <v>146</v>
      </c>
      <c r="M133" s="58">
        <v>164</v>
      </c>
      <c r="N133" s="58">
        <v>142</v>
      </c>
      <c r="O133" s="58">
        <v>164</v>
      </c>
      <c r="P133" s="58">
        <v>130</v>
      </c>
      <c r="Q133" s="58">
        <v>149</v>
      </c>
      <c r="R133" s="58">
        <v>132</v>
      </c>
      <c r="S133" s="58">
        <v>130</v>
      </c>
      <c r="T133" s="58">
        <v>139</v>
      </c>
      <c r="U133" s="58">
        <v>171</v>
      </c>
      <c r="V133" s="58">
        <v>148</v>
      </c>
      <c r="W133" s="58">
        <v>55</v>
      </c>
      <c r="X133" s="58">
        <v>22</v>
      </c>
      <c r="Y133" s="58">
        <v>1</v>
      </c>
      <c r="Z133" s="58">
        <v>0</v>
      </c>
      <c r="AA133" s="58">
        <v>0</v>
      </c>
      <c r="AB133" s="58">
        <v>10</v>
      </c>
      <c r="AC133" s="58">
        <v>8</v>
      </c>
      <c r="AD133" s="58">
        <v>13</v>
      </c>
      <c r="AE133" s="58">
        <v>25</v>
      </c>
      <c r="AF133" s="58">
        <v>5</v>
      </c>
      <c r="AG133" s="58">
        <v>40</v>
      </c>
      <c r="AH133" s="58">
        <v>38</v>
      </c>
      <c r="AI133" s="58">
        <v>1</v>
      </c>
      <c r="AJ133" s="58">
        <v>3</v>
      </c>
      <c r="AK133" s="58">
        <v>44</v>
      </c>
      <c r="AL133" s="58">
        <v>45</v>
      </c>
      <c r="AM133" s="58">
        <v>24</v>
      </c>
      <c r="AN133" s="58">
        <v>23</v>
      </c>
      <c r="AO133" s="58">
        <v>18</v>
      </c>
      <c r="AP133" s="58">
        <v>41</v>
      </c>
      <c r="AQ133" s="58">
        <v>14</v>
      </c>
      <c r="AR133" s="58">
        <v>39</v>
      </c>
      <c r="AS133" s="58">
        <v>24</v>
      </c>
      <c r="AT133" s="58">
        <v>12</v>
      </c>
      <c r="AU133" s="58">
        <v>16</v>
      </c>
      <c r="AV133" s="58">
        <v>2</v>
      </c>
      <c r="AW133" s="58">
        <v>0</v>
      </c>
      <c r="AX133" s="58">
        <v>0</v>
      </c>
      <c r="AY133" s="58">
        <v>0</v>
      </c>
      <c r="AZ133" s="58">
        <v>0</v>
      </c>
      <c r="BA133" s="58">
        <v>0</v>
      </c>
      <c r="BB133" s="58">
        <v>0</v>
      </c>
      <c r="BC133" s="58">
        <v>0</v>
      </c>
      <c r="BD133" s="58">
        <v>0</v>
      </c>
      <c r="BE133" s="58">
        <v>0</v>
      </c>
      <c r="BF133" s="58">
        <v>0</v>
      </c>
      <c r="BG133" s="58">
        <v>0</v>
      </c>
      <c r="BH133" s="58">
        <f>SUM(D133:BG133)</f>
        <v>2828</v>
      </c>
    </row>
    <row r="134" spans="1:60">
      <c r="A134" s="56" t="s">
        <v>217</v>
      </c>
      <c r="B134" s="56" t="s">
        <v>91</v>
      </c>
      <c r="C134" s="56" t="s">
        <v>5</v>
      </c>
      <c r="D134" s="58">
        <v>0</v>
      </c>
      <c r="E134" s="58">
        <v>0</v>
      </c>
      <c r="F134" s="58">
        <v>0</v>
      </c>
      <c r="G134" s="58">
        <v>0</v>
      </c>
      <c r="H134" s="58">
        <v>11</v>
      </c>
      <c r="I134" s="58">
        <v>92</v>
      </c>
      <c r="J134" s="58">
        <v>233</v>
      </c>
      <c r="K134" s="58">
        <v>510</v>
      </c>
      <c r="L134" s="58">
        <v>569</v>
      </c>
      <c r="M134" s="58">
        <v>648</v>
      </c>
      <c r="N134" s="58">
        <v>749</v>
      </c>
      <c r="O134" s="58">
        <v>802</v>
      </c>
      <c r="P134" s="58">
        <v>806</v>
      </c>
      <c r="Q134" s="58">
        <v>881</v>
      </c>
      <c r="R134" s="58">
        <v>923</v>
      </c>
      <c r="S134" s="58">
        <v>1009</v>
      </c>
      <c r="T134" s="58">
        <v>1005</v>
      </c>
      <c r="U134" s="58">
        <v>1027</v>
      </c>
      <c r="V134" s="58">
        <v>930</v>
      </c>
      <c r="W134" s="58">
        <v>914</v>
      </c>
      <c r="X134" s="58">
        <v>865</v>
      </c>
      <c r="Y134" s="58">
        <v>903</v>
      </c>
      <c r="Z134" s="58">
        <v>867</v>
      </c>
      <c r="AA134" s="58">
        <v>789</v>
      </c>
      <c r="AB134" s="58">
        <v>706</v>
      </c>
      <c r="AC134" s="58">
        <v>807</v>
      </c>
      <c r="AD134" s="58">
        <v>856</v>
      </c>
      <c r="AE134" s="58">
        <v>893</v>
      </c>
      <c r="AF134" s="58">
        <v>896</v>
      </c>
      <c r="AG134" s="58">
        <v>918</v>
      </c>
      <c r="AH134" s="58">
        <v>904</v>
      </c>
      <c r="AI134" s="58">
        <v>911</v>
      </c>
      <c r="AJ134" s="58">
        <v>846</v>
      </c>
      <c r="AK134" s="58">
        <v>867</v>
      </c>
      <c r="AL134" s="58">
        <v>857</v>
      </c>
      <c r="AM134" s="58">
        <v>877</v>
      </c>
      <c r="AN134" s="58">
        <v>799</v>
      </c>
      <c r="AO134" s="58">
        <v>754</v>
      </c>
      <c r="AP134" s="58">
        <v>763</v>
      </c>
      <c r="AQ134" s="58">
        <v>650</v>
      </c>
      <c r="AR134" s="58">
        <v>515</v>
      </c>
      <c r="AS134" s="58">
        <v>237</v>
      </c>
      <c r="AT134" s="58">
        <v>60</v>
      </c>
      <c r="AU134" s="58">
        <v>13</v>
      </c>
      <c r="AV134" s="58">
        <v>3</v>
      </c>
      <c r="AW134" s="58">
        <v>2</v>
      </c>
      <c r="AX134" s="58">
        <v>0</v>
      </c>
      <c r="AY134" s="58">
        <v>1</v>
      </c>
      <c r="AZ134" s="58">
        <v>0</v>
      </c>
      <c r="BA134" s="58">
        <v>0</v>
      </c>
      <c r="BB134" s="58">
        <v>0</v>
      </c>
      <c r="BC134" s="58">
        <v>0</v>
      </c>
      <c r="BD134" s="58">
        <v>0</v>
      </c>
      <c r="BE134" s="58">
        <v>0</v>
      </c>
      <c r="BF134" s="58">
        <v>0</v>
      </c>
      <c r="BG134" s="58">
        <v>0</v>
      </c>
      <c r="BH134" s="58">
        <f>SUM(D134:BG134)</f>
        <v>28668</v>
      </c>
    </row>
    <row r="135" spans="1:60">
      <c r="A135" s="56" t="s">
        <v>218</v>
      </c>
      <c r="B135" s="56" t="s">
        <v>91</v>
      </c>
      <c r="C135" s="56" t="s">
        <v>206</v>
      </c>
      <c r="D135" s="58">
        <v>0</v>
      </c>
      <c r="E135" s="58">
        <v>0</v>
      </c>
      <c r="F135" s="58">
        <v>0</v>
      </c>
      <c r="G135" s="58">
        <v>0</v>
      </c>
      <c r="H135" s="58">
        <v>13</v>
      </c>
      <c r="I135" s="58">
        <v>72</v>
      </c>
      <c r="J135" s="58">
        <v>244</v>
      </c>
      <c r="K135" s="58">
        <v>473</v>
      </c>
      <c r="L135" s="58">
        <v>545</v>
      </c>
      <c r="M135" s="58">
        <v>614</v>
      </c>
      <c r="N135" s="58">
        <v>719</v>
      </c>
      <c r="O135" s="58">
        <v>802</v>
      </c>
      <c r="P135" s="58">
        <v>822</v>
      </c>
      <c r="Q135" s="58">
        <v>940</v>
      </c>
      <c r="R135" s="58">
        <v>956</v>
      </c>
      <c r="S135" s="58">
        <v>927</v>
      </c>
      <c r="T135" s="58">
        <v>958</v>
      </c>
      <c r="U135" s="58">
        <v>1003</v>
      </c>
      <c r="V135" s="58">
        <v>932</v>
      </c>
      <c r="W135" s="58">
        <v>889</v>
      </c>
      <c r="X135" s="58">
        <v>883</v>
      </c>
      <c r="Y135" s="58">
        <v>854</v>
      </c>
      <c r="Z135" s="58">
        <v>831</v>
      </c>
      <c r="AA135" s="58">
        <v>790</v>
      </c>
      <c r="AB135" s="58">
        <v>777</v>
      </c>
      <c r="AC135" s="58">
        <v>839</v>
      </c>
      <c r="AD135" s="58">
        <v>908</v>
      </c>
      <c r="AE135" s="58">
        <v>983</v>
      </c>
      <c r="AF135" s="58">
        <v>953</v>
      </c>
      <c r="AG135" s="58">
        <v>950</v>
      </c>
      <c r="AH135" s="58">
        <v>943</v>
      </c>
      <c r="AI135" s="58">
        <v>926</v>
      </c>
      <c r="AJ135" s="58">
        <v>869</v>
      </c>
      <c r="AK135" s="58">
        <v>876</v>
      </c>
      <c r="AL135" s="58">
        <v>890</v>
      </c>
      <c r="AM135" s="58">
        <v>965</v>
      </c>
      <c r="AN135" s="58">
        <v>913</v>
      </c>
      <c r="AO135" s="58">
        <v>811</v>
      </c>
      <c r="AP135" s="58">
        <v>788</v>
      </c>
      <c r="AQ135" s="58">
        <v>778</v>
      </c>
      <c r="AR135" s="58">
        <v>574</v>
      </c>
      <c r="AS135" s="58">
        <v>248</v>
      </c>
      <c r="AT135" s="58">
        <v>74</v>
      </c>
      <c r="AU135" s="58">
        <v>21</v>
      </c>
      <c r="AV135" s="58">
        <v>10</v>
      </c>
      <c r="AW135" s="58">
        <v>9</v>
      </c>
      <c r="AX135" s="58">
        <v>8</v>
      </c>
      <c r="AY135" s="58">
        <v>4</v>
      </c>
      <c r="AZ135" s="58">
        <v>1</v>
      </c>
      <c r="BA135" s="58">
        <v>0</v>
      </c>
      <c r="BB135" s="58">
        <v>0</v>
      </c>
      <c r="BC135" s="58">
        <v>0</v>
      </c>
      <c r="BD135" s="58">
        <v>0</v>
      </c>
      <c r="BE135" s="58">
        <v>0</v>
      </c>
      <c r="BF135" s="58">
        <v>0</v>
      </c>
      <c r="BG135" s="58">
        <v>0</v>
      </c>
      <c r="BH135" s="58">
        <f>SUM(D135:BG135)</f>
        <v>29385</v>
      </c>
    </row>
    <row r="136" spans="1:60">
      <c r="A136" s="56" t="s">
        <v>219</v>
      </c>
      <c r="B136" s="56" t="s">
        <v>91</v>
      </c>
      <c r="C136" s="56" t="s">
        <v>208</v>
      </c>
      <c r="D136" s="58">
        <v>0</v>
      </c>
      <c r="E136" s="58">
        <v>0</v>
      </c>
      <c r="F136" s="58">
        <v>0</v>
      </c>
      <c r="G136" s="58">
        <v>0</v>
      </c>
      <c r="H136" s="58">
        <v>7</v>
      </c>
      <c r="I136" s="58">
        <v>43</v>
      </c>
      <c r="J136" s="58">
        <v>178</v>
      </c>
      <c r="K136" s="58">
        <v>377</v>
      </c>
      <c r="L136" s="58">
        <v>485</v>
      </c>
      <c r="M136" s="58">
        <v>523</v>
      </c>
      <c r="N136" s="58">
        <v>650</v>
      </c>
      <c r="O136" s="58">
        <v>756</v>
      </c>
      <c r="P136" s="58">
        <v>801</v>
      </c>
      <c r="Q136" s="58">
        <v>909</v>
      </c>
      <c r="R136" s="58">
        <v>909</v>
      </c>
      <c r="S136" s="58">
        <v>919</v>
      </c>
      <c r="T136" s="58">
        <v>875</v>
      </c>
      <c r="U136" s="58">
        <v>898</v>
      </c>
      <c r="V136" s="58">
        <v>953</v>
      </c>
      <c r="W136" s="58">
        <v>850</v>
      </c>
      <c r="X136" s="58">
        <v>874</v>
      </c>
      <c r="Y136" s="58">
        <v>824</v>
      </c>
      <c r="Z136" s="58">
        <v>845</v>
      </c>
      <c r="AA136" s="58">
        <v>767</v>
      </c>
      <c r="AB136" s="58">
        <v>778</v>
      </c>
      <c r="AC136" s="58">
        <v>771</v>
      </c>
      <c r="AD136" s="58">
        <v>867</v>
      </c>
      <c r="AE136" s="58">
        <v>906</v>
      </c>
      <c r="AF136" s="58">
        <v>923</v>
      </c>
      <c r="AG136" s="58">
        <v>972</v>
      </c>
      <c r="AH136" s="58">
        <v>956</v>
      </c>
      <c r="AI136" s="58">
        <v>881</v>
      </c>
      <c r="AJ136" s="58">
        <v>864</v>
      </c>
      <c r="AK136" s="58">
        <v>901</v>
      </c>
      <c r="AL136" s="58">
        <v>919</v>
      </c>
      <c r="AM136" s="58">
        <v>884</v>
      </c>
      <c r="AN136" s="58">
        <v>845</v>
      </c>
      <c r="AO136" s="58">
        <v>793</v>
      </c>
      <c r="AP136" s="58">
        <v>780</v>
      </c>
      <c r="AQ136" s="58">
        <v>739</v>
      </c>
      <c r="AR136" s="58">
        <v>520</v>
      </c>
      <c r="AS136" s="58">
        <v>238</v>
      </c>
      <c r="AT136" s="58">
        <v>50</v>
      </c>
      <c r="AU136" s="58">
        <v>8</v>
      </c>
      <c r="AV136" s="58">
        <v>4</v>
      </c>
      <c r="AW136" s="58">
        <v>0</v>
      </c>
      <c r="AX136" s="58">
        <v>4</v>
      </c>
      <c r="AY136" s="58">
        <v>1</v>
      </c>
      <c r="AZ136" s="58">
        <v>0</v>
      </c>
      <c r="BA136" s="58">
        <v>0</v>
      </c>
      <c r="BB136" s="58">
        <v>0</v>
      </c>
      <c r="BC136" s="58">
        <v>0</v>
      </c>
      <c r="BD136" s="58">
        <v>0</v>
      </c>
      <c r="BE136" s="58">
        <v>0</v>
      </c>
      <c r="BF136" s="58">
        <v>0</v>
      </c>
      <c r="BG136" s="58">
        <v>0</v>
      </c>
      <c r="BH136" s="58">
        <f>SUM(D136:BG136)</f>
        <v>28047</v>
      </c>
    </row>
    <row r="137" spans="1:60">
      <c r="A137" s="56" t="s">
        <v>220</v>
      </c>
      <c r="B137" s="56" t="s">
        <v>91</v>
      </c>
      <c r="C137" s="56" t="s">
        <v>210</v>
      </c>
      <c r="D137" s="58">
        <v>0</v>
      </c>
      <c r="E137" s="58">
        <v>0</v>
      </c>
      <c r="F137" s="58">
        <v>0</v>
      </c>
      <c r="G137" s="58">
        <v>0</v>
      </c>
      <c r="H137" s="58">
        <v>10</v>
      </c>
      <c r="I137" s="58">
        <v>55</v>
      </c>
      <c r="J137" s="58">
        <v>178</v>
      </c>
      <c r="K137" s="58">
        <v>430</v>
      </c>
      <c r="L137" s="58">
        <v>426</v>
      </c>
      <c r="M137" s="58">
        <v>579</v>
      </c>
      <c r="N137" s="58">
        <v>624</v>
      </c>
      <c r="O137" s="58">
        <v>739</v>
      </c>
      <c r="P137" s="58">
        <v>769</v>
      </c>
      <c r="Q137" s="58">
        <v>838</v>
      </c>
      <c r="R137" s="58">
        <v>857</v>
      </c>
      <c r="S137" s="58">
        <v>901</v>
      </c>
      <c r="T137" s="58">
        <v>925</v>
      </c>
      <c r="U137" s="58">
        <v>943</v>
      </c>
      <c r="V137" s="58">
        <v>876</v>
      </c>
      <c r="W137" s="58">
        <v>823</v>
      </c>
      <c r="X137" s="58">
        <v>856</v>
      </c>
      <c r="Y137" s="58">
        <v>752</v>
      </c>
      <c r="Z137" s="58">
        <v>845</v>
      </c>
      <c r="AA137" s="58">
        <v>807</v>
      </c>
      <c r="AB137" s="58">
        <v>758</v>
      </c>
      <c r="AC137" s="58">
        <v>761</v>
      </c>
      <c r="AD137" s="58">
        <v>883</v>
      </c>
      <c r="AE137" s="58">
        <v>901</v>
      </c>
      <c r="AF137" s="58">
        <v>941</v>
      </c>
      <c r="AG137" s="58">
        <v>984</v>
      </c>
      <c r="AH137" s="58">
        <v>976</v>
      </c>
      <c r="AI137" s="58">
        <v>967</v>
      </c>
      <c r="AJ137" s="58">
        <v>942</v>
      </c>
      <c r="AK137" s="58">
        <v>913</v>
      </c>
      <c r="AL137" s="58">
        <v>909</v>
      </c>
      <c r="AM137" s="58">
        <v>928</v>
      </c>
      <c r="AN137" s="58">
        <v>826</v>
      </c>
      <c r="AO137" s="58">
        <v>863</v>
      </c>
      <c r="AP137" s="58">
        <v>805</v>
      </c>
      <c r="AQ137" s="58">
        <v>750</v>
      </c>
      <c r="AR137" s="58">
        <v>529</v>
      </c>
      <c r="AS137" s="58">
        <v>253</v>
      </c>
      <c r="AT137" s="58">
        <v>61</v>
      </c>
      <c r="AU137" s="58">
        <v>15</v>
      </c>
      <c r="AV137" s="58">
        <v>13</v>
      </c>
      <c r="AW137" s="58">
        <v>20</v>
      </c>
      <c r="AX137" s="58">
        <v>11</v>
      </c>
      <c r="AY137" s="58">
        <v>13</v>
      </c>
      <c r="AZ137" s="58">
        <v>14</v>
      </c>
      <c r="BA137" s="58">
        <v>10</v>
      </c>
      <c r="BB137" s="58">
        <v>8</v>
      </c>
      <c r="BC137" s="58">
        <v>2</v>
      </c>
      <c r="BD137" s="58">
        <v>1</v>
      </c>
      <c r="BE137" s="58">
        <v>0</v>
      </c>
      <c r="BF137" s="58">
        <v>0</v>
      </c>
      <c r="BG137" s="58">
        <v>0</v>
      </c>
      <c r="BH137" s="58">
        <f>SUM(D137:BG137)</f>
        <v>28290</v>
      </c>
    </row>
    <row r="138" spans="1:60">
      <c r="A138" s="56" t="s">
        <v>221</v>
      </c>
      <c r="B138" s="56" t="s">
        <v>91</v>
      </c>
      <c r="C138" s="56" t="s">
        <v>212</v>
      </c>
      <c r="D138" s="58">
        <v>0</v>
      </c>
      <c r="E138" s="58">
        <v>0</v>
      </c>
      <c r="F138" s="58">
        <v>1</v>
      </c>
      <c r="G138" s="58">
        <v>0</v>
      </c>
      <c r="H138" s="58">
        <v>3</v>
      </c>
      <c r="I138" s="58">
        <v>70</v>
      </c>
      <c r="J138" s="58">
        <v>192</v>
      </c>
      <c r="K138" s="58">
        <v>450</v>
      </c>
      <c r="L138" s="58">
        <v>538</v>
      </c>
      <c r="M138" s="58">
        <v>622</v>
      </c>
      <c r="N138" s="58">
        <v>664</v>
      </c>
      <c r="O138" s="58">
        <v>708</v>
      </c>
      <c r="P138" s="58">
        <v>737</v>
      </c>
      <c r="Q138" s="58">
        <v>845</v>
      </c>
      <c r="R138" s="58">
        <v>906</v>
      </c>
      <c r="S138" s="58">
        <v>943</v>
      </c>
      <c r="T138" s="58">
        <v>916</v>
      </c>
      <c r="U138" s="58">
        <v>896</v>
      </c>
      <c r="V138" s="58">
        <v>886</v>
      </c>
      <c r="W138" s="58">
        <v>894</v>
      </c>
      <c r="X138" s="58">
        <v>881</v>
      </c>
      <c r="Y138" s="58">
        <v>855</v>
      </c>
      <c r="Z138" s="58">
        <v>891</v>
      </c>
      <c r="AA138" s="58">
        <v>776</v>
      </c>
      <c r="AB138" s="58">
        <v>802</v>
      </c>
      <c r="AC138" s="58">
        <v>834</v>
      </c>
      <c r="AD138" s="58">
        <v>916</v>
      </c>
      <c r="AE138" s="58">
        <v>941</v>
      </c>
      <c r="AF138" s="58">
        <v>864</v>
      </c>
      <c r="AG138" s="58">
        <v>926</v>
      </c>
      <c r="AH138" s="58">
        <v>906</v>
      </c>
      <c r="AI138" s="58">
        <v>891</v>
      </c>
      <c r="AJ138" s="58">
        <v>923</v>
      </c>
      <c r="AK138" s="58">
        <v>894</v>
      </c>
      <c r="AL138" s="58">
        <v>937</v>
      </c>
      <c r="AM138" s="58">
        <v>902</v>
      </c>
      <c r="AN138" s="58">
        <v>912</v>
      </c>
      <c r="AO138" s="58">
        <v>911</v>
      </c>
      <c r="AP138" s="58">
        <v>863</v>
      </c>
      <c r="AQ138" s="58">
        <v>744</v>
      </c>
      <c r="AR138" s="58">
        <v>570</v>
      </c>
      <c r="AS138" s="58">
        <v>327</v>
      </c>
      <c r="AT138" s="58">
        <v>84</v>
      </c>
      <c r="AU138" s="58">
        <v>20</v>
      </c>
      <c r="AV138" s="58">
        <v>7</v>
      </c>
      <c r="AW138" s="58">
        <v>1</v>
      </c>
      <c r="AX138" s="58">
        <v>1</v>
      </c>
      <c r="AY138" s="58">
        <v>0</v>
      </c>
      <c r="AZ138" s="58">
        <v>0</v>
      </c>
      <c r="BA138" s="58">
        <v>0</v>
      </c>
      <c r="BB138" s="58">
        <v>0</v>
      </c>
      <c r="BC138" s="58">
        <v>0</v>
      </c>
      <c r="BD138" s="58">
        <v>0</v>
      </c>
      <c r="BE138" s="58">
        <v>0</v>
      </c>
      <c r="BF138" s="58">
        <v>0</v>
      </c>
      <c r="BG138" s="58">
        <v>0</v>
      </c>
      <c r="BH138" s="58">
        <f>SUM(D138:BG138)</f>
        <v>28850</v>
      </c>
    </row>
    <row r="139" spans="1:60">
      <c r="A139" s="56" t="s">
        <v>222</v>
      </c>
      <c r="B139" s="56" t="s">
        <v>91</v>
      </c>
      <c r="C139" s="56" t="s">
        <v>214</v>
      </c>
      <c r="D139" s="58">
        <v>0</v>
      </c>
      <c r="E139" s="58">
        <v>0</v>
      </c>
      <c r="F139" s="58">
        <v>0</v>
      </c>
      <c r="G139" s="58">
        <v>0</v>
      </c>
      <c r="H139" s="58">
        <v>0</v>
      </c>
      <c r="I139" s="58">
        <v>1</v>
      </c>
      <c r="J139" s="58">
        <v>1</v>
      </c>
      <c r="K139" s="58">
        <v>2</v>
      </c>
      <c r="L139" s="58">
        <v>2</v>
      </c>
      <c r="M139" s="58">
        <v>2</v>
      </c>
      <c r="N139" s="58">
        <v>3</v>
      </c>
      <c r="O139" s="58">
        <v>3</v>
      </c>
      <c r="P139" s="58">
        <v>2</v>
      </c>
      <c r="Q139" s="58">
        <v>2</v>
      </c>
      <c r="R139" s="58">
        <v>1</v>
      </c>
      <c r="S139" s="58">
        <v>0</v>
      </c>
      <c r="T139" s="58">
        <v>1</v>
      </c>
      <c r="U139" s="58">
        <v>1</v>
      </c>
      <c r="V139" s="58">
        <v>0</v>
      </c>
      <c r="W139" s="58">
        <v>0</v>
      </c>
      <c r="X139" s="58">
        <v>0</v>
      </c>
      <c r="Y139" s="58">
        <v>0</v>
      </c>
      <c r="Z139" s="58">
        <v>0</v>
      </c>
      <c r="AA139" s="58">
        <v>0</v>
      </c>
      <c r="AB139" s="58">
        <v>0</v>
      </c>
      <c r="AC139" s="58">
        <v>0</v>
      </c>
      <c r="AD139" s="58">
        <v>0</v>
      </c>
      <c r="AE139" s="58">
        <v>0</v>
      </c>
      <c r="AF139" s="58">
        <v>0</v>
      </c>
      <c r="AG139" s="58">
        <v>0</v>
      </c>
      <c r="AH139" s="58">
        <v>0</v>
      </c>
      <c r="AI139" s="58">
        <v>0</v>
      </c>
      <c r="AJ139" s="58">
        <v>0</v>
      </c>
      <c r="AK139" s="58">
        <v>0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58">
        <v>0</v>
      </c>
      <c r="AS139" s="58">
        <v>0</v>
      </c>
      <c r="AT139" s="58">
        <v>0</v>
      </c>
      <c r="AU139" s="58">
        <v>0</v>
      </c>
      <c r="AV139" s="58">
        <v>0</v>
      </c>
      <c r="AW139" s="58">
        <v>0</v>
      </c>
      <c r="AX139" s="58">
        <v>0</v>
      </c>
      <c r="AY139" s="58">
        <v>0</v>
      </c>
      <c r="AZ139" s="58">
        <v>0</v>
      </c>
      <c r="BA139" s="58">
        <v>0</v>
      </c>
      <c r="BB139" s="58">
        <v>0</v>
      </c>
      <c r="BC139" s="58">
        <v>0</v>
      </c>
      <c r="BD139" s="58">
        <v>0</v>
      </c>
      <c r="BE139" s="58">
        <v>0</v>
      </c>
      <c r="BF139" s="58">
        <v>0</v>
      </c>
      <c r="BG139" s="58">
        <v>0</v>
      </c>
      <c r="BH139" s="58">
        <f>SUM(D139:BG139)</f>
        <v>21</v>
      </c>
    </row>
    <row r="140" spans="1:60">
      <c r="A140" s="56" t="s">
        <v>223</v>
      </c>
      <c r="B140" s="56" t="s">
        <v>91</v>
      </c>
      <c r="C140" s="56" t="s">
        <v>216</v>
      </c>
      <c r="D140" s="58">
        <v>0</v>
      </c>
      <c r="E140" s="58">
        <v>0</v>
      </c>
      <c r="F140" s="58">
        <v>0</v>
      </c>
      <c r="G140" s="58">
        <v>0</v>
      </c>
      <c r="H140" s="58">
        <v>2</v>
      </c>
      <c r="I140" s="58">
        <v>12</v>
      </c>
      <c r="J140" s="58">
        <v>38</v>
      </c>
      <c r="K140" s="58">
        <v>68</v>
      </c>
      <c r="L140" s="58">
        <v>44</v>
      </c>
      <c r="M140" s="58">
        <v>47</v>
      </c>
      <c r="N140" s="58">
        <v>43</v>
      </c>
      <c r="O140" s="58">
        <v>40</v>
      </c>
      <c r="P140" s="58">
        <v>41</v>
      </c>
      <c r="Q140" s="58">
        <v>41</v>
      </c>
      <c r="R140" s="58">
        <v>35</v>
      </c>
      <c r="S140" s="58">
        <v>27</v>
      </c>
      <c r="T140" s="58">
        <v>44</v>
      </c>
      <c r="U140" s="58">
        <v>75</v>
      </c>
      <c r="V140" s="58">
        <v>65</v>
      </c>
      <c r="W140" s="58">
        <v>30</v>
      </c>
      <c r="X140" s="58">
        <v>22</v>
      </c>
      <c r="Y140" s="58">
        <v>1</v>
      </c>
      <c r="Z140" s="58">
        <v>0</v>
      </c>
      <c r="AA140" s="58">
        <v>0</v>
      </c>
      <c r="AB140" s="58">
        <v>0</v>
      </c>
      <c r="AC140" s="58">
        <v>7</v>
      </c>
      <c r="AD140" s="58">
        <v>5</v>
      </c>
      <c r="AE140" s="58">
        <v>15</v>
      </c>
      <c r="AF140" s="58">
        <v>1</v>
      </c>
      <c r="AG140" s="58">
        <v>10</v>
      </c>
      <c r="AH140" s="58">
        <v>0</v>
      </c>
      <c r="AI140" s="58">
        <v>0</v>
      </c>
      <c r="AJ140" s="58">
        <v>0</v>
      </c>
      <c r="AK140" s="58">
        <v>0</v>
      </c>
      <c r="AL140" s="58">
        <v>0</v>
      </c>
      <c r="AM140" s="58">
        <v>0</v>
      </c>
      <c r="AN140" s="58">
        <v>0</v>
      </c>
      <c r="AO140" s="58">
        <v>0</v>
      </c>
      <c r="AP140" s="58">
        <v>0</v>
      </c>
      <c r="AQ140" s="58">
        <v>0</v>
      </c>
      <c r="AR140" s="58">
        <v>0</v>
      </c>
      <c r="AS140" s="58">
        <v>0</v>
      </c>
      <c r="AT140" s="58">
        <v>0</v>
      </c>
      <c r="AU140" s="58">
        <v>0</v>
      </c>
      <c r="AV140" s="58">
        <v>0</v>
      </c>
      <c r="AW140" s="58">
        <v>0</v>
      </c>
      <c r="AX140" s="58">
        <v>0</v>
      </c>
      <c r="AY140" s="58">
        <v>0</v>
      </c>
      <c r="AZ140" s="58">
        <v>0</v>
      </c>
      <c r="BA140" s="58">
        <v>0</v>
      </c>
      <c r="BB140" s="58">
        <v>0</v>
      </c>
      <c r="BC140" s="58">
        <v>0</v>
      </c>
      <c r="BD140" s="58">
        <v>0</v>
      </c>
      <c r="BE140" s="58">
        <v>0</v>
      </c>
      <c r="BF140" s="58">
        <v>0</v>
      </c>
      <c r="BG140" s="58">
        <v>0</v>
      </c>
      <c r="BH140" s="58">
        <f>SUM(D140:BG140)</f>
        <v>713</v>
      </c>
    </row>
    <row r="141" spans="1:60">
      <c r="A141" s="56" t="s">
        <v>224</v>
      </c>
      <c r="B141" s="56" t="s">
        <v>105</v>
      </c>
      <c r="C141" s="56" t="s">
        <v>5</v>
      </c>
      <c r="D141" s="58">
        <v>0</v>
      </c>
      <c r="E141" s="58">
        <v>0</v>
      </c>
      <c r="F141" s="58">
        <v>0</v>
      </c>
      <c r="G141" s="58">
        <v>2</v>
      </c>
      <c r="H141" s="58">
        <v>25</v>
      </c>
      <c r="I141" s="58">
        <v>233</v>
      </c>
      <c r="J141" s="58">
        <v>357</v>
      </c>
      <c r="K141" s="58">
        <v>399</v>
      </c>
      <c r="L141" s="58">
        <v>439</v>
      </c>
      <c r="M141" s="58">
        <v>491</v>
      </c>
      <c r="N141" s="58">
        <v>501</v>
      </c>
      <c r="O141" s="58">
        <v>532</v>
      </c>
      <c r="P141" s="58">
        <v>558</v>
      </c>
      <c r="Q141" s="58">
        <v>609</v>
      </c>
      <c r="R141" s="58">
        <v>575</v>
      </c>
      <c r="S141" s="58">
        <v>558</v>
      </c>
      <c r="T141" s="58">
        <v>597</v>
      </c>
      <c r="U141" s="58">
        <v>500</v>
      </c>
      <c r="V141" s="58">
        <v>507</v>
      </c>
      <c r="W141" s="58">
        <v>428</v>
      </c>
      <c r="X141" s="58">
        <v>441</v>
      </c>
      <c r="Y141" s="58">
        <v>390</v>
      </c>
      <c r="Z141" s="58">
        <v>440</v>
      </c>
      <c r="AA141" s="58">
        <v>412</v>
      </c>
      <c r="AB141" s="58">
        <v>433</v>
      </c>
      <c r="AC141" s="58">
        <v>491</v>
      </c>
      <c r="AD141" s="58">
        <v>503</v>
      </c>
      <c r="AE141" s="58">
        <v>511</v>
      </c>
      <c r="AF141" s="58">
        <v>479</v>
      </c>
      <c r="AG141" s="58">
        <v>496</v>
      </c>
      <c r="AH141" s="58">
        <v>443</v>
      </c>
      <c r="AI141" s="58">
        <v>436</v>
      </c>
      <c r="AJ141" s="58">
        <v>432</v>
      </c>
      <c r="AK141" s="58">
        <v>427</v>
      </c>
      <c r="AL141" s="58">
        <v>424</v>
      </c>
      <c r="AM141" s="58">
        <v>406</v>
      </c>
      <c r="AN141" s="58">
        <v>389</v>
      </c>
      <c r="AO141" s="58">
        <v>411</v>
      </c>
      <c r="AP141" s="58">
        <v>331</v>
      </c>
      <c r="AQ141" s="58">
        <v>231</v>
      </c>
      <c r="AR141" s="58">
        <v>105</v>
      </c>
      <c r="AS141" s="58">
        <v>5</v>
      </c>
      <c r="AT141" s="58">
        <v>0</v>
      </c>
      <c r="AU141" s="58">
        <v>0</v>
      </c>
      <c r="AV141" s="58">
        <v>0</v>
      </c>
      <c r="AW141" s="58">
        <v>1</v>
      </c>
      <c r="AX141" s="58">
        <v>1</v>
      </c>
      <c r="AY141" s="58">
        <v>0</v>
      </c>
      <c r="AZ141" s="58">
        <v>1</v>
      </c>
      <c r="BA141" s="58">
        <v>0</v>
      </c>
      <c r="BB141" s="58">
        <v>0</v>
      </c>
      <c r="BC141" s="58">
        <v>0</v>
      </c>
      <c r="BD141" s="58">
        <v>0</v>
      </c>
      <c r="BE141" s="58">
        <v>0</v>
      </c>
      <c r="BF141" s="58">
        <v>0</v>
      </c>
      <c r="BG141" s="58">
        <v>0</v>
      </c>
      <c r="BH141" s="58">
        <f>SUM(D141:BG141)</f>
        <v>15950</v>
      </c>
    </row>
    <row r="142" spans="1:60">
      <c r="A142" s="56" t="s">
        <v>225</v>
      </c>
      <c r="B142" s="56" t="s">
        <v>105</v>
      </c>
      <c r="C142" s="56" t="s">
        <v>206</v>
      </c>
      <c r="D142" s="58">
        <v>0</v>
      </c>
      <c r="E142" s="58">
        <v>0</v>
      </c>
      <c r="F142" s="58">
        <v>0</v>
      </c>
      <c r="G142" s="58">
        <v>4</v>
      </c>
      <c r="H142" s="58">
        <v>16</v>
      </c>
      <c r="I142" s="58">
        <v>204</v>
      </c>
      <c r="J142" s="58">
        <v>339</v>
      </c>
      <c r="K142" s="58">
        <v>343</v>
      </c>
      <c r="L142" s="58">
        <v>444</v>
      </c>
      <c r="M142" s="58">
        <v>404</v>
      </c>
      <c r="N142" s="58">
        <v>465</v>
      </c>
      <c r="O142" s="58">
        <v>503</v>
      </c>
      <c r="P142" s="58">
        <v>604</v>
      </c>
      <c r="Q142" s="58">
        <v>561</v>
      </c>
      <c r="R142" s="58">
        <v>560</v>
      </c>
      <c r="S142" s="58">
        <v>578</v>
      </c>
      <c r="T142" s="58">
        <v>608</v>
      </c>
      <c r="U142" s="58">
        <v>571</v>
      </c>
      <c r="V142" s="58">
        <v>533</v>
      </c>
      <c r="W142" s="58">
        <v>498</v>
      </c>
      <c r="X142" s="58">
        <v>434</v>
      </c>
      <c r="Y142" s="58">
        <v>429</v>
      </c>
      <c r="Z142" s="58">
        <v>440</v>
      </c>
      <c r="AA142" s="58">
        <v>435</v>
      </c>
      <c r="AB142" s="58">
        <v>480</v>
      </c>
      <c r="AC142" s="58">
        <v>498</v>
      </c>
      <c r="AD142" s="58">
        <v>488</v>
      </c>
      <c r="AE142" s="58">
        <v>542</v>
      </c>
      <c r="AF142" s="58">
        <v>501</v>
      </c>
      <c r="AG142" s="58">
        <v>452</v>
      </c>
      <c r="AH142" s="58">
        <v>522</v>
      </c>
      <c r="AI142" s="58">
        <v>502</v>
      </c>
      <c r="AJ142" s="58">
        <v>506</v>
      </c>
      <c r="AK142" s="58">
        <v>488</v>
      </c>
      <c r="AL142" s="58">
        <v>459</v>
      </c>
      <c r="AM142" s="58">
        <v>459</v>
      </c>
      <c r="AN142" s="58">
        <v>416</v>
      </c>
      <c r="AO142" s="58">
        <v>376</v>
      </c>
      <c r="AP142" s="58">
        <v>313</v>
      </c>
      <c r="AQ142" s="58">
        <v>228</v>
      </c>
      <c r="AR142" s="58">
        <v>93</v>
      </c>
      <c r="AS142" s="58">
        <v>11</v>
      </c>
      <c r="AT142" s="58">
        <v>3</v>
      </c>
      <c r="AU142" s="58">
        <v>2</v>
      </c>
      <c r="AV142" s="58">
        <v>3</v>
      </c>
      <c r="AW142" s="58">
        <v>4</v>
      </c>
      <c r="AX142" s="58">
        <v>2</v>
      </c>
      <c r="AY142" s="58">
        <v>1</v>
      </c>
      <c r="AZ142" s="58">
        <v>0</v>
      </c>
      <c r="BA142" s="58">
        <v>0</v>
      </c>
      <c r="BB142" s="58">
        <v>0</v>
      </c>
      <c r="BC142" s="58">
        <v>0</v>
      </c>
      <c r="BD142" s="58">
        <v>0</v>
      </c>
      <c r="BE142" s="58">
        <v>0</v>
      </c>
      <c r="BF142" s="58">
        <v>0</v>
      </c>
      <c r="BG142" s="58">
        <v>0</v>
      </c>
      <c r="BH142" s="58">
        <f>SUM(D142:BG142)</f>
        <v>16322</v>
      </c>
    </row>
    <row r="143" spans="1:60">
      <c r="A143" s="56" t="s">
        <v>226</v>
      </c>
      <c r="B143" s="56" t="s">
        <v>105</v>
      </c>
      <c r="C143" s="56" t="s">
        <v>208</v>
      </c>
      <c r="D143" s="58">
        <v>0</v>
      </c>
      <c r="E143" s="58">
        <v>0</v>
      </c>
      <c r="F143" s="58">
        <v>0</v>
      </c>
      <c r="G143" s="58">
        <v>0</v>
      </c>
      <c r="H143" s="58">
        <v>21</v>
      </c>
      <c r="I143" s="58">
        <v>186</v>
      </c>
      <c r="J143" s="58">
        <v>312</v>
      </c>
      <c r="K143" s="58">
        <v>301</v>
      </c>
      <c r="L143" s="58">
        <v>406</v>
      </c>
      <c r="M143" s="58">
        <v>462</v>
      </c>
      <c r="N143" s="58">
        <v>497</v>
      </c>
      <c r="O143" s="58">
        <v>530</v>
      </c>
      <c r="P143" s="58">
        <v>582</v>
      </c>
      <c r="Q143" s="58">
        <v>546</v>
      </c>
      <c r="R143" s="58">
        <v>574</v>
      </c>
      <c r="S143" s="58">
        <v>559</v>
      </c>
      <c r="T143" s="58">
        <v>550</v>
      </c>
      <c r="U143" s="58">
        <v>500</v>
      </c>
      <c r="V143" s="58">
        <v>475</v>
      </c>
      <c r="W143" s="58">
        <v>414</v>
      </c>
      <c r="X143" s="58">
        <v>411</v>
      </c>
      <c r="Y143" s="58">
        <v>431</v>
      </c>
      <c r="Z143" s="58">
        <v>389</v>
      </c>
      <c r="AA143" s="58">
        <v>430</v>
      </c>
      <c r="AB143" s="58">
        <v>480</v>
      </c>
      <c r="AC143" s="58">
        <v>498</v>
      </c>
      <c r="AD143" s="58">
        <v>542</v>
      </c>
      <c r="AE143" s="58">
        <v>541</v>
      </c>
      <c r="AF143" s="58">
        <v>556</v>
      </c>
      <c r="AG143" s="58">
        <v>486</v>
      </c>
      <c r="AH143" s="58">
        <v>508</v>
      </c>
      <c r="AI143" s="58">
        <v>459</v>
      </c>
      <c r="AJ143" s="58">
        <v>450</v>
      </c>
      <c r="AK143" s="58">
        <v>467</v>
      </c>
      <c r="AL143" s="58">
        <v>464</v>
      </c>
      <c r="AM143" s="58">
        <v>449</v>
      </c>
      <c r="AN143" s="58">
        <v>407</v>
      </c>
      <c r="AO143" s="58">
        <v>396</v>
      </c>
      <c r="AP143" s="58">
        <v>298</v>
      </c>
      <c r="AQ143" s="58">
        <v>201</v>
      </c>
      <c r="AR143" s="58">
        <v>88</v>
      </c>
      <c r="AS143" s="58">
        <v>6</v>
      </c>
      <c r="AT143" s="58">
        <v>1</v>
      </c>
      <c r="AU143" s="58">
        <v>1</v>
      </c>
      <c r="AV143" s="58">
        <v>0</v>
      </c>
      <c r="AW143" s="58">
        <v>1</v>
      </c>
      <c r="AX143" s="58">
        <v>1</v>
      </c>
      <c r="AY143" s="58">
        <v>0</v>
      </c>
      <c r="AZ143" s="58">
        <v>0</v>
      </c>
      <c r="BA143" s="58">
        <v>0</v>
      </c>
      <c r="BB143" s="58">
        <v>0</v>
      </c>
      <c r="BC143" s="58">
        <v>0</v>
      </c>
      <c r="BD143" s="58">
        <v>0</v>
      </c>
      <c r="BE143" s="58">
        <v>0</v>
      </c>
      <c r="BF143" s="58">
        <v>0</v>
      </c>
      <c r="BG143" s="58">
        <v>0</v>
      </c>
      <c r="BH143" s="58">
        <f>SUM(D143:BG143)</f>
        <v>15876</v>
      </c>
    </row>
    <row r="144" spans="1:60">
      <c r="A144" s="56" t="s">
        <v>227</v>
      </c>
      <c r="B144" s="56" t="s">
        <v>105</v>
      </c>
      <c r="C144" s="56" t="s">
        <v>210</v>
      </c>
      <c r="D144" s="58">
        <v>0</v>
      </c>
      <c r="E144" s="58">
        <v>0</v>
      </c>
      <c r="F144" s="58">
        <v>0</v>
      </c>
      <c r="G144" s="58">
        <v>2</v>
      </c>
      <c r="H144" s="58">
        <v>23</v>
      </c>
      <c r="I144" s="58">
        <v>154</v>
      </c>
      <c r="J144" s="58">
        <v>271</v>
      </c>
      <c r="K144" s="58">
        <v>340</v>
      </c>
      <c r="L144" s="58">
        <v>370</v>
      </c>
      <c r="M144" s="58">
        <v>423</v>
      </c>
      <c r="N144" s="58">
        <v>494</v>
      </c>
      <c r="O144" s="58">
        <v>520</v>
      </c>
      <c r="P144" s="58">
        <v>571</v>
      </c>
      <c r="Q144" s="58">
        <v>595</v>
      </c>
      <c r="R144" s="58">
        <v>553</v>
      </c>
      <c r="S144" s="58">
        <v>544</v>
      </c>
      <c r="T144" s="58">
        <v>549</v>
      </c>
      <c r="U144" s="58">
        <v>527</v>
      </c>
      <c r="V144" s="58">
        <v>450</v>
      </c>
      <c r="W144" s="58">
        <v>444</v>
      </c>
      <c r="X144" s="58">
        <v>426</v>
      </c>
      <c r="Y144" s="58">
        <v>398</v>
      </c>
      <c r="Z144" s="58">
        <v>391</v>
      </c>
      <c r="AA144" s="58">
        <v>438</v>
      </c>
      <c r="AB144" s="58">
        <v>524</v>
      </c>
      <c r="AC144" s="58">
        <v>540</v>
      </c>
      <c r="AD144" s="58">
        <v>527</v>
      </c>
      <c r="AE144" s="58">
        <v>584</v>
      </c>
      <c r="AF144" s="58">
        <v>553</v>
      </c>
      <c r="AG144" s="58">
        <v>493</v>
      </c>
      <c r="AH144" s="58">
        <v>561</v>
      </c>
      <c r="AI144" s="58">
        <v>489</v>
      </c>
      <c r="AJ144" s="58">
        <v>517</v>
      </c>
      <c r="AK144" s="58">
        <v>490</v>
      </c>
      <c r="AL144" s="58">
        <v>456</v>
      </c>
      <c r="AM144" s="58">
        <v>407</v>
      </c>
      <c r="AN144" s="58">
        <v>431</v>
      </c>
      <c r="AO144" s="58">
        <v>429</v>
      </c>
      <c r="AP144" s="58">
        <v>352</v>
      </c>
      <c r="AQ144" s="58">
        <v>215</v>
      </c>
      <c r="AR144" s="58">
        <v>96</v>
      </c>
      <c r="AS144" s="58">
        <v>18</v>
      </c>
      <c r="AT144" s="58">
        <v>6</v>
      </c>
      <c r="AU144" s="58">
        <v>4</v>
      </c>
      <c r="AV144" s="58">
        <v>5</v>
      </c>
      <c r="AW144" s="58">
        <v>10</v>
      </c>
      <c r="AX144" s="58">
        <v>9</v>
      </c>
      <c r="AY144" s="58">
        <v>10</v>
      </c>
      <c r="AZ144" s="58">
        <v>6</v>
      </c>
      <c r="BA144" s="58">
        <v>3</v>
      </c>
      <c r="BB144" s="58">
        <v>0</v>
      </c>
      <c r="BC144" s="58">
        <v>0</v>
      </c>
      <c r="BD144" s="58">
        <v>0</v>
      </c>
      <c r="BE144" s="58">
        <v>0</v>
      </c>
      <c r="BF144" s="58">
        <v>0</v>
      </c>
      <c r="BG144" s="58">
        <v>0</v>
      </c>
      <c r="BH144" s="58">
        <f>SUM(D144:BG144)</f>
        <v>16218</v>
      </c>
    </row>
    <row r="145" spans="1:60">
      <c r="A145" s="56" t="s">
        <v>228</v>
      </c>
      <c r="B145" s="56" t="s">
        <v>105</v>
      </c>
      <c r="C145" s="56" t="s">
        <v>212</v>
      </c>
      <c r="D145" s="58">
        <v>0</v>
      </c>
      <c r="E145" s="58">
        <v>0</v>
      </c>
      <c r="F145" s="58">
        <v>0</v>
      </c>
      <c r="G145" s="58">
        <v>1</v>
      </c>
      <c r="H145" s="58">
        <v>34</v>
      </c>
      <c r="I145" s="58">
        <v>195</v>
      </c>
      <c r="J145" s="58">
        <v>342</v>
      </c>
      <c r="K145" s="58">
        <v>389</v>
      </c>
      <c r="L145" s="58">
        <v>412</v>
      </c>
      <c r="M145" s="58">
        <v>489</v>
      </c>
      <c r="N145" s="58">
        <v>476</v>
      </c>
      <c r="O145" s="58">
        <v>548</v>
      </c>
      <c r="P145" s="58">
        <v>566</v>
      </c>
      <c r="Q145" s="58">
        <v>566</v>
      </c>
      <c r="R145" s="58">
        <v>575</v>
      </c>
      <c r="S145" s="58">
        <v>562</v>
      </c>
      <c r="T145" s="58">
        <v>556</v>
      </c>
      <c r="U145" s="58">
        <v>550</v>
      </c>
      <c r="V145" s="58">
        <v>500</v>
      </c>
      <c r="W145" s="58">
        <v>461</v>
      </c>
      <c r="X145" s="58">
        <v>450</v>
      </c>
      <c r="Y145" s="58">
        <v>422</v>
      </c>
      <c r="Z145" s="58">
        <v>387</v>
      </c>
      <c r="AA145" s="58">
        <v>427</v>
      </c>
      <c r="AB145" s="58">
        <v>513</v>
      </c>
      <c r="AC145" s="58">
        <v>490</v>
      </c>
      <c r="AD145" s="58">
        <v>540</v>
      </c>
      <c r="AE145" s="58">
        <v>577</v>
      </c>
      <c r="AF145" s="58">
        <v>543</v>
      </c>
      <c r="AG145" s="58">
        <v>537</v>
      </c>
      <c r="AH145" s="58">
        <v>470</v>
      </c>
      <c r="AI145" s="58">
        <v>511</v>
      </c>
      <c r="AJ145" s="58">
        <v>479</v>
      </c>
      <c r="AK145" s="58">
        <v>479</v>
      </c>
      <c r="AL145" s="58">
        <v>502</v>
      </c>
      <c r="AM145" s="58">
        <v>493</v>
      </c>
      <c r="AN145" s="58">
        <v>507</v>
      </c>
      <c r="AO145" s="58">
        <v>467</v>
      </c>
      <c r="AP145" s="58">
        <v>387</v>
      </c>
      <c r="AQ145" s="58">
        <v>285</v>
      </c>
      <c r="AR145" s="58">
        <v>117</v>
      </c>
      <c r="AS145" s="58">
        <v>12</v>
      </c>
      <c r="AT145" s="58">
        <v>1</v>
      </c>
      <c r="AU145" s="58">
        <v>3</v>
      </c>
      <c r="AV145" s="58">
        <v>1</v>
      </c>
      <c r="AW145" s="58">
        <v>0</v>
      </c>
      <c r="AX145" s="58">
        <v>0</v>
      </c>
      <c r="AY145" s="58">
        <v>5</v>
      </c>
      <c r="AZ145" s="58">
        <v>0</v>
      </c>
      <c r="BA145" s="58">
        <v>0</v>
      </c>
      <c r="BB145" s="58">
        <v>0</v>
      </c>
      <c r="BC145" s="58">
        <v>0</v>
      </c>
      <c r="BD145" s="58">
        <v>0</v>
      </c>
      <c r="BE145" s="58">
        <v>0</v>
      </c>
      <c r="BF145" s="58">
        <v>0</v>
      </c>
      <c r="BG145" s="58">
        <v>0</v>
      </c>
      <c r="BH145" s="58">
        <f>SUM(D145:BG145)</f>
        <v>16827</v>
      </c>
    </row>
    <row r="146" spans="1:60">
      <c r="A146" s="56" t="s">
        <v>229</v>
      </c>
      <c r="B146" s="56" t="s">
        <v>105</v>
      </c>
      <c r="C146" s="56" t="s">
        <v>214</v>
      </c>
      <c r="D146" s="58">
        <v>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2</v>
      </c>
      <c r="K146" s="58">
        <v>3</v>
      </c>
      <c r="L146" s="58">
        <v>2</v>
      </c>
      <c r="M146" s="58">
        <v>1</v>
      </c>
      <c r="N146" s="58">
        <v>3</v>
      </c>
      <c r="O146" s="58">
        <v>2</v>
      </c>
      <c r="P146" s="58">
        <v>3</v>
      </c>
      <c r="Q146" s="58">
        <v>1</v>
      </c>
      <c r="R146" s="58">
        <v>0</v>
      </c>
      <c r="S146" s="58">
        <v>0</v>
      </c>
      <c r="T146" s="58">
        <v>1</v>
      </c>
      <c r="U146" s="58">
        <v>1</v>
      </c>
      <c r="V146" s="58">
        <v>1</v>
      </c>
      <c r="W146" s="58">
        <v>1</v>
      </c>
      <c r="X146" s="58">
        <v>1</v>
      </c>
      <c r="Y146" s="58">
        <v>0</v>
      </c>
      <c r="Z146" s="58">
        <v>0</v>
      </c>
      <c r="AA146" s="58">
        <v>0</v>
      </c>
      <c r="AB146" s="58">
        <v>0</v>
      </c>
      <c r="AC146" s="58">
        <v>0</v>
      </c>
      <c r="AD146" s="58">
        <v>0</v>
      </c>
      <c r="AE146" s="58">
        <v>0</v>
      </c>
      <c r="AF146" s="58">
        <v>0</v>
      </c>
      <c r="AG146" s="58">
        <v>0</v>
      </c>
      <c r="AH146" s="58">
        <v>0</v>
      </c>
      <c r="AI146" s="58">
        <v>0</v>
      </c>
      <c r="AJ146" s="58">
        <v>0</v>
      </c>
      <c r="AK146" s="58">
        <v>0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58">
        <v>0</v>
      </c>
      <c r="AS146" s="58">
        <v>0</v>
      </c>
      <c r="AT146" s="58">
        <v>0</v>
      </c>
      <c r="AU146" s="58">
        <v>0</v>
      </c>
      <c r="AV146" s="58">
        <v>0</v>
      </c>
      <c r="AW146" s="58">
        <v>0</v>
      </c>
      <c r="AX146" s="58">
        <v>0</v>
      </c>
      <c r="AY146" s="58">
        <v>0</v>
      </c>
      <c r="AZ146" s="58">
        <v>0</v>
      </c>
      <c r="BA146" s="58">
        <v>0</v>
      </c>
      <c r="BB146" s="58">
        <v>0</v>
      </c>
      <c r="BC146" s="58">
        <v>0</v>
      </c>
      <c r="BD146" s="58">
        <v>0</v>
      </c>
      <c r="BE146" s="58">
        <v>0</v>
      </c>
      <c r="BF146" s="58">
        <v>0</v>
      </c>
      <c r="BG146" s="58">
        <v>0</v>
      </c>
      <c r="BH146" s="58">
        <f>SUM(D146:BG146)</f>
        <v>22</v>
      </c>
    </row>
    <row r="147" spans="1:60">
      <c r="A147" s="56" t="s">
        <v>230</v>
      </c>
      <c r="B147" s="56" t="s">
        <v>105</v>
      </c>
      <c r="C147" s="56" t="s">
        <v>216</v>
      </c>
      <c r="D147" s="58">
        <v>0</v>
      </c>
      <c r="E147" s="58">
        <v>0</v>
      </c>
      <c r="F147" s="58">
        <v>0</v>
      </c>
      <c r="G147" s="58">
        <v>0</v>
      </c>
      <c r="H147" s="58">
        <v>18</v>
      </c>
      <c r="I147" s="58">
        <v>55</v>
      </c>
      <c r="J147" s="58">
        <v>58</v>
      </c>
      <c r="K147" s="58">
        <v>39</v>
      </c>
      <c r="L147" s="58">
        <v>23</v>
      </c>
      <c r="M147" s="58">
        <v>30</v>
      </c>
      <c r="N147" s="58">
        <v>37</v>
      </c>
      <c r="O147" s="58">
        <v>39</v>
      </c>
      <c r="P147" s="58">
        <v>32</v>
      </c>
      <c r="Q147" s="58">
        <v>36</v>
      </c>
      <c r="R147" s="58">
        <v>34</v>
      </c>
      <c r="S147" s="58">
        <v>44</v>
      </c>
      <c r="T147" s="58">
        <v>29</v>
      </c>
      <c r="U147" s="58">
        <v>35</v>
      </c>
      <c r="V147" s="58">
        <v>25</v>
      </c>
      <c r="W147" s="58">
        <v>7</v>
      </c>
      <c r="X147" s="58">
        <v>0</v>
      </c>
      <c r="Y147" s="58">
        <v>0</v>
      </c>
      <c r="Z147" s="58">
        <v>0</v>
      </c>
      <c r="AA147" s="58">
        <v>0</v>
      </c>
      <c r="AB147" s="58">
        <v>0</v>
      </c>
      <c r="AC147" s="58">
        <v>0</v>
      </c>
      <c r="AD147" s="58">
        <v>0</v>
      </c>
      <c r="AE147" s="58">
        <v>0</v>
      </c>
      <c r="AF147" s="58">
        <v>0</v>
      </c>
      <c r="AG147" s="58">
        <v>0</v>
      </c>
      <c r="AH147" s="58">
        <v>0</v>
      </c>
      <c r="AI147" s="58">
        <v>0</v>
      </c>
      <c r="AJ147" s="58">
        <v>0</v>
      </c>
      <c r="AK147" s="58">
        <v>15</v>
      </c>
      <c r="AL147" s="58">
        <v>21</v>
      </c>
      <c r="AM147" s="58">
        <v>7</v>
      </c>
      <c r="AN147" s="58">
        <v>1</v>
      </c>
      <c r="AO147" s="58">
        <v>2</v>
      </c>
      <c r="AP147" s="58">
        <v>9</v>
      </c>
      <c r="AQ147" s="58">
        <v>5</v>
      </c>
      <c r="AR147" s="58">
        <v>2</v>
      </c>
      <c r="AS147" s="58">
        <v>0</v>
      </c>
      <c r="AT147" s="58">
        <v>0</v>
      </c>
      <c r="AU147" s="58">
        <v>0</v>
      </c>
      <c r="AV147" s="58">
        <v>0</v>
      </c>
      <c r="AW147" s="58">
        <v>0</v>
      </c>
      <c r="AX147" s="58">
        <v>0</v>
      </c>
      <c r="AY147" s="58">
        <v>0</v>
      </c>
      <c r="AZ147" s="58">
        <v>0</v>
      </c>
      <c r="BA147" s="58">
        <v>0</v>
      </c>
      <c r="BB147" s="58">
        <v>0</v>
      </c>
      <c r="BC147" s="58">
        <v>0</v>
      </c>
      <c r="BD147" s="58">
        <v>0</v>
      </c>
      <c r="BE147" s="58">
        <v>0</v>
      </c>
      <c r="BF147" s="58">
        <v>0</v>
      </c>
      <c r="BG147" s="58">
        <v>0</v>
      </c>
      <c r="BH147" s="58">
        <f>SUM(D147:BG147)</f>
        <v>603</v>
      </c>
    </row>
    <row r="148" spans="1:60">
      <c r="A148" s="56" t="s">
        <v>231</v>
      </c>
      <c r="B148" s="56" t="s">
        <v>119</v>
      </c>
      <c r="C148" s="56" t="s">
        <v>5</v>
      </c>
      <c r="D148" s="58">
        <v>0</v>
      </c>
      <c r="E148" s="58">
        <v>0</v>
      </c>
      <c r="F148" s="58">
        <v>0</v>
      </c>
      <c r="G148" s="58">
        <v>7</v>
      </c>
      <c r="H148" s="58">
        <v>24</v>
      </c>
      <c r="I148" s="58">
        <v>347</v>
      </c>
      <c r="J148" s="58">
        <v>675</v>
      </c>
      <c r="K148" s="58">
        <v>647</v>
      </c>
      <c r="L148" s="58">
        <v>710</v>
      </c>
      <c r="M148" s="58">
        <v>704</v>
      </c>
      <c r="N148" s="58">
        <v>729</v>
      </c>
      <c r="O148" s="58">
        <v>761</v>
      </c>
      <c r="P148" s="58">
        <v>833</v>
      </c>
      <c r="Q148" s="58">
        <v>820</v>
      </c>
      <c r="R148" s="58">
        <v>844</v>
      </c>
      <c r="S148" s="58">
        <v>797</v>
      </c>
      <c r="T148" s="58">
        <v>783</v>
      </c>
      <c r="U148" s="58">
        <v>747</v>
      </c>
      <c r="V148" s="58">
        <v>666</v>
      </c>
      <c r="W148" s="58">
        <v>663</v>
      </c>
      <c r="X148" s="58">
        <v>636</v>
      </c>
      <c r="Y148" s="58">
        <v>591</v>
      </c>
      <c r="Z148" s="58">
        <v>594</v>
      </c>
      <c r="AA148" s="58">
        <v>576</v>
      </c>
      <c r="AB148" s="58">
        <v>641</v>
      </c>
      <c r="AC148" s="58">
        <v>666</v>
      </c>
      <c r="AD148" s="58">
        <v>665</v>
      </c>
      <c r="AE148" s="58">
        <v>756</v>
      </c>
      <c r="AF148" s="58">
        <v>706</v>
      </c>
      <c r="AG148" s="58">
        <v>665</v>
      </c>
      <c r="AH148" s="58">
        <v>674</v>
      </c>
      <c r="AI148" s="58">
        <v>689</v>
      </c>
      <c r="AJ148" s="58">
        <v>685</v>
      </c>
      <c r="AK148" s="58">
        <v>602</v>
      </c>
      <c r="AL148" s="58">
        <v>638</v>
      </c>
      <c r="AM148" s="58">
        <v>603</v>
      </c>
      <c r="AN148" s="58">
        <v>612</v>
      </c>
      <c r="AO148" s="58">
        <v>627</v>
      </c>
      <c r="AP148" s="58">
        <v>546</v>
      </c>
      <c r="AQ148" s="58">
        <v>369</v>
      </c>
      <c r="AR148" s="58">
        <v>177</v>
      </c>
      <c r="AS148" s="58">
        <v>10</v>
      </c>
      <c r="AT148" s="58">
        <v>6</v>
      </c>
      <c r="AU148" s="58">
        <v>2</v>
      </c>
      <c r="AV148" s="58">
        <v>1</v>
      </c>
      <c r="AW148" s="58">
        <v>4</v>
      </c>
      <c r="AX148" s="58">
        <v>2</v>
      </c>
      <c r="AY148" s="58">
        <v>2</v>
      </c>
      <c r="AZ148" s="58">
        <v>2</v>
      </c>
      <c r="BA148" s="58">
        <v>3</v>
      </c>
      <c r="BB148" s="58">
        <v>0</v>
      </c>
      <c r="BC148" s="58">
        <v>0</v>
      </c>
      <c r="BD148" s="58">
        <v>0</v>
      </c>
      <c r="BE148" s="58">
        <v>0</v>
      </c>
      <c r="BF148" s="58">
        <v>0</v>
      </c>
      <c r="BG148" s="58">
        <v>0</v>
      </c>
      <c r="BH148" s="58">
        <f>SUM(D148:BG148)</f>
        <v>23507</v>
      </c>
    </row>
    <row r="149" spans="1:60">
      <c r="A149" s="56" t="s">
        <v>232</v>
      </c>
      <c r="B149" s="56" t="s">
        <v>119</v>
      </c>
      <c r="C149" s="56" t="s">
        <v>206</v>
      </c>
      <c r="D149" s="58">
        <v>0</v>
      </c>
      <c r="E149" s="58">
        <v>0</v>
      </c>
      <c r="F149" s="58">
        <v>1</v>
      </c>
      <c r="G149" s="58">
        <v>3</v>
      </c>
      <c r="H149" s="58">
        <v>39</v>
      </c>
      <c r="I149" s="58">
        <v>296</v>
      </c>
      <c r="J149" s="58">
        <v>598</v>
      </c>
      <c r="K149" s="58">
        <v>539</v>
      </c>
      <c r="L149" s="58">
        <v>647</v>
      </c>
      <c r="M149" s="58">
        <v>624</v>
      </c>
      <c r="N149" s="58">
        <v>701</v>
      </c>
      <c r="O149" s="58">
        <v>725</v>
      </c>
      <c r="P149" s="58">
        <v>757</v>
      </c>
      <c r="Q149" s="58">
        <v>778</v>
      </c>
      <c r="R149" s="58">
        <v>832</v>
      </c>
      <c r="S149" s="58">
        <v>811</v>
      </c>
      <c r="T149" s="58">
        <v>768</v>
      </c>
      <c r="U149" s="58">
        <v>703</v>
      </c>
      <c r="V149" s="58">
        <v>655</v>
      </c>
      <c r="W149" s="58">
        <v>595</v>
      </c>
      <c r="X149" s="58">
        <v>560</v>
      </c>
      <c r="Y149" s="58">
        <v>620</v>
      </c>
      <c r="Z149" s="58">
        <v>552</v>
      </c>
      <c r="AA149" s="58">
        <v>570</v>
      </c>
      <c r="AB149" s="58">
        <v>625</v>
      </c>
      <c r="AC149" s="58">
        <v>751</v>
      </c>
      <c r="AD149" s="58">
        <v>677</v>
      </c>
      <c r="AE149" s="58">
        <v>708</v>
      </c>
      <c r="AF149" s="58">
        <v>742</v>
      </c>
      <c r="AG149" s="58">
        <v>739</v>
      </c>
      <c r="AH149" s="58">
        <v>765</v>
      </c>
      <c r="AI149" s="58">
        <v>683</v>
      </c>
      <c r="AJ149" s="58">
        <v>670</v>
      </c>
      <c r="AK149" s="58">
        <v>661</v>
      </c>
      <c r="AL149" s="58">
        <v>626</v>
      </c>
      <c r="AM149" s="58">
        <v>668</v>
      </c>
      <c r="AN149" s="58">
        <v>612</v>
      </c>
      <c r="AO149" s="58">
        <v>633</v>
      </c>
      <c r="AP149" s="58">
        <v>532</v>
      </c>
      <c r="AQ149" s="58">
        <v>412</v>
      </c>
      <c r="AR149" s="58">
        <v>191</v>
      </c>
      <c r="AS149" s="58">
        <v>12</v>
      </c>
      <c r="AT149" s="58">
        <v>2</v>
      </c>
      <c r="AU149" s="58">
        <v>6</v>
      </c>
      <c r="AV149" s="58">
        <v>5</v>
      </c>
      <c r="AW149" s="58">
        <v>9</v>
      </c>
      <c r="AX149" s="58">
        <v>4</v>
      </c>
      <c r="AY149" s="58">
        <v>1</v>
      </c>
      <c r="AZ149" s="58">
        <v>5</v>
      </c>
      <c r="BA149" s="58">
        <v>0</v>
      </c>
      <c r="BB149" s="58">
        <v>0</v>
      </c>
      <c r="BC149" s="58">
        <v>0</v>
      </c>
      <c r="BD149" s="58">
        <v>0</v>
      </c>
      <c r="BE149" s="58">
        <v>0</v>
      </c>
      <c r="BF149" s="58">
        <v>0</v>
      </c>
      <c r="BG149" s="58">
        <v>0</v>
      </c>
      <c r="BH149" s="58">
        <f>SUM(D149:BG149)</f>
        <v>23113</v>
      </c>
    </row>
    <row r="150" spans="1:60">
      <c r="A150" s="56" t="s">
        <v>233</v>
      </c>
      <c r="B150" s="56" t="s">
        <v>119</v>
      </c>
      <c r="C150" s="56" t="s">
        <v>208</v>
      </c>
      <c r="D150" s="58">
        <v>0</v>
      </c>
      <c r="E150" s="58">
        <v>0</v>
      </c>
      <c r="F150" s="58">
        <v>0</v>
      </c>
      <c r="G150" s="58">
        <v>2</v>
      </c>
      <c r="H150" s="58">
        <v>24</v>
      </c>
      <c r="I150" s="58">
        <v>260</v>
      </c>
      <c r="J150" s="58">
        <v>549</v>
      </c>
      <c r="K150" s="58">
        <v>511</v>
      </c>
      <c r="L150" s="58">
        <v>602</v>
      </c>
      <c r="M150" s="58">
        <v>677</v>
      </c>
      <c r="N150" s="58">
        <v>700</v>
      </c>
      <c r="O150" s="58">
        <v>678</v>
      </c>
      <c r="P150" s="58">
        <v>751</v>
      </c>
      <c r="Q150" s="58">
        <v>761</v>
      </c>
      <c r="R150" s="58">
        <v>764</v>
      </c>
      <c r="S150" s="58">
        <v>805</v>
      </c>
      <c r="T150" s="58">
        <v>747</v>
      </c>
      <c r="U150" s="58">
        <v>700</v>
      </c>
      <c r="V150" s="58">
        <v>641</v>
      </c>
      <c r="W150" s="58">
        <v>607</v>
      </c>
      <c r="X150" s="58">
        <v>554</v>
      </c>
      <c r="Y150" s="58">
        <v>543</v>
      </c>
      <c r="Z150" s="58">
        <v>543</v>
      </c>
      <c r="AA150" s="58">
        <v>571</v>
      </c>
      <c r="AB150" s="58">
        <v>561</v>
      </c>
      <c r="AC150" s="58">
        <v>658</v>
      </c>
      <c r="AD150" s="58">
        <v>714</v>
      </c>
      <c r="AE150" s="58">
        <v>722</v>
      </c>
      <c r="AF150" s="58">
        <v>728</v>
      </c>
      <c r="AG150" s="58">
        <v>715</v>
      </c>
      <c r="AH150" s="58">
        <v>715</v>
      </c>
      <c r="AI150" s="58">
        <v>673</v>
      </c>
      <c r="AJ150" s="58">
        <v>657</v>
      </c>
      <c r="AK150" s="58">
        <v>674</v>
      </c>
      <c r="AL150" s="58">
        <v>676</v>
      </c>
      <c r="AM150" s="58">
        <v>545</v>
      </c>
      <c r="AN150" s="58">
        <v>624</v>
      </c>
      <c r="AO150" s="58">
        <v>590</v>
      </c>
      <c r="AP150" s="58">
        <v>523</v>
      </c>
      <c r="AQ150" s="58">
        <v>398</v>
      </c>
      <c r="AR150" s="58">
        <v>194</v>
      </c>
      <c r="AS150" s="58">
        <v>12</v>
      </c>
      <c r="AT150" s="58">
        <v>3</v>
      </c>
      <c r="AU150" s="58">
        <v>2</v>
      </c>
      <c r="AV150" s="58">
        <v>0</v>
      </c>
      <c r="AW150" s="58">
        <v>0</v>
      </c>
      <c r="AX150" s="58">
        <v>0</v>
      </c>
      <c r="AY150" s="58">
        <v>0</v>
      </c>
      <c r="AZ150" s="58">
        <v>0</v>
      </c>
      <c r="BA150" s="58">
        <v>0</v>
      </c>
      <c r="BB150" s="58">
        <v>0</v>
      </c>
      <c r="BC150" s="58">
        <v>0</v>
      </c>
      <c r="BD150" s="58">
        <v>0</v>
      </c>
      <c r="BE150" s="58">
        <v>0</v>
      </c>
      <c r="BF150" s="58">
        <v>0</v>
      </c>
      <c r="BG150" s="58">
        <v>0</v>
      </c>
      <c r="BH150" s="58">
        <f>SUM(D150:BG150)</f>
        <v>22374</v>
      </c>
    </row>
    <row r="151" spans="1:60">
      <c r="A151" s="56" t="s">
        <v>234</v>
      </c>
      <c r="B151" s="56" t="s">
        <v>119</v>
      </c>
      <c r="C151" s="56" t="s">
        <v>210</v>
      </c>
      <c r="D151" s="58">
        <v>0</v>
      </c>
      <c r="E151" s="58">
        <v>0</v>
      </c>
      <c r="F151" s="58">
        <v>0</v>
      </c>
      <c r="G151" s="58">
        <v>6</v>
      </c>
      <c r="H151" s="58">
        <v>27</v>
      </c>
      <c r="I151" s="58">
        <v>260</v>
      </c>
      <c r="J151" s="58">
        <v>561</v>
      </c>
      <c r="K151" s="58">
        <v>539</v>
      </c>
      <c r="L151" s="58">
        <v>572</v>
      </c>
      <c r="M151" s="58">
        <v>612</v>
      </c>
      <c r="N151" s="58">
        <v>702</v>
      </c>
      <c r="O151" s="58">
        <v>700</v>
      </c>
      <c r="P151" s="58">
        <v>737</v>
      </c>
      <c r="Q151" s="58">
        <v>748</v>
      </c>
      <c r="R151" s="58">
        <v>747</v>
      </c>
      <c r="S151" s="58">
        <v>767</v>
      </c>
      <c r="T151" s="58">
        <v>769</v>
      </c>
      <c r="U151" s="58">
        <v>741</v>
      </c>
      <c r="V151" s="58">
        <v>707</v>
      </c>
      <c r="W151" s="58">
        <v>586</v>
      </c>
      <c r="X151" s="58">
        <v>570</v>
      </c>
      <c r="Y151" s="58">
        <v>575</v>
      </c>
      <c r="Z151" s="58">
        <v>595</v>
      </c>
      <c r="AA151" s="58">
        <v>586</v>
      </c>
      <c r="AB151" s="58">
        <v>637</v>
      </c>
      <c r="AC151" s="58">
        <v>719</v>
      </c>
      <c r="AD151" s="58">
        <v>723</v>
      </c>
      <c r="AE151" s="58">
        <v>710</v>
      </c>
      <c r="AF151" s="58">
        <v>710</v>
      </c>
      <c r="AG151" s="58">
        <v>744</v>
      </c>
      <c r="AH151" s="58">
        <v>761</v>
      </c>
      <c r="AI151" s="58">
        <v>670</v>
      </c>
      <c r="AJ151" s="58">
        <v>705</v>
      </c>
      <c r="AK151" s="58">
        <v>672</v>
      </c>
      <c r="AL151" s="58">
        <v>694</v>
      </c>
      <c r="AM151" s="58">
        <v>607</v>
      </c>
      <c r="AN151" s="58">
        <v>643</v>
      </c>
      <c r="AO151" s="58">
        <v>657</v>
      </c>
      <c r="AP151" s="58">
        <v>553</v>
      </c>
      <c r="AQ151" s="58">
        <v>426</v>
      </c>
      <c r="AR151" s="58">
        <v>202</v>
      </c>
      <c r="AS151" s="58">
        <v>13</v>
      </c>
      <c r="AT151" s="58">
        <v>4</v>
      </c>
      <c r="AU151" s="58">
        <v>11</v>
      </c>
      <c r="AV151" s="58">
        <v>10</v>
      </c>
      <c r="AW151" s="58">
        <v>12</v>
      </c>
      <c r="AX151" s="58">
        <v>15</v>
      </c>
      <c r="AY151" s="58">
        <v>8</v>
      </c>
      <c r="AZ151" s="58">
        <v>8</v>
      </c>
      <c r="BA151" s="58">
        <v>11</v>
      </c>
      <c r="BB151" s="58">
        <v>0</v>
      </c>
      <c r="BC151" s="58">
        <v>0</v>
      </c>
      <c r="BD151" s="58">
        <v>0</v>
      </c>
      <c r="BE151" s="58">
        <v>0</v>
      </c>
      <c r="BF151" s="58">
        <v>0</v>
      </c>
      <c r="BG151" s="58">
        <v>0</v>
      </c>
      <c r="BH151" s="58">
        <f>SUM(D151:BG151)</f>
        <v>23032</v>
      </c>
    </row>
    <row r="152" spans="1:60">
      <c r="A152" s="56" t="s">
        <v>235</v>
      </c>
      <c r="B152" s="56" t="s">
        <v>119</v>
      </c>
      <c r="C152" s="56" t="s">
        <v>212</v>
      </c>
      <c r="D152" s="58">
        <v>0</v>
      </c>
      <c r="E152" s="58">
        <v>0</v>
      </c>
      <c r="F152" s="58">
        <v>0</v>
      </c>
      <c r="G152" s="58">
        <v>5</v>
      </c>
      <c r="H152" s="58">
        <v>26</v>
      </c>
      <c r="I152" s="58">
        <v>240</v>
      </c>
      <c r="J152" s="58">
        <v>539</v>
      </c>
      <c r="K152" s="58">
        <v>581</v>
      </c>
      <c r="L152" s="58">
        <v>563</v>
      </c>
      <c r="M152" s="58">
        <v>649</v>
      </c>
      <c r="N152" s="58">
        <v>696</v>
      </c>
      <c r="O152" s="58">
        <v>689</v>
      </c>
      <c r="P152" s="58">
        <v>750</v>
      </c>
      <c r="Q152" s="58">
        <v>768</v>
      </c>
      <c r="R152" s="58">
        <v>743</v>
      </c>
      <c r="S152" s="58">
        <v>767</v>
      </c>
      <c r="T152" s="58">
        <v>730</v>
      </c>
      <c r="U152" s="58">
        <v>738</v>
      </c>
      <c r="V152" s="58">
        <v>633</v>
      </c>
      <c r="W152" s="58">
        <v>570</v>
      </c>
      <c r="X152" s="58">
        <v>546</v>
      </c>
      <c r="Y152" s="58">
        <v>549</v>
      </c>
      <c r="Z152" s="58">
        <v>532</v>
      </c>
      <c r="AA152" s="58">
        <v>546</v>
      </c>
      <c r="AB152" s="58">
        <v>607</v>
      </c>
      <c r="AC152" s="58">
        <v>728</v>
      </c>
      <c r="AD152" s="58">
        <v>746</v>
      </c>
      <c r="AE152" s="58">
        <v>727</v>
      </c>
      <c r="AF152" s="58">
        <v>760</v>
      </c>
      <c r="AG152" s="58">
        <v>785</v>
      </c>
      <c r="AH152" s="58">
        <v>742</v>
      </c>
      <c r="AI152" s="58">
        <v>714</v>
      </c>
      <c r="AJ152" s="58">
        <v>710</v>
      </c>
      <c r="AK152" s="58">
        <v>680</v>
      </c>
      <c r="AL152" s="58">
        <v>717</v>
      </c>
      <c r="AM152" s="58">
        <v>656</v>
      </c>
      <c r="AN152" s="58">
        <v>694</v>
      </c>
      <c r="AO152" s="58">
        <v>661</v>
      </c>
      <c r="AP152" s="58">
        <v>653</v>
      </c>
      <c r="AQ152" s="58">
        <v>461</v>
      </c>
      <c r="AR152" s="58">
        <v>222</v>
      </c>
      <c r="AS152" s="58">
        <v>10</v>
      </c>
      <c r="AT152" s="58">
        <v>6</v>
      </c>
      <c r="AU152" s="58">
        <v>3</v>
      </c>
      <c r="AV152" s="58">
        <v>1</v>
      </c>
      <c r="AW152" s="58">
        <v>1</v>
      </c>
      <c r="AX152" s="58">
        <v>0</v>
      </c>
      <c r="AY152" s="58">
        <v>0</v>
      </c>
      <c r="AZ152" s="58">
        <v>0</v>
      </c>
      <c r="BA152" s="58">
        <v>0</v>
      </c>
      <c r="BB152" s="58">
        <v>0</v>
      </c>
      <c r="BC152" s="58">
        <v>0</v>
      </c>
      <c r="BD152" s="58">
        <v>0</v>
      </c>
      <c r="BE152" s="58">
        <v>0</v>
      </c>
      <c r="BF152" s="58">
        <v>0</v>
      </c>
      <c r="BG152" s="58">
        <v>0</v>
      </c>
      <c r="BH152" s="58">
        <f>SUM(D152:BG152)</f>
        <v>23144</v>
      </c>
    </row>
    <row r="153" spans="1:60">
      <c r="A153" s="56" t="s">
        <v>236</v>
      </c>
      <c r="B153" s="56" t="s">
        <v>119</v>
      </c>
      <c r="C153" s="56" t="s">
        <v>214</v>
      </c>
      <c r="D153" s="58">
        <v>0</v>
      </c>
      <c r="E153" s="58">
        <v>0</v>
      </c>
      <c r="F153" s="58">
        <v>0</v>
      </c>
      <c r="G153" s="58">
        <v>0</v>
      </c>
      <c r="H153" s="58">
        <v>1</v>
      </c>
      <c r="I153" s="58">
        <v>0</v>
      </c>
      <c r="J153" s="58">
        <v>2</v>
      </c>
      <c r="K153" s="58">
        <v>0</v>
      </c>
      <c r="L153" s="58">
        <v>2</v>
      </c>
      <c r="M153" s="58">
        <v>1</v>
      </c>
      <c r="N153" s="58">
        <v>3</v>
      </c>
      <c r="O153" s="58">
        <v>2</v>
      </c>
      <c r="P153" s="58">
        <v>0</v>
      </c>
      <c r="Q153" s="58">
        <v>1</v>
      </c>
      <c r="R153" s="58">
        <v>1</v>
      </c>
      <c r="S153" s="58">
        <v>1</v>
      </c>
      <c r="T153" s="58">
        <v>0</v>
      </c>
      <c r="U153" s="58">
        <v>3</v>
      </c>
      <c r="V153" s="58">
        <v>2</v>
      </c>
      <c r="W153" s="58">
        <v>4</v>
      </c>
      <c r="X153" s="58">
        <v>0</v>
      </c>
      <c r="Y153" s="58">
        <v>0</v>
      </c>
      <c r="Z153" s="58">
        <v>0</v>
      </c>
      <c r="AA153" s="58">
        <v>0</v>
      </c>
      <c r="AB153" s="58">
        <v>0</v>
      </c>
      <c r="AC153" s="58">
        <v>0</v>
      </c>
      <c r="AD153" s="58">
        <v>0</v>
      </c>
      <c r="AE153" s="58">
        <v>0</v>
      </c>
      <c r="AF153" s="58">
        <v>0</v>
      </c>
      <c r="AG153" s="58">
        <v>0</v>
      </c>
      <c r="AH153" s="58">
        <v>0</v>
      </c>
      <c r="AI153" s="58">
        <v>0</v>
      </c>
      <c r="AJ153" s="58">
        <v>0</v>
      </c>
      <c r="AK153" s="58">
        <v>0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58">
        <v>0</v>
      </c>
      <c r="AS153" s="58">
        <v>0</v>
      </c>
      <c r="AT153" s="58">
        <v>0</v>
      </c>
      <c r="AU153" s="58">
        <v>0</v>
      </c>
      <c r="AV153" s="58">
        <v>0</v>
      </c>
      <c r="AW153" s="58">
        <v>0</v>
      </c>
      <c r="AX153" s="58">
        <v>0</v>
      </c>
      <c r="AY153" s="58">
        <v>0</v>
      </c>
      <c r="AZ153" s="58">
        <v>0</v>
      </c>
      <c r="BA153" s="58">
        <v>0</v>
      </c>
      <c r="BB153" s="58">
        <v>0</v>
      </c>
      <c r="BC153" s="58">
        <v>0</v>
      </c>
      <c r="BD153" s="58">
        <v>0</v>
      </c>
      <c r="BE153" s="58">
        <v>0</v>
      </c>
      <c r="BF153" s="58">
        <v>0</v>
      </c>
      <c r="BG153" s="58">
        <v>0</v>
      </c>
      <c r="BH153" s="58">
        <f>SUM(D153:BG153)</f>
        <v>23</v>
      </c>
    </row>
    <row r="154" spans="1:60">
      <c r="A154" s="56" t="s">
        <v>237</v>
      </c>
      <c r="B154" s="56" t="s">
        <v>119</v>
      </c>
      <c r="C154" s="56" t="s">
        <v>216</v>
      </c>
      <c r="D154" s="58">
        <v>0</v>
      </c>
      <c r="E154" s="58">
        <v>0</v>
      </c>
      <c r="F154" s="58">
        <v>0</v>
      </c>
      <c r="G154" s="58">
        <v>1</v>
      </c>
      <c r="H154" s="58">
        <v>11</v>
      </c>
      <c r="I154" s="58">
        <v>63</v>
      </c>
      <c r="J154" s="58">
        <v>78</v>
      </c>
      <c r="K154" s="58">
        <v>34</v>
      </c>
      <c r="L154" s="58">
        <v>37</v>
      </c>
      <c r="M154" s="58">
        <v>54</v>
      </c>
      <c r="N154" s="58">
        <v>25</v>
      </c>
      <c r="O154" s="58">
        <v>41</v>
      </c>
      <c r="P154" s="58">
        <v>29</v>
      </c>
      <c r="Q154" s="58">
        <v>36</v>
      </c>
      <c r="R154" s="58">
        <v>23</v>
      </c>
      <c r="S154" s="58">
        <v>31</v>
      </c>
      <c r="T154" s="58">
        <v>31</v>
      </c>
      <c r="U154" s="58">
        <v>34</v>
      </c>
      <c r="V154" s="58">
        <v>45</v>
      </c>
      <c r="W154" s="58">
        <v>16</v>
      </c>
      <c r="X154" s="58">
        <v>0</v>
      </c>
      <c r="Y154" s="58">
        <v>0</v>
      </c>
      <c r="Z154" s="58">
        <v>0</v>
      </c>
      <c r="AA154" s="58">
        <v>0</v>
      </c>
      <c r="AB154" s="58">
        <v>10</v>
      </c>
      <c r="AC154" s="58">
        <v>1</v>
      </c>
      <c r="AD154" s="58">
        <v>7</v>
      </c>
      <c r="AE154" s="58">
        <v>0</v>
      </c>
      <c r="AF154" s="58">
        <v>0</v>
      </c>
      <c r="AG154" s="58">
        <v>0</v>
      </c>
      <c r="AH154" s="58">
        <v>27</v>
      </c>
      <c r="AI154" s="58">
        <v>1</v>
      </c>
      <c r="AJ154" s="58">
        <v>0</v>
      </c>
      <c r="AK154" s="58">
        <v>0</v>
      </c>
      <c r="AL154" s="58">
        <v>8</v>
      </c>
      <c r="AM154" s="58">
        <v>7</v>
      </c>
      <c r="AN154" s="58">
        <v>1</v>
      </c>
      <c r="AO154" s="58">
        <v>6</v>
      </c>
      <c r="AP154" s="58">
        <v>26</v>
      </c>
      <c r="AQ154" s="58">
        <v>2</v>
      </c>
      <c r="AR154" s="58">
        <v>3</v>
      </c>
      <c r="AS154" s="58">
        <v>3</v>
      </c>
      <c r="AT154" s="58">
        <v>0</v>
      </c>
      <c r="AU154" s="58">
        <v>3</v>
      </c>
      <c r="AV154" s="58">
        <v>0</v>
      </c>
      <c r="AW154" s="58">
        <v>0</v>
      </c>
      <c r="AX154" s="58">
        <v>0</v>
      </c>
      <c r="AY154" s="58">
        <v>0</v>
      </c>
      <c r="AZ154" s="58">
        <v>0</v>
      </c>
      <c r="BA154" s="58">
        <v>0</v>
      </c>
      <c r="BB154" s="58">
        <v>0</v>
      </c>
      <c r="BC154" s="58">
        <v>0</v>
      </c>
      <c r="BD154" s="58">
        <v>0</v>
      </c>
      <c r="BE154" s="58">
        <v>0</v>
      </c>
      <c r="BF154" s="58">
        <v>0</v>
      </c>
      <c r="BG154" s="58">
        <v>0</v>
      </c>
      <c r="BH154" s="58">
        <f>SUM(D154:BG154)</f>
        <v>694</v>
      </c>
    </row>
    <row r="155" spans="1:60">
      <c r="A155" s="56" t="s">
        <v>238</v>
      </c>
      <c r="B155" s="56" t="s">
        <v>133</v>
      </c>
      <c r="C155" s="56" t="s">
        <v>5</v>
      </c>
      <c r="D155" s="58">
        <v>0</v>
      </c>
      <c r="E155" s="58">
        <v>0</v>
      </c>
      <c r="F155" s="58">
        <v>0</v>
      </c>
      <c r="G155" s="58">
        <v>1</v>
      </c>
      <c r="H155" s="58">
        <v>8</v>
      </c>
      <c r="I155" s="58">
        <v>309</v>
      </c>
      <c r="J155" s="58">
        <v>845</v>
      </c>
      <c r="K155" s="58">
        <v>744</v>
      </c>
      <c r="L155" s="58">
        <v>815</v>
      </c>
      <c r="M155" s="58">
        <v>867</v>
      </c>
      <c r="N155" s="58">
        <v>835</v>
      </c>
      <c r="O155" s="58">
        <v>933</v>
      </c>
      <c r="P155" s="58">
        <v>949</v>
      </c>
      <c r="Q155" s="58">
        <v>981</v>
      </c>
      <c r="R155" s="58">
        <v>911</v>
      </c>
      <c r="S155" s="58">
        <v>911</v>
      </c>
      <c r="T155" s="58">
        <v>919</v>
      </c>
      <c r="U155" s="58">
        <v>944</v>
      </c>
      <c r="V155" s="58">
        <v>880</v>
      </c>
      <c r="W155" s="58">
        <v>776</v>
      </c>
      <c r="X155" s="58">
        <v>749</v>
      </c>
      <c r="Y155" s="58">
        <v>734</v>
      </c>
      <c r="Z155" s="58">
        <v>655</v>
      </c>
      <c r="AA155" s="58">
        <v>710</v>
      </c>
      <c r="AB155" s="58">
        <v>725</v>
      </c>
      <c r="AC155" s="58">
        <v>792</v>
      </c>
      <c r="AD155" s="58">
        <v>800</v>
      </c>
      <c r="AE155" s="58">
        <v>889</v>
      </c>
      <c r="AF155" s="58">
        <v>875</v>
      </c>
      <c r="AG155" s="58">
        <v>852</v>
      </c>
      <c r="AH155" s="58">
        <v>821</v>
      </c>
      <c r="AI155" s="58">
        <v>792</v>
      </c>
      <c r="AJ155" s="58">
        <v>807</v>
      </c>
      <c r="AK155" s="58">
        <v>772</v>
      </c>
      <c r="AL155" s="58">
        <v>726</v>
      </c>
      <c r="AM155" s="58">
        <v>664</v>
      </c>
      <c r="AN155" s="58">
        <v>688</v>
      </c>
      <c r="AO155" s="58">
        <v>716</v>
      </c>
      <c r="AP155" s="58">
        <v>688</v>
      </c>
      <c r="AQ155" s="58">
        <v>540</v>
      </c>
      <c r="AR155" s="58">
        <v>241</v>
      </c>
      <c r="AS155" s="58">
        <v>27</v>
      </c>
      <c r="AT155" s="58">
        <v>3</v>
      </c>
      <c r="AU155" s="58">
        <v>2</v>
      </c>
      <c r="AV155" s="58">
        <v>2</v>
      </c>
      <c r="AW155" s="58">
        <v>3</v>
      </c>
      <c r="AX155" s="58">
        <v>1</v>
      </c>
      <c r="AY155" s="58">
        <v>1</v>
      </c>
      <c r="AZ155" s="58">
        <v>0</v>
      </c>
      <c r="BA155" s="58">
        <v>0</v>
      </c>
      <c r="BB155" s="58">
        <v>0</v>
      </c>
      <c r="BC155" s="58">
        <v>0</v>
      </c>
      <c r="BD155" s="58">
        <v>0</v>
      </c>
      <c r="BE155" s="58">
        <v>0</v>
      </c>
      <c r="BF155" s="58">
        <v>0</v>
      </c>
      <c r="BG155" s="58">
        <v>0</v>
      </c>
      <c r="BH155" s="58">
        <f>SUM(D155:BG155)</f>
        <v>27903</v>
      </c>
    </row>
    <row r="156" spans="1:60">
      <c r="A156" s="56" t="s">
        <v>239</v>
      </c>
      <c r="B156" s="56" t="s">
        <v>133</v>
      </c>
      <c r="C156" s="56" t="s">
        <v>206</v>
      </c>
      <c r="D156" s="58">
        <v>0</v>
      </c>
      <c r="E156" s="58">
        <v>0</v>
      </c>
      <c r="F156" s="58">
        <v>0</v>
      </c>
      <c r="G156" s="58">
        <v>1</v>
      </c>
      <c r="H156" s="58">
        <v>13</v>
      </c>
      <c r="I156" s="58">
        <v>271</v>
      </c>
      <c r="J156" s="58">
        <v>772</v>
      </c>
      <c r="K156" s="58">
        <v>668</v>
      </c>
      <c r="L156" s="58">
        <v>776</v>
      </c>
      <c r="M156" s="58">
        <v>867</v>
      </c>
      <c r="N156" s="58">
        <v>828</v>
      </c>
      <c r="O156" s="58">
        <v>921</v>
      </c>
      <c r="P156" s="58">
        <v>970</v>
      </c>
      <c r="Q156" s="58">
        <v>980</v>
      </c>
      <c r="R156" s="58">
        <v>949</v>
      </c>
      <c r="S156" s="58">
        <v>927</v>
      </c>
      <c r="T156" s="58">
        <v>938</v>
      </c>
      <c r="U156" s="58">
        <v>890</v>
      </c>
      <c r="V156" s="58">
        <v>865</v>
      </c>
      <c r="W156" s="58">
        <v>781</v>
      </c>
      <c r="X156" s="58">
        <v>741</v>
      </c>
      <c r="Y156" s="58">
        <v>670</v>
      </c>
      <c r="Z156" s="58">
        <v>712</v>
      </c>
      <c r="AA156" s="58">
        <v>695</v>
      </c>
      <c r="AB156" s="58">
        <v>791</v>
      </c>
      <c r="AC156" s="58">
        <v>862</v>
      </c>
      <c r="AD156" s="58">
        <v>859</v>
      </c>
      <c r="AE156" s="58">
        <v>908</v>
      </c>
      <c r="AF156" s="58">
        <v>895</v>
      </c>
      <c r="AG156" s="58">
        <v>935</v>
      </c>
      <c r="AH156" s="58">
        <v>887</v>
      </c>
      <c r="AI156" s="58">
        <v>841</v>
      </c>
      <c r="AJ156" s="58">
        <v>811</v>
      </c>
      <c r="AK156" s="58">
        <v>796</v>
      </c>
      <c r="AL156" s="58">
        <v>787</v>
      </c>
      <c r="AM156" s="58">
        <v>744</v>
      </c>
      <c r="AN156" s="58">
        <v>792</v>
      </c>
      <c r="AO156" s="58">
        <v>798</v>
      </c>
      <c r="AP156" s="58">
        <v>671</v>
      </c>
      <c r="AQ156" s="58">
        <v>553</v>
      </c>
      <c r="AR156" s="58">
        <v>235</v>
      </c>
      <c r="AS156" s="58">
        <v>27</v>
      </c>
      <c r="AT156" s="58">
        <v>2</v>
      </c>
      <c r="AU156" s="58">
        <v>3</v>
      </c>
      <c r="AV156" s="58">
        <v>2</v>
      </c>
      <c r="AW156" s="58">
        <v>5</v>
      </c>
      <c r="AX156" s="58">
        <v>2</v>
      </c>
      <c r="AY156" s="58">
        <v>2</v>
      </c>
      <c r="AZ156" s="58">
        <v>5</v>
      </c>
      <c r="BA156" s="58">
        <v>0</v>
      </c>
      <c r="BB156" s="58">
        <v>0</v>
      </c>
      <c r="BC156" s="58">
        <v>0</v>
      </c>
      <c r="BD156" s="58">
        <v>2</v>
      </c>
      <c r="BE156" s="58">
        <v>0</v>
      </c>
      <c r="BF156" s="58">
        <v>0</v>
      </c>
      <c r="BG156" s="58">
        <v>0</v>
      </c>
      <c r="BH156" s="58">
        <f>SUM(D156:BG156)</f>
        <v>28450</v>
      </c>
    </row>
    <row r="157" spans="1:60">
      <c r="A157" s="56" t="s">
        <v>240</v>
      </c>
      <c r="B157" s="56" t="s">
        <v>133</v>
      </c>
      <c r="C157" s="56" t="s">
        <v>208</v>
      </c>
      <c r="D157" s="58">
        <v>0</v>
      </c>
      <c r="E157" s="58">
        <v>0</v>
      </c>
      <c r="F157" s="58">
        <v>0</v>
      </c>
      <c r="G157" s="58">
        <v>0</v>
      </c>
      <c r="H157" s="58">
        <v>4</v>
      </c>
      <c r="I157" s="58">
        <v>263</v>
      </c>
      <c r="J157" s="58">
        <v>802</v>
      </c>
      <c r="K157" s="58">
        <v>610</v>
      </c>
      <c r="L157" s="58">
        <v>740</v>
      </c>
      <c r="M157" s="58">
        <v>834</v>
      </c>
      <c r="N157" s="58">
        <v>872</v>
      </c>
      <c r="O157" s="58">
        <v>911</v>
      </c>
      <c r="P157" s="58">
        <v>998</v>
      </c>
      <c r="Q157" s="58">
        <v>935</v>
      </c>
      <c r="R157" s="58">
        <v>885</v>
      </c>
      <c r="S157" s="58">
        <v>919</v>
      </c>
      <c r="T157" s="58">
        <v>986</v>
      </c>
      <c r="U157" s="58">
        <v>898</v>
      </c>
      <c r="V157" s="58">
        <v>863</v>
      </c>
      <c r="W157" s="58">
        <v>802</v>
      </c>
      <c r="X157" s="58">
        <v>732</v>
      </c>
      <c r="Y157" s="58">
        <v>713</v>
      </c>
      <c r="Z157" s="58">
        <v>718</v>
      </c>
      <c r="AA157" s="58">
        <v>661</v>
      </c>
      <c r="AB157" s="58">
        <v>779</v>
      </c>
      <c r="AC157" s="58">
        <v>891</v>
      </c>
      <c r="AD157" s="58">
        <v>844</v>
      </c>
      <c r="AE157" s="58">
        <v>1030</v>
      </c>
      <c r="AF157" s="58">
        <v>873</v>
      </c>
      <c r="AG157" s="58">
        <v>899</v>
      </c>
      <c r="AH157" s="58">
        <v>920</v>
      </c>
      <c r="AI157" s="58">
        <v>912</v>
      </c>
      <c r="AJ157" s="58">
        <v>834</v>
      </c>
      <c r="AK157" s="58">
        <v>825</v>
      </c>
      <c r="AL157" s="58">
        <v>862</v>
      </c>
      <c r="AM157" s="58">
        <v>704</v>
      </c>
      <c r="AN157" s="58">
        <v>763</v>
      </c>
      <c r="AO157" s="58">
        <v>753</v>
      </c>
      <c r="AP157" s="58">
        <v>694</v>
      </c>
      <c r="AQ157" s="58">
        <v>528</v>
      </c>
      <c r="AR157" s="58">
        <v>270</v>
      </c>
      <c r="AS157" s="58">
        <v>24</v>
      </c>
      <c r="AT157" s="58">
        <v>2</v>
      </c>
      <c r="AU157" s="58">
        <v>3</v>
      </c>
      <c r="AV157" s="58">
        <v>0</v>
      </c>
      <c r="AW157" s="58">
        <v>1</v>
      </c>
      <c r="AX157" s="58">
        <v>2</v>
      </c>
      <c r="AY157" s="58">
        <v>1</v>
      </c>
      <c r="AZ157" s="58">
        <v>0</v>
      </c>
      <c r="BA157" s="58">
        <v>0</v>
      </c>
      <c r="BB157" s="58">
        <v>0</v>
      </c>
      <c r="BC157" s="58">
        <v>0</v>
      </c>
      <c r="BD157" s="58">
        <v>0</v>
      </c>
      <c r="BE157" s="58">
        <v>0</v>
      </c>
      <c r="BF157" s="58">
        <v>0</v>
      </c>
      <c r="BG157" s="58">
        <v>0</v>
      </c>
      <c r="BH157" s="58">
        <f>SUM(D157:BG157)</f>
        <v>28560</v>
      </c>
    </row>
    <row r="158" spans="1:60">
      <c r="A158" s="56" t="s">
        <v>241</v>
      </c>
      <c r="B158" s="56" t="s">
        <v>133</v>
      </c>
      <c r="C158" s="56" t="s">
        <v>210</v>
      </c>
      <c r="D158" s="58">
        <v>0</v>
      </c>
      <c r="E158" s="58">
        <v>0</v>
      </c>
      <c r="F158" s="58">
        <v>0</v>
      </c>
      <c r="G158" s="58">
        <v>1</v>
      </c>
      <c r="H158" s="58">
        <v>9</v>
      </c>
      <c r="I158" s="58">
        <v>243</v>
      </c>
      <c r="J158" s="58">
        <v>661</v>
      </c>
      <c r="K158" s="58">
        <v>575</v>
      </c>
      <c r="L158" s="58">
        <v>671</v>
      </c>
      <c r="M158" s="58">
        <v>785</v>
      </c>
      <c r="N158" s="58">
        <v>776</v>
      </c>
      <c r="O158" s="58">
        <v>878</v>
      </c>
      <c r="P158" s="58">
        <v>946</v>
      </c>
      <c r="Q158" s="58">
        <v>918</v>
      </c>
      <c r="R158" s="58">
        <v>956</v>
      </c>
      <c r="S158" s="58">
        <v>956</v>
      </c>
      <c r="T158" s="58">
        <v>933</v>
      </c>
      <c r="U158" s="58">
        <v>858</v>
      </c>
      <c r="V158" s="58">
        <v>798</v>
      </c>
      <c r="W158" s="58">
        <v>787</v>
      </c>
      <c r="X158" s="58">
        <v>692</v>
      </c>
      <c r="Y158" s="58">
        <v>698</v>
      </c>
      <c r="Z158" s="58">
        <v>614</v>
      </c>
      <c r="AA158" s="58">
        <v>680</v>
      </c>
      <c r="AB158" s="58">
        <v>703</v>
      </c>
      <c r="AC158" s="58">
        <v>862</v>
      </c>
      <c r="AD158" s="58">
        <v>872</v>
      </c>
      <c r="AE158" s="58">
        <v>921</v>
      </c>
      <c r="AF158" s="58">
        <v>880</v>
      </c>
      <c r="AG158" s="58">
        <v>917</v>
      </c>
      <c r="AH158" s="58">
        <v>862</v>
      </c>
      <c r="AI158" s="58">
        <v>920</v>
      </c>
      <c r="AJ158" s="58">
        <v>904</v>
      </c>
      <c r="AK158" s="58">
        <v>906</v>
      </c>
      <c r="AL158" s="58">
        <v>813</v>
      </c>
      <c r="AM158" s="58">
        <v>836</v>
      </c>
      <c r="AN158" s="58">
        <v>751</v>
      </c>
      <c r="AO158" s="58">
        <v>678</v>
      </c>
      <c r="AP158" s="58">
        <v>739</v>
      </c>
      <c r="AQ158" s="58">
        <v>538</v>
      </c>
      <c r="AR158" s="58">
        <v>263</v>
      </c>
      <c r="AS158" s="58">
        <v>40</v>
      </c>
      <c r="AT158" s="58">
        <v>8</v>
      </c>
      <c r="AU158" s="58">
        <v>26</v>
      </c>
      <c r="AV158" s="58">
        <v>26</v>
      </c>
      <c r="AW158" s="58">
        <v>18</v>
      </c>
      <c r="AX158" s="58">
        <v>20</v>
      </c>
      <c r="AY158" s="58">
        <v>11</v>
      </c>
      <c r="AZ158" s="58">
        <v>20</v>
      </c>
      <c r="BA158" s="58">
        <v>7</v>
      </c>
      <c r="BB158" s="58">
        <v>3</v>
      </c>
      <c r="BC158" s="58">
        <v>1</v>
      </c>
      <c r="BD158" s="58">
        <v>0</v>
      </c>
      <c r="BE158" s="58">
        <v>0</v>
      </c>
      <c r="BF158" s="58">
        <v>0</v>
      </c>
      <c r="BG158" s="58">
        <v>0</v>
      </c>
      <c r="BH158" s="58">
        <f>SUM(D158:BG158)</f>
        <v>27980</v>
      </c>
    </row>
    <row r="159" spans="1:60">
      <c r="A159" s="56" t="s">
        <v>242</v>
      </c>
      <c r="B159" s="56" t="s">
        <v>133</v>
      </c>
      <c r="C159" s="56" t="s">
        <v>212</v>
      </c>
      <c r="D159" s="58">
        <v>0</v>
      </c>
      <c r="E159" s="58">
        <v>0</v>
      </c>
      <c r="F159" s="58">
        <v>0</v>
      </c>
      <c r="G159" s="58">
        <v>0</v>
      </c>
      <c r="H159" s="58">
        <v>14</v>
      </c>
      <c r="I159" s="58">
        <v>261</v>
      </c>
      <c r="J159" s="58">
        <v>735</v>
      </c>
      <c r="K159" s="58">
        <v>665</v>
      </c>
      <c r="L159" s="58">
        <v>690</v>
      </c>
      <c r="M159" s="58">
        <v>798</v>
      </c>
      <c r="N159" s="58">
        <v>776</v>
      </c>
      <c r="O159" s="58">
        <v>849</v>
      </c>
      <c r="P159" s="58">
        <v>885</v>
      </c>
      <c r="Q159" s="58">
        <v>962</v>
      </c>
      <c r="R159" s="58">
        <v>987</v>
      </c>
      <c r="S159" s="58">
        <v>968</v>
      </c>
      <c r="T159" s="58">
        <v>875</v>
      </c>
      <c r="U159" s="58">
        <v>853</v>
      </c>
      <c r="V159" s="58">
        <v>795</v>
      </c>
      <c r="W159" s="58">
        <v>724</v>
      </c>
      <c r="X159" s="58">
        <v>709</v>
      </c>
      <c r="Y159" s="58">
        <v>724</v>
      </c>
      <c r="Z159" s="58">
        <v>680</v>
      </c>
      <c r="AA159" s="58">
        <v>758</v>
      </c>
      <c r="AB159" s="58">
        <v>779</v>
      </c>
      <c r="AC159" s="58">
        <v>832</v>
      </c>
      <c r="AD159" s="58">
        <v>902</v>
      </c>
      <c r="AE159" s="58">
        <v>865</v>
      </c>
      <c r="AF159" s="58">
        <v>935</v>
      </c>
      <c r="AG159" s="58">
        <v>971</v>
      </c>
      <c r="AH159" s="58">
        <v>831</v>
      </c>
      <c r="AI159" s="58">
        <v>878</v>
      </c>
      <c r="AJ159" s="58">
        <v>802</v>
      </c>
      <c r="AK159" s="58">
        <v>786</v>
      </c>
      <c r="AL159" s="58">
        <v>805</v>
      </c>
      <c r="AM159" s="58">
        <v>751</v>
      </c>
      <c r="AN159" s="58">
        <v>798</v>
      </c>
      <c r="AO159" s="58">
        <v>795</v>
      </c>
      <c r="AP159" s="58">
        <v>743</v>
      </c>
      <c r="AQ159" s="58">
        <v>617</v>
      </c>
      <c r="AR159" s="58">
        <v>268</v>
      </c>
      <c r="AS159" s="58">
        <v>46</v>
      </c>
      <c r="AT159" s="58">
        <v>4</v>
      </c>
      <c r="AU159" s="58">
        <v>2</v>
      </c>
      <c r="AV159" s="58">
        <v>0</v>
      </c>
      <c r="AW159" s="58">
        <v>4</v>
      </c>
      <c r="AX159" s="58">
        <v>3</v>
      </c>
      <c r="AY159" s="58">
        <v>0</v>
      </c>
      <c r="AZ159" s="58">
        <v>0</v>
      </c>
      <c r="BA159" s="58">
        <v>0</v>
      </c>
      <c r="BB159" s="58">
        <v>0</v>
      </c>
      <c r="BC159" s="58">
        <v>0</v>
      </c>
      <c r="BD159" s="58">
        <v>0</v>
      </c>
      <c r="BE159" s="58">
        <v>0</v>
      </c>
      <c r="BF159" s="58">
        <v>0</v>
      </c>
      <c r="BG159" s="58">
        <v>0</v>
      </c>
      <c r="BH159" s="58">
        <f>SUM(D159:BG159)</f>
        <v>28125</v>
      </c>
    </row>
    <row r="160" spans="1:60">
      <c r="A160" s="56" t="s">
        <v>243</v>
      </c>
      <c r="B160" s="56" t="s">
        <v>133</v>
      </c>
      <c r="C160" s="56" t="s">
        <v>214</v>
      </c>
      <c r="D160" s="58">
        <v>0</v>
      </c>
      <c r="E160" s="58">
        <v>0</v>
      </c>
      <c r="F160" s="58">
        <v>0</v>
      </c>
      <c r="G160" s="58">
        <v>0</v>
      </c>
      <c r="H160" s="58">
        <v>0</v>
      </c>
      <c r="I160" s="58">
        <v>4</v>
      </c>
      <c r="J160" s="58">
        <v>3</v>
      </c>
      <c r="K160" s="58">
        <v>2</v>
      </c>
      <c r="L160" s="58">
        <v>1</v>
      </c>
      <c r="M160" s="58">
        <v>1</v>
      </c>
      <c r="N160" s="58">
        <v>0</v>
      </c>
      <c r="O160" s="58">
        <v>2</v>
      </c>
      <c r="P160" s="58">
        <v>0</v>
      </c>
      <c r="Q160" s="58">
        <v>3</v>
      </c>
      <c r="R160" s="58">
        <v>0</v>
      </c>
      <c r="S160" s="58">
        <v>1</v>
      </c>
      <c r="T160" s="58">
        <v>0</v>
      </c>
      <c r="U160" s="58">
        <v>1</v>
      </c>
      <c r="V160" s="58">
        <v>2</v>
      </c>
      <c r="W160" s="58">
        <v>2</v>
      </c>
      <c r="X160" s="58">
        <v>0</v>
      </c>
      <c r="Y160" s="58">
        <v>0</v>
      </c>
      <c r="Z160" s="58">
        <v>0</v>
      </c>
      <c r="AA160" s="58">
        <v>0</v>
      </c>
      <c r="AB160" s="58">
        <v>0</v>
      </c>
      <c r="AC160" s="58">
        <v>0</v>
      </c>
      <c r="AD160" s="58">
        <v>0</v>
      </c>
      <c r="AE160" s="58">
        <v>0</v>
      </c>
      <c r="AF160" s="58">
        <v>0</v>
      </c>
      <c r="AG160" s="58">
        <v>0</v>
      </c>
      <c r="AH160" s="58">
        <v>0</v>
      </c>
      <c r="AI160" s="58">
        <v>0</v>
      </c>
      <c r="AJ160" s="58">
        <v>0</v>
      </c>
      <c r="AK160" s="58">
        <v>0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58">
        <v>0</v>
      </c>
      <c r="AS160" s="58">
        <v>0</v>
      </c>
      <c r="AT160" s="58">
        <v>0</v>
      </c>
      <c r="AU160" s="58">
        <v>0</v>
      </c>
      <c r="AV160" s="58">
        <v>0</v>
      </c>
      <c r="AW160" s="58">
        <v>0</v>
      </c>
      <c r="AX160" s="58">
        <v>0</v>
      </c>
      <c r="AY160" s="58">
        <v>0</v>
      </c>
      <c r="AZ160" s="58">
        <v>0</v>
      </c>
      <c r="BA160" s="58">
        <v>0</v>
      </c>
      <c r="BB160" s="58">
        <v>0</v>
      </c>
      <c r="BC160" s="58">
        <v>0</v>
      </c>
      <c r="BD160" s="58">
        <v>0</v>
      </c>
      <c r="BE160" s="58">
        <v>0</v>
      </c>
      <c r="BF160" s="58">
        <v>0</v>
      </c>
      <c r="BG160" s="58">
        <v>0</v>
      </c>
      <c r="BH160" s="58">
        <f>SUM(D160:BG160)</f>
        <v>22</v>
      </c>
    </row>
    <row r="161" spans="1:60">
      <c r="A161" s="56" t="s">
        <v>244</v>
      </c>
      <c r="B161" s="56" t="s">
        <v>133</v>
      </c>
      <c r="C161" s="56" t="s">
        <v>216</v>
      </c>
      <c r="D161" s="58">
        <v>0</v>
      </c>
      <c r="E161" s="58">
        <v>0</v>
      </c>
      <c r="F161" s="58">
        <v>0</v>
      </c>
      <c r="G161" s="58">
        <v>0</v>
      </c>
      <c r="H161" s="58">
        <v>0</v>
      </c>
      <c r="I161" s="58">
        <v>9</v>
      </c>
      <c r="J161" s="58">
        <v>14</v>
      </c>
      <c r="K161" s="58">
        <v>11</v>
      </c>
      <c r="L161" s="58">
        <v>6</v>
      </c>
      <c r="M161" s="58">
        <v>7</v>
      </c>
      <c r="N161" s="58">
        <v>7</v>
      </c>
      <c r="O161" s="58">
        <v>7</v>
      </c>
      <c r="P161" s="58">
        <v>4</v>
      </c>
      <c r="Q161" s="58">
        <v>9</v>
      </c>
      <c r="R161" s="58">
        <v>6</v>
      </c>
      <c r="S161" s="58">
        <v>5</v>
      </c>
      <c r="T161" s="58">
        <v>8</v>
      </c>
      <c r="U161" s="58">
        <v>5</v>
      </c>
      <c r="V161" s="58">
        <v>0</v>
      </c>
      <c r="W161" s="58">
        <v>0</v>
      </c>
      <c r="X161" s="58">
        <v>0</v>
      </c>
      <c r="Y161" s="58">
        <v>0</v>
      </c>
      <c r="Z161" s="58">
        <v>0</v>
      </c>
      <c r="AA161" s="58">
        <v>0</v>
      </c>
      <c r="AB161" s="58">
        <v>0</v>
      </c>
      <c r="AC161" s="58">
        <v>0</v>
      </c>
      <c r="AD161" s="58">
        <v>0</v>
      </c>
      <c r="AE161" s="58">
        <v>0</v>
      </c>
      <c r="AF161" s="58">
        <v>0</v>
      </c>
      <c r="AG161" s="58">
        <v>0</v>
      </c>
      <c r="AH161" s="58">
        <v>0</v>
      </c>
      <c r="AI161" s="58">
        <v>0</v>
      </c>
      <c r="AJ161" s="58">
        <v>2</v>
      </c>
      <c r="AK161" s="58">
        <v>29</v>
      </c>
      <c r="AL161" s="58">
        <v>16</v>
      </c>
      <c r="AM161" s="58">
        <v>10</v>
      </c>
      <c r="AN161" s="58">
        <v>21</v>
      </c>
      <c r="AO161" s="58">
        <v>10</v>
      </c>
      <c r="AP161" s="58">
        <v>6</v>
      </c>
      <c r="AQ161" s="58">
        <v>4</v>
      </c>
      <c r="AR161" s="58">
        <v>7</v>
      </c>
      <c r="AS161" s="58">
        <v>0</v>
      </c>
      <c r="AT161" s="58">
        <v>0</v>
      </c>
      <c r="AU161" s="58">
        <v>0</v>
      </c>
      <c r="AV161" s="58">
        <v>0</v>
      </c>
      <c r="AW161" s="58">
        <v>0</v>
      </c>
      <c r="AX161" s="58">
        <v>0</v>
      </c>
      <c r="AY161" s="58">
        <v>0</v>
      </c>
      <c r="AZ161" s="58">
        <v>0</v>
      </c>
      <c r="BA161" s="58">
        <v>0</v>
      </c>
      <c r="BB161" s="58">
        <v>0</v>
      </c>
      <c r="BC161" s="58">
        <v>0</v>
      </c>
      <c r="BD161" s="58">
        <v>0</v>
      </c>
      <c r="BE161" s="58">
        <v>0</v>
      </c>
      <c r="BF161" s="58">
        <v>0</v>
      </c>
      <c r="BG161" s="58">
        <v>0</v>
      </c>
      <c r="BH161" s="58">
        <f>SUM(D161:BG161)</f>
        <v>203</v>
      </c>
    </row>
    <row r="162" spans="1:60">
      <c r="A162" s="56" t="s">
        <v>245</v>
      </c>
      <c r="B162" s="56" t="s">
        <v>147</v>
      </c>
      <c r="C162" s="56" t="s">
        <v>5</v>
      </c>
      <c r="D162" s="58">
        <v>0</v>
      </c>
      <c r="E162" s="58">
        <v>0</v>
      </c>
      <c r="F162" s="58">
        <v>0</v>
      </c>
      <c r="G162" s="58">
        <v>32</v>
      </c>
      <c r="H162" s="58">
        <v>215</v>
      </c>
      <c r="I162" s="58">
        <v>393</v>
      </c>
      <c r="J162" s="58">
        <v>426</v>
      </c>
      <c r="K162" s="58">
        <v>460</v>
      </c>
      <c r="L162" s="58">
        <v>522</v>
      </c>
      <c r="M162" s="58">
        <v>544</v>
      </c>
      <c r="N162" s="58">
        <v>564</v>
      </c>
      <c r="O162" s="58">
        <v>650</v>
      </c>
      <c r="P162" s="58">
        <v>663</v>
      </c>
      <c r="Q162" s="58">
        <v>610</v>
      </c>
      <c r="R162" s="58">
        <v>632</v>
      </c>
      <c r="S162" s="58">
        <v>607</v>
      </c>
      <c r="T162" s="58">
        <v>601</v>
      </c>
      <c r="U162" s="58">
        <v>567</v>
      </c>
      <c r="V162" s="58">
        <v>467</v>
      </c>
      <c r="W162" s="58">
        <v>440</v>
      </c>
      <c r="X162" s="58">
        <v>420</v>
      </c>
      <c r="Y162" s="58">
        <v>369</v>
      </c>
      <c r="Z162" s="58">
        <v>449</v>
      </c>
      <c r="AA162" s="58">
        <v>503</v>
      </c>
      <c r="AB162" s="58">
        <v>559</v>
      </c>
      <c r="AC162" s="58">
        <v>515</v>
      </c>
      <c r="AD162" s="58">
        <v>571</v>
      </c>
      <c r="AE162" s="58">
        <v>507</v>
      </c>
      <c r="AF162" s="58">
        <v>532</v>
      </c>
      <c r="AG162" s="58">
        <v>557</v>
      </c>
      <c r="AH162" s="58">
        <v>492</v>
      </c>
      <c r="AI162" s="58">
        <v>461</v>
      </c>
      <c r="AJ162" s="58">
        <v>467</v>
      </c>
      <c r="AK162" s="58">
        <v>461</v>
      </c>
      <c r="AL162" s="58">
        <v>429</v>
      </c>
      <c r="AM162" s="58">
        <v>433</v>
      </c>
      <c r="AN162" s="58">
        <v>400</v>
      </c>
      <c r="AO162" s="58">
        <v>392</v>
      </c>
      <c r="AP162" s="58">
        <v>289</v>
      </c>
      <c r="AQ162" s="58">
        <v>148</v>
      </c>
      <c r="AR162" s="58">
        <v>62</v>
      </c>
      <c r="AS162" s="58">
        <v>7</v>
      </c>
      <c r="AT162" s="58">
        <v>2</v>
      </c>
      <c r="AU162" s="58">
        <v>2</v>
      </c>
      <c r="AV162" s="58">
        <v>0</v>
      </c>
      <c r="AW162" s="58">
        <v>2</v>
      </c>
      <c r="AX162" s="58">
        <v>13</v>
      </c>
      <c r="AY162" s="58">
        <v>1</v>
      </c>
      <c r="AZ162" s="58">
        <v>0</v>
      </c>
      <c r="BA162" s="58">
        <v>0</v>
      </c>
      <c r="BB162" s="58">
        <v>0</v>
      </c>
      <c r="BC162" s="58">
        <v>0</v>
      </c>
      <c r="BD162" s="58">
        <v>0</v>
      </c>
      <c r="BE162" s="58">
        <v>0</v>
      </c>
      <c r="BF162" s="58">
        <v>0</v>
      </c>
      <c r="BG162" s="58">
        <v>0</v>
      </c>
      <c r="BH162" s="58">
        <f>SUM(D162:BG162)</f>
        <v>17436</v>
      </c>
    </row>
    <row r="163" spans="1:60">
      <c r="A163" s="56" t="s">
        <v>246</v>
      </c>
      <c r="B163" s="56" t="s">
        <v>147</v>
      </c>
      <c r="C163" s="56" t="s">
        <v>206</v>
      </c>
      <c r="D163" s="58">
        <v>0</v>
      </c>
      <c r="E163" s="58">
        <v>0</v>
      </c>
      <c r="F163" s="58">
        <v>1</v>
      </c>
      <c r="G163" s="58">
        <v>24</v>
      </c>
      <c r="H163" s="58">
        <v>233</v>
      </c>
      <c r="I163" s="58">
        <v>356</v>
      </c>
      <c r="J163" s="58">
        <v>409</v>
      </c>
      <c r="K163" s="58">
        <v>458</v>
      </c>
      <c r="L163" s="58">
        <v>511</v>
      </c>
      <c r="M163" s="58">
        <v>530</v>
      </c>
      <c r="N163" s="58">
        <v>614</v>
      </c>
      <c r="O163" s="58">
        <v>640</v>
      </c>
      <c r="P163" s="58">
        <v>648</v>
      </c>
      <c r="Q163" s="58">
        <v>654</v>
      </c>
      <c r="R163" s="58">
        <v>741</v>
      </c>
      <c r="S163" s="58">
        <v>612</v>
      </c>
      <c r="T163" s="58">
        <v>651</v>
      </c>
      <c r="U163" s="58">
        <v>555</v>
      </c>
      <c r="V163" s="58">
        <v>546</v>
      </c>
      <c r="W163" s="58">
        <v>407</v>
      </c>
      <c r="X163" s="58">
        <v>438</v>
      </c>
      <c r="Y163" s="58">
        <v>443</v>
      </c>
      <c r="Z163" s="58">
        <v>461</v>
      </c>
      <c r="AA163" s="58">
        <v>497</v>
      </c>
      <c r="AB163" s="58">
        <v>495</v>
      </c>
      <c r="AC163" s="58">
        <v>549</v>
      </c>
      <c r="AD163" s="58">
        <v>606</v>
      </c>
      <c r="AE163" s="58">
        <v>549</v>
      </c>
      <c r="AF163" s="58">
        <v>584</v>
      </c>
      <c r="AG163" s="58">
        <v>557</v>
      </c>
      <c r="AH163" s="58">
        <v>522</v>
      </c>
      <c r="AI163" s="58">
        <v>508</v>
      </c>
      <c r="AJ163" s="58">
        <v>491</v>
      </c>
      <c r="AK163" s="58">
        <v>499</v>
      </c>
      <c r="AL163" s="58">
        <v>492</v>
      </c>
      <c r="AM163" s="58">
        <v>507</v>
      </c>
      <c r="AN163" s="58">
        <v>460</v>
      </c>
      <c r="AO163" s="58">
        <v>431</v>
      </c>
      <c r="AP163" s="58">
        <v>338</v>
      </c>
      <c r="AQ163" s="58">
        <v>167</v>
      </c>
      <c r="AR163" s="58">
        <v>58</v>
      </c>
      <c r="AS163" s="58">
        <v>8</v>
      </c>
      <c r="AT163" s="58">
        <v>1</v>
      </c>
      <c r="AU163" s="58">
        <v>8</v>
      </c>
      <c r="AV163" s="58">
        <v>4</v>
      </c>
      <c r="AW163" s="58">
        <v>4</v>
      </c>
      <c r="AX163" s="58">
        <v>3</v>
      </c>
      <c r="AY163" s="58">
        <v>0</v>
      </c>
      <c r="AZ163" s="58">
        <v>0</v>
      </c>
      <c r="BA163" s="58">
        <v>0</v>
      </c>
      <c r="BB163" s="58">
        <v>0</v>
      </c>
      <c r="BC163" s="58">
        <v>0</v>
      </c>
      <c r="BD163" s="58">
        <v>0</v>
      </c>
      <c r="BE163" s="58">
        <v>0</v>
      </c>
      <c r="BF163" s="58">
        <v>0</v>
      </c>
      <c r="BG163" s="58">
        <v>0</v>
      </c>
      <c r="BH163" s="58">
        <f>SUM(D163:BG163)</f>
        <v>18270</v>
      </c>
    </row>
    <row r="164" spans="1:60">
      <c r="A164" s="56" t="s">
        <v>247</v>
      </c>
      <c r="B164" s="56" t="s">
        <v>147</v>
      </c>
      <c r="C164" s="56" t="s">
        <v>208</v>
      </c>
      <c r="D164" s="58">
        <v>0</v>
      </c>
      <c r="E164" s="58">
        <v>0</v>
      </c>
      <c r="F164" s="58">
        <v>0</v>
      </c>
      <c r="G164" s="58">
        <v>22</v>
      </c>
      <c r="H164" s="58">
        <v>200</v>
      </c>
      <c r="I164" s="58">
        <v>325</v>
      </c>
      <c r="J164" s="58">
        <v>408</v>
      </c>
      <c r="K164" s="58">
        <v>445</v>
      </c>
      <c r="L164" s="58">
        <v>490</v>
      </c>
      <c r="M164" s="58">
        <v>509</v>
      </c>
      <c r="N164" s="58">
        <v>545</v>
      </c>
      <c r="O164" s="58">
        <v>595</v>
      </c>
      <c r="P164" s="58">
        <v>599</v>
      </c>
      <c r="Q164" s="58">
        <v>645</v>
      </c>
      <c r="R164" s="58">
        <v>609</v>
      </c>
      <c r="S164" s="58">
        <v>627</v>
      </c>
      <c r="T164" s="58">
        <v>625</v>
      </c>
      <c r="U164" s="58">
        <v>525</v>
      </c>
      <c r="V164" s="58">
        <v>483</v>
      </c>
      <c r="W164" s="58">
        <v>442</v>
      </c>
      <c r="X164" s="58">
        <v>408</v>
      </c>
      <c r="Y164" s="58">
        <v>412</v>
      </c>
      <c r="Z164" s="58">
        <v>447</v>
      </c>
      <c r="AA164" s="58">
        <v>484</v>
      </c>
      <c r="AB164" s="58">
        <v>496</v>
      </c>
      <c r="AC164" s="58">
        <v>567</v>
      </c>
      <c r="AD164" s="58">
        <v>542</v>
      </c>
      <c r="AE164" s="58">
        <v>590</v>
      </c>
      <c r="AF164" s="58">
        <v>518</v>
      </c>
      <c r="AG164" s="58">
        <v>532</v>
      </c>
      <c r="AH164" s="58">
        <v>509</v>
      </c>
      <c r="AI164" s="58">
        <v>513</v>
      </c>
      <c r="AJ164" s="58">
        <v>446</v>
      </c>
      <c r="AK164" s="58">
        <v>460</v>
      </c>
      <c r="AL164" s="58">
        <v>460</v>
      </c>
      <c r="AM164" s="58">
        <v>439</v>
      </c>
      <c r="AN164" s="58">
        <v>439</v>
      </c>
      <c r="AO164" s="58">
        <v>404</v>
      </c>
      <c r="AP164" s="58">
        <v>299</v>
      </c>
      <c r="AQ164" s="58">
        <v>137</v>
      </c>
      <c r="AR164" s="58">
        <v>47</v>
      </c>
      <c r="AS164" s="58">
        <v>2</v>
      </c>
      <c r="AT164" s="58">
        <v>3</v>
      </c>
      <c r="AU164" s="58">
        <v>2</v>
      </c>
      <c r="AV164" s="58">
        <v>2</v>
      </c>
      <c r="AW164" s="58">
        <v>4</v>
      </c>
      <c r="AX164" s="58">
        <v>1</v>
      </c>
      <c r="AY164" s="58">
        <v>1</v>
      </c>
      <c r="AZ164" s="58">
        <v>0</v>
      </c>
      <c r="BA164" s="58">
        <v>0</v>
      </c>
      <c r="BB164" s="58">
        <v>0</v>
      </c>
      <c r="BC164" s="58">
        <v>0</v>
      </c>
      <c r="BD164" s="58">
        <v>0</v>
      </c>
      <c r="BE164" s="58">
        <v>0</v>
      </c>
      <c r="BF164" s="58">
        <v>0</v>
      </c>
      <c r="BG164" s="58">
        <v>0</v>
      </c>
      <c r="BH164" s="58">
        <f>SUM(D164:BG164)</f>
        <v>17258</v>
      </c>
    </row>
    <row r="165" spans="1:60">
      <c r="A165" s="56" t="s">
        <v>248</v>
      </c>
      <c r="B165" s="56" t="s">
        <v>147</v>
      </c>
      <c r="C165" s="56" t="s">
        <v>210</v>
      </c>
      <c r="D165" s="58">
        <v>0</v>
      </c>
      <c r="E165" s="58">
        <v>0</v>
      </c>
      <c r="F165" s="58">
        <v>0</v>
      </c>
      <c r="G165" s="58">
        <v>27</v>
      </c>
      <c r="H165" s="58">
        <v>168</v>
      </c>
      <c r="I165" s="58">
        <v>309</v>
      </c>
      <c r="J165" s="58">
        <v>375</v>
      </c>
      <c r="K165" s="58">
        <v>433</v>
      </c>
      <c r="L165" s="58">
        <v>476</v>
      </c>
      <c r="M165" s="58">
        <v>511</v>
      </c>
      <c r="N165" s="58">
        <v>591</v>
      </c>
      <c r="O165" s="58">
        <v>577</v>
      </c>
      <c r="P165" s="58">
        <v>613</v>
      </c>
      <c r="Q165" s="58">
        <v>607</v>
      </c>
      <c r="R165" s="58">
        <v>563</v>
      </c>
      <c r="S165" s="58">
        <v>556</v>
      </c>
      <c r="T165" s="58">
        <v>594</v>
      </c>
      <c r="U165" s="58">
        <v>478</v>
      </c>
      <c r="V165" s="58">
        <v>470</v>
      </c>
      <c r="W165" s="58">
        <v>404</v>
      </c>
      <c r="X165" s="58">
        <v>395</v>
      </c>
      <c r="Y165" s="58">
        <v>421</v>
      </c>
      <c r="Z165" s="58">
        <v>434</v>
      </c>
      <c r="AA165" s="58">
        <v>431</v>
      </c>
      <c r="AB165" s="58">
        <v>535</v>
      </c>
      <c r="AC165" s="58">
        <v>511</v>
      </c>
      <c r="AD165" s="58">
        <v>540</v>
      </c>
      <c r="AE165" s="58">
        <v>513</v>
      </c>
      <c r="AF165" s="58">
        <v>594</v>
      </c>
      <c r="AG165" s="58">
        <v>499</v>
      </c>
      <c r="AH165" s="58">
        <v>566</v>
      </c>
      <c r="AI165" s="58">
        <v>558</v>
      </c>
      <c r="AJ165" s="58">
        <v>485</v>
      </c>
      <c r="AK165" s="58">
        <v>494</v>
      </c>
      <c r="AL165" s="58">
        <v>491</v>
      </c>
      <c r="AM165" s="58">
        <v>476</v>
      </c>
      <c r="AN165" s="58">
        <v>456</v>
      </c>
      <c r="AO165" s="58">
        <v>438</v>
      </c>
      <c r="AP165" s="58">
        <v>330</v>
      </c>
      <c r="AQ165" s="58">
        <v>156</v>
      </c>
      <c r="AR165" s="58">
        <v>39</v>
      </c>
      <c r="AS165" s="58">
        <v>6</v>
      </c>
      <c r="AT165" s="58">
        <v>4</v>
      </c>
      <c r="AU165" s="58">
        <v>3</v>
      </c>
      <c r="AV165" s="58">
        <v>11</v>
      </c>
      <c r="AW165" s="58">
        <v>8</v>
      </c>
      <c r="AX165" s="58">
        <v>8</v>
      </c>
      <c r="AY165" s="58">
        <v>6</v>
      </c>
      <c r="AZ165" s="58">
        <v>13</v>
      </c>
      <c r="BA165" s="58">
        <v>0</v>
      </c>
      <c r="BB165" s="58">
        <v>0</v>
      </c>
      <c r="BC165" s="58">
        <v>0</v>
      </c>
      <c r="BD165" s="58">
        <v>0</v>
      </c>
      <c r="BE165" s="58">
        <v>0</v>
      </c>
      <c r="BF165" s="58">
        <v>0</v>
      </c>
      <c r="BG165" s="58">
        <v>0</v>
      </c>
      <c r="BH165" s="58">
        <f>SUM(D165:BG165)</f>
        <v>17173</v>
      </c>
    </row>
    <row r="166" spans="1:60">
      <c r="A166" s="56" t="s">
        <v>249</v>
      </c>
      <c r="B166" s="56" t="s">
        <v>147</v>
      </c>
      <c r="C166" s="56" t="s">
        <v>212</v>
      </c>
      <c r="D166" s="58">
        <v>0</v>
      </c>
      <c r="E166" s="58">
        <v>0</v>
      </c>
      <c r="F166" s="58">
        <v>0</v>
      </c>
      <c r="G166" s="58">
        <v>30</v>
      </c>
      <c r="H166" s="58">
        <v>213</v>
      </c>
      <c r="I166" s="58">
        <v>300</v>
      </c>
      <c r="J166" s="58">
        <v>408</v>
      </c>
      <c r="K166" s="58">
        <v>430</v>
      </c>
      <c r="L166" s="58">
        <v>504</v>
      </c>
      <c r="M166" s="58">
        <v>497</v>
      </c>
      <c r="N166" s="58">
        <v>568</v>
      </c>
      <c r="O166" s="58">
        <v>562</v>
      </c>
      <c r="P166" s="58">
        <v>620</v>
      </c>
      <c r="Q166" s="58">
        <v>593</v>
      </c>
      <c r="R166" s="58">
        <v>579</v>
      </c>
      <c r="S166" s="58">
        <v>602</v>
      </c>
      <c r="T166" s="58">
        <v>572</v>
      </c>
      <c r="U166" s="58">
        <v>492</v>
      </c>
      <c r="V166" s="58">
        <v>522</v>
      </c>
      <c r="W166" s="58">
        <v>472</v>
      </c>
      <c r="X166" s="58">
        <v>395</v>
      </c>
      <c r="Y166" s="58">
        <v>403</v>
      </c>
      <c r="Z166" s="58">
        <v>443</v>
      </c>
      <c r="AA166" s="58">
        <v>488</v>
      </c>
      <c r="AB166" s="58">
        <v>544</v>
      </c>
      <c r="AC166" s="58">
        <v>552</v>
      </c>
      <c r="AD166" s="58">
        <v>578</v>
      </c>
      <c r="AE166" s="58">
        <v>579</v>
      </c>
      <c r="AF166" s="58">
        <v>521</v>
      </c>
      <c r="AG166" s="58">
        <v>556</v>
      </c>
      <c r="AH166" s="58">
        <v>526</v>
      </c>
      <c r="AI166" s="58">
        <v>547</v>
      </c>
      <c r="AJ166" s="58">
        <v>488</v>
      </c>
      <c r="AK166" s="58">
        <v>437</v>
      </c>
      <c r="AL166" s="58">
        <v>501</v>
      </c>
      <c r="AM166" s="58">
        <v>486</v>
      </c>
      <c r="AN166" s="58">
        <v>501</v>
      </c>
      <c r="AO166" s="58">
        <v>437</v>
      </c>
      <c r="AP166" s="58">
        <v>344</v>
      </c>
      <c r="AQ166" s="58">
        <v>191</v>
      </c>
      <c r="AR166" s="58">
        <v>63</v>
      </c>
      <c r="AS166" s="58">
        <v>7</v>
      </c>
      <c r="AT166" s="58">
        <v>2</v>
      </c>
      <c r="AU166" s="58">
        <v>2</v>
      </c>
      <c r="AV166" s="58">
        <v>3</v>
      </c>
      <c r="AW166" s="58">
        <v>4</v>
      </c>
      <c r="AX166" s="58">
        <v>3</v>
      </c>
      <c r="AY166" s="58">
        <v>1</v>
      </c>
      <c r="AZ166" s="58">
        <v>0</v>
      </c>
      <c r="BA166" s="58">
        <v>0</v>
      </c>
      <c r="BB166" s="58">
        <v>0</v>
      </c>
      <c r="BC166" s="58">
        <v>0</v>
      </c>
      <c r="BD166" s="58">
        <v>0</v>
      </c>
      <c r="BE166" s="58">
        <v>0</v>
      </c>
      <c r="BF166" s="58">
        <v>0</v>
      </c>
      <c r="BG166" s="58">
        <v>0</v>
      </c>
      <c r="BH166" s="58">
        <f>SUM(D166:BG166)</f>
        <v>17566</v>
      </c>
    </row>
    <row r="167" spans="1:60">
      <c r="A167" s="56" t="s">
        <v>250</v>
      </c>
      <c r="B167" s="56" t="s">
        <v>147</v>
      </c>
      <c r="C167" s="56" t="s">
        <v>214</v>
      </c>
      <c r="D167" s="58">
        <v>0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6</v>
      </c>
      <c r="K167" s="58">
        <v>2</v>
      </c>
      <c r="L167" s="58">
        <v>2</v>
      </c>
      <c r="M167" s="58">
        <v>3</v>
      </c>
      <c r="N167" s="58">
        <v>3</v>
      </c>
      <c r="O167" s="58">
        <v>0</v>
      </c>
      <c r="P167" s="58">
        <v>1</v>
      </c>
      <c r="Q167" s="58">
        <v>1</v>
      </c>
      <c r="R167" s="58">
        <v>3</v>
      </c>
      <c r="S167" s="58">
        <v>9</v>
      </c>
      <c r="T167" s="58">
        <v>6</v>
      </c>
      <c r="U167" s="58">
        <v>6</v>
      </c>
      <c r="V167" s="58">
        <v>1</v>
      </c>
      <c r="W167" s="58">
        <v>5</v>
      </c>
      <c r="X167" s="58">
        <v>0</v>
      </c>
      <c r="Y167" s="58">
        <v>0</v>
      </c>
      <c r="Z167" s="58">
        <v>0</v>
      </c>
      <c r="AA167" s="58">
        <v>0</v>
      </c>
      <c r="AB167" s="58">
        <v>0</v>
      </c>
      <c r="AC167" s="58">
        <v>0</v>
      </c>
      <c r="AD167" s="58">
        <v>0</v>
      </c>
      <c r="AE167" s="58">
        <v>0</v>
      </c>
      <c r="AF167" s="58">
        <v>0</v>
      </c>
      <c r="AG167" s="58">
        <v>0</v>
      </c>
      <c r="AH167" s="58">
        <v>0</v>
      </c>
      <c r="AI167" s="58">
        <v>0</v>
      </c>
      <c r="AJ167" s="58">
        <v>0</v>
      </c>
      <c r="AK167" s="58">
        <v>0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58">
        <v>0</v>
      </c>
      <c r="AS167" s="58">
        <v>0</v>
      </c>
      <c r="AT167" s="58">
        <v>0</v>
      </c>
      <c r="AU167" s="58">
        <v>0</v>
      </c>
      <c r="AV167" s="58">
        <v>0</v>
      </c>
      <c r="AW167" s="58">
        <v>0</v>
      </c>
      <c r="AX167" s="58">
        <v>0</v>
      </c>
      <c r="AY167" s="58">
        <v>0</v>
      </c>
      <c r="AZ167" s="58">
        <v>0</v>
      </c>
      <c r="BA167" s="58">
        <v>0</v>
      </c>
      <c r="BB167" s="58">
        <v>0</v>
      </c>
      <c r="BC167" s="58">
        <v>0</v>
      </c>
      <c r="BD167" s="58">
        <v>0</v>
      </c>
      <c r="BE167" s="58">
        <v>0</v>
      </c>
      <c r="BF167" s="58">
        <v>0</v>
      </c>
      <c r="BG167" s="58">
        <v>0</v>
      </c>
      <c r="BH167" s="58">
        <f>SUM(D167:BG167)</f>
        <v>48</v>
      </c>
    </row>
    <row r="168" spans="1:60">
      <c r="A168" s="56" t="s">
        <v>251</v>
      </c>
      <c r="B168" s="56" t="s">
        <v>147</v>
      </c>
      <c r="C168" s="56" t="s">
        <v>216</v>
      </c>
      <c r="D168" s="58">
        <v>0</v>
      </c>
      <c r="E168" s="58">
        <v>0</v>
      </c>
      <c r="F168" s="58">
        <v>0</v>
      </c>
      <c r="G168" s="58">
        <v>9</v>
      </c>
      <c r="H168" s="58">
        <v>52</v>
      </c>
      <c r="I168" s="58">
        <v>36</v>
      </c>
      <c r="J168" s="58">
        <v>21</v>
      </c>
      <c r="K168" s="58">
        <v>29</v>
      </c>
      <c r="L168" s="58">
        <v>25</v>
      </c>
      <c r="M168" s="58">
        <v>22</v>
      </c>
      <c r="N168" s="58">
        <v>25</v>
      </c>
      <c r="O168" s="58">
        <v>25</v>
      </c>
      <c r="P168" s="58">
        <v>17</v>
      </c>
      <c r="Q168" s="58">
        <v>23</v>
      </c>
      <c r="R168" s="58">
        <v>25</v>
      </c>
      <c r="S168" s="58">
        <v>18</v>
      </c>
      <c r="T168" s="58">
        <v>20</v>
      </c>
      <c r="U168" s="58">
        <v>14</v>
      </c>
      <c r="V168" s="58">
        <v>11</v>
      </c>
      <c r="W168" s="58">
        <v>1</v>
      </c>
      <c r="X168" s="58">
        <v>0</v>
      </c>
      <c r="Y168" s="58">
        <v>0</v>
      </c>
      <c r="Z168" s="58">
        <v>0</v>
      </c>
      <c r="AA168" s="58">
        <v>0</v>
      </c>
      <c r="AB168" s="58">
        <v>0</v>
      </c>
      <c r="AC168" s="58">
        <v>0</v>
      </c>
      <c r="AD168" s="58">
        <v>1</v>
      </c>
      <c r="AE168" s="58">
        <v>10</v>
      </c>
      <c r="AF168" s="58">
        <v>4</v>
      </c>
      <c r="AG168" s="58">
        <v>30</v>
      </c>
      <c r="AH168" s="58">
        <v>11</v>
      </c>
      <c r="AI168" s="58">
        <v>0</v>
      </c>
      <c r="AJ168" s="58">
        <v>1</v>
      </c>
      <c r="AK168" s="58">
        <v>0</v>
      </c>
      <c r="AL168" s="58">
        <v>0</v>
      </c>
      <c r="AM168" s="58">
        <v>0</v>
      </c>
      <c r="AN168" s="58">
        <v>0</v>
      </c>
      <c r="AO168" s="58">
        <v>0</v>
      </c>
      <c r="AP168" s="58">
        <v>0</v>
      </c>
      <c r="AQ168" s="58">
        <v>0</v>
      </c>
      <c r="AR168" s="58">
        <v>0</v>
      </c>
      <c r="AS168" s="58">
        <v>0</v>
      </c>
      <c r="AT168" s="58">
        <v>0</v>
      </c>
      <c r="AU168" s="58">
        <v>0</v>
      </c>
      <c r="AV168" s="58">
        <v>0</v>
      </c>
      <c r="AW168" s="58">
        <v>0</v>
      </c>
      <c r="AX168" s="58">
        <v>0</v>
      </c>
      <c r="AY168" s="58">
        <v>0</v>
      </c>
      <c r="AZ168" s="58">
        <v>0</v>
      </c>
      <c r="BA168" s="58">
        <v>0</v>
      </c>
      <c r="BB168" s="58">
        <v>0</v>
      </c>
      <c r="BC168" s="58">
        <v>0</v>
      </c>
      <c r="BD168" s="58">
        <v>0</v>
      </c>
      <c r="BE168" s="58">
        <v>0</v>
      </c>
      <c r="BF168" s="58">
        <v>0</v>
      </c>
      <c r="BG168" s="58">
        <v>0</v>
      </c>
      <c r="BH168" s="58">
        <f>SUM(D168:BG168)</f>
        <v>430</v>
      </c>
    </row>
    <row r="169" spans="1:60">
      <c r="A169" s="56" t="s">
        <v>252</v>
      </c>
      <c r="B169" s="56" t="s">
        <v>161</v>
      </c>
      <c r="C169" s="56" t="s">
        <v>5</v>
      </c>
      <c r="D169" s="58">
        <v>0</v>
      </c>
      <c r="E169" s="58">
        <v>0</v>
      </c>
      <c r="F169" s="58">
        <v>0</v>
      </c>
      <c r="G169" s="58">
        <v>0</v>
      </c>
      <c r="H169" s="58">
        <v>4</v>
      </c>
      <c r="I169" s="58">
        <v>36</v>
      </c>
      <c r="J169" s="58">
        <v>186</v>
      </c>
      <c r="K169" s="58">
        <v>225</v>
      </c>
      <c r="L169" s="58">
        <v>253</v>
      </c>
      <c r="M169" s="58">
        <v>282</v>
      </c>
      <c r="N169" s="58">
        <v>316</v>
      </c>
      <c r="O169" s="58">
        <v>336</v>
      </c>
      <c r="P169" s="58">
        <v>358</v>
      </c>
      <c r="Q169" s="58">
        <v>363</v>
      </c>
      <c r="R169" s="58">
        <v>392</v>
      </c>
      <c r="S169" s="58">
        <v>374</v>
      </c>
      <c r="T169" s="58">
        <v>378</v>
      </c>
      <c r="U169" s="58">
        <v>371</v>
      </c>
      <c r="V169" s="58">
        <v>302</v>
      </c>
      <c r="W169" s="58">
        <v>298</v>
      </c>
      <c r="X169" s="58">
        <v>226</v>
      </c>
      <c r="Y169" s="58">
        <v>253</v>
      </c>
      <c r="Z169" s="58">
        <v>249</v>
      </c>
      <c r="AA169" s="58">
        <v>228</v>
      </c>
      <c r="AB169" s="58">
        <v>242</v>
      </c>
      <c r="AC169" s="58">
        <v>261</v>
      </c>
      <c r="AD169" s="58">
        <v>331</v>
      </c>
      <c r="AE169" s="58">
        <v>285</v>
      </c>
      <c r="AF169" s="58">
        <v>287</v>
      </c>
      <c r="AG169" s="58">
        <v>287</v>
      </c>
      <c r="AH169" s="58">
        <v>281</v>
      </c>
      <c r="AI169" s="58">
        <v>275</v>
      </c>
      <c r="AJ169" s="58">
        <v>246</v>
      </c>
      <c r="AK169" s="58">
        <v>245</v>
      </c>
      <c r="AL169" s="58">
        <v>243</v>
      </c>
      <c r="AM169" s="58">
        <v>259</v>
      </c>
      <c r="AN169" s="58">
        <v>264</v>
      </c>
      <c r="AO169" s="58">
        <v>233</v>
      </c>
      <c r="AP169" s="58">
        <v>266</v>
      </c>
      <c r="AQ169" s="58">
        <v>187</v>
      </c>
      <c r="AR169" s="58">
        <v>101</v>
      </c>
      <c r="AS169" s="58">
        <v>20</v>
      </c>
      <c r="AT169" s="58">
        <v>2</v>
      </c>
      <c r="AU169" s="58">
        <v>1</v>
      </c>
      <c r="AV169" s="58">
        <v>0</v>
      </c>
      <c r="AW169" s="58">
        <v>0</v>
      </c>
      <c r="AX169" s="58">
        <v>0</v>
      </c>
      <c r="AY169" s="58">
        <v>0</v>
      </c>
      <c r="AZ169" s="58">
        <v>0</v>
      </c>
      <c r="BA169" s="58">
        <v>0</v>
      </c>
      <c r="BB169" s="58">
        <v>0</v>
      </c>
      <c r="BC169" s="58">
        <v>0</v>
      </c>
      <c r="BD169" s="58">
        <v>0</v>
      </c>
      <c r="BE169" s="58">
        <v>0</v>
      </c>
      <c r="BF169" s="58">
        <v>0</v>
      </c>
      <c r="BG169" s="58">
        <v>0</v>
      </c>
      <c r="BH169" s="58">
        <f>SUM(D169:BG169)</f>
        <v>9746</v>
      </c>
    </row>
    <row r="170" spans="1:60">
      <c r="A170" s="56" t="s">
        <v>253</v>
      </c>
      <c r="B170" s="56" t="s">
        <v>161</v>
      </c>
      <c r="C170" s="56" t="s">
        <v>206</v>
      </c>
      <c r="D170" s="58">
        <v>0</v>
      </c>
      <c r="E170" s="58">
        <v>0</v>
      </c>
      <c r="F170" s="58">
        <v>0</v>
      </c>
      <c r="G170" s="58">
        <v>0</v>
      </c>
      <c r="H170" s="58">
        <v>2</v>
      </c>
      <c r="I170" s="58">
        <v>26</v>
      </c>
      <c r="J170" s="58">
        <v>180</v>
      </c>
      <c r="K170" s="58">
        <v>225</v>
      </c>
      <c r="L170" s="58">
        <v>235</v>
      </c>
      <c r="M170" s="58">
        <v>293</v>
      </c>
      <c r="N170" s="58">
        <v>300</v>
      </c>
      <c r="O170" s="58">
        <v>333</v>
      </c>
      <c r="P170" s="58">
        <v>335</v>
      </c>
      <c r="Q170" s="58">
        <v>398</v>
      </c>
      <c r="R170" s="58">
        <v>392</v>
      </c>
      <c r="S170" s="58">
        <v>372</v>
      </c>
      <c r="T170" s="58">
        <v>370</v>
      </c>
      <c r="U170" s="58">
        <v>320</v>
      </c>
      <c r="V170" s="58">
        <v>316</v>
      </c>
      <c r="W170" s="58">
        <v>308</v>
      </c>
      <c r="X170" s="58">
        <v>267</v>
      </c>
      <c r="Y170" s="58">
        <v>252</v>
      </c>
      <c r="Z170" s="58">
        <v>252</v>
      </c>
      <c r="AA170" s="58">
        <v>255</v>
      </c>
      <c r="AB170" s="58">
        <v>258</v>
      </c>
      <c r="AC170" s="58">
        <v>287</v>
      </c>
      <c r="AD170" s="58">
        <v>274</v>
      </c>
      <c r="AE170" s="58">
        <v>288</v>
      </c>
      <c r="AF170" s="58">
        <v>316</v>
      </c>
      <c r="AG170" s="58">
        <v>294</v>
      </c>
      <c r="AH170" s="58">
        <v>286</v>
      </c>
      <c r="AI170" s="58">
        <v>256</v>
      </c>
      <c r="AJ170" s="58">
        <v>249</v>
      </c>
      <c r="AK170" s="58">
        <v>262</v>
      </c>
      <c r="AL170" s="58">
        <v>262</v>
      </c>
      <c r="AM170" s="58">
        <v>250</v>
      </c>
      <c r="AN170" s="58">
        <v>252</v>
      </c>
      <c r="AO170" s="58">
        <v>224</v>
      </c>
      <c r="AP170" s="58">
        <v>243</v>
      </c>
      <c r="AQ170" s="58">
        <v>228</v>
      </c>
      <c r="AR170" s="58">
        <v>120</v>
      </c>
      <c r="AS170" s="58">
        <v>23</v>
      </c>
      <c r="AT170" s="58">
        <v>5</v>
      </c>
      <c r="AU170" s="58">
        <v>2</v>
      </c>
      <c r="AV170" s="58">
        <v>2</v>
      </c>
      <c r="AW170" s="58">
        <v>1</v>
      </c>
      <c r="AX170" s="58">
        <v>0</v>
      </c>
      <c r="AY170" s="58">
        <v>0</v>
      </c>
      <c r="AZ170" s="58">
        <v>0</v>
      </c>
      <c r="BA170" s="58">
        <v>0</v>
      </c>
      <c r="BB170" s="58">
        <v>0</v>
      </c>
      <c r="BC170" s="58">
        <v>0</v>
      </c>
      <c r="BD170" s="58">
        <v>0</v>
      </c>
      <c r="BE170" s="58">
        <v>0</v>
      </c>
      <c r="BF170" s="58">
        <v>0</v>
      </c>
      <c r="BG170" s="58">
        <v>0</v>
      </c>
      <c r="BH170" s="58">
        <f>SUM(D170:BG170)</f>
        <v>9813</v>
      </c>
    </row>
    <row r="171" spans="1:60">
      <c r="A171" s="56" t="s">
        <v>254</v>
      </c>
      <c r="B171" s="56" t="s">
        <v>161</v>
      </c>
      <c r="C171" s="56" t="s">
        <v>208</v>
      </c>
      <c r="D171" s="58">
        <v>0</v>
      </c>
      <c r="E171" s="58">
        <v>0</v>
      </c>
      <c r="F171" s="58">
        <v>0</v>
      </c>
      <c r="G171" s="58">
        <v>0</v>
      </c>
      <c r="H171" s="58">
        <v>1</v>
      </c>
      <c r="I171" s="58">
        <v>21</v>
      </c>
      <c r="J171" s="58">
        <v>128</v>
      </c>
      <c r="K171" s="58">
        <v>194</v>
      </c>
      <c r="L171" s="58">
        <v>218</v>
      </c>
      <c r="M171" s="58">
        <v>271</v>
      </c>
      <c r="N171" s="58">
        <v>290</v>
      </c>
      <c r="O171" s="58">
        <v>300</v>
      </c>
      <c r="P171" s="58">
        <v>336</v>
      </c>
      <c r="Q171" s="58">
        <v>359</v>
      </c>
      <c r="R171" s="58">
        <v>337</v>
      </c>
      <c r="S171" s="58">
        <v>361</v>
      </c>
      <c r="T171" s="58">
        <v>377</v>
      </c>
      <c r="U171" s="58">
        <v>351</v>
      </c>
      <c r="V171" s="58">
        <v>303</v>
      </c>
      <c r="W171" s="58">
        <v>263</v>
      </c>
      <c r="X171" s="58">
        <v>248</v>
      </c>
      <c r="Y171" s="58">
        <v>221</v>
      </c>
      <c r="Z171" s="58">
        <v>231</v>
      </c>
      <c r="AA171" s="58">
        <v>235</v>
      </c>
      <c r="AB171" s="58">
        <v>265</v>
      </c>
      <c r="AC171" s="58">
        <v>273</v>
      </c>
      <c r="AD171" s="58">
        <v>266</v>
      </c>
      <c r="AE171" s="58">
        <v>261</v>
      </c>
      <c r="AF171" s="58">
        <v>305</v>
      </c>
      <c r="AG171" s="58">
        <v>277</v>
      </c>
      <c r="AH171" s="58">
        <v>329</v>
      </c>
      <c r="AI171" s="58">
        <v>309</v>
      </c>
      <c r="AJ171" s="58">
        <v>283</v>
      </c>
      <c r="AK171" s="58">
        <v>244</v>
      </c>
      <c r="AL171" s="58">
        <v>239</v>
      </c>
      <c r="AM171" s="58">
        <v>256</v>
      </c>
      <c r="AN171" s="58">
        <v>263</v>
      </c>
      <c r="AO171" s="58">
        <v>233</v>
      </c>
      <c r="AP171" s="58">
        <v>251</v>
      </c>
      <c r="AQ171" s="58">
        <v>181</v>
      </c>
      <c r="AR171" s="58">
        <v>112</v>
      </c>
      <c r="AS171" s="58">
        <v>23</v>
      </c>
      <c r="AT171" s="58">
        <v>1</v>
      </c>
      <c r="AU171" s="58">
        <v>0</v>
      </c>
      <c r="AV171" s="58">
        <v>0</v>
      </c>
      <c r="AW171" s="58">
        <v>0</v>
      </c>
      <c r="AX171" s="58">
        <v>0</v>
      </c>
      <c r="AY171" s="58">
        <v>0</v>
      </c>
      <c r="AZ171" s="58">
        <v>0</v>
      </c>
      <c r="BA171" s="58">
        <v>0</v>
      </c>
      <c r="BB171" s="58">
        <v>0</v>
      </c>
      <c r="BC171" s="58">
        <v>0</v>
      </c>
      <c r="BD171" s="58">
        <v>0</v>
      </c>
      <c r="BE171" s="58">
        <v>0</v>
      </c>
      <c r="BF171" s="58">
        <v>0</v>
      </c>
      <c r="BG171" s="58">
        <v>0</v>
      </c>
      <c r="BH171" s="58">
        <f>SUM(D171:BG171)</f>
        <v>9416</v>
      </c>
    </row>
    <row r="172" spans="1:60">
      <c r="A172" s="56" t="s">
        <v>255</v>
      </c>
      <c r="B172" s="56" t="s">
        <v>161</v>
      </c>
      <c r="C172" s="56" t="s">
        <v>210</v>
      </c>
      <c r="D172" s="58">
        <v>0</v>
      </c>
      <c r="E172" s="58">
        <v>0</v>
      </c>
      <c r="F172" s="58">
        <v>0</v>
      </c>
      <c r="G172" s="58">
        <v>0</v>
      </c>
      <c r="H172" s="58">
        <v>5</v>
      </c>
      <c r="I172" s="58">
        <v>24</v>
      </c>
      <c r="J172" s="58">
        <v>168</v>
      </c>
      <c r="K172" s="58">
        <v>177</v>
      </c>
      <c r="L172" s="58">
        <v>213</v>
      </c>
      <c r="M172" s="58">
        <v>279</v>
      </c>
      <c r="N172" s="58">
        <v>293</v>
      </c>
      <c r="O172" s="58">
        <v>326</v>
      </c>
      <c r="P172" s="58">
        <v>293</v>
      </c>
      <c r="Q172" s="58">
        <v>329</v>
      </c>
      <c r="R172" s="58">
        <v>312</v>
      </c>
      <c r="S172" s="58">
        <v>338</v>
      </c>
      <c r="T172" s="58">
        <v>363</v>
      </c>
      <c r="U172" s="58">
        <v>310</v>
      </c>
      <c r="V172" s="58">
        <v>312</v>
      </c>
      <c r="W172" s="58">
        <v>286</v>
      </c>
      <c r="X172" s="58">
        <v>247</v>
      </c>
      <c r="Y172" s="58">
        <v>248</v>
      </c>
      <c r="Z172" s="58">
        <v>220</v>
      </c>
      <c r="AA172" s="58">
        <v>237</v>
      </c>
      <c r="AB172" s="58">
        <v>266</v>
      </c>
      <c r="AC172" s="58">
        <v>288</v>
      </c>
      <c r="AD172" s="58">
        <v>295</v>
      </c>
      <c r="AE172" s="58">
        <v>304</v>
      </c>
      <c r="AF172" s="58">
        <v>321</v>
      </c>
      <c r="AG172" s="58">
        <v>346</v>
      </c>
      <c r="AH172" s="58">
        <v>301</v>
      </c>
      <c r="AI172" s="58">
        <v>298</v>
      </c>
      <c r="AJ172" s="58">
        <v>280</v>
      </c>
      <c r="AK172" s="58">
        <v>273</v>
      </c>
      <c r="AL172" s="58">
        <v>292</v>
      </c>
      <c r="AM172" s="58">
        <v>257</v>
      </c>
      <c r="AN172" s="58">
        <v>243</v>
      </c>
      <c r="AO172" s="58">
        <v>242</v>
      </c>
      <c r="AP172" s="58">
        <v>228</v>
      </c>
      <c r="AQ172" s="58">
        <v>203</v>
      </c>
      <c r="AR172" s="58">
        <v>108</v>
      </c>
      <c r="AS172" s="58">
        <v>29</v>
      </c>
      <c r="AT172" s="58">
        <v>1</v>
      </c>
      <c r="AU172" s="58">
        <v>5</v>
      </c>
      <c r="AV172" s="58">
        <v>4</v>
      </c>
      <c r="AW172" s="58">
        <v>4</v>
      </c>
      <c r="AX172" s="58">
        <v>4</v>
      </c>
      <c r="AY172" s="58">
        <v>5</v>
      </c>
      <c r="AZ172" s="58">
        <v>2</v>
      </c>
      <c r="BA172" s="58">
        <v>4</v>
      </c>
      <c r="BB172" s="58">
        <v>3</v>
      </c>
      <c r="BC172" s="58">
        <v>1</v>
      </c>
      <c r="BD172" s="58">
        <v>0</v>
      </c>
      <c r="BE172" s="58">
        <v>0</v>
      </c>
      <c r="BF172" s="58">
        <v>0</v>
      </c>
      <c r="BG172" s="58">
        <v>0</v>
      </c>
      <c r="BH172" s="58">
        <f>SUM(D172:BG172)</f>
        <v>9587</v>
      </c>
    </row>
    <row r="173" spans="1:60">
      <c r="A173" s="56" t="s">
        <v>256</v>
      </c>
      <c r="B173" s="56" t="s">
        <v>161</v>
      </c>
      <c r="C173" s="56" t="s">
        <v>212</v>
      </c>
      <c r="D173" s="58">
        <v>0</v>
      </c>
      <c r="E173" s="58">
        <v>0</v>
      </c>
      <c r="F173" s="58">
        <v>0</v>
      </c>
      <c r="G173" s="58">
        <v>1</v>
      </c>
      <c r="H173" s="58">
        <v>0</v>
      </c>
      <c r="I173" s="58">
        <v>19</v>
      </c>
      <c r="J173" s="58">
        <v>143</v>
      </c>
      <c r="K173" s="58">
        <v>200</v>
      </c>
      <c r="L173" s="58">
        <v>236</v>
      </c>
      <c r="M173" s="58">
        <v>268</v>
      </c>
      <c r="N173" s="58">
        <v>330</v>
      </c>
      <c r="O173" s="58">
        <v>305</v>
      </c>
      <c r="P173" s="58">
        <v>325</v>
      </c>
      <c r="Q173" s="58">
        <v>349</v>
      </c>
      <c r="R173" s="58">
        <v>328</v>
      </c>
      <c r="S173" s="58">
        <v>351</v>
      </c>
      <c r="T173" s="58">
        <v>318</v>
      </c>
      <c r="U173" s="58">
        <v>332</v>
      </c>
      <c r="V173" s="58">
        <v>300</v>
      </c>
      <c r="W173" s="58">
        <v>290</v>
      </c>
      <c r="X173" s="58">
        <v>231</v>
      </c>
      <c r="Y173" s="58">
        <v>214</v>
      </c>
      <c r="Z173" s="58">
        <v>228</v>
      </c>
      <c r="AA173" s="58">
        <v>254</v>
      </c>
      <c r="AB173" s="58">
        <v>254</v>
      </c>
      <c r="AC173" s="58">
        <v>314</v>
      </c>
      <c r="AD173" s="58">
        <v>302</v>
      </c>
      <c r="AE173" s="58">
        <v>292</v>
      </c>
      <c r="AF173" s="58">
        <v>326</v>
      </c>
      <c r="AG173" s="58">
        <v>316</v>
      </c>
      <c r="AH173" s="58">
        <v>318</v>
      </c>
      <c r="AI173" s="58">
        <v>312</v>
      </c>
      <c r="AJ173" s="58">
        <v>291</v>
      </c>
      <c r="AK173" s="58">
        <v>300</v>
      </c>
      <c r="AL173" s="58">
        <v>280</v>
      </c>
      <c r="AM173" s="58">
        <v>278</v>
      </c>
      <c r="AN173" s="58">
        <v>275</v>
      </c>
      <c r="AO173" s="58">
        <v>297</v>
      </c>
      <c r="AP173" s="58">
        <v>305</v>
      </c>
      <c r="AQ173" s="58">
        <v>255</v>
      </c>
      <c r="AR173" s="58">
        <v>129</v>
      </c>
      <c r="AS173" s="58">
        <v>32</v>
      </c>
      <c r="AT173" s="58">
        <v>3</v>
      </c>
      <c r="AU173" s="58">
        <v>0</v>
      </c>
      <c r="AV173" s="58">
        <v>0</v>
      </c>
      <c r="AW173" s="58">
        <v>1</v>
      </c>
      <c r="AX173" s="58">
        <v>1</v>
      </c>
      <c r="AY173" s="58">
        <v>0</v>
      </c>
      <c r="AZ173" s="58">
        <v>0</v>
      </c>
      <c r="BA173" s="58">
        <v>0</v>
      </c>
      <c r="BB173" s="58">
        <v>0</v>
      </c>
      <c r="BC173" s="58">
        <v>0</v>
      </c>
      <c r="BD173" s="58">
        <v>0</v>
      </c>
      <c r="BE173" s="58">
        <v>0</v>
      </c>
      <c r="BF173" s="58">
        <v>0</v>
      </c>
      <c r="BG173" s="58">
        <v>0</v>
      </c>
      <c r="BH173" s="58">
        <f>SUM(D173:BG173)</f>
        <v>9903</v>
      </c>
    </row>
    <row r="174" spans="1:60">
      <c r="A174" s="56" t="s">
        <v>257</v>
      </c>
      <c r="B174" s="56" t="s">
        <v>161</v>
      </c>
      <c r="C174" s="56" t="s">
        <v>214</v>
      </c>
      <c r="D174" s="58">
        <v>0</v>
      </c>
      <c r="E174" s="58">
        <v>0</v>
      </c>
      <c r="F174" s="58">
        <v>0</v>
      </c>
      <c r="G174" s="58">
        <v>0</v>
      </c>
      <c r="H174" s="58">
        <v>0</v>
      </c>
      <c r="I174" s="58">
        <v>1</v>
      </c>
      <c r="J174" s="58">
        <v>2</v>
      </c>
      <c r="K174" s="58">
        <v>2</v>
      </c>
      <c r="L174" s="58">
        <v>0</v>
      </c>
      <c r="M174" s="58">
        <v>1</v>
      </c>
      <c r="N174" s="58">
        <v>0</v>
      </c>
      <c r="O174" s="58">
        <v>0</v>
      </c>
      <c r="P174" s="58">
        <v>1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  <c r="X174" s="58">
        <v>0</v>
      </c>
      <c r="Y174" s="58">
        <v>0</v>
      </c>
      <c r="Z174" s="58">
        <v>0</v>
      </c>
      <c r="AA174" s="58">
        <v>0</v>
      </c>
      <c r="AB174" s="58">
        <v>0</v>
      </c>
      <c r="AC174" s="58">
        <v>0</v>
      </c>
      <c r="AD174" s="58">
        <v>0</v>
      </c>
      <c r="AE174" s="58">
        <v>0</v>
      </c>
      <c r="AF174" s="58">
        <v>0</v>
      </c>
      <c r="AG174" s="58">
        <v>0</v>
      </c>
      <c r="AH174" s="58">
        <v>0</v>
      </c>
      <c r="AI174" s="58">
        <v>0</v>
      </c>
      <c r="AJ174" s="58">
        <v>0</v>
      </c>
      <c r="AK174" s="58">
        <v>0</v>
      </c>
      <c r="AL174" s="58">
        <v>0</v>
      </c>
      <c r="AM174" s="58">
        <v>0</v>
      </c>
      <c r="AN174" s="58">
        <v>11</v>
      </c>
      <c r="AO174" s="58">
        <v>7</v>
      </c>
      <c r="AP174" s="58">
        <v>10</v>
      </c>
      <c r="AQ174" s="58">
        <v>13</v>
      </c>
      <c r="AR174" s="58">
        <v>19</v>
      </c>
      <c r="AS174" s="58">
        <v>8</v>
      </c>
      <c r="AT174" s="58">
        <v>2</v>
      </c>
      <c r="AU174" s="58">
        <v>0</v>
      </c>
      <c r="AV174" s="58">
        <v>0</v>
      </c>
      <c r="AW174" s="58">
        <v>0</v>
      </c>
      <c r="AX174" s="58">
        <v>0</v>
      </c>
      <c r="AY174" s="58">
        <v>0</v>
      </c>
      <c r="AZ174" s="58">
        <v>0</v>
      </c>
      <c r="BA174" s="58">
        <v>0</v>
      </c>
      <c r="BB174" s="58">
        <v>0</v>
      </c>
      <c r="BC174" s="58">
        <v>0</v>
      </c>
      <c r="BD174" s="58">
        <v>0</v>
      </c>
      <c r="BE174" s="58">
        <v>0</v>
      </c>
      <c r="BF174" s="58">
        <v>0</v>
      </c>
      <c r="BG174" s="58">
        <v>0</v>
      </c>
      <c r="BH174" s="58">
        <f>SUM(D174:BG174)</f>
        <v>77</v>
      </c>
    </row>
    <row r="175" spans="1:60">
      <c r="A175" s="56" t="s">
        <v>258</v>
      </c>
      <c r="B175" s="56" t="s">
        <v>161</v>
      </c>
      <c r="C175" s="56" t="s">
        <v>216</v>
      </c>
      <c r="D175" s="58">
        <v>0</v>
      </c>
      <c r="E175" s="58">
        <v>0</v>
      </c>
      <c r="F175" s="58">
        <v>0</v>
      </c>
      <c r="G175" s="58">
        <v>0</v>
      </c>
      <c r="H175" s="58">
        <v>0</v>
      </c>
      <c r="I175" s="58">
        <v>6</v>
      </c>
      <c r="J175" s="58">
        <v>3</v>
      </c>
      <c r="K175" s="58">
        <v>2</v>
      </c>
      <c r="L175" s="58">
        <v>3</v>
      </c>
      <c r="M175" s="58">
        <v>1</v>
      </c>
      <c r="N175" s="58">
        <v>1</v>
      </c>
      <c r="O175" s="58">
        <v>3</v>
      </c>
      <c r="P175" s="58">
        <v>1</v>
      </c>
      <c r="Q175" s="58">
        <v>0</v>
      </c>
      <c r="R175" s="58">
        <v>2</v>
      </c>
      <c r="S175" s="58">
        <v>1</v>
      </c>
      <c r="T175" s="58">
        <v>2</v>
      </c>
      <c r="U175" s="58">
        <v>0</v>
      </c>
      <c r="V175" s="58">
        <v>1</v>
      </c>
      <c r="W175" s="58">
        <v>0</v>
      </c>
      <c r="X175" s="58">
        <v>0</v>
      </c>
      <c r="Y175" s="58">
        <v>0</v>
      </c>
      <c r="Z175" s="58">
        <v>0</v>
      </c>
      <c r="AA175" s="58">
        <v>0</v>
      </c>
      <c r="AB175" s="58">
        <v>0</v>
      </c>
      <c r="AC175" s="58">
        <v>0</v>
      </c>
      <c r="AD175" s="58">
        <v>0</v>
      </c>
      <c r="AE175" s="58">
        <v>0</v>
      </c>
      <c r="AF175" s="58">
        <v>0</v>
      </c>
      <c r="AG175" s="58">
        <v>0</v>
      </c>
      <c r="AH175" s="58">
        <v>0</v>
      </c>
      <c r="AI175" s="58">
        <v>0</v>
      </c>
      <c r="AJ175" s="58">
        <v>0</v>
      </c>
      <c r="AK175" s="58">
        <v>0</v>
      </c>
      <c r="AL175" s="58">
        <v>0</v>
      </c>
      <c r="AM175" s="58">
        <v>0</v>
      </c>
      <c r="AN175" s="58">
        <v>0</v>
      </c>
      <c r="AO175" s="58">
        <v>0</v>
      </c>
      <c r="AP175" s="58">
        <v>0</v>
      </c>
      <c r="AQ175" s="58">
        <v>0</v>
      </c>
      <c r="AR175" s="58">
        <v>0</v>
      </c>
      <c r="AS175" s="58">
        <v>0</v>
      </c>
      <c r="AT175" s="58">
        <v>0</v>
      </c>
      <c r="AU175" s="58">
        <v>0</v>
      </c>
      <c r="AV175" s="58">
        <v>0</v>
      </c>
      <c r="AW175" s="58">
        <v>0</v>
      </c>
      <c r="AX175" s="58">
        <v>0</v>
      </c>
      <c r="AY175" s="58">
        <v>0</v>
      </c>
      <c r="AZ175" s="58">
        <v>0</v>
      </c>
      <c r="BA175" s="58">
        <v>0</v>
      </c>
      <c r="BB175" s="58">
        <v>0</v>
      </c>
      <c r="BC175" s="58">
        <v>0</v>
      </c>
      <c r="BD175" s="58">
        <v>0</v>
      </c>
      <c r="BE175" s="58">
        <v>0</v>
      </c>
      <c r="BF175" s="58">
        <v>0</v>
      </c>
      <c r="BG175" s="58">
        <v>0</v>
      </c>
      <c r="BH175" s="58">
        <f>SUM(D175:BG175)</f>
        <v>26</v>
      </c>
    </row>
    <row r="176" spans="1:60">
      <c r="A176" s="56" t="s">
        <v>259</v>
      </c>
      <c r="B176" s="56" t="s">
        <v>175</v>
      </c>
      <c r="C176" s="56" t="s">
        <v>5</v>
      </c>
      <c r="D176" s="58">
        <v>0</v>
      </c>
      <c r="E176" s="58">
        <v>0</v>
      </c>
      <c r="F176" s="58">
        <v>0</v>
      </c>
      <c r="G176" s="58">
        <v>0</v>
      </c>
      <c r="H176" s="58">
        <v>0</v>
      </c>
      <c r="I176" s="58">
        <v>58</v>
      </c>
      <c r="J176" s="58">
        <v>175</v>
      </c>
      <c r="K176" s="58">
        <v>169</v>
      </c>
      <c r="L176" s="58">
        <v>210</v>
      </c>
      <c r="M176" s="58">
        <v>253</v>
      </c>
      <c r="N176" s="58">
        <v>284</v>
      </c>
      <c r="O176" s="58">
        <v>286</v>
      </c>
      <c r="P176" s="58">
        <v>295</v>
      </c>
      <c r="Q176" s="58">
        <v>327</v>
      </c>
      <c r="R176" s="58">
        <v>329</v>
      </c>
      <c r="S176" s="58">
        <v>303</v>
      </c>
      <c r="T176" s="58">
        <v>276</v>
      </c>
      <c r="U176" s="58">
        <v>279</v>
      </c>
      <c r="V176" s="58">
        <v>276</v>
      </c>
      <c r="W176" s="58">
        <v>224</v>
      </c>
      <c r="X176" s="58">
        <v>203</v>
      </c>
      <c r="Y176" s="58">
        <v>201</v>
      </c>
      <c r="Z176" s="58">
        <v>193</v>
      </c>
      <c r="AA176" s="58">
        <v>158</v>
      </c>
      <c r="AB176" s="58">
        <v>198</v>
      </c>
      <c r="AC176" s="58">
        <v>236</v>
      </c>
      <c r="AD176" s="58">
        <v>250</v>
      </c>
      <c r="AE176" s="58">
        <v>235</v>
      </c>
      <c r="AF176" s="58">
        <v>232</v>
      </c>
      <c r="AG176" s="58">
        <v>241</v>
      </c>
      <c r="AH176" s="58">
        <v>224</v>
      </c>
      <c r="AI176" s="58">
        <v>215</v>
      </c>
      <c r="AJ176" s="58">
        <v>213</v>
      </c>
      <c r="AK176" s="58">
        <v>187</v>
      </c>
      <c r="AL176" s="58">
        <v>205</v>
      </c>
      <c r="AM176" s="58">
        <v>176</v>
      </c>
      <c r="AN176" s="58">
        <v>175</v>
      </c>
      <c r="AO176" s="58">
        <v>192</v>
      </c>
      <c r="AP176" s="58">
        <v>180</v>
      </c>
      <c r="AQ176" s="58">
        <v>116</v>
      </c>
      <c r="AR176" s="58">
        <v>73</v>
      </c>
      <c r="AS176" s="58">
        <v>5</v>
      </c>
      <c r="AT176" s="58">
        <v>0</v>
      </c>
      <c r="AU176" s="58">
        <v>0</v>
      </c>
      <c r="AV176" s="58">
        <v>0</v>
      </c>
      <c r="AW176" s="58">
        <v>1</v>
      </c>
      <c r="AX176" s="58">
        <v>0</v>
      </c>
      <c r="AY176" s="58">
        <v>0</v>
      </c>
      <c r="AZ176" s="58">
        <v>0</v>
      </c>
      <c r="BA176" s="58">
        <v>0</v>
      </c>
      <c r="BB176" s="58">
        <v>0</v>
      </c>
      <c r="BC176" s="58">
        <v>0</v>
      </c>
      <c r="BD176" s="58">
        <v>0</v>
      </c>
      <c r="BE176" s="58">
        <v>0</v>
      </c>
      <c r="BF176" s="58">
        <v>0</v>
      </c>
      <c r="BG176" s="58">
        <v>0</v>
      </c>
      <c r="BH176" s="58">
        <f>SUM(D176:BG176)</f>
        <v>7853</v>
      </c>
    </row>
    <row r="177" spans="1:60">
      <c r="A177" s="56" t="s">
        <v>260</v>
      </c>
      <c r="B177" s="56" t="s">
        <v>175</v>
      </c>
      <c r="C177" s="56" t="s">
        <v>206</v>
      </c>
      <c r="D177" s="58">
        <v>0</v>
      </c>
      <c r="E177" s="58">
        <v>0</v>
      </c>
      <c r="F177" s="58">
        <v>0</v>
      </c>
      <c r="G177" s="58">
        <v>0</v>
      </c>
      <c r="H177" s="58">
        <v>2</v>
      </c>
      <c r="I177" s="58">
        <v>33</v>
      </c>
      <c r="J177" s="58">
        <v>119</v>
      </c>
      <c r="K177" s="58">
        <v>147</v>
      </c>
      <c r="L177" s="58">
        <v>190</v>
      </c>
      <c r="M177" s="58">
        <v>227</v>
      </c>
      <c r="N177" s="58">
        <v>228</v>
      </c>
      <c r="O177" s="58">
        <v>230</v>
      </c>
      <c r="P177" s="58">
        <v>277</v>
      </c>
      <c r="Q177" s="58">
        <v>256</v>
      </c>
      <c r="R177" s="58">
        <v>290</v>
      </c>
      <c r="S177" s="58">
        <v>303</v>
      </c>
      <c r="T177" s="58">
        <v>285</v>
      </c>
      <c r="U177" s="58">
        <v>242</v>
      </c>
      <c r="V177" s="58">
        <v>276</v>
      </c>
      <c r="W177" s="58">
        <v>207</v>
      </c>
      <c r="X177" s="58">
        <v>184</v>
      </c>
      <c r="Y177" s="58">
        <v>199</v>
      </c>
      <c r="Z177" s="58">
        <v>175</v>
      </c>
      <c r="AA177" s="58">
        <v>147</v>
      </c>
      <c r="AB177" s="58">
        <v>184</v>
      </c>
      <c r="AC177" s="58">
        <v>251</v>
      </c>
      <c r="AD177" s="58">
        <v>234</v>
      </c>
      <c r="AE177" s="58">
        <v>228</v>
      </c>
      <c r="AF177" s="58">
        <v>241</v>
      </c>
      <c r="AG177" s="58">
        <v>207</v>
      </c>
      <c r="AH177" s="58">
        <v>232</v>
      </c>
      <c r="AI177" s="58">
        <v>194</v>
      </c>
      <c r="AJ177" s="58">
        <v>192</v>
      </c>
      <c r="AK177" s="58">
        <v>203</v>
      </c>
      <c r="AL177" s="58">
        <v>187</v>
      </c>
      <c r="AM177" s="58">
        <v>178</v>
      </c>
      <c r="AN177" s="58">
        <v>218</v>
      </c>
      <c r="AO177" s="58">
        <v>187</v>
      </c>
      <c r="AP177" s="58">
        <v>161</v>
      </c>
      <c r="AQ177" s="58">
        <v>121</v>
      </c>
      <c r="AR177" s="58">
        <v>88</v>
      </c>
      <c r="AS177" s="58">
        <v>4</v>
      </c>
      <c r="AT177" s="58">
        <v>0</v>
      </c>
      <c r="AU177" s="58">
        <v>0</v>
      </c>
      <c r="AV177" s="58">
        <v>0</v>
      </c>
      <c r="AW177" s="58">
        <v>0</v>
      </c>
      <c r="AX177" s="58">
        <v>0</v>
      </c>
      <c r="AY177" s="58">
        <v>0</v>
      </c>
      <c r="AZ177" s="58">
        <v>0</v>
      </c>
      <c r="BA177" s="58">
        <v>0</v>
      </c>
      <c r="BB177" s="58">
        <v>0</v>
      </c>
      <c r="BC177" s="58">
        <v>1</v>
      </c>
      <c r="BD177" s="58">
        <v>0</v>
      </c>
      <c r="BE177" s="58">
        <v>0</v>
      </c>
      <c r="BF177" s="58">
        <v>0</v>
      </c>
      <c r="BG177" s="58">
        <v>0</v>
      </c>
      <c r="BH177" s="58">
        <f>SUM(D177:BG177)</f>
        <v>7328</v>
      </c>
    </row>
    <row r="178" spans="1:60">
      <c r="A178" s="56" t="s">
        <v>261</v>
      </c>
      <c r="B178" s="56" t="s">
        <v>175</v>
      </c>
      <c r="C178" s="56" t="s">
        <v>208</v>
      </c>
      <c r="D178" s="58">
        <v>0</v>
      </c>
      <c r="E178" s="58">
        <v>0</v>
      </c>
      <c r="F178" s="58">
        <v>0</v>
      </c>
      <c r="G178" s="58">
        <v>0</v>
      </c>
      <c r="H178" s="58">
        <v>1</v>
      </c>
      <c r="I178" s="58">
        <v>21</v>
      </c>
      <c r="J178" s="58">
        <v>123</v>
      </c>
      <c r="K178" s="58">
        <v>132</v>
      </c>
      <c r="L178" s="58">
        <v>156</v>
      </c>
      <c r="M178" s="58">
        <v>207</v>
      </c>
      <c r="N178" s="58">
        <v>232</v>
      </c>
      <c r="O178" s="58">
        <v>240</v>
      </c>
      <c r="P178" s="58">
        <v>226</v>
      </c>
      <c r="Q178" s="58">
        <v>254</v>
      </c>
      <c r="R178" s="58">
        <v>251</v>
      </c>
      <c r="S178" s="58">
        <v>247</v>
      </c>
      <c r="T178" s="58">
        <v>252</v>
      </c>
      <c r="U178" s="58">
        <v>243</v>
      </c>
      <c r="V178" s="58">
        <v>245</v>
      </c>
      <c r="W178" s="58">
        <v>210</v>
      </c>
      <c r="X178" s="58">
        <v>212</v>
      </c>
      <c r="Y178" s="58">
        <v>164</v>
      </c>
      <c r="Z178" s="58">
        <v>170</v>
      </c>
      <c r="AA178" s="58">
        <v>196</v>
      </c>
      <c r="AB178" s="58">
        <v>222</v>
      </c>
      <c r="AC178" s="58">
        <v>214</v>
      </c>
      <c r="AD178" s="58">
        <v>201</v>
      </c>
      <c r="AE178" s="58">
        <v>217</v>
      </c>
      <c r="AF178" s="58">
        <v>251</v>
      </c>
      <c r="AG178" s="58">
        <v>206</v>
      </c>
      <c r="AH178" s="58">
        <v>230</v>
      </c>
      <c r="AI178" s="58">
        <v>188</v>
      </c>
      <c r="AJ178" s="58">
        <v>197</v>
      </c>
      <c r="AK178" s="58">
        <v>195</v>
      </c>
      <c r="AL178" s="58">
        <v>204</v>
      </c>
      <c r="AM178" s="58">
        <v>176</v>
      </c>
      <c r="AN178" s="58">
        <v>186</v>
      </c>
      <c r="AO178" s="58">
        <v>200</v>
      </c>
      <c r="AP178" s="58">
        <v>167</v>
      </c>
      <c r="AQ178" s="58">
        <v>127</v>
      </c>
      <c r="AR178" s="58">
        <v>81</v>
      </c>
      <c r="AS178" s="58">
        <v>4</v>
      </c>
      <c r="AT178" s="58">
        <v>0</v>
      </c>
      <c r="AU178" s="58">
        <v>0</v>
      </c>
      <c r="AV178" s="58">
        <v>0</v>
      </c>
      <c r="AW178" s="58">
        <v>0</v>
      </c>
      <c r="AX178" s="58">
        <v>0</v>
      </c>
      <c r="AY178" s="58">
        <v>0</v>
      </c>
      <c r="AZ178" s="58">
        <v>0</v>
      </c>
      <c r="BA178" s="58">
        <v>0</v>
      </c>
      <c r="BB178" s="58">
        <v>0</v>
      </c>
      <c r="BC178" s="58">
        <v>0</v>
      </c>
      <c r="BD178" s="58">
        <v>0</v>
      </c>
      <c r="BE178" s="58">
        <v>0</v>
      </c>
      <c r="BF178" s="58">
        <v>0</v>
      </c>
      <c r="BG178" s="58">
        <v>0</v>
      </c>
      <c r="BH178" s="58">
        <f>SUM(D178:BG178)</f>
        <v>7048</v>
      </c>
    </row>
    <row r="179" spans="1:60">
      <c r="A179" s="56" t="s">
        <v>262</v>
      </c>
      <c r="B179" s="56" t="s">
        <v>175</v>
      </c>
      <c r="C179" s="56" t="s">
        <v>210</v>
      </c>
      <c r="D179" s="58">
        <v>0</v>
      </c>
      <c r="E179" s="58">
        <v>0</v>
      </c>
      <c r="F179" s="58">
        <v>0</v>
      </c>
      <c r="G179" s="58">
        <v>0</v>
      </c>
      <c r="H179" s="58">
        <v>0</v>
      </c>
      <c r="I179" s="58">
        <v>31</v>
      </c>
      <c r="J179" s="58">
        <v>102</v>
      </c>
      <c r="K179" s="58">
        <v>137</v>
      </c>
      <c r="L179" s="58">
        <v>189</v>
      </c>
      <c r="M179" s="58">
        <v>215</v>
      </c>
      <c r="N179" s="58">
        <v>235</v>
      </c>
      <c r="O179" s="58">
        <v>213</v>
      </c>
      <c r="P179" s="58">
        <v>258</v>
      </c>
      <c r="Q179" s="58">
        <v>281</v>
      </c>
      <c r="R179" s="58">
        <v>292</v>
      </c>
      <c r="S179" s="58">
        <v>266</v>
      </c>
      <c r="T179" s="58">
        <v>273</v>
      </c>
      <c r="U179" s="58">
        <v>263</v>
      </c>
      <c r="V179" s="58">
        <v>257</v>
      </c>
      <c r="W179" s="58">
        <v>198</v>
      </c>
      <c r="X179" s="58">
        <v>193</v>
      </c>
      <c r="Y179" s="58">
        <v>216</v>
      </c>
      <c r="Z179" s="58">
        <v>184</v>
      </c>
      <c r="AA179" s="58">
        <v>179</v>
      </c>
      <c r="AB179" s="58">
        <v>209</v>
      </c>
      <c r="AC179" s="58">
        <v>252</v>
      </c>
      <c r="AD179" s="58">
        <v>235</v>
      </c>
      <c r="AE179" s="58">
        <v>227</v>
      </c>
      <c r="AF179" s="58">
        <v>255</v>
      </c>
      <c r="AG179" s="58">
        <v>262</v>
      </c>
      <c r="AH179" s="58">
        <v>232</v>
      </c>
      <c r="AI179" s="58">
        <v>215</v>
      </c>
      <c r="AJ179" s="58">
        <v>227</v>
      </c>
      <c r="AK179" s="58">
        <v>201</v>
      </c>
      <c r="AL179" s="58">
        <v>198</v>
      </c>
      <c r="AM179" s="58">
        <v>194</v>
      </c>
      <c r="AN179" s="58">
        <v>162</v>
      </c>
      <c r="AO179" s="58">
        <v>173</v>
      </c>
      <c r="AP179" s="58">
        <v>166</v>
      </c>
      <c r="AQ179" s="58">
        <v>108</v>
      </c>
      <c r="AR179" s="58">
        <v>75</v>
      </c>
      <c r="AS179" s="58">
        <v>3</v>
      </c>
      <c r="AT179" s="58">
        <v>0</v>
      </c>
      <c r="AU179" s="58">
        <v>2</v>
      </c>
      <c r="AV179" s="58">
        <v>1</v>
      </c>
      <c r="AW179" s="58">
        <v>2</v>
      </c>
      <c r="AX179" s="58">
        <v>4</v>
      </c>
      <c r="AY179" s="58">
        <v>2</v>
      </c>
      <c r="AZ179" s="58">
        <v>0</v>
      </c>
      <c r="BA179" s="58">
        <v>2</v>
      </c>
      <c r="BB179" s="58">
        <v>0</v>
      </c>
      <c r="BC179" s="58">
        <v>0</v>
      </c>
      <c r="BD179" s="58">
        <v>0</v>
      </c>
      <c r="BE179" s="58">
        <v>0</v>
      </c>
      <c r="BF179" s="58">
        <v>0</v>
      </c>
      <c r="BG179" s="58">
        <v>0</v>
      </c>
      <c r="BH179" s="58">
        <f>SUM(D179:BG179)</f>
        <v>7389</v>
      </c>
    </row>
    <row r="180" spans="1:60">
      <c r="A180" s="56" t="s">
        <v>263</v>
      </c>
      <c r="B180" s="56" t="s">
        <v>175</v>
      </c>
      <c r="C180" s="56" t="s">
        <v>212</v>
      </c>
      <c r="D180" s="58">
        <v>0</v>
      </c>
      <c r="E180" s="58">
        <v>0</v>
      </c>
      <c r="F180" s="58">
        <v>0</v>
      </c>
      <c r="G180" s="58">
        <v>0</v>
      </c>
      <c r="H180" s="58">
        <v>0</v>
      </c>
      <c r="I180" s="58">
        <v>36</v>
      </c>
      <c r="J180" s="58">
        <v>151</v>
      </c>
      <c r="K180" s="58">
        <v>156</v>
      </c>
      <c r="L180" s="58">
        <v>181</v>
      </c>
      <c r="M180" s="58">
        <v>224</v>
      </c>
      <c r="N180" s="58">
        <v>262</v>
      </c>
      <c r="O180" s="58">
        <v>242</v>
      </c>
      <c r="P180" s="58">
        <v>256</v>
      </c>
      <c r="Q180" s="58">
        <v>243</v>
      </c>
      <c r="R180" s="58">
        <v>271</v>
      </c>
      <c r="S180" s="58">
        <v>291</v>
      </c>
      <c r="T180" s="58">
        <v>267</v>
      </c>
      <c r="U180" s="58">
        <v>261</v>
      </c>
      <c r="V180" s="58">
        <v>258</v>
      </c>
      <c r="W180" s="58">
        <v>210</v>
      </c>
      <c r="X180" s="58">
        <v>204</v>
      </c>
      <c r="Y180" s="58">
        <v>188</v>
      </c>
      <c r="Z180" s="58">
        <v>173</v>
      </c>
      <c r="AA180" s="58">
        <v>208</v>
      </c>
      <c r="AB180" s="58">
        <v>224</v>
      </c>
      <c r="AC180" s="58">
        <v>287</v>
      </c>
      <c r="AD180" s="58">
        <v>246</v>
      </c>
      <c r="AE180" s="58">
        <v>258</v>
      </c>
      <c r="AF180" s="58">
        <v>258</v>
      </c>
      <c r="AG180" s="58">
        <v>250</v>
      </c>
      <c r="AH180" s="58">
        <v>259</v>
      </c>
      <c r="AI180" s="58">
        <v>236</v>
      </c>
      <c r="AJ180" s="58">
        <v>235</v>
      </c>
      <c r="AK180" s="58">
        <v>216</v>
      </c>
      <c r="AL180" s="58">
        <v>226</v>
      </c>
      <c r="AM180" s="58">
        <v>221</v>
      </c>
      <c r="AN180" s="58">
        <v>211</v>
      </c>
      <c r="AO180" s="58">
        <v>200</v>
      </c>
      <c r="AP180" s="58">
        <v>195</v>
      </c>
      <c r="AQ180" s="58">
        <v>117</v>
      </c>
      <c r="AR180" s="58">
        <v>68</v>
      </c>
      <c r="AS180" s="58">
        <v>4</v>
      </c>
      <c r="AT180" s="58">
        <v>1</v>
      </c>
      <c r="AU180" s="58">
        <v>0</v>
      </c>
      <c r="AV180" s="58">
        <v>0</v>
      </c>
      <c r="AW180" s="58">
        <v>1</v>
      </c>
      <c r="AX180" s="58">
        <v>0</v>
      </c>
      <c r="AY180" s="58">
        <v>0</v>
      </c>
      <c r="AZ180" s="58">
        <v>0</v>
      </c>
      <c r="BA180" s="58">
        <v>0</v>
      </c>
      <c r="BB180" s="58">
        <v>0</v>
      </c>
      <c r="BC180" s="58">
        <v>0</v>
      </c>
      <c r="BD180" s="58">
        <v>0</v>
      </c>
      <c r="BE180" s="58">
        <v>0</v>
      </c>
      <c r="BF180" s="58">
        <v>0</v>
      </c>
      <c r="BG180" s="58">
        <v>0</v>
      </c>
      <c r="BH180" s="58">
        <f>SUM(D180:BG180)</f>
        <v>7795</v>
      </c>
    </row>
    <row r="181" spans="1:60">
      <c r="A181" s="56" t="s">
        <v>264</v>
      </c>
      <c r="B181" s="56" t="s">
        <v>175</v>
      </c>
      <c r="C181" s="56" t="s">
        <v>214</v>
      </c>
      <c r="D181" s="58">
        <v>0</v>
      </c>
      <c r="E181" s="58">
        <v>0</v>
      </c>
      <c r="F181" s="58">
        <v>0</v>
      </c>
      <c r="G181" s="58">
        <v>0</v>
      </c>
      <c r="H181" s="58">
        <v>0</v>
      </c>
      <c r="I181" s="58">
        <v>3</v>
      </c>
      <c r="J181" s="58">
        <v>1</v>
      </c>
      <c r="K181" s="58">
        <v>0</v>
      </c>
      <c r="L181" s="58">
        <v>1</v>
      </c>
      <c r="M181" s="58">
        <v>2</v>
      </c>
      <c r="N181" s="58">
        <v>0</v>
      </c>
      <c r="O181" s="58">
        <v>1</v>
      </c>
      <c r="P181" s="58">
        <v>0</v>
      </c>
      <c r="Q181" s="58">
        <v>0</v>
      </c>
      <c r="R181" s="58">
        <v>1</v>
      </c>
      <c r="S181" s="58">
        <v>0</v>
      </c>
      <c r="T181" s="58">
        <v>0</v>
      </c>
      <c r="U181" s="58">
        <v>0</v>
      </c>
      <c r="V181" s="58">
        <v>0</v>
      </c>
      <c r="W181" s="58">
        <v>1</v>
      </c>
      <c r="X181" s="58">
        <v>0</v>
      </c>
      <c r="Y181" s="58">
        <v>0</v>
      </c>
      <c r="Z181" s="58">
        <v>0</v>
      </c>
      <c r="AA181" s="58">
        <v>0</v>
      </c>
      <c r="AB181" s="58">
        <v>0</v>
      </c>
      <c r="AC181" s="58">
        <v>0</v>
      </c>
      <c r="AD181" s="58">
        <v>0</v>
      </c>
      <c r="AE181" s="58">
        <v>0</v>
      </c>
      <c r="AF181" s="58">
        <v>0</v>
      </c>
      <c r="AG181" s="58">
        <v>0</v>
      </c>
      <c r="AH181" s="58">
        <v>0</v>
      </c>
      <c r="AI181" s="58">
        <v>0</v>
      </c>
      <c r="AJ181" s="58">
        <v>0</v>
      </c>
      <c r="AK181" s="58">
        <v>0</v>
      </c>
      <c r="AL181" s="58">
        <v>3</v>
      </c>
      <c r="AM181" s="58">
        <v>3</v>
      </c>
      <c r="AN181" s="58">
        <v>20</v>
      </c>
      <c r="AO181" s="58">
        <v>1</v>
      </c>
      <c r="AP181" s="58">
        <v>0</v>
      </c>
      <c r="AQ181" s="58">
        <v>6</v>
      </c>
      <c r="AR181" s="58">
        <v>21</v>
      </c>
      <c r="AS181" s="58">
        <v>2</v>
      </c>
      <c r="AT181" s="58">
        <v>2</v>
      </c>
      <c r="AU181" s="58">
        <v>10</v>
      </c>
      <c r="AV181" s="58">
        <v>6</v>
      </c>
      <c r="AW181" s="58">
        <v>0</v>
      </c>
      <c r="AX181" s="58">
        <v>0</v>
      </c>
      <c r="AY181" s="58">
        <v>0</v>
      </c>
      <c r="AZ181" s="58">
        <v>0</v>
      </c>
      <c r="BA181" s="58">
        <v>0</v>
      </c>
      <c r="BB181" s="58">
        <v>0</v>
      </c>
      <c r="BC181" s="58">
        <v>0</v>
      </c>
      <c r="BD181" s="58">
        <v>0</v>
      </c>
      <c r="BE181" s="58">
        <v>0</v>
      </c>
      <c r="BF181" s="58">
        <v>0</v>
      </c>
      <c r="BG181" s="58">
        <v>0</v>
      </c>
      <c r="BH181" s="58">
        <f>SUM(D181:BG181)</f>
        <v>84</v>
      </c>
    </row>
    <row r="182" spans="1:60">
      <c r="A182" s="56" t="s">
        <v>265</v>
      </c>
      <c r="B182" s="56" t="s">
        <v>175</v>
      </c>
      <c r="C182" s="56" t="s">
        <v>216</v>
      </c>
      <c r="D182" s="58">
        <v>0</v>
      </c>
      <c r="E182" s="58">
        <v>0</v>
      </c>
      <c r="F182" s="58">
        <v>0</v>
      </c>
      <c r="G182" s="58">
        <v>0</v>
      </c>
      <c r="H182" s="58">
        <v>0</v>
      </c>
      <c r="I182" s="58">
        <v>8</v>
      </c>
      <c r="J182" s="58">
        <v>5</v>
      </c>
      <c r="K182" s="58">
        <v>5</v>
      </c>
      <c r="L182" s="58">
        <v>7</v>
      </c>
      <c r="M182" s="58">
        <v>2</v>
      </c>
      <c r="N182" s="58">
        <v>4</v>
      </c>
      <c r="O182" s="58">
        <v>8</v>
      </c>
      <c r="P182" s="58">
        <v>6</v>
      </c>
      <c r="Q182" s="58">
        <v>4</v>
      </c>
      <c r="R182" s="58">
        <v>6</v>
      </c>
      <c r="S182" s="58">
        <v>3</v>
      </c>
      <c r="T182" s="58">
        <v>3</v>
      </c>
      <c r="U182" s="58">
        <v>7</v>
      </c>
      <c r="V182" s="58">
        <v>1</v>
      </c>
      <c r="W182" s="58">
        <v>1</v>
      </c>
      <c r="X182" s="58">
        <v>0</v>
      </c>
      <c r="Y182" s="58">
        <v>0</v>
      </c>
      <c r="Z182" s="58">
        <v>0</v>
      </c>
      <c r="AA182" s="58">
        <v>0</v>
      </c>
      <c r="AB182" s="58">
        <v>0</v>
      </c>
      <c r="AC182" s="58">
        <v>0</v>
      </c>
      <c r="AD182" s="58">
        <v>0</v>
      </c>
      <c r="AE182" s="58">
        <v>0</v>
      </c>
      <c r="AF182" s="58">
        <v>0</v>
      </c>
      <c r="AG182" s="58">
        <v>0</v>
      </c>
      <c r="AH182" s="58">
        <v>0</v>
      </c>
      <c r="AI182" s="58">
        <v>0</v>
      </c>
      <c r="AJ182" s="58">
        <v>0</v>
      </c>
      <c r="AK182" s="58">
        <v>0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58">
        <v>0</v>
      </c>
      <c r="AS182" s="58">
        <v>0</v>
      </c>
      <c r="AT182" s="58">
        <v>0</v>
      </c>
      <c r="AU182" s="58">
        <v>0</v>
      </c>
      <c r="AV182" s="58">
        <v>0</v>
      </c>
      <c r="AW182" s="58">
        <v>0</v>
      </c>
      <c r="AX182" s="58">
        <v>0</v>
      </c>
      <c r="AY182" s="58">
        <v>0</v>
      </c>
      <c r="AZ182" s="58">
        <v>0</v>
      </c>
      <c r="BA182" s="58">
        <v>0</v>
      </c>
      <c r="BB182" s="58">
        <v>0</v>
      </c>
      <c r="BC182" s="58">
        <v>0</v>
      </c>
      <c r="BD182" s="58">
        <v>0</v>
      </c>
      <c r="BE182" s="58">
        <v>0</v>
      </c>
      <c r="BF182" s="58">
        <v>0</v>
      </c>
      <c r="BG182" s="58">
        <v>0</v>
      </c>
      <c r="BH182" s="58">
        <f>SUM(D182:BG182)</f>
        <v>70</v>
      </c>
    </row>
    <row r="183" spans="1:60">
      <c r="A183" s="56" t="s">
        <v>266</v>
      </c>
      <c r="B183" s="56" t="s">
        <v>189</v>
      </c>
      <c r="C183" s="56" t="s">
        <v>5</v>
      </c>
      <c r="D183" s="58">
        <v>0</v>
      </c>
      <c r="E183" s="58">
        <v>0</v>
      </c>
      <c r="F183" s="58">
        <v>0</v>
      </c>
      <c r="G183" s="58">
        <v>1</v>
      </c>
      <c r="H183" s="58">
        <v>27</v>
      </c>
      <c r="I183" s="58">
        <v>177</v>
      </c>
      <c r="J183" s="58">
        <v>478</v>
      </c>
      <c r="K183" s="58">
        <v>497</v>
      </c>
      <c r="L183" s="58">
        <v>552</v>
      </c>
      <c r="M183" s="58">
        <v>599</v>
      </c>
      <c r="N183" s="58">
        <v>673</v>
      </c>
      <c r="O183" s="58">
        <v>714</v>
      </c>
      <c r="P183" s="58">
        <v>718</v>
      </c>
      <c r="Q183" s="58">
        <v>767</v>
      </c>
      <c r="R183" s="58">
        <v>758</v>
      </c>
      <c r="S183" s="58">
        <v>756</v>
      </c>
      <c r="T183" s="58">
        <v>756</v>
      </c>
      <c r="U183" s="58">
        <v>716</v>
      </c>
      <c r="V183" s="58">
        <v>623</v>
      </c>
      <c r="W183" s="58">
        <v>597</v>
      </c>
      <c r="X183" s="58">
        <v>513</v>
      </c>
      <c r="Y183" s="58">
        <v>515</v>
      </c>
      <c r="Z183" s="58">
        <v>465</v>
      </c>
      <c r="AA183" s="58">
        <v>485</v>
      </c>
      <c r="AB183" s="58">
        <v>594</v>
      </c>
      <c r="AC183" s="58">
        <v>628</v>
      </c>
      <c r="AD183" s="58">
        <v>609</v>
      </c>
      <c r="AE183" s="58">
        <v>662</v>
      </c>
      <c r="AF183" s="58">
        <v>637</v>
      </c>
      <c r="AG183" s="58">
        <v>632</v>
      </c>
      <c r="AH183" s="58">
        <v>610</v>
      </c>
      <c r="AI183" s="58">
        <v>584</v>
      </c>
      <c r="AJ183" s="58">
        <v>583</v>
      </c>
      <c r="AK183" s="58">
        <v>525</v>
      </c>
      <c r="AL183" s="58">
        <v>529</v>
      </c>
      <c r="AM183" s="58">
        <v>497</v>
      </c>
      <c r="AN183" s="58">
        <v>504</v>
      </c>
      <c r="AO183" s="58">
        <v>487</v>
      </c>
      <c r="AP183" s="58">
        <v>461</v>
      </c>
      <c r="AQ183" s="58">
        <v>360</v>
      </c>
      <c r="AR183" s="58">
        <v>147</v>
      </c>
      <c r="AS183" s="58">
        <v>3</v>
      </c>
      <c r="AT183" s="58">
        <v>2</v>
      </c>
      <c r="AU183" s="58">
        <v>0</v>
      </c>
      <c r="AV183" s="58">
        <v>0</v>
      </c>
      <c r="AW183" s="58">
        <v>1</v>
      </c>
      <c r="AX183" s="58">
        <v>0</v>
      </c>
      <c r="AY183" s="58">
        <v>0</v>
      </c>
      <c r="AZ183" s="58">
        <v>0</v>
      </c>
      <c r="BA183" s="58">
        <v>0</v>
      </c>
      <c r="BB183" s="58">
        <v>0</v>
      </c>
      <c r="BC183" s="58">
        <v>0</v>
      </c>
      <c r="BD183" s="58">
        <v>0</v>
      </c>
      <c r="BE183" s="58">
        <v>0</v>
      </c>
      <c r="BF183" s="58">
        <v>0</v>
      </c>
      <c r="BG183" s="58">
        <v>0</v>
      </c>
      <c r="BH183" s="58">
        <f>SUM(D183:BG183)</f>
        <v>20442</v>
      </c>
    </row>
    <row r="184" spans="1:60">
      <c r="A184" s="56" t="s">
        <v>267</v>
      </c>
      <c r="B184" s="56" t="s">
        <v>189</v>
      </c>
      <c r="C184" s="56" t="s">
        <v>206</v>
      </c>
      <c r="D184" s="58">
        <v>0</v>
      </c>
      <c r="E184" s="58">
        <v>0</v>
      </c>
      <c r="F184" s="58">
        <v>0</v>
      </c>
      <c r="G184" s="58">
        <v>1</v>
      </c>
      <c r="H184" s="58">
        <v>26</v>
      </c>
      <c r="I184" s="58">
        <v>146</v>
      </c>
      <c r="J184" s="58">
        <v>455</v>
      </c>
      <c r="K184" s="58">
        <v>397</v>
      </c>
      <c r="L184" s="58">
        <v>570</v>
      </c>
      <c r="M184" s="58">
        <v>635</v>
      </c>
      <c r="N184" s="58">
        <v>688</v>
      </c>
      <c r="O184" s="58">
        <v>692</v>
      </c>
      <c r="P184" s="58">
        <v>736</v>
      </c>
      <c r="Q184" s="58">
        <v>773</v>
      </c>
      <c r="R184" s="58">
        <v>779</v>
      </c>
      <c r="S184" s="58">
        <v>750</v>
      </c>
      <c r="T184" s="58">
        <v>732</v>
      </c>
      <c r="U184" s="58">
        <v>691</v>
      </c>
      <c r="V184" s="58">
        <v>702</v>
      </c>
      <c r="W184" s="58">
        <v>650</v>
      </c>
      <c r="X184" s="58">
        <v>568</v>
      </c>
      <c r="Y184" s="58">
        <v>511</v>
      </c>
      <c r="Z184" s="58">
        <v>551</v>
      </c>
      <c r="AA184" s="58">
        <v>527</v>
      </c>
      <c r="AB184" s="58">
        <v>591</v>
      </c>
      <c r="AC184" s="58">
        <v>662</v>
      </c>
      <c r="AD184" s="58">
        <v>699</v>
      </c>
      <c r="AE184" s="58">
        <v>695</v>
      </c>
      <c r="AF184" s="58">
        <v>698</v>
      </c>
      <c r="AG184" s="58">
        <v>655</v>
      </c>
      <c r="AH184" s="58">
        <v>701</v>
      </c>
      <c r="AI184" s="58">
        <v>616</v>
      </c>
      <c r="AJ184" s="58">
        <v>652</v>
      </c>
      <c r="AK184" s="58">
        <v>580</v>
      </c>
      <c r="AL184" s="58">
        <v>581</v>
      </c>
      <c r="AM184" s="58">
        <v>524</v>
      </c>
      <c r="AN184" s="58">
        <v>555</v>
      </c>
      <c r="AO184" s="58">
        <v>522</v>
      </c>
      <c r="AP184" s="58">
        <v>494</v>
      </c>
      <c r="AQ184" s="58">
        <v>385</v>
      </c>
      <c r="AR184" s="58">
        <v>123</v>
      </c>
      <c r="AS184" s="58">
        <v>1</v>
      </c>
      <c r="AT184" s="58">
        <v>1</v>
      </c>
      <c r="AU184" s="58">
        <v>1</v>
      </c>
      <c r="AV184" s="58">
        <v>0</v>
      </c>
      <c r="AW184" s="58">
        <v>1</v>
      </c>
      <c r="AX184" s="58">
        <v>0</v>
      </c>
      <c r="AY184" s="58">
        <v>0</v>
      </c>
      <c r="AZ184" s="58">
        <v>0</v>
      </c>
      <c r="BA184" s="58">
        <v>0</v>
      </c>
      <c r="BB184" s="58">
        <v>0</v>
      </c>
      <c r="BC184" s="58">
        <v>0</v>
      </c>
      <c r="BD184" s="58">
        <v>0</v>
      </c>
      <c r="BE184" s="58">
        <v>0</v>
      </c>
      <c r="BF184" s="58">
        <v>0</v>
      </c>
      <c r="BG184" s="58">
        <v>0</v>
      </c>
      <c r="BH184" s="58">
        <f>SUM(D184:BG184)</f>
        <v>21317</v>
      </c>
    </row>
    <row r="185" spans="1:60">
      <c r="A185" s="56" t="s">
        <v>268</v>
      </c>
      <c r="B185" s="56" t="s">
        <v>189</v>
      </c>
      <c r="C185" s="56" t="s">
        <v>208</v>
      </c>
      <c r="D185" s="58">
        <v>0</v>
      </c>
      <c r="E185" s="58">
        <v>0</v>
      </c>
      <c r="F185" s="58">
        <v>0</v>
      </c>
      <c r="G185" s="58">
        <v>0</v>
      </c>
      <c r="H185" s="58">
        <v>29</v>
      </c>
      <c r="I185" s="58">
        <v>139</v>
      </c>
      <c r="J185" s="58">
        <v>458</v>
      </c>
      <c r="K185" s="58">
        <v>417</v>
      </c>
      <c r="L185" s="58">
        <v>523</v>
      </c>
      <c r="M185" s="58">
        <v>606</v>
      </c>
      <c r="N185" s="58">
        <v>635</v>
      </c>
      <c r="O185" s="58">
        <v>681</v>
      </c>
      <c r="P185" s="58">
        <v>710</v>
      </c>
      <c r="Q185" s="58">
        <v>802</v>
      </c>
      <c r="R185" s="58">
        <v>755</v>
      </c>
      <c r="S185" s="58">
        <v>717</v>
      </c>
      <c r="T185" s="58">
        <v>749</v>
      </c>
      <c r="U185" s="58">
        <v>688</v>
      </c>
      <c r="V185" s="58">
        <v>670</v>
      </c>
      <c r="W185" s="58">
        <v>606</v>
      </c>
      <c r="X185" s="58">
        <v>578</v>
      </c>
      <c r="Y185" s="58">
        <v>534</v>
      </c>
      <c r="Z185" s="58">
        <v>549</v>
      </c>
      <c r="AA185" s="58">
        <v>494</v>
      </c>
      <c r="AB185" s="58">
        <v>564</v>
      </c>
      <c r="AC185" s="58">
        <v>605</v>
      </c>
      <c r="AD185" s="58">
        <v>652</v>
      </c>
      <c r="AE185" s="58">
        <v>664</v>
      </c>
      <c r="AF185" s="58">
        <v>646</v>
      </c>
      <c r="AG185" s="58">
        <v>650</v>
      </c>
      <c r="AH185" s="58">
        <v>641</v>
      </c>
      <c r="AI185" s="58">
        <v>640</v>
      </c>
      <c r="AJ185" s="58">
        <v>673</v>
      </c>
      <c r="AK185" s="58">
        <v>644</v>
      </c>
      <c r="AL185" s="58">
        <v>581</v>
      </c>
      <c r="AM185" s="58">
        <v>559</v>
      </c>
      <c r="AN185" s="58">
        <v>552</v>
      </c>
      <c r="AO185" s="58">
        <v>559</v>
      </c>
      <c r="AP185" s="58">
        <v>538</v>
      </c>
      <c r="AQ185" s="58">
        <v>378</v>
      </c>
      <c r="AR185" s="58">
        <v>136</v>
      </c>
      <c r="AS185" s="58">
        <v>0</v>
      </c>
      <c r="AT185" s="58">
        <v>0</v>
      </c>
      <c r="AU185" s="58">
        <v>0</v>
      </c>
      <c r="AV185" s="58">
        <v>1</v>
      </c>
      <c r="AW185" s="58">
        <v>0</v>
      </c>
      <c r="AX185" s="58">
        <v>0</v>
      </c>
      <c r="AY185" s="58">
        <v>0</v>
      </c>
      <c r="AZ185" s="58">
        <v>0</v>
      </c>
      <c r="BA185" s="58">
        <v>0</v>
      </c>
      <c r="BB185" s="58">
        <v>0</v>
      </c>
      <c r="BC185" s="58">
        <v>0</v>
      </c>
      <c r="BD185" s="58">
        <v>0</v>
      </c>
      <c r="BE185" s="58">
        <v>0</v>
      </c>
      <c r="BF185" s="58">
        <v>0</v>
      </c>
      <c r="BG185" s="58">
        <v>0</v>
      </c>
      <c r="BH185" s="58">
        <f>SUM(D185:BG185)</f>
        <v>21023</v>
      </c>
    </row>
    <row r="186" spans="1:60">
      <c r="A186" s="56" t="s">
        <v>269</v>
      </c>
      <c r="B186" s="56" t="s">
        <v>189</v>
      </c>
      <c r="C186" s="56" t="s">
        <v>210</v>
      </c>
      <c r="D186" s="58">
        <v>0</v>
      </c>
      <c r="E186" s="58">
        <v>0</v>
      </c>
      <c r="F186" s="58">
        <v>0</v>
      </c>
      <c r="G186" s="58">
        <v>0</v>
      </c>
      <c r="H186" s="58">
        <v>24</v>
      </c>
      <c r="I186" s="58">
        <v>139</v>
      </c>
      <c r="J186" s="58">
        <v>432</v>
      </c>
      <c r="K186" s="58">
        <v>425</v>
      </c>
      <c r="L186" s="58">
        <v>497</v>
      </c>
      <c r="M186" s="58">
        <v>629</v>
      </c>
      <c r="N186" s="58">
        <v>641</v>
      </c>
      <c r="O186" s="58">
        <v>718</v>
      </c>
      <c r="P186" s="58">
        <v>707</v>
      </c>
      <c r="Q186" s="58">
        <v>776</v>
      </c>
      <c r="R186" s="58">
        <v>715</v>
      </c>
      <c r="S186" s="58">
        <v>761</v>
      </c>
      <c r="T186" s="58">
        <v>713</v>
      </c>
      <c r="U186" s="58">
        <v>733</v>
      </c>
      <c r="V186" s="58">
        <v>687</v>
      </c>
      <c r="W186" s="58">
        <v>604</v>
      </c>
      <c r="X186" s="58">
        <v>537</v>
      </c>
      <c r="Y186" s="58">
        <v>521</v>
      </c>
      <c r="Z186" s="58">
        <v>492</v>
      </c>
      <c r="AA186" s="58">
        <v>528</v>
      </c>
      <c r="AB186" s="58">
        <v>575</v>
      </c>
      <c r="AC186" s="58">
        <v>709</v>
      </c>
      <c r="AD186" s="58">
        <v>597</v>
      </c>
      <c r="AE186" s="58">
        <v>674</v>
      </c>
      <c r="AF186" s="58">
        <v>663</v>
      </c>
      <c r="AG186" s="58">
        <v>648</v>
      </c>
      <c r="AH186" s="58">
        <v>662</v>
      </c>
      <c r="AI186" s="58">
        <v>649</v>
      </c>
      <c r="AJ186" s="58">
        <v>638</v>
      </c>
      <c r="AK186" s="58">
        <v>649</v>
      </c>
      <c r="AL186" s="58">
        <v>609</v>
      </c>
      <c r="AM186" s="58">
        <v>600</v>
      </c>
      <c r="AN186" s="58">
        <v>567</v>
      </c>
      <c r="AO186" s="58">
        <v>564</v>
      </c>
      <c r="AP186" s="58">
        <v>512</v>
      </c>
      <c r="AQ186" s="58">
        <v>359</v>
      </c>
      <c r="AR186" s="58">
        <v>169</v>
      </c>
      <c r="AS186" s="58">
        <v>2</v>
      </c>
      <c r="AT186" s="58">
        <v>8</v>
      </c>
      <c r="AU186" s="58">
        <v>0</v>
      </c>
      <c r="AV186" s="58">
        <v>1</v>
      </c>
      <c r="AW186" s="58">
        <v>0</v>
      </c>
      <c r="AX186" s="58">
        <v>1</v>
      </c>
      <c r="AY186" s="58">
        <v>2</v>
      </c>
      <c r="AZ186" s="58">
        <v>0</v>
      </c>
      <c r="BA186" s="58">
        <v>0</v>
      </c>
      <c r="BB186" s="58">
        <v>0</v>
      </c>
      <c r="BC186" s="58">
        <v>0</v>
      </c>
      <c r="BD186" s="58">
        <v>0</v>
      </c>
      <c r="BE186" s="58">
        <v>0</v>
      </c>
      <c r="BF186" s="58">
        <v>0</v>
      </c>
      <c r="BG186" s="58">
        <v>0</v>
      </c>
      <c r="BH186" s="58">
        <f>SUM(D186:BG186)</f>
        <v>21137</v>
      </c>
    </row>
    <row r="187" spans="1:60">
      <c r="A187" s="56" t="s">
        <v>270</v>
      </c>
      <c r="B187" s="56" t="s">
        <v>189</v>
      </c>
      <c r="C187" s="56" t="s">
        <v>212</v>
      </c>
      <c r="D187" s="58">
        <v>0</v>
      </c>
      <c r="E187" s="58">
        <v>0</v>
      </c>
      <c r="F187" s="58">
        <v>0</v>
      </c>
      <c r="G187" s="58">
        <v>0</v>
      </c>
      <c r="H187" s="58">
        <v>25</v>
      </c>
      <c r="I187" s="58">
        <v>143</v>
      </c>
      <c r="J187" s="58">
        <v>422</v>
      </c>
      <c r="K187" s="58">
        <v>411</v>
      </c>
      <c r="L187" s="58">
        <v>493</v>
      </c>
      <c r="M187" s="58">
        <v>615</v>
      </c>
      <c r="N187" s="58">
        <v>631</v>
      </c>
      <c r="O187" s="58">
        <v>612</v>
      </c>
      <c r="P187" s="58">
        <v>696</v>
      </c>
      <c r="Q187" s="58">
        <v>722</v>
      </c>
      <c r="R187" s="58">
        <v>748</v>
      </c>
      <c r="S187" s="58">
        <v>723</v>
      </c>
      <c r="T187" s="58">
        <v>699</v>
      </c>
      <c r="U187" s="58">
        <v>689</v>
      </c>
      <c r="V187" s="58">
        <v>652</v>
      </c>
      <c r="W187" s="58">
        <v>612</v>
      </c>
      <c r="X187" s="58">
        <v>528</v>
      </c>
      <c r="Y187" s="58">
        <v>536</v>
      </c>
      <c r="Z187" s="58">
        <v>510</v>
      </c>
      <c r="AA187" s="58">
        <v>480</v>
      </c>
      <c r="AB187" s="58">
        <v>563</v>
      </c>
      <c r="AC187" s="58">
        <v>582</v>
      </c>
      <c r="AD187" s="58">
        <v>602</v>
      </c>
      <c r="AE187" s="58">
        <v>662</v>
      </c>
      <c r="AF187" s="58">
        <v>643</v>
      </c>
      <c r="AG187" s="58">
        <v>671</v>
      </c>
      <c r="AH187" s="58">
        <v>645</v>
      </c>
      <c r="AI187" s="58">
        <v>607</v>
      </c>
      <c r="AJ187" s="58">
        <v>639</v>
      </c>
      <c r="AK187" s="58">
        <v>618</v>
      </c>
      <c r="AL187" s="58">
        <v>612</v>
      </c>
      <c r="AM187" s="58">
        <v>592</v>
      </c>
      <c r="AN187" s="58">
        <v>555</v>
      </c>
      <c r="AO187" s="58">
        <v>616</v>
      </c>
      <c r="AP187" s="58">
        <v>563</v>
      </c>
      <c r="AQ187" s="58">
        <v>430</v>
      </c>
      <c r="AR187" s="58">
        <v>187</v>
      </c>
      <c r="AS187" s="58">
        <v>1</v>
      </c>
      <c r="AT187" s="58">
        <v>0</v>
      </c>
      <c r="AU187" s="58">
        <v>0</v>
      </c>
      <c r="AV187" s="58">
        <v>1</v>
      </c>
      <c r="AW187" s="58">
        <v>0</v>
      </c>
      <c r="AX187" s="58">
        <v>0</v>
      </c>
      <c r="AY187" s="58">
        <v>0</v>
      </c>
      <c r="AZ187" s="58">
        <v>0</v>
      </c>
      <c r="BA187" s="58">
        <v>0</v>
      </c>
      <c r="BB187" s="58">
        <v>0</v>
      </c>
      <c r="BC187" s="58">
        <v>0</v>
      </c>
      <c r="BD187" s="58">
        <v>0</v>
      </c>
      <c r="BE187" s="58">
        <v>0</v>
      </c>
      <c r="BF187" s="58">
        <v>0</v>
      </c>
      <c r="BG187" s="58">
        <v>0</v>
      </c>
      <c r="BH187" s="58">
        <f>SUM(D187:BG187)</f>
        <v>20736</v>
      </c>
    </row>
    <row r="188" spans="1:60">
      <c r="A188" s="56" t="s">
        <v>271</v>
      </c>
      <c r="B188" s="56" t="s">
        <v>189</v>
      </c>
      <c r="C188" s="56" t="s">
        <v>214</v>
      </c>
      <c r="D188" s="58">
        <v>0</v>
      </c>
      <c r="E188" s="58">
        <v>0</v>
      </c>
      <c r="F188" s="58">
        <v>0</v>
      </c>
      <c r="G188" s="58">
        <v>0</v>
      </c>
      <c r="H188" s="58">
        <v>0</v>
      </c>
      <c r="I188" s="58">
        <v>1</v>
      </c>
      <c r="J188" s="58">
        <v>2</v>
      </c>
      <c r="K188" s="58">
        <v>0</v>
      </c>
      <c r="L188" s="58">
        <v>0</v>
      </c>
      <c r="M188" s="58">
        <v>1</v>
      </c>
      <c r="N188" s="58">
        <v>2</v>
      </c>
      <c r="O188" s="58">
        <v>0</v>
      </c>
      <c r="P188" s="58">
        <v>2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  <c r="X188" s="58">
        <v>0</v>
      </c>
      <c r="Y188" s="58">
        <v>0</v>
      </c>
      <c r="Z188" s="58">
        <v>0</v>
      </c>
      <c r="AA188" s="58">
        <v>0</v>
      </c>
      <c r="AB188" s="58">
        <v>0</v>
      </c>
      <c r="AC188" s="58">
        <v>0</v>
      </c>
      <c r="AD188" s="58">
        <v>0</v>
      </c>
      <c r="AE188" s="58">
        <v>0</v>
      </c>
      <c r="AF188" s="58">
        <v>0</v>
      </c>
      <c r="AG188" s="58">
        <v>0</v>
      </c>
      <c r="AH188" s="58">
        <v>0</v>
      </c>
      <c r="AI188" s="58">
        <v>0</v>
      </c>
      <c r="AJ188" s="58">
        <v>0</v>
      </c>
      <c r="AK188" s="58">
        <v>0</v>
      </c>
      <c r="AL188" s="58">
        <v>0</v>
      </c>
      <c r="AM188" s="58">
        <v>0</v>
      </c>
      <c r="AN188" s="58">
        <v>0</v>
      </c>
      <c r="AO188" s="58">
        <v>0</v>
      </c>
      <c r="AP188" s="58">
        <v>0</v>
      </c>
      <c r="AQ188" s="58">
        <v>0</v>
      </c>
      <c r="AR188" s="58">
        <v>0</v>
      </c>
      <c r="AS188" s="58">
        <v>0</v>
      </c>
      <c r="AT188" s="58">
        <v>0</v>
      </c>
      <c r="AU188" s="58">
        <v>8</v>
      </c>
      <c r="AV188" s="58">
        <v>4</v>
      </c>
      <c r="AW188" s="58">
        <v>0</v>
      </c>
      <c r="AX188" s="58">
        <v>0</v>
      </c>
      <c r="AY188" s="58">
        <v>0</v>
      </c>
      <c r="AZ188" s="58">
        <v>0</v>
      </c>
      <c r="BA188" s="58">
        <v>0</v>
      </c>
      <c r="BB188" s="58">
        <v>0</v>
      </c>
      <c r="BC188" s="58">
        <v>0</v>
      </c>
      <c r="BD188" s="58">
        <v>0</v>
      </c>
      <c r="BE188" s="58">
        <v>0</v>
      </c>
      <c r="BF188" s="58">
        <v>0</v>
      </c>
      <c r="BG188" s="58">
        <v>0</v>
      </c>
      <c r="BH188" s="58">
        <f>SUM(D188:BG188)</f>
        <v>20</v>
      </c>
    </row>
    <row r="189" spans="1:60">
      <c r="A189" s="56" t="s">
        <v>272</v>
      </c>
      <c r="B189" s="56" t="s">
        <v>189</v>
      </c>
      <c r="C189" s="56" t="s">
        <v>216</v>
      </c>
      <c r="D189" s="58">
        <v>0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1</v>
      </c>
      <c r="K189" s="58">
        <v>2</v>
      </c>
      <c r="L189" s="58">
        <v>1</v>
      </c>
      <c r="M189" s="58">
        <v>1</v>
      </c>
      <c r="N189" s="58">
        <v>0</v>
      </c>
      <c r="O189" s="58">
        <v>1</v>
      </c>
      <c r="P189" s="58">
        <v>0</v>
      </c>
      <c r="Q189" s="58">
        <v>0</v>
      </c>
      <c r="R189" s="58">
        <v>1</v>
      </c>
      <c r="S189" s="58">
        <v>1</v>
      </c>
      <c r="T189" s="58">
        <v>2</v>
      </c>
      <c r="U189" s="58">
        <v>1</v>
      </c>
      <c r="V189" s="58">
        <v>0</v>
      </c>
      <c r="W189" s="58">
        <v>0</v>
      </c>
      <c r="X189" s="58">
        <v>0</v>
      </c>
      <c r="Y189" s="58">
        <v>0</v>
      </c>
      <c r="Z189" s="58">
        <v>0</v>
      </c>
      <c r="AA189" s="58">
        <v>0</v>
      </c>
      <c r="AB189" s="58">
        <v>0</v>
      </c>
      <c r="AC189" s="58">
        <v>0</v>
      </c>
      <c r="AD189" s="58">
        <v>0</v>
      </c>
      <c r="AE189" s="58">
        <v>0</v>
      </c>
      <c r="AF189" s="58">
        <v>0</v>
      </c>
      <c r="AG189" s="58">
        <v>0</v>
      </c>
      <c r="AH189" s="58">
        <v>0</v>
      </c>
      <c r="AI189" s="58">
        <v>0</v>
      </c>
      <c r="AJ189" s="58">
        <v>0</v>
      </c>
      <c r="AK189" s="58">
        <v>0</v>
      </c>
      <c r="AL189" s="58">
        <v>0</v>
      </c>
      <c r="AM189" s="58">
        <v>0</v>
      </c>
      <c r="AN189" s="58">
        <v>0</v>
      </c>
      <c r="AO189" s="58">
        <v>0</v>
      </c>
      <c r="AP189" s="58">
        <v>0</v>
      </c>
      <c r="AQ189" s="58">
        <v>3</v>
      </c>
      <c r="AR189" s="58">
        <v>27</v>
      </c>
      <c r="AS189" s="58">
        <v>21</v>
      </c>
      <c r="AT189" s="58">
        <v>12</v>
      </c>
      <c r="AU189" s="58">
        <v>13</v>
      </c>
      <c r="AV189" s="58">
        <v>2</v>
      </c>
      <c r="AW189" s="58">
        <v>0</v>
      </c>
      <c r="AX189" s="58">
        <v>0</v>
      </c>
      <c r="AY189" s="58">
        <v>0</v>
      </c>
      <c r="AZ189" s="58">
        <v>0</v>
      </c>
      <c r="BA189" s="58">
        <v>0</v>
      </c>
      <c r="BB189" s="58">
        <v>0</v>
      </c>
      <c r="BC189" s="58">
        <v>0</v>
      </c>
      <c r="BD189" s="58">
        <v>0</v>
      </c>
      <c r="BE189" s="58">
        <v>0</v>
      </c>
      <c r="BF189" s="58">
        <v>0</v>
      </c>
      <c r="BG189" s="58">
        <v>0</v>
      </c>
      <c r="BH189" s="58">
        <f>SUM(D189:BG189)</f>
        <v>89</v>
      </c>
    </row>
    <row r="191" spans="1:60">
      <c r="A191" s="12" t="s">
        <v>273</v>
      </c>
    </row>
    <row r="192" spans="1:60">
      <c r="A192" s="55" t="s">
        <v>3</v>
      </c>
      <c r="B192" s="55" t="s">
        <v>4</v>
      </c>
      <c r="C192" s="55" t="s">
        <v>5</v>
      </c>
      <c r="D192" s="55" t="s">
        <v>274</v>
      </c>
      <c r="E192" s="55" t="s">
        <v>275</v>
      </c>
    </row>
    <row r="193" spans="1:5">
      <c r="A193" s="56" t="s">
        <v>63</v>
      </c>
      <c r="B193" s="56" t="s">
        <v>64</v>
      </c>
      <c r="C193" s="56" t="s">
        <v>65</v>
      </c>
      <c r="D193" s="58">
        <v>357065012</v>
      </c>
      <c r="E193" s="58">
        <v>759189</v>
      </c>
    </row>
    <row r="194" spans="1:5">
      <c r="A194" s="56" t="s">
        <v>66</v>
      </c>
      <c r="B194" s="56" t="s">
        <v>64</v>
      </c>
      <c r="C194" s="56" t="s">
        <v>67</v>
      </c>
      <c r="D194" s="58">
        <v>52608677</v>
      </c>
      <c r="E194" s="58">
        <v>69617</v>
      </c>
    </row>
    <row r="195" spans="1:5">
      <c r="A195" s="56" t="s">
        <v>68</v>
      </c>
      <c r="B195" s="56" t="s">
        <v>64</v>
      </c>
      <c r="C195" s="56" t="s">
        <v>69</v>
      </c>
      <c r="D195" s="58">
        <v>37345420</v>
      </c>
      <c r="E195" s="58">
        <v>63247</v>
      </c>
    </row>
    <row r="196" spans="1:5">
      <c r="A196" s="56" t="s">
        <v>70</v>
      </c>
      <c r="B196" s="56" t="s">
        <v>64</v>
      </c>
      <c r="C196" s="56" t="s">
        <v>71</v>
      </c>
      <c r="D196" s="58">
        <v>30454504</v>
      </c>
      <c r="E196" s="58">
        <v>64977</v>
      </c>
    </row>
    <row r="197" spans="1:5">
      <c r="A197" s="56" t="s">
        <v>72</v>
      </c>
      <c r="B197" s="56" t="s">
        <v>64</v>
      </c>
      <c r="C197" s="56" t="s">
        <v>73</v>
      </c>
      <c r="D197" s="58">
        <v>31984458</v>
      </c>
      <c r="E197" s="58">
        <v>68432</v>
      </c>
    </row>
    <row r="198" spans="1:5">
      <c r="A198" s="56" t="s">
        <v>74</v>
      </c>
      <c r="B198" s="56" t="s">
        <v>64</v>
      </c>
      <c r="C198" s="56" t="s">
        <v>75</v>
      </c>
      <c r="D198" s="58">
        <v>31791095</v>
      </c>
      <c r="E198" s="58">
        <v>60067</v>
      </c>
    </row>
    <row r="199" spans="1:5">
      <c r="A199" s="56" t="s">
        <v>76</v>
      </c>
      <c r="B199" s="56" t="s">
        <v>64</v>
      </c>
      <c r="C199" s="56" t="s">
        <v>77</v>
      </c>
      <c r="D199" s="58">
        <v>21442393</v>
      </c>
      <c r="E199" s="58">
        <v>59644</v>
      </c>
    </row>
    <row r="200" spans="1:5">
      <c r="A200" s="56" t="s">
        <v>78</v>
      </c>
      <c r="B200" s="56" t="s">
        <v>64</v>
      </c>
      <c r="C200" s="56" t="s">
        <v>79</v>
      </c>
      <c r="D200" s="58">
        <v>22712122</v>
      </c>
      <c r="E200" s="58">
        <v>66458</v>
      </c>
    </row>
    <row r="201" spans="1:5">
      <c r="A201" s="56" t="s">
        <v>80</v>
      </c>
      <c r="B201" s="56" t="s">
        <v>64</v>
      </c>
      <c r="C201" s="56" t="s">
        <v>81</v>
      </c>
      <c r="D201" s="58">
        <v>17037747</v>
      </c>
      <c r="E201" s="58">
        <v>49485</v>
      </c>
    </row>
    <row r="202" spans="1:5">
      <c r="A202" s="56" t="s">
        <v>82</v>
      </c>
      <c r="B202" s="56" t="s">
        <v>64</v>
      </c>
      <c r="C202" s="56" t="s">
        <v>83</v>
      </c>
      <c r="D202" s="58">
        <v>20062959</v>
      </c>
      <c r="E202" s="58">
        <v>54390</v>
      </c>
    </row>
    <row r="203" spans="1:5">
      <c r="A203" s="56" t="s">
        <v>84</v>
      </c>
      <c r="B203" s="56" t="s">
        <v>64</v>
      </c>
      <c r="C203" s="56" t="s">
        <v>85</v>
      </c>
      <c r="D203" s="58">
        <v>19008301</v>
      </c>
      <c r="E203" s="58">
        <v>47621</v>
      </c>
    </row>
    <row r="204" spans="1:5">
      <c r="A204" s="56" t="s">
        <v>86</v>
      </c>
      <c r="B204" s="56" t="s">
        <v>64</v>
      </c>
      <c r="C204" s="56" t="s">
        <v>87</v>
      </c>
      <c r="D204" s="58">
        <v>22596149</v>
      </c>
      <c r="E204" s="58">
        <v>68505</v>
      </c>
    </row>
    <row r="205" spans="1:5">
      <c r="A205" s="56" t="s">
        <v>88</v>
      </c>
      <c r="B205" s="56" t="s">
        <v>64</v>
      </c>
      <c r="C205" s="56" t="s">
        <v>89</v>
      </c>
      <c r="D205" s="58">
        <v>50021187</v>
      </c>
      <c r="E205" s="58">
        <v>86746</v>
      </c>
    </row>
    <row r="206" spans="1:5">
      <c r="A206" s="56" t="s">
        <v>90</v>
      </c>
      <c r="B206" s="56" t="s">
        <v>91</v>
      </c>
      <c r="C206" s="56" t="s">
        <v>65</v>
      </c>
      <c r="D206" s="58">
        <v>39024940</v>
      </c>
      <c r="E206" s="58">
        <v>143669</v>
      </c>
    </row>
    <row r="207" spans="1:5">
      <c r="A207" s="56" t="s">
        <v>92</v>
      </c>
      <c r="B207" s="56" t="s">
        <v>91</v>
      </c>
      <c r="C207" s="56" t="s">
        <v>67</v>
      </c>
      <c r="D207" s="58">
        <v>6013932</v>
      </c>
      <c r="E207" s="58">
        <v>13807</v>
      </c>
    </row>
    <row r="208" spans="1:5">
      <c r="A208" s="56" t="s">
        <v>93</v>
      </c>
      <c r="B208" s="56" t="s">
        <v>91</v>
      </c>
      <c r="C208" s="56" t="s">
        <v>69</v>
      </c>
      <c r="D208" s="58">
        <v>3471117</v>
      </c>
      <c r="E208" s="58">
        <v>12044</v>
      </c>
    </row>
    <row r="209" spans="1:5">
      <c r="A209" s="56" t="s">
        <v>94</v>
      </c>
      <c r="B209" s="56" t="s">
        <v>91</v>
      </c>
      <c r="C209" s="56" t="s">
        <v>71</v>
      </c>
      <c r="D209" s="58">
        <v>3272564</v>
      </c>
      <c r="E209" s="58">
        <v>12083</v>
      </c>
    </row>
    <row r="210" spans="1:5">
      <c r="A210" s="56" t="s">
        <v>95</v>
      </c>
      <c r="B210" s="56" t="s">
        <v>91</v>
      </c>
      <c r="C210" s="56" t="s">
        <v>73</v>
      </c>
      <c r="D210" s="58">
        <v>3134759</v>
      </c>
      <c r="E210" s="58">
        <v>13243</v>
      </c>
    </row>
    <row r="211" spans="1:5">
      <c r="A211" s="56" t="s">
        <v>96</v>
      </c>
      <c r="B211" s="56" t="s">
        <v>91</v>
      </c>
      <c r="C211" s="56" t="s">
        <v>75</v>
      </c>
      <c r="D211" s="58">
        <v>2936826</v>
      </c>
      <c r="E211" s="58">
        <v>11179</v>
      </c>
    </row>
    <row r="212" spans="1:5">
      <c r="A212" s="56" t="s">
        <v>97</v>
      </c>
      <c r="B212" s="56" t="s">
        <v>91</v>
      </c>
      <c r="C212" s="56" t="s">
        <v>77</v>
      </c>
      <c r="D212" s="58">
        <v>1993695</v>
      </c>
      <c r="E212" s="58">
        <v>11573</v>
      </c>
    </row>
    <row r="213" spans="1:5">
      <c r="A213" s="56" t="s">
        <v>98</v>
      </c>
      <c r="B213" s="56" t="s">
        <v>91</v>
      </c>
      <c r="C213" s="56" t="s">
        <v>79</v>
      </c>
      <c r="D213" s="58">
        <v>2224181</v>
      </c>
      <c r="E213" s="58">
        <v>12625</v>
      </c>
    </row>
    <row r="214" spans="1:5">
      <c r="A214" s="56" t="s">
        <v>99</v>
      </c>
      <c r="B214" s="56" t="s">
        <v>91</v>
      </c>
      <c r="C214" s="56" t="s">
        <v>81</v>
      </c>
      <c r="D214" s="58">
        <v>2002214</v>
      </c>
      <c r="E214" s="58">
        <v>11042</v>
      </c>
    </row>
    <row r="215" spans="1:5">
      <c r="A215" s="56" t="s">
        <v>100</v>
      </c>
      <c r="B215" s="56" t="s">
        <v>91</v>
      </c>
      <c r="C215" s="56" t="s">
        <v>83</v>
      </c>
      <c r="D215" s="58">
        <v>1865265</v>
      </c>
      <c r="E215" s="58">
        <v>5969</v>
      </c>
    </row>
    <row r="216" spans="1:5">
      <c r="A216" s="56" t="s">
        <v>101</v>
      </c>
      <c r="B216" s="56" t="s">
        <v>91</v>
      </c>
      <c r="C216" s="56" t="s">
        <v>85</v>
      </c>
      <c r="D216" s="58">
        <v>3045709</v>
      </c>
      <c r="E216" s="58">
        <v>12290</v>
      </c>
    </row>
    <row r="217" spans="1:5">
      <c r="A217" s="56" t="s">
        <v>102</v>
      </c>
      <c r="B217" s="56" t="s">
        <v>91</v>
      </c>
      <c r="C217" s="56" t="s">
        <v>87</v>
      </c>
      <c r="D217" s="58">
        <v>2957294</v>
      </c>
      <c r="E217" s="58">
        <v>12205</v>
      </c>
    </row>
    <row r="218" spans="1:5">
      <c r="A218" s="56" t="s">
        <v>103</v>
      </c>
      <c r="B218" s="56" t="s">
        <v>91</v>
      </c>
      <c r="C218" s="56" t="s">
        <v>89</v>
      </c>
      <c r="D218" s="58">
        <v>6107384</v>
      </c>
      <c r="E218" s="58">
        <v>15609</v>
      </c>
    </row>
    <row r="219" spans="1:5">
      <c r="A219" s="56" t="s">
        <v>104</v>
      </c>
      <c r="B219" s="56" t="s">
        <v>105</v>
      </c>
      <c r="C219" s="56" t="s">
        <v>65</v>
      </c>
      <c r="D219" s="58">
        <v>21529633</v>
      </c>
      <c r="E219" s="58">
        <v>81598</v>
      </c>
    </row>
    <row r="220" spans="1:5">
      <c r="A220" s="56" t="s">
        <v>106</v>
      </c>
      <c r="B220" s="56" t="s">
        <v>105</v>
      </c>
      <c r="C220" s="56" t="s">
        <v>67</v>
      </c>
      <c r="D220" s="58">
        <v>2582026</v>
      </c>
      <c r="E220" s="58">
        <v>7962</v>
      </c>
    </row>
    <row r="221" spans="1:5">
      <c r="A221" s="56" t="s">
        <v>107</v>
      </c>
      <c r="B221" s="56" t="s">
        <v>105</v>
      </c>
      <c r="C221" s="56" t="s">
        <v>69</v>
      </c>
      <c r="D221" s="58">
        <v>1627406</v>
      </c>
      <c r="E221" s="58">
        <v>7077</v>
      </c>
    </row>
    <row r="222" spans="1:5">
      <c r="A222" s="56" t="s">
        <v>108</v>
      </c>
      <c r="B222" s="56" t="s">
        <v>105</v>
      </c>
      <c r="C222" s="56" t="s">
        <v>71</v>
      </c>
      <c r="D222" s="58">
        <v>1701489</v>
      </c>
      <c r="E222" s="58">
        <v>7249</v>
      </c>
    </row>
    <row r="223" spans="1:5">
      <c r="A223" s="56" t="s">
        <v>109</v>
      </c>
      <c r="B223" s="56" t="s">
        <v>105</v>
      </c>
      <c r="C223" s="56" t="s">
        <v>73</v>
      </c>
      <c r="D223" s="58">
        <v>1784771</v>
      </c>
      <c r="E223" s="58">
        <v>7551</v>
      </c>
    </row>
    <row r="224" spans="1:5">
      <c r="A224" s="56" t="s">
        <v>110</v>
      </c>
      <c r="B224" s="56" t="s">
        <v>105</v>
      </c>
      <c r="C224" s="56" t="s">
        <v>75</v>
      </c>
      <c r="D224" s="58">
        <v>1282716</v>
      </c>
      <c r="E224" s="58">
        <v>6773</v>
      </c>
    </row>
    <row r="225" spans="1:5">
      <c r="A225" s="56" t="s">
        <v>111</v>
      </c>
      <c r="B225" s="56" t="s">
        <v>105</v>
      </c>
      <c r="C225" s="56" t="s">
        <v>77</v>
      </c>
      <c r="D225" s="58">
        <v>811003</v>
      </c>
      <c r="E225" s="58">
        <v>6017</v>
      </c>
    </row>
    <row r="226" spans="1:5">
      <c r="A226" s="56" t="s">
        <v>112</v>
      </c>
      <c r="B226" s="56" t="s">
        <v>105</v>
      </c>
      <c r="C226" s="56" t="s">
        <v>79</v>
      </c>
      <c r="D226" s="58">
        <v>1175094</v>
      </c>
      <c r="E226" s="58">
        <v>7439</v>
      </c>
    </row>
    <row r="227" spans="1:5">
      <c r="A227" s="56" t="s">
        <v>113</v>
      </c>
      <c r="B227" s="56" t="s">
        <v>105</v>
      </c>
      <c r="C227" s="56" t="s">
        <v>81</v>
      </c>
      <c r="D227" s="58">
        <v>1330462</v>
      </c>
      <c r="E227" s="58">
        <v>6673</v>
      </c>
    </row>
    <row r="228" spans="1:5">
      <c r="A228" s="56" t="s">
        <v>114</v>
      </c>
      <c r="B228" s="56" t="s">
        <v>105</v>
      </c>
      <c r="C228" s="56" t="s">
        <v>83</v>
      </c>
      <c r="D228" s="58">
        <v>1309030</v>
      </c>
      <c r="E228" s="58">
        <v>6880</v>
      </c>
    </row>
    <row r="229" spans="1:5">
      <c r="A229" s="56" t="s">
        <v>115</v>
      </c>
      <c r="B229" s="56" t="s">
        <v>105</v>
      </c>
      <c r="C229" s="56" t="s">
        <v>85</v>
      </c>
      <c r="D229" s="58">
        <v>749114</v>
      </c>
      <c r="E229" s="58">
        <v>1820</v>
      </c>
    </row>
    <row r="230" spans="1:5">
      <c r="A230" s="56" t="s">
        <v>116</v>
      </c>
      <c r="B230" s="56" t="s">
        <v>105</v>
      </c>
      <c r="C230" s="56" t="s">
        <v>87</v>
      </c>
      <c r="D230" s="58">
        <v>2331877</v>
      </c>
      <c r="E230" s="58">
        <v>7098</v>
      </c>
    </row>
    <row r="231" spans="1:5">
      <c r="A231" s="56" t="s">
        <v>117</v>
      </c>
      <c r="B231" s="56" t="s">
        <v>105</v>
      </c>
      <c r="C231" s="56" t="s">
        <v>89</v>
      </c>
      <c r="D231" s="58">
        <v>4844645</v>
      </c>
      <c r="E231" s="58">
        <v>9059</v>
      </c>
    </row>
    <row r="232" spans="1:5">
      <c r="A232" s="56" t="s">
        <v>118</v>
      </c>
      <c r="B232" s="56" t="s">
        <v>119</v>
      </c>
      <c r="C232" s="56" t="s">
        <v>65</v>
      </c>
      <c r="D232" s="58">
        <v>98588597</v>
      </c>
      <c r="E232" s="58">
        <v>115191</v>
      </c>
    </row>
    <row r="233" spans="1:5">
      <c r="A233" s="56" t="s">
        <v>120</v>
      </c>
      <c r="B233" s="56" t="s">
        <v>119</v>
      </c>
      <c r="C233" s="56" t="s">
        <v>67</v>
      </c>
      <c r="D233" s="58">
        <v>16738376</v>
      </c>
      <c r="E233" s="58">
        <v>11991</v>
      </c>
    </row>
    <row r="234" spans="1:5">
      <c r="A234" s="56" t="s">
        <v>121</v>
      </c>
      <c r="B234" s="56" t="s">
        <v>119</v>
      </c>
      <c r="C234" s="56" t="s">
        <v>69</v>
      </c>
      <c r="D234" s="58">
        <v>12256332</v>
      </c>
      <c r="E234" s="58">
        <v>10086</v>
      </c>
    </row>
    <row r="235" spans="1:5">
      <c r="A235" s="56" t="s">
        <v>122</v>
      </c>
      <c r="B235" s="56" t="s">
        <v>119</v>
      </c>
      <c r="C235" s="56" t="s">
        <v>71</v>
      </c>
      <c r="D235" s="58">
        <v>10441355</v>
      </c>
      <c r="E235" s="58">
        <v>10629</v>
      </c>
    </row>
    <row r="236" spans="1:5">
      <c r="A236" s="56" t="s">
        <v>123</v>
      </c>
      <c r="B236" s="56" t="s">
        <v>119</v>
      </c>
      <c r="C236" s="56" t="s">
        <v>73</v>
      </c>
      <c r="D236" s="58">
        <v>10243015</v>
      </c>
      <c r="E236" s="58">
        <v>11035</v>
      </c>
    </row>
    <row r="237" spans="1:5">
      <c r="A237" s="56" t="s">
        <v>124</v>
      </c>
      <c r="B237" s="56" t="s">
        <v>119</v>
      </c>
      <c r="C237" s="56" t="s">
        <v>75</v>
      </c>
      <c r="D237" s="58">
        <v>10521079</v>
      </c>
      <c r="E237" s="58">
        <v>9521</v>
      </c>
    </row>
    <row r="238" spans="1:5">
      <c r="A238" s="56" t="s">
        <v>125</v>
      </c>
      <c r="B238" s="56" t="s">
        <v>119</v>
      </c>
      <c r="C238" s="56" t="s">
        <v>77</v>
      </c>
      <c r="D238" s="58">
        <v>5614787</v>
      </c>
      <c r="E238" s="58">
        <v>9389</v>
      </c>
    </row>
    <row r="239" spans="1:5">
      <c r="A239" s="56" t="s">
        <v>126</v>
      </c>
      <c r="B239" s="56" t="s">
        <v>119</v>
      </c>
      <c r="C239" s="56" t="s">
        <v>79</v>
      </c>
      <c r="D239" s="58">
        <v>6638345</v>
      </c>
      <c r="E239" s="58">
        <v>10400</v>
      </c>
    </row>
    <row r="240" spans="1:5">
      <c r="A240" s="56" t="s">
        <v>127</v>
      </c>
      <c r="B240" s="56" t="s">
        <v>119</v>
      </c>
      <c r="C240" s="56" t="s">
        <v>81</v>
      </c>
      <c r="D240" s="58">
        <v>0</v>
      </c>
      <c r="E240" s="58">
        <v>0</v>
      </c>
    </row>
    <row r="241" spans="1:5">
      <c r="A241" s="56" t="s">
        <v>128</v>
      </c>
      <c r="B241" s="56" t="s">
        <v>119</v>
      </c>
      <c r="C241" s="56" t="s">
        <v>83</v>
      </c>
      <c r="D241" s="58">
        <v>5402755</v>
      </c>
      <c r="E241" s="58">
        <v>8130</v>
      </c>
    </row>
    <row r="242" spans="1:5">
      <c r="A242" s="56" t="s">
        <v>129</v>
      </c>
      <c r="B242" s="56" t="s">
        <v>119</v>
      </c>
      <c r="C242" s="56" t="s">
        <v>85</v>
      </c>
      <c r="D242" s="58">
        <v>6607579</v>
      </c>
      <c r="E242" s="58">
        <v>10506</v>
      </c>
    </row>
    <row r="243" spans="1:5">
      <c r="A243" s="56" t="s">
        <v>130</v>
      </c>
      <c r="B243" s="56" t="s">
        <v>119</v>
      </c>
      <c r="C243" s="56" t="s">
        <v>87</v>
      </c>
      <c r="D243" s="58">
        <v>4378716</v>
      </c>
      <c r="E243" s="58">
        <v>10254</v>
      </c>
    </row>
    <row r="244" spans="1:5">
      <c r="A244" s="56" t="s">
        <v>131</v>
      </c>
      <c r="B244" s="56" t="s">
        <v>119</v>
      </c>
      <c r="C244" s="56" t="s">
        <v>89</v>
      </c>
      <c r="D244" s="58">
        <v>9746258</v>
      </c>
      <c r="E244" s="58">
        <v>13250</v>
      </c>
    </row>
    <row r="245" spans="1:5">
      <c r="A245" s="56" t="s">
        <v>132</v>
      </c>
      <c r="B245" s="56" t="s">
        <v>133</v>
      </c>
      <c r="C245" s="56" t="s">
        <v>65</v>
      </c>
      <c r="D245" s="58">
        <v>73600714</v>
      </c>
      <c r="E245" s="58">
        <v>140927</v>
      </c>
    </row>
    <row r="246" spans="1:5">
      <c r="A246" s="56" t="s">
        <v>134</v>
      </c>
      <c r="B246" s="56" t="s">
        <v>133</v>
      </c>
      <c r="C246" s="56" t="s">
        <v>67</v>
      </c>
      <c r="D246" s="58">
        <v>12589106</v>
      </c>
      <c r="E246" s="58">
        <v>12768</v>
      </c>
    </row>
    <row r="247" spans="1:5">
      <c r="A247" s="56" t="s">
        <v>135</v>
      </c>
      <c r="B247" s="56" t="s">
        <v>133</v>
      </c>
      <c r="C247" s="56" t="s">
        <v>69</v>
      </c>
      <c r="D247" s="58">
        <v>9063642</v>
      </c>
      <c r="E247" s="58">
        <v>12073</v>
      </c>
    </row>
    <row r="248" spans="1:5">
      <c r="A248" s="56" t="s">
        <v>136</v>
      </c>
      <c r="B248" s="56" t="s">
        <v>133</v>
      </c>
      <c r="C248" s="56" t="s">
        <v>71</v>
      </c>
      <c r="D248" s="58">
        <v>5698526</v>
      </c>
      <c r="E248" s="58">
        <v>11675</v>
      </c>
    </row>
    <row r="249" spans="1:5">
      <c r="A249" s="56" t="s">
        <v>137</v>
      </c>
      <c r="B249" s="56" t="s">
        <v>133</v>
      </c>
      <c r="C249" s="56" t="s">
        <v>73</v>
      </c>
      <c r="D249" s="58">
        <v>5793370</v>
      </c>
      <c r="E249" s="58">
        <v>12141</v>
      </c>
    </row>
    <row r="250" spans="1:5">
      <c r="A250" s="56" t="s">
        <v>138</v>
      </c>
      <c r="B250" s="56" t="s">
        <v>133</v>
      </c>
      <c r="C250" s="56" t="s">
        <v>75</v>
      </c>
      <c r="D250" s="58">
        <v>5920759</v>
      </c>
      <c r="E250" s="58">
        <v>10838</v>
      </c>
    </row>
    <row r="251" spans="1:5">
      <c r="A251" s="56" t="s">
        <v>139</v>
      </c>
      <c r="B251" s="56" t="s">
        <v>133</v>
      </c>
      <c r="C251" s="56" t="s">
        <v>77</v>
      </c>
      <c r="D251" s="58">
        <v>4118997</v>
      </c>
      <c r="E251" s="58">
        <v>10820</v>
      </c>
    </row>
    <row r="252" spans="1:5">
      <c r="A252" s="56" t="s">
        <v>140</v>
      </c>
      <c r="B252" s="56" t="s">
        <v>133</v>
      </c>
      <c r="C252" s="56" t="s">
        <v>79</v>
      </c>
      <c r="D252" s="58">
        <v>4490714</v>
      </c>
      <c r="E252" s="58">
        <v>12233</v>
      </c>
    </row>
    <row r="253" spans="1:5">
      <c r="A253" s="56" t="s">
        <v>141</v>
      </c>
      <c r="B253" s="56" t="s">
        <v>133</v>
      </c>
      <c r="C253" s="56" t="s">
        <v>81</v>
      </c>
      <c r="D253" s="58">
        <v>5209200</v>
      </c>
      <c r="E253" s="58">
        <v>11052</v>
      </c>
    </row>
    <row r="254" spans="1:5">
      <c r="A254" s="56" t="s">
        <v>142</v>
      </c>
      <c r="B254" s="56" t="s">
        <v>133</v>
      </c>
      <c r="C254" s="56" t="s">
        <v>83</v>
      </c>
      <c r="D254" s="58">
        <v>4481575</v>
      </c>
      <c r="E254" s="58">
        <v>11621</v>
      </c>
    </row>
    <row r="255" spans="1:5">
      <c r="A255" s="56" t="s">
        <v>143</v>
      </c>
      <c r="B255" s="56" t="s">
        <v>133</v>
      </c>
      <c r="C255" s="56" t="s">
        <v>85</v>
      </c>
      <c r="D255" s="58">
        <v>2244297</v>
      </c>
      <c r="E255" s="58">
        <v>6774</v>
      </c>
    </row>
    <row r="256" spans="1:5">
      <c r="A256" s="56" t="s">
        <v>144</v>
      </c>
      <c r="B256" s="56" t="s">
        <v>133</v>
      </c>
      <c r="C256" s="56" t="s">
        <v>87</v>
      </c>
      <c r="D256" s="58">
        <v>4340367</v>
      </c>
      <c r="E256" s="58">
        <v>12694</v>
      </c>
    </row>
    <row r="257" spans="1:5">
      <c r="A257" s="56" t="s">
        <v>145</v>
      </c>
      <c r="B257" s="56" t="s">
        <v>133</v>
      </c>
      <c r="C257" s="56" t="s">
        <v>89</v>
      </c>
      <c r="D257" s="58">
        <v>9650161</v>
      </c>
      <c r="E257" s="58">
        <v>16238</v>
      </c>
    </row>
    <row r="258" spans="1:5">
      <c r="A258" s="56" t="s">
        <v>146</v>
      </c>
      <c r="B258" s="56" t="s">
        <v>147</v>
      </c>
      <c r="C258" s="56" t="s">
        <v>65</v>
      </c>
      <c r="D258" s="58">
        <v>73300731</v>
      </c>
      <c r="E258" s="58">
        <v>87444</v>
      </c>
    </row>
    <row r="259" spans="1:5">
      <c r="A259" s="56" t="s">
        <v>148</v>
      </c>
      <c r="B259" s="56" t="s">
        <v>147</v>
      </c>
      <c r="C259" s="56" t="s">
        <v>67</v>
      </c>
      <c r="D259" s="58">
        <v>9177747</v>
      </c>
      <c r="E259" s="58">
        <v>7148</v>
      </c>
    </row>
    <row r="260" spans="1:5">
      <c r="A260" s="56" t="s">
        <v>149</v>
      </c>
      <c r="B260" s="56" t="s">
        <v>147</v>
      </c>
      <c r="C260" s="56" t="s">
        <v>69</v>
      </c>
      <c r="D260" s="58">
        <v>6633503</v>
      </c>
      <c r="E260" s="58">
        <v>6581</v>
      </c>
    </row>
    <row r="261" spans="1:5">
      <c r="A261" s="56" t="s">
        <v>150</v>
      </c>
      <c r="B261" s="56" t="s">
        <v>147</v>
      </c>
      <c r="C261" s="56" t="s">
        <v>71</v>
      </c>
      <c r="D261" s="58">
        <v>5559038</v>
      </c>
      <c r="E261" s="58">
        <v>6708</v>
      </c>
    </row>
    <row r="262" spans="1:5">
      <c r="A262" s="56" t="s">
        <v>151</v>
      </c>
      <c r="B262" s="56" t="s">
        <v>147</v>
      </c>
      <c r="C262" s="56" t="s">
        <v>73</v>
      </c>
      <c r="D262" s="58">
        <v>6265536</v>
      </c>
      <c r="E262" s="58">
        <v>7159</v>
      </c>
    </row>
    <row r="263" spans="1:5">
      <c r="A263" s="56" t="s">
        <v>152</v>
      </c>
      <c r="B263" s="56" t="s">
        <v>147</v>
      </c>
      <c r="C263" s="56" t="s">
        <v>75</v>
      </c>
      <c r="D263" s="58">
        <v>6351076</v>
      </c>
      <c r="E263" s="58">
        <v>6416</v>
      </c>
    </row>
    <row r="264" spans="1:5">
      <c r="A264" s="56" t="s">
        <v>153</v>
      </c>
      <c r="B264" s="56" t="s">
        <v>147</v>
      </c>
      <c r="C264" s="56" t="s">
        <v>77</v>
      </c>
      <c r="D264" s="58">
        <v>5210097</v>
      </c>
      <c r="E264" s="58">
        <v>6428</v>
      </c>
    </row>
    <row r="265" spans="1:5">
      <c r="A265" s="56" t="s">
        <v>154</v>
      </c>
      <c r="B265" s="56" t="s">
        <v>147</v>
      </c>
      <c r="C265" s="56" t="s">
        <v>79</v>
      </c>
      <c r="D265" s="58">
        <v>5114217</v>
      </c>
      <c r="E265" s="58">
        <v>6933</v>
      </c>
    </row>
    <row r="266" spans="1:5">
      <c r="A266" s="56" t="s">
        <v>155</v>
      </c>
      <c r="B266" s="56" t="s">
        <v>147</v>
      </c>
      <c r="C266" s="56" t="s">
        <v>81</v>
      </c>
      <c r="D266" s="58">
        <v>5064982</v>
      </c>
      <c r="E266" s="58">
        <v>6054</v>
      </c>
    </row>
    <row r="267" spans="1:5">
      <c r="A267" s="56" t="s">
        <v>156</v>
      </c>
      <c r="B267" s="56" t="s">
        <v>147</v>
      </c>
      <c r="C267" s="56" t="s">
        <v>83</v>
      </c>
      <c r="D267" s="58">
        <v>2975465</v>
      </c>
      <c r="E267" s="58">
        <v>6272</v>
      </c>
    </row>
    <row r="268" spans="1:5">
      <c r="A268" s="56" t="s">
        <v>157</v>
      </c>
      <c r="B268" s="56" t="s">
        <v>147</v>
      </c>
      <c r="C268" s="56" t="s">
        <v>85</v>
      </c>
      <c r="D268" s="58">
        <v>3721068</v>
      </c>
      <c r="E268" s="58">
        <v>8133</v>
      </c>
    </row>
    <row r="269" spans="1:5">
      <c r="A269" s="56" t="s">
        <v>158</v>
      </c>
      <c r="B269" s="56" t="s">
        <v>147</v>
      </c>
      <c r="C269" s="56" t="s">
        <v>87</v>
      </c>
      <c r="D269" s="58">
        <v>4039491</v>
      </c>
      <c r="E269" s="58">
        <v>8391</v>
      </c>
    </row>
    <row r="270" spans="1:5">
      <c r="A270" s="56" t="s">
        <v>159</v>
      </c>
      <c r="B270" s="56" t="s">
        <v>147</v>
      </c>
      <c r="C270" s="56" t="s">
        <v>89</v>
      </c>
      <c r="D270" s="58">
        <v>13188511</v>
      </c>
      <c r="E270" s="58">
        <v>11221</v>
      </c>
    </row>
    <row r="271" spans="1:5">
      <c r="A271" s="56" t="s">
        <v>160</v>
      </c>
      <c r="B271" s="56" t="s">
        <v>161</v>
      </c>
      <c r="C271" s="56" t="s">
        <v>65</v>
      </c>
      <c r="D271" s="58">
        <v>10161103</v>
      </c>
      <c r="E271" s="58">
        <v>48404</v>
      </c>
    </row>
    <row r="272" spans="1:5">
      <c r="A272" s="56" t="s">
        <v>162</v>
      </c>
      <c r="B272" s="56" t="s">
        <v>161</v>
      </c>
      <c r="C272" s="56" t="s">
        <v>67</v>
      </c>
      <c r="D272" s="58">
        <v>1071698</v>
      </c>
      <c r="E272" s="58">
        <v>4516</v>
      </c>
    </row>
    <row r="273" spans="1:5">
      <c r="A273" s="56" t="s">
        <v>163</v>
      </c>
      <c r="B273" s="56" t="s">
        <v>161</v>
      </c>
      <c r="C273" s="56" t="s">
        <v>69</v>
      </c>
      <c r="D273" s="58">
        <v>971915</v>
      </c>
      <c r="E273" s="58">
        <v>3876</v>
      </c>
    </row>
    <row r="274" spans="1:5">
      <c r="A274" s="56" t="s">
        <v>164</v>
      </c>
      <c r="B274" s="56" t="s">
        <v>161</v>
      </c>
      <c r="C274" s="56" t="s">
        <v>71</v>
      </c>
      <c r="D274" s="58">
        <v>793564</v>
      </c>
      <c r="E274" s="58">
        <v>4046</v>
      </c>
    </row>
    <row r="275" spans="1:5">
      <c r="A275" s="56" t="s">
        <v>165</v>
      </c>
      <c r="B275" s="56" t="s">
        <v>161</v>
      </c>
      <c r="C275" s="56" t="s">
        <v>73</v>
      </c>
      <c r="D275" s="58">
        <v>1162458</v>
      </c>
      <c r="E275" s="58">
        <v>3985</v>
      </c>
    </row>
    <row r="276" spans="1:5">
      <c r="A276" s="56" t="s">
        <v>166</v>
      </c>
      <c r="B276" s="56" t="s">
        <v>161</v>
      </c>
      <c r="C276" s="56" t="s">
        <v>75</v>
      </c>
      <c r="D276" s="58">
        <v>705985</v>
      </c>
      <c r="E276" s="58">
        <v>3670</v>
      </c>
    </row>
    <row r="277" spans="1:5">
      <c r="A277" s="56" t="s">
        <v>167</v>
      </c>
      <c r="B277" s="56" t="s">
        <v>161</v>
      </c>
      <c r="C277" s="56" t="s">
        <v>77</v>
      </c>
      <c r="D277" s="58">
        <v>858287</v>
      </c>
      <c r="E277" s="58">
        <v>3788</v>
      </c>
    </row>
    <row r="278" spans="1:5">
      <c r="A278" s="56" t="s">
        <v>168</v>
      </c>
      <c r="B278" s="56" t="s">
        <v>161</v>
      </c>
      <c r="C278" s="56" t="s">
        <v>79</v>
      </c>
      <c r="D278" s="58">
        <v>555330</v>
      </c>
      <c r="E278" s="58">
        <v>4112</v>
      </c>
    </row>
    <row r="279" spans="1:5">
      <c r="A279" s="56" t="s">
        <v>169</v>
      </c>
      <c r="B279" s="56" t="s">
        <v>161</v>
      </c>
      <c r="C279" s="56" t="s">
        <v>81</v>
      </c>
      <c r="D279" s="58">
        <v>628501</v>
      </c>
      <c r="E279" s="58">
        <v>3768</v>
      </c>
    </row>
    <row r="280" spans="1:5">
      <c r="A280" s="56" t="s">
        <v>170</v>
      </c>
      <c r="B280" s="56" t="s">
        <v>161</v>
      </c>
      <c r="C280" s="56" t="s">
        <v>83</v>
      </c>
      <c r="D280" s="58">
        <v>824965</v>
      </c>
      <c r="E280" s="58">
        <v>3694</v>
      </c>
    </row>
    <row r="281" spans="1:5">
      <c r="A281" s="56" t="s">
        <v>171</v>
      </c>
      <c r="B281" s="56" t="s">
        <v>161</v>
      </c>
      <c r="C281" s="56" t="s">
        <v>85</v>
      </c>
      <c r="D281" s="58">
        <v>368107</v>
      </c>
      <c r="E281" s="58">
        <v>1499</v>
      </c>
    </row>
    <row r="282" spans="1:5">
      <c r="A282" s="56" t="s">
        <v>172</v>
      </c>
      <c r="B282" s="56" t="s">
        <v>161</v>
      </c>
      <c r="C282" s="56" t="s">
        <v>87</v>
      </c>
      <c r="D282" s="58">
        <v>1116397</v>
      </c>
      <c r="E282" s="58">
        <v>5368</v>
      </c>
    </row>
    <row r="283" spans="1:5">
      <c r="A283" s="56" t="s">
        <v>173</v>
      </c>
      <c r="B283" s="56" t="s">
        <v>161</v>
      </c>
      <c r="C283" s="56" t="s">
        <v>89</v>
      </c>
      <c r="D283" s="58">
        <v>1103896</v>
      </c>
      <c r="E283" s="58">
        <v>6082</v>
      </c>
    </row>
    <row r="284" spans="1:5">
      <c r="A284" s="56" t="s">
        <v>174</v>
      </c>
      <c r="B284" s="56" t="s">
        <v>175</v>
      </c>
      <c r="C284" s="56" t="s">
        <v>65</v>
      </c>
      <c r="D284" s="58">
        <v>5335341</v>
      </c>
      <c r="E284" s="58">
        <v>37399</v>
      </c>
    </row>
    <row r="285" spans="1:5">
      <c r="A285" s="56" t="s">
        <v>176</v>
      </c>
      <c r="B285" s="56" t="s">
        <v>175</v>
      </c>
      <c r="C285" s="56" t="s">
        <v>67</v>
      </c>
      <c r="D285" s="58">
        <v>525428</v>
      </c>
      <c r="E285" s="58">
        <v>3436</v>
      </c>
    </row>
    <row r="286" spans="1:5">
      <c r="A286" s="56" t="s">
        <v>177</v>
      </c>
      <c r="B286" s="56" t="s">
        <v>175</v>
      </c>
      <c r="C286" s="56" t="s">
        <v>69</v>
      </c>
      <c r="D286" s="58">
        <v>466733</v>
      </c>
      <c r="E286" s="58">
        <v>3050</v>
      </c>
    </row>
    <row r="287" spans="1:5">
      <c r="A287" s="56" t="s">
        <v>178</v>
      </c>
      <c r="B287" s="56" t="s">
        <v>175</v>
      </c>
      <c r="C287" s="56" t="s">
        <v>71</v>
      </c>
      <c r="D287" s="58">
        <v>399421</v>
      </c>
      <c r="E287" s="58">
        <v>3460</v>
      </c>
    </row>
    <row r="288" spans="1:5">
      <c r="A288" s="56" t="s">
        <v>179</v>
      </c>
      <c r="B288" s="56" t="s">
        <v>175</v>
      </c>
      <c r="C288" s="56" t="s">
        <v>73</v>
      </c>
      <c r="D288" s="58">
        <v>475566</v>
      </c>
      <c r="E288" s="58">
        <v>3600</v>
      </c>
    </row>
    <row r="289" spans="1:5">
      <c r="A289" s="56" t="s">
        <v>180</v>
      </c>
      <c r="B289" s="56" t="s">
        <v>175</v>
      </c>
      <c r="C289" s="56" t="s">
        <v>75</v>
      </c>
      <c r="D289" s="58">
        <v>368450</v>
      </c>
      <c r="E289" s="58">
        <v>3074</v>
      </c>
    </row>
    <row r="290" spans="1:5">
      <c r="A290" s="56" t="s">
        <v>181</v>
      </c>
      <c r="B290" s="56" t="s">
        <v>175</v>
      </c>
      <c r="C290" s="56" t="s">
        <v>77</v>
      </c>
      <c r="D290" s="58">
        <v>371272</v>
      </c>
      <c r="E290" s="58">
        <v>2876</v>
      </c>
    </row>
    <row r="291" spans="1:5">
      <c r="A291" s="56" t="s">
        <v>182</v>
      </c>
      <c r="B291" s="56" t="s">
        <v>175</v>
      </c>
      <c r="C291" s="56" t="s">
        <v>79</v>
      </c>
      <c r="D291" s="58">
        <v>255724</v>
      </c>
      <c r="E291" s="58">
        <v>3195</v>
      </c>
    </row>
    <row r="292" spans="1:5">
      <c r="A292" s="56" t="s">
        <v>183</v>
      </c>
      <c r="B292" s="56" t="s">
        <v>175</v>
      </c>
      <c r="C292" s="56" t="s">
        <v>81</v>
      </c>
      <c r="D292" s="58">
        <v>254223</v>
      </c>
      <c r="E292" s="58">
        <v>2735</v>
      </c>
    </row>
    <row r="293" spans="1:5">
      <c r="A293" s="56" t="s">
        <v>184</v>
      </c>
      <c r="B293" s="56" t="s">
        <v>175</v>
      </c>
      <c r="C293" s="56" t="s">
        <v>83</v>
      </c>
      <c r="D293" s="58">
        <v>270802</v>
      </c>
      <c r="E293" s="58">
        <v>2870</v>
      </c>
    </row>
    <row r="294" spans="1:5">
      <c r="A294" s="56" t="s">
        <v>185</v>
      </c>
      <c r="B294" s="56" t="s">
        <v>175</v>
      </c>
      <c r="C294" s="56" t="s">
        <v>85</v>
      </c>
      <c r="D294" s="58">
        <v>481102</v>
      </c>
      <c r="E294" s="58">
        <v>1738</v>
      </c>
    </row>
    <row r="295" spans="1:5">
      <c r="A295" s="56" t="s">
        <v>186</v>
      </c>
      <c r="B295" s="56" t="s">
        <v>175</v>
      </c>
      <c r="C295" s="56" t="s">
        <v>87</v>
      </c>
      <c r="D295" s="58">
        <v>387046</v>
      </c>
      <c r="E295" s="58">
        <v>3276</v>
      </c>
    </row>
    <row r="296" spans="1:5">
      <c r="A296" s="56" t="s">
        <v>187</v>
      </c>
      <c r="B296" s="56" t="s">
        <v>175</v>
      </c>
      <c r="C296" s="56" t="s">
        <v>89</v>
      </c>
      <c r="D296" s="58">
        <v>1079574</v>
      </c>
      <c r="E296" s="58">
        <v>4089</v>
      </c>
    </row>
    <row r="297" spans="1:5">
      <c r="A297" s="56" t="s">
        <v>188</v>
      </c>
      <c r="B297" s="56" t="s">
        <v>189</v>
      </c>
      <c r="C297" s="56" t="s">
        <v>65</v>
      </c>
      <c r="D297" s="58">
        <v>35523953</v>
      </c>
      <c r="E297" s="58">
        <v>104557</v>
      </c>
    </row>
    <row r="298" spans="1:5">
      <c r="A298" s="56" t="s">
        <v>190</v>
      </c>
      <c r="B298" s="56" t="s">
        <v>189</v>
      </c>
      <c r="C298" s="56" t="s">
        <v>67</v>
      </c>
      <c r="D298" s="58">
        <v>3910364</v>
      </c>
      <c r="E298" s="58">
        <v>7989</v>
      </c>
    </row>
    <row r="299" spans="1:5">
      <c r="A299" s="56" t="s">
        <v>191</v>
      </c>
      <c r="B299" s="56" t="s">
        <v>189</v>
      </c>
      <c r="C299" s="56" t="s">
        <v>69</v>
      </c>
      <c r="D299" s="58">
        <v>2854772</v>
      </c>
      <c r="E299" s="58">
        <v>8460</v>
      </c>
    </row>
    <row r="300" spans="1:5">
      <c r="A300" s="56" t="s">
        <v>192</v>
      </c>
      <c r="B300" s="56" t="s">
        <v>189</v>
      </c>
      <c r="C300" s="56" t="s">
        <v>71</v>
      </c>
      <c r="D300" s="58">
        <v>2588547</v>
      </c>
      <c r="E300" s="58">
        <v>9127</v>
      </c>
    </row>
    <row r="301" spans="1:5">
      <c r="A301" s="56" t="s">
        <v>193</v>
      </c>
      <c r="B301" s="56" t="s">
        <v>189</v>
      </c>
      <c r="C301" s="56" t="s">
        <v>73</v>
      </c>
      <c r="D301" s="58">
        <v>3124983</v>
      </c>
      <c r="E301" s="58">
        <v>9718</v>
      </c>
    </row>
    <row r="302" spans="1:5">
      <c r="A302" s="56" t="s">
        <v>194</v>
      </c>
      <c r="B302" s="56" t="s">
        <v>189</v>
      </c>
      <c r="C302" s="56" t="s">
        <v>75</v>
      </c>
      <c r="D302" s="58">
        <v>3704204</v>
      </c>
      <c r="E302" s="58">
        <v>8596</v>
      </c>
    </row>
    <row r="303" spans="1:5">
      <c r="A303" s="56" t="s">
        <v>195</v>
      </c>
      <c r="B303" s="56" t="s">
        <v>189</v>
      </c>
      <c r="C303" s="56" t="s">
        <v>77</v>
      </c>
      <c r="D303" s="58">
        <v>2464255</v>
      </c>
      <c r="E303" s="58">
        <v>8753</v>
      </c>
    </row>
    <row r="304" spans="1:5">
      <c r="A304" s="56" t="s">
        <v>196</v>
      </c>
      <c r="B304" s="56" t="s">
        <v>189</v>
      </c>
      <c r="C304" s="56" t="s">
        <v>79</v>
      </c>
      <c r="D304" s="58">
        <v>2258517</v>
      </c>
      <c r="E304" s="58">
        <v>9521</v>
      </c>
    </row>
    <row r="305" spans="1:10">
      <c r="A305" s="56" t="s">
        <v>197</v>
      </c>
      <c r="B305" s="56" t="s">
        <v>189</v>
      </c>
      <c r="C305" s="56" t="s">
        <v>81</v>
      </c>
      <c r="D305" s="58">
        <v>2548165</v>
      </c>
      <c r="E305" s="58">
        <v>8161</v>
      </c>
    </row>
    <row r="306" spans="1:10">
      <c r="A306" s="56" t="s">
        <v>198</v>
      </c>
      <c r="B306" s="56" t="s">
        <v>189</v>
      </c>
      <c r="C306" s="56" t="s">
        <v>83</v>
      </c>
      <c r="D306" s="58">
        <v>2933102</v>
      </c>
      <c r="E306" s="58">
        <v>8954</v>
      </c>
    </row>
    <row r="307" spans="1:10">
      <c r="A307" s="56" t="s">
        <v>199</v>
      </c>
      <c r="B307" s="56" t="s">
        <v>189</v>
      </c>
      <c r="C307" s="56" t="s">
        <v>85</v>
      </c>
      <c r="D307" s="58">
        <v>1791325</v>
      </c>
      <c r="E307" s="58">
        <v>4861</v>
      </c>
    </row>
    <row r="308" spans="1:10">
      <c r="A308" s="56" t="s">
        <v>200</v>
      </c>
      <c r="B308" s="56" t="s">
        <v>189</v>
      </c>
      <c r="C308" s="56" t="s">
        <v>87</v>
      </c>
      <c r="D308" s="58">
        <v>3044961</v>
      </c>
      <c r="E308" s="58">
        <v>9219</v>
      </c>
    </row>
    <row r="309" spans="1:10">
      <c r="A309" s="56" t="s">
        <v>201</v>
      </c>
      <c r="B309" s="56" t="s">
        <v>189</v>
      </c>
      <c r="C309" s="56" t="s">
        <v>89</v>
      </c>
      <c r="D309" s="58">
        <v>4300758</v>
      </c>
      <c r="E309" s="58">
        <v>11198</v>
      </c>
    </row>
    <row r="311" spans="1:10">
      <c r="A311" s="12" t="s">
        <v>276</v>
      </c>
    </row>
    <row r="312" spans="1:10">
      <c r="A312" s="55" t="s">
        <v>277</v>
      </c>
      <c r="B312" s="55" t="s">
        <v>64</v>
      </c>
      <c r="C312" s="55" t="s">
        <v>91</v>
      </c>
      <c r="D312" s="55" t="s">
        <v>105</v>
      </c>
      <c r="E312" s="55" t="s">
        <v>119</v>
      </c>
      <c r="F312" s="55" t="s">
        <v>133</v>
      </c>
      <c r="G312" s="55" t="s">
        <v>147</v>
      </c>
      <c r="H312" s="55" t="s">
        <v>161</v>
      </c>
      <c r="I312" s="55" t="s">
        <v>175</v>
      </c>
      <c r="J312" s="55" t="s">
        <v>189</v>
      </c>
    </row>
    <row r="313" spans="1:10">
      <c r="A313" s="66">
        <v>45748</v>
      </c>
      <c r="B313" s="58">
        <v>4032</v>
      </c>
      <c r="C313" s="58">
        <v>864</v>
      </c>
      <c r="D313" s="58">
        <v>476</v>
      </c>
      <c r="E313" s="58">
        <v>711</v>
      </c>
      <c r="F313" s="58">
        <v>683</v>
      </c>
      <c r="G313" s="58">
        <v>440</v>
      </c>
      <c r="H313" s="58">
        <v>274</v>
      </c>
      <c r="I313" s="58">
        <v>217</v>
      </c>
      <c r="J313" s="58">
        <v>367</v>
      </c>
    </row>
    <row r="314" spans="1:10">
      <c r="A314" s="66">
        <v>45749</v>
      </c>
      <c r="B314" s="58">
        <v>3588</v>
      </c>
      <c r="C314" s="58">
        <v>668</v>
      </c>
      <c r="D314" s="58">
        <v>444</v>
      </c>
      <c r="E314" s="58">
        <v>695</v>
      </c>
      <c r="F314" s="58">
        <v>632</v>
      </c>
      <c r="G314" s="58">
        <v>365</v>
      </c>
      <c r="H314" s="58">
        <v>250</v>
      </c>
      <c r="I314" s="58">
        <v>191</v>
      </c>
      <c r="J314" s="58">
        <v>343</v>
      </c>
    </row>
    <row r="315" spans="1:10">
      <c r="A315" s="66">
        <v>45750</v>
      </c>
      <c r="B315" s="58">
        <v>3560</v>
      </c>
      <c r="C315" s="58">
        <v>684</v>
      </c>
      <c r="D315" s="58">
        <v>384</v>
      </c>
      <c r="E315" s="58">
        <v>637</v>
      </c>
      <c r="F315" s="58">
        <v>697</v>
      </c>
      <c r="G315" s="58">
        <v>408</v>
      </c>
      <c r="H315" s="58">
        <v>250</v>
      </c>
      <c r="I315" s="58">
        <v>176</v>
      </c>
      <c r="J315" s="58">
        <v>324</v>
      </c>
    </row>
    <row r="316" spans="1:10">
      <c r="A316" s="66">
        <v>45751</v>
      </c>
      <c r="B316" s="58">
        <v>3487</v>
      </c>
      <c r="C316" s="58">
        <v>707</v>
      </c>
      <c r="D316" s="58">
        <v>412</v>
      </c>
      <c r="E316" s="58">
        <v>666</v>
      </c>
      <c r="F316" s="58">
        <v>619</v>
      </c>
      <c r="G316" s="58">
        <v>372</v>
      </c>
      <c r="H316" s="58">
        <v>224</v>
      </c>
      <c r="I316" s="58">
        <v>158</v>
      </c>
      <c r="J316" s="58">
        <v>329</v>
      </c>
    </row>
    <row r="317" spans="1:10">
      <c r="A317" s="66">
        <v>45752</v>
      </c>
      <c r="B317" s="58">
        <v>0</v>
      </c>
      <c r="C317" s="58">
        <v>0</v>
      </c>
      <c r="D317" s="58">
        <v>0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</row>
    <row r="318" spans="1:10">
      <c r="A318" s="66">
        <v>45753</v>
      </c>
      <c r="B318" s="58">
        <v>0</v>
      </c>
      <c r="C318" s="58">
        <v>0</v>
      </c>
      <c r="D318" s="58">
        <v>0</v>
      </c>
      <c r="E318" s="58">
        <v>0</v>
      </c>
      <c r="F318" s="58">
        <v>0</v>
      </c>
      <c r="G318" s="58">
        <v>0</v>
      </c>
      <c r="H318" s="58">
        <v>0</v>
      </c>
      <c r="I318" s="58">
        <v>0</v>
      </c>
      <c r="J318" s="58">
        <v>0</v>
      </c>
    </row>
    <row r="319" spans="1:10">
      <c r="A319" s="66">
        <v>45754</v>
      </c>
      <c r="B319" s="58">
        <v>3875</v>
      </c>
      <c r="C319" s="58">
        <v>787</v>
      </c>
      <c r="D319" s="58">
        <v>504</v>
      </c>
      <c r="E319" s="58">
        <v>730</v>
      </c>
      <c r="F319" s="58">
        <v>673</v>
      </c>
      <c r="G319" s="58">
        <v>385</v>
      </c>
      <c r="H319" s="58">
        <v>258</v>
      </c>
      <c r="I319" s="58">
        <v>210</v>
      </c>
      <c r="J319" s="58">
        <v>328</v>
      </c>
    </row>
    <row r="320" spans="1:10">
      <c r="A320" s="66">
        <v>45755</v>
      </c>
      <c r="B320" s="58">
        <v>3288</v>
      </c>
      <c r="C320" s="58">
        <v>679</v>
      </c>
      <c r="D320" s="58">
        <v>399</v>
      </c>
      <c r="E320" s="58">
        <v>580</v>
      </c>
      <c r="F320" s="58">
        <v>560</v>
      </c>
      <c r="G320" s="58">
        <v>347</v>
      </c>
      <c r="H320" s="58">
        <v>204</v>
      </c>
      <c r="I320" s="58">
        <v>164</v>
      </c>
      <c r="J320" s="58">
        <v>355</v>
      </c>
    </row>
    <row r="321" spans="1:10">
      <c r="A321" s="66">
        <v>45756</v>
      </c>
      <c r="B321" s="58">
        <v>3225</v>
      </c>
      <c r="C321" s="58">
        <v>698</v>
      </c>
      <c r="D321" s="58">
        <v>369</v>
      </c>
      <c r="E321" s="58">
        <v>568</v>
      </c>
      <c r="F321" s="58">
        <v>636</v>
      </c>
      <c r="G321" s="58">
        <v>294</v>
      </c>
      <c r="H321" s="58">
        <v>189</v>
      </c>
      <c r="I321" s="58">
        <v>158</v>
      </c>
      <c r="J321" s="58">
        <v>313</v>
      </c>
    </row>
    <row r="322" spans="1:10">
      <c r="A322" s="66">
        <v>45757</v>
      </c>
      <c r="B322" s="58">
        <v>2651</v>
      </c>
      <c r="C322" s="58">
        <v>561</v>
      </c>
      <c r="D322" s="58">
        <v>319</v>
      </c>
      <c r="E322" s="58">
        <v>430</v>
      </c>
      <c r="F322" s="58">
        <v>461</v>
      </c>
      <c r="G322" s="58">
        <v>271</v>
      </c>
      <c r="H322" s="58">
        <v>178</v>
      </c>
      <c r="I322" s="58">
        <v>130</v>
      </c>
      <c r="J322" s="58">
        <v>301</v>
      </c>
    </row>
    <row r="323" spans="1:10">
      <c r="A323" s="66">
        <v>45758</v>
      </c>
      <c r="B323" s="58">
        <v>3091</v>
      </c>
      <c r="C323" s="58">
        <v>577</v>
      </c>
      <c r="D323" s="58">
        <v>386</v>
      </c>
      <c r="E323" s="58">
        <v>534</v>
      </c>
      <c r="F323" s="58">
        <v>574</v>
      </c>
      <c r="G323" s="58">
        <v>327</v>
      </c>
      <c r="H323" s="58">
        <v>192</v>
      </c>
      <c r="I323" s="58">
        <v>154</v>
      </c>
      <c r="J323" s="58">
        <v>347</v>
      </c>
    </row>
    <row r="324" spans="1:10">
      <c r="A324" s="66">
        <v>45759</v>
      </c>
      <c r="B324" s="58">
        <v>0</v>
      </c>
      <c r="C324" s="58">
        <v>0</v>
      </c>
      <c r="D324" s="58">
        <v>0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</row>
    <row r="325" spans="1:10">
      <c r="A325" s="66">
        <v>45760</v>
      </c>
      <c r="B325" s="58">
        <v>85</v>
      </c>
      <c r="C325" s="58">
        <v>0</v>
      </c>
      <c r="D325" s="58">
        <v>0</v>
      </c>
      <c r="E325" s="58">
        <v>85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</row>
    <row r="326" spans="1:10">
      <c r="A326" s="66">
        <v>45761</v>
      </c>
      <c r="B326" s="58">
        <v>3075</v>
      </c>
      <c r="C326" s="58">
        <v>616</v>
      </c>
      <c r="D326" s="58">
        <v>348</v>
      </c>
      <c r="E326" s="58">
        <v>520</v>
      </c>
      <c r="F326" s="58">
        <v>592</v>
      </c>
      <c r="G326" s="58">
        <v>328</v>
      </c>
      <c r="H326" s="58">
        <v>193</v>
      </c>
      <c r="I326" s="58">
        <v>155</v>
      </c>
      <c r="J326" s="58">
        <v>323</v>
      </c>
    </row>
    <row r="327" spans="1:10">
      <c r="A327" s="66">
        <v>45762</v>
      </c>
      <c r="B327" s="58">
        <v>2890</v>
      </c>
      <c r="C327" s="58">
        <v>559</v>
      </c>
      <c r="D327" s="58">
        <v>324</v>
      </c>
      <c r="E327" s="58">
        <v>511</v>
      </c>
      <c r="F327" s="58">
        <v>556</v>
      </c>
      <c r="G327" s="58">
        <v>270</v>
      </c>
      <c r="H327" s="58">
        <v>207</v>
      </c>
      <c r="I327" s="58">
        <v>138</v>
      </c>
      <c r="J327" s="58">
        <v>325</v>
      </c>
    </row>
    <row r="328" spans="1:10">
      <c r="A328" s="66">
        <v>45763</v>
      </c>
      <c r="B328" s="58">
        <v>3025</v>
      </c>
      <c r="C328" s="58">
        <v>601</v>
      </c>
      <c r="D328" s="58">
        <v>314</v>
      </c>
      <c r="E328" s="58">
        <v>545</v>
      </c>
      <c r="F328" s="58">
        <v>600</v>
      </c>
      <c r="G328" s="58">
        <v>313</v>
      </c>
      <c r="H328" s="58">
        <v>184</v>
      </c>
      <c r="I328" s="58">
        <v>138</v>
      </c>
      <c r="J328" s="58">
        <v>330</v>
      </c>
    </row>
    <row r="329" spans="1:10">
      <c r="A329" s="66">
        <v>45764</v>
      </c>
      <c r="B329" s="58">
        <v>2844</v>
      </c>
      <c r="C329" s="58">
        <v>598</v>
      </c>
      <c r="D329" s="58">
        <v>334</v>
      </c>
      <c r="E329" s="58">
        <v>469</v>
      </c>
      <c r="F329" s="58">
        <v>556</v>
      </c>
      <c r="G329" s="58">
        <v>276</v>
      </c>
      <c r="H329" s="58">
        <v>191</v>
      </c>
      <c r="I329" s="58">
        <v>135</v>
      </c>
      <c r="J329" s="58">
        <v>285</v>
      </c>
    </row>
    <row r="330" spans="1:10">
      <c r="A330" s="66">
        <v>45765</v>
      </c>
      <c r="B330" s="58">
        <v>3361</v>
      </c>
      <c r="C330" s="58">
        <v>643</v>
      </c>
      <c r="D330" s="58">
        <v>376</v>
      </c>
      <c r="E330" s="58">
        <v>530</v>
      </c>
      <c r="F330" s="58">
        <v>601</v>
      </c>
      <c r="G330" s="58">
        <v>336</v>
      </c>
      <c r="H330" s="58">
        <v>210</v>
      </c>
      <c r="I330" s="58">
        <v>169</v>
      </c>
      <c r="J330" s="58">
        <v>496</v>
      </c>
    </row>
    <row r="331" spans="1:10">
      <c r="A331" s="66">
        <v>45766</v>
      </c>
      <c r="B331" s="58">
        <v>0</v>
      </c>
      <c r="C331" s="58">
        <v>0</v>
      </c>
      <c r="D331" s="58">
        <v>0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</row>
    <row r="332" spans="1:10">
      <c r="A332" s="66">
        <v>45767</v>
      </c>
      <c r="B332" s="58">
        <v>0</v>
      </c>
      <c r="C332" s="58">
        <v>0</v>
      </c>
      <c r="D332" s="58">
        <v>0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</row>
    <row r="333" spans="1:10">
      <c r="A333" s="66">
        <v>45768</v>
      </c>
      <c r="B333" s="58">
        <v>3588</v>
      </c>
      <c r="C333" s="58">
        <v>683</v>
      </c>
      <c r="D333" s="58">
        <v>373</v>
      </c>
      <c r="E333" s="58">
        <v>570</v>
      </c>
      <c r="F333" s="58">
        <v>637</v>
      </c>
      <c r="G333" s="58">
        <v>370</v>
      </c>
      <c r="H333" s="58">
        <v>245</v>
      </c>
      <c r="I333" s="58">
        <v>196</v>
      </c>
      <c r="J333" s="58">
        <v>514</v>
      </c>
    </row>
    <row r="334" spans="1:10">
      <c r="A334" s="66">
        <v>45769</v>
      </c>
      <c r="B334" s="58">
        <v>2834</v>
      </c>
      <c r="C334" s="58">
        <v>558</v>
      </c>
      <c r="D334" s="58">
        <v>314</v>
      </c>
      <c r="E334" s="58">
        <v>451</v>
      </c>
      <c r="F334" s="58">
        <v>513</v>
      </c>
      <c r="G334" s="58">
        <v>327</v>
      </c>
      <c r="H334" s="58">
        <v>178</v>
      </c>
      <c r="I334" s="58">
        <v>128</v>
      </c>
      <c r="J334" s="58">
        <v>365</v>
      </c>
    </row>
    <row r="335" spans="1:10">
      <c r="A335" s="66">
        <v>45770</v>
      </c>
      <c r="B335" s="58">
        <v>2840</v>
      </c>
      <c r="C335" s="58">
        <v>559</v>
      </c>
      <c r="D335" s="58">
        <v>299</v>
      </c>
      <c r="E335" s="58">
        <v>455</v>
      </c>
      <c r="F335" s="58">
        <v>524</v>
      </c>
      <c r="G335" s="58">
        <v>295</v>
      </c>
      <c r="H335" s="58">
        <v>185</v>
      </c>
      <c r="I335" s="58">
        <v>127</v>
      </c>
      <c r="J335" s="58">
        <v>396</v>
      </c>
    </row>
    <row r="336" spans="1:10">
      <c r="A336" s="66">
        <v>45771</v>
      </c>
      <c r="B336" s="58">
        <v>2701</v>
      </c>
      <c r="C336" s="58">
        <v>543</v>
      </c>
      <c r="D336" s="58">
        <v>282</v>
      </c>
      <c r="E336" s="58">
        <v>483</v>
      </c>
      <c r="F336" s="58">
        <v>461</v>
      </c>
      <c r="G336" s="58">
        <v>266</v>
      </c>
      <c r="H336" s="58">
        <v>158</v>
      </c>
      <c r="I336" s="58">
        <v>126</v>
      </c>
      <c r="J336" s="58">
        <v>382</v>
      </c>
    </row>
    <row r="337" spans="1:10">
      <c r="A337" s="66">
        <v>45772</v>
      </c>
      <c r="B337" s="58">
        <v>2974</v>
      </c>
      <c r="C337" s="58">
        <v>591</v>
      </c>
      <c r="D337" s="58">
        <v>343</v>
      </c>
      <c r="E337" s="58">
        <v>454</v>
      </c>
      <c r="F337" s="58">
        <v>563</v>
      </c>
      <c r="G337" s="58">
        <v>296</v>
      </c>
      <c r="H337" s="58">
        <v>187</v>
      </c>
      <c r="I337" s="58">
        <v>158</v>
      </c>
      <c r="J337" s="58">
        <v>382</v>
      </c>
    </row>
    <row r="338" spans="1:10">
      <c r="A338" s="66">
        <v>45773</v>
      </c>
      <c r="B338" s="58">
        <v>0</v>
      </c>
      <c r="C338" s="58">
        <v>0</v>
      </c>
      <c r="D338" s="58">
        <v>0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</row>
    <row r="339" spans="1:10">
      <c r="A339" s="66">
        <v>45774</v>
      </c>
      <c r="B339" s="58">
        <v>0</v>
      </c>
      <c r="C339" s="58">
        <v>0</v>
      </c>
      <c r="D339" s="58">
        <v>0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</row>
    <row r="340" spans="1:10">
      <c r="A340" s="66">
        <v>45775</v>
      </c>
      <c r="B340" s="58">
        <v>4494</v>
      </c>
      <c r="C340" s="58">
        <v>853</v>
      </c>
      <c r="D340" s="58">
        <v>493</v>
      </c>
      <c r="E340" s="58">
        <v>735</v>
      </c>
      <c r="F340" s="58">
        <v>834</v>
      </c>
      <c r="G340" s="58">
        <v>467</v>
      </c>
      <c r="H340" s="58">
        <v>283</v>
      </c>
      <c r="I340" s="58">
        <v>220</v>
      </c>
      <c r="J340" s="58">
        <v>609</v>
      </c>
    </row>
    <row r="341" spans="1:10">
      <c r="A341" s="66">
        <v>45776</v>
      </c>
      <c r="B341" s="58">
        <v>0</v>
      </c>
      <c r="C341" s="58">
        <v>0</v>
      </c>
      <c r="D341" s="58">
        <v>0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</row>
    <row r="342" spans="1:10">
      <c r="A342" s="66">
        <v>45777</v>
      </c>
      <c r="B342" s="58">
        <v>4200</v>
      </c>
      <c r="C342" s="58">
        <v>778</v>
      </c>
      <c r="D342" s="58">
        <v>469</v>
      </c>
      <c r="E342" s="58">
        <v>694</v>
      </c>
      <c r="F342" s="58">
        <v>801</v>
      </c>
      <c r="G342" s="58">
        <v>419</v>
      </c>
      <c r="H342" s="58">
        <v>276</v>
      </c>
      <c r="I342" s="58">
        <v>188</v>
      </c>
      <c r="J342" s="58">
        <v>575</v>
      </c>
    </row>
    <row r="343" spans="1:10">
      <c r="A343" s="66">
        <v>45778</v>
      </c>
      <c r="B343" s="58">
        <v>3842</v>
      </c>
      <c r="C343" s="58">
        <v>721</v>
      </c>
      <c r="D343" s="58">
        <v>440</v>
      </c>
      <c r="E343" s="58">
        <v>631</v>
      </c>
      <c r="F343" s="58">
        <v>744</v>
      </c>
      <c r="G343" s="58">
        <v>414</v>
      </c>
      <c r="H343" s="58">
        <v>209</v>
      </c>
      <c r="I343" s="58">
        <v>183</v>
      </c>
      <c r="J343" s="58">
        <v>500</v>
      </c>
    </row>
    <row r="344" spans="1:10">
      <c r="A344" s="66">
        <v>45779</v>
      </c>
      <c r="B344" s="58">
        <v>3546</v>
      </c>
      <c r="C344" s="58">
        <v>621</v>
      </c>
      <c r="D344" s="58">
        <v>414</v>
      </c>
      <c r="E344" s="58">
        <v>595</v>
      </c>
      <c r="F344" s="58">
        <v>680</v>
      </c>
      <c r="G344" s="58">
        <v>375</v>
      </c>
      <c r="H344" s="58">
        <v>189</v>
      </c>
      <c r="I344" s="58">
        <v>201</v>
      </c>
      <c r="J344" s="58">
        <v>471</v>
      </c>
    </row>
    <row r="345" spans="1:10">
      <c r="A345" s="66">
        <v>45780</v>
      </c>
      <c r="B345" s="58">
        <v>0</v>
      </c>
      <c r="C345" s="58">
        <v>0</v>
      </c>
      <c r="D345" s="58">
        <v>0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</row>
    <row r="346" spans="1:10">
      <c r="A346" s="66">
        <v>45781</v>
      </c>
      <c r="B346" s="58">
        <v>0</v>
      </c>
      <c r="C346" s="58">
        <v>0</v>
      </c>
      <c r="D346" s="58">
        <v>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</row>
    <row r="347" spans="1:10">
      <c r="A347" s="66">
        <v>45782</v>
      </c>
      <c r="B347" s="58">
        <v>0</v>
      </c>
      <c r="C347" s="58">
        <v>0</v>
      </c>
      <c r="D347" s="58">
        <v>0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</row>
    <row r="348" spans="1:10">
      <c r="A348" s="66">
        <v>45783</v>
      </c>
      <c r="B348" s="58">
        <v>0</v>
      </c>
      <c r="C348" s="58">
        <v>0</v>
      </c>
      <c r="D348" s="58">
        <v>0</v>
      </c>
      <c r="E348" s="58">
        <v>0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</row>
    <row r="349" spans="1:10">
      <c r="A349" s="66">
        <v>45784</v>
      </c>
      <c r="B349" s="58">
        <v>3462</v>
      </c>
      <c r="C349" s="58">
        <v>648</v>
      </c>
      <c r="D349" s="58">
        <v>356</v>
      </c>
      <c r="E349" s="58">
        <v>546</v>
      </c>
      <c r="F349" s="58">
        <v>724</v>
      </c>
      <c r="G349" s="58">
        <v>354</v>
      </c>
      <c r="H349" s="58">
        <v>220</v>
      </c>
      <c r="I349" s="58">
        <v>177</v>
      </c>
      <c r="J349" s="58">
        <v>437</v>
      </c>
    </row>
    <row r="350" spans="1:10">
      <c r="A350" s="66">
        <v>45785</v>
      </c>
      <c r="B350" s="58">
        <v>3133</v>
      </c>
      <c r="C350" s="58">
        <v>592</v>
      </c>
      <c r="D350" s="58">
        <v>335</v>
      </c>
      <c r="E350" s="58">
        <v>482</v>
      </c>
      <c r="F350" s="58">
        <v>655</v>
      </c>
      <c r="G350" s="58">
        <v>309</v>
      </c>
      <c r="H350" s="58">
        <v>177</v>
      </c>
      <c r="I350" s="58">
        <v>161</v>
      </c>
      <c r="J350" s="58">
        <v>422</v>
      </c>
    </row>
    <row r="351" spans="1:10">
      <c r="A351" s="66">
        <v>45786</v>
      </c>
      <c r="B351" s="58">
        <v>2556</v>
      </c>
      <c r="C351" s="58">
        <v>474</v>
      </c>
      <c r="D351" s="58">
        <v>284</v>
      </c>
      <c r="E351" s="58">
        <v>376</v>
      </c>
      <c r="F351" s="58">
        <v>510</v>
      </c>
      <c r="G351" s="58">
        <v>279</v>
      </c>
      <c r="H351" s="58">
        <v>151</v>
      </c>
      <c r="I351" s="58">
        <v>139</v>
      </c>
      <c r="J351" s="58">
        <v>343</v>
      </c>
    </row>
    <row r="352" spans="1:10">
      <c r="A352" s="66">
        <v>45787</v>
      </c>
      <c r="B352" s="58">
        <v>0</v>
      </c>
      <c r="C352" s="58">
        <v>0</v>
      </c>
      <c r="D352" s="58">
        <v>0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</row>
    <row r="353" spans="1:10">
      <c r="A353" s="66">
        <v>45788</v>
      </c>
      <c r="B353" s="58">
        <v>383</v>
      </c>
      <c r="C353" s="58">
        <v>148</v>
      </c>
      <c r="D353" s="58">
        <v>133</v>
      </c>
      <c r="E353" s="58">
        <v>0</v>
      </c>
      <c r="F353" s="58">
        <v>0</v>
      </c>
      <c r="G353" s="58">
        <v>89</v>
      </c>
      <c r="H353" s="58">
        <v>0</v>
      </c>
      <c r="I353" s="58">
        <v>13</v>
      </c>
      <c r="J353" s="58">
        <v>0</v>
      </c>
    </row>
    <row r="354" spans="1:10">
      <c r="A354" s="66">
        <v>45789</v>
      </c>
      <c r="B354" s="58">
        <v>3720</v>
      </c>
      <c r="C354" s="58">
        <v>742</v>
      </c>
      <c r="D354" s="58">
        <v>412</v>
      </c>
      <c r="E354" s="58">
        <v>608</v>
      </c>
      <c r="F354" s="58">
        <v>684</v>
      </c>
      <c r="G354" s="58">
        <v>370</v>
      </c>
      <c r="H354" s="58">
        <v>201</v>
      </c>
      <c r="I354" s="58">
        <v>178</v>
      </c>
      <c r="J354" s="58">
        <v>525</v>
      </c>
    </row>
    <row r="355" spans="1:10">
      <c r="A355" s="66">
        <v>45790</v>
      </c>
      <c r="B355" s="58">
        <v>3190</v>
      </c>
      <c r="C355" s="58">
        <v>610</v>
      </c>
      <c r="D355" s="58">
        <v>376</v>
      </c>
      <c r="E355" s="58">
        <v>507</v>
      </c>
      <c r="F355" s="58">
        <v>592</v>
      </c>
      <c r="G355" s="58">
        <v>325</v>
      </c>
      <c r="H355" s="58">
        <v>201</v>
      </c>
      <c r="I355" s="58">
        <v>126</v>
      </c>
      <c r="J355" s="58">
        <v>453</v>
      </c>
    </row>
    <row r="356" spans="1:10">
      <c r="A356" s="66">
        <v>45791</v>
      </c>
      <c r="B356" s="58">
        <v>3160</v>
      </c>
      <c r="C356" s="58">
        <v>635</v>
      </c>
      <c r="D356" s="58">
        <v>332</v>
      </c>
      <c r="E356" s="58">
        <v>536</v>
      </c>
      <c r="F356" s="58">
        <v>603</v>
      </c>
      <c r="G356" s="58">
        <v>298</v>
      </c>
      <c r="H356" s="58">
        <v>178</v>
      </c>
      <c r="I356" s="58">
        <v>151</v>
      </c>
      <c r="J356" s="58">
        <v>427</v>
      </c>
    </row>
    <row r="357" spans="1:10">
      <c r="A357" s="66">
        <v>45792</v>
      </c>
      <c r="B357" s="58">
        <v>3085</v>
      </c>
      <c r="C357" s="58">
        <v>607</v>
      </c>
      <c r="D357" s="58">
        <v>322</v>
      </c>
      <c r="E357" s="58">
        <v>482</v>
      </c>
      <c r="F357" s="58">
        <v>596</v>
      </c>
      <c r="G357" s="58">
        <v>320</v>
      </c>
      <c r="H357" s="58">
        <v>212</v>
      </c>
      <c r="I357" s="58">
        <v>143</v>
      </c>
      <c r="J357" s="58">
        <v>403</v>
      </c>
    </row>
    <row r="358" spans="1:10">
      <c r="A358" s="66">
        <v>45793</v>
      </c>
      <c r="B358" s="58">
        <v>3009</v>
      </c>
      <c r="C358" s="58">
        <v>553</v>
      </c>
      <c r="D358" s="58">
        <v>358</v>
      </c>
      <c r="E358" s="58">
        <v>479</v>
      </c>
      <c r="F358" s="58">
        <v>565</v>
      </c>
      <c r="G358" s="58">
        <v>297</v>
      </c>
      <c r="H358" s="58">
        <v>204</v>
      </c>
      <c r="I358" s="58">
        <v>141</v>
      </c>
      <c r="J358" s="58">
        <v>412</v>
      </c>
    </row>
    <row r="359" spans="1:10">
      <c r="A359" s="66">
        <v>45794</v>
      </c>
      <c r="B359" s="58">
        <v>0</v>
      </c>
      <c r="C359" s="58">
        <v>0</v>
      </c>
      <c r="D359" s="58">
        <v>0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</row>
    <row r="360" spans="1:10">
      <c r="A360" s="66">
        <v>45795</v>
      </c>
      <c r="B360" s="58">
        <v>0</v>
      </c>
      <c r="C360" s="58">
        <v>0</v>
      </c>
      <c r="D360" s="58">
        <v>0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</row>
    <row r="361" spans="1:10">
      <c r="A361" s="66">
        <v>45796</v>
      </c>
      <c r="B361" s="58">
        <v>3432</v>
      </c>
      <c r="C361" s="58">
        <v>679</v>
      </c>
      <c r="D361" s="58">
        <v>357</v>
      </c>
      <c r="E361" s="58">
        <v>551</v>
      </c>
      <c r="F361" s="58">
        <v>637</v>
      </c>
      <c r="G361" s="58">
        <v>387</v>
      </c>
      <c r="H361" s="58">
        <v>217</v>
      </c>
      <c r="I361" s="58">
        <v>162</v>
      </c>
      <c r="J361" s="58">
        <v>442</v>
      </c>
    </row>
    <row r="362" spans="1:10">
      <c r="A362" s="66">
        <v>45797</v>
      </c>
      <c r="B362" s="58">
        <v>3096</v>
      </c>
      <c r="C362" s="58">
        <v>619</v>
      </c>
      <c r="D362" s="58">
        <v>310</v>
      </c>
      <c r="E362" s="58">
        <v>475</v>
      </c>
      <c r="F362" s="58">
        <v>562</v>
      </c>
      <c r="G362" s="58">
        <v>332</v>
      </c>
      <c r="H362" s="58">
        <v>223</v>
      </c>
      <c r="I362" s="58">
        <v>156</v>
      </c>
      <c r="J362" s="58">
        <v>419</v>
      </c>
    </row>
    <row r="363" spans="1:10">
      <c r="A363" s="66">
        <v>45798</v>
      </c>
      <c r="B363" s="58">
        <v>2730</v>
      </c>
      <c r="C363" s="58">
        <v>538</v>
      </c>
      <c r="D363" s="58">
        <v>289</v>
      </c>
      <c r="E363" s="58">
        <v>390</v>
      </c>
      <c r="F363" s="58">
        <v>545</v>
      </c>
      <c r="G363" s="58">
        <v>286</v>
      </c>
      <c r="H363" s="58">
        <v>156</v>
      </c>
      <c r="I363" s="58">
        <v>133</v>
      </c>
      <c r="J363" s="58">
        <v>393</v>
      </c>
    </row>
    <row r="364" spans="1:10">
      <c r="A364" s="66">
        <v>45799</v>
      </c>
      <c r="B364" s="58">
        <v>2747</v>
      </c>
      <c r="C364" s="58">
        <v>505</v>
      </c>
      <c r="D364" s="58">
        <v>314</v>
      </c>
      <c r="E364" s="58">
        <v>434</v>
      </c>
      <c r="F364" s="58">
        <v>521</v>
      </c>
      <c r="G364" s="58">
        <v>244</v>
      </c>
      <c r="H364" s="58">
        <v>180</v>
      </c>
      <c r="I364" s="58">
        <v>138</v>
      </c>
      <c r="J364" s="58">
        <v>411</v>
      </c>
    </row>
    <row r="365" spans="1:10">
      <c r="A365" s="66">
        <v>45800</v>
      </c>
      <c r="B365" s="58">
        <v>3130</v>
      </c>
      <c r="C365" s="58">
        <v>606</v>
      </c>
      <c r="D365" s="58">
        <v>368</v>
      </c>
      <c r="E365" s="58">
        <v>491</v>
      </c>
      <c r="F365" s="58">
        <v>635</v>
      </c>
      <c r="G365" s="58">
        <v>317</v>
      </c>
      <c r="H365" s="58">
        <v>187</v>
      </c>
      <c r="I365" s="58">
        <v>139</v>
      </c>
      <c r="J365" s="58">
        <v>387</v>
      </c>
    </row>
    <row r="366" spans="1:10">
      <c r="A366" s="66">
        <v>45801</v>
      </c>
      <c r="B366" s="58">
        <v>0</v>
      </c>
      <c r="C366" s="58">
        <v>0</v>
      </c>
      <c r="D366" s="58">
        <v>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</row>
    <row r="367" spans="1:10">
      <c r="A367" s="66">
        <v>45802</v>
      </c>
      <c r="B367" s="58">
        <v>0</v>
      </c>
      <c r="C367" s="58">
        <v>0</v>
      </c>
      <c r="D367" s="58">
        <v>0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</row>
    <row r="368" spans="1:10">
      <c r="A368" s="66">
        <v>45803</v>
      </c>
      <c r="B368" s="58">
        <v>3543</v>
      </c>
      <c r="C368" s="58">
        <v>647</v>
      </c>
      <c r="D368" s="58">
        <v>395</v>
      </c>
      <c r="E368" s="58">
        <v>584</v>
      </c>
      <c r="F368" s="58">
        <v>630</v>
      </c>
      <c r="G368" s="58">
        <v>397</v>
      </c>
      <c r="H368" s="58">
        <v>253</v>
      </c>
      <c r="I368" s="58">
        <v>169</v>
      </c>
      <c r="J368" s="58">
        <v>468</v>
      </c>
    </row>
    <row r="369" spans="1:10">
      <c r="A369" s="66">
        <v>45804</v>
      </c>
      <c r="B369" s="58">
        <v>3016</v>
      </c>
      <c r="C369" s="58">
        <v>568</v>
      </c>
      <c r="D369" s="58">
        <v>347</v>
      </c>
      <c r="E369" s="58">
        <v>504</v>
      </c>
      <c r="F369" s="58">
        <v>494</v>
      </c>
      <c r="G369" s="58">
        <v>332</v>
      </c>
      <c r="H369" s="58">
        <v>200</v>
      </c>
      <c r="I369" s="58">
        <v>132</v>
      </c>
      <c r="J369" s="58">
        <v>439</v>
      </c>
    </row>
    <row r="370" spans="1:10">
      <c r="A370" s="66">
        <v>45805</v>
      </c>
      <c r="B370" s="58">
        <v>2859</v>
      </c>
      <c r="C370" s="58">
        <v>528</v>
      </c>
      <c r="D370" s="58">
        <v>303</v>
      </c>
      <c r="E370" s="58">
        <v>503</v>
      </c>
      <c r="F370" s="58">
        <v>555</v>
      </c>
      <c r="G370" s="58">
        <v>290</v>
      </c>
      <c r="H370" s="58">
        <v>157</v>
      </c>
      <c r="I370" s="58">
        <v>148</v>
      </c>
      <c r="J370" s="58">
        <v>375</v>
      </c>
    </row>
    <row r="371" spans="1:10">
      <c r="A371" s="66">
        <v>45806</v>
      </c>
      <c r="B371" s="58">
        <v>2828</v>
      </c>
      <c r="C371" s="58">
        <v>504</v>
      </c>
      <c r="D371" s="58">
        <v>322</v>
      </c>
      <c r="E371" s="58">
        <v>477</v>
      </c>
      <c r="F371" s="58">
        <v>578</v>
      </c>
      <c r="G371" s="58">
        <v>276</v>
      </c>
      <c r="H371" s="58">
        <v>164</v>
      </c>
      <c r="I371" s="58">
        <v>144</v>
      </c>
      <c r="J371" s="58">
        <v>363</v>
      </c>
    </row>
    <row r="372" spans="1:10">
      <c r="A372" s="66">
        <v>45807</v>
      </c>
      <c r="B372" s="58">
        <v>2824</v>
      </c>
      <c r="C372" s="58">
        <v>499</v>
      </c>
      <c r="D372" s="58">
        <v>310</v>
      </c>
      <c r="E372" s="58">
        <v>460</v>
      </c>
      <c r="F372" s="58">
        <v>568</v>
      </c>
      <c r="G372" s="58">
        <v>303</v>
      </c>
      <c r="H372" s="58">
        <v>197</v>
      </c>
      <c r="I372" s="58">
        <v>116</v>
      </c>
      <c r="J372" s="58">
        <v>371</v>
      </c>
    </row>
    <row r="373" spans="1:10">
      <c r="A373" s="66">
        <v>45808</v>
      </c>
      <c r="B373" s="58">
        <v>0</v>
      </c>
      <c r="C373" s="58">
        <v>0</v>
      </c>
      <c r="D373" s="58">
        <v>0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</row>
    <row r="374" spans="1:10">
      <c r="A374" s="66">
        <v>45809</v>
      </c>
      <c r="B374" s="58">
        <v>0</v>
      </c>
      <c r="C374" s="58">
        <v>0</v>
      </c>
      <c r="D374" s="58">
        <v>0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</row>
    <row r="375" spans="1:10">
      <c r="A375" s="66">
        <v>45810</v>
      </c>
      <c r="B375" s="58">
        <v>3649</v>
      </c>
      <c r="C375" s="58">
        <v>679</v>
      </c>
      <c r="D375" s="58">
        <v>402</v>
      </c>
      <c r="E375" s="58">
        <v>610</v>
      </c>
      <c r="F375" s="58">
        <v>652</v>
      </c>
      <c r="G375" s="58">
        <v>380</v>
      </c>
      <c r="H375" s="58">
        <v>241</v>
      </c>
      <c r="I375" s="58">
        <v>208</v>
      </c>
      <c r="J375" s="58">
        <v>477</v>
      </c>
    </row>
    <row r="376" spans="1:10">
      <c r="A376" s="66">
        <v>45811</v>
      </c>
      <c r="B376" s="58">
        <v>2848</v>
      </c>
      <c r="C376" s="58">
        <v>493</v>
      </c>
      <c r="D376" s="58">
        <v>341</v>
      </c>
      <c r="E376" s="58">
        <v>482</v>
      </c>
      <c r="F376" s="58">
        <v>474</v>
      </c>
      <c r="G376" s="58">
        <v>322</v>
      </c>
      <c r="H376" s="58">
        <v>188</v>
      </c>
      <c r="I376" s="58">
        <v>120</v>
      </c>
      <c r="J376" s="58">
        <v>428</v>
      </c>
    </row>
    <row r="377" spans="1:10">
      <c r="A377" s="66">
        <v>45812</v>
      </c>
      <c r="B377" s="58">
        <v>3364</v>
      </c>
      <c r="C377" s="58">
        <v>601</v>
      </c>
      <c r="D377" s="58">
        <v>358</v>
      </c>
      <c r="E377" s="58">
        <v>527</v>
      </c>
      <c r="F377" s="58">
        <v>713</v>
      </c>
      <c r="G377" s="58">
        <v>367</v>
      </c>
      <c r="H377" s="58">
        <v>179</v>
      </c>
      <c r="I377" s="58">
        <v>141</v>
      </c>
      <c r="J377" s="58">
        <v>478</v>
      </c>
    </row>
    <row r="378" spans="1:10">
      <c r="A378" s="66">
        <v>45813</v>
      </c>
      <c r="B378" s="58">
        <v>3025</v>
      </c>
      <c r="C378" s="58">
        <v>549</v>
      </c>
      <c r="D378" s="58">
        <v>319</v>
      </c>
      <c r="E378" s="58">
        <v>520</v>
      </c>
      <c r="F378" s="58">
        <v>539</v>
      </c>
      <c r="G378" s="58">
        <v>290</v>
      </c>
      <c r="H378" s="58">
        <v>224</v>
      </c>
      <c r="I378" s="58">
        <v>165</v>
      </c>
      <c r="J378" s="58">
        <v>419</v>
      </c>
    </row>
    <row r="379" spans="1:10">
      <c r="A379" s="66">
        <v>45814</v>
      </c>
      <c r="B379" s="58">
        <v>3254</v>
      </c>
      <c r="C379" s="58">
        <v>591</v>
      </c>
      <c r="D379" s="58">
        <v>361</v>
      </c>
      <c r="E379" s="58">
        <v>528</v>
      </c>
      <c r="F379" s="58">
        <v>617</v>
      </c>
      <c r="G379" s="58">
        <v>340</v>
      </c>
      <c r="H379" s="58">
        <v>201</v>
      </c>
      <c r="I379" s="58">
        <v>211</v>
      </c>
      <c r="J379" s="58">
        <v>405</v>
      </c>
    </row>
    <row r="380" spans="1:10">
      <c r="A380" s="66">
        <v>45815</v>
      </c>
      <c r="B380" s="58">
        <v>0</v>
      </c>
      <c r="C380" s="58">
        <v>0</v>
      </c>
      <c r="D380" s="58">
        <v>0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</row>
    <row r="381" spans="1:10">
      <c r="A381" s="66">
        <v>45816</v>
      </c>
      <c r="B381" s="58">
        <v>0</v>
      </c>
      <c r="C381" s="58">
        <v>0</v>
      </c>
      <c r="D381" s="58">
        <v>0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</row>
    <row r="382" spans="1:10">
      <c r="A382" s="66">
        <v>45817</v>
      </c>
      <c r="B382" s="58">
        <v>3245</v>
      </c>
      <c r="C382" s="58">
        <v>558</v>
      </c>
      <c r="D382" s="58">
        <v>363</v>
      </c>
      <c r="E382" s="58">
        <v>574</v>
      </c>
      <c r="F382" s="58">
        <v>544</v>
      </c>
      <c r="G382" s="58">
        <v>334</v>
      </c>
      <c r="H382" s="58">
        <v>219</v>
      </c>
      <c r="I382" s="58">
        <v>194</v>
      </c>
      <c r="J382" s="58">
        <v>459</v>
      </c>
    </row>
    <row r="383" spans="1:10">
      <c r="A383" s="66">
        <v>45818</v>
      </c>
      <c r="B383" s="58">
        <v>2521</v>
      </c>
      <c r="C383" s="58">
        <v>391</v>
      </c>
      <c r="D383" s="58">
        <v>321</v>
      </c>
      <c r="E383" s="58">
        <v>380</v>
      </c>
      <c r="F383" s="58">
        <v>438</v>
      </c>
      <c r="G383" s="58">
        <v>296</v>
      </c>
      <c r="H383" s="58">
        <v>162</v>
      </c>
      <c r="I383" s="58">
        <v>153</v>
      </c>
      <c r="J383" s="58">
        <v>380</v>
      </c>
    </row>
    <row r="384" spans="1:10">
      <c r="A384" s="66">
        <v>45819</v>
      </c>
      <c r="B384" s="58">
        <v>3151</v>
      </c>
      <c r="C384" s="58">
        <v>588</v>
      </c>
      <c r="D384" s="58">
        <v>338</v>
      </c>
      <c r="E384" s="58">
        <v>535</v>
      </c>
      <c r="F384" s="58">
        <v>546</v>
      </c>
      <c r="G384" s="58">
        <v>334</v>
      </c>
      <c r="H384" s="58">
        <v>195</v>
      </c>
      <c r="I384" s="58">
        <v>160</v>
      </c>
      <c r="J384" s="58">
        <v>455</v>
      </c>
    </row>
    <row r="385" spans="1:10">
      <c r="A385" s="66">
        <v>45820</v>
      </c>
      <c r="B385" s="58">
        <v>2934</v>
      </c>
      <c r="C385" s="58">
        <v>502</v>
      </c>
      <c r="D385" s="58">
        <v>311</v>
      </c>
      <c r="E385" s="58">
        <v>531</v>
      </c>
      <c r="F385" s="58">
        <v>550</v>
      </c>
      <c r="G385" s="58">
        <v>301</v>
      </c>
      <c r="H385" s="58">
        <v>194</v>
      </c>
      <c r="I385" s="58">
        <v>149</v>
      </c>
      <c r="J385" s="58">
        <v>396</v>
      </c>
    </row>
    <row r="386" spans="1:10">
      <c r="A386" s="66">
        <v>45821</v>
      </c>
      <c r="B386" s="58">
        <v>3398</v>
      </c>
      <c r="C386" s="58">
        <v>639</v>
      </c>
      <c r="D386" s="58">
        <v>420</v>
      </c>
      <c r="E386" s="58">
        <v>545</v>
      </c>
      <c r="F386" s="58">
        <v>630</v>
      </c>
      <c r="G386" s="58">
        <v>333</v>
      </c>
      <c r="H386" s="58">
        <v>182</v>
      </c>
      <c r="I386" s="58">
        <v>147</v>
      </c>
      <c r="J386" s="58">
        <v>502</v>
      </c>
    </row>
    <row r="387" spans="1:10">
      <c r="A387" s="66">
        <v>45822</v>
      </c>
      <c r="B387" s="58">
        <v>0</v>
      </c>
      <c r="C387" s="58">
        <v>0</v>
      </c>
      <c r="D387" s="58">
        <v>0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</row>
    <row r="388" spans="1:10">
      <c r="A388" s="66">
        <v>45823</v>
      </c>
      <c r="B388" s="58">
        <v>0</v>
      </c>
      <c r="C388" s="58">
        <v>0</v>
      </c>
      <c r="D388" s="58">
        <v>0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</row>
    <row r="389" spans="1:10">
      <c r="A389" s="66">
        <v>45824</v>
      </c>
      <c r="B389" s="58">
        <v>3641</v>
      </c>
      <c r="C389" s="58">
        <v>688</v>
      </c>
      <c r="D389" s="58">
        <v>393</v>
      </c>
      <c r="E389" s="58">
        <v>587</v>
      </c>
      <c r="F389" s="58">
        <v>670</v>
      </c>
      <c r="G389" s="58">
        <v>365</v>
      </c>
      <c r="H389" s="58">
        <v>237</v>
      </c>
      <c r="I389" s="58">
        <v>188</v>
      </c>
      <c r="J389" s="58">
        <v>513</v>
      </c>
    </row>
    <row r="390" spans="1:10">
      <c r="A390" s="66">
        <v>45825</v>
      </c>
      <c r="B390" s="58">
        <v>3126</v>
      </c>
      <c r="C390" s="58">
        <v>635</v>
      </c>
      <c r="D390" s="58">
        <v>348</v>
      </c>
      <c r="E390" s="58">
        <v>506</v>
      </c>
      <c r="F390" s="58">
        <v>542</v>
      </c>
      <c r="G390" s="58">
        <v>291</v>
      </c>
      <c r="H390" s="58">
        <v>193</v>
      </c>
      <c r="I390" s="58">
        <v>163</v>
      </c>
      <c r="J390" s="58">
        <v>448</v>
      </c>
    </row>
    <row r="391" spans="1:10">
      <c r="A391" s="66">
        <v>45826</v>
      </c>
      <c r="B391" s="58">
        <v>3011</v>
      </c>
      <c r="C391" s="58">
        <v>606</v>
      </c>
      <c r="D391" s="58">
        <v>311</v>
      </c>
      <c r="E391" s="58">
        <v>480</v>
      </c>
      <c r="F391" s="58">
        <v>541</v>
      </c>
      <c r="G391" s="58">
        <v>299</v>
      </c>
      <c r="H391" s="58">
        <v>176</v>
      </c>
      <c r="I391" s="58">
        <v>178</v>
      </c>
      <c r="J391" s="58">
        <v>420</v>
      </c>
    </row>
    <row r="392" spans="1:10">
      <c r="A392" s="66">
        <v>45827</v>
      </c>
      <c r="B392" s="58">
        <v>2705</v>
      </c>
      <c r="C392" s="58">
        <v>523</v>
      </c>
      <c r="D392" s="58">
        <v>296</v>
      </c>
      <c r="E392" s="58">
        <v>436</v>
      </c>
      <c r="F392" s="58">
        <v>453</v>
      </c>
      <c r="G392" s="58">
        <v>280</v>
      </c>
      <c r="H392" s="58">
        <v>155</v>
      </c>
      <c r="I392" s="58">
        <v>135</v>
      </c>
      <c r="J392" s="58">
        <v>427</v>
      </c>
    </row>
    <row r="393" spans="1:10">
      <c r="A393" s="66">
        <v>45828</v>
      </c>
      <c r="B393" s="58">
        <v>3011</v>
      </c>
      <c r="C393" s="58">
        <v>623</v>
      </c>
      <c r="D393" s="58">
        <v>296</v>
      </c>
      <c r="E393" s="58">
        <v>476</v>
      </c>
      <c r="F393" s="58">
        <v>534</v>
      </c>
      <c r="G393" s="58">
        <v>308</v>
      </c>
      <c r="H393" s="58">
        <v>192</v>
      </c>
      <c r="I393" s="58">
        <v>154</v>
      </c>
      <c r="J393" s="58">
        <v>428</v>
      </c>
    </row>
    <row r="394" spans="1:10">
      <c r="A394" s="66">
        <v>45829</v>
      </c>
      <c r="B394" s="58">
        <v>0</v>
      </c>
      <c r="C394" s="58">
        <v>0</v>
      </c>
      <c r="D394" s="58">
        <v>0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</row>
    <row r="395" spans="1:10">
      <c r="A395" s="66">
        <v>45830</v>
      </c>
      <c r="B395" s="58">
        <v>0</v>
      </c>
      <c r="C395" s="58">
        <v>0</v>
      </c>
      <c r="D395" s="58">
        <v>0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</row>
    <row r="396" spans="1:10">
      <c r="A396" s="66">
        <v>45831</v>
      </c>
      <c r="B396" s="58">
        <v>3103</v>
      </c>
      <c r="C396" s="58">
        <v>578</v>
      </c>
      <c r="D396" s="58">
        <v>335</v>
      </c>
      <c r="E396" s="58">
        <v>529</v>
      </c>
      <c r="F396" s="58">
        <v>549</v>
      </c>
      <c r="G396" s="58">
        <v>314</v>
      </c>
      <c r="H396" s="58">
        <v>198</v>
      </c>
      <c r="I396" s="58">
        <v>188</v>
      </c>
      <c r="J396" s="58">
        <v>412</v>
      </c>
    </row>
    <row r="397" spans="1:10">
      <c r="A397" s="66">
        <v>45832</v>
      </c>
      <c r="B397" s="58">
        <v>2485</v>
      </c>
      <c r="C397" s="58">
        <v>434</v>
      </c>
      <c r="D397" s="58">
        <v>283</v>
      </c>
      <c r="E397" s="58">
        <v>390</v>
      </c>
      <c r="F397" s="58">
        <v>438</v>
      </c>
      <c r="G397" s="58">
        <v>314</v>
      </c>
      <c r="H397" s="58">
        <v>164</v>
      </c>
      <c r="I397" s="58">
        <v>108</v>
      </c>
      <c r="J397" s="58">
        <v>354</v>
      </c>
    </row>
    <row r="398" spans="1:10">
      <c r="A398" s="66">
        <v>45833</v>
      </c>
      <c r="B398" s="58">
        <v>2831</v>
      </c>
      <c r="C398" s="58">
        <v>508</v>
      </c>
      <c r="D398" s="58">
        <v>367</v>
      </c>
      <c r="E398" s="58">
        <v>427</v>
      </c>
      <c r="F398" s="58">
        <v>516</v>
      </c>
      <c r="G398" s="58">
        <v>302</v>
      </c>
      <c r="H398" s="58">
        <v>180</v>
      </c>
      <c r="I398" s="58">
        <v>131</v>
      </c>
      <c r="J398" s="58">
        <v>400</v>
      </c>
    </row>
    <row r="399" spans="1:10">
      <c r="A399" s="66">
        <v>45834</v>
      </c>
      <c r="B399" s="58">
        <v>2855</v>
      </c>
      <c r="C399" s="58">
        <v>552</v>
      </c>
      <c r="D399" s="58">
        <v>286</v>
      </c>
      <c r="E399" s="58">
        <v>495</v>
      </c>
      <c r="F399" s="58">
        <v>501</v>
      </c>
      <c r="G399" s="58">
        <v>288</v>
      </c>
      <c r="H399" s="58">
        <v>168</v>
      </c>
      <c r="I399" s="58">
        <v>164</v>
      </c>
      <c r="J399" s="58">
        <v>401</v>
      </c>
    </row>
    <row r="400" spans="1:10">
      <c r="A400" s="66">
        <v>45835</v>
      </c>
      <c r="B400" s="58">
        <v>3235</v>
      </c>
      <c r="C400" s="58">
        <v>625</v>
      </c>
      <c r="D400" s="58">
        <v>376</v>
      </c>
      <c r="E400" s="58">
        <v>507</v>
      </c>
      <c r="F400" s="58">
        <v>600</v>
      </c>
      <c r="G400" s="58">
        <v>316</v>
      </c>
      <c r="H400" s="58">
        <v>187</v>
      </c>
      <c r="I400" s="58">
        <v>169</v>
      </c>
      <c r="J400" s="58">
        <v>455</v>
      </c>
    </row>
    <row r="401" spans="1:10">
      <c r="A401" s="66">
        <v>45836</v>
      </c>
      <c r="B401" s="58">
        <v>0</v>
      </c>
      <c r="C401" s="58">
        <v>0</v>
      </c>
      <c r="D401" s="58">
        <v>0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</row>
    <row r="402" spans="1:10">
      <c r="A402" s="66">
        <v>45837</v>
      </c>
      <c r="B402" s="58">
        <v>0</v>
      </c>
      <c r="C402" s="58">
        <v>0</v>
      </c>
      <c r="D402" s="58">
        <v>0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</row>
    <row r="403" spans="1:10">
      <c r="A403" s="66">
        <v>45838</v>
      </c>
      <c r="B403" s="58">
        <v>3630</v>
      </c>
      <c r="C403" s="58">
        <v>720</v>
      </c>
      <c r="D403" s="58">
        <v>425</v>
      </c>
      <c r="E403" s="58">
        <v>594</v>
      </c>
      <c r="F403" s="58">
        <v>629</v>
      </c>
      <c r="G403" s="58">
        <v>347</v>
      </c>
      <c r="H403" s="58">
        <v>211</v>
      </c>
      <c r="I403" s="58">
        <v>234</v>
      </c>
      <c r="J403" s="58">
        <v>470</v>
      </c>
    </row>
    <row r="404" spans="1:10">
      <c r="A404" s="66">
        <v>45839</v>
      </c>
      <c r="B404" s="58">
        <v>3024</v>
      </c>
      <c r="C404" s="58">
        <v>567</v>
      </c>
      <c r="D404" s="58">
        <v>356</v>
      </c>
      <c r="E404" s="58">
        <v>491</v>
      </c>
      <c r="F404" s="58">
        <v>543</v>
      </c>
      <c r="G404" s="58">
        <v>312</v>
      </c>
      <c r="H404" s="58">
        <v>164</v>
      </c>
      <c r="I404" s="58">
        <v>175</v>
      </c>
      <c r="J404" s="58">
        <v>416</v>
      </c>
    </row>
    <row r="405" spans="1:10">
      <c r="A405" s="66">
        <v>45840</v>
      </c>
      <c r="B405" s="58">
        <v>2912</v>
      </c>
      <c r="C405" s="58">
        <v>543</v>
      </c>
      <c r="D405" s="58">
        <v>323</v>
      </c>
      <c r="E405" s="58">
        <v>480</v>
      </c>
      <c r="F405" s="58">
        <v>493</v>
      </c>
      <c r="G405" s="58">
        <v>308</v>
      </c>
      <c r="H405" s="58">
        <v>164</v>
      </c>
      <c r="I405" s="58">
        <v>136</v>
      </c>
      <c r="J405" s="58">
        <v>465</v>
      </c>
    </row>
    <row r="406" spans="1:10">
      <c r="A406" s="66">
        <v>45841</v>
      </c>
      <c r="B406" s="58">
        <v>2856</v>
      </c>
      <c r="C406" s="58">
        <v>561</v>
      </c>
      <c r="D406" s="58">
        <v>298</v>
      </c>
      <c r="E406" s="58">
        <v>454</v>
      </c>
      <c r="F406" s="58">
        <v>502</v>
      </c>
      <c r="G406" s="58">
        <v>302</v>
      </c>
      <c r="H406" s="58">
        <v>189</v>
      </c>
      <c r="I406" s="58">
        <v>153</v>
      </c>
      <c r="J406" s="58">
        <v>397</v>
      </c>
    </row>
    <row r="407" spans="1:10">
      <c r="A407" s="66">
        <v>45842</v>
      </c>
      <c r="B407" s="58">
        <v>3048</v>
      </c>
      <c r="C407" s="58">
        <v>585</v>
      </c>
      <c r="D407" s="58">
        <v>357</v>
      </c>
      <c r="E407" s="58">
        <v>484</v>
      </c>
      <c r="F407" s="58">
        <v>551</v>
      </c>
      <c r="G407" s="58">
        <v>305</v>
      </c>
      <c r="H407" s="58">
        <v>176</v>
      </c>
      <c r="I407" s="58">
        <v>162</v>
      </c>
      <c r="J407" s="58">
        <v>428</v>
      </c>
    </row>
    <row r="408" spans="1:10">
      <c r="A408" s="66">
        <v>45843</v>
      </c>
      <c r="B408" s="58">
        <v>0</v>
      </c>
      <c r="C408" s="58">
        <v>0</v>
      </c>
      <c r="D408" s="58">
        <v>0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</row>
    <row r="409" spans="1:10">
      <c r="A409" s="66">
        <v>45844</v>
      </c>
      <c r="B409" s="58">
        <v>0</v>
      </c>
      <c r="C409" s="58">
        <v>0</v>
      </c>
      <c r="D409" s="58">
        <v>0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</row>
    <row r="410" spans="1:10">
      <c r="A410" s="66">
        <v>45845</v>
      </c>
      <c r="B410" s="58">
        <v>3688</v>
      </c>
      <c r="C410" s="58">
        <v>730</v>
      </c>
      <c r="D410" s="58">
        <v>440</v>
      </c>
      <c r="E410" s="58">
        <v>600</v>
      </c>
      <c r="F410" s="58">
        <v>671</v>
      </c>
      <c r="G410" s="58">
        <v>381</v>
      </c>
      <c r="H410" s="58">
        <v>204</v>
      </c>
      <c r="I410" s="58">
        <v>191</v>
      </c>
      <c r="J410" s="58">
        <v>471</v>
      </c>
    </row>
    <row r="411" spans="1:10">
      <c r="A411" s="66">
        <v>45846</v>
      </c>
      <c r="B411" s="58">
        <v>3069</v>
      </c>
      <c r="C411" s="58">
        <v>581</v>
      </c>
      <c r="D411" s="58">
        <v>328</v>
      </c>
      <c r="E411" s="58">
        <v>507</v>
      </c>
      <c r="F411" s="58">
        <v>542</v>
      </c>
      <c r="G411" s="58">
        <v>288</v>
      </c>
      <c r="H411" s="58">
        <v>201</v>
      </c>
      <c r="I411" s="58">
        <v>146</v>
      </c>
      <c r="J411" s="58">
        <v>476</v>
      </c>
    </row>
    <row r="412" spans="1:10">
      <c r="A412" s="66">
        <v>45847</v>
      </c>
      <c r="B412" s="58">
        <v>2924</v>
      </c>
      <c r="C412" s="58">
        <v>524</v>
      </c>
      <c r="D412" s="58">
        <v>296</v>
      </c>
      <c r="E412" s="58">
        <v>475</v>
      </c>
      <c r="F412" s="58">
        <v>500</v>
      </c>
      <c r="G412" s="58">
        <v>323</v>
      </c>
      <c r="H412" s="58">
        <v>194</v>
      </c>
      <c r="I412" s="58">
        <v>170</v>
      </c>
      <c r="J412" s="58">
        <v>442</v>
      </c>
    </row>
    <row r="413" spans="1:10">
      <c r="A413" s="66">
        <v>45848</v>
      </c>
      <c r="B413" s="58">
        <v>2859</v>
      </c>
      <c r="C413" s="58">
        <v>552</v>
      </c>
      <c r="D413" s="58">
        <v>319</v>
      </c>
      <c r="E413" s="58">
        <v>468</v>
      </c>
      <c r="F413" s="58">
        <v>497</v>
      </c>
      <c r="G413" s="58">
        <v>296</v>
      </c>
      <c r="H413" s="58">
        <v>157</v>
      </c>
      <c r="I413" s="58">
        <v>146</v>
      </c>
      <c r="J413" s="58">
        <v>424</v>
      </c>
    </row>
    <row r="414" spans="1:10">
      <c r="A414" s="66">
        <v>45849</v>
      </c>
      <c r="B414" s="58">
        <v>2973</v>
      </c>
      <c r="C414" s="58">
        <v>586</v>
      </c>
      <c r="D414" s="58">
        <v>335</v>
      </c>
      <c r="E414" s="58">
        <v>492</v>
      </c>
      <c r="F414" s="58">
        <v>514</v>
      </c>
      <c r="G414" s="58">
        <v>303</v>
      </c>
      <c r="H414" s="58">
        <v>192</v>
      </c>
      <c r="I414" s="58">
        <v>167</v>
      </c>
      <c r="J414" s="58">
        <v>384</v>
      </c>
    </row>
    <row r="415" spans="1:10">
      <c r="A415" s="66">
        <v>45850</v>
      </c>
      <c r="B415" s="58">
        <v>0</v>
      </c>
      <c r="C415" s="58">
        <v>0</v>
      </c>
      <c r="D415" s="58">
        <v>0</v>
      </c>
      <c r="E415" s="58">
        <v>0</v>
      </c>
      <c r="F415" s="58">
        <v>0</v>
      </c>
      <c r="G415" s="58">
        <v>0</v>
      </c>
      <c r="H415" s="58">
        <v>0</v>
      </c>
      <c r="I415" s="58">
        <v>0</v>
      </c>
      <c r="J415" s="58">
        <v>0</v>
      </c>
    </row>
    <row r="416" spans="1:10">
      <c r="A416" s="66">
        <v>45851</v>
      </c>
      <c r="B416" s="58">
        <v>675</v>
      </c>
      <c r="C416" s="58">
        <v>201</v>
      </c>
      <c r="D416" s="58">
        <v>141</v>
      </c>
      <c r="E416" s="58">
        <v>182</v>
      </c>
      <c r="F416" s="58">
        <v>0</v>
      </c>
      <c r="G416" s="58">
        <v>111</v>
      </c>
      <c r="H416" s="58">
        <v>0</v>
      </c>
      <c r="I416" s="58">
        <v>40</v>
      </c>
      <c r="J416" s="58">
        <v>0</v>
      </c>
    </row>
    <row r="417" spans="1:10">
      <c r="A417" s="66">
        <v>45852</v>
      </c>
      <c r="B417" s="58">
        <v>2973</v>
      </c>
      <c r="C417" s="58">
        <v>548</v>
      </c>
      <c r="D417" s="58">
        <v>322</v>
      </c>
      <c r="E417" s="58">
        <v>458</v>
      </c>
      <c r="F417" s="58">
        <v>553</v>
      </c>
      <c r="G417" s="58">
        <v>318</v>
      </c>
      <c r="H417" s="58">
        <v>196</v>
      </c>
      <c r="I417" s="58">
        <v>159</v>
      </c>
      <c r="J417" s="58">
        <v>419</v>
      </c>
    </row>
    <row r="418" spans="1:10">
      <c r="A418" s="66">
        <v>45853</v>
      </c>
      <c r="B418" s="58">
        <v>3229</v>
      </c>
      <c r="C418" s="58">
        <v>685</v>
      </c>
      <c r="D418" s="58">
        <v>325</v>
      </c>
      <c r="E418" s="58">
        <v>519</v>
      </c>
      <c r="F418" s="58">
        <v>551</v>
      </c>
      <c r="G418" s="58">
        <v>344</v>
      </c>
      <c r="H418" s="58">
        <v>157</v>
      </c>
      <c r="I418" s="58">
        <v>180</v>
      </c>
      <c r="J418" s="58">
        <v>468</v>
      </c>
    </row>
    <row r="419" spans="1:10">
      <c r="A419" s="66">
        <v>45854</v>
      </c>
      <c r="B419" s="58">
        <v>2989</v>
      </c>
      <c r="C419" s="58">
        <v>607</v>
      </c>
      <c r="D419" s="58">
        <v>295</v>
      </c>
      <c r="E419" s="58">
        <v>444</v>
      </c>
      <c r="F419" s="58">
        <v>563</v>
      </c>
      <c r="G419" s="58">
        <v>338</v>
      </c>
      <c r="H419" s="58">
        <v>168</v>
      </c>
      <c r="I419" s="58">
        <v>150</v>
      </c>
      <c r="J419" s="58">
        <v>424</v>
      </c>
    </row>
    <row r="420" spans="1:10">
      <c r="A420" s="66">
        <v>45855</v>
      </c>
      <c r="B420" s="58">
        <v>2622</v>
      </c>
      <c r="C420" s="58">
        <v>477</v>
      </c>
      <c r="D420" s="58">
        <v>299</v>
      </c>
      <c r="E420" s="58">
        <v>400</v>
      </c>
      <c r="F420" s="58">
        <v>507</v>
      </c>
      <c r="G420" s="58">
        <v>282</v>
      </c>
      <c r="H420" s="58">
        <v>150</v>
      </c>
      <c r="I420" s="58">
        <v>135</v>
      </c>
      <c r="J420" s="58">
        <v>372</v>
      </c>
    </row>
    <row r="421" spans="1:10">
      <c r="A421" s="66">
        <v>45856</v>
      </c>
      <c r="B421" s="58">
        <v>2841</v>
      </c>
      <c r="C421" s="58">
        <v>490</v>
      </c>
      <c r="D421" s="58">
        <v>312</v>
      </c>
      <c r="E421" s="58">
        <v>448</v>
      </c>
      <c r="F421" s="58">
        <v>528</v>
      </c>
      <c r="G421" s="58">
        <v>269</v>
      </c>
      <c r="H421" s="58">
        <v>222</v>
      </c>
      <c r="I421" s="58">
        <v>147</v>
      </c>
      <c r="J421" s="58">
        <v>425</v>
      </c>
    </row>
    <row r="422" spans="1:10">
      <c r="A422" s="66">
        <v>45857</v>
      </c>
      <c r="B422" s="58">
        <v>0</v>
      </c>
      <c r="C422" s="58">
        <v>0</v>
      </c>
      <c r="D422" s="58">
        <v>0</v>
      </c>
      <c r="E422" s="58">
        <v>0</v>
      </c>
      <c r="F422" s="58">
        <v>0</v>
      </c>
      <c r="G422" s="58">
        <v>0</v>
      </c>
      <c r="H422" s="58">
        <v>0</v>
      </c>
      <c r="I422" s="58">
        <v>0</v>
      </c>
      <c r="J422" s="58">
        <v>0</v>
      </c>
    </row>
    <row r="423" spans="1:10">
      <c r="A423" s="66">
        <v>45858</v>
      </c>
      <c r="B423" s="58">
        <v>0</v>
      </c>
      <c r="C423" s="58">
        <v>0</v>
      </c>
      <c r="D423" s="58">
        <v>0</v>
      </c>
      <c r="E423" s="58">
        <v>0</v>
      </c>
      <c r="F423" s="58">
        <v>0</v>
      </c>
      <c r="G423" s="58">
        <v>0</v>
      </c>
      <c r="H423" s="58">
        <v>0</v>
      </c>
      <c r="I423" s="58">
        <v>0</v>
      </c>
      <c r="J423" s="58">
        <v>0</v>
      </c>
    </row>
    <row r="424" spans="1:10">
      <c r="A424" s="66">
        <v>45859</v>
      </c>
      <c r="B424" s="58">
        <v>0</v>
      </c>
      <c r="C424" s="58">
        <v>0</v>
      </c>
      <c r="D424" s="58">
        <v>0</v>
      </c>
      <c r="E424" s="58">
        <v>0</v>
      </c>
      <c r="F424" s="58">
        <v>0</v>
      </c>
      <c r="G424" s="58">
        <v>0</v>
      </c>
      <c r="H424" s="58">
        <v>0</v>
      </c>
      <c r="I424" s="58">
        <v>0</v>
      </c>
      <c r="J424" s="58">
        <v>0</v>
      </c>
    </row>
    <row r="425" spans="1:10">
      <c r="A425" s="66">
        <v>45860</v>
      </c>
      <c r="B425" s="58">
        <v>3363</v>
      </c>
      <c r="C425" s="58">
        <v>606</v>
      </c>
      <c r="D425" s="58">
        <v>343</v>
      </c>
      <c r="E425" s="58">
        <v>530</v>
      </c>
      <c r="F425" s="58">
        <v>653</v>
      </c>
      <c r="G425" s="58">
        <v>370</v>
      </c>
      <c r="H425" s="58">
        <v>191</v>
      </c>
      <c r="I425" s="58">
        <v>164</v>
      </c>
      <c r="J425" s="58">
        <v>506</v>
      </c>
    </row>
    <row r="426" spans="1:10">
      <c r="A426" s="66">
        <v>45861</v>
      </c>
      <c r="B426" s="58">
        <v>3228</v>
      </c>
      <c r="C426" s="58">
        <v>584</v>
      </c>
      <c r="D426" s="58">
        <v>352</v>
      </c>
      <c r="E426" s="58">
        <v>543</v>
      </c>
      <c r="F426" s="58">
        <v>600</v>
      </c>
      <c r="G426" s="58">
        <v>328</v>
      </c>
      <c r="H426" s="58">
        <v>192</v>
      </c>
      <c r="I426" s="58">
        <v>149</v>
      </c>
      <c r="J426" s="58">
        <v>480</v>
      </c>
    </row>
    <row r="427" spans="1:10">
      <c r="A427" s="66">
        <v>45862</v>
      </c>
      <c r="B427" s="58">
        <v>3353</v>
      </c>
      <c r="C427" s="58">
        <v>615</v>
      </c>
      <c r="D427" s="58">
        <v>379</v>
      </c>
      <c r="E427" s="58">
        <v>511</v>
      </c>
      <c r="F427" s="58">
        <v>581</v>
      </c>
      <c r="G427" s="58">
        <v>383</v>
      </c>
      <c r="H427" s="58">
        <v>193</v>
      </c>
      <c r="I427" s="58">
        <v>186</v>
      </c>
      <c r="J427" s="58">
        <v>505</v>
      </c>
    </row>
    <row r="428" spans="1:10">
      <c r="A428" s="66">
        <v>45863</v>
      </c>
      <c r="B428" s="58">
        <v>3222</v>
      </c>
      <c r="C428" s="58">
        <v>591</v>
      </c>
      <c r="D428" s="58">
        <v>393</v>
      </c>
      <c r="E428" s="58">
        <v>554</v>
      </c>
      <c r="F428" s="58">
        <v>553</v>
      </c>
      <c r="G428" s="58">
        <v>317</v>
      </c>
      <c r="H428" s="58">
        <v>186</v>
      </c>
      <c r="I428" s="58">
        <v>186</v>
      </c>
      <c r="J428" s="58">
        <v>442</v>
      </c>
    </row>
    <row r="429" spans="1:10">
      <c r="A429" s="66">
        <v>45864</v>
      </c>
      <c r="B429" s="58">
        <v>0</v>
      </c>
      <c r="C429" s="58">
        <v>0</v>
      </c>
      <c r="D429" s="58">
        <v>0</v>
      </c>
      <c r="E429" s="58">
        <v>0</v>
      </c>
      <c r="F429" s="58">
        <v>0</v>
      </c>
      <c r="G429" s="58">
        <v>0</v>
      </c>
      <c r="H429" s="58">
        <v>0</v>
      </c>
      <c r="I429" s="58">
        <v>0</v>
      </c>
      <c r="J429" s="58">
        <v>0</v>
      </c>
    </row>
    <row r="430" spans="1:10">
      <c r="A430" s="66">
        <v>45865</v>
      </c>
      <c r="B430" s="58">
        <v>0</v>
      </c>
      <c r="C430" s="58">
        <v>0</v>
      </c>
      <c r="D430" s="58">
        <v>0</v>
      </c>
      <c r="E430" s="58">
        <v>0</v>
      </c>
      <c r="F430" s="58">
        <v>0</v>
      </c>
      <c r="G430" s="58">
        <v>0</v>
      </c>
      <c r="H430" s="58">
        <v>0</v>
      </c>
      <c r="I430" s="58">
        <v>0</v>
      </c>
      <c r="J430" s="58">
        <v>0</v>
      </c>
    </row>
    <row r="431" spans="1:10">
      <c r="A431" s="66">
        <v>45866</v>
      </c>
      <c r="B431" s="58">
        <v>3634</v>
      </c>
      <c r="C431" s="58">
        <v>767</v>
      </c>
      <c r="D431" s="58">
        <v>417</v>
      </c>
      <c r="E431" s="58">
        <v>565</v>
      </c>
      <c r="F431" s="58">
        <v>637</v>
      </c>
      <c r="G431" s="58">
        <v>325</v>
      </c>
      <c r="H431" s="58">
        <v>209</v>
      </c>
      <c r="I431" s="58">
        <v>216</v>
      </c>
      <c r="J431" s="58">
        <v>498</v>
      </c>
    </row>
    <row r="432" spans="1:10">
      <c r="A432" s="66">
        <v>45867</v>
      </c>
      <c r="B432" s="58">
        <v>3178</v>
      </c>
      <c r="C432" s="58">
        <v>663</v>
      </c>
      <c r="D432" s="58">
        <v>308</v>
      </c>
      <c r="E432" s="58">
        <v>503</v>
      </c>
      <c r="F432" s="58">
        <v>560</v>
      </c>
      <c r="G432" s="58">
        <v>340</v>
      </c>
      <c r="H432" s="58">
        <v>185</v>
      </c>
      <c r="I432" s="58">
        <v>162</v>
      </c>
      <c r="J432" s="58">
        <v>457</v>
      </c>
    </row>
    <row r="433" spans="1:10">
      <c r="A433" s="66">
        <v>45868</v>
      </c>
      <c r="B433" s="58">
        <v>3046</v>
      </c>
      <c r="C433" s="58">
        <v>596</v>
      </c>
      <c r="D433" s="58">
        <v>321</v>
      </c>
      <c r="E433" s="58">
        <v>465</v>
      </c>
      <c r="F433" s="58">
        <v>566</v>
      </c>
      <c r="G433" s="58">
        <v>325</v>
      </c>
      <c r="H433" s="58">
        <v>162</v>
      </c>
      <c r="I433" s="58">
        <v>152</v>
      </c>
      <c r="J433" s="58">
        <v>459</v>
      </c>
    </row>
    <row r="434" spans="1:10">
      <c r="A434" s="66">
        <v>45869</v>
      </c>
      <c r="B434" s="58">
        <v>2763</v>
      </c>
      <c r="C434" s="58">
        <v>584</v>
      </c>
      <c r="D434" s="58">
        <v>292</v>
      </c>
      <c r="E434" s="58">
        <v>469</v>
      </c>
      <c r="F434" s="58">
        <v>479</v>
      </c>
      <c r="G434" s="58">
        <v>315</v>
      </c>
      <c r="H434" s="58">
        <v>133</v>
      </c>
      <c r="I434" s="58">
        <v>128</v>
      </c>
      <c r="J434" s="58">
        <v>363</v>
      </c>
    </row>
    <row r="435" spans="1:10">
      <c r="A435" s="66">
        <v>45870</v>
      </c>
      <c r="B435" s="58">
        <v>3293</v>
      </c>
      <c r="C435" s="58">
        <v>705</v>
      </c>
      <c r="D435" s="58">
        <v>380</v>
      </c>
      <c r="E435" s="58">
        <v>507</v>
      </c>
      <c r="F435" s="58">
        <v>577</v>
      </c>
      <c r="G435" s="58">
        <v>293</v>
      </c>
      <c r="H435" s="58">
        <v>146</v>
      </c>
      <c r="I435" s="58">
        <v>190</v>
      </c>
      <c r="J435" s="58">
        <v>495</v>
      </c>
    </row>
    <row r="436" spans="1:10">
      <c r="A436" s="66">
        <v>45871</v>
      </c>
      <c r="B436" s="58">
        <v>0</v>
      </c>
      <c r="C436" s="58">
        <v>0</v>
      </c>
      <c r="D436" s="58">
        <v>0</v>
      </c>
      <c r="E436" s="58">
        <v>0</v>
      </c>
      <c r="F436" s="58">
        <v>0</v>
      </c>
      <c r="G436" s="58">
        <v>0</v>
      </c>
      <c r="H436" s="58">
        <v>0</v>
      </c>
      <c r="I436" s="58">
        <v>0</v>
      </c>
      <c r="J436" s="58">
        <v>0</v>
      </c>
    </row>
    <row r="437" spans="1:10">
      <c r="A437" s="66">
        <v>45872</v>
      </c>
      <c r="B437" s="58">
        <v>0</v>
      </c>
      <c r="C437" s="58">
        <v>0</v>
      </c>
      <c r="D437" s="58">
        <v>0</v>
      </c>
      <c r="E437" s="58">
        <v>0</v>
      </c>
      <c r="F437" s="58">
        <v>0</v>
      </c>
      <c r="G437" s="58">
        <v>0</v>
      </c>
      <c r="H437" s="58">
        <v>0</v>
      </c>
      <c r="I437" s="58">
        <v>0</v>
      </c>
      <c r="J437" s="58">
        <v>0</v>
      </c>
    </row>
    <row r="438" spans="1:10">
      <c r="A438" s="66">
        <v>45873</v>
      </c>
      <c r="B438" s="58">
        <v>3262</v>
      </c>
      <c r="C438" s="58">
        <v>637</v>
      </c>
      <c r="D438" s="58">
        <v>353</v>
      </c>
      <c r="E438" s="58">
        <v>525</v>
      </c>
      <c r="F438" s="58">
        <v>585</v>
      </c>
      <c r="G438" s="58">
        <v>344</v>
      </c>
      <c r="H438" s="58">
        <v>178</v>
      </c>
      <c r="I438" s="58">
        <v>176</v>
      </c>
      <c r="J438" s="58">
        <v>464</v>
      </c>
    </row>
    <row r="439" spans="1:10">
      <c r="A439" s="66">
        <v>45874</v>
      </c>
      <c r="B439" s="58">
        <v>2902</v>
      </c>
      <c r="C439" s="58">
        <v>546</v>
      </c>
      <c r="D439" s="58">
        <v>304</v>
      </c>
      <c r="E439" s="58">
        <v>472</v>
      </c>
      <c r="F439" s="58">
        <v>511</v>
      </c>
      <c r="G439" s="58">
        <v>313</v>
      </c>
      <c r="H439" s="58">
        <v>170</v>
      </c>
      <c r="I439" s="58">
        <v>149</v>
      </c>
      <c r="J439" s="58">
        <v>437</v>
      </c>
    </row>
    <row r="440" spans="1:10">
      <c r="A440" s="66">
        <v>45875</v>
      </c>
      <c r="B440" s="58">
        <v>0</v>
      </c>
      <c r="C440" s="58">
        <v>0</v>
      </c>
      <c r="D440" s="58">
        <v>0</v>
      </c>
      <c r="E440" s="58">
        <v>0</v>
      </c>
      <c r="F440" s="58">
        <v>0</v>
      </c>
      <c r="G440" s="58">
        <v>0</v>
      </c>
      <c r="H440" s="58">
        <v>0</v>
      </c>
      <c r="I440" s="58">
        <v>0</v>
      </c>
      <c r="J440" s="58">
        <v>0</v>
      </c>
    </row>
    <row r="441" spans="1:10">
      <c r="A441" s="66">
        <v>45876</v>
      </c>
      <c r="B441" s="58">
        <v>3722</v>
      </c>
      <c r="C441" s="58">
        <v>624</v>
      </c>
      <c r="D441" s="58">
        <v>461</v>
      </c>
      <c r="E441" s="58">
        <v>570</v>
      </c>
      <c r="F441" s="58">
        <v>651</v>
      </c>
      <c r="G441" s="58">
        <v>404</v>
      </c>
      <c r="H441" s="58">
        <v>248</v>
      </c>
      <c r="I441" s="58">
        <v>213</v>
      </c>
      <c r="J441" s="58">
        <v>551</v>
      </c>
    </row>
    <row r="442" spans="1:10">
      <c r="A442" s="66">
        <v>45877</v>
      </c>
      <c r="B442" s="58">
        <v>3400</v>
      </c>
      <c r="C442" s="58">
        <v>665</v>
      </c>
      <c r="D442" s="58">
        <v>407</v>
      </c>
      <c r="E442" s="58">
        <v>501</v>
      </c>
      <c r="F442" s="58">
        <v>613</v>
      </c>
      <c r="G442" s="58">
        <v>374</v>
      </c>
      <c r="H442" s="58">
        <v>186</v>
      </c>
      <c r="I442" s="58">
        <v>161</v>
      </c>
      <c r="J442" s="58">
        <v>493</v>
      </c>
    </row>
    <row r="443" spans="1:10">
      <c r="A443" s="66">
        <v>45878</v>
      </c>
      <c r="B443" s="58">
        <v>0</v>
      </c>
      <c r="C443" s="58">
        <v>0</v>
      </c>
      <c r="D443" s="58">
        <v>0</v>
      </c>
      <c r="E443" s="58">
        <v>0</v>
      </c>
      <c r="F443" s="58">
        <v>0</v>
      </c>
      <c r="G443" s="58">
        <v>0</v>
      </c>
      <c r="H443" s="58">
        <v>0</v>
      </c>
      <c r="I443" s="58">
        <v>0</v>
      </c>
      <c r="J443" s="58">
        <v>0</v>
      </c>
    </row>
    <row r="444" spans="1:10">
      <c r="A444" s="66">
        <v>45879</v>
      </c>
      <c r="B444" s="58">
        <v>0</v>
      </c>
      <c r="C444" s="58">
        <v>0</v>
      </c>
      <c r="D444" s="58">
        <v>0</v>
      </c>
      <c r="E444" s="58">
        <v>0</v>
      </c>
      <c r="F444" s="58">
        <v>0</v>
      </c>
      <c r="G444" s="58">
        <v>0</v>
      </c>
      <c r="H444" s="58">
        <v>0</v>
      </c>
      <c r="I444" s="58">
        <v>0</v>
      </c>
      <c r="J444" s="58">
        <v>0</v>
      </c>
    </row>
    <row r="445" spans="1:10">
      <c r="A445" s="66">
        <v>45880</v>
      </c>
      <c r="B445" s="58">
        <v>0</v>
      </c>
      <c r="C445" s="58">
        <v>0</v>
      </c>
      <c r="D445" s="58">
        <v>0</v>
      </c>
      <c r="E445" s="58">
        <v>0</v>
      </c>
      <c r="F445" s="58">
        <v>0</v>
      </c>
      <c r="G445" s="58">
        <v>0</v>
      </c>
      <c r="H445" s="58">
        <v>0</v>
      </c>
      <c r="I445" s="58">
        <v>0</v>
      </c>
      <c r="J445" s="58">
        <v>0</v>
      </c>
    </row>
    <row r="446" spans="1:10">
      <c r="A446" s="66">
        <v>45881</v>
      </c>
      <c r="B446" s="58">
        <v>4680</v>
      </c>
      <c r="C446" s="58">
        <v>817</v>
      </c>
      <c r="D446" s="58">
        <v>503</v>
      </c>
      <c r="E446" s="58">
        <v>723</v>
      </c>
      <c r="F446" s="58">
        <v>833</v>
      </c>
      <c r="G446" s="58">
        <v>515</v>
      </c>
      <c r="H446" s="58">
        <v>332</v>
      </c>
      <c r="I446" s="58">
        <v>236</v>
      </c>
      <c r="J446" s="58">
        <v>721</v>
      </c>
    </row>
    <row r="447" spans="1:10">
      <c r="A447" s="66">
        <v>45882</v>
      </c>
      <c r="B447" s="58">
        <v>3501</v>
      </c>
      <c r="C447" s="58">
        <v>627</v>
      </c>
      <c r="D447" s="58">
        <v>370</v>
      </c>
      <c r="E447" s="58">
        <v>580</v>
      </c>
      <c r="F447" s="58">
        <v>674</v>
      </c>
      <c r="G447" s="58">
        <v>409</v>
      </c>
      <c r="H447" s="58">
        <v>202</v>
      </c>
      <c r="I447" s="58">
        <v>175</v>
      </c>
      <c r="J447" s="58">
        <v>464</v>
      </c>
    </row>
    <row r="448" spans="1:10">
      <c r="A448" s="66">
        <v>45883</v>
      </c>
      <c r="B448" s="58">
        <v>2970</v>
      </c>
      <c r="C448" s="58">
        <v>548</v>
      </c>
      <c r="D448" s="58">
        <v>324</v>
      </c>
      <c r="E448" s="58">
        <v>533</v>
      </c>
      <c r="F448" s="58">
        <v>571</v>
      </c>
      <c r="G448" s="58">
        <v>292</v>
      </c>
      <c r="H448" s="58">
        <v>189</v>
      </c>
      <c r="I448" s="58">
        <v>115</v>
      </c>
      <c r="J448" s="58">
        <v>398</v>
      </c>
    </row>
    <row r="449" spans="1:10">
      <c r="A449" s="66">
        <v>45884</v>
      </c>
      <c r="B449" s="58">
        <v>3005</v>
      </c>
      <c r="C449" s="58">
        <v>536</v>
      </c>
      <c r="D449" s="58">
        <v>327</v>
      </c>
      <c r="E449" s="58">
        <v>515</v>
      </c>
      <c r="F449" s="58">
        <v>565</v>
      </c>
      <c r="G449" s="58">
        <v>348</v>
      </c>
      <c r="H449" s="58">
        <v>179</v>
      </c>
      <c r="I449" s="58">
        <v>154</v>
      </c>
      <c r="J449" s="58">
        <v>381</v>
      </c>
    </row>
    <row r="450" spans="1:10">
      <c r="A450" s="66">
        <v>45885</v>
      </c>
      <c r="B450" s="58">
        <v>0</v>
      </c>
      <c r="C450" s="58">
        <v>0</v>
      </c>
      <c r="D450" s="58">
        <v>0</v>
      </c>
      <c r="E450" s="58">
        <v>0</v>
      </c>
      <c r="F450" s="58">
        <v>0</v>
      </c>
      <c r="G450" s="58">
        <v>0</v>
      </c>
      <c r="H450" s="58">
        <v>0</v>
      </c>
      <c r="I450" s="58">
        <v>0</v>
      </c>
      <c r="J450" s="58">
        <v>0</v>
      </c>
    </row>
    <row r="451" spans="1:10">
      <c r="A451" s="66">
        <v>45886</v>
      </c>
      <c r="B451" s="58">
        <v>0</v>
      </c>
      <c r="C451" s="58">
        <v>0</v>
      </c>
      <c r="D451" s="58">
        <v>0</v>
      </c>
      <c r="E451" s="58">
        <v>0</v>
      </c>
      <c r="F451" s="58">
        <v>0</v>
      </c>
      <c r="G451" s="58">
        <v>0</v>
      </c>
      <c r="H451" s="58">
        <v>0</v>
      </c>
      <c r="I451" s="58">
        <v>0</v>
      </c>
      <c r="J451" s="58">
        <v>0</v>
      </c>
    </row>
    <row r="452" spans="1:10">
      <c r="A452" s="66">
        <v>45887</v>
      </c>
      <c r="B452" s="58">
        <v>3321</v>
      </c>
      <c r="C452" s="58">
        <v>590</v>
      </c>
      <c r="D452" s="58">
        <v>399</v>
      </c>
      <c r="E452" s="58">
        <v>549</v>
      </c>
      <c r="F452" s="58">
        <v>576</v>
      </c>
      <c r="G452" s="58">
        <v>368</v>
      </c>
      <c r="H452" s="58">
        <v>214</v>
      </c>
      <c r="I452" s="58">
        <v>141</v>
      </c>
      <c r="J452" s="58">
        <v>484</v>
      </c>
    </row>
    <row r="453" spans="1:10">
      <c r="A453" s="66">
        <v>45888</v>
      </c>
      <c r="B453" s="58">
        <v>2868</v>
      </c>
      <c r="C453" s="58">
        <v>526</v>
      </c>
      <c r="D453" s="58">
        <v>303</v>
      </c>
      <c r="E453" s="58">
        <v>452</v>
      </c>
      <c r="F453" s="58">
        <v>538</v>
      </c>
      <c r="G453" s="58">
        <v>297</v>
      </c>
      <c r="H453" s="58">
        <v>169</v>
      </c>
      <c r="I453" s="58">
        <v>158</v>
      </c>
      <c r="J453" s="58">
        <v>425</v>
      </c>
    </row>
    <row r="454" spans="1:10">
      <c r="A454" s="66">
        <v>45889</v>
      </c>
      <c r="B454" s="58">
        <v>2885</v>
      </c>
      <c r="C454" s="58">
        <v>520</v>
      </c>
      <c r="D454" s="58">
        <v>313</v>
      </c>
      <c r="E454" s="58">
        <v>484</v>
      </c>
      <c r="F454" s="58">
        <v>572</v>
      </c>
      <c r="G454" s="58">
        <v>303</v>
      </c>
      <c r="H454" s="58">
        <v>169</v>
      </c>
      <c r="I454" s="58">
        <v>124</v>
      </c>
      <c r="J454" s="58">
        <v>400</v>
      </c>
    </row>
    <row r="455" spans="1:10">
      <c r="A455" s="66">
        <v>45890</v>
      </c>
      <c r="B455" s="58">
        <v>2632</v>
      </c>
      <c r="C455" s="58">
        <v>476</v>
      </c>
      <c r="D455" s="58">
        <v>261</v>
      </c>
      <c r="E455" s="58">
        <v>419</v>
      </c>
      <c r="F455" s="58">
        <v>447</v>
      </c>
      <c r="G455" s="58">
        <v>289</v>
      </c>
      <c r="H455" s="58">
        <v>164</v>
      </c>
      <c r="I455" s="58">
        <v>135</v>
      </c>
      <c r="J455" s="58">
        <v>441</v>
      </c>
    </row>
    <row r="456" spans="1:10">
      <c r="A456" s="66">
        <v>45891</v>
      </c>
      <c r="B456" s="58">
        <v>2923</v>
      </c>
      <c r="C456" s="58">
        <v>531</v>
      </c>
      <c r="D456" s="58">
        <v>377</v>
      </c>
      <c r="E456" s="58">
        <v>487</v>
      </c>
      <c r="F456" s="58">
        <v>473</v>
      </c>
      <c r="G456" s="58">
        <v>321</v>
      </c>
      <c r="H456" s="58">
        <v>201</v>
      </c>
      <c r="I456" s="58">
        <v>160</v>
      </c>
      <c r="J456" s="58">
        <v>373</v>
      </c>
    </row>
    <row r="457" spans="1:10">
      <c r="A457" s="66">
        <v>45892</v>
      </c>
      <c r="B457" s="58">
        <v>0</v>
      </c>
      <c r="C457" s="58">
        <v>0</v>
      </c>
      <c r="D457" s="58">
        <v>0</v>
      </c>
      <c r="E457" s="58">
        <v>0</v>
      </c>
      <c r="F457" s="58">
        <v>0</v>
      </c>
      <c r="G457" s="58">
        <v>0</v>
      </c>
      <c r="H457" s="58">
        <v>0</v>
      </c>
      <c r="I457" s="58">
        <v>0</v>
      </c>
      <c r="J457" s="58">
        <v>0</v>
      </c>
    </row>
    <row r="458" spans="1:10">
      <c r="A458" s="66">
        <v>45893</v>
      </c>
      <c r="B458" s="58">
        <v>0</v>
      </c>
      <c r="C458" s="58">
        <v>0</v>
      </c>
      <c r="D458" s="58">
        <v>0</v>
      </c>
      <c r="E458" s="58">
        <v>0</v>
      </c>
      <c r="F458" s="58">
        <v>0</v>
      </c>
      <c r="G458" s="58">
        <v>0</v>
      </c>
      <c r="H458" s="58">
        <v>0</v>
      </c>
      <c r="I458" s="58">
        <v>0</v>
      </c>
      <c r="J458" s="58">
        <v>0</v>
      </c>
    </row>
    <row r="459" spans="1:10">
      <c r="A459" s="66">
        <v>45894</v>
      </c>
      <c r="B459" s="58">
        <v>3401</v>
      </c>
      <c r="C459" s="58">
        <v>662</v>
      </c>
      <c r="D459" s="58">
        <v>348</v>
      </c>
      <c r="E459" s="58">
        <v>573</v>
      </c>
      <c r="F459" s="58">
        <v>630</v>
      </c>
      <c r="G459" s="58">
        <v>357</v>
      </c>
      <c r="H459" s="58">
        <v>193</v>
      </c>
      <c r="I459" s="58">
        <v>178</v>
      </c>
      <c r="J459" s="58">
        <v>460</v>
      </c>
    </row>
    <row r="460" spans="1:10">
      <c r="A460" s="66">
        <v>45895</v>
      </c>
      <c r="B460" s="58">
        <v>2830</v>
      </c>
      <c r="C460" s="58">
        <v>527</v>
      </c>
      <c r="D460" s="58">
        <v>332</v>
      </c>
      <c r="E460" s="58">
        <v>427</v>
      </c>
      <c r="F460" s="58">
        <v>506</v>
      </c>
      <c r="G460" s="58">
        <v>322</v>
      </c>
      <c r="H460" s="58">
        <v>183</v>
      </c>
      <c r="I460" s="58">
        <v>157</v>
      </c>
      <c r="J460" s="58">
        <v>376</v>
      </c>
    </row>
    <row r="461" spans="1:10">
      <c r="A461" s="66">
        <v>45896</v>
      </c>
      <c r="B461" s="58">
        <v>2902</v>
      </c>
      <c r="C461" s="58">
        <v>552</v>
      </c>
      <c r="D461" s="58">
        <v>359</v>
      </c>
      <c r="E461" s="58">
        <v>418</v>
      </c>
      <c r="F461" s="58">
        <v>539</v>
      </c>
      <c r="G461" s="58">
        <v>304</v>
      </c>
      <c r="H461" s="58">
        <v>180</v>
      </c>
      <c r="I461" s="58">
        <v>153</v>
      </c>
      <c r="J461" s="58">
        <v>397</v>
      </c>
    </row>
    <row r="462" spans="1:10">
      <c r="A462" s="66">
        <v>45897</v>
      </c>
      <c r="B462" s="58">
        <v>2733</v>
      </c>
      <c r="C462" s="58">
        <v>504</v>
      </c>
      <c r="D462" s="58">
        <v>338</v>
      </c>
      <c r="E462" s="58">
        <v>388</v>
      </c>
      <c r="F462" s="58">
        <v>464</v>
      </c>
      <c r="G462" s="58">
        <v>303</v>
      </c>
      <c r="H462" s="58">
        <v>178</v>
      </c>
      <c r="I462" s="58">
        <v>146</v>
      </c>
      <c r="J462" s="58">
        <v>412</v>
      </c>
    </row>
    <row r="463" spans="1:10">
      <c r="A463" s="66">
        <v>45898</v>
      </c>
      <c r="B463" s="58">
        <v>2877</v>
      </c>
      <c r="C463" s="58">
        <v>586</v>
      </c>
      <c r="D463" s="58">
        <v>314</v>
      </c>
      <c r="E463" s="58">
        <v>415</v>
      </c>
      <c r="F463" s="58">
        <v>513</v>
      </c>
      <c r="G463" s="58">
        <v>276</v>
      </c>
      <c r="H463" s="58">
        <v>189</v>
      </c>
      <c r="I463" s="58">
        <v>153</v>
      </c>
      <c r="J463" s="58">
        <v>431</v>
      </c>
    </row>
    <row r="464" spans="1:10">
      <c r="A464" s="66">
        <v>45899</v>
      </c>
      <c r="B464" s="58">
        <v>0</v>
      </c>
      <c r="C464" s="58">
        <v>0</v>
      </c>
      <c r="D464" s="58">
        <v>0</v>
      </c>
      <c r="E464" s="58">
        <v>0</v>
      </c>
      <c r="F464" s="58">
        <v>0</v>
      </c>
      <c r="G464" s="58">
        <v>0</v>
      </c>
      <c r="H464" s="58">
        <v>0</v>
      </c>
      <c r="I464" s="58">
        <v>0</v>
      </c>
      <c r="J464" s="58">
        <v>0</v>
      </c>
    </row>
    <row r="465" spans="1:10">
      <c r="A465" s="66">
        <v>45900</v>
      </c>
      <c r="B465" s="58">
        <v>0</v>
      </c>
      <c r="C465" s="58">
        <v>0</v>
      </c>
      <c r="D465" s="58">
        <v>0</v>
      </c>
      <c r="E465" s="58">
        <v>0</v>
      </c>
      <c r="F465" s="58">
        <v>0</v>
      </c>
      <c r="G465" s="58">
        <v>0</v>
      </c>
      <c r="H465" s="58">
        <v>0</v>
      </c>
      <c r="I465" s="58">
        <v>0</v>
      </c>
      <c r="J465" s="58">
        <v>0</v>
      </c>
    </row>
    <row r="466" spans="1:10">
      <c r="A466" s="66">
        <v>45901</v>
      </c>
      <c r="B466" s="58">
        <v>2953</v>
      </c>
      <c r="C466" s="58">
        <v>635</v>
      </c>
      <c r="D466" s="58">
        <v>0</v>
      </c>
      <c r="E466" s="58">
        <v>512</v>
      </c>
      <c r="F466" s="58">
        <v>556</v>
      </c>
      <c r="G466" s="58">
        <v>383</v>
      </c>
      <c r="H466" s="58">
        <v>230</v>
      </c>
      <c r="I466" s="58">
        <v>180</v>
      </c>
      <c r="J466" s="58">
        <v>457</v>
      </c>
    </row>
    <row r="467" spans="1:10">
      <c r="A467" s="66">
        <v>45902</v>
      </c>
      <c r="B467" s="58">
        <v>2737</v>
      </c>
      <c r="C467" s="58">
        <v>584</v>
      </c>
      <c r="D467" s="58">
        <v>0</v>
      </c>
      <c r="E467" s="58">
        <v>467</v>
      </c>
      <c r="F467" s="58">
        <v>570</v>
      </c>
      <c r="G467" s="58">
        <v>326</v>
      </c>
      <c r="H467" s="58">
        <v>194</v>
      </c>
      <c r="I467" s="58">
        <v>132</v>
      </c>
      <c r="J467" s="58">
        <v>464</v>
      </c>
    </row>
    <row r="468" spans="1:10">
      <c r="A468" s="66">
        <v>45903</v>
      </c>
      <c r="B468" s="58">
        <v>2926</v>
      </c>
      <c r="C468" s="58">
        <v>595</v>
      </c>
      <c r="D468" s="58">
        <v>296</v>
      </c>
      <c r="E468" s="58">
        <v>458</v>
      </c>
      <c r="F468" s="58">
        <v>509</v>
      </c>
      <c r="G468" s="58">
        <v>272</v>
      </c>
      <c r="H468" s="58">
        <v>222</v>
      </c>
      <c r="I468" s="58">
        <v>139</v>
      </c>
      <c r="J468" s="58">
        <v>435</v>
      </c>
    </row>
    <row r="469" spans="1:10">
      <c r="A469" s="66">
        <v>45904</v>
      </c>
      <c r="B469" s="58">
        <v>2421</v>
      </c>
      <c r="C469" s="58">
        <v>428</v>
      </c>
      <c r="D469" s="58">
        <v>263</v>
      </c>
      <c r="E469" s="58">
        <v>337</v>
      </c>
      <c r="F469" s="58">
        <v>471</v>
      </c>
      <c r="G469" s="58">
        <v>251</v>
      </c>
      <c r="H469" s="58">
        <v>169</v>
      </c>
      <c r="I469" s="58">
        <v>120</v>
      </c>
      <c r="J469" s="58">
        <v>382</v>
      </c>
    </row>
    <row r="470" spans="1:10">
      <c r="A470" s="66">
        <v>45905</v>
      </c>
      <c r="B470" s="58">
        <v>2801</v>
      </c>
      <c r="C470" s="58">
        <v>463</v>
      </c>
      <c r="D470" s="58">
        <v>355</v>
      </c>
      <c r="E470" s="58">
        <v>449</v>
      </c>
      <c r="F470" s="58">
        <v>500</v>
      </c>
      <c r="G470" s="58">
        <v>335</v>
      </c>
      <c r="H470" s="58">
        <v>178</v>
      </c>
      <c r="I470" s="58">
        <v>140</v>
      </c>
      <c r="J470" s="58">
        <v>381</v>
      </c>
    </row>
    <row r="471" spans="1:10">
      <c r="A471" s="66">
        <v>45906</v>
      </c>
      <c r="B471" s="58">
        <v>0</v>
      </c>
      <c r="C471" s="58">
        <v>0</v>
      </c>
      <c r="D471" s="58">
        <v>0</v>
      </c>
      <c r="E471" s="58">
        <v>0</v>
      </c>
      <c r="F471" s="58">
        <v>0</v>
      </c>
      <c r="G471" s="58">
        <v>0</v>
      </c>
      <c r="H471" s="58">
        <v>0</v>
      </c>
      <c r="I471" s="58">
        <v>0</v>
      </c>
      <c r="J471" s="58">
        <v>0</v>
      </c>
    </row>
    <row r="472" spans="1:10">
      <c r="A472" s="66">
        <v>45907</v>
      </c>
      <c r="B472" s="58">
        <v>0</v>
      </c>
      <c r="C472" s="58">
        <v>0</v>
      </c>
      <c r="D472" s="58">
        <v>0</v>
      </c>
      <c r="E472" s="58">
        <v>0</v>
      </c>
      <c r="F472" s="58">
        <v>0</v>
      </c>
      <c r="G472" s="58">
        <v>0</v>
      </c>
      <c r="H472" s="58">
        <v>0</v>
      </c>
      <c r="I472" s="58">
        <v>0</v>
      </c>
      <c r="J472" s="58">
        <v>0</v>
      </c>
    </row>
    <row r="473" spans="1:10">
      <c r="A473" s="66">
        <v>45908</v>
      </c>
      <c r="B473" s="58">
        <v>3051</v>
      </c>
      <c r="C473" s="58">
        <v>563</v>
      </c>
      <c r="D473" s="58">
        <v>362</v>
      </c>
      <c r="E473" s="58">
        <v>463</v>
      </c>
      <c r="F473" s="58">
        <v>520</v>
      </c>
      <c r="G473" s="58">
        <v>327</v>
      </c>
      <c r="H473" s="58">
        <v>181</v>
      </c>
      <c r="I473" s="58">
        <v>161</v>
      </c>
      <c r="J473" s="58">
        <v>474</v>
      </c>
    </row>
    <row r="474" spans="1:10">
      <c r="A474" s="66">
        <v>45909</v>
      </c>
      <c r="B474" s="58">
        <v>2772</v>
      </c>
      <c r="C474" s="58">
        <v>523</v>
      </c>
      <c r="D474" s="58">
        <v>317</v>
      </c>
      <c r="E474" s="58">
        <v>426</v>
      </c>
      <c r="F474" s="58">
        <v>526</v>
      </c>
      <c r="G474" s="58">
        <v>293</v>
      </c>
      <c r="H474" s="58">
        <v>178</v>
      </c>
      <c r="I474" s="58">
        <v>102</v>
      </c>
      <c r="J474" s="58">
        <v>407</v>
      </c>
    </row>
    <row r="475" spans="1:10">
      <c r="A475" s="66">
        <v>45910</v>
      </c>
      <c r="B475" s="58">
        <v>2348</v>
      </c>
      <c r="C475" s="58">
        <v>418</v>
      </c>
      <c r="D475" s="58">
        <v>229</v>
      </c>
      <c r="E475" s="58">
        <v>346</v>
      </c>
      <c r="F475" s="58">
        <v>452</v>
      </c>
      <c r="G475" s="58">
        <v>252</v>
      </c>
      <c r="H475" s="58">
        <v>141</v>
      </c>
      <c r="I475" s="58">
        <v>116</v>
      </c>
      <c r="J475" s="58">
        <v>394</v>
      </c>
    </row>
    <row r="476" spans="1:10">
      <c r="A476" s="66">
        <v>45911</v>
      </c>
      <c r="B476" s="58">
        <v>2644</v>
      </c>
      <c r="C476" s="58">
        <v>515</v>
      </c>
      <c r="D476" s="58">
        <v>285</v>
      </c>
      <c r="E476" s="58">
        <v>418</v>
      </c>
      <c r="F476" s="58">
        <v>476</v>
      </c>
      <c r="G476" s="58">
        <v>242</v>
      </c>
      <c r="H476" s="58">
        <v>160</v>
      </c>
      <c r="I476" s="58">
        <v>126</v>
      </c>
      <c r="J476" s="58">
        <v>422</v>
      </c>
    </row>
    <row r="477" spans="1:10">
      <c r="A477" s="66">
        <v>45912</v>
      </c>
      <c r="B477" s="58">
        <v>2877</v>
      </c>
      <c r="C477" s="58">
        <v>520</v>
      </c>
      <c r="D477" s="58">
        <v>354</v>
      </c>
      <c r="E477" s="58">
        <v>458</v>
      </c>
      <c r="F477" s="58">
        <v>501</v>
      </c>
      <c r="G477" s="58">
        <v>346</v>
      </c>
      <c r="H477" s="58">
        <v>169</v>
      </c>
      <c r="I477" s="58">
        <v>136</v>
      </c>
      <c r="J477" s="58">
        <v>393</v>
      </c>
    </row>
    <row r="478" spans="1:10">
      <c r="A478" s="66">
        <v>45913</v>
      </c>
      <c r="B478" s="58">
        <v>0</v>
      </c>
      <c r="C478" s="58">
        <v>0</v>
      </c>
      <c r="D478" s="58">
        <v>0</v>
      </c>
      <c r="E478" s="58">
        <v>0</v>
      </c>
      <c r="F478" s="58">
        <v>0</v>
      </c>
      <c r="G478" s="58">
        <v>0</v>
      </c>
      <c r="H478" s="58">
        <v>0</v>
      </c>
      <c r="I478" s="58">
        <v>0</v>
      </c>
      <c r="J478" s="58">
        <v>0</v>
      </c>
    </row>
    <row r="479" spans="1:10">
      <c r="A479" s="66">
        <v>45914</v>
      </c>
      <c r="B479" s="58">
        <v>449</v>
      </c>
      <c r="C479" s="58">
        <v>88</v>
      </c>
      <c r="D479" s="58">
        <v>148</v>
      </c>
      <c r="E479" s="58">
        <v>152</v>
      </c>
      <c r="F479" s="58">
        <v>0</v>
      </c>
      <c r="G479" s="58">
        <v>60</v>
      </c>
      <c r="H479" s="58">
        <v>0</v>
      </c>
      <c r="I479" s="58">
        <v>1</v>
      </c>
      <c r="J479" s="58">
        <v>0</v>
      </c>
    </row>
    <row r="480" spans="1:10">
      <c r="A480" s="66">
        <v>45915</v>
      </c>
      <c r="B480" s="58">
        <v>0</v>
      </c>
      <c r="C480" s="58">
        <v>0</v>
      </c>
      <c r="D480" s="58">
        <v>0</v>
      </c>
      <c r="E480" s="58">
        <v>0</v>
      </c>
      <c r="F480" s="58">
        <v>0</v>
      </c>
      <c r="G480" s="58">
        <v>0</v>
      </c>
      <c r="H480" s="58">
        <v>0</v>
      </c>
      <c r="I480" s="58">
        <v>0</v>
      </c>
      <c r="J480" s="58">
        <v>0</v>
      </c>
    </row>
    <row r="481" spans="1:10">
      <c r="A481" s="66">
        <v>45916</v>
      </c>
      <c r="B481" s="58">
        <v>3200</v>
      </c>
      <c r="C481" s="58">
        <v>647</v>
      </c>
      <c r="D481" s="58">
        <v>338</v>
      </c>
      <c r="E481" s="58">
        <v>508</v>
      </c>
      <c r="F481" s="58">
        <v>535</v>
      </c>
      <c r="G481" s="58">
        <v>338</v>
      </c>
      <c r="H481" s="58">
        <v>202</v>
      </c>
      <c r="I481" s="58">
        <v>179</v>
      </c>
      <c r="J481" s="58">
        <v>453</v>
      </c>
    </row>
    <row r="482" spans="1:10">
      <c r="A482" s="66">
        <v>45917</v>
      </c>
      <c r="B482" s="58">
        <v>2959</v>
      </c>
      <c r="C482" s="58">
        <v>601</v>
      </c>
      <c r="D482" s="58">
        <v>296</v>
      </c>
      <c r="E482" s="58">
        <v>423</v>
      </c>
      <c r="F482" s="58">
        <v>546</v>
      </c>
      <c r="G482" s="58">
        <v>317</v>
      </c>
      <c r="H482" s="58">
        <v>196</v>
      </c>
      <c r="I482" s="58">
        <v>135</v>
      </c>
      <c r="J482" s="58">
        <v>445</v>
      </c>
    </row>
    <row r="483" spans="1:10">
      <c r="A483" s="66">
        <v>45918</v>
      </c>
      <c r="B483" s="58">
        <v>2462</v>
      </c>
      <c r="C483" s="58">
        <v>450</v>
      </c>
      <c r="D483" s="58">
        <v>238</v>
      </c>
      <c r="E483" s="58">
        <v>363</v>
      </c>
      <c r="F483" s="58">
        <v>446</v>
      </c>
      <c r="G483" s="58">
        <v>276</v>
      </c>
      <c r="H483" s="58">
        <v>169</v>
      </c>
      <c r="I483" s="58">
        <v>140</v>
      </c>
      <c r="J483" s="58">
        <v>380</v>
      </c>
    </row>
    <row r="484" spans="1:10">
      <c r="A484" s="66">
        <v>45919</v>
      </c>
      <c r="B484" s="58">
        <v>2853</v>
      </c>
      <c r="C484" s="58">
        <v>562</v>
      </c>
      <c r="D484" s="58">
        <v>336</v>
      </c>
      <c r="E484" s="58">
        <v>444</v>
      </c>
      <c r="F484" s="58">
        <v>481</v>
      </c>
      <c r="G484" s="58">
        <v>299</v>
      </c>
      <c r="H484" s="58">
        <v>180</v>
      </c>
      <c r="I484" s="58">
        <v>140</v>
      </c>
      <c r="J484" s="58">
        <v>411</v>
      </c>
    </row>
    <row r="485" spans="1:10">
      <c r="A485" s="66">
        <v>45920</v>
      </c>
      <c r="B485" s="58">
        <v>0</v>
      </c>
      <c r="C485" s="58">
        <v>0</v>
      </c>
      <c r="D485" s="58">
        <v>0</v>
      </c>
      <c r="E485" s="58">
        <v>0</v>
      </c>
      <c r="F485" s="58">
        <v>0</v>
      </c>
      <c r="G485" s="58">
        <v>0</v>
      </c>
      <c r="H485" s="58">
        <v>0</v>
      </c>
      <c r="I485" s="58">
        <v>0</v>
      </c>
      <c r="J485" s="58">
        <v>0</v>
      </c>
    </row>
    <row r="486" spans="1:10">
      <c r="A486" s="66">
        <v>45921</v>
      </c>
      <c r="B486" s="58">
        <v>0</v>
      </c>
      <c r="C486" s="58">
        <v>0</v>
      </c>
      <c r="D486" s="58">
        <v>0</v>
      </c>
      <c r="E486" s="58">
        <v>0</v>
      </c>
      <c r="F486" s="58">
        <v>0</v>
      </c>
      <c r="G486" s="58">
        <v>0</v>
      </c>
      <c r="H486" s="58">
        <v>0</v>
      </c>
      <c r="I486" s="58">
        <v>0</v>
      </c>
      <c r="J486" s="58">
        <v>0</v>
      </c>
    </row>
    <row r="487" spans="1:10">
      <c r="A487" s="66">
        <v>45922</v>
      </c>
      <c r="B487" s="58">
        <v>4105</v>
      </c>
      <c r="C487" s="58">
        <v>778</v>
      </c>
      <c r="D487" s="58">
        <v>473</v>
      </c>
      <c r="E487" s="58">
        <v>611</v>
      </c>
      <c r="F487" s="58">
        <v>754</v>
      </c>
      <c r="G487" s="58">
        <v>467</v>
      </c>
      <c r="H487" s="58">
        <v>232</v>
      </c>
      <c r="I487" s="58">
        <v>216</v>
      </c>
      <c r="J487" s="58">
        <v>574</v>
      </c>
    </row>
    <row r="488" spans="1:10">
      <c r="A488" s="66">
        <v>45923</v>
      </c>
      <c r="B488" s="58">
        <v>0</v>
      </c>
      <c r="C488" s="58">
        <v>0</v>
      </c>
      <c r="D488" s="58">
        <v>0</v>
      </c>
      <c r="E488" s="58">
        <v>0</v>
      </c>
      <c r="F488" s="58">
        <v>0</v>
      </c>
      <c r="G488" s="58">
        <v>0</v>
      </c>
      <c r="H488" s="58">
        <v>0</v>
      </c>
      <c r="I488" s="58">
        <v>0</v>
      </c>
      <c r="J488" s="58">
        <v>0</v>
      </c>
    </row>
    <row r="489" spans="1:10">
      <c r="A489" s="66">
        <v>45924</v>
      </c>
      <c r="B489" s="58">
        <v>3406</v>
      </c>
      <c r="C489" s="58">
        <v>721</v>
      </c>
      <c r="D489" s="58">
        <v>365</v>
      </c>
      <c r="E489" s="58">
        <v>560</v>
      </c>
      <c r="F489" s="58">
        <v>608</v>
      </c>
      <c r="G489" s="58">
        <v>294</v>
      </c>
      <c r="H489" s="58">
        <v>220</v>
      </c>
      <c r="I489" s="58">
        <v>148</v>
      </c>
      <c r="J489" s="58">
        <v>490</v>
      </c>
    </row>
    <row r="490" spans="1:10">
      <c r="A490" s="66">
        <v>45925</v>
      </c>
      <c r="B490" s="58">
        <v>2826</v>
      </c>
      <c r="C490" s="58">
        <v>551</v>
      </c>
      <c r="D490" s="58">
        <v>274</v>
      </c>
      <c r="E490" s="58">
        <v>431</v>
      </c>
      <c r="F490" s="58">
        <v>504</v>
      </c>
      <c r="G490" s="58">
        <v>347</v>
      </c>
      <c r="H490" s="58">
        <v>162</v>
      </c>
      <c r="I490" s="58">
        <v>124</v>
      </c>
      <c r="J490" s="58">
        <v>433</v>
      </c>
    </row>
    <row r="491" spans="1:10">
      <c r="A491" s="66">
        <v>45926</v>
      </c>
      <c r="B491" s="58">
        <v>3079</v>
      </c>
      <c r="C491" s="58">
        <v>570</v>
      </c>
      <c r="D491" s="58">
        <v>339</v>
      </c>
      <c r="E491" s="58">
        <v>505</v>
      </c>
      <c r="F491" s="58">
        <v>571</v>
      </c>
      <c r="G491" s="58">
        <v>322</v>
      </c>
      <c r="H491" s="58">
        <v>179</v>
      </c>
      <c r="I491" s="58">
        <v>139</v>
      </c>
      <c r="J491" s="58">
        <v>454</v>
      </c>
    </row>
    <row r="492" spans="1:10">
      <c r="A492" s="66">
        <v>45927</v>
      </c>
      <c r="B492" s="58">
        <v>0</v>
      </c>
      <c r="C492" s="58">
        <v>0</v>
      </c>
      <c r="D492" s="58">
        <v>0</v>
      </c>
      <c r="E492" s="58">
        <v>0</v>
      </c>
      <c r="F492" s="58">
        <v>0</v>
      </c>
      <c r="G492" s="58">
        <v>0</v>
      </c>
      <c r="H492" s="58">
        <v>0</v>
      </c>
      <c r="I492" s="58">
        <v>0</v>
      </c>
      <c r="J492" s="58">
        <v>0</v>
      </c>
    </row>
    <row r="493" spans="1:10">
      <c r="A493" s="66">
        <v>45928</v>
      </c>
      <c r="B493" s="58">
        <v>0</v>
      </c>
      <c r="C493" s="58">
        <v>0</v>
      </c>
      <c r="D493" s="58">
        <v>0</v>
      </c>
      <c r="E493" s="58">
        <v>0</v>
      </c>
      <c r="F493" s="58">
        <v>0</v>
      </c>
      <c r="G493" s="58">
        <v>0</v>
      </c>
      <c r="H493" s="58">
        <v>0</v>
      </c>
      <c r="I493" s="58">
        <v>0</v>
      </c>
      <c r="J493" s="58">
        <v>0</v>
      </c>
    </row>
    <row r="494" spans="1:10">
      <c r="A494" s="66">
        <v>45929</v>
      </c>
      <c r="B494" s="58">
        <v>3686</v>
      </c>
      <c r="C494" s="58">
        <v>745</v>
      </c>
      <c r="D494" s="58">
        <v>408</v>
      </c>
      <c r="E494" s="58">
        <v>569</v>
      </c>
      <c r="F494" s="58">
        <v>687</v>
      </c>
      <c r="G494" s="58">
        <v>382</v>
      </c>
      <c r="H494" s="58">
        <v>238</v>
      </c>
      <c r="I494" s="58">
        <v>189</v>
      </c>
      <c r="J494" s="58">
        <v>468</v>
      </c>
    </row>
    <row r="495" spans="1:10">
      <c r="A495" s="66">
        <v>45930</v>
      </c>
      <c r="B495" s="58">
        <v>3117</v>
      </c>
      <c r="C495" s="58">
        <v>616</v>
      </c>
      <c r="D495" s="58">
        <v>341</v>
      </c>
      <c r="E495" s="58">
        <v>498</v>
      </c>
      <c r="F495" s="58">
        <v>611</v>
      </c>
      <c r="G495" s="58">
        <v>313</v>
      </c>
      <c r="H495" s="58">
        <v>188</v>
      </c>
      <c r="I495" s="58">
        <v>113</v>
      </c>
      <c r="J495" s="58">
        <v>437</v>
      </c>
    </row>
    <row r="496" spans="1:10">
      <c r="A496" s="66">
        <v>45931</v>
      </c>
      <c r="B496" s="58">
        <v>3254</v>
      </c>
      <c r="C496" s="58">
        <v>669</v>
      </c>
      <c r="D496" s="58">
        <v>359</v>
      </c>
      <c r="E496" s="58">
        <v>500</v>
      </c>
      <c r="F496" s="58">
        <v>572</v>
      </c>
      <c r="G496" s="58">
        <v>339</v>
      </c>
      <c r="H496" s="58">
        <v>173</v>
      </c>
      <c r="I496" s="58">
        <v>132</v>
      </c>
      <c r="J496" s="58">
        <v>510</v>
      </c>
    </row>
    <row r="497" spans="1:10">
      <c r="A497" s="66">
        <v>45932</v>
      </c>
      <c r="B497" s="58">
        <v>2900</v>
      </c>
      <c r="C497" s="58">
        <v>551</v>
      </c>
      <c r="D497" s="58">
        <v>305</v>
      </c>
      <c r="E497" s="58">
        <v>474</v>
      </c>
      <c r="F497" s="58">
        <v>510</v>
      </c>
      <c r="G497" s="58">
        <v>294</v>
      </c>
      <c r="H497" s="58">
        <v>187</v>
      </c>
      <c r="I497" s="58">
        <v>123</v>
      </c>
      <c r="J497" s="58">
        <v>456</v>
      </c>
    </row>
    <row r="498" spans="1:10">
      <c r="A498" s="66">
        <v>45933</v>
      </c>
      <c r="B498" s="58">
        <v>2797</v>
      </c>
      <c r="C498" s="58">
        <v>471</v>
      </c>
      <c r="D498" s="58">
        <v>330</v>
      </c>
      <c r="E498" s="58">
        <v>459</v>
      </c>
      <c r="F498" s="58">
        <v>492</v>
      </c>
      <c r="G498" s="58">
        <v>310</v>
      </c>
      <c r="H498" s="58">
        <v>214</v>
      </c>
      <c r="I498" s="58">
        <v>136</v>
      </c>
      <c r="J498" s="58">
        <v>385</v>
      </c>
    </row>
    <row r="499" spans="1:10">
      <c r="A499" s="66">
        <v>45934</v>
      </c>
      <c r="B499" s="58">
        <v>0</v>
      </c>
      <c r="C499" s="58">
        <v>0</v>
      </c>
      <c r="D499" s="58">
        <v>0</v>
      </c>
      <c r="E499" s="58">
        <v>0</v>
      </c>
      <c r="F499" s="58">
        <v>0</v>
      </c>
      <c r="G499" s="58">
        <v>0</v>
      </c>
      <c r="H499" s="58">
        <v>0</v>
      </c>
      <c r="I499" s="58">
        <v>0</v>
      </c>
      <c r="J499" s="58">
        <v>0</v>
      </c>
    </row>
    <row r="500" spans="1:10">
      <c r="A500" s="66">
        <v>45935</v>
      </c>
      <c r="B500" s="58">
        <v>0</v>
      </c>
      <c r="C500" s="58">
        <v>0</v>
      </c>
      <c r="D500" s="58">
        <v>0</v>
      </c>
      <c r="E500" s="58">
        <v>0</v>
      </c>
      <c r="F500" s="58">
        <v>0</v>
      </c>
      <c r="G500" s="58">
        <v>0</v>
      </c>
      <c r="H500" s="58">
        <v>0</v>
      </c>
      <c r="I500" s="58">
        <v>0</v>
      </c>
      <c r="J500" s="58">
        <v>0</v>
      </c>
    </row>
    <row r="501" spans="1:10">
      <c r="A501" s="66">
        <v>45936</v>
      </c>
      <c r="B501" s="58">
        <v>3685</v>
      </c>
      <c r="C501" s="58">
        <v>778</v>
      </c>
      <c r="D501" s="58">
        <v>399</v>
      </c>
      <c r="E501" s="58">
        <v>575</v>
      </c>
      <c r="F501" s="58">
        <v>668</v>
      </c>
      <c r="G501" s="58">
        <v>359</v>
      </c>
      <c r="H501" s="58">
        <v>204</v>
      </c>
      <c r="I501" s="58">
        <v>195</v>
      </c>
      <c r="J501" s="58">
        <v>507</v>
      </c>
    </row>
    <row r="502" spans="1:10">
      <c r="A502" s="66">
        <v>45937</v>
      </c>
      <c r="B502" s="58">
        <v>2962</v>
      </c>
      <c r="C502" s="58">
        <v>566</v>
      </c>
      <c r="D502" s="58">
        <v>338</v>
      </c>
      <c r="E502" s="58">
        <v>477</v>
      </c>
      <c r="F502" s="58">
        <v>547</v>
      </c>
      <c r="G502" s="58">
        <v>326</v>
      </c>
      <c r="H502" s="58">
        <v>162</v>
      </c>
      <c r="I502" s="58">
        <v>137</v>
      </c>
      <c r="J502" s="58">
        <v>409</v>
      </c>
    </row>
    <row r="503" spans="1:10">
      <c r="A503" s="66">
        <v>45938</v>
      </c>
      <c r="B503" s="58">
        <v>3082</v>
      </c>
      <c r="C503" s="58">
        <v>610</v>
      </c>
      <c r="D503" s="58">
        <v>318</v>
      </c>
      <c r="E503" s="58">
        <v>442</v>
      </c>
      <c r="F503" s="58">
        <v>592</v>
      </c>
      <c r="G503" s="58">
        <v>360</v>
      </c>
      <c r="H503" s="58">
        <v>173</v>
      </c>
      <c r="I503" s="58">
        <v>139</v>
      </c>
      <c r="J503" s="58">
        <v>448</v>
      </c>
    </row>
    <row r="504" spans="1:10">
      <c r="A504" s="66">
        <v>45939</v>
      </c>
      <c r="B504" s="58">
        <v>2702</v>
      </c>
      <c r="C504" s="58">
        <v>482</v>
      </c>
      <c r="D504" s="58">
        <v>321</v>
      </c>
      <c r="E504" s="58">
        <v>426</v>
      </c>
      <c r="F504" s="58">
        <v>538</v>
      </c>
      <c r="G504" s="58">
        <v>259</v>
      </c>
      <c r="H504" s="58">
        <v>155</v>
      </c>
      <c r="I504" s="58">
        <v>148</v>
      </c>
      <c r="J504" s="58">
        <v>373</v>
      </c>
    </row>
    <row r="505" spans="1:10">
      <c r="A505" s="66">
        <v>45940</v>
      </c>
      <c r="B505" s="58">
        <v>3095</v>
      </c>
      <c r="C505" s="58">
        <v>600</v>
      </c>
      <c r="D505" s="58">
        <v>324</v>
      </c>
      <c r="E505" s="58">
        <v>504</v>
      </c>
      <c r="F505" s="58">
        <v>580</v>
      </c>
      <c r="G505" s="58">
        <v>296</v>
      </c>
      <c r="H505" s="58">
        <v>193</v>
      </c>
      <c r="I505" s="58">
        <v>157</v>
      </c>
      <c r="J505" s="58">
        <v>441</v>
      </c>
    </row>
    <row r="506" spans="1:10">
      <c r="A506" s="66">
        <v>45941</v>
      </c>
      <c r="B506" s="58">
        <v>0</v>
      </c>
      <c r="C506" s="58">
        <v>0</v>
      </c>
      <c r="D506" s="58">
        <v>0</v>
      </c>
      <c r="E506" s="58">
        <v>0</v>
      </c>
      <c r="F506" s="58">
        <v>0</v>
      </c>
      <c r="G506" s="58">
        <v>0</v>
      </c>
      <c r="H506" s="58">
        <v>0</v>
      </c>
      <c r="I506" s="58">
        <v>0</v>
      </c>
      <c r="J506" s="58">
        <v>0</v>
      </c>
    </row>
    <row r="507" spans="1:10">
      <c r="A507" s="66">
        <v>45942</v>
      </c>
      <c r="B507" s="58">
        <v>0</v>
      </c>
      <c r="C507" s="58">
        <v>0</v>
      </c>
      <c r="D507" s="58">
        <v>0</v>
      </c>
      <c r="E507" s="58">
        <v>0</v>
      </c>
      <c r="F507" s="58">
        <v>0</v>
      </c>
      <c r="G507" s="58">
        <v>0</v>
      </c>
      <c r="H507" s="58">
        <v>0</v>
      </c>
      <c r="I507" s="58">
        <v>0</v>
      </c>
      <c r="J507" s="58">
        <v>0</v>
      </c>
    </row>
    <row r="508" spans="1:10">
      <c r="A508" s="66">
        <v>45943</v>
      </c>
      <c r="B508" s="58">
        <v>0</v>
      </c>
      <c r="C508" s="58">
        <v>0</v>
      </c>
      <c r="D508" s="58">
        <v>0</v>
      </c>
      <c r="E508" s="58">
        <v>0</v>
      </c>
      <c r="F508" s="58">
        <v>0</v>
      </c>
      <c r="G508" s="58">
        <v>0</v>
      </c>
      <c r="H508" s="58">
        <v>0</v>
      </c>
      <c r="I508" s="58">
        <v>0</v>
      </c>
      <c r="J508" s="58">
        <v>0</v>
      </c>
    </row>
    <row r="509" spans="1:10">
      <c r="A509" s="66">
        <v>45944</v>
      </c>
      <c r="B509" s="58">
        <v>3242</v>
      </c>
      <c r="C509" s="58">
        <v>631</v>
      </c>
      <c r="D509" s="58">
        <v>361</v>
      </c>
      <c r="E509" s="58">
        <v>499</v>
      </c>
      <c r="F509" s="58">
        <v>565</v>
      </c>
      <c r="G509" s="58">
        <v>365</v>
      </c>
      <c r="H509" s="58">
        <v>230</v>
      </c>
      <c r="I509" s="58">
        <v>135</v>
      </c>
      <c r="J509" s="58">
        <v>456</v>
      </c>
    </row>
    <row r="510" spans="1:10">
      <c r="A510" s="66">
        <v>45945</v>
      </c>
      <c r="B510" s="58">
        <v>3159</v>
      </c>
      <c r="C510" s="58">
        <v>564</v>
      </c>
      <c r="D510" s="58">
        <v>352</v>
      </c>
      <c r="E510" s="58">
        <v>481</v>
      </c>
      <c r="F510" s="58">
        <v>579</v>
      </c>
      <c r="G510" s="58">
        <v>348</v>
      </c>
      <c r="H510" s="58">
        <v>205</v>
      </c>
      <c r="I510" s="58">
        <v>141</v>
      </c>
      <c r="J510" s="58">
        <v>489</v>
      </c>
    </row>
    <row r="511" spans="1:10">
      <c r="A511" s="66">
        <v>45946</v>
      </c>
      <c r="B511" s="58">
        <v>2797</v>
      </c>
      <c r="C511" s="58">
        <v>556</v>
      </c>
      <c r="D511" s="58">
        <v>301</v>
      </c>
      <c r="E511" s="58">
        <v>408</v>
      </c>
      <c r="F511" s="58">
        <v>500</v>
      </c>
      <c r="G511" s="58">
        <v>289</v>
      </c>
      <c r="H511" s="58">
        <v>180</v>
      </c>
      <c r="I511" s="58">
        <v>148</v>
      </c>
      <c r="J511" s="58">
        <v>415</v>
      </c>
    </row>
    <row r="512" spans="1:10">
      <c r="A512" s="66">
        <v>45947</v>
      </c>
      <c r="B512" s="58">
        <v>2916</v>
      </c>
      <c r="C512" s="58">
        <v>569</v>
      </c>
      <c r="D512" s="58">
        <v>309</v>
      </c>
      <c r="E512" s="58">
        <v>449</v>
      </c>
      <c r="F512" s="58">
        <v>515</v>
      </c>
      <c r="G512" s="58">
        <v>292</v>
      </c>
      <c r="H512" s="58">
        <v>186</v>
      </c>
      <c r="I512" s="58">
        <v>150</v>
      </c>
      <c r="J512" s="58">
        <v>446</v>
      </c>
    </row>
    <row r="513" spans="1:10">
      <c r="A513" s="66">
        <v>45948</v>
      </c>
      <c r="B513" s="58">
        <v>0</v>
      </c>
      <c r="C513" s="58">
        <v>0</v>
      </c>
      <c r="D513" s="58">
        <v>0</v>
      </c>
      <c r="E513" s="58">
        <v>0</v>
      </c>
      <c r="F513" s="58">
        <v>0</v>
      </c>
      <c r="G513" s="58">
        <v>0</v>
      </c>
      <c r="H513" s="58">
        <v>0</v>
      </c>
      <c r="I513" s="58">
        <v>0</v>
      </c>
      <c r="J513" s="58">
        <v>0</v>
      </c>
    </row>
    <row r="514" spans="1:10">
      <c r="A514" s="66">
        <v>45949</v>
      </c>
      <c r="B514" s="58">
        <v>0</v>
      </c>
      <c r="C514" s="58">
        <v>0</v>
      </c>
      <c r="D514" s="58">
        <v>0</v>
      </c>
      <c r="E514" s="58">
        <v>0</v>
      </c>
      <c r="F514" s="58">
        <v>0</v>
      </c>
      <c r="G514" s="58">
        <v>0</v>
      </c>
      <c r="H514" s="58">
        <v>0</v>
      </c>
      <c r="I514" s="58">
        <v>0</v>
      </c>
      <c r="J514" s="58">
        <v>0</v>
      </c>
    </row>
    <row r="515" spans="1:10">
      <c r="A515" s="66">
        <v>45950</v>
      </c>
      <c r="B515" s="58">
        <v>3349</v>
      </c>
      <c r="C515" s="58">
        <v>596</v>
      </c>
      <c r="D515" s="58">
        <v>366</v>
      </c>
      <c r="E515" s="58">
        <v>510</v>
      </c>
      <c r="F515" s="58">
        <v>653</v>
      </c>
      <c r="G515" s="58">
        <v>356</v>
      </c>
      <c r="H515" s="58">
        <v>222</v>
      </c>
      <c r="I515" s="58">
        <v>176</v>
      </c>
      <c r="J515" s="58">
        <v>470</v>
      </c>
    </row>
    <row r="516" spans="1:10">
      <c r="A516" s="66">
        <v>45951</v>
      </c>
      <c r="B516" s="58">
        <v>2981</v>
      </c>
      <c r="C516" s="58">
        <v>630</v>
      </c>
      <c r="D516" s="58">
        <v>350</v>
      </c>
      <c r="E516" s="58">
        <v>443</v>
      </c>
      <c r="F516" s="58">
        <v>538</v>
      </c>
      <c r="G516" s="58">
        <v>301</v>
      </c>
      <c r="H516" s="58">
        <v>175</v>
      </c>
      <c r="I516" s="58">
        <v>120</v>
      </c>
      <c r="J516" s="58">
        <v>424</v>
      </c>
    </row>
    <row r="517" spans="1:10">
      <c r="A517" s="66">
        <v>45952</v>
      </c>
      <c r="B517" s="58">
        <v>2738</v>
      </c>
      <c r="C517" s="58">
        <v>506</v>
      </c>
      <c r="D517" s="58">
        <v>283</v>
      </c>
      <c r="E517" s="58">
        <v>433</v>
      </c>
      <c r="F517" s="58">
        <v>533</v>
      </c>
      <c r="G517" s="58">
        <v>293</v>
      </c>
      <c r="H517" s="58">
        <v>170</v>
      </c>
      <c r="I517" s="58">
        <v>131</v>
      </c>
      <c r="J517" s="58">
        <v>389</v>
      </c>
    </row>
    <row r="518" spans="1:10">
      <c r="A518" s="66">
        <v>45953</v>
      </c>
      <c r="B518" s="58">
        <v>2890</v>
      </c>
      <c r="C518" s="58">
        <v>551</v>
      </c>
      <c r="D518" s="58">
        <v>338</v>
      </c>
      <c r="E518" s="58">
        <v>476</v>
      </c>
      <c r="F518" s="58">
        <v>523</v>
      </c>
      <c r="G518" s="58">
        <v>312</v>
      </c>
      <c r="H518" s="58">
        <v>178</v>
      </c>
      <c r="I518" s="58">
        <v>139</v>
      </c>
      <c r="J518" s="58">
        <v>373</v>
      </c>
    </row>
    <row r="519" spans="1:10">
      <c r="A519" s="66">
        <v>45954</v>
      </c>
      <c r="B519" s="58">
        <v>3111</v>
      </c>
      <c r="C519" s="58">
        <v>515</v>
      </c>
      <c r="D519" s="58">
        <v>368</v>
      </c>
      <c r="E519" s="58">
        <v>530</v>
      </c>
      <c r="F519" s="58">
        <v>586</v>
      </c>
      <c r="G519" s="58">
        <v>322</v>
      </c>
      <c r="H519" s="58">
        <v>193</v>
      </c>
      <c r="I519" s="58">
        <v>133</v>
      </c>
      <c r="J519" s="58">
        <v>464</v>
      </c>
    </row>
    <row r="520" spans="1:10">
      <c r="A520" s="66">
        <v>45955</v>
      </c>
      <c r="B520" s="58">
        <v>0</v>
      </c>
      <c r="C520" s="58">
        <v>0</v>
      </c>
      <c r="D520" s="58">
        <v>0</v>
      </c>
      <c r="E520" s="58">
        <v>0</v>
      </c>
      <c r="F520" s="58">
        <v>0</v>
      </c>
      <c r="G520" s="58">
        <v>0</v>
      </c>
      <c r="H520" s="58">
        <v>0</v>
      </c>
      <c r="I520" s="58">
        <v>0</v>
      </c>
      <c r="J520" s="58">
        <v>0</v>
      </c>
    </row>
    <row r="521" spans="1:10">
      <c r="A521" s="66">
        <v>45956</v>
      </c>
      <c r="B521" s="58">
        <v>0</v>
      </c>
      <c r="C521" s="58">
        <v>0</v>
      </c>
      <c r="D521" s="58">
        <v>0</v>
      </c>
      <c r="E521" s="58">
        <v>0</v>
      </c>
      <c r="F521" s="58">
        <v>0</v>
      </c>
      <c r="G521" s="58">
        <v>0</v>
      </c>
      <c r="H521" s="58">
        <v>0</v>
      </c>
      <c r="I521" s="58">
        <v>0</v>
      </c>
      <c r="J521" s="58">
        <v>0</v>
      </c>
    </row>
    <row r="522" spans="1:10">
      <c r="A522" s="66">
        <v>45957</v>
      </c>
      <c r="B522" s="58">
        <v>3571</v>
      </c>
      <c r="C522" s="58">
        <v>647</v>
      </c>
      <c r="D522" s="58">
        <v>447</v>
      </c>
      <c r="E522" s="58">
        <v>575</v>
      </c>
      <c r="F522" s="58">
        <v>653</v>
      </c>
      <c r="G522" s="58">
        <v>343</v>
      </c>
      <c r="H522" s="58">
        <v>224</v>
      </c>
      <c r="I522" s="58">
        <v>186</v>
      </c>
      <c r="J522" s="58">
        <v>496</v>
      </c>
    </row>
    <row r="523" spans="1:10">
      <c r="A523" s="66">
        <v>45958</v>
      </c>
      <c r="B523" s="58">
        <v>2816</v>
      </c>
      <c r="C523" s="58">
        <v>509</v>
      </c>
      <c r="D523" s="58">
        <v>313</v>
      </c>
      <c r="E523" s="58">
        <v>446</v>
      </c>
      <c r="F523" s="58">
        <v>518</v>
      </c>
      <c r="G523" s="58">
        <v>319</v>
      </c>
      <c r="H523" s="58">
        <v>193</v>
      </c>
      <c r="I523" s="58">
        <v>139</v>
      </c>
      <c r="J523" s="58">
        <v>379</v>
      </c>
    </row>
    <row r="524" spans="1:10">
      <c r="A524" s="66">
        <v>45959</v>
      </c>
      <c r="B524" s="58">
        <v>3008</v>
      </c>
      <c r="C524" s="58">
        <v>569</v>
      </c>
      <c r="D524" s="58">
        <v>338</v>
      </c>
      <c r="E524" s="58">
        <v>462</v>
      </c>
      <c r="F524" s="58">
        <v>583</v>
      </c>
      <c r="G524" s="58">
        <v>317</v>
      </c>
      <c r="H524" s="58">
        <v>171</v>
      </c>
      <c r="I524" s="58">
        <v>143</v>
      </c>
      <c r="J524" s="58">
        <v>425</v>
      </c>
    </row>
    <row r="525" spans="1:10">
      <c r="A525" s="66">
        <v>45960</v>
      </c>
      <c r="B525" s="58">
        <v>2761</v>
      </c>
      <c r="C525" s="58">
        <v>577</v>
      </c>
      <c r="D525" s="58">
        <v>335</v>
      </c>
      <c r="E525" s="58">
        <v>417</v>
      </c>
      <c r="F525" s="58">
        <v>475</v>
      </c>
      <c r="G525" s="58">
        <v>287</v>
      </c>
      <c r="H525" s="58">
        <v>139</v>
      </c>
      <c r="I525" s="58">
        <v>130</v>
      </c>
      <c r="J525" s="58">
        <v>401</v>
      </c>
    </row>
    <row r="526" spans="1:10">
      <c r="A526" s="66">
        <v>45961</v>
      </c>
      <c r="B526" s="58">
        <v>2661</v>
      </c>
      <c r="C526" s="58">
        <v>478</v>
      </c>
      <c r="D526" s="58">
        <v>284</v>
      </c>
      <c r="E526" s="58">
        <v>420</v>
      </c>
      <c r="F526" s="58">
        <v>513</v>
      </c>
      <c r="G526" s="58">
        <v>258</v>
      </c>
      <c r="H526" s="58">
        <v>185</v>
      </c>
      <c r="I526" s="58">
        <v>157</v>
      </c>
      <c r="J526" s="58">
        <v>366</v>
      </c>
    </row>
    <row r="527" spans="1:10">
      <c r="A527" s="66">
        <v>45962</v>
      </c>
      <c r="B527" s="58">
        <v>0</v>
      </c>
      <c r="C527" s="58">
        <v>0</v>
      </c>
      <c r="D527" s="58">
        <v>0</v>
      </c>
      <c r="E527" s="58">
        <v>0</v>
      </c>
      <c r="F527" s="58">
        <v>0</v>
      </c>
      <c r="G527" s="58">
        <v>0</v>
      </c>
      <c r="H527" s="58">
        <v>0</v>
      </c>
      <c r="I527" s="58">
        <v>0</v>
      </c>
      <c r="J527" s="58">
        <v>0</v>
      </c>
    </row>
    <row r="528" spans="1:10">
      <c r="A528" s="66">
        <v>45963</v>
      </c>
      <c r="B528" s="58">
        <v>0</v>
      </c>
      <c r="C528" s="58">
        <v>0</v>
      </c>
      <c r="D528" s="58">
        <v>0</v>
      </c>
      <c r="E528" s="58">
        <v>0</v>
      </c>
      <c r="F528" s="58">
        <v>0</v>
      </c>
      <c r="G528" s="58">
        <v>0</v>
      </c>
      <c r="H528" s="58">
        <v>0</v>
      </c>
      <c r="I528" s="58">
        <v>0</v>
      </c>
      <c r="J528" s="58">
        <v>0</v>
      </c>
    </row>
    <row r="529" spans="1:10">
      <c r="A529" s="66">
        <v>45964</v>
      </c>
      <c r="B529" s="58">
        <v>0</v>
      </c>
      <c r="C529" s="58">
        <v>0</v>
      </c>
      <c r="D529" s="58">
        <v>0</v>
      </c>
      <c r="E529" s="58">
        <v>0</v>
      </c>
      <c r="F529" s="58">
        <v>0</v>
      </c>
      <c r="G529" s="58">
        <v>0</v>
      </c>
      <c r="H529" s="58">
        <v>0</v>
      </c>
      <c r="I529" s="58">
        <v>0</v>
      </c>
      <c r="J529" s="58">
        <v>0</v>
      </c>
    </row>
    <row r="530" spans="1:10">
      <c r="A530" s="66">
        <v>45965</v>
      </c>
      <c r="B530" s="58">
        <v>3114</v>
      </c>
      <c r="C530" s="58">
        <v>728</v>
      </c>
      <c r="D530" s="58">
        <v>437</v>
      </c>
      <c r="E530" s="58">
        <v>0</v>
      </c>
      <c r="F530" s="58">
        <v>672</v>
      </c>
      <c r="G530" s="58">
        <v>326</v>
      </c>
      <c r="H530" s="58">
        <v>277</v>
      </c>
      <c r="I530" s="58">
        <v>185</v>
      </c>
      <c r="J530" s="58">
        <v>489</v>
      </c>
    </row>
    <row r="531" spans="1:10">
      <c r="A531" s="66">
        <v>45966</v>
      </c>
      <c r="B531" s="58">
        <v>2925</v>
      </c>
      <c r="C531" s="58">
        <v>621</v>
      </c>
      <c r="D531" s="58">
        <v>398</v>
      </c>
      <c r="E531" s="58">
        <v>0</v>
      </c>
      <c r="F531" s="58">
        <v>641</v>
      </c>
      <c r="G531" s="58">
        <v>362</v>
      </c>
      <c r="H531" s="58">
        <v>226</v>
      </c>
      <c r="I531" s="58">
        <v>144</v>
      </c>
      <c r="J531" s="58">
        <v>533</v>
      </c>
    </row>
    <row r="532" spans="1:10">
      <c r="A532" s="66">
        <v>45967</v>
      </c>
      <c r="B532" s="58">
        <v>2669</v>
      </c>
      <c r="C532" s="58">
        <v>590</v>
      </c>
      <c r="D532" s="58">
        <v>350</v>
      </c>
      <c r="E532" s="58">
        <v>0</v>
      </c>
      <c r="F532" s="58">
        <v>595</v>
      </c>
      <c r="G532" s="58">
        <v>329</v>
      </c>
      <c r="H532" s="58">
        <v>190</v>
      </c>
      <c r="I532" s="58">
        <v>141</v>
      </c>
      <c r="J532" s="58">
        <v>474</v>
      </c>
    </row>
    <row r="533" spans="1:10">
      <c r="A533" s="66">
        <v>45968</v>
      </c>
      <c r="B533" s="58">
        <v>2659</v>
      </c>
      <c r="C533" s="58">
        <v>561</v>
      </c>
      <c r="D533" s="58">
        <v>359</v>
      </c>
      <c r="E533" s="58">
        <v>0</v>
      </c>
      <c r="F533" s="58">
        <v>615</v>
      </c>
      <c r="G533" s="58">
        <v>316</v>
      </c>
      <c r="H533" s="58">
        <v>214</v>
      </c>
      <c r="I533" s="58">
        <v>150</v>
      </c>
      <c r="J533" s="58">
        <v>444</v>
      </c>
    </row>
    <row r="534" spans="1:10">
      <c r="A534" s="66">
        <v>45969</v>
      </c>
      <c r="B534" s="58">
        <v>0</v>
      </c>
      <c r="C534" s="58">
        <v>0</v>
      </c>
      <c r="D534" s="58">
        <v>0</v>
      </c>
      <c r="E534" s="58">
        <v>0</v>
      </c>
      <c r="F534" s="58">
        <v>0</v>
      </c>
      <c r="G534" s="58">
        <v>0</v>
      </c>
      <c r="H534" s="58">
        <v>0</v>
      </c>
      <c r="I534" s="58">
        <v>0</v>
      </c>
      <c r="J534" s="58">
        <v>0</v>
      </c>
    </row>
    <row r="535" spans="1:10">
      <c r="A535" s="66">
        <v>45970</v>
      </c>
      <c r="B535" s="58">
        <v>133</v>
      </c>
      <c r="C535" s="58">
        <v>64</v>
      </c>
      <c r="D535" s="58">
        <v>61</v>
      </c>
      <c r="E535" s="58">
        <v>0</v>
      </c>
      <c r="F535" s="58">
        <v>0</v>
      </c>
      <c r="G535" s="58">
        <v>0</v>
      </c>
      <c r="H535" s="58">
        <v>0</v>
      </c>
      <c r="I535" s="58">
        <v>8</v>
      </c>
      <c r="J535" s="58">
        <v>0</v>
      </c>
    </row>
    <row r="536" spans="1:10">
      <c r="A536" s="66">
        <v>45971</v>
      </c>
      <c r="B536" s="58">
        <v>2945</v>
      </c>
      <c r="C536" s="58">
        <v>627</v>
      </c>
      <c r="D536" s="58">
        <v>380</v>
      </c>
      <c r="E536" s="58">
        <v>0</v>
      </c>
      <c r="F536" s="58">
        <v>694</v>
      </c>
      <c r="G536" s="58">
        <v>375</v>
      </c>
      <c r="H536" s="58">
        <v>218</v>
      </c>
      <c r="I536" s="58">
        <v>190</v>
      </c>
      <c r="J536" s="58">
        <v>461</v>
      </c>
    </row>
    <row r="537" spans="1:10">
      <c r="A537" s="66">
        <v>45972</v>
      </c>
      <c r="B537" s="58">
        <v>2566</v>
      </c>
      <c r="C537" s="58">
        <v>605</v>
      </c>
      <c r="D537" s="58">
        <v>308</v>
      </c>
      <c r="E537" s="58">
        <v>0</v>
      </c>
      <c r="F537" s="58">
        <v>595</v>
      </c>
      <c r="G537" s="58">
        <v>349</v>
      </c>
      <c r="H537" s="58">
        <v>191</v>
      </c>
      <c r="I537" s="58">
        <v>117</v>
      </c>
      <c r="J537" s="58">
        <v>401</v>
      </c>
    </row>
    <row r="538" spans="1:10">
      <c r="A538" s="66">
        <v>45973</v>
      </c>
      <c r="B538" s="58">
        <v>2398</v>
      </c>
      <c r="C538" s="58">
        <v>559</v>
      </c>
      <c r="D538" s="58">
        <v>349</v>
      </c>
      <c r="E538" s="58">
        <v>0</v>
      </c>
      <c r="F538" s="58">
        <v>528</v>
      </c>
      <c r="G538" s="58">
        <v>275</v>
      </c>
      <c r="H538" s="58">
        <v>179</v>
      </c>
      <c r="I538" s="58">
        <v>135</v>
      </c>
      <c r="J538" s="58">
        <v>373</v>
      </c>
    </row>
    <row r="539" spans="1:10">
      <c r="A539" s="66">
        <v>45974</v>
      </c>
      <c r="B539" s="58">
        <v>2297</v>
      </c>
      <c r="C539" s="58">
        <v>544</v>
      </c>
      <c r="D539" s="58">
        <v>319</v>
      </c>
      <c r="E539" s="58">
        <v>0</v>
      </c>
      <c r="F539" s="58">
        <v>465</v>
      </c>
      <c r="G539" s="58">
        <v>286</v>
      </c>
      <c r="H539" s="58">
        <v>173</v>
      </c>
      <c r="I539" s="58">
        <v>139</v>
      </c>
      <c r="J539" s="58">
        <v>371</v>
      </c>
    </row>
    <row r="540" spans="1:10">
      <c r="A540" s="66">
        <v>45975</v>
      </c>
      <c r="B540" s="58">
        <v>2569</v>
      </c>
      <c r="C540" s="58">
        <v>612</v>
      </c>
      <c r="D540" s="58">
        <v>293</v>
      </c>
      <c r="E540" s="58">
        <v>0</v>
      </c>
      <c r="F540" s="58">
        <v>564</v>
      </c>
      <c r="G540" s="58">
        <v>322</v>
      </c>
      <c r="H540" s="58">
        <v>202</v>
      </c>
      <c r="I540" s="58">
        <v>157</v>
      </c>
      <c r="J540" s="58">
        <v>419</v>
      </c>
    </row>
    <row r="541" spans="1:10">
      <c r="A541" s="66">
        <v>45976</v>
      </c>
      <c r="B541" s="58">
        <v>0</v>
      </c>
      <c r="C541" s="58">
        <v>0</v>
      </c>
      <c r="D541" s="58">
        <v>0</v>
      </c>
      <c r="E541" s="58">
        <v>0</v>
      </c>
      <c r="F541" s="58">
        <v>0</v>
      </c>
      <c r="G541" s="58">
        <v>0</v>
      </c>
      <c r="H541" s="58">
        <v>0</v>
      </c>
      <c r="I541" s="58">
        <v>0</v>
      </c>
      <c r="J541" s="58">
        <v>0</v>
      </c>
    </row>
    <row r="542" spans="1:10">
      <c r="A542" s="66">
        <v>45977</v>
      </c>
      <c r="B542" s="58">
        <v>0</v>
      </c>
      <c r="C542" s="58">
        <v>0</v>
      </c>
      <c r="D542" s="58">
        <v>0</v>
      </c>
      <c r="E542" s="58">
        <v>0</v>
      </c>
      <c r="F542" s="58">
        <v>0</v>
      </c>
      <c r="G542" s="58">
        <v>0</v>
      </c>
      <c r="H542" s="58">
        <v>0</v>
      </c>
      <c r="I542" s="58">
        <v>0</v>
      </c>
      <c r="J542" s="58">
        <v>0</v>
      </c>
    </row>
    <row r="543" spans="1:10">
      <c r="A543" s="66">
        <v>45978</v>
      </c>
      <c r="B543" s="58">
        <v>3031</v>
      </c>
      <c r="C543" s="58">
        <v>718</v>
      </c>
      <c r="D543" s="58">
        <v>422</v>
      </c>
      <c r="E543" s="58">
        <v>0</v>
      </c>
      <c r="F543" s="58">
        <v>666</v>
      </c>
      <c r="G543" s="58">
        <v>364</v>
      </c>
      <c r="H543" s="58">
        <v>229</v>
      </c>
      <c r="I543" s="58">
        <v>151</v>
      </c>
      <c r="J543" s="58">
        <v>481</v>
      </c>
    </row>
    <row r="544" spans="1:10">
      <c r="A544" s="66">
        <v>45979</v>
      </c>
      <c r="B544" s="58">
        <v>2683</v>
      </c>
      <c r="C544" s="58">
        <v>582</v>
      </c>
      <c r="D544" s="58">
        <v>389</v>
      </c>
      <c r="E544" s="58">
        <v>0</v>
      </c>
      <c r="F544" s="58">
        <v>621</v>
      </c>
      <c r="G544" s="58">
        <v>332</v>
      </c>
      <c r="H544" s="58">
        <v>223</v>
      </c>
      <c r="I544" s="58">
        <v>147</v>
      </c>
      <c r="J544" s="58">
        <v>389</v>
      </c>
    </row>
    <row r="545" spans="1:10">
      <c r="A545" s="66">
        <v>45980</v>
      </c>
      <c r="B545" s="58">
        <v>2536</v>
      </c>
      <c r="C545" s="58">
        <v>587</v>
      </c>
      <c r="D545" s="58">
        <v>335</v>
      </c>
      <c r="E545" s="58">
        <v>0</v>
      </c>
      <c r="F545" s="58">
        <v>573</v>
      </c>
      <c r="G545" s="58">
        <v>312</v>
      </c>
      <c r="H545" s="58">
        <v>181</v>
      </c>
      <c r="I545" s="58">
        <v>112</v>
      </c>
      <c r="J545" s="58">
        <v>436</v>
      </c>
    </row>
    <row r="546" spans="1:10">
      <c r="A546" s="66">
        <v>45981</v>
      </c>
      <c r="B546" s="58">
        <v>2587</v>
      </c>
      <c r="C546" s="58">
        <v>560</v>
      </c>
      <c r="D546" s="58">
        <v>327</v>
      </c>
      <c r="E546" s="58">
        <v>0</v>
      </c>
      <c r="F546" s="58">
        <v>596</v>
      </c>
      <c r="G546" s="58">
        <v>330</v>
      </c>
      <c r="H546" s="58">
        <v>191</v>
      </c>
      <c r="I546" s="58">
        <v>135</v>
      </c>
      <c r="J546" s="58">
        <v>448</v>
      </c>
    </row>
    <row r="547" spans="1:10">
      <c r="A547" s="66">
        <v>45982</v>
      </c>
      <c r="B547" s="58">
        <v>2701</v>
      </c>
      <c r="C547" s="58">
        <v>647</v>
      </c>
      <c r="D547" s="58">
        <v>351</v>
      </c>
      <c r="E547" s="58">
        <v>0</v>
      </c>
      <c r="F547" s="58">
        <v>595</v>
      </c>
      <c r="G547" s="58">
        <v>314</v>
      </c>
      <c r="H547" s="58">
        <v>193</v>
      </c>
      <c r="I547" s="58">
        <v>164</v>
      </c>
      <c r="J547" s="58">
        <v>437</v>
      </c>
    </row>
    <row r="548" spans="1:10">
      <c r="A548" s="66">
        <v>45983</v>
      </c>
      <c r="B548" s="58">
        <v>0</v>
      </c>
      <c r="C548" s="58">
        <v>0</v>
      </c>
      <c r="D548" s="58">
        <v>0</v>
      </c>
      <c r="E548" s="58">
        <v>0</v>
      </c>
      <c r="F548" s="58">
        <v>0</v>
      </c>
      <c r="G548" s="58">
        <v>0</v>
      </c>
      <c r="H548" s="58">
        <v>0</v>
      </c>
      <c r="I548" s="58">
        <v>0</v>
      </c>
      <c r="J548" s="58">
        <v>0</v>
      </c>
    </row>
    <row r="549" spans="1:10">
      <c r="A549" s="66">
        <v>45984</v>
      </c>
      <c r="B549" s="58">
        <v>0</v>
      </c>
      <c r="C549" s="58">
        <v>0</v>
      </c>
      <c r="D549" s="58">
        <v>0</v>
      </c>
      <c r="E549" s="58">
        <v>0</v>
      </c>
      <c r="F549" s="58">
        <v>0</v>
      </c>
      <c r="G549" s="58">
        <v>0</v>
      </c>
      <c r="H549" s="58">
        <v>0</v>
      </c>
      <c r="I549" s="58">
        <v>0</v>
      </c>
      <c r="J549" s="58">
        <v>0</v>
      </c>
    </row>
    <row r="550" spans="1:10">
      <c r="A550" s="66">
        <v>45985</v>
      </c>
      <c r="B550" s="58">
        <v>0</v>
      </c>
      <c r="C550" s="58">
        <v>0</v>
      </c>
      <c r="D550" s="58">
        <v>0</v>
      </c>
      <c r="E550" s="58">
        <v>0</v>
      </c>
      <c r="F550" s="58">
        <v>0</v>
      </c>
      <c r="G550" s="58">
        <v>0</v>
      </c>
      <c r="H550" s="58">
        <v>0</v>
      </c>
      <c r="I550" s="58">
        <v>0</v>
      </c>
      <c r="J550" s="58">
        <v>0</v>
      </c>
    </row>
    <row r="551" spans="1:10">
      <c r="A551" s="66">
        <v>45986</v>
      </c>
      <c r="B551" s="58">
        <v>2933</v>
      </c>
      <c r="C551" s="58">
        <v>625</v>
      </c>
      <c r="D551" s="58">
        <v>377</v>
      </c>
      <c r="E551" s="58">
        <v>0</v>
      </c>
      <c r="F551" s="58">
        <v>678</v>
      </c>
      <c r="G551" s="58">
        <v>339</v>
      </c>
      <c r="H551" s="58">
        <v>237</v>
      </c>
      <c r="I551" s="58">
        <v>174</v>
      </c>
      <c r="J551" s="58">
        <v>503</v>
      </c>
    </row>
    <row r="552" spans="1:10">
      <c r="A552" s="66">
        <v>45987</v>
      </c>
      <c r="B552" s="58">
        <v>3140</v>
      </c>
      <c r="C552" s="58">
        <v>642</v>
      </c>
      <c r="D552" s="58">
        <v>414</v>
      </c>
      <c r="E552" s="58">
        <v>0</v>
      </c>
      <c r="F552" s="58">
        <v>731</v>
      </c>
      <c r="G552" s="58">
        <v>416</v>
      </c>
      <c r="H552" s="58">
        <v>214</v>
      </c>
      <c r="I552" s="58">
        <v>187</v>
      </c>
      <c r="J552" s="58">
        <v>536</v>
      </c>
    </row>
    <row r="553" spans="1:10">
      <c r="A553" s="66">
        <v>45988</v>
      </c>
      <c r="B553" s="58">
        <v>2820</v>
      </c>
      <c r="C553" s="58">
        <v>592</v>
      </c>
      <c r="D553" s="58">
        <v>402</v>
      </c>
      <c r="E553" s="58">
        <v>0</v>
      </c>
      <c r="F553" s="58">
        <v>600</v>
      </c>
      <c r="G553" s="58">
        <v>356</v>
      </c>
      <c r="H553" s="58">
        <v>208</v>
      </c>
      <c r="I553" s="58">
        <v>170</v>
      </c>
      <c r="J553" s="58">
        <v>492</v>
      </c>
    </row>
    <row r="554" spans="1:10">
      <c r="A554" s="66">
        <v>45989</v>
      </c>
      <c r="B554" s="58">
        <v>2792</v>
      </c>
      <c r="C554" s="58">
        <v>578</v>
      </c>
      <c r="D554" s="58">
        <v>402</v>
      </c>
      <c r="E554" s="58">
        <v>0</v>
      </c>
      <c r="F554" s="58">
        <v>623</v>
      </c>
      <c r="G554" s="58">
        <v>359</v>
      </c>
      <c r="H554" s="58">
        <v>222</v>
      </c>
      <c r="I554" s="58">
        <v>129</v>
      </c>
      <c r="J554" s="58">
        <v>479</v>
      </c>
    </row>
    <row r="555" spans="1:10">
      <c r="A555" s="66">
        <v>45990</v>
      </c>
      <c r="B555" s="58">
        <v>0</v>
      </c>
      <c r="C555" s="58">
        <v>0</v>
      </c>
      <c r="D555" s="58">
        <v>0</v>
      </c>
      <c r="E555" s="58">
        <v>0</v>
      </c>
      <c r="F555" s="58">
        <v>0</v>
      </c>
      <c r="G555" s="58">
        <v>0</v>
      </c>
      <c r="H555" s="58">
        <v>0</v>
      </c>
      <c r="I555" s="58">
        <v>0</v>
      </c>
      <c r="J555" s="58">
        <v>0</v>
      </c>
    </row>
    <row r="556" spans="1:10">
      <c r="A556" s="66">
        <v>45991</v>
      </c>
      <c r="B556" s="58">
        <v>0</v>
      </c>
      <c r="C556" s="58">
        <v>0</v>
      </c>
      <c r="D556" s="58">
        <v>0</v>
      </c>
      <c r="E556" s="58">
        <v>0</v>
      </c>
      <c r="F556" s="58">
        <v>0</v>
      </c>
      <c r="G556" s="58">
        <v>0</v>
      </c>
      <c r="H556" s="58">
        <v>0</v>
      </c>
      <c r="I556" s="58">
        <v>0</v>
      </c>
      <c r="J556" s="58">
        <v>0</v>
      </c>
    </row>
    <row r="557" spans="1:10">
      <c r="A557" s="66">
        <v>45992</v>
      </c>
      <c r="B557" s="58">
        <v>2293</v>
      </c>
      <c r="C557" s="58">
        <v>111</v>
      </c>
      <c r="D557" s="58">
        <v>422</v>
      </c>
      <c r="E557" s="58">
        <v>13</v>
      </c>
      <c r="F557" s="58">
        <v>719</v>
      </c>
      <c r="G557" s="58">
        <v>0</v>
      </c>
      <c r="H557" s="58">
        <v>245</v>
      </c>
      <c r="I557" s="58">
        <v>190</v>
      </c>
      <c r="J557" s="58">
        <v>593</v>
      </c>
    </row>
    <row r="558" spans="1:10">
      <c r="A558" s="66">
        <v>45993</v>
      </c>
      <c r="B558" s="58">
        <v>1768</v>
      </c>
      <c r="C558" s="58">
        <v>0</v>
      </c>
      <c r="D558" s="58">
        <v>388</v>
      </c>
      <c r="E558" s="58">
        <v>0</v>
      </c>
      <c r="F558" s="58">
        <v>696</v>
      </c>
      <c r="G558" s="58">
        <v>0</v>
      </c>
      <c r="H558" s="58">
        <v>0</v>
      </c>
      <c r="I558" s="58">
        <v>175</v>
      </c>
      <c r="J558" s="58">
        <v>509</v>
      </c>
    </row>
    <row r="559" spans="1:10">
      <c r="A559" s="66">
        <v>45994</v>
      </c>
      <c r="B559" s="58">
        <v>1990</v>
      </c>
      <c r="C559" s="58">
        <v>0</v>
      </c>
      <c r="D559" s="58">
        <v>381</v>
      </c>
      <c r="E559" s="58">
        <v>3</v>
      </c>
      <c r="F559" s="58">
        <v>709</v>
      </c>
      <c r="G559" s="58">
        <v>0</v>
      </c>
      <c r="H559" s="58">
        <v>230</v>
      </c>
      <c r="I559" s="58">
        <v>154</v>
      </c>
      <c r="J559" s="58">
        <v>513</v>
      </c>
    </row>
    <row r="560" spans="1:10">
      <c r="A560" s="66">
        <v>45995</v>
      </c>
      <c r="B560" s="58">
        <v>1680</v>
      </c>
      <c r="C560" s="58">
        <v>0</v>
      </c>
      <c r="D560" s="58">
        <v>286</v>
      </c>
      <c r="E560" s="58">
        <v>116</v>
      </c>
      <c r="F560" s="58">
        <v>536</v>
      </c>
      <c r="G560" s="58">
        <v>0</v>
      </c>
      <c r="H560" s="58">
        <v>194</v>
      </c>
      <c r="I560" s="58">
        <v>153</v>
      </c>
      <c r="J560" s="58">
        <v>395</v>
      </c>
    </row>
    <row r="561" spans="1:10">
      <c r="A561" s="66">
        <v>45996</v>
      </c>
      <c r="B561" s="58">
        <v>1739</v>
      </c>
      <c r="C561" s="58">
        <v>0</v>
      </c>
      <c r="D561" s="58">
        <v>339</v>
      </c>
      <c r="E561" s="58">
        <v>0</v>
      </c>
      <c r="F561" s="58">
        <v>577</v>
      </c>
      <c r="G561" s="58">
        <v>118</v>
      </c>
      <c r="H561" s="58">
        <v>192</v>
      </c>
      <c r="I561" s="58">
        <v>126</v>
      </c>
      <c r="J561" s="58">
        <v>387</v>
      </c>
    </row>
    <row r="562" spans="1:10">
      <c r="A562" s="66">
        <v>45997</v>
      </c>
      <c r="B562" s="58">
        <v>0</v>
      </c>
      <c r="C562" s="58">
        <v>0</v>
      </c>
      <c r="D562" s="58">
        <v>0</v>
      </c>
      <c r="E562" s="58">
        <v>0</v>
      </c>
      <c r="F562" s="58">
        <v>0</v>
      </c>
      <c r="G562" s="58">
        <v>0</v>
      </c>
      <c r="H562" s="58">
        <v>0</v>
      </c>
      <c r="I562" s="58">
        <v>0</v>
      </c>
      <c r="J562" s="58">
        <v>0</v>
      </c>
    </row>
    <row r="563" spans="1:10">
      <c r="A563" s="66">
        <v>45998</v>
      </c>
      <c r="B563" s="58">
        <v>197</v>
      </c>
      <c r="C563" s="58">
        <v>0</v>
      </c>
      <c r="D563" s="58">
        <v>0</v>
      </c>
      <c r="E563" s="58">
        <v>140</v>
      </c>
      <c r="F563" s="58">
        <v>0</v>
      </c>
      <c r="G563" s="58">
        <v>57</v>
      </c>
      <c r="H563" s="58">
        <v>0</v>
      </c>
      <c r="I563" s="58">
        <v>0</v>
      </c>
      <c r="J563" s="58">
        <v>0</v>
      </c>
    </row>
    <row r="564" spans="1:10">
      <c r="A564" s="66">
        <v>45999</v>
      </c>
      <c r="B564" s="58">
        <v>3000</v>
      </c>
      <c r="C564" s="58">
        <v>0</v>
      </c>
      <c r="D564" s="58">
        <v>366</v>
      </c>
      <c r="E564" s="58">
        <v>654</v>
      </c>
      <c r="F564" s="58">
        <v>605</v>
      </c>
      <c r="G564" s="58">
        <v>491</v>
      </c>
      <c r="H564" s="58">
        <v>223</v>
      </c>
      <c r="I564" s="58">
        <v>171</v>
      </c>
      <c r="J564" s="58">
        <v>490</v>
      </c>
    </row>
    <row r="565" spans="1:10">
      <c r="A565" s="66">
        <v>46000</v>
      </c>
      <c r="B565" s="58">
        <v>2503</v>
      </c>
      <c r="C565" s="58">
        <v>0</v>
      </c>
      <c r="D565" s="58">
        <v>321</v>
      </c>
      <c r="E565" s="58">
        <v>523</v>
      </c>
      <c r="F565" s="58">
        <v>536</v>
      </c>
      <c r="G565" s="58">
        <v>425</v>
      </c>
      <c r="H565" s="58">
        <v>182</v>
      </c>
      <c r="I565" s="58">
        <v>126</v>
      </c>
      <c r="J565" s="58">
        <v>390</v>
      </c>
    </row>
    <row r="566" spans="1:10">
      <c r="A566" s="66">
        <v>46001</v>
      </c>
      <c r="B566" s="58">
        <v>2485</v>
      </c>
      <c r="C566" s="58">
        <v>0</v>
      </c>
      <c r="D566" s="58">
        <v>317</v>
      </c>
      <c r="E566" s="58">
        <v>492</v>
      </c>
      <c r="F566" s="58">
        <v>555</v>
      </c>
      <c r="G566" s="58">
        <v>402</v>
      </c>
      <c r="H566" s="58">
        <v>164</v>
      </c>
      <c r="I566" s="58">
        <v>130</v>
      </c>
      <c r="J566" s="58">
        <v>425</v>
      </c>
    </row>
    <row r="567" spans="1:10">
      <c r="A567" s="66">
        <v>46002</v>
      </c>
      <c r="B567" s="58">
        <v>2187</v>
      </c>
      <c r="C567" s="58">
        <v>6</v>
      </c>
      <c r="D567" s="58">
        <v>273</v>
      </c>
      <c r="E567" s="58">
        <v>459</v>
      </c>
      <c r="F567" s="58">
        <v>490</v>
      </c>
      <c r="G567" s="58">
        <v>336</v>
      </c>
      <c r="H567" s="58">
        <v>145</v>
      </c>
      <c r="I567" s="58">
        <v>95</v>
      </c>
      <c r="J567" s="58">
        <v>383</v>
      </c>
    </row>
    <row r="568" spans="1:10">
      <c r="A568" s="66">
        <v>46003</v>
      </c>
      <c r="B568" s="58">
        <v>2627</v>
      </c>
      <c r="C568" s="58">
        <v>135</v>
      </c>
      <c r="D568" s="58">
        <v>351</v>
      </c>
      <c r="E568" s="58">
        <v>505</v>
      </c>
      <c r="F568" s="58">
        <v>520</v>
      </c>
      <c r="G568" s="58">
        <v>378</v>
      </c>
      <c r="H568" s="58">
        <v>185</v>
      </c>
      <c r="I568" s="58">
        <v>141</v>
      </c>
      <c r="J568" s="58">
        <v>412</v>
      </c>
    </row>
    <row r="569" spans="1:10">
      <c r="A569" s="66">
        <v>46004</v>
      </c>
      <c r="B569" s="58">
        <v>0</v>
      </c>
      <c r="C569" s="58">
        <v>0</v>
      </c>
      <c r="D569" s="58">
        <v>0</v>
      </c>
      <c r="E569" s="58">
        <v>0</v>
      </c>
      <c r="F569" s="58">
        <v>0</v>
      </c>
      <c r="G569" s="58">
        <v>0</v>
      </c>
      <c r="H569" s="58">
        <v>0</v>
      </c>
      <c r="I569" s="58">
        <v>0</v>
      </c>
      <c r="J569" s="58">
        <v>0</v>
      </c>
    </row>
    <row r="570" spans="1:10">
      <c r="A570" s="66">
        <v>46005</v>
      </c>
      <c r="B570" s="58">
        <v>82</v>
      </c>
      <c r="C570" s="58">
        <v>82</v>
      </c>
      <c r="D570" s="58">
        <v>0</v>
      </c>
      <c r="E570" s="58">
        <v>0</v>
      </c>
      <c r="F570" s="58">
        <v>0</v>
      </c>
      <c r="G570" s="58">
        <v>0</v>
      </c>
      <c r="H570" s="58">
        <v>0</v>
      </c>
      <c r="I570" s="58">
        <v>0</v>
      </c>
      <c r="J570" s="58">
        <v>0</v>
      </c>
    </row>
    <row r="571" spans="1:10">
      <c r="A571" s="66">
        <v>46006</v>
      </c>
      <c r="B571" s="58">
        <v>3426</v>
      </c>
      <c r="C571" s="58">
        <v>676</v>
      </c>
      <c r="D571" s="58">
        <v>403</v>
      </c>
      <c r="E571" s="58">
        <v>511</v>
      </c>
      <c r="F571" s="58">
        <v>580</v>
      </c>
      <c r="G571" s="58">
        <v>416</v>
      </c>
      <c r="H571" s="58">
        <v>204</v>
      </c>
      <c r="I571" s="58">
        <v>168</v>
      </c>
      <c r="J571" s="58">
        <v>468</v>
      </c>
    </row>
    <row r="572" spans="1:10">
      <c r="A572" s="66">
        <v>46007</v>
      </c>
      <c r="B572" s="58">
        <v>3088</v>
      </c>
      <c r="C572" s="58">
        <v>571</v>
      </c>
      <c r="D572" s="58">
        <v>322</v>
      </c>
      <c r="E572" s="58">
        <v>499</v>
      </c>
      <c r="F572" s="58">
        <v>543</v>
      </c>
      <c r="G572" s="58">
        <v>399</v>
      </c>
      <c r="H572" s="58">
        <v>173</v>
      </c>
      <c r="I572" s="58">
        <v>126</v>
      </c>
      <c r="J572" s="58">
        <v>455</v>
      </c>
    </row>
    <row r="573" spans="1:10">
      <c r="A573" s="66">
        <v>46008</v>
      </c>
      <c r="B573" s="58">
        <v>2797</v>
      </c>
      <c r="C573" s="58">
        <v>447</v>
      </c>
      <c r="D573" s="58">
        <v>297</v>
      </c>
      <c r="E573" s="58">
        <v>450</v>
      </c>
      <c r="F573" s="58">
        <v>458</v>
      </c>
      <c r="G573" s="58">
        <v>398</v>
      </c>
      <c r="H573" s="58">
        <v>202</v>
      </c>
      <c r="I573" s="58">
        <v>115</v>
      </c>
      <c r="J573" s="58">
        <v>430</v>
      </c>
    </row>
    <row r="574" spans="1:10">
      <c r="A574" s="66">
        <v>46009</v>
      </c>
      <c r="B574" s="58">
        <v>3162</v>
      </c>
      <c r="C574" s="58">
        <v>603</v>
      </c>
      <c r="D574" s="58">
        <v>298</v>
      </c>
      <c r="E574" s="58">
        <v>546</v>
      </c>
      <c r="F574" s="58">
        <v>554</v>
      </c>
      <c r="G574" s="58">
        <v>430</v>
      </c>
      <c r="H574" s="58">
        <v>185</v>
      </c>
      <c r="I574" s="58">
        <v>137</v>
      </c>
      <c r="J574" s="58">
        <v>409</v>
      </c>
    </row>
    <row r="575" spans="1:10">
      <c r="A575" s="66">
        <v>46010</v>
      </c>
      <c r="B575" s="58">
        <v>3221</v>
      </c>
      <c r="C575" s="58">
        <v>574</v>
      </c>
      <c r="D575" s="58">
        <v>357</v>
      </c>
      <c r="E575" s="58">
        <v>525</v>
      </c>
      <c r="F575" s="58">
        <v>575</v>
      </c>
      <c r="G575" s="58">
        <v>410</v>
      </c>
      <c r="H575" s="58">
        <v>159</v>
      </c>
      <c r="I575" s="58">
        <v>161</v>
      </c>
      <c r="J575" s="58">
        <v>460</v>
      </c>
    </row>
    <row r="576" spans="1:10">
      <c r="A576" s="66">
        <v>46011</v>
      </c>
      <c r="B576" s="58">
        <v>0</v>
      </c>
      <c r="C576" s="58">
        <v>0</v>
      </c>
      <c r="D576" s="58">
        <v>0</v>
      </c>
      <c r="E576" s="58">
        <v>0</v>
      </c>
      <c r="F576" s="58">
        <v>0</v>
      </c>
      <c r="G576" s="58">
        <v>0</v>
      </c>
      <c r="H576" s="58">
        <v>0</v>
      </c>
      <c r="I576" s="58">
        <v>0</v>
      </c>
      <c r="J576" s="58">
        <v>0</v>
      </c>
    </row>
    <row r="577" spans="1:10">
      <c r="A577" s="66">
        <v>46012</v>
      </c>
      <c r="B577" s="58">
        <v>0</v>
      </c>
      <c r="C577" s="58">
        <v>0</v>
      </c>
      <c r="D577" s="58">
        <v>0</v>
      </c>
      <c r="E577" s="58">
        <v>0</v>
      </c>
      <c r="F577" s="58">
        <v>0</v>
      </c>
      <c r="G577" s="58">
        <v>0</v>
      </c>
      <c r="H577" s="58">
        <v>0</v>
      </c>
      <c r="I577" s="58">
        <v>0</v>
      </c>
      <c r="J577" s="58">
        <v>0</v>
      </c>
    </row>
    <row r="578" spans="1:10">
      <c r="A578" s="66">
        <v>46013</v>
      </c>
      <c r="B578" s="58">
        <v>3595</v>
      </c>
      <c r="C578" s="58">
        <v>628</v>
      </c>
      <c r="D578" s="58">
        <v>370</v>
      </c>
      <c r="E578" s="58">
        <v>648</v>
      </c>
      <c r="F578" s="58">
        <v>630</v>
      </c>
      <c r="G578" s="58">
        <v>474</v>
      </c>
      <c r="H578" s="58">
        <v>239</v>
      </c>
      <c r="I578" s="58">
        <v>152</v>
      </c>
      <c r="J578" s="58">
        <v>454</v>
      </c>
    </row>
    <row r="579" spans="1:10">
      <c r="A579" s="66">
        <v>46014</v>
      </c>
      <c r="B579" s="58">
        <v>3321</v>
      </c>
      <c r="C579" s="58">
        <v>603</v>
      </c>
      <c r="D579" s="58">
        <v>337</v>
      </c>
      <c r="E579" s="58">
        <v>593</v>
      </c>
      <c r="F579" s="58">
        <v>608</v>
      </c>
      <c r="G579" s="58">
        <v>429</v>
      </c>
      <c r="H579" s="58">
        <v>193</v>
      </c>
      <c r="I579" s="58">
        <v>123</v>
      </c>
      <c r="J579" s="58">
        <v>435</v>
      </c>
    </row>
    <row r="580" spans="1:10">
      <c r="A580" s="66">
        <v>46015</v>
      </c>
      <c r="B580" s="58">
        <v>2968</v>
      </c>
      <c r="C580" s="58">
        <v>470</v>
      </c>
      <c r="D580" s="58">
        <v>326</v>
      </c>
      <c r="E580" s="58">
        <v>481</v>
      </c>
      <c r="F580" s="58">
        <v>550</v>
      </c>
      <c r="G580" s="58">
        <v>384</v>
      </c>
      <c r="H580" s="58">
        <v>196</v>
      </c>
      <c r="I580" s="58">
        <v>124</v>
      </c>
      <c r="J580" s="58">
        <v>437</v>
      </c>
    </row>
    <row r="581" spans="1:10">
      <c r="A581" s="66">
        <v>46016</v>
      </c>
      <c r="B581" s="58">
        <v>3238</v>
      </c>
      <c r="C581" s="58">
        <v>572</v>
      </c>
      <c r="D581" s="58">
        <v>337</v>
      </c>
      <c r="E581" s="58">
        <v>517</v>
      </c>
      <c r="F581" s="58">
        <v>586</v>
      </c>
      <c r="G581" s="58">
        <v>399</v>
      </c>
      <c r="H581" s="58">
        <v>217</v>
      </c>
      <c r="I581" s="58">
        <v>137</v>
      </c>
      <c r="J581" s="58">
        <v>473</v>
      </c>
    </row>
    <row r="582" spans="1:10">
      <c r="A582" s="66">
        <v>46017</v>
      </c>
      <c r="B582" s="58">
        <v>3517</v>
      </c>
      <c r="C582" s="58">
        <v>680</v>
      </c>
      <c r="D582" s="58">
        <v>389</v>
      </c>
      <c r="E582" s="58">
        <v>616</v>
      </c>
      <c r="F582" s="58">
        <v>597</v>
      </c>
      <c r="G582" s="58">
        <v>436</v>
      </c>
      <c r="H582" s="58">
        <v>191</v>
      </c>
      <c r="I582" s="58">
        <v>166</v>
      </c>
      <c r="J582" s="58">
        <v>442</v>
      </c>
    </row>
    <row r="583" spans="1:10">
      <c r="A583" s="66">
        <v>46018</v>
      </c>
      <c r="B583" s="58">
        <v>0</v>
      </c>
      <c r="C583" s="58">
        <v>0</v>
      </c>
      <c r="D583" s="58">
        <v>0</v>
      </c>
      <c r="E583" s="58">
        <v>0</v>
      </c>
      <c r="F583" s="58">
        <v>0</v>
      </c>
      <c r="G583" s="58">
        <v>0</v>
      </c>
      <c r="H583" s="58">
        <v>0</v>
      </c>
      <c r="I583" s="58">
        <v>0</v>
      </c>
      <c r="J583" s="58">
        <v>0</v>
      </c>
    </row>
    <row r="584" spans="1:10">
      <c r="A584" s="66">
        <v>46019</v>
      </c>
      <c r="B584" s="58">
        <v>0</v>
      </c>
      <c r="C584" s="58">
        <v>0</v>
      </c>
      <c r="D584" s="58">
        <v>0</v>
      </c>
      <c r="E584" s="58">
        <v>0</v>
      </c>
      <c r="F584" s="58">
        <v>0</v>
      </c>
      <c r="G584" s="58">
        <v>0</v>
      </c>
      <c r="H584" s="58">
        <v>0</v>
      </c>
      <c r="I584" s="58">
        <v>0</v>
      </c>
      <c r="J584" s="58">
        <v>0</v>
      </c>
    </row>
    <row r="585" spans="1:10">
      <c r="A585" s="66">
        <v>46020</v>
      </c>
      <c r="B585" s="58">
        <v>0</v>
      </c>
      <c r="C585" s="58">
        <v>0</v>
      </c>
      <c r="D585" s="58">
        <v>0</v>
      </c>
      <c r="E585" s="58">
        <v>0</v>
      </c>
      <c r="F585" s="58">
        <v>0</v>
      </c>
      <c r="G585" s="58">
        <v>0</v>
      </c>
      <c r="H585" s="58">
        <v>0</v>
      </c>
      <c r="I585" s="58">
        <v>0</v>
      </c>
      <c r="J585" s="58">
        <v>0</v>
      </c>
    </row>
    <row r="586" spans="1:10">
      <c r="A586" s="66">
        <v>46021</v>
      </c>
      <c r="B586" s="58">
        <v>0</v>
      </c>
      <c r="C586" s="58">
        <v>0</v>
      </c>
      <c r="D586" s="58">
        <v>0</v>
      </c>
      <c r="E586" s="58">
        <v>0</v>
      </c>
      <c r="F586" s="58">
        <v>0</v>
      </c>
      <c r="G586" s="58">
        <v>0</v>
      </c>
      <c r="H586" s="58">
        <v>0</v>
      </c>
      <c r="I586" s="58">
        <v>0</v>
      </c>
      <c r="J586" s="58">
        <v>0</v>
      </c>
    </row>
    <row r="587" spans="1:10">
      <c r="A587" s="66">
        <v>46022</v>
      </c>
      <c r="B587" s="58">
        <v>0</v>
      </c>
      <c r="C587" s="58">
        <v>0</v>
      </c>
      <c r="D587" s="58">
        <v>0</v>
      </c>
      <c r="E587" s="58">
        <v>0</v>
      </c>
      <c r="F587" s="58">
        <v>0</v>
      </c>
      <c r="G587" s="58">
        <v>0</v>
      </c>
      <c r="H587" s="58">
        <v>0</v>
      </c>
      <c r="I587" s="58">
        <v>0</v>
      </c>
      <c r="J587" s="58">
        <v>0</v>
      </c>
    </row>
    <row r="588" spans="1:10">
      <c r="A588" s="66">
        <v>46023</v>
      </c>
      <c r="B588" s="58">
        <v>0</v>
      </c>
      <c r="C588" s="58">
        <v>0</v>
      </c>
      <c r="D588" s="58">
        <v>0</v>
      </c>
      <c r="E588" s="58">
        <v>0</v>
      </c>
      <c r="F588" s="58">
        <v>0</v>
      </c>
      <c r="G588" s="58">
        <v>0</v>
      </c>
      <c r="H588" s="58">
        <v>0</v>
      </c>
      <c r="I588" s="58">
        <v>0</v>
      </c>
      <c r="J588" s="58">
        <v>0</v>
      </c>
    </row>
    <row r="589" spans="1:10">
      <c r="A589" s="66">
        <v>46024</v>
      </c>
      <c r="B589" s="58">
        <v>0</v>
      </c>
      <c r="C589" s="58">
        <v>0</v>
      </c>
      <c r="D589" s="58">
        <v>0</v>
      </c>
      <c r="E589" s="58">
        <v>0</v>
      </c>
      <c r="F589" s="58">
        <v>0</v>
      </c>
      <c r="G589" s="58">
        <v>0</v>
      </c>
      <c r="H589" s="58">
        <v>0</v>
      </c>
      <c r="I589" s="58">
        <v>0</v>
      </c>
      <c r="J589" s="58">
        <v>0</v>
      </c>
    </row>
    <row r="590" spans="1:10">
      <c r="A590" s="66">
        <v>46025</v>
      </c>
      <c r="B590" s="58">
        <v>0</v>
      </c>
      <c r="C590" s="58">
        <v>0</v>
      </c>
      <c r="D590" s="58">
        <v>0</v>
      </c>
      <c r="E590" s="58">
        <v>0</v>
      </c>
      <c r="F590" s="58">
        <v>0</v>
      </c>
      <c r="G590" s="58">
        <v>0</v>
      </c>
      <c r="H590" s="58">
        <v>0</v>
      </c>
      <c r="I590" s="58">
        <v>0</v>
      </c>
      <c r="J590" s="58">
        <v>0</v>
      </c>
    </row>
    <row r="591" spans="1:10">
      <c r="A591" s="66">
        <v>46026</v>
      </c>
      <c r="B591" s="58">
        <v>0</v>
      </c>
      <c r="C591" s="58">
        <v>0</v>
      </c>
      <c r="D591" s="58">
        <v>0</v>
      </c>
      <c r="E591" s="58">
        <v>0</v>
      </c>
      <c r="F591" s="58">
        <v>0</v>
      </c>
      <c r="G591" s="58">
        <v>0</v>
      </c>
      <c r="H591" s="58">
        <v>0</v>
      </c>
      <c r="I591" s="58">
        <v>0</v>
      </c>
      <c r="J591" s="58">
        <v>0</v>
      </c>
    </row>
    <row r="592" spans="1:10">
      <c r="A592" s="66">
        <v>46027</v>
      </c>
      <c r="B592" s="58">
        <v>2509</v>
      </c>
      <c r="C592" s="58">
        <v>973</v>
      </c>
      <c r="D592" s="58">
        <v>0</v>
      </c>
      <c r="E592" s="58">
        <v>857</v>
      </c>
      <c r="F592" s="58">
        <v>0</v>
      </c>
      <c r="G592" s="58">
        <v>679</v>
      </c>
      <c r="H592" s="58">
        <v>0</v>
      </c>
      <c r="I592" s="58">
        <v>0</v>
      </c>
      <c r="J592" s="58">
        <v>0</v>
      </c>
    </row>
    <row r="593" spans="1:10">
      <c r="A593" s="66">
        <v>46028</v>
      </c>
      <c r="B593" s="58">
        <v>1676</v>
      </c>
      <c r="C593" s="58">
        <v>693</v>
      </c>
      <c r="D593" s="58">
        <v>0</v>
      </c>
      <c r="E593" s="58">
        <v>522</v>
      </c>
      <c r="F593" s="58">
        <v>7</v>
      </c>
      <c r="G593" s="58">
        <v>453</v>
      </c>
      <c r="H593" s="58">
        <v>0</v>
      </c>
      <c r="I593" s="58">
        <v>1</v>
      </c>
      <c r="J593" s="58">
        <v>0</v>
      </c>
    </row>
    <row r="594" spans="1:10">
      <c r="A594" s="66">
        <v>46029</v>
      </c>
      <c r="B594" s="58">
        <v>1639</v>
      </c>
      <c r="C594" s="58">
        <v>628</v>
      </c>
      <c r="D594" s="58">
        <v>0</v>
      </c>
      <c r="E594" s="58">
        <v>552</v>
      </c>
      <c r="F594" s="58">
        <v>12</v>
      </c>
      <c r="G594" s="58">
        <v>412</v>
      </c>
      <c r="H594" s="58">
        <v>0</v>
      </c>
      <c r="I594" s="58">
        <v>35</v>
      </c>
      <c r="J594" s="58">
        <v>0</v>
      </c>
    </row>
    <row r="595" spans="1:10">
      <c r="A595" s="66">
        <v>46030</v>
      </c>
      <c r="B595" s="58">
        <v>1579</v>
      </c>
      <c r="C595" s="58">
        <v>562</v>
      </c>
      <c r="D595" s="58">
        <v>0</v>
      </c>
      <c r="E595" s="58">
        <v>535</v>
      </c>
      <c r="F595" s="58">
        <v>54</v>
      </c>
      <c r="G595" s="58">
        <v>405</v>
      </c>
      <c r="H595" s="58">
        <v>0</v>
      </c>
      <c r="I595" s="58">
        <v>23</v>
      </c>
      <c r="J595" s="58">
        <v>0</v>
      </c>
    </row>
    <row r="596" spans="1:10">
      <c r="A596" s="66">
        <v>46031</v>
      </c>
      <c r="B596" s="58">
        <v>1792</v>
      </c>
      <c r="C596" s="58">
        <v>709</v>
      </c>
      <c r="D596" s="58">
        <v>0</v>
      </c>
      <c r="E596" s="58">
        <v>586</v>
      </c>
      <c r="F596" s="58">
        <v>38</v>
      </c>
      <c r="G596" s="58">
        <v>459</v>
      </c>
      <c r="H596" s="58">
        <v>0</v>
      </c>
      <c r="I596" s="58">
        <v>0</v>
      </c>
      <c r="J596" s="58">
        <v>0</v>
      </c>
    </row>
    <row r="597" spans="1:10">
      <c r="A597" s="66">
        <v>46032</v>
      </c>
      <c r="B597" s="58">
        <v>12</v>
      </c>
      <c r="C597" s="58">
        <v>0</v>
      </c>
      <c r="D597" s="58">
        <v>0</v>
      </c>
      <c r="E597" s="58">
        <v>0</v>
      </c>
      <c r="F597" s="58">
        <v>0</v>
      </c>
      <c r="G597" s="58">
        <v>0</v>
      </c>
      <c r="H597" s="58">
        <v>0</v>
      </c>
      <c r="I597" s="58">
        <v>0</v>
      </c>
      <c r="J597" s="58">
        <v>12</v>
      </c>
    </row>
    <row r="598" spans="1:10">
      <c r="A598" s="66">
        <v>46033</v>
      </c>
      <c r="B598" s="58">
        <v>130</v>
      </c>
      <c r="C598" s="58">
        <v>48</v>
      </c>
      <c r="D598" s="58">
        <v>0</v>
      </c>
      <c r="E598" s="58">
        <v>59</v>
      </c>
      <c r="F598" s="58">
        <v>0</v>
      </c>
      <c r="G598" s="58">
        <v>23</v>
      </c>
      <c r="H598" s="58">
        <v>0</v>
      </c>
      <c r="I598" s="58">
        <v>0</v>
      </c>
      <c r="J598" s="58">
        <v>0</v>
      </c>
    </row>
    <row r="599" spans="1:10">
      <c r="A599" s="66">
        <v>46034</v>
      </c>
      <c r="B599" s="58">
        <v>13</v>
      </c>
      <c r="C599" s="58">
        <v>0</v>
      </c>
      <c r="D599" s="58">
        <v>0</v>
      </c>
      <c r="E599" s="58">
        <v>0</v>
      </c>
      <c r="F599" s="58">
        <v>0</v>
      </c>
      <c r="G599" s="58">
        <v>0</v>
      </c>
      <c r="H599" s="58">
        <v>0</v>
      </c>
      <c r="I599" s="58">
        <v>0</v>
      </c>
      <c r="J599" s="58">
        <v>13</v>
      </c>
    </row>
    <row r="600" spans="1:10">
      <c r="A600" s="66">
        <v>46035</v>
      </c>
      <c r="B600" s="58">
        <v>1868</v>
      </c>
      <c r="C600" s="58">
        <v>753</v>
      </c>
      <c r="D600" s="58">
        <v>23</v>
      </c>
      <c r="E600" s="58">
        <v>592</v>
      </c>
      <c r="F600" s="58">
        <v>0</v>
      </c>
      <c r="G600" s="58">
        <v>480</v>
      </c>
      <c r="H600" s="58">
        <v>0</v>
      </c>
      <c r="I600" s="58">
        <v>4</v>
      </c>
      <c r="J600" s="58">
        <v>16</v>
      </c>
    </row>
    <row r="601" spans="1:10">
      <c r="A601" s="66">
        <v>46036</v>
      </c>
      <c r="B601" s="58">
        <v>1863</v>
      </c>
      <c r="C601" s="58">
        <v>642</v>
      </c>
      <c r="D601" s="58">
        <v>3</v>
      </c>
      <c r="E601" s="58">
        <v>595</v>
      </c>
      <c r="F601" s="58">
        <v>177</v>
      </c>
      <c r="G601" s="58">
        <v>446</v>
      </c>
      <c r="H601" s="58">
        <v>0</v>
      </c>
      <c r="I601" s="58">
        <v>0</v>
      </c>
      <c r="J601" s="58">
        <v>0</v>
      </c>
    </row>
    <row r="602" spans="1:10">
      <c r="A602" s="66">
        <v>46037</v>
      </c>
      <c r="B602" s="58">
        <v>1638</v>
      </c>
      <c r="C602" s="58">
        <v>605</v>
      </c>
      <c r="D602" s="58">
        <v>2</v>
      </c>
      <c r="E602" s="58">
        <v>525</v>
      </c>
      <c r="F602" s="58">
        <v>0</v>
      </c>
      <c r="G602" s="58">
        <v>380</v>
      </c>
      <c r="H602" s="58">
        <v>0</v>
      </c>
      <c r="I602" s="58">
        <v>0</v>
      </c>
      <c r="J602" s="58">
        <v>126</v>
      </c>
    </row>
    <row r="603" spans="1:10">
      <c r="A603" s="66">
        <v>46038</v>
      </c>
      <c r="B603" s="58">
        <v>1783</v>
      </c>
      <c r="C603" s="58">
        <v>634</v>
      </c>
      <c r="D603" s="58">
        <v>0</v>
      </c>
      <c r="E603" s="58">
        <v>602</v>
      </c>
      <c r="F603" s="58">
        <v>0</v>
      </c>
      <c r="G603" s="58">
        <v>415</v>
      </c>
      <c r="H603" s="58">
        <v>0</v>
      </c>
      <c r="I603" s="58">
        <v>132</v>
      </c>
      <c r="J603" s="58">
        <v>0</v>
      </c>
    </row>
    <row r="604" spans="1:10">
      <c r="A604" s="66">
        <v>46039</v>
      </c>
      <c r="B604" s="58">
        <v>74</v>
      </c>
      <c r="C604" s="58">
        <v>0</v>
      </c>
      <c r="D604" s="58">
        <v>0</v>
      </c>
      <c r="E604" s="58">
        <v>0</v>
      </c>
      <c r="F604" s="58">
        <v>0</v>
      </c>
      <c r="G604" s="58">
        <v>0</v>
      </c>
      <c r="H604" s="58">
        <v>0</v>
      </c>
      <c r="I604" s="58">
        <v>74</v>
      </c>
      <c r="J604" s="58">
        <v>0</v>
      </c>
    </row>
    <row r="605" spans="1:10">
      <c r="A605" s="66">
        <v>46040</v>
      </c>
      <c r="B605" s="58">
        <v>183</v>
      </c>
      <c r="C605" s="58">
        <v>0</v>
      </c>
      <c r="D605" s="58">
        <v>0</v>
      </c>
      <c r="E605" s="58">
        <v>0</v>
      </c>
      <c r="F605" s="58">
        <v>105</v>
      </c>
      <c r="G605" s="58">
        <v>0</v>
      </c>
      <c r="H605" s="58">
        <v>0</v>
      </c>
      <c r="I605" s="58">
        <v>0</v>
      </c>
      <c r="J605" s="58">
        <v>78</v>
      </c>
    </row>
    <row r="606" spans="1:10">
      <c r="A606" s="66">
        <v>46041</v>
      </c>
      <c r="B606" s="58">
        <v>3248</v>
      </c>
      <c r="C606" s="58">
        <v>726</v>
      </c>
      <c r="D606" s="58">
        <v>0</v>
      </c>
      <c r="E606" s="58">
        <v>590</v>
      </c>
      <c r="F606" s="58">
        <v>750</v>
      </c>
      <c r="G606" s="58">
        <v>460</v>
      </c>
      <c r="H606" s="58">
        <v>0</v>
      </c>
      <c r="I606" s="58">
        <v>207</v>
      </c>
      <c r="J606" s="58">
        <v>515</v>
      </c>
    </row>
    <row r="607" spans="1:10">
      <c r="A607" s="66">
        <v>46042</v>
      </c>
      <c r="B607" s="58">
        <v>2759</v>
      </c>
      <c r="C607" s="58">
        <v>567</v>
      </c>
      <c r="D607" s="58">
        <v>0</v>
      </c>
      <c r="E607" s="58">
        <v>477</v>
      </c>
      <c r="F607" s="58">
        <v>636</v>
      </c>
      <c r="G607" s="58">
        <v>437</v>
      </c>
      <c r="H607" s="58">
        <v>0</v>
      </c>
      <c r="I607" s="58">
        <v>135</v>
      </c>
      <c r="J607" s="58">
        <v>507</v>
      </c>
    </row>
    <row r="608" spans="1:10">
      <c r="A608" s="66">
        <v>46043</v>
      </c>
      <c r="B608" s="58">
        <v>2809</v>
      </c>
      <c r="C608" s="58">
        <v>586</v>
      </c>
      <c r="D608" s="58">
        <v>0</v>
      </c>
      <c r="E608" s="58">
        <v>545</v>
      </c>
      <c r="F608" s="58">
        <v>649</v>
      </c>
      <c r="G608" s="58">
        <v>414</v>
      </c>
      <c r="H608" s="58">
        <v>0</v>
      </c>
      <c r="I608" s="58">
        <v>162</v>
      </c>
      <c r="J608" s="58">
        <v>453</v>
      </c>
    </row>
    <row r="609" spans="1:10">
      <c r="A609" s="66">
        <v>46044</v>
      </c>
      <c r="B609" s="58">
        <v>2484</v>
      </c>
      <c r="C609" s="58">
        <v>508</v>
      </c>
      <c r="D609" s="58">
        <v>120</v>
      </c>
      <c r="E609" s="58">
        <v>446</v>
      </c>
      <c r="F609" s="58">
        <v>540</v>
      </c>
      <c r="G609" s="58">
        <v>294</v>
      </c>
      <c r="H609" s="58">
        <v>0</v>
      </c>
      <c r="I609" s="58">
        <v>152</v>
      </c>
      <c r="J609" s="58">
        <v>424</v>
      </c>
    </row>
    <row r="610" spans="1:10">
      <c r="A610" s="66">
        <v>46045</v>
      </c>
      <c r="B610" s="58">
        <v>2843</v>
      </c>
      <c r="C610" s="58">
        <v>571</v>
      </c>
      <c r="D610" s="58">
        <v>0</v>
      </c>
      <c r="E610" s="58">
        <v>500</v>
      </c>
      <c r="F610" s="58">
        <v>624</v>
      </c>
      <c r="G610" s="58">
        <v>373</v>
      </c>
      <c r="H610" s="58">
        <v>128</v>
      </c>
      <c r="I610" s="58">
        <v>186</v>
      </c>
      <c r="J610" s="58">
        <v>461</v>
      </c>
    </row>
    <row r="611" spans="1:10">
      <c r="A611" s="66">
        <v>46046</v>
      </c>
      <c r="B611" s="58">
        <v>70</v>
      </c>
      <c r="C611" s="58">
        <v>0</v>
      </c>
      <c r="D611" s="58">
        <v>0</v>
      </c>
      <c r="E611" s="58">
        <v>0</v>
      </c>
      <c r="F611" s="58">
        <v>0</v>
      </c>
      <c r="G611" s="58">
        <v>0</v>
      </c>
      <c r="H611" s="58">
        <v>70</v>
      </c>
      <c r="I611" s="58">
        <v>0</v>
      </c>
      <c r="J611" s="58">
        <v>0</v>
      </c>
    </row>
    <row r="612" spans="1:10">
      <c r="A612" s="66">
        <v>46047</v>
      </c>
      <c r="B612" s="58">
        <v>62</v>
      </c>
      <c r="C612" s="58">
        <v>0</v>
      </c>
      <c r="D612" s="58">
        <v>62</v>
      </c>
      <c r="E612" s="58">
        <v>0</v>
      </c>
      <c r="F612" s="58">
        <v>0</v>
      </c>
      <c r="G612" s="58">
        <v>0</v>
      </c>
      <c r="H612" s="58">
        <v>0</v>
      </c>
      <c r="I612" s="58">
        <v>0</v>
      </c>
      <c r="J612" s="58">
        <v>0</v>
      </c>
    </row>
    <row r="613" spans="1:10">
      <c r="A613" s="66">
        <v>46048</v>
      </c>
      <c r="B613" s="58">
        <v>3891</v>
      </c>
      <c r="C613" s="58">
        <v>728</v>
      </c>
      <c r="D613" s="58">
        <v>371</v>
      </c>
      <c r="E613" s="58">
        <v>574</v>
      </c>
      <c r="F613" s="58">
        <v>726</v>
      </c>
      <c r="G613" s="58">
        <v>480</v>
      </c>
      <c r="H613" s="58">
        <v>329</v>
      </c>
      <c r="I613" s="58">
        <v>182</v>
      </c>
      <c r="J613" s="58">
        <v>501</v>
      </c>
    </row>
    <row r="614" spans="1:10">
      <c r="A614" s="66">
        <v>46049</v>
      </c>
      <c r="B614" s="58">
        <v>3481</v>
      </c>
      <c r="C614" s="58">
        <v>597</v>
      </c>
      <c r="D614" s="58">
        <v>362</v>
      </c>
      <c r="E614" s="58">
        <v>501</v>
      </c>
      <c r="F614" s="58">
        <v>698</v>
      </c>
      <c r="G614" s="58">
        <v>440</v>
      </c>
      <c r="H614" s="58">
        <v>279</v>
      </c>
      <c r="I614" s="58">
        <v>142</v>
      </c>
      <c r="J614" s="58">
        <v>462</v>
      </c>
    </row>
    <row r="615" spans="1:10">
      <c r="A615" s="66">
        <v>46050</v>
      </c>
      <c r="B615" s="58">
        <v>3393</v>
      </c>
      <c r="C615" s="58">
        <v>580</v>
      </c>
      <c r="D615" s="58">
        <v>335</v>
      </c>
      <c r="E615" s="58">
        <v>538</v>
      </c>
      <c r="F615" s="58">
        <v>696</v>
      </c>
      <c r="G615" s="58">
        <v>387</v>
      </c>
      <c r="H615" s="58">
        <v>238</v>
      </c>
      <c r="I615" s="58">
        <v>124</v>
      </c>
      <c r="J615" s="58">
        <v>495</v>
      </c>
    </row>
    <row r="616" spans="1:10">
      <c r="A616" s="66">
        <v>46051</v>
      </c>
      <c r="B616" s="58">
        <v>3248</v>
      </c>
      <c r="C616" s="58">
        <v>591</v>
      </c>
      <c r="D616" s="58">
        <v>306</v>
      </c>
      <c r="E616" s="58">
        <v>507</v>
      </c>
      <c r="F616" s="58">
        <v>630</v>
      </c>
      <c r="G616" s="58">
        <v>345</v>
      </c>
      <c r="H616" s="58">
        <v>278</v>
      </c>
      <c r="I616" s="58">
        <v>138</v>
      </c>
      <c r="J616" s="58">
        <v>453</v>
      </c>
    </row>
    <row r="617" spans="1:10">
      <c r="A617" s="66">
        <v>46052</v>
      </c>
      <c r="B617" s="58">
        <v>3383</v>
      </c>
      <c r="C617" s="58">
        <v>622</v>
      </c>
      <c r="D617" s="58">
        <v>314</v>
      </c>
      <c r="E617" s="58">
        <v>480</v>
      </c>
      <c r="F617" s="58">
        <v>643</v>
      </c>
      <c r="G617" s="58">
        <v>406</v>
      </c>
      <c r="H617" s="58">
        <v>291</v>
      </c>
      <c r="I617" s="58">
        <v>182</v>
      </c>
      <c r="J617" s="58">
        <v>445</v>
      </c>
    </row>
    <row r="618" spans="1:10">
      <c r="A618" s="66">
        <v>46053</v>
      </c>
      <c r="B618" s="58">
        <v>0</v>
      </c>
      <c r="C618" s="58">
        <v>0</v>
      </c>
      <c r="D618" s="58">
        <v>0</v>
      </c>
      <c r="E618" s="58">
        <v>0</v>
      </c>
      <c r="F618" s="58">
        <v>0</v>
      </c>
      <c r="G618" s="58">
        <v>0</v>
      </c>
      <c r="H618" s="58">
        <v>0</v>
      </c>
      <c r="I618" s="58">
        <v>0</v>
      </c>
      <c r="J618" s="58">
        <v>0</v>
      </c>
    </row>
    <row r="619" spans="1:10">
      <c r="A619" s="66">
        <v>46054</v>
      </c>
      <c r="B619" s="58">
        <v>0</v>
      </c>
      <c r="C619" s="58">
        <v>0</v>
      </c>
      <c r="D619" s="58">
        <v>0</v>
      </c>
      <c r="E619" s="58">
        <v>0</v>
      </c>
      <c r="F619" s="58">
        <v>0</v>
      </c>
      <c r="G619" s="58">
        <v>0</v>
      </c>
      <c r="H619" s="58">
        <v>0</v>
      </c>
      <c r="I619" s="58">
        <v>0</v>
      </c>
      <c r="J619" s="58">
        <v>0</v>
      </c>
    </row>
    <row r="620" spans="1:10">
      <c r="A620" s="66">
        <v>46055</v>
      </c>
      <c r="B620" s="58">
        <v>3969</v>
      </c>
      <c r="C620" s="58">
        <v>751</v>
      </c>
      <c r="D620" s="58">
        <v>399</v>
      </c>
      <c r="E620" s="58">
        <v>599</v>
      </c>
      <c r="F620" s="58">
        <v>712</v>
      </c>
      <c r="G620" s="58">
        <v>478</v>
      </c>
      <c r="H620" s="58">
        <v>302</v>
      </c>
      <c r="I620" s="58">
        <v>192</v>
      </c>
      <c r="J620" s="58">
        <v>536</v>
      </c>
    </row>
    <row r="621" spans="1:10">
      <c r="A621" s="66">
        <v>46056</v>
      </c>
      <c r="B621" s="58">
        <v>3570</v>
      </c>
      <c r="C621" s="58">
        <v>633</v>
      </c>
      <c r="D621" s="58">
        <v>368</v>
      </c>
      <c r="E621" s="58">
        <v>519</v>
      </c>
      <c r="F621" s="58">
        <v>675</v>
      </c>
      <c r="G621" s="58">
        <v>446</v>
      </c>
      <c r="H621" s="58">
        <v>309</v>
      </c>
      <c r="I621" s="58">
        <v>166</v>
      </c>
      <c r="J621" s="58">
        <v>454</v>
      </c>
    </row>
    <row r="622" spans="1:10">
      <c r="A622" s="66">
        <v>46057</v>
      </c>
      <c r="B622" s="58">
        <v>3707</v>
      </c>
      <c r="C622" s="58">
        <v>730</v>
      </c>
      <c r="D622" s="58">
        <v>360</v>
      </c>
      <c r="E622" s="58">
        <v>558</v>
      </c>
      <c r="F622" s="58">
        <v>637</v>
      </c>
      <c r="G622" s="58">
        <v>463</v>
      </c>
      <c r="H622" s="58">
        <v>324</v>
      </c>
      <c r="I622" s="58">
        <v>163</v>
      </c>
      <c r="J622" s="58">
        <v>472</v>
      </c>
    </row>
    <row r="623" spans="1:10">
      <c r="A623" s="66">
        <v>46058</v>
      </c>
      <c r="B623" s="58">
        <v>3646</v>
      </c>
      <c r="C623" s="58">
        <v>643</v>
      </c>
      <c r="D623" s="58">
        <v>386</v>
      </c>
      <c r="E623" s="58">
        <v>514</v>
      </c>
      <c r="F623" s="58">
        <v>705</v>
      </c>
      <c r="G623" s="58">
        <v>460</v>
      </c>
      <c r="H623" s="58">
        <v>296</v>
      </c>
      <c r="I623" s="58">
        <v>150</v>
      </c>
      <c r="J623" s="58">
        <v>492</v>
      </c>
    </row>
    <row r="624" spans="1:10">
      <c r="A624" s="66">
        <v>46059</v>
      </c>
      <c r="B624" s="58">
        <v>3758</v>
      </c>
      <c r="C624" s="58">
        <v>706</v>
      </c>
      <c r="D624" s="58">
        <v>379</v>
      </c>
      <c r="E624" s="58">
        <v>578</v>
      </c>
      <c r="F624" s="58">
        <v>638</v>
      </c>
      <c r="G624" s="58">
        <v>470</v>
      </c>
      <c r="H624" s="58">
        <v>327</v>
      </c>
      <c r="I624" s="58">
        <v>172</v>
      </c>
      <c r="J624" s="58">
        <v>488</v>
      </c>
    </row>
    <row r="625" spans="1:10">
      <c r="A625" s="66">
        <v>46060</v>
      </c>
      <c r="B625" s="58">
        <v>0</v>
      </c>
      <c r="C625" s="58">
        <v>0</v>
      </c>
      <c r="D625" s="58">
        <v>0</v>
      </c>
      <c r="E625" s="58">
        <v>0</v>
      </c>
      <c r="F625" s="58">
        <v>0</v>
      </c>
      <c r="G625" s="58">
        <v>0</v>
      </c>
      <c r="H625" s="58">
        <v>0</v>
      </c>
      <c r="I625" s="58">
        <v>0</v>
      </c>
      <c r="J625" s="58">
        <v>0</v>
      </c>
    </row>
    <row r="626" spans="1:10">
      <c r="A626" s="66">
        <v>46061</v>
      </c>
      <c r="B626" s="58">
        <v>0</v>
      </c>
      <c r="C626" s="58">
        <v>0</v>
      </c>
      <c r="D626" s="58">
        <v>0</v>
      </c>
      <c r="E626" s="58">
        <v>0</v>
      </c>
      <c r="F626" s="58">
        <v>0</v>
      </c>
      <c r="G626" s="58">
        <v>0</v>
      </c>
      <c r="H626" s="58">
        <v>0</v>
      </c>
      <c r="I626" s="58">
        <v>0</v>
      </c>
      <c r="J626" s="58">
        <v>0</v>
      </c>
    </row>
    <row r="627" spans="1:10">
      <c r="A627" s="66">
        <v>46062</v>
      </c>
      <c r="B627" s="58">
        <v>2801</v>
      </c>
      <c r="C627" s="58">
        <v>545</v>
      </c>
      <c r="D627" s="58">
        <v>326</v>
      </c>
      <c r="E627" s="58">
        <v>386</v>
      </c>
      <c r="F627" s="58">
        <v>563</v>
      </c>
      <c r="G627" s="58">
        <v>329</v>
      </c>
      <c r="H627" s="58">
        <v>208</v>
      </c>
      <c r="I627" s="58">
        <v>97</v>
      </c>
      <c r="J627" s="58">
        <v>347</v>
      </c>
    </row>
    <row r="628" spans="1:10">
      <c r="A628" s="66">
        <v>46063</v>
      </c>
      <c r="B628" s="58">
        <v>3551</v>
      </c>
      <c r="C628" s="58">
        <v>588</v>
      </c>
      <c r="D628" s="58">
        <v>411</v>
      </c>
      <c r="E628" s="58">
        <v>534</v>
      </c>
      <c r="F628" s="58">
        <v>688</v>
      </c>
      <c r="G628" s="58">
        <v>429</v>
      </c>
      <c r="H628" s="58">
        <v>251</v>
      </c>
      <c r="I628" s="58">
        <v>162</v>
      </c>
      <c r="J628" s="58">
        <v>488</v>
      </c>
    </row>
    <row r="629" spans="1:10">
      <c r="A629" s="66">
        <v>46064</v>
      </c>
      <c r="B629" s="58">
        <v>0</v>
      </c>
      <c r="C629" s="58">
        <v>0</v>
      </c>
      <c r="D629" s="58">
        <v>0</v>
      </c>
      <c r="E629" s="58">
        <v>0</v>
      </c>
      <c r="F629" s="58">
        <v>0</v>
      </c>
      <c r="G629" s="58">
        <v>0</v>
      </c>
      <c r="H629" s="58">
        <v>0</v>
      </c>
      <c r="I629" s="58">
        <v>0</v>
      </c>
      <c r="J629" s="58">
        <v>0</v>
      </c>
    </row>
    <row r="630" spans="1:10">
      <c r="A630" s="66">
        <v>46065</v>
      </c>
      <c r="B630" s="58">
        <v>4309</v>
      </c>
      <c r="C630" s="58">
        <v>734</v>
      </c>
      <c r="D630" s="58">
        <v>437</v>
      </c>
      <c r="E630" s="58">
        <v>676</v>
      </c>
      <c r="F630" s="58">
        <v>778</v>
      </c>
      <c r="G630" s="58">
        <v>527</v>
      </c>
      <c r="H630" s="58">
        <v>333</v>
      </c>
      <c r="I630" s="58">
        <v>243</v>
      </c>
      <c r="J630" s="58">
        <v>581</v>
      </c>
    </row>
    <row r="631" spans="1:10">
      <c r="A631" s="66">
        <v>46066</v>
      </c>
      <c r="B631" s="58">
        <v>4158</v>
      </c>
      <c r="C631" s="58">
        <v>705</v>
      </c>
      <c r="D631" s="58">
        <v>417</v>
      </c>
      <c r="E631" s="58">
        <v>626</v>
      </c>
      <c r="F631" s="58">
        <v>744</v>
      </c>
      <c r="G631" s="58">
        <v>559</v>
      </c>
      <c r="H631" s="58">
        <v>336</v>
      </c>
      <c r="I631" s="58">
        <v>224</v>
      </c>
      <c r="J631" s="58">
        <v>547</v>
      </c>
    </row>
    <row r="632" spans="1:10">
      <c r="A632" s="66">
        <v>46067</v>
      </c>
      <c r="B632" s="58">
        <v>0</v>
      </c>
      <c r="C632" s="58">
        <v>0</v>
      </c>
      <c r="D632" s="58">
        <v>0</v>
      </c>
      <c r="E632" s="58">
        <v>0</v>
      </c>
      <c r="F632" s="58">
        <v>0</v>
      </c>
      <c r="G632" s="58">
        <v>0</v>
      </c>
      <c r="H632" s="58">
        <v>0</v>
      </c>
      <c r="I632" s="58">
        <v>0</v>
      </c>
      <c r="J632" s="58">
        <v>0</v>
      </c>
    </row>
    <row r="633" spans="1:10">
      <c r="A633" s="66">
        <v>46068</v>
      </c>
      <c r="B633" s="58">
        <v>0</v>
      </c>
      <c r="C633" s="58">
        <v>0</v>
      </c>
      <c r="D633" s="58">
        <v>0</v>
      </c>
      <c r="E633" s="58">
        <v>0</v>
      </c>
      <c r="F633" s="58">
        <v>0</v>
      </c>
      <c r="G633" s="58">
        <v>0</v>
      </c>
      <c r="H633" s="58">
        <v>0</v>
      </c>
      <c r="I633" s="58">
        <v>0</v>
      </c>
      <c r="J633" s="58">
        <v>0</v>
      </c>
    </row>
    <row r="634" spans="1:10">
      <c r="A634" s="66">
        <v>46069</v>
      </c>
      <c r="B634" s="58">
        <v>4331</v>
      </c>
      <c r="C634" s="58">
        <v>797</v>
      </c>
      <c r="D634" s="58">
        <v>458</v>
      </c>
      <c r="E634" s="58">
        <v>608</v>
      </c>
      <c r="F634" s="58">
        <v>782</v>
      </c>
      <c r="G634" s="58">
        <v>508</v>
      </c>
      <c r="H634" s="58">
        <v>352</v>
      </c>
      <c r="I634" s="58">
        <v>237</v>
      </c>
      <c r="J634" s="58">
        <v>589</v>
      </c>
    </row>
    <row r="635" spans="1:10">
      <c r="A635" s="66">
        <v>46070</v>
      </c>
      <c r="B635" s="58">
        <v>3927</v>
      </c>
      <c r="C635" s="58">
        <v>711</v>
      </c>
      <c r="D635" s="58">
        <v>415</v>
      </c>
      <c r="E635" s="58">
        <v>643</v>
      </c>
      <c r="F635" s="58">
        <v>648</v>
      </c>
      <c r="G635" s="58">
        <v>497</v>
      </c>
      <c r="H635" s="58">
        <v>293</v>
      </c>
      <c r="I635" s="58">
        <v>184</v>
      </c>
      <c r="J635" s="58">
        <v>536</v>
      </c>
    </row>
    <row r="636" spans="1:10">
      <c r="A636" s="66">
        <v>46071</v>
      </c>
      <c r="B636" s="58">
        <v>3757</v>
      </c>
      <c r="C636" s="58">
        <v>667</v>
      </c>
      <c r="D636" s="58">
        <v>422</v>
      </c>
      <c r="E636" s="58">
        <v>547</v>
      </c>
      <c r="F636" s="58">
        <v>727</v>
      </c>
      <c r="G636" s="58">
        <v>427</v>
      </c>
      <c r="H636" s="58">
        <v>268</v>
      </c>
      <c r="I636" s="58">
        <v>186</v>
      </c>
      <c r="J636" s="58">
        <v>513</v>
      </c>
    </row>
    <row r="637" spans="1:10">
      <c r="A637" s="66">
        <v>46072</v>
      </c>
      <c r="B637" s="58">
        <v>3584</v>
      </c>
      <c r="C637" s="58">
        <v>630</v>
      </c>
      <c r="D637" s="58">
        <v>352</v>
      </c>
      <c r="E637" s="58">
        <v>529</v>
      </c>
      <c r="F637" s="58">
        <v>685</v>
      </c>
      <c r="G637" s="58">
        <v>432</v>
      </c>
      <c r="H637" s="58">
        <v>294</v>
      </c>
      <c r="I637" s="58">
        <v>157</v>
      </c>
      <c r="J637" s="58">
        <v>505</v>
      </c>
    </row>
    <row r="638" spans="1:10">
      <c r="A638" s="66">
        <v>46073</v>
      </c>
      <c r="B638" s="58">
        <v>3766</v>
      </c>
      <c r="C638" s="58">
        <v>634</v>
      </c>
      <c r="D638" s="58">
        <v>408</v>
      </c>
      <c r="E638" s="58">
        <v>616</v>
      </c>
      <c r="F638" s="58">
        <v>697</v>
      </c>
      <c r="G638" s="58">
        <v>423</v>
      </c>
      <c r="H638" s="58">
        <v>300</v>
      </c>
      <c r="I638" s="58">
        <v>180</v>
      </c>
      <c r="J638" s="58">
        <v>508</v>
      </c>
    </row>
    <row r="639" spans="1:10">
      <c r="A639" s="66">
        <v>46074</v>
      </c>
      <c r="B639" s="58">
        <v>0</v>
      </c>
      <c r="C639" s="58">
        <v>0</v>
      </c>
      <c r="D639" s="58">
        <v>0</v>
      </c>
      <c r="E639" s="58">
        <v>0</v>
      </c>
      <c r="F639" s="58">
        <v>0</v>
      </c>
      <c r="G639" s="58">
        <v>0</v>
      </c>
      <c r="H639" s="58">
        <v>0</v>
      </c>
      <c r="I639" s="58">
        <v>0</v>
      </c>
      <c r="J639" s="58">
        <v>0</v>
      </c>
    </row>
    <row r="640" spans="1:10">
      <c r="A640" s="66">
        <v>46075</v>
      </c>
      <c r="B640" s="58">
        <v>0</v>
      </c>
      <c r="C640" s="58">
        <v>0</v>
      </c>
      <c r="D640" s="58">
        <v>0</v>
      </c>
      <c r="E640" s="58">
        <v>0</v>
      </c>
      <c r="F640" s="58">
        <v>0</v>
      </c>
      <c r="G640" s="58">
        <v>0</v>
      </c>
      <c r="H640" s="58">
        <v>0</v>
      </c>
      <c r="I640" s="58">
        <v>0</v>
      </c>
      <c r="J640" s="58">
        <v>0</v>
      </c>
    </row>
    <row r="641" spans="1:10">
      <c r="A641" s="66">
        <v>46076</v>
      </c>
      <c r="B641" s="58">
        <v>0</v>
      </c>
      <c r="C641" s="58">
        <v>0</v>
      </c>
      <c r="D641" s="58">
        <v>0</v>
      </c>
      <c r="E641" s="58">
        <v>0</v>
      </c>
      <c r="F641" s="58">
        <v>0</v>
      </c>
      <c r="G641" s="58">
        <v>0</v>
      </c>
      <c r="H641" s="58">
        <v>0</v>
      </c>
      <c r="I641" s="58">
        <v>0</v>
      </c>
      <c r="J641" s="58">
        <v>0</v>
      </c>
    </row>
    <row r="642" spans="1:10">
      <c r="A642" s="66">
        <v>46077</v>
      </c>
      <c r="B642" s="58">
        <v>4591</v>
      </c>
      <c r="C642" s="58">
        <v>830</v>
      </c>
      <c r="D642" s="58">
        <v>460</v>
      </c>
      <c r="E642" s="58">
        <v>686</v>
      </c>
      <c r="F642" s="58">
        <v>877</v>
      </c>
      <c r="G642" s="58">
        <v>547</v>
      </c>
      <c r="H642" s="58">
        <v>347</v>
      </c>
      <c r="I642" s="58">
        <v>209</v>
      </c>
      <c r="J642" s="58">
        <v>635</v>
      </c>
    </row>
    <row r="643" spans="1:10">
      <c r="A643" s="66">
        <v>46078</v>
      </c>
      <c r="B643" s="58">
        <v>3941</v>
      </c>
      <c r="C643" s="58">
        <v>601</v>
      </c>
      <c r="D643" s="58">
        <v>407</v>
      </c>
      <c r="E643" s="58">
        <v>560</v>
      </c>
      <c r="F643" s="58">
        <v>765</v>
      </c>
      <c r="G643" s="58">
        <v>552</v>
      </c>
      <c r="H643" s="58">
        <v>304</v>
      </c>
      <c r="I643" s="58">
        <v>181</v>
      </c>
      <c r="J643" s="58">
        <v>571</v>
      </c>
    </row>
    <row r="644" spans="1:10">
      <c r="A644" s="66">
        <v>46079</v>
      </c>
      <c r="B644" s="58">
        <v>3973</v>
      </c>
      <c r="C644" s="58">
        <v>689</v>
      </c>
      <c r="D644" s="58">
        <v>389</v>
      </c>
      <c r="E644" s="58">
        <v>657</v>
      </c>
      <c r="F644" s="58">
        <v>750</v>
      </c>
      <c r="G644" s="58">
        <v>474</v>
      </c>
      <c r="H644" s="58">
        <v>289</v>
      </c>
      <c r="I644" s="58">
        <v>190</v>
      </c>
      <c r="J644" s="58">
        <v>535</v>
      </c>
    </row>
    <row r="645" spans="1:10">
      <c r="A645" s="66">
        <v>46080</v>
      </c>
      <c r="B645" s="58">
        <v>3434</v>
      </c>
      <c r="C645" s="58">
        <v>628</v>
      </c>
      <c r="D645" s="58">
        <v>343</v>
      </c>
      <c r="E645" s="58">
        <v>480</v>
      </c>
      <c r="F645" s="58">
        <v>626</v>
      </c>
      <c r="G645" s="58">
        <v>470</v>
      </c>
      <c r="H645" s="58">
        <v>248</v>
      </c>
      <c r="I645" s="58">
        <v>193</v>
      </c>
      <c r="J645" s="58">
        <v>446</v>
      </c>
    </row>
    <row r="646" spans="1:10">
      <c r="A646" s="66">
        <v>46081</v>
      </c>
      <c r="B646" s="58">
        <v>0</v>
      </c>
      <c r="C646" s="58">
        <v>0</v>
      </c>
      <c r="D646" s="58">
        <v>0</v>
      </c>
      <c r="E646" s="58">
        <v>0</v>
      </c>
      <c r="F646" s="58">
        <v>0</v>
      </c>
      <c r="G646" s="58">
        <v>0</v>
      </c>
      <c r="H646" s="58">
        <v>0</v>
      </c>
      <c r="I646" s="58">
        <v>0</v>
      </c>
      <c r="J646" s="58">
        <v>0</v>
      </c>
    </row>
    <row r="647" spans="1:10">
      <c r="A647" s="66">
        <v>46082</v>
      </c>
      <c r="B647" s="58">
        <v>0</v>
      </c>
      <c r="C647" s="58">
        <v>0</v>
      </c>
      <c r="D647" s="58">
        <v>0</v>
      </c>
      <c r="E647" s="58">
        <v>0</v>
      </c>
      <c r="F647" s="58">
        <v>0</v>
      </c>
      <c r="G647" s="58">
        <v>0</v>
      </c>
      <c r="H647" s="58">
        <v>0</v>
      </c>
      <c r="I647" s="58">
        <v>0</v>
      </c>
      <c r="J647" s="58">
        <v>0</v>
      </c>
    </row>
    <row r="648" spans="1:10">
      <c r="A648" s="66">
        <v>46083</v>
      </c>
      <c r="B648" s="58">
        <v>4534</v>
      </c>
      <c r="C648" s="58">
        <v>751</v>
      </c>
      <c r="D648" s="58">
        <v>475</v>
      </c>
      <c r="E648" s="58">
        <v>663</v>
      </c>
      <c r="F648" s="58">
        <v>825</v>
      </c>
      <c r="G648" s="58">
        <v>581</v>
      </c>
      <c r="H648" s="58">
        <v>370</v>
      </c>
      <c r="I648" s="58">
        <v>253</v>
      </c>
      <c r="J648" s="58">
        <v>616</v>
      </c>
    </row>
    <row r="649" spans="1:10">
      <c r="A649" s="66">
        <v>46084</v>
      </c>
      <c r="B649" s="58">
        <v>3844</v>
      </c>
      <c r="C649" s="58">
        <v>675</v>
      </c>
      <c r="D649" s="58">
        <v>398</v>
      </c>
      <c r="E649" s="58">
        <v>609</v>
      </c>
      <c r="F649" s="58">
        <v>742</v>
      </c>
      <c r="G649" s="58">
        <v>468</v>
      </c>
      <c r="H649" s="58">
        <v>270</v>
      </c>
      <c r="I649" s="58">
        <v>161</v>
      </c>
      <c r="J649" s="58">
        <v>521</v>
      </c>
    </row>
    <row r="650" spans="1:10">
      <c r="A650" s="66">
        <v>46085</v>
      </c>
      <c r="B650" s="58">
        <v>3913</v>
      </c>
      <c r="C650" s="58">
        <v>772</v>
      </c>
      <c r="D650" s="58">
        <v>373</v>
      </c>
      <c r="E650" s="58">
        <v>590</v>
      </c>
      <c r="F650" s="58">
        <v>705</v>
      </c>
      <c r="G650" s="58">
        <v>511</v>
      </c>
      <c r="H650" s="58">
        <v>258</v>
      </c>
      <c r="I650" s="58">
        <v>175</v>
      </c>
      <c r="J650" s="58">
        <v>529</v>
      </c>
    </row>
    <row r="651" spans="1:10">
      <c r="A651" s="66">
        <v>46086</v>
      </c>
      <c r="B651" s="58">
        <v>4210</v>
      </c>
      <c r="C651" s="58">
        <v>732</v>
      </c>
      <c r="D651" s="58">
        <v>413</v>
      </c>
      <c r="E651" s="58">
        <v>719</v>
      </c>
      <c r="F651" s="58">
        <v>795</v>
      </c>
      <c r="G651" s="58">
        <v>553</v>
      </c>
      <c r="H651" s="58">
        <v>267</v>
      </c>
      <c r="I651" s="58">
        <v>182</v>
      </c>
      <c r="J651" s="58">
        <v>549</v>
      </c>
    </row>
    <row r="652" spans="1:10">
      <c r="A652" s="66">
        <v>46087</v>
      </c>
      <c r="B652" s="58">
        <v>3427</v>
      </c>
      <c r="C652" s="58">
        <v>550</v>
      </c>
      <c r="D652" s="58">
        <v>359</v>
      </c>
      <c r="E652" s="58">
        <v>503</v>
      </c>
      <c r="F652" s="58">
        <v>626</v>
      </c>
      <c r="G652" s="58">
        <v>515</v>
      </c>
      <c r="H652" s="58">
        <v>273</v>
      </c>
      <c r="I652" s="58">
        <v>150</v>
      </c>
      <c r="J652" s="58">
        <v>451</v>
      </c>
    </row>
    <row r="653" spans="1:10">
      <c r="A653" s="66">
        <v>46088</v>
      </c>
      <c r="B653" s="58">
        <v>0</v>
      </c>
      <c r="C653" s="58">
        <v>0</v>
      </c>
      <c r="D653" s="58">
        <v>0</v>
      </c>
      <c r="E653" s="58">
        <v>0</v>
      </c>
      <c r="F653" s="58">
        <v>0</v>
      </c>
      <c r="G653" s="58">
        <v>0</v>
      </c>
      <c r="H653" s="58">
        <v>0</v>
      </c>
      <c r="I653" s="58">
        <v>0</v>
      </c>
      <c r="J653" s="58">
        <v>0</v>
      </c>
    </row>
    <row r="654" spans="1:10">
      <c r="A654" s="66">
        <v>46089</v>
      </c>
      <c r="B654" s="58">
        <v>276</v>
      </c>
      <c r="C654" s="58">
        <v>48</v>
      </c>
      <c r="D654" s="58">
        <v>33</v>
      </c>
      <c r="E654" s="58">
        <v>53</v>
      </c>
      <c r="F654" s="58">
        <v>72</v>
      </c>
      <c r="G654" s="58">
        <v>47</v>
      </c>
      <c r="H654" s="58">
        <v>23</v>
      </c>
      <c r="I654" s="58">
        <v>0</v>
      </c>
      <c r="J654" s="58">
        <v>0</v>
      </c>
    </row>
    <row r="655" spans="1:10">
      <c r="A655" s="66">
        <v>46090</v>
      </c>
      <c r="B655" s="58">
        <v>4814</v>
      </c>
      <c r="C655" s="58">
        <v>893</v>
      </c>
      <c r="D655" s="58">
        <v>469</v>
      </c>
      <c r="E655" s="58">
        <v>660</v>
      </c>
      <c r="F655" s="58">
        <v>869</v>
      </c>
      <c r="G655" s="58">
        <v>675</v>
      </c>
      <c r="H655" s="58">
        <v>342</v>
      </c>
      <c r="I655" s="58">
        <v>267</v>
      </c>
      <c r="J655" s="58">
        <v>639</v>
      </c>
    </row>
    <row r="656" spans="1:10">
      <c r="A656" s="66">
        <v>46091</v>
      </c>
      <c r="B656" s="58">
        <v>4029</v>
      </c>
      <c r="C656" s="58">
        <v>715</v>
      </c>
      <c r="D656" s="58">
        <v>448</v>
      </c>
      <c r="E656" s="58">
        <v>569</v>
      </c>
      <c r="F656" s="58">
        <v>733</v>
      </c>
      <c r="G656" s="58">
        <v>531</v>
      </c>
      <c r="H656" s="58">
        <v>266</v>
      </c>
      <c r="I656" s="58">
        <v>200</v>
      </c>
      <c r="J656" s="58">
        <v>567</v>
      </c>
    </row>
    <row r="657" spans="1:10">
      <c r="A657" s="66">
        <v>46092</v>
      </c>
      <c r="B657" s="58">
        <v>3934</v>
      </c>
      <c r="C657" s="58">
        <v>649</v>
      </c>
      <c r="D657" s="58">
        <v>420</v>
      </c>
      <c r="E657" s="58">
        <v>590</v>
      </c>
      <c r="F657" s="58">
        <v>768</v>
      </c>
      <c r="G657" s="58">
        <v>519</v>
      </c>
      <c r="H657" s="58">
        <v>294</v>
      </c>
      <c r="I657" s="58">
        <v>173</v>
      </c>
      <c r="J657" s="58">
        <v>521</v>
      </c>
    </row>
    <row r="658" spans="1:10">
      <c r="A658" s="66">
        <v>46093</v>
      </c>
      <c r="B658" s="58">
        <v>3728</v>
      </c>
      <c r="C658" s="58">
        <v>656</v>
      </c>
      <c r="D658" s="58">
        <v>403</v>
      </c>
      <c r="E658" s="58">
        <v>616</v>
      </c>
      <c r="F658" s="58">
        <v>702</v>
      </c>
      <c r="G658" s="58">
        <v>472</v>
      </c>
      <c r="H658" s="58">
        <v>236</v>
      </c>
      <c r="I658" s="58">
        <v>174</v>
      </c>
      <c r="J658" s="58">
        <v>469</v>
      </c>
    </row>
    <row r="659" spans="1:10">
      <c r="A659" s="66">
        <v>46094</v>
      </c>
      <c r="B659" s="58">
        <v>3904</v>
      </c>
      <c r="C659" s="58">
        <v>758</v>
      </c>
      <c r="D659" s="58">
        <v>430</v>
      </c>
      <c r="E659" s="58">
        <v>558</v>
      </c>
      <c r="F659" s="58">
        <v>736</v>
      </c>
      <c r="G659" s="58">
        <v>496</v>
      </c>
      <c r="H659" s="58">
        <v>291</v>
      </c>
      <c r="I659" s="58">
        <v>153</v>
      </c>
      <c r="J659" s="58">
        <v>482</v>
      </c>
    </row>
    <row r="660" spans="1:10">
      <c r="A660" s="66">
        <v>46095</v>
      </c>
      <c r="B660" s="58">
        <v>0</v>
      </c>
      <c r="C660" s="58">
        <v>0</v>
      </c>
      <c r="D660" s="58">
        <v>0</v>
      </c>
      <c r="E660" s="58">
        <v>0</v>
      </c>
      <c r="F660" s="58">
        <v>0</v>
      </c>
      <c r="G660" s="58">
        <v>0</v>
      </c>
      <c r="H660" s="58">
        <v>0</v>
      </c>
      <c r="I660" s="58">
        <v>0</v>
      </c>
      <c r="J660" s="58">
        <v>0</v>
      </c>
    </row>
    <row r="661" spans="1:10">
      <c r="A661" s="66">
        <v>46096</v>
      </c>
      <c r="B661" s="58">
        <v>0</v>
      </c>
      <c r="C661" s="58">
        <v>0</v>
      </c>
      <c r="D661" s="58">
        <v>0</v>
      </c>
      <c r="E661" s="58">
        <v>0</v>
      </c>
      <c r="F661" s="58">
        <v>0</v>
      </c>
      <c r="G661" s="58">
        <v>0</v>
      </c>
      <c r="H661" s="58">
        <v>0</v>
      </c>
      <c r="I661" s="58">
        <v>0</v>
      </c>
      <c r="J661" s="58">
        <v>0</v>
      </c>
    </row>
    <row r="662" spans="1:10">
      <c r="A662" s="66">
        <v>46097</v>
      </c>
      <c r="B662" s="58">
        <v>4720</v>
      </c>
      <c r="C662" s="58">
        <v>855</v>
      </c>
      <c r="D662" s="58">
        <v>532</v>
      </c>
      <c r="E662" s="58">
        <v>686</v>
      </c>
      <c r="F662" s="58">
        <v>856</v>
      </c>
      <c r="G662" s="58">
        <v>614</v>
      </c>
      <c r="H662" s="58">
        <v>311</v>
      </c>
      <c r="I662" s="58">
        <v>256</v>
      </c>
      <c r="J662" s="58">
        <v>610</v>
      </c>
    </row>
    <row r="663" spans="1:10">
      <c r="A663" s="66">
        <v>46098</v>
      </c>
      <c r="B663" s="58">
        <v>3807</v>
      </c>
      <c r="C663" s="58">
        <v>665</v>
      </c>
      <c r="D663" s="58">
        <v>410</v>
      </c>
      <c r="E663" s="58">
        <v>620</v>
      </c>
      <c r="F663" s="58">
        <v>677</v>
      </c>
      <c r="G663" s="58">
        <v>507</v>
      </c>
      <c r="H663" s="58">
        <v>241</v>
      </c>
      <c r="I663" s="58">
        <v>171</v>
      </c>
      <c r="J663" s="58">
        <v>516</v>
      </c>
    </row>
    <row r="664" spans="1:10">
      <c r="A664" s="66">
        <v>46099</v>
      </c>
      <c r="B664" s="58">
        <v>3054</v>
      </c>
      <c r="C664" s="58">
        <v>520</v>
      </c>
      <c r="D664" s="58">
        <v>334</v>
      </c>
      <c r="E664" s="58">
        <v>450</v>
      </c>
      <c r="F664" s="58">
        <v>598</v>
      </c>
      <c r="G664" s="58">
        <v>381</v>
      </c>
      <c r="H664" s="58">
        <v>236</v>
      </c>
      <c r="I664" s="58">
        <v>133</v>
      </c>
      <c r="J664" s="58">
        <v>402</v>
      </c>
    </row>
    <row r="665" spans="1:10">
      <c r="A665" s="66">
        <v>46100</v>
      </c>
      <c r="B665" s="58">
        <v>3957</v>
      </c>
      <c r="C665" s="58">
        <v>677</v>
      </c>
      <c r="D665" s="58">
        <v>478</v>
      </c>
      <c r="E665" s="58">
        <v>585</v>
      </c>
      <c r="F665" s="58">
        <v>726</v>
      </c>
      <c r="G665" s="58">
        <v>488</v>
      </c>
      <c r="H665" s="58">
        <v>260</v>
      </c>
      <c r="I665" s="58">
        <v>197</v>
      </c>
      <c r="J665" s="58">
        <v>546</v>
      </c>
    </row>
    <row r="666" spans="1:10">
      <c r="A666" s="66">
        <v>46101</v>
      </c>
      <c r="B666" s="58">
        <v>0</v>
      </c>
      <c r="C666" s="58">
        <v>0</v>
      </c>
      <c r="D666" s="58">
        <v>0</v>
      </c>
      <c r="E666" s="58">
        <v>0</v>
      </c>
      <c r="F666" s="58">
        <v>0</v>
      </c>
      <c r="G666" s="58">
        <v>0</v>
      </c>
      <c r="H666" s="58">
        <v>0</v>
      </c>
      <c r="I666" s="58">
        <v>0</v>
      </c>
      <c r="J666" s="58">
        <v>0</v>
      </c>
    </row>
    <row r="667" spans="1:10">
      <c r="A667" s="66">
        <v>46102</v>
      </c>
      <c r="B667" s="58">
        <v>0</v>
      </c>
      <c r="C667" s="58">
        <v>0</v>
      </c>
      <c r="D667" s="58">
        <v>0</v>
      </c>
      <c r="E667" s="58">
        <v>0</v>
      </c>
      <c r="F667" s="58">
        <v>0</v>
      </c>
      <c r="G667" s="58">
        <v>0</v>
      </c>
      <c r="H667" s="58">
        <v>0</v>
      </c>
      <c r="I667" s="58">
        <v>0</v>
      </c>
      <c r="J667" s="58">
        <v>0</v>
      </c>
    </row>
    <row r="668" spans="1:10">
      <c r="A668" s="66">
        <v>46103</v>
      </c>
      <c r="B668" s="58">
        <v>0</v>
      </c>
      <c r="C668" s="58">
        <v>0</v>
      </c>
      <c r="D668" s="58">
        <v>0</v>
      </c>
      <c r="E668" s="58">
        <v>0</v>
      </c>
      <c r="F668" s="58">
        <v>0</v>
      </c>
      <c r="G668" s="58">
        <v>0</v>
      </c>
      <c r="H668" s="58">
        <v>0</v>
      </c>
      <c r="I668" s="58">
        <v>0</v>
      </c>
      <c r="J668" s="58">
        <v>0</v>
      </c>
    </row>
    <row r="669" spans="1:10">
      <c r="A669" s="66">
        <v>46104</v>
      </c>
      <c r="B669" s="58">
        <v>5392</v>
      </c>
      <c r="C669" s="58">
        <v>979</v>
      </c>
      <c r="D669" s="58">
        <v>554</v>
      </c>
      <c r="E669" s="58">
        <v>886</v>
      </c>
      <c r="F669" s="58">
        <v>1000</v>
      </c>
      <c r="G669" s="58">
        <v>626</v>
      </c>
      <c r="H669" s="58">
        <v>387</v>
      </c>
      <c r="I669" s="58">
        <v>250</v>
      </c>
      <c r="J669" s="58">
        <v>710</v>
      </c>
    </row>
    <row r="670" spans="1:10">
      <c r="A670" s="66">
        <v>46105</v>
      </c>
      <c r="B670" s="58">
        <v>4455</v>
      </c>
      <c r="C670" s="58">
        <v>805</v>
      </c>
      <c r="D670" s="58">
        <v>444</v>
      </c>
      <c r="E670" s="58">
        <v>682</v>
      </c>
      <c r="F670" s="58">
        <v>829</v>
      </c>
      <c r="G670" s="58">
        <v>588</v>
      </c>
      <c r="H670" s="58">
        <v>319</v>
      </c>
      <c r="I670" s="58">
        <v>228</v>
      </c>
      <c r="J670" s="58">
        <v>560</v>
      </c>
    </row>
    <row r="671" spans="1:10">
      <c r="A671" s="66">
        <v>46106</v>
      </c>
      <c r="B671" s="58">
        <v>3640</v>
      </c>
      <c r="C671" s="58">
        <v>584</v>
      </c>
      <c r="D671" s="58">
        <v>391</v>
      </c>
      <c r="E671" s="58">
        <v>528</v>
      </c>
      <c r="F671" s="58">
        <v>664</v>
      </c>
      <c r="G671" s="58">
        <v>551</v>
      </c>
      <c r="H671" s="58">
        <v>275</v>
      </c>
      <c r="I671" s="58">
        <v>161</v>
      </c>
      <c r="J671" s="58">
        <v>486</v>
      </c>
    </row>
    <row r="672" spans="1:10">
      <c r="A672" s="66">
        <v>46107</v>
      </c>
      <c r="B672" s="58">
        <v>3987</v>
      </c>
      <c r="C672" s="58">
        <v>753</v>
      </c>
      <c r="D672" s="58">
        <v>445</v>
      </c>
      <c r="E672" s="58">
        <v>616</v>
      </c>
      <c r="F672" s="58">
        <v>739</v>
      </c>
      <c r="G672" s="58">
        <v>511</v>
      </c>
      <c r="H672" s="58">
        <v>271</v>
      </c>
      <c r="I672" s="58">
        <v>172</v>
      </c>
      <c r="J672" s="58">
        <v>480</v>
      </c>
    </row>
    <row r="673" spans="1:11">
      <c r="A673" s="66">
        <v>46108</v>
      </c>
      <c r="B673" s="58">
        <v>4225</v>
      </c>
      <c r="C673" s="58">
        <v>774</v>
      </c>
      <c r="D673" s="58">
        <v>431</v>
      </c>
      <c r="E673" s="58">
        <v>707</v>
      </c>
      <c r="F673" s="58">
        <v>765</v>
      </c>
      <c r="G673" s="58">
        <v>542</v>
      </c>
      <c r="H673" s="58">
        <v>294</v>
      </c>
      <c r="I673" s="58">
        <v>205</v>
      </c>
      <c r="J673" s="58">
        <v>507</v>
      </c>
    </row>
    <row r="674" spans="1:11">
      <c r="A674" s="66">
        <v>46109</v>
      </c>
      <c r="B674" s="58">
        <v>161</v>
      </c>
      <c r="C674" s="58">
        <v>21</v>
      </c>
      <c r="D674" s="58">
        <v>22</v>
      </c>
      <c r="E674" s="58">
        <v>23</v>
      </c>
      <c r="F674" s="58">
        <v>22</v>
      </c>
      <c r="G674" s="58">
        <v>48</v>
      </c>
      <c r="H674" s="58">
        <v>7</v>
      </c>
      <c r="I674" s="58">
        <v>10</v>
      </c>
      <c r="J674" s="58">
        <v>8</v>
      </c>
    </row>
    <row r="675" spans="1:11">
      <c r="A675" s="66">
        <v>46110</v>
      </c>
      <c r="B675" s="58">
        <v>173</v>
      </c>
      <c r="C675" s="58">
        <v>34</v>
      </c>
      <c r="D675" s="58">
        <v>25</v>
      </c>
      <c r="E675" s="58">
        <v>23</v>
      </c>
      <c r="F675" s="58">
        <v>26</v>
      </c>
      <c r="G675" s="58">
        <v>43</v>
      </c>
      <c r="H675" s="58">
        <v>3</v>
      </c>
      <c r="I675" s="58">
        <v>8</v>
      </c>
      <c r="J675" s="58">
        <v>11</v>
      </c>
    </row>
    <row r="676" spans="1:11">
      <c r="A676" s="66">
        <v>46111</v>
      </c>
      <c r="B676" s="58">
        <v>5319</v>
      </c>
      <c r="C676" s="58">
        <v>1004</v>
      </c>
      <c r="D676" s="58">
        <v>469</v>
      </c>
      <c r="E676" s="58">
        <v>895</v>
      </c>
      <c r="F676" s="58">
        <v>1052</v>
      </c>
      <c r="G676" s="58">
        <v>732</v>
      </c>
      <c r="H676" s="58">
        <v>306</v>
      </c>
      <c r="I676" s="58">
        <v>224</v>
      </c>
      <c r="J676" s="58">
        <v>637</v>
      </c>
    </row>
    <row r="677" spans="1:11">
      <c r="A677" s="66">
        <v>46112</v>
      </c>
      <c r="B677" s="58">
        <v>4168</v>
      </c>
      <c r="C677" s="58">
        <v>805</v>
      </c>
      <c r="D677" s="58">
        <v>405</v>
      </c>
      <c r="E677" s="58">
        <v>659</v>
      </c>
      <c r="F677" s="58">
        <v>792</v>
      </c>
      <c r="G677" s="58">
        <v>570</v>
      </c>
      <c r="H677" s="58">
        <v>294</v>
      </c>
      <c r="I677" s="58">
        <v>203</v>
      </c>
      <c r="J677" s="58">
        <v>440</v>
      </c>
    </row>
    <row r="679" spans="1:11">
      <c r="A679" s="12" t="s">
        <v>278</v>
      </c>
    </row>
    <row r="680" spans="1:11">
      <c r="A680" s="55" t="s">
        <v>279</v>
      </c>
      <c r="B680" s="55" t="s">
        <v>64</v>
      </c>
      <c r="C680" s="55" t="s">
        <v>91</v>
      </c>
      <c r="D680" s="55" t="s">
        <v>105</v>
      </c>
      <c r="E680" s="55" t="s">
        <v>119</v>
      </c>
      <c r="F680" s="55" t="s">
        <v>133</v>
      </c>
      <c r="G680" s="55" t="s">
        <v>147</v>
      </c>
      <c r="H680" s="55" t="s">
        <v>161</v>
      </c>
      <c r="I680" s="55" t="s">
        <v>175</v>
      </c>
      <c r="J680" s="55" t="s">
        <v>189</v>
      </c>
      <c r="K680" s="55" t="s">
        <v>280</v>
      </c>
    </row>
    <row r="681" spans="1:11">
      <c r="A681" s="56" t="s">
        <v>281</v>
      </c>
      <c r="B681" s="58">
        <v>157636</v>
      </c>
      <c r="C681" s="58">
        <v>12862</v>
      </c>
      <c r="D681" s="58">
        <v>29359</v>
      </c>
      <c r="E681" s="58">
        <v>16428</v>
      </c>
      <c r="F681" s="58">
        <v>41464</v>
      </c>
      <c r="G681" s="58">
        <v>20626</v>
      </c>
      <c r="H681" s="58">
        <v>516</v>
      </c>
      <c r="I681" s="58">
        <v>5809</v>
      </c>
      <c r="J681" s="58">
        <v>30572</v>
      </c>
      <c r="K681" s="58">
        <v>205.3426330054589</v>
      </c>
    </row>
    <row r="682" spans="1:11">
      <c r="A682" s="56" t="s">
        <v>282</v>
      </c>
      <c r="B682" s="58">
        <v>88260</v>
      </c>
      <c r="C682" s="58">
        <v>31160</v>
      </c>
      <c r="D682" s="58">
        <v>0</v>
      </c>
      <c r="E682" s="58">
        <v>26141</v>
      </c>
      <c r="F682" s="58">
        <v>0</v>
      </c>
      <c r="G682" s="58">
        <v>0</v>
      </c>
      <c r="H682" s="58">
        <v>0</v>
      </c>
      <c r="I682" s="58">
        <v>0</v>
      </c>
      <c r="J682" s="58">
        <v>30959</v>
      </c>
      <c r="K682" s="58">
        <v>834.3697001327449</v>
      </c>
    </row>
    <row r="683" spans="1:11">
      <c r="A683" s="56" t="s">
        <v>283</v>
      </c>
      <c r="B683" s="58">
        <v>75448</v>
      </c>
      <c r="C683" s="58">
        <v>18221</v>
      </c>
      <c r="D683" s="58">
        <v>13877</v>
      </c>
      <c r="E683" s="58">
        <v>15091</v>
      </c>
      <c r="F683" s="58">
        <v>4892</v>
      </c>
      <c r="G683" s="58">
        <v>0</v>
      </c>
      <c r="H683" s="58">
        <v>2689</v>
      </c>
      <c r="I683" s="58">
        <v>2019</v>
      </c>
      <c r="J683" s="58">
        <v>18659</v>
      </c>
      <c r="K683" s="58">
        <v>497.4498251957409</v>
      </c>
    </row>
    <row r="684" spans="1:11">
      <c r="A684" s="56" t="s">
        <v>284</v>
      </c>
      <c r="B684" s="58">
        <v>68732</v>
      </c>
      <c r="C684" s="58">
        <v>8510</v>
      </c>
      <c r="D684" s="58">
        <v>10461</v>
      </c>
      <c r="E684" s="58">
        <v>6053</v>
      </c>
      <c r="F684" s="58">
        <v>16417</v>
      </c>
      <c r="G684" s="58">
        <v>18027</v>
      </c>
      <c r="H684" s="58">
        <v>5621</v>
      </c>
      <c r="I684" s="58">
        <v>229</v>
      </c>
      <c r="J684" s="58">
        <v>3414</v>
      </c>
      <c r="K684" s="58">
        <v>608.244536125159</v>
      </c>
    </row>
    <row r="685" spans="1:11">
      <c r="A685" s="56" t="s">
        <v>285</v>
      </c>
      <c r="B685" s="58">
        <v>59330</v>
      </c>
      <c r="C685" s="58">
        <v>13735</v>
      </c>
      <c r="D685" s="58">
        <v>23540</v>
      </c>
      <c r="E685" s="58">
        <v>10313</v>
      </c>
      <c r="F685" s="58">
        <v>6095</v>
      </c>
      <c r="G685" s="58">
        <v>3509</v>
      </c>
      <c r="H685" s="58">
        <v>2138</v>
      </c>
      <c r="I685" s="58">
        <v>0</v>
      </c>
      <c r="J685" s="58">
        <v>0</v>
      </c>
      <c r="K685" s="58">
        <v>412.4464747982336</v>
      </c>
    </row>
    <row r="686" spans="1:11">
      <c r="A686" s="56" t="s">
        <v>286</v>
      </c>
      <c r="B686" s="58">
        <v>27691</v>
      </c>
      <c r="C686" s="58">
        <v>27691</v>
      </c>
      <c r="D686" s="58">
        <v>0</v>
      </c>
      <c r="E686" s="58">
        <v>0</v>
      </c>
      <c r="F686" s="58">
        <v>0</v>
      </c>
      <c r="G686" s="58">
        <v>0</v>
      </c>
      <c r="H686" s="58">
        <v>0</v>
      </c>
      <c r="I686" s="58">
        <v>0</v>
      </c>
      <c r="J686" s="58">
        <v>0</v>
      </c>
      <c r="K686" s="58">
        <v>104.7775811635549</v>
      </c>
    </row>
    <row r="687" spans="1:11">
      <c r="A687" s="56" t="s">
        <v>287</v>
      </c>
      <c r="B687" s="58">
        <v>26186</v>
      </c>
      <c r="C687" s="58">
        <v>0</v>
      </c>
      <c r="D687" s="58">
        <v>0</v>
      </c>
      <c r="E687" s="58">
        <v>0</v>
      </c>
      <c r="F687" s="58">
        <v>26186</v>
      </c>
      <c r="G687" s="58">
        <v>0</v>
      </c>
      <c r="H687" s="58">
        <v>0</v>
      </c>
      <c r="I687" s="58">
        <v>0</v>
      </c>
      <c r="J687" s="58">
        <v>0</v>
      </c>
      <c r="K687" s="58">
        <v>803.5405157593124</v>
      </c>
    </row>
    <row r="688" spans="1:11">
      <c r="A688" s="56" t="s">
        <v>288</v>
      </c>
      <c r="B688" s="58">
        <v>23108</v>
      </c>
      <c r="C688" s="58">
        <v>0</v>
      </c>
      <c r="D688" s="58">
        <v>0</v>
      </c>
      <c r="E688" s="58">
        <v>8964</v>
      </c>
      <c r="F688" s="58">
        <v>14144</v>
      </c>
      <c r="G688" s="58">
        <v>0</v>
      </c>
      <c r="H688" s="58">
        <v>0</v>
      </c>
      <c r="I688" s="58">
        <v>0</v>
      </c>
      <c r="J688" s="58">
        <v>0</v>
      </c>
      <c r="K688" s="58">
        <v>1135.151822476488</v>
      </c>
    </row>
    <row r="689" spans="1:11">
      <c r="A689" s="56" t="s">
        <v>289</v>
      </c>
      <c r="B689" s="58">
        <v>20955</v>
      </c>
      <c r="C689" s="58">
        <v>0</v>
      </c>
      <c r="D689" s="58">
        <v>0</v>
      </c>
      <c r="E689" s="58">
        <v>0</v>
      </c>
      <c r="F689" s="58">
        <v>20955</v>
      </c>
      <c r="G689" s="58">
        <v>0</v>
      </c>
      <c r="H689" s="58">
        <v>0</v>
      </c>
      <c r="I689" s="58">
        <v>0</v>
      </c>
      <c r="J689" s="58">
        <v>0</v>
      </c>
      <c r="K689" s="58">
        <v>636.7904257350134</v>
      </c>
    </row>
    <row r="690" spans="1:11">
      <c r="A690" s="56" t="s">
        <v>290</v>
      </c>
      <c r="B690" s="58">
        <v>20814</v>
      </c>
      <c r="C690" s="58">
        <v>0</v>
      </c>
      <c r="D690" s="58">
        <v>0</v>
      </c>
      <c r="E690" s="58">
        <v>20814</v>
      </c>
      <c r="F690" s="58">
        <v>0</v>
      </c>
      <c r="G690" s="58">
        <v>0</v>
      </c>
      <c r="H690" s="58">
        <v>0</v>
      </c>
      <c r="I690" s="58">
        <v>0</v>
      </c>
      <c r="J690" s="58">
        <v>0</v>
      </c>
      <c r="K690" s="58">
        <v>235.0383931574648</v>
      </c>
    </row>
    <row r="691" spans="1:11">
      <c r="A691" s="56" t="s">
        <v>291</v>
      </c>
      <c r="B691" s="58">
        <v>20355</v>
      </c>
      <c r="C691" s="58">
        <v>11491</v>
      </c>
      <c r="D691" s="58">
        <v>0</v>
      </c>
      <c r="E691" s="58">
        <v>0</v>
      </c>
      <c r="F691" s="58">
        <v>0</v>
      </c>
      <c r="G691" s="58">
        <v>0</v>
      </c>
      <c r="H691" s="58">
        <v>0</v>
      </c>
      <c r="I691" s="58">
        <v>0</v>
      </c>
      <c r="J691" s="58">
        <v>8864</v>
      </c>
      <c r="K691" s="58">
        <v>262.8940049140049</v>
      </c>
    </row>
    <row r="692" spans="1:11">
      <c r="A692" s="56" t="s">
        <v>292</v>
      </c>
      <c r="B692" s="58">
        <v>15620</v>
      </c>
      <c r="C692" s="58">
        <v>7353</v>
      </c>
      <c r="D692" s="58">
        <v>0</v>
      </c>
      <c r="E692" s="58">
        <v>5385</v>
      </c>
      <c r="F692" s="58">
        <v>1402</v>
      </c>
      <c r="G692" s="58">
        <v>1480</v>
      </c>
      <c r="H692" s="58">
        <v>0</v>
      </c>
      <c r="I692" s="58">
        <v>0</v>
      </c>
      <c r="J692" s="58">
        <v>0</v>
      </c>
      <c r="K692" s="58">
        <v>108.3160882466779</v>
      </c>
    </row>
    <row r="693" spans="1:11">
      <c r="A693" s="56" t="s">
        <v>293</v>
      </c>
      <c r="B693" s="58">
        <v>15081</v>
      </c>
      <c r="C693" s="58">
        <v>0</v>
      </c>
      <c r="D693" s="58">
        <v>0</v>
      </c>
      <c r="E693" s="58">
        <v>0</v>
      </c>
      <c r="F693" s="58">
        <v>0</v>
      </c>
      <c r="G693" s="58">
        <v>0</v>
      </c>
      <c r="H693" s="58">
        <v>15081</v>
      </c>
      <c r="I693" s="58">
        <v>0</v>
      </c>
      <c r="J693" s="58">
        <v>0</v>
      </c>
      <c r="K693" s="58">
        <v>189.0986008885352</v>
      </c>
    </row>
    <row r="694" spans="1:11">
      <c r="A694" s="56" t="s">
        <v>294</v>
      </c>
      <c r="B694" s="58">
        <v>14250</v>
      </c>
      <c r="C694" s="58">
        <v>0</v>
      </c>
      <c r="D694" s="58">
        <v>0</v>
      </c>
      <c r="E694" s="58">
        <v>0</v>
      </c>
      <c r="F694" s="58">
        <v>0</v>
      </c>
      <c r="G694" s="58">
        <v>0</v>
      </c>
      <c r="H694" s="58">
        <v>14250</v>
      </c>
      <c r="I694" s="58">
        <v>0</v>
      </c>
      <c r="J694" s="58">
        <v>0</v>
      </c>
      <c r="K694" s="58">
        <v>225.8115789473684</v>
      </c>
    </row>
    <row r="695" spans="1:11">
      <c r="A695" s="56" t="s">
        <v>295</v>
      </c>
      <c r="B695" s="58">
        <v>13842</v>
      </c>
      <c r="C695" s="58">
        <v>0</v>
      </c>
      <c r="D695" s="58">
        <v>0</v>
      </c>
      <c r="E695" s="58">
        <v>0</v>
      </c>
      <c r="F695" s="58">
        <v>0</v>
      </c>
      <c r="G695" s="58">
        <v>13842</v>
      </c>
      <c r="H695" s="58">
        <v>0</v>
      </c>
      <c r="I695" s="58">
        <v>0</v>
      </c>
      <c r="J695" s="58">
        <v>0</v>
      </c>
      <c r="K695" s="58">
        <v>893.222077640425</v>
      </c>
    </row>
    <row r="696" spans="1:11">
      <c r="A696" s="56" t="s">
        <v>296</v>
      </c>
      <c r="B696" s="58">
        <v>11978</v>
      </c>
      <c r="C696" s="58">
        <v>5166</v>
      </c>
      <c r="D696" s="58">
        <v>0</v>
      </c>
      <c r="E696" s="58">
        <v>0</v>
      </c>
      <c r="F696" s="58">
        <v>6812</v>
      </c>
      <c r="G696" s="58">
        <v>0</v>
      </c>
      <c r="H696" s="58">
        <v>0</v>
      </c>
      <c r="I696" s="58">
        <v>0</v>
      </c>
      <c r="J696" s="58">
        <v>0</v>
      </c>
      <c r="K696" s="58">
        <v>324.8864395457582</v>
      </c>
    </row>
    <row r="697" spans="1:11">
      <c r="A697" s="56" t="s">
        <v>297</v>
      </c>
      <c r="B697" s="58">
        <v>11936</v>
      </c>
      <c r="C697" s="58">
        <v>2514</v>
      </c>
      <c r="D697" s="58">
        <v>4581</v>
      </c>
      <c r="E697" s="58">
        <v>2070</v>
      </c>
      <c r="F697" s="58">
        <v>2114</v>
      </c>
      <c r="G697" s="58">
        <v>378</v>
      </c>
      <c r="H697" s="58">
        <v>180</v>
      </c>
      <c r="I697" s="58">
        <v>99</v>
      </c>
      <c r="J697" s="58">
        <v>0</v>
      </c>
      <c r="K697" s="58">
        <v>313.2967583163611</v>
      </c>
    </row>
    <row r="698" spans="1:11">
      <c r="A698" s="56" t="s">
        <v>298</v>
      </c>
      <c r="B698" s="58">
        <v>8432</v>
      </c>
      <c r="C698" s="58">
        <v>0</v>
      </c>
      <c r="D698" s="58">
        <v>0</v>
      </c>
      <c r="E698" s="58">
        <v>0</v>
      </c>
      <c r="F698" s="58">
        <v>0</v>
      </c>
      <c r="G698" s="58">
        <v>0</v>
      </c>
      <c r="H698" s="58">
        <v>0</v>
      </c>
      <c r="I698" s="58">
        <v>8432</v>
      </c>
      <c r="J698" s="58">
        <v>0</v>
      </c>
      <c r="K698" s="58">
        <v>183.961930740038</v>
      </c>
    </row>
    <row r="699" spans="1:11">
      <c r="A699" s="56" t="s">
        <v>299</v>
      </c>
      <c r="B699" s="58">
        <v>6601</v>
      </c>
      <c r="C699" s="58">
        <v>0</v>
      </c>
      <c r="D699" s="58">
        <v>0</v>
      </c>
      <c r="E699" s="58">
        <v>0</v>
      </c>
      <c r="F699" s="58">
        <v>0</v>
      </c>
      <c r="G699" s="58">
        <v>6601</v>
      </c>
      <c r="H699" s="58">
        <v>0</v>
      </c>
      <c r="I699" s="58">
        <v>0</v>
      </c>
      <c r="J699" s="58">
        <v>0</v>
      </c>
      <c r="K699" s="58">
        <v>1475.795330503335</v>
      </c>
    </row>
    <row r="700" spans="1:11">
      <c r="A700" s="56" t="s">
        <v>300</v>
      </c>
      <c r="B700" s="58">
        <v>6524</v>
      </c>
      <c r="C700" s="58">
        <v>0</v>
      </c>
      <c r="D700" s="58">
        <v>0</v>
      </c>
      <c r="E700" s="58">
        <v>0</v>
      </c>
      <c r="F700" s="58">
        <v>0</v>
      </c>
      <c r="G700" s="58">
        <v>0</v>
      </c>
      <c r="H700" s="58">
        <v>0</v>
      </c>
      <c r="I700" s="58">
        <v>6524</v>
      </c>
      <c r="J700" s="58">
        <v>0</v>
      </c>
      <c r="K700" s="58">
        <v>103.4756284488044</v>
      </c>
    </row>
    <row r="701" spans="1:11">
      <c r="A701" s="56" t="s">
        <v>301</v>
      </c>
      <c r="B701" s="58">
        <v>5966</v>
      </c>
      <c r="C701" s="58">
        <v>0</v>
      </c>
      <c r="D701" s="58">
        <v>0</v>
      </c>
      <c r="E701" s="58">
        <v>0</v>
      </c>
      <c r="F701" s="58">
        <v>0</v>
      </c>
      <c r="G701" s="58">
        <v>5966</v>
      </c>
      <c r="H701" s="58">
        <v>0</v>
      </c>
      <c r="I701" s="58">
        <v>0</v>
      </c>
      <c r="J701" s="58">
        <v>0</v>
      </c>
      <c r="K701" s="58">
        <v>646.3669755686605</v>
      </c>
    </row>
    <row r="702" spans="1:11">
      <c r="A702" s="56" t="s">
        <v>302</v>
      </c>
      <c r="B702" s="58">
        <v>5956</v>
      </c>
      <c r="C702" s="58">
        <v>0</v>
      </c>
      <c r="D702" s="58">
        <v>0</v>
      </c>
      <c r="E702" s="58">
        <v>0</v>
      </c>
      <c r="F702" s="58">
        <v>0</v>
      </c>
      <c r="G702" s="58">
        <v>4271</v>
      </c>
      <c r="H702" s="58">
        <v>0</v>
      </c>
      <c r="I702" s="58">
        <v>1685</v>
      </c>
      <c r="J702" s="58">
        <v>0</v>
      </c>
      <c r="K702" s="58">
        <v>658.2188979039892</v>
      </c>
    </row>
    <row r="703" spans="1:11">
      <c r="A703" s="56" t="s">
        <v>303</v>
      </c>
      <c r="B703" s="58">
        <v>5775</v>
      </c>
      <c r="C703" s="58">
        <v>0</v>
      </c>
      <c r="D703" s="58">
        <v>0</v>
      </c>
      <c r="E703" s="58">
        <v>0</v>
      </c>
      <c r="F703" s="58">
        <v>0</v>
      </c>
      <c r="G703" s="58">
        <v>5775</v>
      </c>
      <c r="H703" s="58">
        <v>0</v>
      </c>
      <c r="I703" s="58">
        <v>0</v>
      </c>
      <c r="J703" s="58">
        <v>0</v>
      </c>
      <c r="K703" s="58">
        <v>2109.150122334848</v>
      </c>
    </row>
    <row r="704" spans="1:11">
      <c r="A704" s="56" t="s">
        <v>304</v>
      </c>
      <c r="B704" s="58">
        <v>5744</v>
      </c>
      <c r="C704" s="58">
        <v>0</v>
      </c>
      <c r="D704" s="58">
        <v>0</v>
      </c>
      <c r="E704" s="58">
        <v>0</v>
      </c>
      <c r="F704" s="58">
        <v>0</v>
      </c>
      <c r="G704" s="58">
        <v>0</v>
      </c>
      <c r="H704" s="58">
        <v>0</v>
      </c>
      <c r="I704" s="58">
        <v>5744</v>
      </c>
      <c r="J704" s="58">
        <v>0</v>
      </c>
      <c r="K704" s="58">
        <v>21.43088440111421</v>
      </c>
    </row>
    <row r="705" spans="1:11">
      <c r="A705" s="56" t="s">
        <v>305</v>
      </c>
      <c r="B705" s="58">
        <v>4922</v>
      </c>
      <c r="C705" s="58">
        <v>2075</v>
      </c>
      <c r="D705" s="58">
        <v>0</v>
      </c>
      <c r="E705" s="58">
        <v>0</v>
      </c>
      <c r="F705" s="58">
        <v>0</v>
      </c>
      <c r="G705" s="58">
        <v>2398</v>
      </c>
      <c r="H705" s="58">
        <v>449</v>
      </c>
      <c r="I705" s="58">
        <v>0</v>
      </c>
      <c r="J705" s="58">
        <v>0</v>
      </c>
      <c r="K705" s="58">
        <v>221.1798281505728</v>
      </c>
    </row>
    <row r="706" spans="1:11">
      <c r="A706" s="56" t="s">
        <v>306</v>
      </c>
      <c r="B706" s="58">
        <v>4700</v>
      </c>
      <c r="C706" s="58">
        <v>0</v>
      </c>
      <c r="D706" s="58">
        <v>0</v>
      </c>
      <c r="E706" s="58">
        <v>0</v>
      </c>
      <c r="F706" s="58">
        <v>0</v>
      </c>
      <c r="G706" s="58">
        <v>0</v>
      </c>
      <c r="H706" s="58">
        <v>0</v>
      </c>
      <c r="I706" s="58">
        <v>0</v>
      </c>
      <c r="J706" s="58">
        <v>4700</v>
      </c>
      <c r="K706" s="58">
        <v>478.5947459086994</v>
      </c>
    </row>
    <row r="707" spans="1:11">
      <c r="A707" s="56" t="s">
        <v>307</v>
      </c>
      <c r="B707" s="58">
        <v>4086</v>
      </c>
      <c r="C707" s="58">
        <v>0</v>
      </c>
      <c r="D707" s="58">
        <v>0</v>
      </c>
      <c r="E707" s="58">
        <v>0</v>
      </c>
      <c r="F707" s="58">
        <v>0</v>
      </c>
      <c r="G707" s="58">
        <v>0</v>
      </c>
      <c r="H707" s="58">
        <v>0</v>
      </c>
      <c r="I707" s="58">
        <v>0</v>
      </c>
      <c r="J707" s="58">
        <v>4086</v>
      </c>
      <c r="K707" s="58">
        <v>43.03034752814489</v>
      </c>
    </row>
    <row r="708" spans="1:11">
      <c r="A708" s="56" t="s">
        <v>308</v>
      </c>
      <c r="B708" s="58">
        <v>3658</v>
      </c>
      <c r="C708" s="58">
        <v>0</v>
      </c>
      <c r="D708" s="58">
        <v>0</v>
      </c>
      <c r="E708" s="58">
        <v>0</v>
      </c>
      <c r="F708" s="58">
        <v>0</v>
      </c>
      <c r="G708" s="58">
        <v>0</v>
      </c>
      <c r="H708" s="58">
        <v>3658</v>
      </c>
      <c r="I708" s="58">
        <v>0</v>
      </c>
      <c r="J708" s="58">
        <v>0</v>
      </c>
      <c r="K708" s="58">
        <v>260.6765992345544</v>
      </c>
    </row>
    <row r="709" spans="1:11">
      <c r="A709" s="56" t="s">
        <v>309</v>
      </c>
      <c r="B709" s="58">
        <v>3502</v>
      </c>
      <c r="C709" s="58">
        <v>0</v>
      </c>
      <c r="D709" s="58">
        <v>0</v>
      </c>
      <c r="E709" s="58">
        <v>3502</v>
      </c>
      <c r="F709" s="58">
        <v>0</v>
      </c>
      <c r="G709" s="58">
        <v>0</v>
      </c>
      <c r="H709" s="58">
        <v>0</v>
      </c>
      <c r="I709" s="58">
        <v>0</v>
      </c>
      <c r="J709" s="58">
        <v>0</v>
      </c>
      <c r="K709" s="58">
        <v>627.8434285714286</v>
      </c>
    </row>
    <row r="710" spans="1:11">
      <c r="A710" s="56" t="s">
        <v>310</v>
      </c>
      <c r="B710" s="58">
        <v>3196</v>
      </c>
      <c r="C710" s="58">
        <v>3196</v>
      </c>
      <c r="D710" s="58">
        <v>0</v>
      </c>
      <c r="E710" s="58">
        <v>0</v>
      </c>
      <c r="F710" s="58">
        <v>0</v>
      </c>
      <c r="G710" s="58">
        <v>0</v>
      </c>
      <c r="H710" s="58">
        <v>0</v>
      </c>
      <c r="I710" s="58">
        <v>0</v>
      </c>
      <c r="J710" s="58">
        <v>0</v>
      </c>
      <c r="K710" s="58">
        <v>115.308197747184</v>
      </c>
    </row>
    <row r="711" spans="1:11">
      <c r="A711" s="56" t="s">
        <v>311</v>
      </c>
      <c r="B711" s="58">
        <v>3096</v>
      </c>
      <c r="C711" s="58">
        <v>0</v>
      </c>
      <c r="D711" s="58">
        <v>0</v>
      </c>
      <c r="E711" s="58">
        <v>0</v>
      </c>
      <c r="F711" s="58">
        <v>0</v>
      </c>
      <c r="G711" s="58">
        <v>0</v>
      </c>
      <c r="H711" s="58">
        <v>0</v>
      </c>
      <c r="I711" s="58">
        <v>3096</v>
      </c>
      <c r="J711" s="58">
        <v>0</v>
      </c>
      <c r="K711" s="58">
        <v>204.4786821705426</v>
      </c>
    </row>
    <row r="712" spans="1:11">
      <c r="A712" s="56" t="s">
        <v>312</v>
      </c>
      <c r="B712" s="58">
        <v>3000</v>
      </c>
      <c r="C712" s="58">
        <v>0</v>
      </c>
      <c r="D712" s="58">
        <v>0</v>
      </c>
      <c r="E712" s="58">
        <v>0</v>
      </c>
      <c r="F712" s="58">
        <v>0</v>
      </c>
      <c r="G712" s="58">
        <v>0</v>
      </c>
      <c r="H712" s="58">
        <v>0</v>
      </c>
      <c r="I712" s="58">
        <v>0</v>
      </c>
      <c r="J712" s="58">
        <v>3000</v>
      </c>
      <c r="K712" s="58">
        <v>399.6619718309859</v>
      </c>
    </row>
    <row r="713" spans="1:11">
      <c r="A713" s="56" t="s">
        <v>313</v>
      </c>
      <c r="B713" s="58">
        <v>2815</v>
      </c>
      <c r="C713" s="58">
        <v>0</v>
      </c>
      <c r="D713" s="58">
        <v>0</v>
      </c>
      <c r="E713" s="58">
        <v>0</v>
      </c>
      <c r="F713" s="58">
        <v>0</v>
      </c>
      <c r="G713" s="58">
        <v>0</v>
      </c>
      <c r="H713" s="58">
        <v>0</v>
      </c>
      <c r="I713" s="58">
        <v>2815</v>
      </c>
      <c r="J713" s="58">
        <v>0</v>
      </c>
      <c r="K713" s="58">
        <v>25.44014209591474</v>
      </c>
    </row>
    <row r="714" spans="1:11">
      <c r="A714" s="56" t="s">
        <v>314</v>
      </c>
      <c r="B714" s="58">
        <v>2150</v>
      </c>
      <c r="C714" s="58">
        <v>0</v>
      </c>
      <c r="D714" s="58">
        <v>0</v>
      </c>
      <c r="E714" s="58">
        <v>0</v>
      </c>
      <c r="F714" s="58">
        <v>0</v>
      </c>
      <c r="G714" s="58">
        <v>2150</v>
      </c>
      <c r="H714" s="58">
        <v>0</v>
      </c>
      <c r="I714" s="58">
        <v>0</v>
      </c>
      <c r="J714" s="58">
        <v>0</v>
      </c>
      <c r="K714" s="58">
        <v>589.2141527001862</v>
      </c>
    </row>
    <row r="715" spans="1:11">
      <c r="A715" s="56" t="s">
        <v>315</v>
      </c>
      <c r="B715" s="58">
        <v>1692</v>
      </c>
      <c r="C715" s="58">
        <v>0</v>
      </c>
      <c r="D715" s="58">
        <v>0</v>
      </c>
      <c r="E715" s="58">
        <v>0</v>
      </c>
      <c r="F715" s="58">
        <v>0</v>
      </c>
      <c r="G715" s="58">
        <v>0</v>
      </c>
      <c r="H715" s="58">
        <v>1692</v>
      </c>
      <c r="I715" s="58">
        <v>0</v>
      </c>
      <c r="J715" s="58">
        <v>0</v>
      </c>
      <c r="K715" s="58">
        <v>238.7039007092199</v>
      </c>
    </row>
    <row r="716" spans="1:11">
      <c r="A716" s="56" t="s">
        <v>316</v>
      </c>
      <c r="B716" s="58">
        <v>1632</v>
      </c>
      <c r="C716" s="58">
        <v>0</v>
      </c>
      <c r="D716" s="58">
        <v>0</v>
      </c>
      <c r="E716" s="58">
        <v>0</v>
      </c>
      <c r="F716" s="58">
        <v>0</v>
      </c>
      <c r="G716" s="58">
        <v>1632</v>
      </c>
      <c r="H716" s="58">
        <v>0</v>
      </c>
      <c r="I716" s="58">
        <v>0</v>
      </c>
      <c r="J716" s="58">
        <v>0</v>
      </c>
      <c r="K716" s="58">
        <v>929.0220588235294</v>
      </c>
    </row>
    <row r="717" spans="1:11">
      <c r="A717" s="56" t="s">
        <v>317</v>
      </c>
      <c r="B717" s="58">
        <v>1423</v>
      </c>
      <c r="C717" s="58">
        <v>0</v>
      </c>
      <c r="D717" s="58">
        <v>0</v>
      </c>
      <c r="E717" s="58">
        <v>0</v>
      </c>
      <c r="F717" s="58">
        <v>0</v>
      </c>
      <c r="G717" s="58">
        <v>0</v>
      </c>
      <c r="H717" s="58">
        <v>1423</v>
      </c>
      <c r="I717" s="58">
        <v>0</v>
      </c>
      <c r="J717" s="58">
        <v>0</v>
      </c>
      <c r="K717" s="58">
        <v>126.8774787535411</v>
      </c>
    </row>
    <row r="718" spans="1:11">
      <c r="A718" s="56" t="s">
        <v>318</v>
      </c>
      <c r="B718" s="58">
        <v>1386</v>
      </c>
      <c r="C718" s="58">
        <v>0</v>
      </c>
      <c r="D718" s="58">
        <v>0</v>
      </c>
      <c r="E718" s="58">
        <v>439</v>
      </c>
      <c r="F718" s="58">
        <v>651</v>
      </c>
      <c r="G718" s="58">
        <v>0</v>
      </c>
      <c r="H718" s="58">
        <v>0</v>
      </c>
      <c r="I718" s="58">
        <v>0</v>
      </c>
      <c r="J718" s="58">
        <v>296</v>
      </c>
      <c r="K718" s="58">
        <v>1057.071687183201</v>
      </c>
    </row>
    <row r="719" spans="1:11">
      <c r="A719" s="56" t="s">
        <v>319</v>
      </c>
      <c r="B719" s="58">
        <v>1301</v>
      </c>
      <c r="C719" s="58">
        <v>0</v>
      </c>
      <c r="D719" s="58">
        <v>0</v>
      </c>
      <c r="E719" s="58">
        <v>0</v>
      </c>
      <c r="F719" s="58">
        <v>0</v>
      </c>
      <c r="G719" s="58">
        <v>739</v>
      </c>
      <c r="H719" s="58">
        <v>562</v>
      </c>
      <c r="I719" s="58">
        <v>0</v>
      </c>
      <c r="J719" s="58">
        <v>0</v>
      </c>
      <c r="K719" s="58">
        <v>486.5492307692307</v>
      </c>
    </row>
    <row r="720" spans="1:11">
      <c r="A720" s="56" t="s">
        <v>320</v>
      </c>
      <c r="B720" s="58">
        <v>966</v>
      </c>
      <c r="C720" s="58">
        <v>0</v>
      </c>
      <c r="D720" s="58">
        <v>0</v>
      </c>
      <c r="E720" s="58">
        <v>0</v>
      </c>
      <c r="F720" s="58">
        <v>0</v>
      </c>
      <c r="G720" s="58">
        <v>0</v>
      </c>
      <c r="H720" s="58">
        <v>0</v>
      </c>
      <c r="I720" s="58">
        <v>966</v>
      </c>
      <c r="J720" s="58">
        <v>0</v>
      </c>
      <c r="K720" s="58">
        <v>106.8835257082896</v>
      </c>
    </row>
    <row r="721" spans="1:11">
      <c r="A721" s="56" t="s">
        <v>321</v>
      </c>
      <c r="B721" s="58">
        <v>787</v>
      </c>
      <c r="C721" s="58">
        <v>0</v>
      </c>
      <c r="D721" s="58">
        <v>0</v>
      </c>
      <c r="E721" s="58">
        <v>0</v>
      </c>
      <c r="F721" s="58">
        <v>0</v>
      </c>
      <c r="G721" s="58">
        <v>787</v>
      </c>
      <c r="H721" s="58">
        <v>0</v>
      </c>
      <c r="I721" s="58">
        <v>0</v>
      </c>
      <c r="J721" s="58">
        <v>0</v>
      </c>
      <c r="K721" s="58">
        <v>267.768152866242</v>
      </c>
    </row>
    <row r="722" spans="1:11">
      <c r="A722" s="56" t="s">
        <v>322</v>
      </c>
      <c r="B722" s="58">
        <v>391</v>
      </c>
      <c r="C722" s="58">
        <v>0</v>
      </c>
      <c r="D722" s="58">
        <v>0</v>
      </c>
      <c r="E722" s="58">
        <v>391</v>
      </c>
      <c r="F722" s="58">
        <v>0</v>
      </c>
      <c r="G722" s="58">
        <v>0</v>
      </c>
      <c r="H722" s="58">
        <v>0</v>
      </c>
      <c r="I722" s="58">
        <v>0</v>
      </c>
      <c r="J722" s="58">
        <v>0</v>
      </c>
      <c r="K722" s="58">
        <v>78.77749360613811</v>
      </c>
    </row>
    <row r="723" spans="1:11">
      <c r="A723" s="56" t="s">
        <v>323</v>
      </c>
      <c r="B723" s="58">
        <v>296</v>
      </c>
      <c r="C723" s="58">
        <v>0</v>
      </c>
      <c r="D723" s="58">
        <v>0</v>
      </c>
      <c r="E723" s="58">
        <v>296</v>
      </c>
      <c r="F723" s="58">
        <v>0</v>
      </c>
      <c r="G723" s="58">
        <v>0</v>
      </c>
      <c r="H723" s="58">
        <v>0</v>
      </c>
      <c r="I723" s="58">
        <v>0</v>
      </c>
      <c r="J723" s="58">
        <v>0</v>
      </c>
      <c r="K723" s="58">
        <v>257.475352112676</v>
      </c>
    </row>
    <row r="724" spans="1:11">
      <c r="A724" s="56" t="s">
        <v>324</v>
      </c>
      <c r="B724" s="58">
        <v>214</v>
      </c>
      <c r="C724" s="58">
        <v>0</v>
      </c>
      <c r="D724" s="58">
        <v>0</v>
      </c>
      <c r="E724" s="58">
        <v>0</v>
      </c>
      <c r="F724" s="58">
        <v>0</v>
      </c>
      <c r="G724" s="58">
        <v>0</v>
      </c>
      <c r="H724" s="58">
        <v>0</v>
      </c>
      <c r="I724" s="58">
        <v>0</v>
      </c>
      <c r="J724" s="58">
        <v>214</v>
      </c>
      <c r="K724" s="58">
        <v>646.2946859903382</v>
      </c>
    </row>
    <row r="725" spans="1:11">
      <c r="A725" s="56" t="s">
        <v>325</v>
      </c>
      <c r="B725" s="58">
        <v>199</v>
      </c>
      <c r="C725" s="58">
        <v>0</v>
      </c>
      <c r="D725" s="58">
        <v>0</v>
      </c>
      <c r="E725" s="58">
        <v>0</v>
      </c>
      <c r="F725" s="58">
        <v>0</v>
      </c>
      <c r="G725" s="58">
        <v>0</v>
      </c>
      <c r="H725" s="58">
        <v>199</v>
      </c>
      <c r="I725" s="58">
        <v>0</v>
      </c>
      <c r="J725" s="58">
        <v>0</v>
      </c>
      <c r="K725" s="58">
        <v>176.678391959799</v>
      </c>
    </row>
    <row r="726" spans="1:11">
      <c r="A726" s="56" t="s">
        <v>326</v>
      </c>
      <c r="B726" s="58">
        <v>136</v>
      </c>
      <c r="C726" s="58">
        <v>0</v>
      </c>
      <c r="D726" s="58">
        <v>0</v>
      </c>
      <c r="E726" s="58">
        <v>0</v>
      </c>
      <c r="F726" s="58">
        <v>0</v>
      </c>
      <c r="G726" s="58">
        <v>0</v>
      </c>
      <c r="H726" s="58">
        <v>0</v>
      </c>
      <c r="I726" s="58">
        <v>136</v>
      </c>
      <c r="J726" s="58">
        <v>0</v>
      </c>
      <c r="K726" s="58">
        <v>329.7952755905512</v>
      </c>
    </row>
    <row r="727" spans="1:11">
      <c r="A727" s="56" t="s">
        <v>327</v>
      </c>
      <c r="B727" s="58">
        <v>111</v>
      </c>
      <c r="C727" s="58">
        <v>0</v>
      </c>
      <c r="D727" s="58">
        <v>0</v>
      </c>
      <c r="E727" s="58">
        <v>0</v>
      </c>
      <c r="F727" s="58">
        <v>111</v>
      </c>
      <c r="G727" s="58">
        <v>0</v>
      </c>
      <c r="H727" s="58">
        <v>0</v>
      </c>
      <c r="I727" s="58">
        <v>0</v>
      </c>
      <c r="J727" s="58">
        <v>0</v>
      </c>
      <c r="K727" s="58">
        <v>163.3333333333333</v>
      </c>
    </row>
    <row r="728" spans="1:11">
      <c r="A728" s="56" t="s">
        <v>328</v>
      </c>
      <c r="B728" s="58">
        <v>109</v>
      </c>
      <c r="C728" s="58">
        <v>0</v>
      </c>
      <c r="D728" s="58">
        <v>0</v>
      </c>
      <c r="E728" s="58">
        <v>0</v>
      </c>
      <c r="F728" s="58">
        <v>0</v>
      </c>
      <c r="G728" s="58">
        <v>0</v>
      </c>
      <c r="H728" s="58">
        <v>109</v>
      </c>
      <c r="I728" s="58">
        <v>0</v>
      </c>
      <c r="J728" s="58">
        <v>0</v>
      </c>
      <c r="K728" s="58">
        <v>316.6504854368932</v>
      </c>
    </row>
    <row r="729" spans="1:11">
      <c r="A729" s="56" t="s">
        <v>329</v>
      </c>
      <c r="B729" s="58">
        <v>13</v>
      </c>
      <c r="C729" s="58">
        <v>0</v>
      </c>
      <c r="D729" s="58">
        <v>0</v>
      </c>
      <c r="E729" s="58">
        <v>0</v>
      </c>
      <c r="F729" s="58">
        <v>0</v>
      </c>
      <c r="G729" s="58">
        <v>0</v>
      </c>
      <c r="H729" s="58">
        <v>0</v>
      </c>
      <c r="I729" s="58">
        <v>13</v>
      </c>
      <c r="J729" s="58">
        <v>0</v>
      </c>
      <c r="K729" s="58">
        <v>3231.75</v>
      </c>
    </row>
    <row r="730" spans="1:11">
      <c r="A730" s="56" t="s">
        <v>330</v>
      </c>
      <c r="B730" s="58">
        <v>1</v>
      </c>
      <c r="C730" s="58">
        <v>0</v>
      </c>
      <c r="D730" s="58">
        <v>0</v>
      </c>
      <c r="E730" s="58">
        <v>0</v>
      </c>
      <c r="F730" s="58">
        <v>0</v>
      </c>
      <c r="G730" s="58">
        <v>0</v>
      </c>
      <c r="H730" s="58">
        <v>1</v>
      </c>
      <c r="I730" s="58">
        <v>0</v>
      </c>
      <c r="J730" s="58">
        <v>0</v>
      </c>
      <c r="K730" s="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AA7B8"/>
  </sheetPr>
  <dimension ref="A1:BE138"/>
  <sheetViews>
    <sheetView showGridLines="0" workbookViewId="0"/>
  </sheetViews>
  <sheetFormatPr defaultRowHeight="15"/>
  <cols>
    <col min="1" max="1" width="18.7109375" customWidth="1"/>
    <col min="2" max="57" width="8.7109375" customWidth="1"/>
  </cols>
  <sheetData>
    <row r="1" spans="1:57">
      <c r="A1" s="65" t="s">
        <v>331</v>
      </c>
    </row>
    <row r="2" spans="1:57">
      <c r="A2" t="s">
        <v>332</v>
      </c>
      <c r="B2">
        <f>MATCH('ダッシュボード'!$D$4&amp;"|"&amp;'ダッシュボード'!$J$4,'データ'!$A$7:$A$123,0)</f>
        <v>1</v>
      </c>
    </row>
    <row r="3" spans="1:57">
      <c r="A3" t="s">
        <v>333</v>
      </c>
      <c r="B3" t="str">
        <f>'データ'!D$5</f>
        <v>7:00</v>
      </c>
      <c r="C3" t="str">
        <f>'データ'!E$5</f>
        <v>7:15</v>
      </c>
      <c r="D3" t="str">
        <f>'データ'!F$5</f>
        <v>7:30</v>
      </c>
      <c r="E3" t="str">
        <f>'データ'!G$5</f>
        <v>7:45</v>
      </c>
      <c r="F3" t="str">
        <f>'データ'!H$5</f>
        <v>8:00</v>
      </c>
      <c r="G3" t="str">
        <f>'データ'!I$5</f>
        <v>8:15</v>
      </c>
      <c r="H3" t="str">
        <f>'データ'!J$5</f>
        <v>8:30</v>
      </c>
      <c r="I3" t="str">
        <f>'データ'!K$5</f>
        <v>8:45</v>
      </c>
      <c r="J3" t="str">
        <f>'データ'!L$5</f>
        <v>9:00</v>
      </c>
      <c r="K3" t="str">
        <f>'データ'!M$5</f>
        <v>9:15</v>
      </c>
      <c r="L3" t="str">
        <f>'データ'!N$5</f>
        <v>9:30</v>
      </c>
      <c r="M3" t="str">
        <f>'データ'!O$5</f>
        <v>9:45</v>
      </c>
      <c r="N3" t="str">
        <f>'データ'!P$5</f>
        <v>10:00</v>
      </c>
      <c r="O3" t="str">
        <f>'データ'!Q$5</f>
        <v>10:15</v>
      </c>
      <c r="P3" t="str">
        <f>'データ'!R$5</f>
        <v>10:30</v>
      </c>
      <c r="Q3" t="str">
        <f>'データ'!S$5</f>
        <v>10:45</v>
      </c>
      <c r="R3" t="str">
        <f>'データ'!T$5</f>
        <v>11:00</v>
      </c>
      <c r="S3" t="str">
        <f>'データ'!U$5</f>
        <v>11:15</v>
      </c>
      <c r="T3" t="str">
        <f>'データ'!V$5</f>
        <v>11:30</v>
      </c>
      <c r="U3" t="str">
        <f>'データ'!W$5</f>
        <v>11:45</v>
      </c>
      <c r="V3" t="str">
        <f>'データ'!X$5</f>
        <v>12:00</v>
      </c>
      <c r="W3" t="str">
        <f>'データ'!Y$5</f>
        <v>12:15</v>
      </c>
      <c r="X3" t="str">
        <f>'データ'!Z$5</f>
        <v>12:30</v>
      </c>
      <c r="Y3" t="str">
        <f>'データ'!AA$5</f>
        <v>12:45</v>
      </c>
      <c r="Z3" t="str">
        <f>'データ'!AB$5</f>
        <v>13:00</v>
      </c>
      <c r="AA3" t="str">
        <f>'データ'!AC$5</f>
        <v>13:15</v>
      </c>
      <c r="AB3" t="str">
        <f>'データ'!AD$5</f>
        <v>13:30</v>
      </c>
      <c r="AC3" t="str">
        <f>'データ'!AE$5</f>
        <v>13:45</v>
      </c>
      <c r="AD3" t="str">
        <f>'データ'!AF$5</f>
        <v>14:00</v>
      </c>
      <c r="AE3" t="str">
        <f>'データ'!AG$5</f>
        <v>14:15</v>
      </c>
      <c r="AF3" t="str">
        <f>'データ'!AH$5</f>
        <v>14:30</v>
      </c>
      <c r="AG3" t="str">
        <f>'データ'!AI$5</f>
        <v>14:45</v>
      </c>
      <c r="AH3" t="str">
        <f>'データ'!AJ$5</f>
        <v>15:00</v>
      </c>
      <c r="AI3" t="str">
        <f>'データ'!AK$5</f>
        <v>15:15</v>
      </c>
      <c r="AJ3" t="str">
        <f>'データ'!AL$5</f>
        <v>15:30</v>
      </c>
      <c r="AK3" t="str">
        <f>'データ'!AM$5</f>
        <v>15:45</v>
      </c>
      <c r="AL3" t="str">
        <f>'データ'!AN$5</f>
        <v>16:00</v>
      </c>
      <c r="AM3" t="str">
        <f>'データ'!AO$5</f>
        <v>16:15</v>
      </c>
      <c r="AN3" t="str">
        <f>'データ'!AP$5</f>
        <v>16:30</v>
      </c>
      <c r="AO3" t="str">
        <f>'データ'!AQ$5</f>
        <v>16:45</v>
      </c>
      <c r="AP3" t="str">
        <f>'データ'!AR$5</f>
        <v>17:00</v>
      </c>
      <c r="AQ3" t="str">
        <f>'データ'!AS$5</f>
        <v>17:15</v>
      </c>
      <c r="AR3" t="str">
        <f>'データ'!AT$5</f>
        <v>17:30</v>
      </c>
      <c r="AS3" t="str">
        <f>'データ'!AU$5</f>
        <v>17:45</v>
      </c>
      <c r="AT3" t="str">
        <f>'データ'!AV$5</f>
        <v>18:00</v>
      </c>
      <c r="AU3" t="str">
        <f>'データ'!AW$5</f>
        <v>18:15</v>
      </c>
      <c r="AV3" t="str">
        <f>'データ'!AX$5</f>
        <v>18:30</v>
      </c>
      <c r="AW3" t="str">
        <f>'データ'!AY$5</f>
        <v>18:45</v>
      </c>
      <c r="AX3" t="str">
        <f>'データ'!AZ$5</f>
        <v>19:00</v>
      </c>
      <c r="AY3" t="str">
        <f>'データ'!BA$5</f>
        <v>19:15</v>
      </c>
      <c r="AZ3" t="str">
        <f>'データ'!BB$5</f>
        <v>19:30</v>
      </c>
      <c r="BA3" t="str">
        <f>'データ'!BC$5</f>
        <v>19:45</v>
      </c>
      <c r="BB3" t="str">
        <f>'データ'!BD$5</f>
        <v>20:00</v>
      </c>
      <c r="BC3" t="str">
        <f>'データ'!BE$5</f>
        <v>20:15</v>
      </c>
      <c r="BD3" t="str">
        <f>'データ'!BF$5</f>
        <v>20:30</v>
      </c>
      <c r="BE3" t="str">
        <f>'データ'!BG$5</f>
        <v>20:45</v>
      </c>
    </row>
    <row r="4" spans="1:57">
      <c r="A4" t="s">
        <v>334</v>
      </c>
      <c r="B4">
        <f>'データ'!D$6</f>
        <v>420</v>
      </c>
      <c r="C4">
        <f>'データ'!E$6</f>
        <v>435</v>
      </c>
      <c r="D4">
        <f>'データ'!F$6</f>
        <v>450</v>
      </c>
      <c r="E4">
        <f>'データ'!G$6</f>
        <v>465</v>
      </c>
      <c r="F4">
        <f>'データ'!H$6</f>
        <v>480</v>
      </c>
      <c r="G4">
        <f>'データ'!I$6</f>
        <v>495</v>
      </c>
      <c r="H4">
        <f>'データ'!J$6</f>
        <v>510</v>
      </c>
      <c r="I4">
        <f>'データ'!K$6</f>
        <v>525</v>
      </c>
      <c r="J4">
        <f>'データ'!L$6</f>
        <v>540</v>
      </c>
      <c r="K4">
        <f>'データ'!M$6</f>
        <v>555</v>
      </c>
      <c r="L4">
        <f>'データ'!N$6</f>
        <v>570</v>
      </c>
      <c r="M4">
        <f>'データ'!O$6</f>
        <v>585</v>
      </c>
      <c r="N4">
        <f>'データ'!P$6</f>
        <v>600</v>
      </c>
      <c r="O4">
        <f>'データ'!Q$6</f>
        <v>615</v>
      </c>
      <c r="P4">
        <f>'データ'!R$6</f>
        <v>630</v>
      </c>
      <c r="Q4">
        <f>'データ'!S$6</f>
        <v>645</v>
      </c>
      <c r="R4">
        <f>'データ'!T$6</f>
        <v>660</v>
      </c>
      <c r="S4">
        <f>'データ'!U$6</f>
        <v>675</v>
      </c>
      <c r="T4">
        <f>'データ'!V$6</f>
        <v>690</v>
      </c>
      <c r="U4">
        <f>'データ'!W$6</f>
        <v>705</v>
      </c>
      <c r="V4">
        <f>'データ'!X$6</f>
        <v>720</v>
      </c>
      <c r="W4">
        <f>'データ'!Y$6</f>
        <v>735</v>
      </c>
      <c r="X4">
        <f>'データ'!Z$6</f>
        <v>750</v>
      </c>
      <c r="Y4">
        <f>'データ'!AA$6</f>
        <v>765</v>
      </c>
      <c r="Z4">
        <f>'データ'!AB$6</f>
        <v>780</v>
      </c>
      <c r="AA4">
        <f>'データ'!AC$6</f>
        <v>795</v>
      </c>
      <c r="AB4">
        <f>'データ'!AD$6</f>
        <v>810</v>
      </c>
      <c r="AC4">
        <f>'データ'!AE$6</f>
        <v>825</v>
      </c>
      <c r="AD4">
        <f>'データ'!AF$6</f>
        <v>840</v>
      </c>
      <c r="AE4">
        <f>'データ'!AG$6</f>
        <v>855</v>
      </c>
      <c r="AF4">
        <f>'データ'!AH$6</f>
        <v>870</v>
      </c>
      <c r="AG4">
        <f>'データ'!AI$6</f>
        <v>885</v>
      </c>
      <c r="AH4">
        <f>'データ'!AJ$6</f>
        <v>900</v>
      </c>
      <c r="AI4">
        <f>'データ'!AK$6</f>
        <v>915</v>
      </c>
      <c r="AJ4">
        <f>'データ'!AL$6</f>
        <v>930</v>
      </c>
      <c r="AK4">
        <f>'データ'!AM$6</f>
        <v>945</v>
      </c>
      <c r="AL4">
        <f>'データ'!AN$6</f>
        <v>960</v>
      </c>
      <c r="AM4">
        <f>'データ'!AO$6</f>
        <v>975</v>
      </c>
      <c r="AN4">
        <f>'データ'!AP$6</f>
        <v>990</v>
      </c>
      <c r="AO4">
        <f>'データ'!AQ$6</f>
        <v>1005</v>
      </c>
      <c r="AP4">
        <f>'データ'!AR$6</f>
        <v>1020</v>
      </c>
      <c r="AQ4">
        <f>'データ'!AS$6</f>
        <v>1035</v>
      </c>
      <c r="AR4">
        <f>'データ'!AT$6</f>
        <v>1050</v>
      </c>
      <c r="AS4">
        <f>'データ'!AU$6</f>
        <v>1065</v>
      </c>
      <c r="AT4">
        <f>'データ'!AV$6</f>
        <v>1080</v>
      </c>
      <c r="AU4">
        <f>'データ'!AW$6</f>
        <v>1095</v>
      </c>
      <c r="AV4">
        <f>'データ'!AX$6</f>
        <v>1110</v>
      </c>
      <c r="AW4">
        <f>'データ'!AY$6</f>
        <v>1125</v>
      </c>
      <c r="AX4">
        <f>'データ'!AZ$6</f>
        <v>1140</v>
      </c>
      <c r="AY4">
        <f>'データ'!BA$6</f>
        <v>1155</v>
      </c>
      <c r="AZ4">
        <f>'データ'!BB$6</f>
        <v>1170</v>
      </c>
      <c r="BA4">
        <f>'データ'!BC$6</f>
        <v>1185</v>
      </c>
      <c r="BB4">
        <f>'データ'!BD$6</f>
        <v>1200</v>
      </c>
      <c r="BC4">
        <f>'データ'!BE$6</f>
        <v>1215</v>
      </c>
      <c r="BD4">
        <f>'データ'!BF$6</f>
        <v>1230</v>
      </c>
      <c r="BE4">
        <f>'データ'!BG$6</f>
        <v>1245</v>
      </c>
    </row>
    <row r="5" spans="1:57">
      <c r="A5" t="s">
        <v>335</v>
      </c>
      <c r="B5">
        <f>INDEX('データ'!D$7:D$123,$B$2)</f>
        <v>0</v>
      </c>
      <c r="C5">
        <f>INDEX('データ'!E$7:E$123,$B$2)</f>
        <v>0</v>
      </c>
      <c r="D5">
        <f>INDEX('データ'!F$7:F$123,$B$2)</f>
        <v>3</v>
      </c>
      <c r="E5">
        <f>INDEX('データ'!G$7:G$123,$B$2)</f>
        <v>183</v>
      </c>
      <c r="F5">
        <f>INDEX('データ'!H$7:H$123,$B$2)</f>
        <v>1610</v>
      </c>
      <c r="G5">
        <f>INDEX('データ'!I$7:I$123,$B$2)</f>
        <v>6985</v>
      </c>
      <c r="H5">
        <f>INDEX('データ'!J$7:J$123,$B$2)</f>
        <v>15366</v>
      </c>
      <c r="I5">
        <f>INDEX('データ'!K$7:K$123,$B$2)</f>
        <v>16427</v>
      </c>
      <c r="J5">
        <f>INDEX('データ'!L$7:L$123,$B$2)</f>
        <v>18795</v>
      </c>
      <c r="K5">
        <f>INDEX('データ'!M$7:M$123,$B$2)</f>
        <v>21042</v>
      </c>
      <c r="L5">
        <f>INDEX('データ'!N$7:N$123,$B$2)</f>
        <v>22530</v>
      </c>
      <c r="M5">
        <f>INDEX('データ'!O$7:O$123,$B$2)</f>
        <v>23911</v>
      </c>
      <c r="N5">
        <f>INDEX('データ'!P$7:P$123,$B$2)</f>
        <v>25200</v>
      </c>
      <c r="O5">
        <f>INDEX('データ'!Q$7:Q$123,$B$2)</f>
        <v>26206</v>
      </c>
      <c r="P5">
        <f>INDEX('データ'!R$7:R$123,$B$2)</f>
        <v>26217</v>
      </c>
      <c r="Q5">
        <f>INDEX('データ'!S$7:S$123,$B$2)</f>
        <v>26186</v>
      </c>
      <c r="R5">
        <f>INDEX('データ'!T$7:T$123,$B$2)</f>
        <v>25985</v>
      </c>
      <c r="S5">
        <f>INDEX('データ'!U$7:U$123,$B$2)</f>
        <v>24776</v>
      </c>
      <c r="T5">
        <f>INDEX('データ'!V$7:V$123,$B$2)</f>
        <v>23366</v>
      </c>
      <c r="U5">
        <f>INDEX('データ'!W$7:W$123,$B$2)</f>
        <v>21302</v>
      </c>
      <c r="V5">
        <f>INDEX('データ'!X$7:X$123,$B$2)</f>
        <v>20028</v>
      </c>
      <c r="W5">
        <f>INDEX('データ'!Y$7:Y$123,$B$2)</f>
        <v>19497</v>
      </c>
      <c r="X5">
        <f>INDEX('データ'!Z$7:Z$123,$B$2)</f>
        <v>19397</v>
      </c>
      <c r="Y5">
        <f>INDEX('データ'!AA$7:AA$123,$B$2)</f>
        <v>19438</v>
      </c>
      <c r="Z5">
        <f>INDEX('データ'!AB$7:AB$123,$B$2)</f>
        <v>20947</v>
      </c>
      <c r="AA5">
        <f>INDEX('データ'!AC$7:AC$123,$B$2)</f>
        <v>22841</v>
      </c>
      <c r="AB5">
        <f>INDEX('データ'!AD$7:AD$123,$B$2)</f>
        <v>23475</v>
      </c>
      <c r="AC5">
        <f>INDEX('データ'!AE$7:AE$123,$B$2)</f>
        <v>24330</v>
      </c>
      <c r="AD5">
        <f>INDEX('データ'!AF$7:AF$123,$B$2)</f>
        <v>24146</v>
      </c>
      <c r="AE5">
        <f>INDEX('データ'!AG$7:AG$123,$B$2)</f>
        <v>24119</v>
      </c>
      <c r="AF5">
        <f>INDEX('データ'!AH$7:AH$123,$B$2)</f>
        <v>23771</v>
      </c>
      <c r="AG5">
        <f>INDEX('データ'!AI$7:AI$123,$B$2)</f>
        <v>22927</v>
      </c>
      <c r="AH5">
        <f>INDEX('データ'!AJ$7:AJ$123,$B$2)</f>
        <v>22391</v>
      </c>
      <c r="AI5">
        <f>INDEX('データ'!AK$7:AK$123,$B$2)</f>
        <v>21913</v>
      </c>
      <c r="AJ5">
        <f>INDEX('データ'!AL$7:AL$123,$B$2)</f>
        <v>21830</v>
      </c>
      <c r="AK5">
        <f>INDEX('データ'!AM$7:AM$123,$B$2)</f>
        <v>20933</v>
      </c>
      <c r="AL5">
        <f>INDEX('データ'!AN$7:AN$123,$B$2)</f>
        <v>20714</v>
      </c>
      <c r="AM5">
        <f>INDEX('データ'!AO$7:AO$123,$B$2)</f>
        <v>20176</v>
      </c>
      <c r="AN5">
        <f>INDEX('データ'!AP$7:AP$123,$B$2)</f>
        <v>18403</v>
      </c>
      <c r="AO5">
        <f>INDEX('データ'!AQ$7:AQ$123,$B$2)</f>
        <v>14050</v>
      </c>
      <c r="AP5">
        <f>INDEX('データ'!AR$7:AR$123,$B$2)</f>
        <v>7535</v>
      </c>
      <c r="AQ5">
        <f>INDEX('データ'!AS$7:AS$123,$B$2)</f>
        <v>1794</v>
      </c>
      <c r="AR5">
        <f>INDEX('データ'!AT$7:AT$123,$B$2)</f>
        <v>432</v>
      </c>
      <c r="AS5">
        <f>INDEX('データ'!AU$7:AU$123,$B$2)</f>
        <v>209</v>
      </c>
      <c r="AT5">
        <f>INDEX('データ'!AV$7:AV$123,$B$2)</f>
        <v>135</v>
      </c>
      <c r="AU5">
        <f>INDEX('データ'!AW$7:AW$123,$B$2)</f>
        <v>139</v>
      </c>
      <c r="AV5">
        <f>INDEX('データ'!AX$7:AX$123,$B$2)</f>
        <v>124</v>
      </c>
      <c r="AW5">
        <f>INDEX('データ'!AY$7:AY$123,$B$2)</f>
        <v>79</v>
      </c>
      <c r="AX5">
        <f>INDEX('データ'!AZ$7:AZ$123,$B$2)</f>
        <v>77</v>
      </c>
      <c r="AY5">
        <f>INDEX('データ'!BA$7:BA$123,$B$2)</f>
        <v>40</v>
      </c>
      <c r="AZ5">
        <f>INDEX('データ'!BB$7:BB$123,$B$2)</f>
        <v>14</v>
      </c>
      <c r="BA5">
        <f>INDEX('データ'!BC$7:BC$123,$B$2)</f>
        <v>5</v>
      </c>
      <c r="BB5">
        <f>INDEX('データ'!BD$7:BD$123,$B$2)</f>
        <v>3</v>
      </c>
      <c r="BC5">
        <f>INDEX('データ'!BE$7:BE$123,$B$2)</f>
        <v>0</v>
      </c>
      <c r="BD5">
        <f>INDEX('データ'!BF$7:BF$123,$B$2)</f>
        <v>0</v>
      </c>
      <c r="BE5">
        <f>INDEX('データ'!BG$7:BG$123,$B$2)</f>
        <v>0</v>
      </c>
    </row>
    <row r="6" spans="1:57">
      <c r="A6" t="s">
        <v>336</v>
      </c>
      <c r="B6">
        <f>IF(AND(B$4&gt;=$B$9,B$4&lt;$B$10),B5,0)</f>
        <v>0</v>
      </c>
      <c r="C6">
        <f>IF(AND(C$4&gt;=$B$9,C$4&lt;$B$10),C5,0)</f>
        <v>0</v>
      </c>
      <c r="D6">
        <f>IF(AND(D$4&gt;=$B$9,D$4&lt;$B$10),D5,0)</f>
        <v>0</v>
      </c>
      <c r="E6">
        <f>IF(AND(E$4&gt;=$B$9,E$4&lt;$B$10),E5,0)</f>
        <v>0</v>
      </c>
      <c r="F6">
        <f>IF(AND(F$4&gt;=$B$9,F$4&lt;$B$10),F5,0)</f>
        <v>0</v>
      </c>
      <c r="G6">
        <f>IF(AND(G$4&gt;=$B$9,G$4&lt;$B$10),G5,0)</f>
        <v>0</v>
      </c>
      <c r="H6">
        <f>IF(AND(H$4&gt;=$B$9,H$4&lt;$B$10),H5,0)</f>
        <v>0</v>
      </c>
      <c r="I6">
        <f>IF(AND(I$4&gt;=$B$9,I$4&lt;$B$10),I5,0)</f>
        <v>0</v>
      </c>
      <c r="J6">
        <f>IF(AND(J$4&gt;=$B$9,J$4&lt;$B$10),J5,0)</f>
        <v>18795</v>
      </c>
      <c r="K6">
        <f>IF(AND(K$4&gt;=$B$9,K$4&lt;$B$10),K5,0)</f>
        <v>21042</v>
      </c>
      <c r="L6">
        <f>IF(AND(L$4&gt;=$B$9,L$4&lt;$B$10),L5,0)</f>
        <v>22530</v>
      </c>
      <c r="M6">
        <f>IF(AND(M$4&gt;=$B$9,M$4&lt;$B$10),M5,0)</f>
        <v>23911</v>
      </c>
      <c r="N6">
        <f>IF(AND(N$4&gt;=$B$9,N$4&lt;$B$10),N5,0)</f>
        <v>25200</v>
      </c>
      <c r="O6">
        <f>IF(AND(O$4&gt;=$B$9,O$4&lt;$B$10),O5,0)</f>
        <v>26206</v>
      </c>
      <c r="P6">
        <f>IF(AND(P$4&gt;=$B$9,P$4&lt;$B$10),P5,0)</f>
        <v>26217</v>
      </c>
      <c r="Q6">
        <f>IF(AND(Q$4&gt;=$B$9,Q$4&lt;$B$10),Q5,0)</f>
        <v>26186</v>
      </c>
      <c r="R6">
        <f>IF(AND(R$4&gt;=$B$9,R$4&lt;$B$10),R5,0)</f>
        <v>25985</v>
      </c>
      <c r="S6">
        <f>IF(AND(S$4&gt;=$B$9,S$4&lt;$B$10),S5,0)</f>
        <v>24776</v>
      </c>
      <c r="T6">
        <f>IF(AND(T$4&gt;=$B$9,T$4&lt;$B$10),T5,0)</f>
        <v>23366</v>
      </c>
      <c r="U6">
        <f>IF(AND(U$4&gt;=$B$9,U$4&lt;$B$10),U5,0)</f>
        <v>21302</v>
      </c>
      <c r="V6">
        <f>IF(AND(V$4&gt;=$B$9,V$4&lt;$B$10),V5,0)</f>
        <v>20028</v>
      </c>
      <c r="W6">
        <f>IF(AND(W$4&gt;=$B$9,W$4&lt;$B$10),W5,0)</f>
        <v>19497</v>
      </c>
      <c r="X6">
        <f>IF(AND(X$4&gt;=$B$9,X$4&lt;$B$10),X5,0)</f>
        <v>19397</v>
      </c>
      <c r="Y6">
        <f>IF(AND(Y$4&gt;=$B$9,Y$4&lt;$B$10),Y5,0)</f>
        <v>19438</v>
      </c>
      <c r="Z6">
        <f>IF(AND(Z$4&gt;=$B$9,Z$4&lt;$B$10),Z5,0)</f>
        <v>20947</v>
      </c>
      <c r="AA6">
        <f>IF(AND(AA$4&gt;=$B$9,AA$4&lt;$B$10),AA5,0)</f>
        <v>22841</v>
      </c>
      <c r="AB6">
        <f>IF(AND(AB$4&gt;=$B$9,AB$4&lt;$B$10),AB5,0)</f>
        <v>23475</v>
      </c>
      <c r="AC6">
        <f>IF(AND(AC$4&gt;=$B$9,AC$4&lt;$B$10),AC5,0)</f>
        <v>24330</v>
      </c>
      <c r="AD6">
        <f>IF(AND(AD$4&gt;=$B$9,AD$4&lt;$B$10),AD5,0)</f>
        <v>24146</v>
      </c>
      <c r="AE6">
        <f>IF(AND(AE$4&gt;=$B$9,AE$4&lt;$B$10),AE5,0)</f>
        <v>24119</v>
      </c>
      <c r="AF6">
        <f>IF(AND(AF$4&gt;=$B$9,AF$4&lt;$B$10),AF5,0)</f>
        <v>23771</v>
      </c>
      <c r="AG6">
        <f>IF(AND(AG$4&gt;=$B$9,AG$4&lt;$B$10),AG5,0)</f>
        <v>22927</v>
      </c>
      <c r="AH6">
        <f>IF(AND(AH$4&gt;=$B$9,AH$4&lt;$B$10),AH5,0)</f>
        <v>22391</v>
      </c>
      <c r="AI6">
        <f>IF(AND(AI$4&gt;=$B$9,AI$4&lt;$B$10),AI5,0)</f>
        <v>21913</v>
      </c>
      <c r="AJ6">
        <f>IF(AND(AJ$4&gt;=$B$9,AJ$4&lt;$B$10),AJ5,0)</f>
        <v>21830</v>
      </c>
      <c r="AK6">
        <f>IF(AND(AK$4&gt;=$B$9,AK$4&lt;$B$10),AK5,0)</f>
        <v>20933</v>
      </c>
      <c r="AL6">
        <f>IF(AND(AL$4&gt;=$B$9,AL$4&lt;$B$10),AL5,0)</f>
        <v>20714</v>
      </c>
      <c r="AM6">
        <f>IF(AND(AM$4&gt;=$B$9,AM$4&lt;$B$10),AM5,0)</f>
        <v>20176</v>
      </c>
      <c r="AN6">
        <f>IF(AND(AN$4&gt;=$B$9,AN$4&lt;$B$10),AN5,0)</f>
        <v>0</v>
      </c>
      <c r="AO6">
        <f>IF(AND(AO$4&gt;=$B$9,AO$4&lt;$B$10),AO5,0)</f>
        <v>0</v>
      </c>
      <c r="AP6">
        <f>IF(AND(AP$4&gt;=$B$9,AP$4&lt;$B$10),AP5,0)</f>
        <v>0</v>
      </c>
      <c r="AQ6">
        <f>IF(AND(AQ$4&gt;=$B$9,AQ$4&lt;$B$10),AQ5,0)</f>
        <v>0</v>
      </c>
      <c r="AR6">
        <f>IF(AND(AR$4&gt;=$B$9,AR$4&lt;$B$10),AR5,0)</f>
        <v>0</v>
      </c>
      <c r="AS6">
        <f>IF(AND(AS$4&gt;=$B$9,AS$4&lt;$B$10),AS5,0)</f>
        <v>0</v>
      </c>
      <c r="AT6">
        <f>IF(AND(AT$4&gt;=$B$9,AT$4&lt;$B$10),AT5,0)</f>
        <v>0</v>
      </c>
      <c r="AU6">
        <f>IF(AND(AU$4&gt;=$B$9,AU$4&lt;$B$10),AU5,0)</f>
        <v>0</v>
      </c>
      <c r="AV6">
        <f>IF(AND(AV$4&gt;=$B$9,AV$4&lt;$B$10),AV5,0)</f>
        <v>0</v>
      </c>
      <c r="AW6">
        <f>IF(AND(AW$4&gt;=$B$9,AW$4&lt;$B$10),AW5,0)</f>
        <v>0</v>
      </c>
      <c r="AX6">
        <f>IF(AND(AX$4&gt;=$B$9,AX$4&lt;$B$10),AX5,0)</f>
        <v>0</v>
      </c>
      <c r="AY6">
        <f>IF(AND(AY$4&gt;=$B$9,AY$4&lt;$B$10),AY5,0)</f>
        <v>0</v>
      </c>
      <c r="AZ6">
        <f>IF(AND(AZ$4&gt;=$B$9,AZ$4&lt;$B$10),AZ5,0)</f>
        <v>0</v>
      </c>
      <c r="BA6">
        <f>IF(AND(BA$4&gt;=$B$9,BA$4&lt;$B$10),BA5,0)</f>
        <v>0</v>
      </c>
      <c r="BB6">
        <f>IF(AND(BB$4&gt;=$B$9,BB$4&lt;$B$10),BB5,0)</f>
        <v>0</v>
      </c>
      <c r="BC6">
        <f>IF(AND(BC$4&gt;=$B$9,BC$4&lt;$B$10),BC5,0)</f>
        <v>0</v>
      </c>
      <c r="BD6">
        <f>IF(AND(BD$4&gt;=$B$9,BD$4&lt;$B$10),BD5,0)</f>
        <v>0</v>
      </c>
      <c r="BE6">
        <f>IF(AND(BE$4&gt;=$B$9,BE$4&lt;$B$10),BE5,0)</f>
        <v>0</v>
      </c>
    </row>
    <row r="7" spans="1:57">
      <c r="A7" t="s">
        <v>337</v>
      </c>
      <c r="B7">
        <f>B5-B6</f>
        <v>0</v>
      </c>
      <c r="C7">
        <f>C5-C6</f>
        <v>0</v>
      </c>
      <c r="D7">
        <f>D5-D6</f>
        <v>3</v>
      </c>
      <c r="E7">
        <f>E5-E6</f>
        <v>183</v>
      </c>
      <c r="F7">
        <f>F5-F6</f>
        <v>1610</v>
      </c>
      <c r="G7">
        <f>G5-G6</f>
        <v>6985</v>
      </c>
      <c r="H7">
        <f>H5-H6</f>
        <v>15366</v>
      </c>
      <c r="I7">
        <f>I5-I6</f>
        <v>16427</v>
      </c>
      <c r="J7">
        <f>J5-J6</f>
        <v>0</v>
      </c>
      <c r="K7">
        <f>K5-K6</f>
        <v>0</v>
      </c>
      <c r="L7">
        <f>L5-L6</f>
        <v>0</v>
      </c>
      <c r="M7">
        <f>M5-M6</f>
        <v>0</v>
      </c>
      <c r="N7">
        <f>N5-N6</f>
        <v>0</v>
      </c>
      <c r="O7">
        <f>O5-O6</f>
        <v>0</v>
      </c>
      <c r="P7">
        <f>P5-P6</f>
        <v>0</v>
      </c>
      <c r="Q7">
        <f>Q5-Q6</f>
        <v>0</v>
      </c>
      <c r="R7">
        <f>R5-R6</f>
        <v>0</v>
      </c>
      <c r="S7">
        <f>S5-S6</f>
        <v>0</v>
      </c>
      <c r="T7">
        <f>T5-T6</f>
        <v>0</v>
      </c>
      <c r="U7">
        <f>U5-U6</f>
        <v>0</v>
      </c>
      <c r="V7">
        <f>V5-V6</f>
        <v>0</v>
      </c>
      <c r="W7">
        <f>W5-W6</f>
        <v>0</v>
      </c>
      <c r="X7">
        <f>X5-X6</f>
        <v>0</v>
      </c>
      <c r="Y7">
        <f>Y5-Y6</f>
        <v>0</v>
      </c>
      <c r="Z7">
        <f>Z5-Z6</f>
        <v>0</v>
      </c>
      <c r="AA7">
        <f>AA5-AA6</f>
        <v>0</v>
      </c>
      <c r="AB7">
        <f>AB5-AB6</f>
        <v>0</v>
      </c>
      <c r="AC7">
        <f>AC5-AC6</f>
        <v>0</v>
      </c>
      <c r="AD7">
        <f>AD5-AD6</f>
        <v>0</v>
      </c>
      <c r="AE7">
        <f>AE5-AE6</f>
        <v>0</v>
      </c>
      <c r="AF7">
        <f>AF5-AF6</f>
        <v>0</v>
      </c>
      <c r="AG7">
        <f>AG5-AG6</f>
        <v>0</v>
      </c>
      <c r="AH7">
        <f>AH5-AH6</f>
        <v>0</v>
      </c>
      <c r="AI7">
        <f>AI5-AI6</f>
        <v>0</v>
      </c>
      <c r="AJ7">
        <f>AJ5-AJ6</f>
        <v>0</v>
      </c>
      <c r="AK7">
        <f>AK5-AK6</f>
        <v>0</v>
      </c>
      <c r="AL7">
        <f>AL5-AL6</f>
        <v>0</v>
      </c>
      <c r="AM7">
        <f>AM5-AM6</f>
        <v>0</v>
      </c>
      <c r="AN7">
        <f>AN5-AN6</f>
        <v>18403</v>
      </c>
      <c r="AO7">
        <f>AO5-AO6</f>
        <v>14050</v>
      </c>
      <c r="AP7">
        <f>AP5-AP6</f>
        <v>7535</v>
      </c>
      <c r="AQ7">
        <f>AQ5-AQ6</f>
        <v>1794</v>
      </c>
      <c r="AR7">
        <f>AR5-AR6</f>
        <v>432</v>
      </c>
      <c r="AS7">
        <f>AS5-AS6</f>
        <v>209</v>
      </c>
      <c r="AT7">
        <f>AT5-AT6</f>
        <v>135</v>
      </c>
      <c r="AU7">
        <f>AU5-AU6</f>
        <v>139</v>
      </c>
      <c r="AV7">
        <f>AV5-AV6</f>
        <v>124</v>
      </c>
      <c r="AW7">
        <f>AW5-AW6</f>
        <v>79</v>
      </c>
      <c r="AX7">
        <f>AX5-AX6</f>
        <v>77</v>
      </c>
      <c r="AY7">
        <f>AY5-AY6</f>
        <v>40</v>
      </c>
      <c r="AZ7">
        <f>AZ5-AZ6</f>
        <v>14</v>
      </c>
      <c r="BA7">
        <f>BA5-BA6</f>
        <v>5</v>
      </c>
      <c r="BB7">
        <f>BB5-BB6</f>
        <v>3</v>
      </c>
      <c r="BC7">
        <f>BC5-BC6</f>
        <v>0</v>
      </c>
      <c r="BD7">
        <f>BD5-BD6</f>
        <v>0</v>
      </c>
      <c r="BE7">
        <f>BE5-BE6</f>
        <v>0</v>
      </c>
    </row>
    <row r="9" spans="1:57">
      <c r="A9" t="s">
        <v>334</v>
      </c>
      <c r="B9">
        <f>ROUND('ダッシュボード'!$P$4*1440,0)</f>
        <v>540</v>
      </c>
    </row>
    <row r="10" spans="1:57">
      <c r="A10" t="s">
        <v>338</v>
      </c>
      <c r="B10">
        <f>ROUND('ダッシュボード'!$V$4*1440,0)</f>
        <v>990</v>
      </c>
    </row>
    <row r="12" spans="1:57">
      <c r="A12" t="s">
        <v>339</v>
      </c>
      <c r="B12">
        <f>SUM(B5:BE5)</f>
        <v>762002</v>
      </c>
    </row>
    <row r="13" spans="1:57">
      <c r="A13" t="s">
        <v>340</v>
      </c>
      <c r="B13">
        <f>SUM(B6:BE6)</f>
        <v>678389</v>
      </c>
    </row>
    <row r="14" spans="1:57">
      <c r="A14" t="s">
        <v>341</v>
      </c>
      <c r="B14">
        <f>SUM(B7:BE7)</f>
        <v>83613</v>
      </c>
    </row>
    <row r="15" spans="1:57">
      <c r="A15" t="s">
        <v>342</v>
      </c>
      <c r="B15">
        <f>IF(B12=0,0,B14/B12)</f>
        <v>0.10972805845653949</v>
      </c>
    </row>
    <row r="16" spans="1:57">
      <c r="A16" t="s">
        <v>343</v>
      </c>
      <c r="B16">
        <f>MATCH(MAX(B5:BE5),B5:BE5,0)</f>
        <v>15</v>
      </c>
    </row>
    <row r="17" spans="1:2">
      <c r="A17" t="s">
        <v>344</v>
      </c>
      <c r="B17" t="str">
        <f>TEXT(INDEX(B4:BE4,B16)/1440,"h:mm")&amp;"〜"&amp;TEXT((INDEX(B4:BE4,B16)+15)/1440,"h:mm")</f>
        <v>10:30〜10:45</v>
      </c>
    </row>
    <row r="18" spans="1:2">
      <c r="A18" t="s">
        <v>345</v>
      </c>
      <c r="B18">
        <f>MAX(B5:BE5)</f>
        <v>26217</v>
      </c>
    </row>
    <row r="20" spans="1:2">
      <c r="A20" t="s">
        <v>346</v>
      </c>
      <c r="B20">
        <f>INDEX(B25:B37,MATCH('ダッシュボード'!$J$4,A25:A37,0))</f>
        <v>0</v>
      </c>
    </row>
    <row r="21" spans="1:2">
      <c r="A21" t="s">
        <v>347</v>
      </c>
      <c r="B21">
        <f>MATCH('ダッシュボード'!$D$4,'データ'!$B$312:$J$312,0)</f>
        <v>1</v>
      </c>
    </row>
    <row r="22" spans="1:2">
      <c r="A22" t="s">
        <v>348</v>
      </c>
      <c r="B22">
        <f>SUMPRODUCT((INDEX('データ'!$B$313:$J$677,0,B21)&gt;0)*(((B20=0)+(MONTH('データ'!$A$313:$A$677)=B20))&gt;0))</f>
        <v>258</v>
      </c>
    </row>
    <row r="23" spans="1:2">
      <c r="A23" t="s">
        <v>349</v>
      </c>
      <c r="B23">
        <f>IF(B22=0,0,B12/B22)</f>
        <v>2953.4961240310076</v>
      </c>
    </row>
    <row r="24" spans="1:2">
      <c r="A24" t="s">
        <v>350</v>
      </c>
      <c r="B24">
        <f>INDEX('データ'!$D$193:$D$309,B2)/MAX(1,INDEX('データ'!$E$193:$E$309,B2))/60</f>
        <v>7.83873782856882</v>
      </c>
    </row>
    <row r="25" spans="1:2">
      <c r="A25" t="s">
        <v>65</v>
      </c>
      <c r="B25">
        <v>0</v>
      </c>
    </row>
    <row r="26" spans="1:2">
      <c r="A26" t="s">
        <v>67</v>
      </c>
      <c r="B26">
        <v>4</v>
      </c>
    </row>
    <row r="27" spans="1:2">
      <c r="A27" t="s">
        <v>69</v>
      </c>
      <c r="B27">
        <v>5</v>
      </c>
    </row>
    <row r="28" spans="1:2">
      <c r="A28" t="s">
        <v>71</v>
      </c>
      <c r="B28">
        <v>6</v>
      </c>
    </row>
    <row r="29" spans="1:2">
      <c r="A29" t="s">
        <v>73</v>
      </c>
      <c r="B29">
        <v>7</v>
      </c>
    </row>
    <row r="30" spans="1:2">
      <c r="A30" t="s">
        <v>75</v>
      </c>
      <c r="B30">
        <v>8</v>
      </c>
    </row>
    <row r="31" spans="1:2">
      <c r="A31" t="s">
        <v>77</v>
      </c>
      <c r="B31">
        <v>9</v>
      </c>
    </row>
    <row r="32" spans="1:2">
      <c r="A32" t="s">
        <v>79</v>
      </c>
      <c r="B32">
        <v>10</v>
      </c>
    </row>
    <row r="33" spans="1:9">
      <c r="A33" t="s">
        <v>81</v>
      </c>
      <c r="B33">
        <v>11</v>
      </c>
    </row>
    <row r="34" spans="1:9">
      <c r="A34" t="s">
        <v>83</v>
      </c>
      <c r="B34">
        <v>12</v>
      </c>
    </row>
    <row r="35" spans="1:9">
      <c r="A35" t="s">
        <v>85</v>
      </c>
      <c r="B35">
        <v>1</v>
      </c>
    </row>
    <row r="36" spans="1:9">
      <c r="A36" t="s">
        <v>87</v>
      </c>
      <c r="B36">
        <v>2</v>
      </c>
    </row>
    <row r="37" spans="1:9">
      <c r="A37" t="s">
        <v>89</v>
      </c>
      <c r="B37">
        <v>3</v>
      </c>
    </row>
    <row r="39" spans="1:9">
      <c r="A39" t="s">
        <v>4</v>
      </c>
      <c r="B39" t="s">
        <v>275</v>
      </c>
      <c r="C39" t="s">
        <v>351</v>
      </c>
      <c r="F39" t="s">
        <v>352</v>
      </c>
      <c r="G39" t="s">
        <v>275</v>
      </c>
      <c r="H39" t="s">
        <v>353</v>
      </c>
      <c r="I39" t="s">
        <v>354</v>
      </c>
    </row>
    <row r="40" spans="1:9">
      <c r="A40" t="s">
        <v>91</v>
      </c>
      <c r="B40">
        <f>INDEX('データ'!BH$7:BH$123,MATCH(A40&amp;"|"&amp;'ダッシュボード'!$J$4,'データ'!$A$7:$A$123,0))</f>
        <v>143974</v>
      </c>
      <c r="C40">
        <f>B40+ROW()/1000000</f>
        <v>143974</v>
      </c>
      <c r="F40" t="str">
        <f>INDEX($A$40:$A$47,MATCH(LARGE($C$40:$C$47,1),$C$40:$C$47,0))</f>
        <v>中区</v>
      </c>
      <c r="G40">
        <f>INDEX($B$40:$B$47,MATCH(F40,$A$40:$A$47,0))</f>
        <v>143974</v>
      </c>
      <c r="H40">
        <f>IF(F40='ダッシュボード'!$D$4,G40,0)</f>
        <v>0</v>
      </c>
      <c r="I40">
        <f>IF(F40='ダッシュボード'!$D$4,0,G40)</f>
        <v>143974</v>
      </c>
    </row>
    <row r="41" spans="1:9">
      <c r="A41" t="s">
        <v>105</v>
      </c>
      <c r="B41">
        <f>INDEX('データ'!BH$7:BH$123,MATCH(A41&amp;"|"&amp;'ダッシュボード'!$J$4,'データ'!$A$7:$A$123,0))</f>
        <v>81818</v>
      </c>
      <c r="C41">
        <f>B41+ROW()/1000000</f>
        <v>81818</v>
      </c>
      <c r="F41" t="str">
        <f>INDEX($A$40:$A$47,MATCH(LARGE($C$40:$C$47,2),$C$40:$C$47,0))</f>
        <v>西区</v>
      </c>
      <c r="G41">
        <f>INDEX($B$40:$B$47,MATCH(F41,$A$40:$A$47,0))</f>
        <v>141243</v>
      </c>
      <c r="H41">
        <f>IF(F41='ダッシュボード'!$D$4,G41,0)</f>
        <v>0</v>
      </c>
      <c r="I41">
        <f>IF(F41='ダッシュボード'!$D$4,0,G41)</f>
        <v>141243</v>
      </c>
    </row>
    <row r="42" spans="1:9">
      <c r="A42" t="s">
        <v>119</v>
      </c>
      <c r="B42">
        <f>INDEX('データ'!BH$7:BH$123,MATCH(A42&amp;"|"&amp;'ダッシュボード'!$J$4,'データ'!$A$7:$A$123,0))</f>
        <v>115887</v>
      </c>
      <c r="C42">
        <f>B42+ROW()/1000000</f>
        <v>115887</v>
      </c>
      <c r="F42" t="str">
        <f>INDEX($A$40:$A$47,MATCH(LARGE($C$40:$C$47,3),$C$40:$C$47,0))</f>
        <v>南区</v>
      </c>
      <c r="G42">
        <f>INDEX($B$40:$B$47,MATCH(F42,$A$40:$A$47,0))</f>
        <v>115887</v>
      </c>
      <c r="H42">
        <f>IF(F42='ダッシュボード'!$D$4,G42,0)</f>
        <v>0</v>
      </c>
      <c r="I42">
        <f>IF(F42='ダッシュボード'!$D$4,0,G42)</f>
        <v>115887</v>
      </c>
    </row>
    <row r="43" spans="1:9">
      <c r="A43" t="s">
        <v>133</v>
      </c>
      <c r="B43">
        <f>INDEX('データ'!BH$7:BH$123,MATCH(A43&amp;"|"&amp;'ダッシュボード'!$J$4,'データ'!$A$7:$A$123,0))</f>
        <v>141243</v>
      </c>
      <c r="C43">
        <f>B43+ROW()/1000000</f>
        <v>141243</v>
      </c>
      <c r="F43" t="str">
        <f>INDEX($A$40:$A$47,MATCH(LARGE($C$40:$C$47,4),$C$40:$C$47,0))</f>
        <v>佐伯区</v>
      </c>
      <c r="G43">
        <f>INDEX($B$40:$B$47,MATCH(F43,$A$40:$A$47,0))</f>
        <v>104764</v>
      </c>
      <c r="H43">
        <f>IF(F43='ダッシュボード'!$D$4,G43,0)</f>
        <v>0</v>
      </c>
      <c r="I43">
        <f>IF(F43='ダッシュボード'!$D$4,0,G43)</f>
        <v>104764</v>
      </c>
    </row>
    <row r="44" spans="1:9">
      <c r="A44" t="s">
        <v>147</v>
      </c>
      <c r="B44">
        <f>INDEX('データ'!BH$7:BH$123,MATCH(A44&amp;"|"&amp;'ダッシュボード'!$J$4,'データ'!$A$7:$A$123,0))</f>
        <v>88181</v>
      </c>
      <c r="C44">
        <f>B44+ROW()/1000000</f>
        <v>88181</v>
      </c>
      <c r="F44" t="str">
        <f>INDEX($A$40:$A$47,MATCH(LARGE($C$40:$C$47,5),$C$40:$C$47,0))</f>
        <v>安佐南区</v>
      </c>
      <c r="G44">
        <f>INDEX($B$40:$B$47,MATCH(F44,$A$40:$A$47,0))</f>
        <v>88181</v>
      </c>
      <c r="H44">
        <f>IF(F44='ダッシュボード'!$D$4,G44,0)</f>
        <v>0</v>
      </c>
      <c r="I44">
        <f>IF(F44='ダッシュボード'!$D$4,0,G44)</f>
        <v>88181</v>
      </c>
    </row>
    <row r="45" spans="1:9">
      <c r="A45" t="s">
        <v>161</v>
      </c>
      <c r="B45">
        <f>INDEX('データ'!BH$7:BH$123,MATCH(A45&amp;"|"&amp;'ダッシュボード'!$J$4,'データ'!$A$7:$A$123,0))</f>
        <v>48568</v>
      </c>
      <c r="C45">
        <f>B45+ROW()/1000000</f>
        <v>48568</v>
      </c>
      <c r="F45" t="str">
        <f>INDEX($A$40:$A$47,MATCH(LARGE($C$40:$C$47,6),$C$40:$C$47,0))</f>
        <v>東区</v>
      </c>
      <c r="G45">
        <f>INDEX($B$40:$B$47,MATCH(F45,$A$40:$A$47,0))</f>
        <v>81818</v>
      </c>
      <c r="H45">
        <f>IF(F45='ダッシュボード'!$D$4,G45,0)</f>
        <v>0</v>
      </c>
      <c r="I45">
        <f>IF(F45='ダッシュボード'!$D$4,0,G45)</f>
        <v>81818</v>
      </c>
    </row>
    <row r="46" spans="1:9">
      <c r="A46" t="s">
        <v>175</v>
      </c>
      <c r="B46">
        <f>INDEX('データ'!BH$7:BH$123,MATCH(A46&amp;"|"&amp;'ダッシュボード'!$J$4,'データ'!$A$7:$A$123,0))</f>
        <v>37567</v>
      </c>
      <c r="C46">
        <f>B46+ROW()/1000000</f>
        <v>37567</v>
      </c>
      <c r="F46" t="str">
        <f>INDEX($A$40:$A$47,MATCH(LARGE($C$40:$C$47,7),$C$40:$C$47,0))</f>
        <v>安佐北区</v>
      </c>
      <c r="G46">
        <f>INDEX($B$40:$B$47,MATCH(F46,$A$40:$A$47,0))</f>
        <v>48568</v>
      </c>
      <c r="H46">
        <f>IF(F46='ダッシュボード'!$D$4,G46,0)</f>
        <v>0</v>
      </c>
      <c r="I46">
        <f>IF(F46='ダッシュボード'!$D$4,0,G46)</f>
        <v>48568</v>
      </c>
    </row>
    <row r="47" spans="1:9">
      <c r="A47" t="s">
        <v>189</v>
      </c>
      <c r="B47">
        <f>INDEX('データ'!BH$7:BH$123,MATCH(A47&amp;"|"&amp;'ダッシュボード'!$J$4,'データ'!$A$7:$A$123,0))</f>
        <v>104764</v>
      </c>
      <c r="C47">
        <f>B47+ROW()/1000000</f>
        <v>104764</v>
      </c>
      <c r="F47" t="str">
        <f>INDEX($A$40:$A$47,MATCH(LARGE($C$40:$C$47,8),$C$40:$C$47,0))</f>
        <v>安芸区</v>
      </c>
      <c r="G47">
        <f>INDEX($B$40:$B$47,MATCH(F47,$A$40:$A$47,0))</f>
        <v>37567</v>
      </c>
      <c r="H47">
        <f>IF(F47='ダッシュボード'!$D$4,G47,0)</f>
        <v>0</v>
      </c>
      <c r="I47">
        <f>IF(F47='ダッシュボード'!$D$4,0,G47)</f>
        <v>37567</v>
      </c>
    </row>
    <row r="49" spans="1:3">
      <c r="A49" t="s">
        <v>5</v>
      </c>
      <c r="B49" t="s">
        <v>275</v>
      </c>
      <c r="C49" t="s">
        <v>355</v>
      </c>
    </row>
    <row r="50" spans="1:3">
      <c r="A50" t="s">
        <v>67</v>
      </c>
      <c r="B50">
        <f>INDEX('データ'!BH$7:BH$123,MATCH('ダッシュボード'!$D$4&amp;"|"&amp;A50,'データ'!$A$7:$A$123,0))</f>
        <v>69708</v>
      </c>
      <c r="C50" t="e">
        <f>IF(A50='ダッシュボード'!$J$4,B50,NA())</f>
        <v>#N/A</v>
      </c>
    </row>
    <row r="51" spans="1:3">
      <c r="A51" t="s">
        <v>69</v>
      </c>
      <c r="B51">
        <f>INDEX('データ'!BH$7:BH$123,MATCH('ダッシュボード'!$D$4&amp;"|"&amp;A51,'データ'!$A$7:$A$123,0))</f>
        <v>63291</v>
      </c>
      <c r="C51" t="e">
        <f>IF(A51='ダッシュボード'!$J$4,B51,NA())</f>
        <v>#N/A</v>
      </c>
    </row>
    <row r="52" spans="1:3">
      <c r="A52" t="s">
        <v>71</v>
      </c>
      <c r="B52">
        <f>INDEX('データ'!BH$7:BH$123,MATCH('ダッシュボード'!$D$4&amp;"|"&amp;A52,'データ'!$A$7:$A$123,0))</f>
        <v>65022</v>
      </c>
      <c r="C52" t="e">
        <f>IF(A52='ダッシュボード'!$J$4,B52,NA())</f>
        <v>#N/A</v>
      </c>
    </row>
    <row r="53" spans="1:3">
      <c r="A53" t="s">
        <v>73</v>
      </c>
      <c r="B53">
        <f>INDEX('データ'!BH$7:BH$123,MATCH('ダッシュボード'!$D$4&amp;"|"&amp;A53,'データ'!$A$7:$A$123,0))</f>
        <v>68469</v>
      </c>
      <c r="C53" t="e">
        <f>IF(A53='ダッシュボード'!$J$4,B53,NA())</f>
        <v>#N/A</v>
      </c>
    </row>
    <row r="54" spans="1:3">
      <c r="A54" t="s">
        <v>75</v>
      </c>
      <c r="B54">
        <f>INDEX('データ'!BH$7:BH$123,MATCH('ダッシュボード'!$D$4&amp;"|"&amp;A54,'データ'!$A$7:$A$123,0))</f>
        <v>60107</v>
      </c>
      <c r="C54" t="e">
        <f>IF(A54='ダッシュボード'!$J$4,B54,NA())</f>
        <v>#N/A</v>
      </c>
    </row>
    <row r="55" spans="1:3">
      <c r="A55" t="s">
        <v>77</v>
      </c>
      <c r="B55">
        <f>INDEX('データ'!BH$7:BH$123,MATCH('ダッシュボード'!$D$4&amp;"|"&amp;A55,'データ'!$A$7:$A$123,0))</f>
        <v>59672</v>
      </c>
      <c r="C55" t="e">
        <f>IF(A55='ダッシュボード'!$J$4,B55,NA())</f>
        <v>#N/A</v>
      </c>
    </row>
    <row r="56" spans="1:3">
      <c r="A56" t="s">
        <v>79</v>
      </c>
      <c r="B56">
        <f>INDEX('データ'!BH$7:BH$123,MATCH('ダッシュボード'!$D$4&amp;"|"&amp;A56,'データ'!$A$7:$A$123,0))</f>
        <v>66477</v>
      </c>
      <c r="C56" t="e">
        <f>IF(A56='ダッシュボード'!$J$4,B56,NA())</f>
        <v>#N/A</v>
      </c>
    </row>
    <row r="57" spans="1:3">
      <c r="A57" t="s">
        <v>81</v>
      </c>
      <c r="B57">
        <f>INDEX('データ'!BH$7:BH$123,MATCH('ダッシュボード'!$D$4&amp;"|"&amp;A57,'データ'!$A$7:$A$123,0))</f>
        <v>49498</v>
      </c>
      <c r="C57" t="e">
        <f>IF(A57='ダッシュボード'!$J$4,B57,NA())</f>
        <v>#N/A</v>
      </c>
    </row>
    <row r="58" spans="1:3">
      <c r="A58" t="s">
        <v>83</v>
      </c>
      <c r="B58">
        <f>INDEX('データ'!BH$7:BH$123,MATCH('ダッシュボード'!$D$4&amp;"|"&amp;A58,'データ'!$A$7:$A$123,0))</f>
        <v>54884</v>
      </c>
      <c r="C58" t="e">
        <f>IF(A58='ダッシュボード'!$J$4,B58,NA())</f>
        <v>#N/A</v>
      </c>
    </row>
    <row r="59" spans="1:3">
      <c r="A59" t="s">
        <v>85</v>
      </c>
      <c r="B59">
        <f>INDEX('データ'!BH$7:BH$123,MATCH('ダッシュボード'!$D$4&amp;"|"&amp;A59,'データ'!$A$7:$A$123,0))</f>
        <v>48430</v>
      </c>
      <c r="C59" t="e">
        <f>IF(A59='ダッシュボード'!$J$4,B59,NA())</f>
        <v>#N/A</v>
      </c>
    </row>
    <row r="60" spans="1:3">
      <c r="A60" t="s">
        <v>87</v>
      </c>
      <c r="B60">
        <f>INDEX('データ'!BH$7:BH$123,MATCH('ダッシュボード'!$D$4&amp;"|"&amp;A60,'データ'!$A$7:$A$123,0))</f>
        <v>68773</v>
      </c>
      <c r="C60" t="e">
        <f>IF(A60='ダッシュボード'!$J$4,B60,NA())</f>
        <v>#N/A</v>
      </c>
    </row>
    <row r="61" spans="1:3">
      <c r="A61" t="s">
        <v>89</v>
      </c>
      <c r="B61">
        <f>INDEX('データ'!BH$7:BH$123,MATCH('ダッシュボード'!$D$4&amp;"|"&amp;A61,'データ'!$A$7:$A$123,0))</f>
        <v>87671</v>
      </c>
      <c r="C61" t="e">
        <f>IF(A61='ダッシュボード'!$J$4,B61,NA())</f>
        <v>#N/A</v>
      </c>
    </row>
    <row r="70" spans="1:1">
      <c r="A70" s="67">
        <v>0.2916666666666667</v>
      </c>
    </row>
    <row r="71" spans="1:1">
      <c r="A71" s="67">
        <v>0.3020833333333333</v>
      </c>
    </row>
    <row r="72" spans="1:1">
      <c r="A72" s="67">
        <v>0.3125</v>
      </c>
    </row>
    <row r="73" spans="1:1">
      <c r="A73" s="67">
        <v>0.3229166666666667</v>
      </c>
    </row>
    <row r="74" spans="1:1">
      <c r="A74" s="67">
        <v>0.3333333333333333</v>
      </c>
    </row>
    <row r="75" spans="1:1">
      <c r="A75" s="67">
        <v>0.34375</v>
      </c>
    </row>
    <row r="76" spans="1:1">
      <c r="A76" s="67">
        <v>0.3541666666666667</v>
      </c>
    </row>
    <row r="77" spans="1:1">
      <c r="A77" s="67">
        <v>0.3645833333333333</v>
      </c>
    </row>
    <row r="78" spans="1:1">
      <c r="A78" s="67">
        <v>0.375</v>
      </c>
    </row>
    <row r="79" spans="1:1">
      <c r="A79" s="67">
        <v>0.3854166666666667</v>
      </c>
    </row>
    <row r="80" spans="1:1">
      <c r="A80" s="67">
        <v>0.3958333333333333</v>
      </c>
    </row>
    <row r="81" spans="1:1">
      <c r="A81" s="67">
        <v>0.40625</v>
      </c>
    </row>
    <row r="82" spans="1:1">
      <c r="A82" s="67">
        <v>0.4166666666666667</v>
      </c>
    </row>
    <row r="83" spans="1:1">
      <c r="A83" s="67">
        <v>0.4270833333333333</v>
      </c>
    </row>
    <row r="84" spans="1:1">
      <c r="A84" s="67">
        <v>0.4375</v>
      </c>
    </row>
    <row r="85" spans="1:1">
      <c r="A85" s="67">
        <v>0.4479166666666667</v>
      </c>
    </row>
    <row r="86" spans="1:1">
      <c r="A86" s="67">
        <v>0.4583333333333333</v>
      </c>
    </row>
    <row r="87" spans="1:1">
      <c r="A87" s="67">
        <v>0.46875</v>
      </c>
    </row>
    <row r="88" spans="1:1">
      <c r="A88" s="67">
        <v>0.4791666666666667</v>
      </c>
    </row>
    <row r="89" spans="1:1">
      <c r="A89" s="67">
        <v>0.4895833333333333</v>
      </c>
    </row>
    <row r="90" spans="1:1">
      <c r="A90" s="67">
        <v>0.5</v>
      </c>
    </row>
    <row r="91" spans="1:1">
      <c r="A91" s="67">
        <v>0.5104166666666666</v>
      </c>
    </row>
    <row r="92" spans="1:1">
      <c r="A92" s="67">
        <v>0.5208333333333334</v>
      </c>
    </row>
    <row r="93" spans="1:1">
      <c r="A93" s="67">
        <v>0.53125</v>
      </c>
    </row>
    <row r="94" spans="1:1">
      <c r="A94" s="67">
        <v>0.5416666666666666</v>
      </c>
    </row>
    <row r="95" spans="1:1">
      <c r="A95" s="67">
        <v>0.5520833333333334</v>
      </c>
    </row>
    <row r="96" spans="1:1">
      <c r="A96" s="67">
        <v>0.5625</v>
      </c>
    </row>
    <row r="97" spans="1:1">
      <c r="A97" s="67">
        <v>0.5729166666666666</v>
      </c>
    </row>
    <row r="98" spans="1:1">
      <c r="A98" s="67">
        <v>0.5833333333333334</v>
      </c>
    </row>
    <row r="99" spans="1:1">
      <c r="A99" s="67">
        <v>0.59375</v>
      </c>
    </row>
    <row r="100" spans="1:1">
      <c r="A100" s="67">
        <v>0.6041666666666666</v>
      </c>
    </row>
    <row r="101" spans="1:1">
      <c r="A101" s="67">
        <v>0.6145833333333334</v>
      </c>
    </row>
    <row r="102" spans="1:1">
      <c r="A102" s="67">
        <v>0.625</v>
      </c>
    </row>
    <row r="103" spans="1:1">
      <c r="A103" s="67">
        <v>0.6354166666666666</v>
      </c>
    </row>
    <row r="104" spans="1:1">
      <c r="A104" s="67">
        <v>0.6458333333333334</v>
      </c>
    </row>
    <row r="105" spans="1:1">
      <c r="A105" s="67">
        <v>0.65625</v>
      </c>
    </row>
    <row r="106" spans="1:1">
      <c r="A106" s="67">
        <v>0.6666666666666666</v>
      </c>
    </row>
    <row r="107" spans="1:1">
      <c r="A107" s="67">
        <v>0.6770833333333334</v>
      </c>
    </row>
    <row r="108" spans="1:1">
      <c r="A108" s="67">
        <v>0.6875</v>
      </c>
    </row>
    <row r="109" spans="1:1">
      <c r="A109" s="67">
        <v>0.6979166666666666</v>
      </c>
    </row>
    <row r="110" spans="1:1">
      <c r="A110" s="67">
        <v>0.7083333333333334</v>
      </c>
    </row>
    <row r="111" spans="1:1">
      <c r="A111" s="67">
        <v>0.71875</v>
      </c>
    </row>
    <row r="112" spans="1:1">
      <c r="A112" s="67">
        <v>0.7291666666666666</v>
      </c>
    </row>
    <row r="113" spans="1:1">
      <c r="A113" s="67">
        <v>0.7395833333333334</v>
      </c>
    </row>
    <row r="114" spans="1:1">
      <c r="A114" s="67">
        <v>0.75</v>
      </c>
    </row>
    <row r="115" spans="1:1">
      <c r="A115" s="67">
        <v>0.7604166666666666</v>
      </c>
    </row>
    <row r="116" spans="1:1">
      <c r="A116" s="67">
        <v>0.7708333333333334</v>
      </c>
    </row>
    <row r="117" spans="1:1">
      <c r="A117" s="67">
        <v>0.78125</v>
      </c>
    </row>
    <row r="118" spans="1:1">
      <c r="A118" s="67">
        <v>0.7916666666666666</v>
      </c>
    </row>
    <row r="119" spans="1:1">
      <c r="A119" s="67">
        <v>0.8020833333333334</v>
      </c>
    </row>
    <row r="120" spans="1:1">
      <c r="A120" s="67">
        <v>0.8125</v>
      </c>
    </row>
    <row r="121" spans="1:1">
      <c r="A121" s="67">
        <v>0.8229166666666666</v>
      </c>
    </row>
    <row r="122" spans="1:1">
      <c r="A122" s="67">
        <v>0.8333333333333334</v>
      </c>
    </row>
    <row r="123" spans="1:1">
      <c r="A123" s="67">
        <v>0.84375</v>
      </c>
    </row>
    <row r="124" spans="1:1">
      <c r="A124" s="67">
        <v>0.8541666666666666</v>
      </c>
    </row>
    <row r="125" spans="1:1">
      <c r="A125" s="67">
        <v>0.8645833333333334</v>
      </c>
    </row>
    <row r="126" spans="1:1">
      <c r="A126" s="67">
        <v>0.875</v>
      </c>
    </row>
    <row r="130" spans="1:1">
      <c r="A130" t="s">
        <v>64</v>
      </c>
    </row>
    <row r="131" spans="1:1">
      <c r="A131" t="s">
        <v>91</v>
      </c>
    </row>
    <row r="132" spans="1:1">
      <c r="A132" t="s">
        <v>105</v>
      </c>
    </row>
    <row r="133" spans="1:1">
      <c r="A133" t="s">
        <v>119</v>
      </c>
    </row>
    <row r="134" spans="1:1">
      <c r="A134" t="s">
        <v>133</v>
      </c>
    </row>
    <row r="135" spans="1:1">
      <c r="A135" t="s">
        <v>147</v>
      </c>
    </row>
    <row r="136" spans="1:1">
      <c r="A136" t="s">
        <v>161</v>
      </c>
    </row>
    <row r="137" spans="1:1">
      <c r="A137" t="s">
        <v>175</v>
      </c>
    </row>
    <row r="138" spans="1:1">
      <c r="A13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はじめに</vt:lpstr>
      <vt:lpstr>ダッシュボード</vt:lpstr>
      <vt:lpstr>ヒートマップ</vt:lpstr>
      <vt:lpstr>カレンダー</vt:lpstr>
      <vt:lpstr>シミュレーター</vt:lpstr>
      <vt:lpstr>業務ランキング</vt:lpstr>
      <vt:lpstr>PDF突合</vt:lpstr>
      <vt:lpstr>データ</vt:lpstr>
      <vt:lpstr>計算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2026-10-23T00:53:50Z</dcterms:created>
  <dcterms:modified xsi:type="dcterms:W3CDTF">2026-10-23T00:53:50Z</dcterms:modified>
</cp:coreProperties>
</file>